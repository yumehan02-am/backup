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島崎\"/>
    </mc:Choice>
  </mc:AlternateContent>
  <xr:revisionPtr revIDLastSave="0" documentId="13_ncr:1_{BC738E38-2E27-4AA2-B5F7-CA828B8A1E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302" i="1" l="1"/>
  <c r="L1303" i="1"/>
  <c r="L1326" i="1" s="1"/>
  <c r="L1304" i="1"/>
  <c r="F1291" i="1"/>
  <c r="F1292" i="1"/>
  <c r="F1293" i="1"/>
  <c r="K1326" i="1"/>
  <c r="J1326" i="1"/>
  <c r="I1326" i="1"/>
  <c r="E1326" i="1"/>
  <c r="D1326" i="1"/>
  <c r="C1326" i="1"/>
  <c r="L1325" i="1"/>
  <c r="F1325" i="1"/>
  <c r="L1324" i="1"/>
  <c r="F1324" i="1"/>
  <c r="L1323" i="1"/>
  <c r="F1323" i="1"/>
  <c r="L1322" i="1"/>
  <c r="F1322" i="1"/>
  <c r="L1321" i="1"/>
  <c r="F1321" i="1"/>
  <c r="L1320" i="1"/>
  <c r="F1320" i="1"/>
  <c r="L1319" i="1"/>
  <c r="F1319" i="1"/>
  <c r="L1318" i="1"/>
  <c r="F1318" i="1"/>
  <c r="L1317" i="1"/>
  <c r="F1317" i="1"/>
  <c r="L1316" i="1"/>
  <c r="F1316" i="1"/>
  <c r="L1315" i="1"/>
  <c r="F1315" i="1"/>
  <c r="L1314" i="1"/>
  <c r="F1314" i="1"/>
  <c r="L1313" i="1"/>
  <c r="F1313" i="1"/>
  <c r="L1312" i="1"/>
  <c r="F1312" i="1"/>
  <c r="L1311" i="1"/>
  <c r="F1311" i="1"/>
  <c r="L1310" i="1"/>
  <c r="F1310" i="1"/>
  <c r="L1309" i="1"/>
  <c r="F1309" i="1"/>
  <c r="L1308" i="1"/>
  <c r="F1308" i="1"/>
  <c r="L1307" i="1"/>
  <c r="F1307" i="1"/>
  <c r="L1306" i="1"/>
  <c r="F1306" i="1"/>
  <c r="L1305" i="1"/>
  <c r="F1305" i="1"/>
  <c r="F1304" i="1"/>
  <c r="F1303" i="1"/>
  <c r="F1302" i="1"/>
  <c r="L1300" i="1"/>
  <c r="F1300" i="1"/>
  <c r="L1299" i="1"/>
  <c r="F1299" i="1"/>
  <c r="L1298" i="1"/>
  <c r="F1298" i="1"/>
  <c r="L1297" i="1"/>
  <c r="F1297" i="1"/>
  <c r="L1296" i="1"/>
  <c r="F1296" i="1"/>
  <c r="L1295" i="1"/>
  <c r="F1295" i="1"/>
  <c r="L1294" i="1"/>
  <c r="F1294" i="1"/>
  <c r="L1293" i="1"/>
  <c r="L1292" i="1"/>
  <c r="L1291" i="1"/>
  <c r="K1290" i="1"/>
  <c r="K1301" i="1" s="1"/>
  <c r="K1327" i="1" s="1"/>
  <c r="E1290" i="1"/>
  <c r="E1301" i="1" s="1"/>
  <c r="E1327" i="1" s="1"/>
  <c r="D1290" i="1"/>
  <c r="D1301" i="1" s="1"/>
  <c r="C1290" i="1"/>
  <c r="F1290" i="1" s="1"/>
  <c r="L1259" i="1"/>
  <c r="L1260" i="1"/>
  <c r="L1261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48" i="1"/>
  <c r="F1249" i="1"/>
  <c r="F1250" i="1"/>
  <c r="F1251" i="1"/>
  <c r="F1252" i="1"/>
  <c r="K1283" i="1"/>
  <c r="J1283" i="1"/>
  <c r="I1283" i="1"/>
  <c r="E1283" i="1"/>
  <c r="D1283" i="1"/>
  <c r="C1283" i="1"/>
  <c r="L1282" i="1"/>
  <c r="F1282" i="1"/>
  <c r="L1281" i="1"/>
  <c r="F1281" i="1"/>
  <c r="L1280" i="1"/>
  <c r="F1280" i="1"/>
  <c r="L1279" i="1"/>
  <c r="L1278" i="1"/>
  <c r="L1277" i="1"/>
  <c r="L1276" i="1"/>
  <c r="L1275" i="1"/>
  <c r="L1274" i="1"/>
  <c r="L1273" i="1"/>
  <c r="L1272" i="1"/>
  <c r="L1271" i="1"/>
  <c r="L1270" i="1"/>
  <c r="L1269" i="1"/>
  <c r="L1268" i="1"/>
  <c r="L1267" i="1"/>
  <c r="L1266" i="1"/>
  <c r="L1265" i="1"/>
  <c r="L1264" i="1"/>
  <c r="L1263" i="1"/>
  <c r="L1262" i="1"/>
  <c r="L1257" i="1"/>
  <c r="F1257" i="1"/>
  <c r="L1256" i="1"/>
  <c r="F1256" i="1"/>
  <c r="L1255" i="1"/>
  <c r="F1255" i="1"/>
  <c r="L1254" i="1"/>
  <c r="F1254" i="1"/>
  <c r="L1253" i="1"/>
  <c r="F1253" i="1"/>
  <c r="L1252" i="1"/>
  <c r="L1251" i="1"/>
  <c r="L1250" i="1"/>
  <c r="L1249" i="1"/>
  <c r="L1248" i="1"/>
  <c r="L1247" i="1"/>
  <c r="L1258" i="1" s="1"/>
  <c r="K1247" i="1"/>
  <c r="K1258" i="1" s="1"/>
  <c r="J1247" i="1"/>
  <c r="J1258" i="1" s="1"/>
  <c r="I1247" i="1"/>
  <c r="I1258" i="1" s="1"/>
  <c r="E1247" i="1"/>
  <c r="E1258" i="1" s="1"/>
  <c r="F1206" i="1"/>
  <c r="L1217" i="1"/>
  <c r="D1196" i="1"/>
  <c r="L1173" i="1"/>
  <c r="C1195" i="1"/>
  <c r="C1194" i="1"/>
  <c r="C1192" i="1"/>
  <c r="L1233" i="1"/>
  <c r="L1234" i="1"/>
  <c r="L1235" i="1"/>
  <c r="L1236" i="1"/>
  <c r="L1237" i="1"/>
  <c r="L1238" i="1"/>
  <c r="L1239" i="1"/>
  <c r="F120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K1240" i="1"/>
  <c r="J1240" i="1"/>
  <c r="I1240" i="1"/>
  <c r="E1240" i="1"/>
  <c r="C1240" i="1"/>
  <c r="F1239" i="1"/>
  <c r="F1238" i="1"/>
  <c r="F1237" i="1"/>
  <c r="F1236" i="1"/>
  <c r="F1235" i="1"/>
  <c r="F1234" i="1"/>
  <c r="F1233" i="1"/>
  <c r="L1232" i="1"/>
  <c r="F1232" i="1"/>
  <c r="L1231" i="1"/>
  <c r="L1230" i="1"/>
  <c r="L1229" i="1"/>
  <c r="L1228" i="1"/>
  <c r="L1227" i="1"/>
  <c r="L1226" i="1"/>
  <c r="L1225" i="1"/>
  <c r="L1224" i="1"/>
  <c r="L1223" i="1"/>
  <c r="L1222" i="1"/>
  <c r="L1221" i="1"/>
  <c r="L1220" i="1"/>
  <c r="L1219" i="1"/>
  <c r="L1218" i="1"/>
  <c r="D1240" i="1"/>
  <c r="L1216" i="1"/>
  <c r="E1215" i="1"/>
  <c r="L1214" i="1"/>
  <c r="F1214" i="1"/>
  <c r="L1213" i="1"/>
  <c r="F1213" i="1"/>
  <c r="L1212" i="1"/>
  <c r="F1212" i="1"/>
  <c r="L1211" i="1"/>
  <c r="F1211" i="1"/>
  <c r="L1210" i="1"/>
  <c r="F1210" i="1"/>
  <c r="L1209" i="1"/>
  <c r="F1209" i="1"/>
  <c r="L1208" i="1"/>
  <c r="F1208" i="1"/>
  <c r="L1207" i="1"/>
  <c r="F1207" i="1"/>
  <c r="L1206" i="1"/>
  <c r="L1205" i="1"/>
  <c r="E1204" i="1"/>
  <c r="L989" i="1"/>
  <c r="K989" i="1"/>
  <c r="K1000" i="1" s="1"/>
  <c r="K1026" i="1" s="1"/>
  <c r="K1032" i="1" s="1"/>
  <c r="J989" i="1"/>
  <c r="I989" i="1"/>
  <c r="L1000" i="1"/>
  <c r="J1000" i="1"/>
  <c r="I1000" i="1"/>
  <c r="I1026" i="1" s="1"/>
  <c r="I1032" i="1" s="1"/>
  <c r="L1025" i="1"/>
  <c r="K1025" i="1"/>
  <c r="J1025" i="1"/>
  <c r="I1025" i="1"/>
  <c r="L1068" i="1"/>
  <c r="K1068" i="1"/>
  <c r="J1068" i="1"/>
  <c r="I1068" i="1"/>
  <c r="L1111" i="1"/>
  <c r="K1111" i="1"/>
  <c r="J1111" i="1"/>
  <c r="I1111" i="1"/>
  <c r="L1154" i="1"/>
  <c r="K1154" i="1"/>
  <c r="J1154" i="1"/>
  <c r="I1154" i="1"/>
  <c r="J1197" i="1"/>
  <c r="K1197" i="1"/>
  <c r="I1197" i="1"/>
  <c r="D1182" i="1"/>
  <c r="D1174" i="1"/>
  <c r="F1174" i="1" s="1"/>
  <c r="L1152" i="1"/>
  <c r="L1153" i="1"/>
  <c r="F1171" i="1"/>
  <c r="F1170" i="1"/>
  <c r="F1169" i="1"/>
  <c r="F1168" i="1"/>
  <c r="F1167" i="1"/>
  <c r="F1166" i="1"/>
  <c r="F1165" i="1"/>
  <c r="F1164" i="1"/>
  <c r="F1163" i="1"/>
  <c r="F1162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3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74" i="1"/>
  <c r="L1175" i="1"/>
  <c r="L1176" i="1"/>
  <c r="L1177" i="1"/>
  <c r="L1178" i="1"/>
  <c r="L1179" i="1"/>
  <c r="E1197" i="1"/>
  <c r="L1196" i="1"/>
  <c r="L1197" i="1" s="1"/>
  <c r="F1196" i="1"/>
  <c r="L1195" i="1"/>
  <c r="L1180" i="1"/>
  <c r="D1172" i="1"/>
  <c r="L1171" i="1"/>
  <c r="L1170" i="1"/>
  <c r="L1169" i="1"/>
  <c r="L1168" i="1"/>
  <c r="L1167" i="1"/>
  <c r="L1166" i="1"/>
  <c r="L1165" i="1"/>
  <c r="L1164" i="1"/>
  <c r="L1163" i="1"/>
  <c r="L1162" i="1"/>
  <c r="E1161" i="1"/>
  <c r="E1172" i="1" s="1"/>
  <c r="E1198" i="1" s="1"/>
  <c r="D1161" i="1"/>
  <c r="L1134" i="1"/>
  <c r="C1150" i="1"/>
  <c r="F1150" i="1" s="1"/>
  <c r="L1133" i="1"/>
  <c r="D1147" i="1"/>
  <c r="C1147" i="1"/>
  <c r="L1132" i="1"/>
  <c r="C1145" i="1"/>
  <c r="F1145" i="1" s="1"/>
  <c r="D1144" i="1"/>
  <c r="C1144" i="1"/>
  <c r="F1144" i="1" s="1"/>
  <c r="D1143" i="1"/>
  <c r="C1143" i="1"/>
  <c r="F1143" i="1" s="1"/>
  <c r="L1131" i="1"/>
  <c r="D1141" i="1"/>
  <c r="C1141" i="1"/>
  <c r="L1130" i="1"/>
  <c r="L1092" i="1"/>
  <c r="D1133" i="1"/>
  <c r="D1154" i="1" s="1"/>
  <c r="C1133" i="1"/>
  <c r="F1133" i="1" s="1"/>
  <c r="L1091" i="1"/>
  <c r="L1090" i="1"/>
  <c r="F1119" i="1"/>
  <c r="F1120" i="1"/>
  <c r="F1121" i="1"/>
  <c r="F1122" i="1"/>
  <c r="F1153" i="1"/>
  <c r="F1152" i="1"/>
  <c r="F1151" i="1"/>
  <c r="F1149" i="1"/>
  <c r="F1148" i="1"/>
  <c r="F1147" i="1"/>
  <c r="F1146" i="1"/>
  <c r="F1142" i="1"/>
  <c r="F1141" i="1"/>
  <c r="F1140" i="1"/>
  <c r="F1139" i="1"/>
  <c r="F1138" i="1"/>
  <c r="F1137" i="1"/>
  <c r="F1136" i="1"/>
  <c r="F1135" i="1"/>
  <c r="F1134" i="1"/>
  <c r="F1132" i="1"/>
  <c r="F1131" i="1"/>
  <c r="F1130" i="1"/>
  <c r="E1154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28" i="1"/>
  <c r="F1128" i="1"/>
  <c r="L1127" i="1"/>
  <c r="F1127" i="1"/>
  <c r="L1126" i="1"/>
  <c r="F1126" i="1"/>
  <c r="L1125" i="1"/>
  <c r="F1125" i="1"/>
  <c r="L1124" i="1"/>
  <c r="F1124" i="1"/>
  <c r="L1123" i="1"/>
  <c r="F1123" i="1"/>
  <c r="L1122" i="1"/>
  <c r="L1121" i="1"/>
  <c r="L1120" i="1"/>
  <c r="L1119" i="1"/>
  <c r="D1109" i="1"/>
  <c r="D1108" i="1"/>
  <c r="C1108" i="1"/>
  <c r="F1108" i="1" s="1"/>
  <c r="D1107" i="1"/>
  <c r="C1107" i="1"/>
  <c r="D1104" i="1"/>
  <c r="F1104" i="1" s="1"/>
  <c r="L1089" i="1"/>
  <c r="D1098" i="1"/>
  <c r="F1098" i="1" s="1"/>
  <c r="L1088" i="1"/>
  <c r="C1092" i="1"/>
  <c r="F1092" i="1" s="1"/>
  <c r="D1088" i="1"/>
  <c r="F1080" i="1"/>
  <c r="F1081" i="1"/>
  <c r="F1082" i="1"/>
  <c r="F1083" i="1"/>
  <c r="F1084" i="1"/>
  <c r="F1085" i="1"/>
  <c r="F1076" i="1"/>
  <c r="F1077" i="1"/>
  <c r="F1078" i="1"/>
  <c r="F1110" i="1"/>
  <c r="F1106" i="1"/>
  <c r="F1105" i="1"/>
  <c r="F1103" i="1"/>
  <c r="F1102" i="1"/>
  <c r="F1101" i="1"/>
  <c r="F1100" i="1"/>
  <c r="F1099" i="1"/>
  <c r="F1097" i="1"/>
  <c r="F1096" i="1"/>
  <c r="F1095" i="1"/>
  <c r="F1094" i="1"/>
  <c r="F1093" i="1"/>
  <c r="F1091" i="1"/>
  <c r="F1090" i="1"/>
  <c r="F1089" i="1"/>
  <c r="F1088" i="1"/>
  <c r="F1087" i="1"/>
  <c r="L1087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E1111" i="1"/>
  <c r="L1096" i="1"/>
  <c r="L1095" i="1"/>
  <c r="L1094" i="1"/>
  <c r="L1093" i="1"/>
  <c r="L1085" i="1"/>
  <c r="L1084" i="1"/>
  <c r="L1083" i="1"/>
  <c r="L1082" i="1"/>
  <c r="L1081" i="1"/>
  <c r="L1080" i="1"/>
  <c r="L1079" i="1"/>
  <c r="F1079" i="1"/>
  <c r="L1078" i="1"/>
  <c r="L1077" i="1"/>
  <c r="L1076" i="1"/>
  <c r="L1045" i="1"/>
  <c r="C1065" i="1"/>
  <c r="D1061" i="1"/>
  <c r="C1060" i="1"/>
  <c r="D1059" i="1"/>
  <c r="F1059" i="1"/>
  <c r="C1058" i="1"/>
  <c r="D1057" i="1"/>
  <c r="D1056" i="1"/>
  <c r="F1056" i="1" s="1"/>
  <c r="E1055" i="1"/>
  <c r="F1055" i="1" s="1"/>
  <c r="D1055" i="1"/>
  <c r="D1054" i="1"/>
  <c r="E1054" i="1"/>
  <c r="D1052" i="1"/>
  <c r="C1052" i="1"/>
  <c r="F1052" i="1" s="1"/>
  <c r="D1051" i="1"/>
  <c r="F1051" i="1" s="1"/>
  <c r="E1051" i="1"/>
  <c r="E1049" i="1"/>
  <c r="L1024" i="1"/>
  <c r="L1044" i="1"/>
  <c r="F1033" i="1"/>
  <c r="F1034" i="1"/>
  <c r="F1035" i="1"/>
  <c r="F1044" i="1"/>
  <c r="F1045" i="1"/>
  <c r="F1046" i="1"/>
  <c r="F1047" i="1"/>
  <c r="F1048" i="1"/>
  <c r="F1049" i="1"/>
  <c r="F1050" i="1"/>
  <c r="F1053" i="1"/>
  <c r="F1054" i="1"/>
  <c r="F1057" i="1"/>
  <c r="F1058" i="1"/>
  <c r="F1060" i="1"/>
  <c r="F1061" i="1"/>
  <c r="F1062" i="1"/>
  <c r="F1063" i="1"/>
  <c r="F1064" i="1"/>
  <c r="F1065" i="1"/>
  <c r="L1067" i="1"/>
  <c r="F1067" i="1"/>
  <c r="L1066" i="1"/>
  <c r="F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2" i="1"/>
  <c r="F1042" i="1"/>
  <c r="L1041" i="1"/>
  <c r="F1041" i="1"/>
  <c r="L1040" i="1"/>
  <c r="F1040" i="1"/>
  <c r="L1039" i="1"/>
  <c r="F1039" i="1"/>
  <c r="L1038" i="1"/>
  <c r="F1038" i="1"/>
  <c r="L1037" i="1"/>
  <c r="F1037" i="1"/>
  <c r="L1036" i="1"/>
  <c r="F1036" i="1"/>
  <c r="L1035" i="1"/>
  <c r="L1034" i="1"/>
  <c r="L1033" i="1"/>
  <c r="L1002" i="1"/>
  <c r="C1020" i="1"/>
  <c r="F1020" i="1" s="1"/>
  <c r="E1019" i="1"/>
  <c r="E1025" i="1" s="1"/>
  <c r="D1019" i="1"/>
  <c r="F1019" i="1" s="1"/>
  <c r="C1018" i="1"/>
  <c r="D1014" i="1"/>
  <c r="F1014" i="1" s="1"/>
  <c r="C1006" i="1"/>
  <c r="F1006" i="1" s="1"/>
  <c r="L1001" i="1"/>
  <c r="D1003" i="1"/>
  <c r="F1003" i="1" s="1"/>
  <c r="L1023" i="1"/>
  <c r="F990" i="1"/>
  <c r="F991" i="1"/>
  <c r="F992" i="1"/>
  <c r="F993" i="1"/>
  <c r="F994" i="1"/>
  <c r="L990" i="1"/>
  <c r="L991" i="1"/>
  <c r="L1003" i="1"/>
  <c r="L1004" i="1"/>
  <c r="L1005" i="1"/>
  <c r="L1006" i="1"/>
  <c r="L1007" i="1"/>
  <c r="F1001" i="1"/>
  <c r="F1002" i="1"/>
  <c r="F1004" i="1"/>
  <c r="F1005" i="1"/>
  <c r="F1007" i="1"/>
  <c r="F1008" i="1"/>
  <c r="F1009" i="1"/>
  <c r="F1010" i="1"/>
  <c r="F1011" i="1"/>
  <c r="F1012" i="1"/>
  <c r="F1013" i="1"/>
  <c r="F1015" i="1"/>
  <c r="F1016" i="1"/>
  <c r="F1017" i="1"/>
  <c r="F1018" i="1"/>
  <c r="F1021" i="1"/>
  <c r="F1024" i="1"/>
  <c r="F1023" i="1"/>
  <c r="L1022" i="1"/>
  <c r="F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999" i="1"/>
  <c r="F999" i="1"/>
  <c r="L998" i="1"/>
  <c r="F998" i="1"/>
  <c r="L997" i="1"/>
  <c r="F997" i="1"/>
  <c r="L996" i="1"/>
  <c r="F996" i="1"/>
  <c r="L995" i="1"/>
  <c r="F995" i="1"/>
  <c r="L994" i="1"/>
  <c r="L993" i="1"/>
  <c r="L992" i="1"/>
  <c r="L962" i="1"/>
  <c r="C979" i="1"/>
  <c r="F979" i="1" s="1"/>
  <c r="D978" i="1"/>
  <c r="D982" i="1" s="1"/>
  <c r="L961" i="1"/>
  <c r="F949" i="1"/>
  <c r="C963" i="1"/>
  <c r="L947" i="1"/>
  <c r="L935" i="1"/>
  <c r="L936" i="1"/>
  <c r="L937" i="1"/>
  <c r="L938" i="1"/>
  <c r="L958" i="1"/>
  <c r="L959" i="1"/>
  <c r="L960" i="1"/>
  <c r="L963" i="1"/>
  <c r="L964" i="1"/>
  <c r="L965" i="1"/>
  <c r="L966" i="1"/>
  <c r="L948" i="1"/>
  <c r="L949" i="1"/>
  <c r="L950" i="1"/>
  <c r="F947" i="1"/>
  <c r="F948" i="1"/>
  <c r="F950" i="1"/>
  <c r="F951" i="1"/>
  <c r="F952" i="1"/>
  <c r="F953" i="1"/>
  <c r="F954" i="1"/>
  <c r="K982" i="1"/>
  <c r="J982" i="1"/>
  <c r="I982" i="1"/>
  <c r="L981" i="1"/>
  <c r="F981" i="1"/>
  <c r="L980" i="1"/>
  <c r="F980" i="1"/>
  <c r="L979" i="1"/>
  <c r="L978" i="1"/>
  <c r="F978" i="1"/>
  <c r="L977" i="1"/>
  <c r="F977" i="1"/>
  <c r="L976" i="1"/>
  <c r="F976" i="1"/>
  <c r="L975" i="1"/>
  <c r="F975" i="1"/>
  <c r="L974" i="1"/>
  <c r="F974" i="1"/>
  <c r="L973" i="1"/>
  <c r="F973" i="1"/>
  <c r="L972" i="1"/>
  <c r="C982" i="1"/>
  <c r="L971" i="1"/>
  <c r="F971" i="1"/>
  <c r="L970" i="1"/>
  <c r="F970" i="1"/>
  <c r="L969" i="1"/>
  <c r="F969" i="1"/>
  <c r="L968" i="1"/>
  <c r="F968" i="1"/>
  <c r="L967" i="1"/>
  <c r="F967" i="1"/>
  <c r="F966" i="1"/>
  <c r="E982" i="1"/>
  <c r="F965" i="1"/>
  <c r="F964" i="1"/>
  <c r="F963" i="1"/>
  <c r="F962" i="1"/>
  <c r="F961" i="1"/>
  <c r="F960" i="1"/>
  <c r="F959" i="1"/>
  <c r="F958" i="1"/>
  <c r="L956" i="1"/>
  <c r="F956" i="1"/>
  <c r="L955" i="1"/>
  <c r="F955" i="1"/>
  <c r="L954" i="1"/>
  <c r="L953" i="1"/>
  <c r="L952" i="1"/>
  <c r="L951" i="1"/>
  <c r="L920" i="1"/>
  <c r="D933" i="1"/>
  <c r="F933" i="1" s="1"/>
  <c r="D932" i="1"/>
  <c r="L919" i="1"/>
  <c r="E930" i="1"/>
  <c r="D930" i="1"/>
  <c r="C930" i="1"/>
  <c r="C939" i="1" s="1"/>
  <c r="L918" i="1"/>
  <c r="E929" i="1"/>
  <c r="D929" i="1"/>
  <c r="C929" i="1"/>
  <c r="L917" i="1"/>
  <c r="E927" i="1"/>
  <c r="F927" i="1" s="1"/>
  <c r="L916" i="1"/>
  <c r="E926" i="1"/>
  <c r="E925" i="1"/>
  <c r="D925" i="1"/>
  <c r="L915" i="1"/>
  <c r="E923" i="1"/>
  <c r="F923" i="1" s="1"/>
  <c r="L876" i="1"/>
  <c r="F904" i="1"/>
  <c r="F905" i="1"/>
  <c r="F906" i="1"/>
  <c r="F907" i="1"/>
  <c r="F908" i="1"/>
  <c r="F909" i="1"/>
  <c r="F931" i="1"/>
  <c r="F932" i="1"/>
  <c r="F934" i="1"/>
  <c r="F935" i="1"/>
  <c r="F936" i="1"/>
  <c r="F937" i="1"/>
  <c r="F938" i="1"/>
  <c r="F928" i="1"/>
  <c r="F926" i="1"/>
  <c r="F925" i="1"/>
  <c r="F924" i="1"/>
  <c r="F922" i="1"/>
  <c r="F921" i="1"/>
  <c r="F920" i="1"/>
  <c r="F919" i="1"/>
  <c r="F918" i="1"/>
  <c r="F917" i="1"/>
  <c r="F916" i="1"/>
  <c r="F915" i="1"/>
  <c r="L889" i="1"/>
  <c r="L890" i="1"/>
  <c r="L891" i="1"/>
  <c r="L892" i="1"/>
  <c r="L893" i="1"/>
  <c r="L894" i="1"/>
  <c r="L895" i="1"/>
  <c r="K939" i="1"/>
  <c r="J939" i="1"/>
  <c r="I939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13" i="1"/>
  <c r="F913" i="1"/>
  <c r="L912" i="1"/>
  <c r="F912" i="1"/>
  <c r="L911" i="1"/>
  <c r="F911" i="1"/>
  <c r="L910" i="1"/>
  <c r="F910" i="1"/>
  <c r="L909" i="1"/>
  <c r="L908" i="1"/>
  <c r="L907" i="1"/>
  <c r="L906" i="1"/>
  <c r="L905" i="1"/>
  <c r="L904" i="1"/>
  <c r="E893" i="1"/>
  <c r="F893" i="1" s="1"/>
  <c r="L875" i="1"/>
  <c r="F870" i="1"/>
  <c r="F827" i="1"/>
  <c r="L874" i="1"/>
  <c r="E880" i="1"/>
  <c r="F880" i="1" s="1"/>
  <c r="L873" i="1"/>
  <c r="E873" i="1"/>
  <c r="D873" i="1"/>
  <c r="C873" i="1"/>
  <c r="L872" i="1"/>
  <c r="F861" i="1"/>
  <c r="F862" i="1"/>
  <c r="F863" i="1"/>
  <c r="F864" i="1"/>
  <c r="F865" i="1"/>
  <c r="F866" i="1"/>
  <c r="F872" i="1"/>
  <c r="F874" i="1"/>
  <c r="F875" i="1"/>
  <c r="F876" i="1"/>
  <c r="F877" i="1"/>
  <c r="L877" i="1"/>
  <c r="F878" i="1"/>
  <c r="L878" i="1"/>
  <c r="F879" i="1"/>
  <c r="L879" i="1"/>
  <c r="L880" i="1"/>
  <c r="F881" i="1"/>
  <c r="L881" i="1"/>
  <c r="F882" i="1"/>
  <c r="L882" i="1"/>
  <c r="F883" i="1"/>
  <c r="L883" i="1"/>
  <c r="F884" i="1"/>
  <c r="L884" i="1"/>
  <c r="F885" i="1"/>
  <c r="L885" i="1"/>
  <c r="F886" i="1"/>
  <c r="L886" i="1"/>
  <c r="F887" i="1"/>
  <c r="L887" i="1"/>
  <c r="F888" i="1"/>
  <c r="L888" i="1"/>
  <c r="F889" i="1"/>
  <c r="F890" i="1"/>
  <c r="F891" i="1"/>
  <c r="K896" i="1"/>
  <c r="J896" i="1"/>
  <c r="I896" i="1"/>
  <c r="F895" i="1"/>
  <c r="F894" i="1"/>
  <c r="F892" i="1"/>
  <c r="D896" i="1"/>
  <c r="L870" i="1"/>
  <c r="L869" i="1"/>
  <c r="F869" i="1"/>
  <c r="L868" i="1"/>
  <c r="F868" i="1"/>
  <c r="L867" i="1"/>
  <c r="F867" i="1"/>
  <c r="L866" i="1"/>
  <c r="L865" i="1"/>
  <c r="L864" i="1"/>
  <c r="L863" i="1"/>
  <c r="L862" i="1"/>
  <c r="L861" i="1"/>
  <c r="C849" i="1"/>
  <c r="F849" i="1" s="1"/>
  <c r="L832" i="1"/>
  <c r="D846" i="1"/>
  <c r="D843" i="1"/>
  <c r="C843" i="1"/>
  <c r="L831" i="1"/>
  <c r="L830" i="1"/>
  <c r="L829" i="1"/>
  <c r="F818" i="1"/>
  <c r="F819" i="1"/>
  <c r="F820" i="1"/>
  <c r="F821" i="1"/>
  <c r="F822" i="1"/>
  <c r="F823" i="1"/>
  <c r="F824" i="1"/>
  <c r="F829" i="1"/>
  <c r="F830" i="1"/>
  <c r="F831" i="1"/>
  <c r="F832" i="1"/>
  <c r="F833" i="1"/>
  <c r="L833" i="1"/>
  <c r="F834" i="1"/>
  <c r="L834" i="1"/>
  <c r="F835" i="1"/>
  <c r="L835" i="1"/>
  <c r="F836" i="1"/>
  <c r="L836" i="1"/>
  <c r="F837" i="1"/>
  <c r="L837" i="1"/>
  <c r="F838" i="1"/>
  <c r="L838" i="1"/>
  <c r="F839" i="1"/>
  <c r="L839" i="1"/>
  <c r="F840" i="1"/>
  <c r="L840" i="1"/>
  <c r="F841" i="1"/>
  <c r="L841" i="1"/>
  <c r="F842" i="1"/>
  <c r="L842" i="1"/>
  <c r="F843" i="1"/>
  <c r="L843" i="1"/>
  <c r="F844" i="1"/>
  <c r="L844" i="1"/>
  <c r="F845" i="1"/>
  <c r="L845" i="1"/>
  <c r="F846" i="1"/>
  <c r="L846" i="1"/>
  <c r="F847" i="1"/>
  <c r="L847" i="1"/>
  <c r="F848" i="1"/>
  <c r="L848" i="1"/>
  <c r="L849" i="1"/>
  <c r="F850" i="1"/>
  <c r="L850" i="1"/>
  <c r="K853" i="1"/>
  <c r="J853" i="1"/>
  <c r="I853" i="1"/>
  <c r="L852" i="1"/>
  <c r="F852" i="1"/>
  <c r="L851" i="1"/>
  <c r="F851" i="1"/>
  <c r="E853" i="1"/>
  <c r="L827" i="1"/>
  <c r="L826" i="1"/>
  <c r="F826" i="1"/>
  <c r="L825" i="1"/>
  <c r="F825" i="1"/>
  <c r="L824" i="1"/>
  <c r="L823" i="1"/>
  <c r="L822" i="1"/>
  <c r="L821" i="1"/>
  <c r="L820" i="1"/>
  <c r="L819" i="1"/>
  <c r="L818" i="1"/>
  <c r="L791" i="1"/>
  <c r="L790" i="1"/>
  <c r="L789" i="1"/>
  <c r="D796" i="1"/>
  <c r="C796" i="1"/>
  <c r="F796" i="1" s="1"/>
  <c r="E795" i="1"/>
  <c r="C795" i="1"/>
  <c r="L788" i="1"/>
  <c r="L787" i="1"/>
  <c r="L786" i="1"/>
  <c r="F775" i="1"/>
  <c r="F776" i="1"/>
  <c r="F777" i="1"/>
  <c r="F778" i="1"/>
  <c r="F779" i="1"/>
  <c r="F786" i="1"/>
  <c r="F787" i="1"/>
  <c r="F788" i="1"/>
  <c r="F789" i="1"/>
  <c r="F790" i="1"/>
  <c r="F791" i="1"/>
  <c r="F792" i="1"/>
  <c r="F793" i="1"/>
  <c r="F794" i="1"/>
  <c r="F797" i="1"/>
  <c r="F798" i="1"/>
  <c r="F799" i="1"/>
  <c r="F800" i="1"/>
  <c r="F801" i="1"/>
  <c r="F802" i="1"/>
  <c r="F803" i="1"/>
  <c r="F804" i="1"/>
  <c r="F805" i="1"/>
  <c r="K810" i="1"/>
  <c r="J810" i="1"/>
  <c r="I810" i="1"/>
  <c r="L809" i="1"/>
  <c r="F809" i="1"/>
  <c r="L808" i="1"/>
  <c r="F808" i="1"/>
  <c r="L807" i="1"/>
  <c r="F807" i="1"/>
  <c r="L806" i="1"/>
  <c r="F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84" i="1"/>
  <c r="F784" i="1"/>
  <c r="L783" i="1"/>
  <c r="F783" i="1"/>
  <c r="L782" i="1"/>
  <c r="F782" i="1"/>
  <c r="L781" i="1"/>
  <c r="F781" i="1"/>
  <c r="L780" i="1"/>
  <c r="F780" i="1"/>
  <c r="L779" i="1"/>
  <c r="L778" i="1"/>
  <c r="L777" i="1"/>
  <c r="L776" i="1"/>
  <c r="L775" i="1"/>
  <c r="L745" i="1"/>
  <c r="D762" i="1"/>
  <c r="L744" i="1"/>
  <c r="E755" i="1"/>
  <c r="D752" i="1"/>
  <c r="L743" i="1"/>
  <c r="E748" i="1"/>
  <c r="E745" i="1"/>
  <c r="L722" i="1"/>
  <c r="L723" i="1"/>
  <c r="L766" i="1"/>
  <c r="L765" i="1"/>
  <c r="L1283" i="1" l="1"/>
  <c r="D1327" i="1"/>
  <c r="L1284" i="1"/>
  <c r="L1290" i="1" s="1"/>
  <c r="L1301" i="1" s="1"/>
  <c r="L1327" i="1" s="1"/>
  <c r="F1326" i="1"/>
  <c r="F1301" i="1"/>
  <c r="C1301" i="1"/>
  <c r="C1327" i="1" s="1"/>
  <c r="F1327" i="1" s="1"/>
  <c r="J1284" i="1"/>
  <c r="J1290" i="1" s="1"/>
  <c r="J1301" i="1" s="1"/>
  <c r="J1327" i="1" s="1"/>
  <c r="F1283" i="1"/>
  <c r="I1284" i="1"/>
  <c r="I1290" i="1" s="1"/>
  <c r="I1301" i="1" s="1"/>
  <c r="I1327" i="1" s="1"/>
  <c r="K1284" i="1"/>
  <c r="E1284" i="1"/>
  <c r="L1240" i="1"/>
  <c r="E1241" i="1"/>
  <c r="F1240" i="1"/>
  <c r="J1026" i="1"/>
  <c r="J1032" i="1" s="1"/>
  <c r="L1026" i="1"/>
  <c r="L1032" i="1" s="1"/>
  <c r="D1197" i="1"/>
  <c r="D1198" i="1" s="1"/>
  <c r="D1204" i="1" s="1"/>
  <c r="D1215" i="1" s="1"/>
  <c r="D1241" i="1" s="1"/>
  <c r="D1247" i="1" s="1"/>
  <c r="D1258" i="1" s="1"/>
  <c r="D1284" i="1" s="1"/>
  <c r="C1197" i="1"/>
  <c r="E1068" i="1"/>
  <c r="D1111" i="1"/>
  <c r="C853" i="1"/>
  <c r="D853" i="1"/>
  <c r="F873" i="1"/>
  <c r="E939" i="1"/>
  <c r="C1154" i="1"/>
  <c r="F1154" i="1" s="1"/>
  <c r="F1109" i="1"/>
  <c r="F1107" i="1"/>
  <c r="C1111" i="1"/>
  <c r="F1111" i="1" s="1"/>
  <c r="D1068" i="1"/>
  <c r="C1068" i="1"/>
  <c r="C1025" i="1"/>
  <c r="D1025" i="1"/>
  <c r="L982" i="1"/>
  <c r="F982" i="1"/>
  <c r="F972" i="1"/>
  <c r="D939" i="1"/>
  <c r="F939" i="1" s="1"/>
  <c r="F930" i="1"/>
  <c r="F929" i="1"/>
  <c r="L939" i="1"/>
  <c r="E896" i="1"/>
  <c r="L896" i="1"/>
  <c r="C896" i="1"/>
  <c r="L853" i="1"/>
  <c r="F853" i="1"/>
  <c r="F795" i="1"/>
  <c r="C810" i="1"/>
  <c r="L810" i="1"/>
  <c r="D810" i="1"/>
  <c r="E810" i="1"/>
  <c r="L704" i="1"/>
  <c r="L746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32" i="1"/>
  <c r="F733" i="1"/>
  <c r="F734" i="1"/>
  <c r="F735" i="1"/>
  <c r="F736" i="1"/>
  <c r="K767" i="1"/>
  <c r="J767" i="1"/>
  <c r="I767" i="1"/>
  <c r="E767" i="1"/>
  <c r="D767" i="1"/>
  <c r="C767" i="1"/>
  <c r="F766" i="1"/>
  <c r="F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1" i="1"/>
  <c r="F741" i="1"/>
  <c r="L740" i="1"/>
  <c r="F740" i="1"/>
  <c r="L739" i="1"/>
  <c r="F739" i="1"/>
  <c r="L738" i="1"/>
  <c r="F738" i="1"/>
  <c r="L737" i="1"/>
  <c r="F737" i="1"/>
  <c r="L736" i="1"/>
  <c r="L735" i="1"/>
  <c r="L734" i="1"/>
  <c r="L733" i="1"/>
  <c r="L732" i="1"/>
  <c r="F1197" i="1" l="1"/>
  <c r="F1068" i="1"/>
  <c r="F1025" i="1"/>
  <c r="F896" i="1"/>
  <c r="F810" i="1"/>
  <c r="F767" i="1"/>
  <c r="L767" i="1"/>
  <c r="D718" i="1"/>
  <c r="L703" i="1"/>
  <c r="L702" i="1"/>
  <c r="E712" i="1"/>
  <c r="L701" i="1"/>
  <c r="L700" i="1"/>
  <c r="L706" i="1" l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689" i="1"/>
  <c r="F690" i="1"/>
  <c r="F691" i="1"/>
  <c r="F692" i="1"/>
  <c r="F693" i="1"/>
  <c r="K724" i="1"/>
  <c r="J724" i="1"/>
  <c r="I724" i="1"/>
  <c r="E724" i="1"/>
  <c r="D724" i="1"/>
  <c r="F723" i="1"/>
  <c r="F722" i="1"/>
  <c r="C724" i="1"/>
  <c r="L705" i="1"/>
  <c r="L698" i="1"/>
  <c r="F698" i="1"/>
  <c r="L697" i="1"/>
  <c r="F697" i="1"/>
  <c r="L696" i="1"/>
  <c r="F696" i="1"/>
  <c r="L695" i="1"/>
  <c r="F695" i="1"/>
  <c r="L694" i="1"/>
  <c r="F694" i="1"/>
  <c r="L693" i="1"/>
  <c r="L692" i="1"/>
  <c r="L691" i="1"/>
  <c r="L690" i="1"/>
  <c r="L689" i="1"/>
  <c r="E677" i="1"/>
  <c r="C677" i="1"/>
  <c r="L658" i="1"/>
  <c r="E675" i="1"/>
  <c r="F675" i="1" s="1"/>
  <c r="L657" i="1"/>
  <c r="C667" i="1"/>
  <c r="F667" i="1" s="1"/>
  <c r="C665" i="1"/>
  <c r="F665" i="1" s="1"/>
  <c r="L619" i="1"/>
  <c r="F679" i="1"/>
  <c r="L679" i="1"/>
  <c r="F680" i="1"/>
  <c r="L680" i="1"/>
  <c r="F657" i="1"/>
  <c r="F658" i="1"/>
  <c r="F659" i="1"/>
  <c r="L659" i="1"/>
  <c r="F660" i="1"/>
  <c r="L660" i="1"/>
  <c r="F661" i="1"/>
  <c r="L661" i="1"/>
  <c r="F662" i="1"/>
  <c r="L662" i="1"/>
  <c r="F663" i="1"/>
  <c r="L663" i="1"/>
  <c r="F664" i="1"/>
  <c r="L664" i="1"/>
  <c r="L665" i="1"/>
  <c r="F666" i="1"/>
  <c r="L666" i="1"/>
  <c r="L667" i="1"/>
  <c r="F668" i="1"/>
  <c r="L668" i="1"/>
  <c r="F669" i="1"/>
  <c r="L669" i="1"/>
  <c r="F670" i="1"/>
  <c r="L670" i="1"/>
  <c r="F671" i="1"/>
  <c r="L671" i="1"/>
  <c r="F672" i="1"/>
  <c r="L672" i="1"/>
  <c r="F673" i="1"/>
  <c r="L673" i="1"/>
  <c r="F674" i="1"/>
  <c r="L674" i="1"/>
  <c r="L675" i="1"/>
  <c r="F676" i="1"/>
  <c r="L676" i="1"/>
  <c r="L677" i="1"/>
  <c r="F646" i="1"/>
  <c r="L646" i="1"/>
  <c r="F647" i="1"/>
  <c r="L647" i="1"/>
  <c r="F648" i="1"/>
  <c r="L648" i="1"/>
  <c r="F649" i="1"/>
  <c r="L649" i="1"/>
  <c r="F650" i="1"/>
  <c r="L650" i="1"/>
  <c r="F651" i="1"/>
  <c r="L651" i="1"/>
  <c r="F652" i="1"/>
  <c r="L652" i="1"/>
  <c r="F653" i="1"/>
  <c r="L653" i="1"/>
  <c r="K681" i="1"/>
  <c r="J681" i="1"/>
  <c r="I681" i="1"/>
  <c r="D681" i="1"/>
  <c r="L678" i="1"/>
  <c r="F678" i="1"/>
  <c r="L655" i="1"/>
  <c r="F655" i="1"/>
  <c r="L654" i="1"/>
  <c r="F654" i="1"/>
  <c r="F628" i="1"/>
  <c r="F629" i="1"/>
  <c r="F630" i="1"/>
  <c r="F631" i="1"/>
  <c r="L617" i="1"/>
  <c r="L616" i="1"/>
  <c r="L615" i="1"/>
  <c r="C620" i="1"/>
  <c r="F620" i="1" s="1"/>
  <c r="L614" i="1"/>
  <c r="L574" i="1"/>
  <c r="F603" i="1"/>
  <c r="L603" i="1"/>
  <c r="F604" i="1"/>
  <c r="L604" i="1"/>
  <c r="F605" i="1"/>
  <c r="L605" i="1"/>
  <c r="F606" i="1"/>
  <c r="L606" i="1"/>
  <c r="F614" i="1"/>
  <c r="F615" i="1"/>
  <c r="F616" i="1"/>
  <c r="F617" i="1"/>
  <c r="F618" i="1"/>
  <c r="L618" i="1"/>
  <c r="F619" i="1"/>
  <c r="L620" i="1"/>
  <c r="F621" i="1"/>
  <c r="L621" i="1"/>
  <c r="F622" i="1"/>
  <c r="L622" i="1"/>
  <c r="F623" i="1"/>
  <c r="L623" i="1"/>
  <c r="F624" i="1"/>
  <c r="L624" i="1"/>
  <c r="F625" i="1"/>
  <c r="L625" i="1"/>
  <c r="F626" i="1"/>
  <c r="L626" i="1"/>
  <c r="F627" i="1"/>
  <c r="L627" i="1"/>
  <c r="L628" i="1"/>
  <c r="L629" i="1"/>
  <c r="L630" i="1"/>
  <c r="L631" i="1"/>
  <c r="F632" i="1"/>
  <c r="L632" i="1"/>
  <c r="F633" i="1"/>
  <c r="L633" i="1"/>
  <c r="F634" i="1"/>
  <c r="L634" i="1"/>
  <c r="F635" i="1"/>
  <c r="L635" i="1"/>
  <c r="K638" i="1"/>
  <c r="J638" i="1"/>
  <c r="I638" i="1"/>
  <c r="D638" i="1"/>
  <c r="L637" i="1"/>
  <c r="F637" i="1"/>
  <c r="L636" i="1"/>
  <c r="F636" i="1"/>
  <c r="E638" i="1"/>
  <c r="L612" i="1"/>
  <c r="F612" i="1"/>
  <c r="L611" i="1"/>
  <c r="F611" i="1"/>
  <c r="L610" i="1"/>
  <c r="F610" i="1"/>
  <c r="L609" i="1"/>
  <c r="F609" i="1"/>
  <c r="L608" i="1"/>
  <c r="F608" i="1"/>
  <c r="L607" i="1"/>
  <c r="F607" i="1"/>
  <c r="L573" i="1"/>
  <c r="L572" i="1"/>
  <c r="E581" i="1"/>
  <c r="E595" i="1" s="1"/>
  <c r="L571" i="1"/>
  <c r="C576" i="1"/>
  <c r="C595" i="1" s="1"/>
  <c r="F571" i="1"/>
  <c r="F572" i="1"/>
  <c r="F573" i="1"/>
  <c r="F574" i="1"/>
  <c r="F575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60" i="1"/>
  <c r="F561" i="1"/>
  <c r="F562" i="1"/>
  <c r="K595" i="1"/>
  <c r="J595" i="1"/>
  <c r="I595" i="1"/>
  <c r="D595" i="1"/>
  <c r="L594" i="1"/>
  <c r="F594" i="1"/>
  <c r="L593" i="1"/>
  <c r="F593" i="1"/>
  <c r="L592" i="1"/>
  <c r="F592" i="1"/>
  <c r="L591" i="1"/>
  <c r="F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69" i="1"/>
  <c r="F569" i="1"/>
  <c r="L568" i="1"/>
  <c r="F568" i="1"/>
  <c r="L567" i="1"/>
  <c r="F567" i="1"/>
  <c r="L566" i="1"/>
  <c r="F566" i="1"/>
  <c r="L565" i="1"/>
  <c r="F565" i="1"/>
  <c r="L564" i="1"/>
  <c r="F564" i="1"/>
  <c r="L563" i="1"/>
  <c r="F563" i="1"/>
  <c r="L562" i="1"/>
  <c r="L561" i="1"/>
  <c r="L560" i="1"/>
  <c r="F677" i="1" l="1"/>
  <c r="L724" i="1"/>
  <c r="F724" i="1"/>
  <c r="E681" i="1"/>
  <c r="C681" i="1"/>
  <c r="L681" i="1"/>
  <c r="C638" i="1"/>
  <c r="F638" i="1" s="1"/>
  <c r="L638" i="1"/>
  <c r="F576" i="1"/>
  <c r="L595" i="1"/>
  <c r="F595" i="1"/>
  <c r="L530" i="1"/>
  <c r="F537" i="1"/>
  <c r="F538" i="1"/>
  <c r="F539" i="1"/>
  <c r="F540" i="1"/>
  <c r="L529" i="1"/>
  <c r="E533" i="1"/>
  <c r="E552" i="1" s="1"/>
  <c r="D533" i="1"/>
  <c r="D552" i="1" s="1"/>
  <c r="L528" i="1"/>
  <c r="L531" i="1"/>
  <c r="L532" i="1"/>
  <c r="L533" i="1"/>
  <c r="L534" i="1"/>
  <c r="L535" i="1"/>
  <c r="L536" i="1"/>
  <c r="F528" i="1"/>
  <c r="F529" i="1"/>
  <c r="F530" i="1"/>
  <c r="F531" i="1"/>
  <c r="F532" i="1"/>
  <c r="F534" i="1"/>
  <c r="F535" i="1"/>
  <c r="F536" i="1"/>
  <c r="F541" i="1"/>
  <c r="F542" i="1"/>
  <c r="F543" i="1"/>
  <c r="F544" i="1"/>
  <c r="F517" i="1"/>
  <c r="F518" i="1"/>
  <c r="F519" i="1"/>
  <c r="F520" i="1"/>
  <c r="F521" i="1"/>
  <c r="F522" i="1"/>
  <c r="F523" i="1"/>
  <c r="K552" i="1"/>
  <c r="J552" i="1"/>
  <c r="I552" i="1"/>
  <c r="L551" i="1"/>
  <c r="F551" i="1"/>
  <c r="L550" i="1"/>
  <c r="F550" i="1"/>
  <c r="L549" i="1"/>
  <c r="F549" i="1"/>
  <c r="L548" i="1"/>
  <c r="F548" i="1"/>
  <c r="L547" i="1"/>
  <c r="F547" i="1"/>
  <c r="L546" i="1"/>
  <c r="F546" i="1"/>
  <c r="L545" i="1"/>
  <c r="F545" i="1"/>
  <c r="L544" i="1"/>
  <c r="L543" i="1"/>
  <c r="L542" i="1"/>
  <c r="L541" i="1"/>
  <c r="L540" i="1"/>
  <c r="L539" i="1"/>
  <c r="L538" i="1"/>
  <c r="L537" i="1"/>
  <c r="L526" i="1"/>
  <c r="F526" i="1"/>
  <c r="L525" i="1"/>
  <c r="F525" i="1"/>
  <c r="L524" i="1"/>
  <c r="F524" i="1"/>
  <c r="L523" i="1"/>
  <c r="L522" i="1"/>
  <c r="L521" i="1"/>
  <c r="L520" i="1"/>
  <c r="L519" i="1"/>
  <c r="L518" i="1"/>
  <c r="L517" i="1"/>
  <c r="L489" i="1"/>
  <c r="C501" i="1"/>
  <c r="D501" i="1"/>
  <c r="D498" i="1"/>
  <c r="C498" i="1"/>
  <c r="E498" i="1"/>
  <c r="C494" i="1"/>
  <c r="L485" i="1"/>
  <c r="F485" i="1"/>
  <c r="F486" i="1"/>
  <c r="F487" i="1"/>
  <c r="F488" i="1"/>
  <c r="F489" i="1"/>
  <c r="F490" i="1"/>
  <c r="F491" i="1"/>
  <c r="F492" i="1"/>
  <c r="F493" i="1"/>
  <c r="F495" i="1"/>
  <c r="F496" i="1"/>
  <c r="F497" i="1"/>
  <c r="F499" i="1"/>
  <c r="F500" i="1"/>
  <c r="F502" i="1"/>
  <c r="F503" i="1"/>
  <c r="F504" i="1"/>
  <c r="F505" i="1"/>
  <c r="F506" i="1"/>
  <c r="F507" i="1"/>
  <c r="K509" i="1"/>
  <c r="J509" i="1"/>
  <c r="I509" i="1"/>
  <c r="L508" i="1"/>
  <c r="F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8" i="1"/>
  <c r="L487" i="1"/>
  <c r="L486" i="1"/>
  <c r="L483" i="1"/>
  <c r="F483" i="1"/>
  <c r="L482" i="1"/>
  <c r="F482" i="1"/>
  <c r="L481" i="1"/>
  <c r="F481" i="1"/>
  <c r="L480" i="1"/>
  <c r="F480" i="1"/>
  <c r="L479" i="1"/>
  <c r="F479" i="1"/>
  <c r="L478" i="1"/>
  <c r="F478" i="1"/>
  <c r="L477" i="1"/>
  <c r="F477" i="1"/>
  <c r="L476" i="1"/>
  <c r="F476" i="1"/>
  <c r="L475" i="1"/>
  <c r="F475" i="1"/>
  <c r="L474" i="1"/>
  <c r="F474" i="1"/>
  <c r="F681" i="1" l="1"/>
  <c r="F498" i="1"/>
  <c r="C509" i="1"/>
  <c r="D509" i="1"/>
  <c r="F501" i="1"/>
  <c r="F533" i="1"/>
  <c r="L552" i="1"/>
  <c r="C552" i="1"/>
  <c r="F552" i="1" s="1"/>
  <c r="F494" i="1"/>
  <c r="L509" i="1"/>
  <c r="E509" i="1"/>
  <c r="D459" i="1"/>
  <c r="D453" i="1"/>
  <c r="L443" i="1"/>
  <c r="E449" i="1"/>
  <c r="C449" i="1"/>
  <c r="C448" i="1"/>
  <c r="D448" i="1"/>
  <c r="E445" i="1"/>
  <c r="D445" i="1"/>
  <c r="F509" i="1" l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42" i="1"/>
  <c r="K466" i="1"/>
  <c r="J466" i="1"/>
  <c r="I466" i="1"/>
  <c r="D466" i="1"/>
  <c r="L465" i="1"/>
  <c r="F465" i="1"/>
  <c r="L464" i="1"/>
  <c r="F464" i="1"/>
  <c r="L463" i="1"/>
  <c r="F463" i="1"/>
  <c r="L462" i="1"/>
  <c r="F462" i="1"/>
  <c r="L461" i="1"/>
  <c r="F461" i="1"/>
  <c r="L460" i="1"/>
  <c r="F460" i="1"/>
  <c r="L459" i="1"/>
  <c r="F459" i="1"/>
  <c r="L458" i="1"/>
  <c r="F458" i="1"/>
  <c r="L457" i="1"/>
  <c r="F457" i="1"/>
  <c r="F456" i="1"/>
  <c r="E466" i="1"/>
  <c r="F454" i="1"/>
  <c r="F453" i="1"/>
  <c r="F452" i="1"/>
  <c r="F451" i="1"/>
  <c r="F450" i="1"/>
  <c r="F449" i="1"/>
  <c r="F448" i="1"/>
  <c r="F447" i="1"/>
  <c r="F446" i="1"/>
  <c r="F445" i="1"/>
  <c r="L444" i="1"/>
  <c r="F444" i="1"/>
  <c r="F443" i="1"/>
  <c r="F442" i="1"/>
  <c r="L440" i="1"/>
  <c r="F440" i="1"/>
  <c r="L439" i="1"/>
  <c r="F439" i="1"/>
  <c r="L438" i="1"/>
  <c r="F438" i="1"/>
  <c r="L437" i="1"/>
  <c r="F437" i="1"/>
  <c r="L436" i="1"/>
  <c r="F436" i="1"/>
  <c r="L435" i="1"/>
  <c r="F435" i="1"/>
  <c r="L434" i="1"/>
  <c r="F434" i="1"/>
  <c r="L433" i="1"/>
  <c r="F433" i="1"/>
  <c r="L432" i="1"/>
  <c r="F432" i="1"/>
  <c r="L431" i="1"/>
  <c r="F431" i="1"/>
  <c r="F417" i="1"/>
  <c r="C466" i="1" l="1"/>
  <c r="F455" i="1"/>
  <c r="L466" i="1"/>
  <c r="C415" i="1"/>
  <c r="F415" i="1" s="1"/>
  <c r="E412" i="1"/>
  <c r="F412" i="1" s="1"/>
  <c r="D411" i="1"/>
  <c r="D423" i="1" s="1"/>
  <c r="C410" i="1"/>
  <c r="F410" i="1" s="1"/>
  <c r="C408" i="1"/>
  <c r="F408" i="1" s="1"/>
  <c r="C406" i="1"/>
  <c r="F406" i="1" s="1"/>
  <c r="C403" i="1"/>
  <c r="F388" i="1"/>
  <c r="L388" i="1"/>
  <c r="F389" i="1"/>
  <c r="L389" i="1"/>
  <c r="F390" i="1"/>
  <c r="L390" i="1"/>
  <c r="F391" i="1"/>
  <c r="L391" i="1"/>
  <c r="F392" i="1"/>
  <c r="L392" i="1"/>
  <c r="F393" i="1"/>
  <c r="L393" i="1"/>
  <c r="F394" i="1"/>
  <c r="L394" i="1"/>
  <c r="F395" i="1"/>
  <c r="L395" i="1"/>
  <c r="F396" i="1"/>
  <c r="L396" i="1"/>
  <c r="F397" i="1"/>
  <c r="L397" i="1"/>
  <c r="F399" i="1"/>
  <c r="L399" i="1"/>
  <c r="F400" i="1"/>
  <c r="L400" i="1"/>
  <c r="F401" i="1"/>
  <c r="L401" i="1"/>
  <c r="F402" i="1"/>
  <c r="L402" i="1"/>
  <c r="L403" i="1"/>
  <c r="F404" i="1"/>
  <c r="L404" i="1"/>
  <c r="L405" i="1"/>
  <c r="L406" i="1"/>
  <c r="F407" i="1"/>
  <c r="L407" i="1"/>
  <c r="L408" i="1"/>
  <c r="F409" i="1"/>
  <c r="L409" i="1"/>
  <c r="L410" i="1"/>
  <c r="L411" i="1"/>
  <c r="L412" i="1"/>
  <c r="F413" i="1"/>
  <c r="L413" i="1"/>
  <c r="F414" i="1"/>
  <c r="L414" i="1"/>
  <c r="L415" i="1"/>
  <c r="F416" i="1"/>
  <c r="L416" i="1"/>
  <c r="L417" i="1"/>
  <c r="F418" i="1"/>
  <c r="L418" i="1"/>
  <c r="F419" i="1"/>
  <c r="L419" i="1"/>
  <c r="F420" i="1"/>
  <c r="L420" i="1"/>
  <c r="F421" i="1"/>
  <c r="L421" i="1"/>
  <c r="F422" i="1"/>
  <c r="L422" i="1"/>
  <c r="I423" i="1"/>
  <c r="J423" i="1"/>
  <c r="K423" i="1"/>
  <c r="F378" i="1"/>
  <c r="D377" i="1"/>
  <c r="C377" i="1"/>
  <c r="D376" i="1"/>
  <c r="E372" i="1"/>
  <c r="C372" i="1"/>
  <c r="F466" i="1" l="1"/>
  <c r="E423" i="1"/>
  <c r="F411" i="1"/>
  <c r="F377" i="1"/>
  <c r="C423" i="1"/>
  <c r="F403" i="1"/>
  <c r="L423" i="1"/>
  <c r="F405" i="1"/>
  <c r="E368" i="1"/>
  <c r="C368" i="1"/>
  <c r="F364" i="1"/>
  <c r="F423" i="1" l="1"/>
  <c r="D362" i="1"/>
  <c r="C362" i="1"/>
  <c r="E362" i="1"/>
  <c r="F360" i="1"/>
  <c r="D359" i="1" l="1"/>
  <c r="D380" i="1" s="1"/>
  <c r="L315" i="1"/>
  <c r="L316" i="1"/>
  <c r="K380" i="1"/>
  <c r="J380" i="1"/>
  <c r="I380" i="1"/>
  <c r="E380" i="1"/>
  <c r="C380" i="1"/>
  <c r="L379" i="1"/>
  <c r="F379" i="1"/>
  <c r="L378" i="1"/>
  <c r="L377" i="1"/>
  <c r="L376" i="1"/>
  <c r="F376" i="1"/>
  <c r="L375" i="1"/>
  <c r="F375" i="1"/>
  <c r="L374" i="1"/>
  <c r="F374" i="1"/>
  <c r="L373" i="1"/>
  <c r="F373" i="1"/>
  <c r="L372" i="1"/>
  <c r="F372" i="1"/>
  <c r="L371" i="1"/>
  <c r="F371" i="1"/>
  <c r="L370" i="1"/>
  <c r="F370" i="1"/>
  <c r="L369" i="1"/>
  <c r="F369" i="1"/>
  <c r="L368" i="1"/>
  <c r="F368" i="1"/>
  <c r="L367" i="1"/>
  <c r="F367" i="1"/>
  <c r="L366" i="1"/>
  <c r="F366" i="1"/>
  <c r="L365" i="1"/>
  <c r="F365" i="1"/>
  <c r="L364" i="1"/>
  <c r="L363" i="1"/>
  <c r="F363" i="1"/>
  <c r="L362" i="1"/>
  <c r="F362" i="1"/>
  <c r="L361" i="1"/>
  <c r="F361" i="1"/>
  <c r="L360" i="1"/>
  <c r="L359" i="1"/>
  <c r="L358" i="1"/>
  <c r="F358" i="1"/>
  <c r="L357" i="1"/>
  <c r="F357" i="1"/>
  <c r="L356" i="1"/>
  <c r="F356" i="1"/>
  <c r="L354" i="1"/>
  <c r="F354" i="1"/>
  <c r="L353" i="1"/>
  <c r="F353" i="1"/>
  <c r="L352" i="1"/>
  <c r="F352" i="1"/>
  <c r="L351" i="1"/>
  <c r="F351" i="1"/>
  <c r="L350" i="1"/>
  <c r="F350" i="1"/>
  <c r="L349" i="1"/>
  <c r="F349" i="1"/>
  <c r="L348" i="1"/>
  <c r="F348" i="1"/>
  <c r="L347" i="1"/>
  <c r="F347" i="1"/>
  <c r="L346" i="1"/>
  <c r="F346" i="1"/>
  <c r="L345" i="1"/>
  <c r="F345" i="1"/>
  <c r="F359" i="1" l="1"/>
  <c r="L380" i="1"/>
  <c r="F380" i="1"/>
  <c r="E334" i="1"/>
  <c r="C329" i="1"/>
  <c r="D326" i="1"/>
  <c r="D322" i="1" l="1"/>
  <c r="D337" i="1" s="1"/>
  <c r="C321" i="1"/>
  <c r="F321" i="1" s="1"/>
  <c r="C318" i="1"/>
  <c r="F318" i="1" s="1"/>
  <c r="C317" i="1"/>
  <c r="F317" i="1" s="1"/>
  <c r="K337" i="1"/>
  <c r="J337" i="1"/>
  <c r="I337" i="1"/>
  <c r="E337" i="1"/>
  <c r="L336" i="1"/>
  <c r="F336" i="1"/>
  <c r="L335" i="1"/>
  <c r="F335" i="1"/>
  <c r="L334" i="1"/>
  <c r="F334" i="1"/>
  <c r="L333" i="1"/>
  <c r="F333" i="1"/>
  <c r="L332" i="1"/>
  <c r="F332" i="1"/>
  <c r="L331" i="1"/>
  <c r="F331" i="1"/>
  <c r="L330" i="1"/>
  <c r="F330" i="1"/>
  <c r="L329" i="1"/>
  <c r="F329" i="1"/>
  <c r="L328" i="1"/>
  <c r="F328" i="1"/>
  <c r="L327" i="1"/>
  <c r="F327" i="1"/>
  <c r="L326" i="1"/>
  <c r="F326" i="1"/>
  <c r="L325" i="1"/>
  <c r="F325" i="1"/>
  <c r="L324" i="1"/>
  <c r="F324" i="1"/>
  <c r="L323" i="1"/>
  <c r="F323" i="1"/>
  <c r="L322" i="1"/>
  <c r="L321" i="1"/>
  <c r="L320" i="1"/>
  <c r="F320" i="1"/>
  <c r="L319" i="1"/>
  <c r="F319" i="1"/>
  <c r="L318" i="1"/>
  <c r="L317" i="1"/>
  <c r="F316" i="1"/>
  <c r="F315" i="1"/>
  <c r="L314" i="1"/>
  <c r="F314" i="1"/>
  <c r="L313" i="1"/>
  <c r="F313" i="1"/>
  <c r="L311" i="1"/>
  <c r="F311" i="1"/>
  <c r="L310" i="1"/>
  <c r="F310" i="1"/>
  <c r="L309" i="1"/>
  <c r="F309" i="1"/>
  <c r="L308" i="1"/>
  <c r="F308" i="1"/>
  <c r="L307" i="1"/>
  <c r="F307" i="1"/>
  <c r="L306" i="1"/>
  <c r="F306" i="1"/>
  <c r="L305" i="1"/>
  <c r="F305" i="1"/>
  <c r="L304" i="1"/>
  <c r="F304" i="1"/>
  <c r="L303" i="1"/>
  <c r="F303" i="1"/>
  <c r="L302" i="1"/>
  <c r="F302" i="1"/>
  <c r="F322" i="1" l="1"/>
  <c r="L337" i="1"/>
  <c r="C337" i="1"/>
  <c r="F337" i="1" s="1"/>
  <c r="D286" i="1"/>
  <c r="C286" i="1"/>
  <c r="C285" i="1"/>
  <c r="D284" i="1"/>
  <c r="C284" i="1"/>
  <c r="D283" i="1"/>
  <c r="C283" i="1"/>
  <c r="C279" i="1"/>
  <c r="D276" i="1"/>
  <c r="D275" i="1"/>
  <c r="C274" i="1" l="1"/>
  <c r="F274" i="1" s="1"/>
  <c r="D271" i="1"/>
  <c r="D294" i="1" s="1"/>
  <c r="C271" i="1"/>
  <c r="K294" i="1"/>
  <c r="J294" i="1"/>
  <c r="I294" i="1"/>
  <c r="E294" i="1"/>
  <c r="L293" i="1"/>
  <c r="F293" i="1"/>
  <c r="L292" i="1"/>
  <c r="F292" i="1"/>
  <c r="L291" i="1"/>
  <c r="F291" i="1"/>
  <c r="L290" i="1"/>
  <c r="F290" i="1"/>
  <c r="L289" i="1"/>
  <c r="F289" i="1"/>
  <c r="L288" i="1"/>
  <c r="F288" i="1"/>
  <c r="L287" i="1"/>
  <c r="F287" i="1"/>
  <c r="L286" i="1"/>
  <c r="F286" i="1"/>
  <c r="L285" i="1"/>
  <c r="F285" i="1"/>
  <c r="L284" i="1"/>
  <c r="F284" i="1"/>
  <c r="L283" i="1"/>
  <c r="F283" i="1"/>
  <c r="L282" i="1"/>
  <c r="F282" i="1"/>
  <c r="L281" i="1"/>
  <c r="F281" i="1"/>
  <c r="L280" i="1"/>
  <c r="F280" i="1"/>
  <c r="L279" i="1"/>
  <c r="F279" i="1"/>
  <c r="L278" i="1"/>
  <c r="F278" i="1"/>
  <c r="L277" i="1"/>
  <c r="F277" i="1"/>
  <c r="L276" i="1"/>
  <c r="F276" i="1"/>
  <c r="L275" i="1"/>
  <c r="F275" i="1"/>
  <c r="L274" i="1"/>
  <c r="L273" i="1"/>
  <c r="F273" i="1"/>
  <c r="L272" i="1"/>
  <c r="F272" i="1"/>
  <c r="L271" i="1"/>
  <c r="L270" i="1"/>
  <c r="F270" i="1"/>
  <c r="L268" i="1"/>
  <c r="F268" i="1"/>
  <c r="L267" i="1"/>
  <c r="F267" i="1"/>
  <c r="L266" i="1"/>
  <c r="F266" i="1"/>
  <c r="L265" i="1"/>
  <c r="F265" i="1"/>
  <c r="L264" i="1"/>
  <c r="F264" i="1"/>
  <c r="L263" i="1"/>
  <c r="F263" i="1"/>
  <c r="L262" i="1"/>
  <c r="F262" i="1"/>
  <c r="L261" i="1"/>
  <c r="F261" i="1"/>
  <c r="L260" i="1"/>
  <c r="F260" i="1"/>
  <c r="L259" i="1"/>
  <c r="F259" i="1"/>
  <c r="C294" i="1" l="1"/>
  <c r="F294" i="1" s="1"/>
  <c r="F271" i="1"/>
  <c r="L294" i="1"/>
  <c r="C248" i="1"/>
  <c r="F248" i="1" s="1"/>
  <c r="D247" i="1"/>
  <c r="C247" i="1"/>
  <c r="E241" i="1"/>
  <c r="F241" i="1" s="1"/>
  <c r="E238" i="1"/>
  <c r="F238" i="1" s="1"/>
  <c r="L227" i="1"/>
  <c r="E237" i="1"/>
  <c r="C237" i="1"/>
  <c r="D236" i="1"/>
  <c r="F236" i="1" s="1"/>
  <c r="D233" i="1"/>
  <c r="C233" i="1"/>
  <c r="E233" i="1"/>
  <c r="C232" i="1"/>
  <c r="E230" i="1"/>
  <c r="F230" i="1" s="1"/>
  <c r="C228" i="1"/>
  <c r="F228" i="1" s="1"/>
  <c r="D207" i="1"/>
  <c r="K251" i="1"/>
  <c r="J251" i="1"/>
  <c r="I251" i="1"/>
  <c r="L250" i="1"/>
  <c r="F250" i="1"/>
  <c r="L249" i="1"/>
  <c r="F249" i="1"/>
  <c r="L248" i="1"/>
  <c r="L247" i="1"/>
  <c r="L246" i="1"/>
  <c r="F246" i="1"/>
  <c r="L245" i="1"/>
  <c r="F245" i="1"/>
  <c r="L244" i="1"/>
  <c r="F244" i="1"/>
  <c r="L243" i="1"/>
  <c r="F243" i="1"/>
  <c r="L242" i="1"/>
  <c r="F242" i="1"/>
  <c r="L241" i="1"/>
  <c r="L240" i="1"/>
  <c r="F240" i="1"/>
  <c r="L239" i="1"/>
  <c r="F239" i="1"/>
  <c r="L238" i="1"/>
  <c r="L237" i="1"/>
  <c r="L236" i="1"/>
  <c r="L235" i="1"/>
  <c r="L234" i="1"/>
  <c r="F234" i="1"/>
  <c r="L233" i="1"/>
  <c r="L232" i="1"/>
  <c r="L231" i="1"/>
  <c r="F231" i="1"/>
  <c r="L230" i="1"/>
  <c r="L229" i="1"/>
  <c r="F229" i="1"/>
  <c r="L228" i="1"/>
  <c r="L225" i="1"/>
  <c r="F225" i="1"/>
  <c r="L224" i="1"/>
  <c r="F224" i="1"/>
  <c r="L223" i="1"/>
  <c r="F223" i="1"/>
  <c r="L222" i="1"/>
  <c r="F222" i="1"/>
  <c r="L221" i="1"/>
  <c r="F221" i="1"/>
  <c r="L220" i="1"/>
  <c r="F220" i="1"/>
  <c r="L219" i="1"/>
  <c r="F219" i="1"/>
  <c r="L218" i="1"/>
  <c r="F218" i="1"/>
  <c r="L217" i="1"/>
  <c r="F217" i="1"/>
  <c r="L216" i="1"/>
  <c r="F216" i="1"/>
  <c r="E203" i="1"/>
  <c r="D197" i="1"/>
  <c r="L185" i="1"/>
  <c r="L186" i="1"/>
  <c r="D193" i="1"/>
  <c r="E192" i="1"/>
  <c r="C190" i="1"/>
  <c r="C189" i="1"/>
  <c r="D188" i="1"/>
  <c r="D184" i="1"/>
  <c r="C184" i="1"/>
  <c r="F247" i="1" l="1"/>
  <c r="L251" i="1"/>
  <c r="F237" i="1"/>
  <c r="F233" i="1"/>
  <c r="C251" i="1"/>
  <c r="D251" i="1"/>
  <c r="E251" i="1"/>
  <c r="F227" i="1"/>
  <c r="F232" i="1"/>
  <c r="F235" i="1"/>
  <c r="D208" i="1"/>
  <c r="D165" i="1"/>
  <c r="D164" i="1"/>
  <c r="K208" i="1"/>
  <c r="J208" i="1"/>
  <c r="I208" i="1"/>
  <c r="L207" i="1"/>
  <c r="F207" i="1"/>
  <c r="L206" i="1"/>
  <c r="F206" i="1"/>
  <c r="L205" i="1"/>
  <c r="F205" i="1"/>
  <c r="L204" i="1"/>
  <c r="F204" i="1"/>
  <c r="L203" i="1"/>
  <c r="F203" i="1"/>
  <c r="L202" i="1"/>
  <c r="F202" i="1"/>
  <c r="L201" i="1"/>
  <c r="F201" i="1"/>
  <c r="L200" i="1"/>
  <c r="F200" i="1"/>
  <c r="L199" i="1"/>
  <c r="F199" i="1"/>
  <c r="L198" i="1"/>
  <c r="F198" i="1"/>
  <c r="L197" i="1"/>
  <c r="F197" i="1"/>
  <c r="L196" i="1"/>
  <c r="F196" i="1"/>
  <c r="L195" i="1"/>
  <c r="F195" i="1"/>
  <c r="L194" i="1"/>
  <c r="F194" i="1"/>
  <c r="L193" i="1"/>
  <c r="L192" i="1"/>
  <c r="F192" i="1"/>
  <c r="L191" i="1"/>
  <c r="F191" i="1"/>
  <c r="L190" i="1"/>
  <c r="F190" i="1"/>
  <c r="L189" i="1"/>
  <c r="F189" i="1"/>
  <c r="L188" i="1"/>
  <c r="F188" i="1"/>
  <c r="L187" i="1"/>
  <c r="F187" i="1"/>
  <c r="F186" i="1"/>
  <c r="F185" i="1"/>
  <c r="L184" i="1"/>
  <c r="F184" i="1"/>
  <c r="L182" i="1"/>
  <c r="F182" i="1"/>
  <c r="L181" i="1"/>
  <c r="F181" i="1"/>
  <c r="L180" i="1"/>
  <c r="F180" i="1"/>
  <c r="L179" i="1"/>
  <c r="F179" i="1"/>
  <c r="L178" i="1"/>
  <c r="F178" i="1"/>
  <c r="L177" i="1"/>
  <c r="F177" i="1"/>
  <c r="L176" i="1"/>
  <c r="F176" i="1"/>
  <c r="L175" i="1"/>
  <c r="F175" i="1"/>
  <c r="L174" i="1"/>
  <c r="F174" i="1"/>
  <c r="L173" i="1"/>
  <c r="F173" i="1"/>
  <c r="F251" i="1" l="1"/>
  <c r="L208" i="1"/>
  <c r="F193" i="1"/>
  <c r="C208" i="1"/>
  <c r="E208" i="1"/>
  <c r="C162" i="1"/>
  <c r="E162" i="1"/>
  <c r="C161" i="1"/>
  <c r="D161" i="1"/>
  <c r="D157" i="1"/>
  <c r="E157" i="1"/>
  <c r="C157" i="1"/>
  <c r="C154" i="1"/>
  <c r="D153" i="1"/>
  <c r="F153" i="1" s="1"/>
  <c r="E152" i="1"/>
  <c r="F152" i="1" s="1"/>
  <c r="E151" i="1"/>
  <c r="D151" i="1"/>
  <c r="C151" i="1"/>
  <c r="C143" i="1"/>
  <c r="K166" i="1"/>
  <c r="J166" i="1"/>
  <c r="I166" i="1"/>
  <c r="L165" i="1"/>
  <c r="F165" i="1"/>
  <c r="L164" i="1"/>
  <c r="F164" i="1"/>
  <c r="L163" i="1"/>
  <c r="F163" i="1"/>
  <c r="L162" i="1"/>
  <c r="L161" i="1"/>
  <c r="L160" i="1"/>
  <c r="F160" i="1"/>
  <c r="L159" i="1"/>
  <c r="F159" i="1"/>
  <c r="L158" i="1"/>
  <c r="F158" i="1"/>
  <c r="L157" i="1"/>
  <c r="L156" i="1"/>
  <c r="F156" i="1"/>
  <c r="L155" i="1"/>
  <c r="F155" i="1"/>
  <c r="L154" i="1"/>
  <c r="F154" i="1"/>
  <c r="L153" i="1"/>
  <c r="L152" i="1"/>
  <c r="L151" i="1"/>
  <c r="L150" i="1"/>
  <c r="L149" i="1"/>
  <c r="F149" i="1"/>
  <c r="L148" i="1"/>
  <c r="F148" i="1"/>
  <c r="L147" i="1"/>
  <c r="F147" i="1"/>
  <c r="L146" i="1"/>
  <c r="F146" i="1"/>
  <c r="L145" i="1"/>
  <c r="F145" i="1"/>
  <c r="L144" i="1"/>
  <c r="F144" i="1"/>
  <c r="L143" i="1"/>
  <c r="L142" i="1"/>
  <c r="F142" i="1"/>
  <c r="L140" i="1"/>
  <c r="F140" i="1"/>
  <c r="L139" i="1"/>
  <c r="F139" i="1"/>
  <c r="L138" i="1"/>
  <c r="F138" i="1"/>
  <c r="L137" i="1"/>
  <c r="F137" i="1"/>
  <c r="L136" i="1"/>
  <c r="F136" i="1"/>
  <c r="L135" i="1"/>
  <c r="F135" i="1"/>
  <c r="L134" i="1"/>
  <c r="F134" i="1"/>
  <c r="L133" i="1"/>
  <c r="F133" i="1"/>
  <c r="L132" i="1"/>
  <c r="F132" i="1"/>
  <c r="L131" i="1"/>
  <c r="F131" i="1"/>
  <c r="F162" i="1" l="1"/>
  <c r="F208" i="1"/>
  <c r="F161" i="1"/>
  <c r="F157" i="1"/>
  <c r="C166" i="1"/>
  <c r="D166" i="1"/>
  <c r="F151" i="1"/>
  <c r="F143" i="1"/>
  <c r="L166" i="1"/>
  <c r="E166" i="1"/>
  <c r="F150" i="1"/>
  <c r="E122" i="1"/>
  <c r="D122" i="1"/>
  <c r="C122" i="1"/>
  <c r="E121" i="1"/>
  <c r="C114" i="1"/>
  <c r="D108" i="1"/>
  <c r="F166" i="1" l="1"/>
  <c r="K124" i="1"/>
  <c r="J124" i="1"/>
  <c r="I124" i="1"/>
  <c r="E124" i="1"/>
  <c r="D124" i="1"/>
  <c r="C124" i="1"/>
  <c r="L123" i="1"/>
  <c r="F123" i="1"/>
  <c r="L122" i="1"/>
  <c r="F122" i="1"/>
  <c r="L121" i="1"/>
  <c r="F121" i="1"/>
  <c r="L120" i="1"/>
  <c r="F120" i="1"/>
  <c r="L119" i="1"/>
  <c r="F119" i="1"/>
  <c r="L118" i="1"/>
  <c r="F118" i="1"/>
  <c r="L117" i="1"/>
  <c r="F117" i="1"/>
  <c r="L116" i="1"/>
  <c r="F116" i="1"/>
  <c r="L115" i="1"/>
  <c r="F115" i="1"/>
  <c r="L114" i="1"/>
  <c r="F114" i="1"/>
  <c r="L113" i="1"/>
  <c r="F113" i="1"/>
  <c r="L112" i="1"/>
  <c r="F112" i="1"/>
  <c r="L111" i="1"/>
  <c r="F111" i="1"/>
  <c r="L110" i="1"/>
  <c r="F110" i="1"/>
  <c r="L109" i="1"/>
  <c r="F109" i="1"/>
  <c r="L108" i="1"/>
  <c r="F108" i="1"/>
  <c r="L107" i="1"/>
  <c r="F107" i="1"/>
  <c r="L106" i="1"/>
  <c r="F106" i="1"/>
  <c r="L105" i="1"/>
  <c r="F105" i="1"/>
  <c r="L104" i="1"/>
  <c r="F104" i="1"/>
  <c r="L103" i="1"/>
  <c r="F103" i="1"/>
  <c r="L102" i="1"/>
  <c r="F102" i="1"/>
  <c r="L101" i="1"/>
  <c r="F101" i="1"/>
  <c r="L100" i="1"/>
  <c r="F100" i="1"/>
  <c r="L98" i="1"/>
  <c r="F98" i="1"/>
  <c r="L97" i="1"/>
  <c r="F97" i="1"/>
  <c r="L96" i="1"/>
  <c r="F96" i="1"/>
  <c r="L95" i="1"/>
  <c r="F95" i="1"/>
  <c r="L94" i="1"/>
  <c r="F94" i="1"/>
  <c r="L93" i="1"/>
  <c r="F93" i="1"/>
  <c r="L92" i="1"/>
  <c r="F92" i="1"/>
  <c r="L91" i="1"/>
  <c r="F91" i="1"/>
  <c r="L90" i="1"/>
  <c r="F90" i="1"/>
  <c r="L89" i="1"/>
  <c r="F89" i="1"/>
  <c r="L124" i="1" l="1"/>
  <c r="F124" i="1"/>
  <c r="L50" i="1"/>
  <c r="L49" i="1"/>
  <c r="L80" i="1" l="1"/>
  <c r="L18" i="1"/>
  <c r="L52" i="1" l="1"/>
  <c r="L48" i="1"/>
  <c r="K15" i="1" l="1"/>
  <c r="I15" i="1"/>
  <c r="K82" i="1" l="1"/>
  <c r="J82" i="1"/>
  <c r="I82" i="1"/>
  <c r="L81" i="1"/>
  <c r="L79" i="1"/>
  <c r="L78" i="1"/>
  <c r="L77" i="1"/>
  <c r="L76" i="1"/>
  <c r="L75" i="1"/>
  <c r="L74" i="1"/>
  <c r="L73" i="1"/>
  <c r="L72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6" i="1"/>
  <c r="L55" i="1"/>
  <c r="L54" i="1"/>
  <c r="L53" i="1"/>
  <c r="L51" i="1"/>
  <c r="L47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7" i="1"/>
  <c r="J15" i="1"/>
  <c r="L14" i="1"/>
  <c r="L13" i="1"/>
  <c r="L12" i="1"/>
  <c r="L11" i="1"/>
  <c r="L10" i="1"/>
  <c r="L9" i="1"/>
  <c r="L8" i="1"/>
  <c r="L7" i="1"/>
  <c r="L6" i="1"/>
  <c r="L5" i="1"/>
  <c r="L4" i="1"/>
  <c r="E82" i="1"/>
  <c r="D82" i="1"/>
  <c r="C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6" i="1"/>
  <c r="F55" i="1"/>
  <c r="F54" i="1"/>
  <c r="F53" i="1"/>
  <c r="F52" i="1"/>
  <c r="F51" i="1"/>
  <c r="F50" i="1"/>
  <c r="F49" i="1"/>
  <c r="F48" i="1"/>
  <c r="F47" i="1"/>
  <c r="C15" i="1"/>
  <c r="D40" i="1"/>
  <c r="E40" i="1"/>
  <c r="C40" i="1"/>
  <c r="F39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24" i="1"/>
  <c r="F23" i="1"/>
  <c r="F22" i="1"/>
  <c r="F21" i="1"/>
  <c r="F20" i="1"/>
  <c r="F19" i="1"/>
  <c r="F18" i="1"/>
  <c r="F17" i="1"/>
  <c r="F16" i="1"/>
  <c r="D15" i="1"/>
  <c r="E15" i="1"/>
  <c r="F7" i="1"/>
  <c r="F8" i="1"/>
  <c r="F9" i="1"/>
  <c r="F10" i="1"/>
  <c r="F11" i="1"/>
  <c r="F12" i="1"/>
  <c r="F13" i="1"/>
  <c r="F14" i="1"/>
  <c r="F5" i="1"/>
  <c r="F6" i="1"/>
  <c r="F4" i="1"/>
  <c r="F15" i="1" l="1"/>
  <c r="D41" i="1"/>
  <c r="D46" i="1" s="1"/>
  <c r="D57" i="1" s="1"/>
  <c r="D83" i="1" s="1"/>
  <c r="D88" i="1" s="1"/>
  <c r="D99" i="1" s="1"/>
  <c r="D125" i="1" s="1"/>
  <c r="D130" i="1" s="1"/>
  <c r="D141" i="1" s="1"/>
  <c r="D167" i="1" s="1"/>
  <c r="D172" i="1" s="1"/>
  <c r="D183" i="1" s="1"/>
  <c r="D209" i="1" s="1"/>
  <c r="D215" i="1" s="1"/>
  <c r="D226" i="1" s="1"/>
  <c r="D252" i="1" s="1"/>
  <c r="D258" i="1" s="1"/>
  <c r="D269" i="1" s="1"/>
  <c r="D295" i="1" s="1"/>
  <c r="D301" i="1" s="1"/>
  <c r="E41" i="1"/>
  <c r="E46" i="1" s="1"/>
  <c r="E57" i="1" s="1"/>
  <c r="E83" i="1" s="1"/>
  <c r="E88" i="1" s="1"/>
  <c r="E99" i="1" s="1"/>
  <c r="E125" i="1" s="1"/>
  <c r="E130" i="1" s="1"/>
  <c r="E141" i="1" s="1"/>
  <c r="E167" i="1" s="1"/>
  <c r="E172" i="1" s="1"/>
  <c r="E183" i="1" s="1"/>
  <c r="E209" i="1" s="1"/>
  <c r="E215" i="1" s="1"/>
  <c r="E226" i="1" s="1"/>
  <c r="E252" i="1" s="1"/>
  <c r="E258" i="1" s="1"/>
  <c r="E269" i="1" s="1"/>
  <c r="E295" i="1" s="1"/>
  <c r="E301" i="1" s="1"/>
  <c r="E312" i="1" s="1"/>
  <c r="E338" i="1" s="1"/>
  <c r="E344" i="1" s="1"/>
  <c r="E355" i="1" s="1"/>
  <c r="E381" i="1" s="1"/>
  <c r="E387" i="1" s="1"/>
  <c r="E398" i="1" s="1"/>
  <c r="E424" i="1" s="1"/>
  <c r="E430" i="1" s="1"/>
  <c r="E441" i="1" s="1"/>
  <c r="E467" i="1" s="1"/>
  <c r="E473" i="1" s="1"/>
  <c r="E484" i="1" s="1"/>
  <c r="E510" i="1" s="1"/>
  <c r="E516" i="1" s="1"/>
  <c r="E527" i="1" s="1"/>
  <c r="E553" i="1" s="1"/>
  <c r="E559" i="1" s="1"/>
  <c r="E570" i="1" s="1"/>
  <c r="E596" i="1" s="1"/>
  <c r="E602" i="1" s="1"/>
  <c r="E613" i="1" s="1"/>
  <c r="E639" i="1" s="1"/>
  <c r="E645" i="1" s="1"/>
  <c r="F40" i="1"/>
  <c r="F82" i="1"/>
  <c r="L82" i="1"/>
  <c r="L15" i="1"/>
  <c r="C41" i="1"/>
  <c r="E656" i="1" l="1"/>
  <c r="E682" i="1" s="1"/>
  <c r="E688" i="1" s="1"/>
  <c r="E699" i="1" s="1"/>
  <c r="E725" i="1" s="1"/>
  <c r="E731" i="1" s="1"/>
  <c r="E742" i="1" s="1"/>
  <c r="E768" i="1" s="1"/>
  <c r="E774" i="1" s="1"/>
  <c r="E785" i="1" s="1"/>
  <c r="E811" i="1" s="1"/>
  <c r="E817" i="1" s="1"/>
  <c r="D312" i="1"/>
  <c r="D338" i="1" s="1"/>
  <c r="D344" i="1" s="1"/>
  <c r="D355" i="1" s="1"/>
  <c r="D381" i="1" s="1"/>
  <c r="D387" i="1" s="1"/>
  <c r="D398" i="1" s="1"/>
  <c r="D424" i="1" s="1"/>
  <c r="D430" i="1" s="1"/>
  <c r="F41" i="1"/>
  <c r="C46" i="1"/>
  <c r="K40" i="1"/>
  <c r="K41" i="1" s="1"/>
  <c r="K46" i="1" s="1"/>
  <c r="K57" i="1" s="1"/>
  <c r="K83" i="1" s="1"/>
  <c r="K88" i="1" s="1"/>
  <c r="K99" i="1" s="1"/>
  <c r="K125" i="1" s="1"/>
  <c r="K130" i="1" s="1"/>
  <c r="K141" i="1" s="1"/>
  <c r="K167" i="1" s="1"/>
  <c r="K172" i="1" s="1"/>
  <c r="K183" i="1" s="1"/>
  <c r="K209" i="1" s="1"/>
  <c r="K215" i="1" s="1"/>
  <c r="K226" i="1" s="1"/>
  <c r="K252" i="1" s="1"/>
  <c r="K258" i="1" s="1"/>
  <c r="K269" i="1" s="1"/>
  <c r="K295" i="1" s="1"/>
  <c r="K301" i="1" s="1"/>
  <c r="K312" i="1" s="1"/>
  <c r="K338" i="1" s="1"/>
  <c r="K344" i="1" s="1"/>
  <c r="K355" i="1" s="1"/>
  <c r="K381" i="1" s="1"/>
  <c r="K387" i="1" s="1"/>
  <c r="K398" i="1" s="1"/>
  <c r="K424" i="1" s="1"/>
  <c r="K430" i="1" s="1"/>
  <c r="K441" i="1" s="1"/>
  <c r="K467" i="1" s="1"/>
  <c r="K473" i="1" s="1"/>
  <c r="K484" i="1" s="1"/>
  <c r="K510" i="1" s="1"/>
  <c r="K516" i="1" s="1"/>
  <c r="K527" i="1" s="1"/>
  <c r="K553" i="1" s="1"/>
  <c r="K559" i="1" s="1"/>
  <c r="K570" i="1" s="1"/>
  <c r="K596" i="1" s="1"/>
  <c r="K602" i="1" s="1"/>
  <c r="K613" i="1" s="1"/>
  <c r="K639" i="1" s="1"/>
  <c r="K645" i="1" s="1"/>
  <c r="K656" i="1" s="1"/>
  <c r="K682" i="1" s="1"/>
  <c r="K688" i="1" s="1"/>
  <c r="K699" i="1" s="1"/>
  <c r="K725" i="1" s="1"/>
  <c r="K731" i="1" s="1"/>
  <c r="K742" i="1" s="1"/>
  <c r="K768" i="1" s="1"/>
  <c r="K774" i="1" s="1"/>
  <c r="K785" i="1" s="1"/>
  <c r="K811" i="1" s="1"/>
  <c r="K817" i="1" s="1"/>
  <c r="J40" i="1"/>
  <c r="J41" i="1" s="1"/>
  <c r="J46" i="1" s="1"/>
  <c r="J57" i="1" s="1"/>
  <c r="J83" i="1" s="1"/>
  <c r="J88" i="1" s="1"/>
  <c r="J99" i="1" s="1"/>
  <c r="J125" i="1" s="1"/>
  <c r="J130" i="1" s="1"/>
  <c r="J141" i="1" s="1"/>
  <c r="J167" i="1" s="1"/>
  <c r="J172" i="1" s="1"/>
  <c r="J183" i="1" s="1"/>
  <c r="J209" i="1" s="1"/>
  <c r="J215" i="1" s="1"/>
  <c r="J226" i="1" s="1"/>
  <c r="J252" i="1" s="1"/>
  <c r="J258" i="1" s="1"/>
  <c r="J269" i="1" s="1"/>
  <c r="J295" i="1" s="1"/>
  <c r="J301" i="1" s="1"/>
  <c r="K828" i="1" l="1"/>
  <c r="K854" i="1" s="1"/>
  <c r="K860" i="1" s="1"/>
  <c r="K871" i="1" s="1"/>
  <c r="K897" i="1" s="1"/>
  <c r="K903" i="1" s="1"/>
  <c r="K914" i="1" s="1"/>
  <c r="K940" i="1" s="1"/>
  <c r="K946" i="1" s="1"/>
  <c r="K957" i="1" s="1"/>
  <c r="K983" i="1" s="1"/>
  <c r="K1043" i="1" s="1"/>
  <c r="E828" i="1"/>
  <c r="E854" i="1" s="1"/>
  <c r="E860" i="1" s="1"/>
  <c r="E871" i="1" s="1"/>
  <c r="E897" i="1" s="1"/>
  <c r="E903" i="1" s="1"/>
  <c r="E914" i="1" s="1"/>
  <c r="E940" i="1" s="1"/>
  <c r="E946" i="1" s="1"/>
  <c r="E957" i="1" s="1"/>
  <c r="E983" i="1" s="1"/>
  <c r="E989" i="1" s="1"/>
  <c r="E1000" i="1" s="1"/>
  <c r="E1026" i="1" s="1"/>
  <c r="E1032" i="1" s="1"/>
  <c r="E1043" i="1" s="1"/>
  <c r="E1069" i="1" s="1"/>
  <c r="E1075" i="1" s="1"/>
  <c r="E1086" i="1" s="1"/>
  <c r="E1112" i="1" s="1"/>
  <c r="E1118" i="1" s="1"/>
  <c r="E1129" i="1" s="1"/>
  <c r="E1155" i="1" s="1"/>
  <c r="D441" i="1"/>
  <c r="D467" i="1" s="1"/>
  <c r="D473" i="1" s="1"/>
  <c r="D484" i="1" s="1"/>
  <c r="D510" i="1" s="1"/>
  <c r="D516" i="1" s="1"/>
  <c r="D527" i="1" s="1"/>
  <c r="D553" i="1" s="1"/>
  <c r="D559" i="1" s="1"/>
  <c r="D570" i="1" s="1"/>
  <c r="D596" i="1" s="1"/>
  <c r="D602" i="1" s="1"/>
  <c r="D613" i="1" s="1"/>
  <c r="D639" i="1" s="1"/>
  <c r="D645" i="1" s="1"/>
  <c r="J312" i="1"/>
  <c r="J338" i="1" s="1"/>
  <c r="J344" i="1" s="1"/>
  <c r="J355" i="1" s="1"/>
  <c r="J381" i="1" s="1"/>
  <c r="J387" i="1" s="1"/>
  <c r="J398" i="1" s="1"/>
  <c r="J424" i="1" s="1"/>
  <c r="J430" i="1" s="1"/>
  <c r="J441" i="1" s="1"/>
  <c r="J467" i="1" s="1"/>
  <c r="J473" i="1" s="1"/>
  <c r="J484" i="1" s="1"/>
  <c r="J510" i="1" s="1"/>
  <c r="J516" i="1" s="1"/>
  <c r="J527" i="1" s="1"/>
  <c r="J553" i="1" s="1"/>
  <c r="J559" i="1" s="1"/>
  <c r="J570" i="1" s="1"/>
  <c r="J596" i="1" s="1"/>
  <c r="J602" i="1" s="1"/>
  <c r="J613" i="1" s="1"/>
  <c r="J639" i="1" s="1"/>
  <c r="J645" i="1" s="1"/>
  <c r="J656" i="1" s="1"/>
  <c r="J682" i="1" s="1"/>
  <c r="J688" i="1" s="1"/>
  <c r="C57" i="1"/>
  <c r="C83" i="1" s="1"/>
  <c r="C88" i="1" s="1"/>
  <c r="F46" i="1"/>
  <c r="F57" i="1" s="1"/>
  <c r="I40" i="1"/>
  <c r="L16" i="1"/>
  <c r="K1069" i="1" l="1"/>
  <c r="K1075" i="1" s="1"/>
  <c r="J699" i="1"/>
  <c r="J725" i="1" s="1"/>
  <c r="J731" i="1" s="1"/>
  <c r="J742" i="1" s="1"/>
  <c r="J768" i="1" s="1"/>
  <c r="J774" i="1" s="1"/>
  <c r="J785" i="1" s="1"/>
  <c r="J811" i="1" s="1"/>
  <c r="J817" i="1" s="1"/>
  <c r="J828" i="1" s="1"/>
  <c r="J854" i="1" s="1"/>
  <c r="J860" i="1" s="1"/>
  <c r="J871" i="1" s="1"/>
  <c r="J897" i="1" s="1"/>
  <c r="J903" i="1" s="1"/>
  <c r="J914" i="1" s="1"/>
  <c r="J940" i="1" s="1"/>
  <c r="J946" i="1" s="1"/>
  <c r="J957" i="1" s="1"/>
  <c r="J983" i="1" s="1"/>
  <c r="J1043" i="1" s="1"/>
  <c r="D656" i="1"/>
  <c r="D682" i="1" s="1"/>
  <c r="D688" i="1" s="1"/>
  <c r="D699" i="1" s="1"/>
  <c r="D725" i="1" s="1"/>
  <c r="D731" i="1" s="1"/>
  <c r="D742" i="1" s="1"/>
  <c r="D768" i="1" s="1"/>
  <c r="D774" i="1" s="1"/>
  <c r="D785" i="1" s="1"/>
  <c r="D811" i="1" s="1"/>
  <c r="D817" i="1" s="1"/>
  <c r="D828" i="1" s="1"/>
  <c r="D854" i="1" s="1"/>
  <c r="D860" i="1" s="1"/>
  <c r="D871" i="1" s="1"/>
  <c r="D897" i="1" s="1"/>
  <c r="D903" i="1" s="1"/>
  <c r="D914" i="1" s="1"/>
  <c r="D940" i="1" s="1"/>
  <c r="D946" i="1" s="1"/>
  <c r="F88" i="1"/>
  <c r="F99" i="1" s="1"/>
  <c r="C99" i="1"/>
  <c r="C125" i="1" s="1"/>
  <c r="F83" i="1"/>
  <c r="L40" i="1"/>
  <c r="I41" i="1"/>
  <c r="K1086" i="1" l="1"/>
  <c r="K1112" i="1" s="1"/>
  <c r="J1069" i="1"/>
  <c r="J1075" i="1" s="1"/>
  <c r="D957" i="1"/>
  <c r="D983" i="1" s="1"/>
  <c r="D989" i="1" s="1"/>
  <c r="D1000" i="1" s="1"/>
  <c r="D1026" i="1" s="1"/>
  <c r="D1032" i="1" s="1"/>
  <c r="D1043" i="1" s="1"/>
  <c r="D1069" i="1" s="1"/>
  <c r="D1075" i="1" s="1"/>
  <c r="D1086" i="1" s="1"/>
  <c r="D1112" i="1" s="1"/>
  <c r="D1118" i="1" s="1"/>
  <c r="D1129" i="1" s="1"/>
  <c r="D1155" i="1" s="1"/>
  <c r="F125" i="1"/>
  <c r="C130" i="1"/>
  <c r="L41" i="1"/>
  <c r="I46" i="1"/>
  <c r="K1118" i="1" l="1"/>
  <c r="K1129" i="1" s="1"/>
  <c r="K1155" i="1" s="1"/>
  <c r="K1161" i="1" s="1"/>
  <c r="K1172" i="1" s="1"/>
  <c r="K1198" i="1" s="1"/>
  <c r="K1204" i="1" s="1"/>
  <c r="K1215" i="1" s="1"/>
  <c r="K1241" i="1" s="1"/>
  <c r="J1086" i="1"/>
  <c r="J1112" i="1" s="1"/>
  <c r="F130" i="1"/>
  <c r="F141" i="1" s="1"/>
  <c r="C141" i="1"/>
  <c r="C167" i="1" s="1"/>
  <c r="I57" i="1"/>
  <c r="I83" i="1" s="1"/>
  <c r="I88" i="1" s="1"/>
  <c r="L46" i="1"/>
  <c r="L57" i="1" s="1"/>
  <c r="J1118" i="1" l="1"/>
  <c r="J1129" i="1" s="1"/>
  <c r="J1155" i="1" s="1"/>
  <c r="J1161" i="1" s="1"/>
  <c r="J1172" i="1" s="1"/>
  <c r="J1198" i="1" s="1"/>
  <c r="J1204" i="1" s="1"/>
  <c r="J1215" i="1" s="1"/>
  <c r="J1241" i="1" s="1"/>
  <c r="F167" i="1"/>
  <c r="C172" i="1"/>
  <c r="I99" i="1"/>
  <c r="I125" i="1" s="1"/>
  <c r="L88" i="1"/>
  <c r="L99" i="1" s="1"/>
  <c r="L83" i="1"/>
  <c r="F172" i="1" l="1"/>
  <c r="F183" i="1" s="1"/>
  <c r="C183" i="1"/>
  <c r="C209" i="1" s="1"/>
  <c r="L125" i="1"/>
  <c r="I130" i="1"/>
  <c r="F209" i="1" l="1"/>
  <c r="C215" i="1"/>
  <c r="L130" i="1"/>
  <c r="L141" i="1" s="1"/>
  <c r="I141" i="1"/>
  <c r="I167" i="1" s="1"/>
  <c r="C226" i="1" l="1"/>
  <c r="C252" i="1" s="1"/>
  <c r="F215" i="1"/>
  <c r="F226" i="1" s="1"/>
  <c r="L167" i="1"/>
  <c r="I172" i="1"/>
  <c r="F252" i="1" l="1"/>
  <c r="C258" i="1"/>
  <c r="L172" i="1"/>
  <c r="L183" i="1" s="1"/>
  <c r="I183" i="1"/>
  <c r="I209" i="1" s="1"/>
  <c r="F258" i="1" l="1"/>
  <c r="F269" i="1" s="1"/>
  <c r="C269" i="1"/>
  <c r="C295" i="1" s="1"/>
  <c r="L209" i="1"/>
  <c r="I215" i="1"/>
  <c r="F295" i="1" l="1"/>
  <c r="C301" i="1"/>
  <c r="I226" i="1"/>
  <c r="I252" i="1" s="1"/>
  <c r="L215" i="1"/>
  <c r="L226" i="1" s="1"/>
  <c r="C312" i="1" l="1"/>
  <c r="C338" i="1" s="1"/>
  <c r="F301" i="1"/>
  <c r="F312" i="1" s="1"/>
  <c r="L252" i="1"/>
  <c r="I258" i="1"/>
  <c r="F338" i="1" l="1"/>
  <c r="C344" i="1"/>
  <c r="I269" i="1"/>
  <c r="I295" i="1" s="1"/>
  <c r="L258" i="1"/>
  <c r="L269" i="1" s="1"/>
  <c r="C355" i="1" l="1"/>
  <c r="C381" i="1" s="1"/>
  <c r="F344" i="1"/>
  <c r="F355" i="1" s="1"/>
  <c r="L295" i="1"/>
  <c r="I301" i="1"/>
  <c r="F381" i="1" l="1"/>
  <c r="C387" i="1"/>
  <c r="I312" i="1"/>
  <c r="I338" i="1" s="1"/>
  <c r="L301" i="1"/>
  <c r="L312" i="1" s="1"/>
  <c r="F387" i="1" l="1"/>
  <c r="F398" i="1" s="1"/>
  <c r="C398" i="1"/>
  <c r="C424" i="1" s="1"/>
  <c r="L338" i="1"/>
  <c r="I344" i="1"/>
  <c r="F424" i="1" l="1"/>
  <c r="C430" i="1"/>
  <c r="I355" i="1"/>
  <c r="I381" i="1" s="1"/>
  <c r="L344" i="1"/>
  <c r="L355" i="1" s="1"/>
  <c r="C441" i="1" l="1"/>
  <c r="C467" i="1" s="1"/>
  <c r="F430" i="1"/>
  <c r="F441" i="1" s="1"/>
  <c r="L381" i="1"/>
  <c r="I387" i="1"/>
  <c r="F467" i="1" l="1"/>
  <c r="C473" i="1"/>
  <c r="L387" i="1"/>
  <c r="L398" i="1" s="1"/>
  <c r="I398" i="1"/>
  <c r="I424" i="1" s="1"/>
  <c r="C484" i="1" l="1"/>
  <c r="C510" i="1" s="1"/>
  <c r="F473" i="1"/>
  <c r="F484" i="1" s="1"/>
  <c r="L424" i="1"/>
  <c r="I430" i="1"/>
  <c r="F510" i="1" l="1"/>
  <c r="C516" i="1"/>
  <c r="I441" i="1"/>
  <c r="I467" i="1" s="1"/>
  <c r="L430" i="1"/>
  <c r="L441" i="1" s="1"/>
  <c r="F516" i="1" l="1"/>
  <c r="F527" i="1" s="1"/>
  <c r="C527" i="1"/>
  <c r="C553" i="1" s="1"/>
  <c r="L467" i="1"/>
  <c r="I473" i="1"/>
  <c r="F553" i="1" l="1"/>
  <c r="C559" i="1"/>
  <c r="I484" i="1"/>
  <c r="I510" i="1" s="1"/>
  <c r="L473" i="1"/>
  <c r="L484" i="1" s="1"/>
  <c r="C570" i="1" l="1"/>
  <c r="C596" i="1" s="1"/>
  <c r="F559" i="1"/>
  <c r="F570" i="1" s="1"/>
  <c r="L510" i="1"/>
  <c r="I516" i="1"/>
  <c r="F596" i="1" l="1"/>
  <c r="C602" i="1"/>
  <c r="L516" i="1"/>
  <c r="L527" i="1" s="1"/>
  <c r="I527" i="1"/>
  <c r="I553" i="1" s="1"/>
  <c r="C613" i="1" l="1"/>
  <c r="C639" i="1" s="1"/>
  <c r="F602" i="1"/>
  <c r="F613" i="1" s="1"/>
  <c r="L553" i="1"/>
  <c r="I559" i="1"/>
  <c r="F639" i="1" l="1"/>
  <c r="C645" i="1"/>
  <c r="I570" i="1"/>
  <c r="I596" i="1" s="1"/>
  <c r="L559" i="1"/>
  <c r="L570" i="1" s="1"/>
  <c r="C656" i="1" l="1"/>
  <c r="C682" i="1" s="1"/>
  <c r="F645" i="1"/>
  <c r="F656" i="1" s="1"/>
  <c r="L596" i="1"/>
  <c r="I602" i="1"/>
  <c r="F682" i="1" l="1"/>
  <c r="C688" i="1"/>
  <c r="I613" i="1"/>
  <c r="I639" i="1" s="1"/>
  <c r="L602" i="1"/>
  <c r="L613" i="1" s="1"/>
  <c r="C699" i="1" l="1"/>
  <c r="C725" i="1" s="1"/>
  <c r="F688" i="1"/>
  <c r="F699" i="1" s="1"/>
  <c r="L639" i="1"/>
  <c r="I645" i="1"/>
  <c r="F725" i="1" l="1"/>
  <c r="C731" i="1"/>
  <c r="I656" i="1"/>
  <c r="I682" i="1" s="1"/>
  <c r="L645" i="1"/>
  <c r="L656" i="1" s="1"/>
  <c r="C742" i="1" l="1"/>
  <c r="C768" i="1" s="1"/>
  <c r="F731" i="1"/>
  <c r="F742" i="1" s="1"/>
  <c r="L682" i="1"/>
  <c r="I688" i="1"/>
  <c r="F768" i="1" l="1"/>
  <c r="C774" i="1"/>
  <c r="I699" i="1"/>
  <c r="I725" i="1" s="1"/>
  <c r="L688" i="1"/>
  <c r="L699" i="1" s="1"/>
  <c r="C785" i="1" l="1"/>
  <c r="C811" i="1" s="1"/>
  <c r="F774" i="1"/>
  <c r="F785" i="1" s="1"/>
  <c r="L725" i="1"/>
  <c r="I731" i="1"/>
  <c r="F811" i="1" l="1"/>
  <c r="C817" i="1"/>
  <c r="I742" i="1"/>
  <c r="I768" i="1" s="1"/>
  <c r="L731" i="1"/>
  <c r="L742" i="1" s="1"/>
  <c r="L768" i="1" l="1"/>
  <c r="I774" i="1"/>
  <c r="C828" i="1"/>
  <c r="C854" i="1" s="1"/>
  <c r="F817" i="1"/>
  <c r="F828" i="1" s="1"/>
  <c r="I785" i="1" l="1"/>
  <c r="I811" i="1" s="1"/>
  <c r="L774" i="1"/>
  <c r="L785" i="1" s="1"/>
  <c r="F854" i="1"/>
  <c r="C860" i="1"/>
  <c r="I817" i="1" l="1"/>
  <c r="L811" i="1"/>
  <c r="F860" i="1"/>
  <c r="F871" i="1" s="1"/>
  <c r="C871" i="1"/>
  <c r="C897" i="1" s="1"/>
  <c r="I828" i="1" l="1"/>
  <c r="I854" i="1" s="1"/>
  <c r="L817" i="1"/>
  <c r="L828" i="1" s="1"/>
  <c r="F897" i="1"/>
  <c r="C903" i="1"/>
  <c r="I860" i="1" l="1"/>
  <c r="L854" i="1"/>
  <c r="C914" i="1"/>
  <c r="C940" i="1" s="1"/>
  <c r="F903" i="1"/>
  <c r="F914" i="1" s="1"/>
  <c r="F940" i="1" l="1"/>
  <c r="C946" i="1"/>
  <c r="L860" i="1"/>
  <c r="L871" i="1" s="1"/>
  <c r="I871" i="1"/>
  <c r="I897" i="1" s="1"/>
  <c r="I903" i="1" l="1"/>
  <c r="L897" i="1"/>
  <c r="C957" i="1"/>
  <c r="C983" i="1" s="1"/>
  <c r="F946" i="1"/>
  <c r="F957" i="1" s="1"/>
  <c r="C989" i="1" l="1"/>
  <c r="F983" i="1"/>
  <c r="I914" i="1"/>
  <c r="I940" i="1" s="1"/>
  <c r="L903" i="1"/>
  <c r="L914" i="1" s="1"/>
  <c r="I946" i="1" l="1"/>
  <c r="L940" i="1"/>
  <c r="F989" i="1"/>
  <c r="F1000" i="1" s="1"/>
  <c r="C1000" i="1"/>
  <c r="C1026" i="1" s="1"/>
  <c r="C1032" i="1" l="1"/>
  <c r="F1026" i="1"/>
  <c r="I957" i="1"/>
  <c r="I983" i="1" s="1"/>
  <c r="L946" i="1"/>
  <c r="L957" i="1" s="1"/>
  <c r="L983" i="1" l="1"/>
  <c r="C1043" i="1"/>
  <c r="C1069" i="1" s="1"/>
  <c r="F1032" i="1"/>
  <c r="F1043" i="1" s="1"/>
  <c r="F1069" i="1" l="1"/>
  <c r="C1075" i="1"/>
  <c r="I1043" i="1" l="1"/>
  <c r="C1086" i="1"/>
  <c r="C1112" i="1" s="1"/>
  <c r="F1075" i="1"/>
  <c r="F1086" i="1" s="1"/>
  <c r="F1112" i="1" l="1"/>
  <c r="C1118" i="1"/>
  <c r="I1069" i="1"/>
  <c r="I1075" i="1" s="1"/>
  <c r="L1043" i="1" l="1"/>
  <c r="L1069" i="1" s="1"/>
  <c r="L1075" i="1" s="1"/>
  <c r="I1086" i="1"/>
  <c r="C1129" i="1"/>
  <c r="C1155" i="1" s="1"/>
  <c r="F1118" i="1"/>
  <c r="F1129" i="1" s="1"/>
  <c r="F1155" i="1" l="1"/>
  <c r="C1161" i="1"/>
  <c r="I1112" i="1"/>
  <c r="I1118" i="1" s="1"/>
  <c r="L1086" i="1" l="1"/>
  <c r="L1112" i="1" s="1"/>
  <c r="L1118" i="1" s="1"/>
  <c r="C1172" i="1"/>
  <c r="C1198" i="1" s="1"/>
  <c r="F1161" i="1"/>
  <c r="F1172" i="1" s="1"/>
  <c r="I1129" i="1"/>
  <c r="F1198" i="1" l="1"/>
  <c r="C1204" i="1"/>
  <c r="I1155" i="1"/>
  <c r="I1161" i="1" s="1"/>
  <c r="C1215" i="1" l="1"/>
  <c r="C1241" i="1" s="1"/>
  <c r="F1204" i="1"/>
  <c r="F1215" i="1" s="1"/>
  <c r="L1129" i="1"/>
  <c r="L1155" i="1" s="1"/>
  <c r="L1161" i="1" s="1"/>
  <c r="I1172" i="1"/>
  <c r="F1241" i="1" l="1"/>
  <c r="C1247" i="1"/>
  <c r="I1198" i="1"/>
  <c r="I1204" i="1" s="1"/>
  <c r="I1215" i="1" s="1"/>
  <c r="I1241" i="1" s="1"/>
  <c r="C1258" i="1" l="1"/>
  <c r="C1284" i="1" s="1"/>
  <c r="F1284" i="1" s="1"/>
  <c r="F1247" i="1"/>
  <c r="F1258" i="1" s="1"/>
  <c r="L1172" i="1"/>
  <c r="L1198" i="1" s="1"/>
  <c r="L1204" i="1" s="1"/>
  <c r="L1215" i="1" s="1"/>
  <c r="L1241" i="1" s="1"/>
</calcChain>
</file>

<file path=xl/sharedStrings.xml><?xml version="1.0" encoding="utf-8"?>
<sst xmlns="http://schemas.openxmlformats.org/spreadsheetml/2006/main" count="1890" uniqueCount="137">
  <si>
    <t>夢販在庫</t>
    <rPh sb="0" eb="2">
      <t>ユメハン</t>
    </rPh>
    <rPh sb="2" eb="4">
      <t>ザイコ</t>
    </rPh>
    <phoneticPr fontId="3"/>
  </si>
  <si>
    <t>Ｋ-ＰＯＲＴ在庫</t>
    <rPh sb="6" eb="8">
      <t>ザイコ</t>
    </rPh>
    <phoneticPr fontId="3"/>
  </si>
  <si>
    <t>M</t>
  </si>
  <si>
    <t>L</t>
  </si>
  <si>
    <t>LL</t>
  </si>
  <si>
    <t>計</t>
  </si>
  <si>
    <t>初回</t>
    <rPh sb="0" eb="2">
      <t>ショカイ</t>
    </rPh>
    <phoneticPr fontId="14"/>
  </si>
  <si>
    <t>追加</t>
    <rPh sb="0" eb="2">
      <t>ツイカ</t>
    </rPh>
    <phoneticPr fontId="14"/>
  </si>
  <si>
    <t>総数</t>
  </si>
  <si>
    <t>出荷数</t>
    <rPh sb="0" eb="2">
      <t>シュッカ</t>
    </rPh>
    <rPh sb="2" eb="3">
      <t>スウ</t>
    </rPh>
    <phoneticPr fontId="3"/>
  </si>
  <si>
    <t>残数</t>
    <rPh sb="0" eb="2">
      <t>ザンスウ</t>
    </rPh>
    <phoneticPr fontId="3"/>
  </si>
  <si>
    <t>在庫</t>
    <rPh sb="0" eb="2">
      <t>ザイコ</t>
    </rPh>
    <phoneticPr fontId="14"/>
  </si>
  <si>
    <t>＜ワンピースペチ＞</t>
    <phoneticPr fontId="3"/>
  </si>
  <si>
    <t xml:space="preserve">初回 </t>
    <rPh sb="0" eb="2">
      <t>ショカイ</t>
    </rPh>
    <phoneticPr fontId="14"/>
  </si>
  <si>
    <t>7/3 Ship</t>
    <phoneticPr fontId="14"/>
  </si>
  <si>
    <t>NO.11108</t>
    <phoneticPr fontId="14"/>
  </si>
  <si>
    <t>千趣会</t>
    <rPh sb="0" eb="3">
      <t>センシュカイ</t>
    </rPh>
    <phoneticPr fontId="14"/>
  </si>
  <si>
    <t>9月</t>
    <rPh sb="1" eb="2">
      <t>ガツ</t>
    </rPh>
    <phoneticPr fontId="14"/>
  </si>
  <si>
    <t>ディノス20冬号（2P）</t>
    <rPh sb="6" eb="8">
      <t>フユゴウ</t>
    </rPh>
    <phoneticPr fontId="14"/>
  </si>
  <si>
    <t>事前9/23、10/12～6/30</t>
    <rPh sb="0" eb="2">
      <t>ジゼン</t>
    </rPh>
    <phoneticPr fontId="14"/>
  </si>
  <si>
    <t>営業サンプル夢販</t>
    <rPh sb="0" eb="2">
      <t>エイギョウ</t>
    </rPh>
    <rPh sb="6" eb="8">
      <t>ユメハン</t>
    </rPh>
    <phoneticPr fontId="14"/>
  </si>
  <si>
    <t>コープきんき9月1回</t>
    <rPh sb="7" eb="8">
      <t>ガツ</t>
    </rPh>
    <rPh sb="9" eb="10">
      <t>カイ</t>
    </rPh>
    <phoneticPr fontId="14"/>
  </si>
  <si>
    <t>点8/9、アバウト8/25、本8/26～9/5</t>
    <rPh sb="0" eb="1">
      <t>テン</t>
    </rPh>
    <rPh sb="14" eb="15">
      <t>ホン</t>
    </rPh>
    <phoneticPr fontId="14"/>
  </si>
  <si>
    <t>ディノス製品検査</t>
    <rPh sb="4" eb="6">
      <t>セイヒン</t>
    </rPh>
    <rPh sb="6" eb="8">
      <t>ケンサ</t>
    </rPh>
    <phoneticPr fontId="14"/>
  </si>
  <si>
    <t>夢販</t>
    <rPh sb="0" eb="2">
      <t>ユメハン</t>
    </rPh>
    <phoneticPr fontId="14"/>
  </si>
  <si>
    <t>ネット</t>
    <phoneticPr fontId="14"/>
  </si>
  <si>
    <t>コープきんき9月1回①</t>
    <rPh sb="7" eb="8">
      <t>ガツ</t>
    </rPh>
    <rPh sb="9" eb="10">
      <t>カイ</t>
    </rPh>
    <phoneticPr fontId="14"/>
  </si>
  <si>
    <t>JODメルシー0914</t>
    <phoneticPr fontId="14"/>
  </si>
  <si>
    <t>9/14～</t>
    <phoneticPr fontId="14"/>
  </si>
  <si>
    <t>くらし企画（眞鍋さん）</t>
    <rPh sb="3" eb="5">
      <t>キカク</t>
    </rPh>
    <rPh sb="6" eb="8">
      <t>マナベ</t>
    </rPh>
    <phoneticPr fontId="14"/>
  </si>
  <si>
    <t>ネット</t>
  </si>
  <si>
    <t>西本さん</t>
    <rPh sb="0" eb="2">
      <t>ニシモト</t>
    </rPh>
    <phoneticPr fontId="14"/>
  </si>
  <si>
    <t>2020/7/11伝数</t>
    <rPh sb="9" eb="10">
      <t>デン</t>
    </rPh>
    <rPh sb="10" eb="11">
      <t>スウ</t>
    </rPh>
    <phoneticPr fontId="14"/>
  </si>
  <si>
    <t>千趣会①</t>
    <rPh sb="0" eb="3">
      <t>センシュカイ</t>
    </rPh>
    <phoneticPr fontId="14"/>
  </si>
  <si>
    <t>JOD①</t>
    <phoneticPr fontId="14"/>
  </si>
  <si>
    <t>ディノス20冬号（2P）①</t>
    <rPh sb="6" eb="8">
      <t>フユゴウ</t>
    </rPh>
    <phoneticPr fontId="14"/>
  </si>
  <si>
    <t>JOD②</t>
    <phoneticPr fontId="14"/>
  </si>
  <si>
    <t>素数sample</t>
    <rPh sb="0" eb="2">
      <t>ソスウ</t>
    </rPh>
    <phoneticPr fontId="14"/>
  </si>
  <si>
    <t>千趣会②</t>
    <rPh sb="0" eb="3">
      <t>センシュカイ</t>
    </rPh>
    <phoneticPr fontId="14"/>
  </si>
  <si>
    <t>JOD③</t>
    <phoneticPr fontId="14"/>
  </si>
  <si>
    <t>ディノス返品</t>
    <rPh sb="4" eb="6">
      <t>ヘンピン</t>
    </rPh>
    <phoneticPr fontId="14"/>
  </si>
  <si>
    <t>千趣会③</t>
    <rPh sb="0" eb="3">
      <t>センシュカイ</t>
    </rPh>
    <phoneticPr fontId="14"/>
  </si>
  <si>
    <t>千趣会④</t>
    <rPh sb="0" eb="3">
      <t>センシュカイ</t>
    </rPh>
    <phoneticPr fontId="14"/>
  </si>
  <si>
    <t>ディノス20冬号（2P）②</t>
    <rPh sb="6" eb="8">
      <t>フユゴウ</t>
    </rPh>
    <phoneticPr fontId="14"/>
  </si>
  <si>
    <t>ノースモール(素数）</t>
    <rPh sb="7" eb="9">
      <t>ソスウ</t>
    </rPh>
    <phoneticPr fontId="14"/>
  </si>
  <si>
    <t>ディノス20冬号（2P）③</t>
    <rPh sb="6" eb="8">
      <t>フユゴウ</t>
    </rPh>
    <phoneticPr fontId="14"/>
  </si>
  <si>
    <t>ディノス20冬号（2P）④</t>
    <rPh sb="6" eb="8">
      <t>フユゴウ</t>
    </rPh>
    <phoneticPr fontId="14"/>
  </si>
  <si>
    <t>くらし返品</t>
    <rPh sb="3" eb="5">
      <t>ヘンピン</t>
    </rPh>
    <phoneticPr fontId="14"/>
  </si>
  <si>
    <t>千趣会⑤</t>
    <rPh sb="0" eb="3">
      <t>センシュカイ</t>
    </rPh>
    <phoneticPr fontId="14"/>
  </si>
  <si>
    <t>ディノス20冬号（2P）⑤</t>
    <rPh sb="6" eb="8">
      <t>フユゴウ</t>
    </rPh>
    <phoneticPr fontId="14"/>
  </si>
  <si>
    <t>夢販</t>
    <rPh sb="0" eb="2">
      <t>ユメハン</t>
    </rPh>
    <phoneticPr fontId="14"/>
  </si>
  <si>
    <t>ニッセン①</t>
    <phoneticPr fontId="14"/>
  </si>
  <si>
    <t>千趣会⑥</t>
    <rPh sb="0" eb="3">
      <t>センシュカイ</t>
    </rPh>
    <phoneticPr fontId="14"/>
  </si>
  <si>
    <t>JOD返品</t>
    <rPh sb="3" eb="5">
      <t>ヘンピン</t>
    </rPh>
    <phoneticPr fontId="14"/>
  </si>
  <si>
    <t>ディノス20冬号（2P）⑥</t>
    <rPh sb="6" eb="8">
      <t>フユゴウ</t>
    </rPh>
    <phoneticPr fontId="14"/>
  </si>
  <si>
    <t>JOD④</t>
    <phoneticPr fontId="14"/>
  </si>
  <si>
    <t>ノースモール(素数）①</t>
    <rPh sb="7" eb="9">
      <t>ソスウ</t>
    </rPh>
    <phoneticPr fontId="14"/>
  </si>
  <si>
    <t>2020/12/1伝</t>
    <rPh sb="9" eb="10">
      <t>デン</t>
    </rPh>
    <phoneticPr fontId="14"/>
  </si>
  <si>
    <t>千趣会⑦</t>
    <rPh sb="0" eb="3">
      <t>センシュカイ</t>
    </rPh>
    <phoneticPr fontId="14"/>
  </si>
  <si>
    <t>ネット返品</t>
    <rPh sb="3" eb="5">
      <t>ヘンピン</t>
    </rPh>
    <phoneticPr fontId="14"/>
  </si>
  <si>
    <t>千趣会⑧</t>
    <phoneticPr fontId="14"/>
  </si>
  <si>
    <t>在庫調整</t>
    <rPh sb="0" eb="4">
      <t>ザイコチョウセイ</t>
    </rPh>
    <phoneticPr fontId="14"/>
  </si>
  <si>
    <t>ノースモール(素数）②</t>
    <rPh sb="7" eb="9">
      <t>ソスウ</t>
    </rPh>
    <phoneticPr fontId="14"/>
  </si>
  <si>
    <t>くらしサンプル返却</t>
    <rPh sb="7" eb="9">
      <t>ヘンキャク</t>
    </rPh>
    <phoneticPr fontId="14"/>
  </si>
  <si>
    <t>KPORT</t>
    <phoneticPr fontId="14"/>
  </si>
  <si>
    <t>ネット</t>
    <phoneticPr fontId="14"/>
  </si>
  <si>
    <t>ノースモール(素数）③</t>
    <rPh sb="7" eb="9">
      <t>ソスウ</t>
    </rPh>
    <phoneticPr fontId="14"/>
  </si>
  <si>
    <t>ニッセン②</t>
    <phoneticPr fontId="14"/>
  </si>
  <si>
    <t>サクラマチsample</t>
    <phoneticPr fontId="14"/>
  </si>
  <si>
    <t>ニッセン③</t>
    <phoneticPr fontId="14"/>
  </si>
  <si>
    <t>ノースモール(素数）④</t>
    <rPh sb="7" eb="9">
      <t>ソスウ</t>
    </rPh>
    <phoneticPr fontId="14"/>
  </si>
  <si>
    <t>ディノス20冬号（2P）⑦</t>
    <rPh sb="6" eb="8">
      <t>フユゴウ</t>
    </rPh>
    <phoneticPr fontId="14"/>
  </si>
  <si>
    <t>ディノス再納品</t>
    <rPh sb="4" eb="7">
      <t>サイノウヒン</t>
    </rPh>
    <phoneticPr fontId="14"/>
  </si>
  <si>
    <t>ディノス20冬号（2P）⑧</t>
    <rPh sb="6" eb="8">
      <t>フユゴウ</t>
    </rPh>
    <phoneticPr fontId="14"/>
  </si>
  <si>
    <t>ニッセン④</t>
    <phoneticPr fontId="14"/>
  </si>
  <si>
    <t>ニッセン⑤</t>
    <phoneticPr fontId="14"/>
  </si>
  <si>
    <t>在庫確認</t>
    <rPh sb="0" eb="4">
      <t>ザイコカクニン</t>
    </rPh>
    <phoneticPr fontId="14"/>
  </si>
  <si>
    <t>千趣会①</t>
    <phoneticPr fontId="14"/>
  </si>
  <si>
    <t>ニッセン⑥</t>
    <phoneticPr fontId="14"/>
  </si>
  <si>
    <t>夢販</t>
    <rPh sb="0" eb="2">
      <t>ユメハン</t>
    </rPh>
    <phoneticPr fontId="14"/>
  </si>
  <si>
    <t>ニッセン⑦</t>
    <phoneticPr fontId="14"/>
  </si>
  <si>
    <t>ニッセン⑧</t>
    <phoneticPr fontId="14"/>
  </si>
  <si>
    <t>千趣会②</t>
    <phoneticPr fontId="14"/>
  </si>
  <si>
    <t>夢販</t>
    <rPh sb="0" eb="2">
      <t>ユメハン</t>
    </rPh>
    <phoneticPr fontId="14"/>
  </si>
  <si>
    <t>千趣会③</t>
    <phoneticPr fontId="14"/>
  </si>
  <si>
    <t>ノースモール</t>
    <phoneticPr fontId="14"/>
  </si>
  <si>
    <t>千趣会④</t>
    <phoneticPr fontId="14"/>
  </si>
  <si>
    <t>夢販</t>
    <rPh sb="0" eb="2">
      <t>ユメハン</t>
    </rPh>
    <phoneticPr fontId="14"/>
  </si>
  <si>
    <t>千趣会⑤</t>
    <phoneticPr fontId="14"/>
  </si>
  <si>
    <t>西夢</t>
    <rPh sb="0" eb="2">
      <t>ニシユメ</t>
    </rPh>
    <phoneticPr fontId="14"/>
  </si>
  <si>
    <t>夢販</t>
    <rPh sb="0" eb="2">
      <t>ユメハン</t>
    </rPh>
    <phoneticPr fontId="14"/>
  </si>
  <si>
    <t>千趣会⑥</t>
    <phoneticPr fontId="14"/>
  </si>
  <si>
    <t>千趣会⑦</t>
    <phoneticPr fontId="14"/>
  </si>
  <si>
    <t>西夢</t>
    <rPh sb="0" eb="2">
      <t>ニシユメ</t>
    </rPh>
    <phoneticPr fontId="14"/>
  </si>
  <si>
    <t>西夢</t>
    <rPh sb="0" eb="2">
      <t>ニシユメ</t>
    </rPh>
    <phoneticPr fontId="14"/>
  </si>
  <si>
    <t>夢販</t>
    <rPh sb="0" eb="2">
      <t>ユメハン</t>
    </rPh>
    <phoneticPr fontId="14"/>
  </si>
  <si>
    <t>棚卸</t>
    <rPh sb="0" eb="2">
      <t>タナオロシ</t>
    </rPh>
    <phoneticPr fontId="14"/>
  </si>
  <si>
    <t>夢販</t>
    <rPh sb="0" eb="2">
      <t>ユメハン</t>
    </rPh>
    <phoneticPr fontId="14"/>
  </si>
  <si>
    <t>西夢</t>
    <rPh sb="0" eb="1">
      <t>ニシ</t>
    </rPh>
    <rPh sb="1" eb="2">
      <t>ユメ</t>
    </rPh>
    <phoneticPr fontId="14"/>
  </si>
  <si>
    <t>西夢</t>
    <rPh sb="0" eb="2">
      <t>ニシユメ</t>
    </rPh>
    <phoneticPr fontId="14"/>
  </si>
  <si>
    <t>ノースモール返品</t>
    <rPh sb="6" eb="8">
      <t>ヘンピン</t>
    </rPh>
    <phoneticPr fontId="14"/>
  </si>
  <si>
    <t>楽天倉庫</t>
    <rPh sb="0" eb="2">
      <t>ラクテン</t>
    </rPh>
    <rPh sb="2" eb="4">
      <t>ソウコ</t>
    </rPh>
    <phoneticPr fontId="14"/>
  </si>
  <si>
    <t>西夢</t>
    <rPh sb="0" eb="2">
      <t>ニシユメ</t>
    </rPh>
    <phoneticPr fontId="14"/>
  </si>
  <si>
    <t>西夢</t>
    <rPh sb="0" eb="2">
      <t>ニシユメ</t>
    </rPh>
    <phoneticPr fontId="14"/>
  </si>
  <si>
    <t>コープきんき田中バイヤー</t>
    <rPh sb="6" eb="8">
      <t>タナカ</t>
    </rPh>
    <phoneticPr fontId="14"/>
  </si>
  <si>
    <t>西夢</t>
    <rPh sb="0" eb="2">
      <t>ニシユメ</t>
    </rPh>
    <phoneticPr fontId="14"/>
  </si>
  <si>
    <t>夢販</t>
    <rPh sb="0" eb="2">
      <t>ユメハン</t>
    </rPh>
    <phoneticPr fontId="14"/>
  </si>
  <si>
    <t>西夢</t>
    <rPh sb="0" eb="2">
      <t>ニシユメ</t>
    </rPh>
    <phoneticPr fontId="14"/>
  </si>
  <si>
    <t>西夢</t>
    <rPh sb="0" eb="2">
      <t>ニシユメ</t>
    </rPh>
    <phoneticPr fontId="14"/>
  </si>
  <si>
    <t>西夢</t>
    <rPh sb="0" eb="2">
      <t>ニシユメ</t>
    </rPh>
    <phoneticPr fontId="14"/>
  </si>
  <si>
    <t>オバタ１０月３回￥1480</t>
    <rPh sb="5" eb="6">
      <t>ガツ</t>
    </rPh>
    <rPh sb="7" eb="8">
      <t>カイ</t>
    </rPh>
    <phoneticPr fontId="14"/>
  </si>
  <si>
    <t>10/9、14</t>
    <phoneticPr fontId="14"/>
  </si>
  <si>
    <t>西夢</t>
    <rPh sb="0" eb="2">
      <t>ニシユメ</t>
    </rPh>
    <phoneticPr fontId="14"/>
  </si>
  <si>
    <t>楽天倉庫より返却</t>
    <rPh sb="0" eb="2">
      <t>ラクテン</t>
    </rPh>
    <rPh sb="2" eb="4">
      <t>ソウコ</t>
    </rPh>
    <rPh sb="6" eb="8">
      <t>ヘンキャク</t>
    </rPh>
    <phoneticPr fontId="14"/>
  </si>
  <si>
    <t>在庫確認</t>
    <rPh sb="0" eb="4">
      <t>ザイコカクニン</t>
    </rPh>
    <phoneticPr fontId="14"/>
  </si>
  <si>
    <t>K-PORT</t>
    <phoneticPr fontId="14"/>
  </si>
  <si>
    <t>夢販</t>
    <rPh sb="0" eb="2">
      <t>ユメハン</t>
    </rPh>
    <phoneticPr fontId="14"/>
  </si>
  <si>
    <t>オバタ１０月３回￥1480①</t>
    <rPh sb="5" eb="6">
      <t>ガツ</t>
    </rPh>
    <rPh sb="7" eb="8">
      <t>カイ</t>
    </rPh>
    <phoneticPr fontId="14"/>
  </si>
  <si>
    <t>西夢</t>
    <rPh sb="0" eb="2">
      <t>ニシユメ</t>
    </rPh>
    <phoneticPr fontId="14"/>
  </si>
  <si>
    <t>オバタ１０月３回￥1480②</t>
    <rPh sb="5" eb="6">
      <t>ガツ</t>
    </rPh>
    <rPh sb="7" eb="8">
      <t>カイ</t>
    </rPh>
    <phoneticPr fontId="14"/>
  </si>
  <si>
    <t>オバタ１０月３回￥1480③</t>
    <rPh sb="5" eb="6">
      <t>ガツ</t>
    </rPh>
    <rPh sb="7" eb="8">
      <t>カイ</t>
    </rPh>
    <phoneticPr fontId="14"/>
  </si>
  <si>
    <t>オバタ返品</t>
    <rPh sb="3" eb="5">
      <t>ヘンピン</t>
    </rPh>
    <phoneticPr fontId="14"/>
  </si>
  <si>
    <t>西夢</t>
    <rPh sb="0" eb="2">
      <t>ニシユメ</t>
    </rPh>
    <phoneticPr fontId="14"/>
  </si>
  <si>
    <t>夢販</t>
    <rPh sb="0" eb="2">
      <t>ユメハン</t>
    </rPh>
    <phoneticPr fontId="14"/>
  </si>
  <si>
    <t>西夢</t>
    <rPh sb="0" eb="2">
      <t>ニシユメ</t>
    </rPh>
    <phoneticPr fontId="14"/>
  </si>
  <si>
    <t>西夢取り置き</t>
    <rPh sb="0" eb="3">
      <t>ニシユメト</t>
    </rPh>
    <rPh sb="4" eb="5">
      <t>オ</t>
    </rPh>
    <phoneticPr fontId="14"/>
  </si>
  <si>
    <t>8/1～</t>
    <phoneticPr fontId="14"/>
  </si>
  <si>
    <t>JOD特別号9659【限定】</t>
    <rPh sb="3" eb="6">
      <t>トクベツゴウ</t>
    </rPh>
    <rPh sb="11" eb="13">
      <t>ゲンテイ</t>
    </rPh>
    <phoneticPr fontId="14"/>
  </si>
  <si>
    <t>JOD</t>
    <phoneticPr fontId="14"/>
  </si>
  <si>
    <t>←ここまで式確認2025/8/28</t>
    <rPh sb="0" eb="8">
      <t>&lt;-ココマデシキカクニン</t>
    </rPh>
    <phoneticPr fontId="14"/>
  </si>
  <si>
    <t>夢販</t>
    <rPh sb="0" eb="2">
      <t>ユメハン</t>
    </rPh>
    <phoneticPr fontId="14"/>
  </si>
  <si>
    <t>西夢</t>
    <rPh sb="0" eb="2">
      <t>ニシユメ</t>
    </rPh>
    <phoneticPr fontId="14"/>
  </si>
  <si>
    <t>西夢</t>
    <rPh sb="0" eb="2">
      <t>ニシユメ</t>
    </rPh>
    <phoneticPr fontId="14"/>
  </si>
  <si>
    <t>西夢取り置き</t>
    <rPh sb="0" eb="3">
      <t>ニシユメト</t>
    </rPh>
    <rPh sb="4" eb="5">
      <t>オ</t>
    </rPh>
    <phoneticPr fontId="14"/>
  </si>
  <si>
    <t>西夢</t>
    <rPh sb="0" eb="2">
      <t>ニシユメ</t>
    </rPh>
    <phoneticPr fontId="14"/>
  </si>
  <si>
    <t>ゆめはん</t>
    <phoneticPr fontId="14"/>
  </si>
  <si>
    <t>夢販</t>
    <rPh sb="0" eb="2">
      <t>y</t>
    </rPh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</si>
</sst>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2" fillId="0" borderId="0"/>
    <xf numFmtId="9" fontId="15" fillId="0" borderId="0" applyFont="0" applyFill="0" applyBorder="0" applyAlignment="0" applyProtection="0">
      <alignment vertical="center"/>
    </xf>
  </cellStyleXfs>
  <cellXfs count="87">
    <xf numFmtId="0" fontId="0" fillId="0" borderId="0" xfId="0">
      <alignment vertical="center"/>
    </xf>
    <xf numFmtId="0" fontId="1" fillId="0" borderId="0" xfId="1">
      <alignment vertical="center"/>
    </xf>
    <xf numFmtId="0" fontId="2" fillId="0" borderId="0" xfId="2"/>
    <xf numFmtId="0" fontId="4" fillId="0" borderId="1" xfId="2" applyFont="1" applyBorder="1" applyAlignment="1">
      <alignment horizontal="center" vertical="center"/>
    </xf>
    <xf numFmtId="0" fontId="2" fillId="0" borderId="2" xfId="2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7" fillId="0" borderId="0" xfId="2" applyFont="1"/>
    <xf numFmtId="0" fontId="5" fillId="0" borderId="3" xfId="2" applyFont="1" applyBorder="1" applyAlignment="1">
      <alignment horizontal="center" vertical="center"/>
    </xf>
    <xf numFmtId="0" fontId="2" fillId="0" borderId="5" xfId="2" applyBorder="1"/>
    <xf numFmtId="0" fontId="2" fillId="2" borderId="3" xfId="2" applyFill="1" applyBorder="1"/>
    <xf numFmtId="0" fontId="6" fillId="2" borderId="3" xfId="2" applyFont="1" applyFill="1" applyBorder="1"/>
    <xf numFmtId="0" fontId="4" fillId="0" borderId="6" xfId="2" applyFont="1" applyBorder="1" applyAlignment="1">
      <alignment horizontal="center" vertical="center"/>
    </xf>
    <xf numFmtId="0" fontId="2" fillId="0" borderId="4" xfId="2" applyBorder="1"/>
    <xf numFmtId="0" fontId="2" fillId="0" borderId="2" xfId="2" applyBorder="1"/>
    <xf numFmtId="0" fontId="2" fillId="0" borderId="8" xfId="2" applyBorder="1" applyAlignment="1">
      <alignment horizontal="center" vertical="center"/>
    </xf>
    <xf numFmtId="0" fontId="2" fillId="0" borderId="9" xfId="2" applyBorder="1"/>
    <xf numFmtId="0" fontId="2" fillId="0" borderId="8" xfId="2" applyBorder="1"/>
    <xf numFmtId="0" fontId="2" fillId="0" borderId="10" xfId="2" applyBorder="1"/>
    <xf numFmtId="0" fontId="2" fillId="0" borderId="4" xfId="2" applyBorder="1" applyAlignment="1">
      <alignment horizontal="center" vertical="center"/>
    </xf>
    <xf numFmtId="0" fontId="2" fillId="0" borderId="4" xfId="2" applyBorder="1" applyAlignment="1">
      <alignment horizontal="center"/>
    </xf>
    <xf numFmtId="0" fontId="2" fillId="0" borderId="2" xfId="2" applyBorder="1" applyAlignment="1">
      <alignment horizontal="center"/>
    </xf>
    <xf numFmtId="0" fontId="2" fillId="0" borderId="11" xfId="2" applyBorder="1" applyAlignment="1">
      <alignment horizontal="center"/>
    </xf>
    <xf numFmtId="0" fontId="2" fillId="0" borderId="7" xfId="2" applyBorder="1" applyAlignment="1">
      <alignment horizontal="center"/>
    </xf>
    <xf numFmtId="56" fontId="2" fillId="0" borderId="0" xfId="1" applyNumberFormat="1" applyFont="1" applyAlignment="1">
      <alignment horizontal="left" vertical="center"/>
    </xf>
    <xf numFmtId="0" fontId="2" fillId="0" borderId="0" xfId="1" applyFont="1">
      <alignment vertical="center"/>
    </xf>
    <xf numFmtId="0" fontId="11" fillId="0" borderId="0" xfId="1" applyFont="1">
      <alignment vertical="center"/>
    </xf>
    <xf numFmtId="56" fontId="11" fillId="0" borderId="0" xfId="1" applyNumberFormat="1" applyFont="1" applyAlignment="1">
      <alignment horizontal="left" vertical="center"/>
    </xf>
    <xf numFmtId="56" fontId="13" fillId="0" borderId="0" xfId="1" applyNumberFormat="1" applyFont="1" applyAlignment="1">
      <alignment horizontal="left" vertical="center"/>
    </xf>
    <xf numFmtId="0" fontId="4" fillId="0" borderId="8" xfId="2" applyFont="1" applyBorder="1" applyAlignment="1">
      <alignment horizontal="center" vertical="center"/>
    </xf>
    <xf numFmtId="0" fontId="2" fillId="0" borderId="10" xfId="2" applyBorder="1" applyAlignment="1">
      <alignment horizontal="center" vertical="center"/>
    </xf>
    <xf numFmtId="0" fontId="11" fillId="0" borderId="0" xfId="1" applyFont="1" applyAlignment="1">
      <alignment horizontal="left" vertical="center"/>
    </xf>
    <xf numFmtId="0" fontId="10" fillId="0" borderId="0" xfId="1" applyFont="1" applyAlignment="1">
      <alignment horizontal="left" vertical="center"/>
    </xf>
    <xf numFmtId="56" fontId="10" fillId="0" borderId="0" xfId="1" applyNumberFormat="1" applyFont="1" applyAlignment="1">
      <alignment horizontal="left" vertical="center"/>
    </xf>
    <xf numFmtId="0" fontId="12" fillId="0" borderId="1" xfId="2" applyFont="1" applyBorder="1" applyAlignment="1">
      <alignment horizontal="center" vertical="center"/>
    </xf>
    <xf numFmtId="0" fontId="13" fillId="0" borderId="12" xfId="2" applyFont="1" applyBorder="1" applyAlignment="1">
      <alignment horizontal="center" vertical="center"/>
    </xf>
    <xf numFmtId="0" fontId="13" fillId="0" borderId="1" xfId="2" applyFont="1" applyBorder="1" applyAlignment="1">
      <alignment horizontal="center" vertical="center"/>
    </xf>
    <xf numFmtId="0" fontId="13" fillId="2" borderId="1" xfId="2" applyFont="1" applyFill="1" applyBorder="1"/>
    <xf numFmtId="0" fontId="9" fillId="0" borderId="2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2" fillId="0" borderId="2" xfId="2" applyBorder="1" applyAlignment="1">
      <alignment horizontal="right" vertical="center"/>
    </xf>
    <xf numFmtId="0" fontId="7" fillId="3" borderId="0" xfId="2" applyFont="1" applyFill="1"/>
    <xf numFmtId="0" fontId="1" fillId="3" borderId="0" xfId="1" applyFill="1">
      <alignment vertical="center"/>
    </xf>
    <xf numFmtId="0" fontId="2" fillId="3" borderId="0" xfId="2" applyFill="1"/>
    <xf numFmtId="0" fontId="6" fillId="0" borderId="1" xfId="2" applyFont="1" applyBorder="1" applyAlignment="1">
      <alignment horizontal="center"/>
    </xf>
    <xf numFmtId="0" fontId="6" fillId="4" borderId="1" xfId="2" applyFont="1" applyFill="1" applyBorder="1" applyAlignment="1">
      <alignment horizontal="center"/>
    </xf>
    <xf numFmtId="0" fontId="2" fillId="2" borderId="8" xfId="2" applyFill="1" applyBorder="1"/>
    <xf numFmtId="0" fontId="2" fillId="2" borderId="13" xfId="2" applyFill="1" applyBorder="1"/>
    <xf numFmtId="0" fontId="2" fillId="2" borderId="1" xfId="2" applyFill="1" applyBorder="1"/>
    <xf numFmtId="0" fontId="2" fillId="0" borderId="12" xfId="2" applyBorder="1" applyAlignment="1">
      <alignment horizontal="center" vertical="center"/>
    </xf>
    <xf numFmtId="0" fontId="2" fillId="0" borderId="1" xfId="2" applyBorder="1" applyAlignment="1">
      <alignment horizontal="center" vertical="center"/>
    </xf>
    <xf numFmtId="176" fontId="2" fillId="0" borderId="5" xfId="2" applyNumberFormat="1" applyBorder="1" applyAlignment="1">
      <alignment horizontal="right"/>
    </xf>
    <xf numFmtId="0" fontId="2" fillId="0" borderId="5" xfId="2" applyBorder="1" applyAlignment="1">
      <alignment horizontal="right"/>
    </xf>
    <xf numFmtId="0" fontId="2" fillId="0" borderId="2" xfId="2" applyBorder="1" applyAlignment="1">
      <alignment horizontal="right"/>
    </xf>
    <xf numFmtId="0" fontId="11" fillId="0" borderId="0" xfId="0" applyFont="1">
      <alignment vertical="center"/>
    </xf>
    <xf numFmtId="0" fontId="2" fillId="0" borderId="4" xfId="2" applyBorder="1" applyAlignment="1">
      <alignment horizontal="right"/>
    </xf>
    <xf numFmtId="0" fontId="2" fillId="2" borderId="2" xfId="2" applyFill="1" applyBorder="1"/>
    <xf numFmtId="9" fontId="1" fillId="0" borderId="0" xfId="3" applyFont="1">
      <alignment vertical="center"/>
    </xf>
    <xf numFmtId="0" fontId="0" fillId="0" borderId="14" xfId="0" applyBorder="1">
      <alignment vertical="center"/>
    </xf>
    <xf numFmtId="0" fontId="12" fillId="0" borderId="8" xfId="2" applyFont="1" applyBorder="1" applyAlignment="1">
      <alignment horizontal="center" vertical="center"/>
    </xf>
    <xf numFmtId="0" fontId="13" fillId="0" borderId="11" xfId="2" applyFont="1" applyBorder="1" applyAlignment="1">
      <alignment horizontal="center"/>
    </xf>
    <xf numFmtId="0" fontId="13" fillId="0" borderId="7" xfId="2" applyFont="1" applyBorder="1" applyAlignment="1">
      <alignment horizontal="center"/>
    </xf>
    <xf numFmtId="0" fontId="13" fillId="2" borderId="8" xfId="2" applyFont="1" applyFill="1" applyBorder="1"/>
    <xf numFmtId="56" fontId="1" fillId="0" borderId="0" xfId="1" applyNumberFormat="1">
      <alignment vertical="center"/>
    </xf>
    <xf numFmtId="0" fontId="11" fillId="0" borderId="14" xfId="0" applyFont="1" applyBorder="1" applyAlignment="1">
      <alignment horizontal="center" vertical="center"/>
    </xf>
    <xf numFmtId="56" fontId="11" fillId="0" borderId="0" xfId="1" applyNumberFormat="1" applyFont="1">
      <alignment vertical="center"/>
    </xf>
    <xf numFmtId="56" fontId="11" fillId="0" borderId="0" xfId="1" applyNumberFormat="1" applyFont="1" applyAlignment="1">
      <alignment horizontal="right" vertical="center"/>
    </xf>
    <xf numFmtId="0" fontId="2" fillId="0" borderId="10" xfId="2" applyBorder="1" applyAlignment="1">
      <alignment horizontal="right" vertical="center"/>
    </xf>
    <xf numFmtId="0" fontId="2" fillId="0" borderId="4" xfId="2" applyBorder="1" applyAlignment="1">
      <alignment horizontal="right" vertical="center"/>
    </xf>
    <xf numFmtId="0" fontId="16" fillId="0" borderId="14" xfId="0" applyFont="1" applyBorder="1" applyAlignment="1">
      <alignment horizontal="center" vertical="center"/>
    </xf>
    <xf numFmtId="0" fontId="12" fillId="0" borderId="10" xfId="2" applyFont="1" applyBorder="1" applyAlignment="1">
      <alignment horizontal="center" vertical="center"/>
    </xf>
    <xf numFmtId="0" fontId="12" fillId="2" borderId="8" xfId="2" applyFont="1" applyFill="1" applyBorder="1"/>
    <xf numFmtId="56" fontId="12" fillId="0" borderId="0" xfId="1" applyNumberFormat="1" applyFont="1" applyAlignment="1">
      <alignment horizontal="left" vertical="center"/>
    </xf>
    <xf numFmtId="56" fontId="11" fillId="0" borderId="0" xfId="0" applyNumberFormat="1" applyFont="1">
      <alignment vertical="center"/>
    </xf>
    <xf numFmtId="56" fontId="0" fillId="0" borderId="0" xfId="0" applyNumberFormat="1">
      <alignment vertical="center"/>
    </xf>
    <xf numFmtId="0" fontId="10" fillId="0" borderId="0" xfId="0" applyFont="1">
      <alignment vertical="center"/>
    </xf>
    <xf numFmtId="0" fontId="2" fillId="5" borderId="3" xfId="2" applyFill="1" applyBorder="1"/>
    <xf numFmtId="0" fontId="6" fillId="5" borderId="3" xfId="2" applyFont="1" applyFill="1" applyBorder="1"/>
    <xf numFmtId="0" fontId="17" fillId="0" borderId="8" xfId="2" applyFont="1" applyBorder="1" applyAlignment="1">
      <alignment horizontal="center" vertical="center"/>
    </xf>
    <xf numFmtId="0" fontId="18" fillId="0" borderId="4" xfId="2" applyFont="1" applyBorder="1" applyAlignment="1">
      <alignment horizontal="center"/>
    </xf>
    <xf numFmtId="0" fontId="18" fillId="0" borderId="2" xfId="2" applyFont="1" applyBorder="1" applyAlignment="1">
      <alignment horizontal="center"/>
    </xf>
    <xf numFmtId="0" fontId="18" fillId="2" borderId="8" xfId="2" applyFont="1" applyFill="1" applyBorder="1"/>
    <xf numFmtId="56" fontId="1" fillId="0" borderId="0" xfId="0" applyNumberFormat="1" applyFont="1">
      <alignment vertical="center"/>
    </xf>
    <xf numFmtId="0" fontId="18" fillId="0" borderId="2" xfId="2" applyFont="1" applyBorder="1" applyAlignment="1">
      <alignment horizontal="center" vertical="center"/>
    </xf>
    <xf numFmtId="0" fontId="18" fillId="0" borderId="5" xfId="2" applyFont="1" applyBorder="1"/>
    <xf numFmtId="0" fontId="18" fillId="0" borderId="2" xfId="2" applyFont="1" applyBorder="1"/>
    <xf numFmtId="0" fontId="18" fillId="0" borderId="4" xfId="2" applyFont="1" applyBorder="1"/>
  </cellXfs>
  <cellStyles count="4">
    <cellStyle name="パーセント" xfId="3" builtinId="5"/>
    <cellStyle name="標準" xfId="0" builtinId="0"/>
    <cellStyle name="標準 2" xfId="2" xr:uid="{00000000-0005-0000-0000-000002000000}"/>
    <cellStyle name="標準 3" xfId="1" xr:uid="{00000000-0005-0000-0000-000003000000}"/>
  </cellStyles>
  <dxfs count="0"/>
  <tableStyles count="0" defaultTableStyle="TableStyleMedium9" defaultPivotStyle="PivotStyleLight16"/>
  <colors>
    <mruColors>
      <color rgb="FFFFFF99"/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27"/>
  <sheetViews>
    <sheetView tabSelected="1" topLeftCell="A1299" zoomScale="90" zoomScaleNormal="90" workbookViewId="0">
      <selection activeCell="G1316" sqref="G1316"/>
    </sheetView>
  </sheetViews>
  <sheetFormatPr defaultRowHeight="13.5" x14ac:dyDescent="0.15"/>
  <cols>
    <col min="1" max="1" width="14.125" customWidth="1"/>
    <col min="2" max="2" width="23.375" customWidth="1"/>
    <col min="3" max="6" width="13.375" customWidth="1"/>
    <col min="7" max="7" width="9.125" customWidth="1"/>
    <col min="8" max="8" width="25.375" customWidth="1"/>
    <col min="9" max="12" width="13.375" customWidth="1"/>
    <col min="13" max="13" width="9.25" bestFit="1" customWidth="1"/>
  </cols>
  <sheetData>
    <row r="1" spans="1:17" ht="18.75" x14ac:dyDescent="0.2">
      <c r="A1" s="41" t="s">
        <v>12</v>
      </c>
      <c r="B1" s="42"/>
      <c r="C1" s="41"/>
      <c r="D1" s="43"/>
      <c r="E1" s="43"/>
      <c r="F1" s="2"/>
      <c r="G1" s="1"/>
      <c r="H1" s="41" t="s">
        <v>12</v>
      </c>
      <c r="I1" s="41"/>
      <c r="J1" s="43"/>
      <c r="K1" s="43"/>
      <c r="L1" s="2"/>
      <c r="M1" s="1"/>
      <c r="N1" s="1"/>
    </row>
    <row r="2" spans="1:17" ht="19.5" thickBot="1" x14ac:dyDescent="0.25">
      <c r="A2" s="7"/>
      <c r="B2" s="7" t="s">
        <v>0</v>
      </c>
      <c r="C2" s="7"/>
      <c r="D2" s="7" t="s">
        <v>15</v>
      </c>
      <c r="E2" s="2"/>
      <c r="F2" s="2"/>
      <c r="G2" s="1"/>
      <c r="H2" s="7" t="s">
        <v>1</v>
      </c>
      <c r="I2" s="1"/>
      <c r="J2" s="7" t="s">
        <v>15</v>
      </c>
      <c r="K2" s="2"/>
      <c r="L2" s="2"/>
      <c r="M2" s="1"/>
      <c r="N2" s="1"/>
    </row>
    <row r="3" spans="1:17" ht="14.25" thickBot="1" x14ac:dyDescent="0.2">
      <c r="A3" s="1"/>
      <c r="B3" s="3"/>
      <c r="C3" s="5" t="s">
        <v>2</v>
      </c>
      <c r="D3" s="3" t="s">
        <v>3</v>
      </c>
      <c r="E3" s="12" t="s">
        <v>4</v>
      </c>
      <c r="F3" s="3" t="s">
        <v>5</v>
      </c>
      <c r="G3" s="1"/>
      <c r="H3" s="3"/>
      <c r="I3" s="5" t="s">
        <v>2</v>
      </c>
      <c r="J3" s="3" t="s">
        <v>3</v>
      </c>
      <c r="K3" s="12" t="s">
        <v>4</v>
      </c>
      <c r="L3" s="3" t="s">
        <v>5</v>
      </c>
      <c r="M3" s="1"/>
      <c r="N3" s="1"/>
    </row>
    <row r="4" spans="1:17" ht="14.25" thickBot="1" x14ac:dyDescent="0.2">
      <c r="A4" s="1"/>
      <c r="B4" s="3" t="s">
        <v>6</v>
      </c>
      <c r="C4" s="49">
        <v>2</v>
      </c>
      <c r="D4" s="50">
        <v>2</v>
      </c>
      <c r="E4" s="49"/>
      <c r="F4" s="48">
        <f>SUM(C4:E4)</f>
        <v>4</v>
      </c>
      <c r="G4" s="24">
        <v>43970</v>
      </c>
      <c r="H4" s="3" t="s">
        <v>13</v>
      </c>
      <c r="I4" s="49">
        <v>1300</v>
      </c>
      <c r="J4" s="50">
        <v>870</v>
      </c>
      <c r="K4" s="49">
        <v>380</v>
      </c>
      <c r="L4" s="48">
        <f>SUM(I4:K4)</f>
        <v>2550</v>
      </c>
      <c r="M4" s="24" t="s">
        <v>32</v>
      </c>
      <c r="N4" s="1"/>
    </row>
    <row r="5" spans="1:17" x14ac:dyDescent="0.15">
      <c r="A5" s="1"/>
      <c r="B5" s="29" t="s">
        <v>7</v>
      </c>
      <c r="C5" s="30">
        <v>100</v>
      </c>
      <c r="D5" s="15">
        <v>100</v>
      </c>
      <c r="E5" s="30">
        <v>100</v>
      </c>
      <c r="F5" s="46">
        <f>SUM(C5:E5)</f>
        <v>300</v>
      </c>
      <c r="G5" s="24">
        <v>44025</v>
      </c>
      <c r="H5" s="29" t="s">
        <v>7</v>
      </c>
      <c r="I5" s="30"/>
      <c r="J5" s="15"/>
      <c r="K5" s="30"/>
      <c r="L5" s="46">
        <f>SUM(I5:K5)</f>
        <v>0</v>
      </c>
      <c r="M5" s="24" t="s">
        <v>14</v>
      </c>
      <c r="N5" s="1"/>
    </row>
    <row r="6" spans="1:17" x14ac:dyDescent="0.15">
      <c r="A6" s="1"/>
      <c r="B6" s="29" t="s">
        <v>7</v>
      </c>
      <c r="C6" s="19"/>
      <c r="D6" s="4"/>
      <c r="E6" s="19"/>
      <c r="F6" s="46">
        <f>SUM(C6:E6)</f>
        <v>0</v>
      </c>
      <c r="G6" s="24"/>
      <c r="H6" s="29" t="s">
        <v>7</v>
      </c>
      <c r="I6" s="19"/>
      <c r="J6" s="4"/>
      <c r="K6" s="19"/>
      <c r="L6" s="46">
        <f>SUM(I6:K6)</f>
        <v>0</v>
      </c>
      <c r="M6" s="27"/>
      <c r="N6" s="1"/>
    </row>
    <row r="7" spans="1:17" x14ac:dyDescent="0.15">
      <c r="A7" s="1"/>
      <c r="B7" s="29" t="s">
        <v>7</v>
      </c>
      <c r="C7" s="19"/>
      <c r="D7" s="4"/>
      <c r="E7" s="19"/>
      <c r="F7" s="46">
        <f t="shared" ref="F7:F14" si="0">SUM(C7:E7)</f>
        <v>0</v>
      </c>
      <c r="G7" s="24"/>
      <c r="H7" s="29" t="s">
        <v>7</v>
      </c>
      <c r="I7" s="19"/>
      <c r="J7" s="4"/>
      <c r="K7" s="19"/>
      <c r="L7" s="46">
        <f t="shared" ref="L7:L14" si="1">SUM(I7:K7)</f>
        <v>0</v>
      </c>
      <c r="M7" s="27"/>
      <c r="N7" s="57"/>
      <c r="O7" s="57"/>
      <c r="P7" s="57"/>
      <c r="Q7" s="57"/>
    </row>
    <row r="8" spans="1:17" x14ac:dyDescent="0.15">
      <c r="A8" s="1"/>
      <c r="B8" s="29" t="s">
        <v>7</v>
      </c>
      <c r="C8" s="22"/>
      <c r="D8" s="23"/>
      <c r="E8" s="22"/>
      <c r="F8" s="46">
        <f t="shared" si="0"/>
        <v>0</v>
      </c>
      <c r="G8" s="27"/>
      <c r="H8" s="29" t="s">
        <v>7</v>
      </c>
      <c r="I8" s="22"/>
      <c r="J8" s="23"/>
      <c r="K8" s="22"/>
      <c r="L8" s="46">
        <f t="shared" si="1"/>
        <v>0</v>
      </c>
      <c r="M8" s="27"/>
      <c r="N8" s="1"/>
    </row>
    <row r="9" spans="1:17" x14ac:dyDescent="0.15">
      <c r="A9" s="1"/>
      <c r="B9" s="29" t="s">
        <v>7</v>
      </c>
      <c r="C9" s="22"/>
      <c r="D9" s="23"/>
      <c r="E9" s="22"/>
      <c r="F9" s="46">
        <f t="shared" si="0"/>
        <v>0</v>
      </c>
      <c r="G9" s="27"/>
      <c r="H9" s="29" t="s">
        <v>7</v>
      </c>
      <c r="I9" s="22"/>
      <c r="J9" s="23"/>
      <c r="K9" s="22"/>
      <c r="L9" s="46">
        <f t="shared" si="1"/>
        <v>0</v>
      </c>
      <c r="M9" s="27"/>
      <c r="N9" s="1"/>
    </row>
    <row r="10" spans="1:17" x14ac:dyDescent="0.15">
      <c r="A10" s="1"/>
      <c r="B10" s="29" t="s">
        <v>7</v>
      </c>
      <c r="C10" s="22"/>
      <c r="D10" s="23"/>
      <c r="E10" s="22"/>
      <c r="F10" s="46">
        <f t="shared" si="0"/>
        <v>0</v>
      </c>
      <c r="G10" s="27"/>
      <c r="H10" s="29" t="s">
        <v>7</v>
      </c>
      <c r="I10" s="22"/>
      <c r="J10" s="23"/>
      <c r="K10" s="22"/>
      <c r="L10" s="46">
        <f t="shared" si="1"/>
        <v>0</v>
      </c>
      <c r="M10" s="27"/>
      <c r="N10" s="1"/>
    </row>
    <row r="11" spans="1:17" x14ac:dyDescent="0.15">
      <c r="A11" s="1"/>
      <c r="B11" s="29" t="s">
        <v>7</v>
      </c>
      <c r="C11" s="20"/>
      <c r="D11" s="21"/>
      <c r="E11" s="20"/>
      <c r="F11" s="46">
        <f t="shared" si="0"/>
        <v>0</v>
      </c>
      <c r="G11" s="27"/>
      <c r="H11" s="29" t="s">
        <v>7</v>
      </c>
      <c r="I11" s="20"/>
      <c r="J11" s="21"/>
      <c r="K11" s="20"/>
      <c r="L11" s="46">
        <f t="shared" si="1"/>
        <v>0</v>
      </c>
      <c r="M11" s="1"/>
      <c r="N11" s="1"/>
    </row>
    <row r="12" spans="1:17" x14ac:dyDescent="0.15">
      <c r="A12" s="1"/>
      <c r="B12" s="29" t="s">
        <v>7</v>
      </c>
      <c r="C12" s="20"/>
      <c r="D12" s="21"/>
      <c r="E12" s="20"/>
      <c r="F12" s="46">
        <f t="shared" si="0"/>
        <v>0</v>
      </c>
      <c r="G12" s="27"/>
      <c r="H12" s="29" t="s">
        <v>7</v>
      </c>
      <c r="I12" s="20"/>
      <c r="J12" s="21"/>
      <c r="K12" s="20"/>
      <c r="L12" s="46">
        <f t="shared" si="1"/>
        <v>0</v>
      </c>
      <c r="M12" s="1"/>
      <c r="N12" s="1"/>
    </row>
    <row r="13" spans="1:17" x14ac:dyDescent="0.15">
      <c r="A13" s="1"/>
      <c r="B13" s="29" t="s">
        <v>7</v>
      </c>
      <c r="C13" s="20"/>
      <c r="D13" s="21"/>
      <c r="E13" s="20"/>
      <c r="F13" s="46">
        <f t="shared" si="0"/>
        <v>0</v>
      </c>
      <c r="G13" s="24"/>
      <c r="H13" s="29" t="s">
        <v>7</v>
      </c>
      <c r="I13" s="20"/>
      <c r="J13" s="21"/>
      <c r="K13" s="20"/>
      <c r="L13" s="46">
        <f t="shared" si="1"/>
        <v>0</v>
      </c>
      <c r="M13" s="1"/>
      <c r="N13" s="1"/>
    </row>
    <row r="14" spans="1:17" ht="14.25" thickBot="1" x14ac:dyDescent="0.2">
      <c r="A14" s="1"/>
      <c r="B14" s="29" t="s">
        <v>7</v>
      </c>
      <c r="C14" s="19"/>
      <c r="D14" s="4"/>
      <c r="E14" s="19"/>
      <c r="F14" s="46">
        <f t="shared" si="0"/>
        <v>0</v>
      </c>
      <c r="G14" s="27"/>
      <c r="H14" s="29" t="s">
        <v>7</v>
      </c>
      <c r="I14" s="19"/>
      <c r="J14" s="4"/>
      <c r="K14" s="19"/>
      <c r="L14" s="46">
        <f t="shared" si="1"/>
        <v>0</v>
      </c>
      <c r="M14" s="1"/>
      <c r="N14" s="57"/>
      <c r="O14" s="57"/>
      <c r="P14" s="57"/>
      <c r="Q14" s="57"/>
    </row>
    <row r="15" spans="1:17" ht="14.25" thickBot="1" x14ac:dyDescent="0.2">
      <c r="A15" s="1"/>
      <c r="B15" s="6" t="s">
        <v>8</v>
      </c>
      <c r="C15" s="44">
        <f>SUM(C4:C14)</f>
        <v>102</v>
      </c>
      <c r="D15" s="44">
        <f t="shared" ref="D15:F15" si="2">SUM(D4:D14)</f>
        <v>102</v>
      </c>
      <c r="E15" s="44">
        <f t="shared" si="2"/>
        <v>100</v>
      </c>
      <c r="F15" s="45">
        <f t="shared" si="2"/>
        <v>304</v>
      </c>
      <c r="G15" s="1"/>
      <c r="H15" s="6" t="s">
        <v>8</v>
      </c>
      <c r="I15" s="44">
        <f>SUM(I4:I14)</f>
        <v>1300</v>
      </c>
      <c r="J15" s="44">
        <f t="shared" ref="J15:L15" si="3">SUM(J4:J14)</f>
        <v>870</v>
      </c>
      <c r="K15" s="44">
        <f t="shared" si="3"/>
        <v>380</v>
      </c>
      <c r="L15" s="45">
        <f t="shared" si="3"/>
        <v>2550</v>
      </c>
      <c r="M15" s="1"/>
      <c r="N15" s="1"/>
    </row>
    <row r="16" spans="1:17" x14ac:dyDescent="0.15">
      <c r="A16" s="1"/>
      <c r="B16" s="38" t="s">
        <v>23</v>
      </c>
      <c r="C16" s="9"/>
      <c r="D16" s="14">
        <v>1</v>
      </c>
      <c r="E16" s="13"/>
      <c r="F16" s="46">
        <f>SUM(C16:E16)</f>
        <v>1</v>
      </c>
      <c r="G16" s="24">
        <v>44013</v>
      </c>
      <c r="H16" s="38" t="s">
        <v>20</v>
      </c>
      <c r="I16" s="51">
        <v>2</v>
      </c>
      <c r="J16" s="51">
        <v>2</v>
      </c>
      <c r="K16" s="51"/>
      <c r="L16" s="46">
        <f>SUM(I16:K16)</f>
        <v>4</v>
      </c>
      <c r="M16" s="24">
        <v>43970</v>
      </c>
      <c r="N16" s="1"/>
    </row>
    <row r="17" spans="2:14" x14ac:dyDescent="0.15">
      <c r="B17" s="4" t="s">
        <v>25</v>
      </c>
      <c r="C17" s="9">
        <v>13</v>
      </c>
      <c r="D17" s="14">
        <v>18</v>
      </c>
      <c r="E17" s="13">
        <v>7</v>
      </c>
      <c r="F17" s="46">
        <f>SUM(C17:E17)</f>
        <v>38</v>
      </c>
      <c r="G17" s="24">
        <v>44025</v>
      </c>
      <c r="H17" s="38" t="s">
        <v>24</v>
      </c>
      <c r="I17" s="52">
        <v>100</v>
      </c>
      <c r="J17" s="53">
        <v>100</v>
      </c>
      <c r="K17" s="55">
        <v>100</v>
      </c>
      <c r="L17" s="46">
        <f>SUM(I17:K17)</f>
        <v>300</v>
      </c>
      <c r="M17" s="24">
        <v>44025</v>
      </c>
      <c r="N17" s="26"/>
    </row>
    <row r="18" spans="2:14" x14ac:dyDescent="0.15">
      <c r="B18" s="4" t="s">
        <v>25</v>
      </c>
      <c r="C18" s="9">
        <v>1</v>
      </c>
      <c r="D18" s="14"/>
      <c r="E18" s="13"/>
      <c r="F18" s="46">
        <f t="shared" ref="F18:F41" si="4">SUM(C18:E18)</f>
        <v>1</v>
      </c>
      <c r="G18" s="24">
        <v>44032</v>
      </c>
      <c r="H18" s="4" t="s">
        <v>26</v>
      </c>
      <c r="I18" s="52">
        <v>150</v>
      </c>
      <c r="J18" s="53">
        <v>110</v>
      </c>
      <c r="K18" s="13">
        <v>60</v>
      </c>
      <c r="L18" s="56">
        <f>SUM(I18:K18)</f>
        <v>320</v>
      </c>
      <c r="M18" s="24">
        <v>44049</v>
      </c>
      <c r="N18" s="26"/>
    </row>
    <row r="19" spans="2:14" x14ac:dyDescent="0.15">
      <c r="B19" s="4" t="s">
        <v>25</v>
      </c>
      <c r="C19" s="9">
        <v>2</v>
      </c>
      <c r="D19" s="14">
        <v>2</v>
      </c>
      <c r="E19" s="13">
        <v>2</v>
      </c>
      <c r="F19" s="46">
        <f t="shared" si="4"/>
        <v>6</v>
      </c>
      <c r="G19" s="24">
        <v>44033</v>
      </c>
      <c r="H19" s="4" t="s">
        <v>33</v>
      </c>
      <c r="I19" s="9">
        <v>5</v>
      </c>
      <c r="J19" s="14">
        <v>5</v>
      </c>
      <c r="K19" s="13">
        <v>5</v>
      </c>
      <c r="L19" s="46">
        <f t="shared" ref="L19:L41" si="5">SUM(I19:K19)</f>
        <v>15</v>
      </c>
      <c r="M19" s="24">
        <v>44088</v>
      </c>
      <c r="N19" s="25"/>
    </row>
    <row r="20" spans="2:14" x14ac:dyDescent="0.15">
      <c r="B20" s="4" t="s">
        <v>25</v>
      </c>
      <c r="C20" s="9">
        <v>2</v>
      </c>
      <c r="D20" s="14">
        <v>1</v>
      </c>
      <c r="E20" s="13">
        <v>1</v>
      </c>
      <c r="F20" s="46">
        <f t="shared" si="4"/>
        <v>4</v>
      </c>
      <c r="G20" s="24">
        <v>44034</v>
      </c>
      <c r="H20" s="4" t="s">
        <v>34</v>
      </c>
      <c r="I20" s="9">
        <v>4</v>
      </c>
      <c r="J20" s="14">
        <v>4</v>
      </c>
      <c r="K20" s="54">
        <v>4</v>
      </c>
      <c r="L20" s="46">
        <f t="shared" si="5"/>
        <v>12</v>
      </c>
      <c r="M20" s="24">
        <v>44089</v>
      </c>
      <c r="N20" s="1"/>
    </row>
    <row r="21" spans="2:14" x14ac:dyDescent="0.15">
      <c r="B21" s="4" t="s">
        <v>25</v>
      </c>
      <c r="C21" s="9">
        <v>1</v>
      </c>
      <c r="D21" s="14">
        <v>4</v>
      </c>
      <c r="E21" s="13"/>
      <c r="F21" s="46">
        <f t="shared" si="4"/>
        <v>5</v>
      </c>
      <c r="G21" s="24">
        <v>44039</v>
      </c>
      <c r="H21" s="4" t="s">
        <v>35</v>
      </c>
      <c r="I21" s="9">
        <v>20</v>
      </c>
      <c r="J21" s="14">
        <v>20</v>
      </c>
      <c r="K21" s="13">
        <v>10</v>
      </c>
      <c r="L21" s="46">
        <f t="shared" si="5"/>
        <v>50</v>
      </c>
      <c r="M21" s="24">
        <v>44097</v>
      </c>
      <c r="N21" s="1"/>
    </row>
    <row r="22" spans="2:14" x14ac:dyDescent="0.15">
      <c r="B22" s="4" t="s">
        <v>25</v>
      </c>
      <c r="C22" s="9">
        <v>2</v>
      </c>
      <c r="D22" s="14"/>
      <c r="E22" s="13"/>
      <c r="F22" s="46">
        <f t="shared" si="4"/>
        <v>2</v>
      </c>
      <c r="G22" s="24">
        <v>44043</v>
      </c>
      <c r="H22" s="4"/>
      <c r="I22" s="9"/>
      <c r="J22" s="14"/>
      <c r="K22" s="13"/>
      <c r="L22" s="46">
        <f t="shared" si="5"/>
        <v>0</v>
      </c>
      <c r="M22" s="24"/>
      <c r="N22" s="1"/>
    </row>
    <row r="23" spans="2:14" x14ac:dyDescent="0.15">
      <c r="B23" s="4" t="s">
        <v>25</v>
      </c>
      <c r="C23" s="9"/>
      <c r="D23" s="14">
        <v>1</v>
      </c>
      <c r="E23" s="13"/>
      <c r="F23" s="46">
        <f t="shared" si="4"/>
        <v>1</v>
      </c>
      <c r="G23" s="24">
        <v>44046</v>
      </c>
      <c r="H23" s="4"/>
      <c r="I23" s="9"/>
      <c r="J23" s="14"/>
      <c r="K23" s="13"/>
      <c r="L23" s="46">
        <f t="shared" si="5"/>
        <v>0</v>
      </c>
      <c r="M23" s="24"/>
      <c r="N23" s="1"/>
    </row>
    <row r="24" spans="2:14" x14ac:dyDescent="0.15">
      <c r="B24" s="4" t="s">
        <v>25</v>
      </c>
      <c r="C24" s="9">
        <v>9</v>
      </c>
      <c r="D24" s="14">
        <v>2</v>
      </c>
      <c r="E24" s="13">
        <v>1</v>
      </c>
      <c r="F24" s="46">
        <f t="shared" si="4"/>
        <v>12</v>
      </c>
      <c r="G24" s="24">
        <v>44049</v>
      </c>
      <c r="H24" s="4"/>
      <c r="I24" s="9"/>
      <c r="J24" s="14"/>
      <c r="K24" s="13"/>
      <c r="L24" s="46">
        <f t="shared" si="5"/>
        <v>0</v>
      </c>
      <c r="M24" s="24"/>
      <c r="N24" s="1"/>
    </row>
    <row r="25" spans="2:14" x14ac:dyDescent="0.15">
      <c r="B25" s="4" t="s">
        <v>25</v>
      </c>
      <c r="C25" s="9"/>
      <c r="D25" s="14">
        <v>1</v>
      </c>
      <c r="E25" s="13">
        <v>3</v>
      </c>
      <c r="F25" s="46">
        <f t="shared" si="4"/>
        <v>4</v>
      </c>
      <c r="G25" s="24">
        <v>44050</v>
      </c>
      <c r="H25" s="4"/>
      <c r="I25" s="9"/>
      <c r="J25" s="14"/>
      <c r="K25" s="13"/>
      <c r="L25" s="46">
        <f t="shared" si="5"/>
        <v>0</v>
      </c>
      <c r="M25" s="24"/>
      <c r="N25" s="1"/>
    </row>
    <row r="26" spans="2:14" x14ac:dyDescent="0.15">
      <c r="B26" s="4" t="s">
        <v>29</v>
      </c>
      <c r="C26" s="9">
        <v>1</v>
      </c>
      <c r="D26" s="14"/>
      <c r="E26" s="40"/>
      <c r="F26" s="46">
        <f t="shared" si="4"/>
        <v>1</v>
      </c>
      <c r="G26" s="24">
        <v>44055</v>
      </c>
      <c r="H26" s="4"/>
      <c r="I26" s="9"/>
      <c r="J26" s="14"/>
      <c r="K26" s="40"/>
      <c r="L26" s="46">
        <f t="shared" si="5"/>
        <v>0</v>
      </c>
      <c r="M26" s="24"/>
      <c r="N26" s="1"/>
    </row>
    <row r="27" spans="2:14" x14ac:dyDescent="0.15">
      <c r="B27" s="4" t="s">
        <v>30</v>
      </c>
      <c r="C27" s="9">
        <v>2</v>
      </c>
      <c r="D27" s="14"/>
      <c r="E27" s="13"/>
      <c r="F27" s="46">
        <f t="shared" si="4"/>
        <v>2</v>
      </c>
      <c r="G27" s="24">
        <v>44054</v>
      </c>
      <c r="H27" s="4"/>
      <c r="I27" s="9"/>
      <c r="J27" s="14"/>
      <c r="K27" s="13"/>
      <c r="L27" s="46">
        <f t="shared" si="5"/>
        <v>0</v>
      </c>
      <c r="M27" s="24"/>
      <c r="N27" s="1"/>
    </row>
    <row r="28" spans="2:14" x14ac:dyDescent="0.15">
      <c r="B28" s="4" t="s">
        <v>31</v>
      </c>
      <c r="C28" s="9">
        <v>1</v>
      </c>
      <c r="D28" s="14"/>
      <c r="E28" s="13"/>
      <c r="F28" s="46">
        <f t="shared" si="4"/>
        <v>1</v>
      </c>
      <c r="G28" s="24">
        <v>44055</v>
      </c>
      <c r="H28" s="4"/>
      <c r="I28" s="9"/>
      <c r="J28" s="14"/>
      <c r="K28" s="13"/>
      <c r="L28" s="46">
        <f t="shared" si="5"/>
        <v>0</v>
      </c>
      <c r="M28" s="24"/>
      <c r="N28" s="1"/>
    </row>
    <row r="29" spans="2:14" x14ac:dyDescent="0.15">
      <c r="B29" s="4" t="s">
        <v>30</v>
      </c>
      <c r="C29" s="9">
        <v>3</v>
      </c>
      <c r="D29" s="14">
        <v>1</v>
      </c>
      <c r="E29" s="13">
        <v>1</v>
      </c>
      <c r="F29" s="46">
        <f t="shared" si="4"/>
        <v>5</v>
      </c>
      <c r="G29" s="24">
        <v>44060</v>
      </c>
      <c r="H29" s="4"/>
      <c r="I29" s="9"/>
      <c r="J29" s="14"/>
      <c r="K29" s="13"/>
      <c r="L29" s="46">
        <f t="shared" si="5"/>
        <v>0</v>
      </c>
      <c r="M29" s="24"/>
      <c r="N29" s="1"/>
    </row>
    <row r="30" spans="2:14" x14ac:dyDescent="0.15">
      <c r="B30" s="4" t="s">
        <v>30</v>
      </c>
      <c r="C30" s="9">
        <v>1</v>
      </c>
      <c r="D30" s="14"/>
      <c r="E30" s="13"/>
      <c r="F30" s="46">
        <f t="shared" si="4"/>
        <v>1</v>
      </c>
      <c r="G30" s="24">
        <v>44062</v>
      </c>
      <c r="H30" s="4"/>
      <c r="I30" s="9"/>
      <c r="J30" s="14"/>
      <c r="K30" s="13"/>
      <c r="L30" s="46">
        <f t="shared" si="5"/>
        <v>0</v>
      </c>
      <c r="M30" s="24"/>
      <c r="N30" s="1"/>
    </row>
    <row r="31" spans="2:14" x14ac:dyDescent="0.15">
      <c r="B31" s="4" t="s">
        <v>30</v>
      </c>
      <c r="C31" s="9"/>
      <c r="D31" s="14">
        <v>1</v>
      </c>
      <c r="E31" s="13"/>
      <c r="F31" s="46">
        <f t="shared" si="4"/>
        <v>1</v>
      </c>
      <c r="G31" s="24">
        <v>44069</v>
      </c>
      <c r="H31" s="4"/>
      <c r="I31" s="9"/>
      <c r="J31" s="14"/>
      <c r="K31" s="13"/>
      <c r="L31" s="46">
        <f t="shared" si="5"/>
        <v>0</v>
      </c>
      <c r="M31" s="24"/>
      <c r="N31" s="1"/>
    </row>
    <row r="32" spans="2:14" x14ac:dyDescent="0.15">
      <c r="B32" s="4" t="s">
        <v>30</v>
      </c>
      <c r="C32" s="9">
        <v>8</v>
      </c>
      <c r="D32" s="14">
        <v>4</v>
      </c>
      <c r="E32" s="13">
        <v>1</v>
      </c>
      <c r="F32" s="46">
        <f t="shared" si="4"/>
        <v>13</v>
      </c>
      <c r="G32" s="24">
        <v>44081</v>
      </c>
      <c r="H32" s="4"/>
      <c r="I32" s="9"/>
      <c r="J32" s="14"/>
      <c r="K32" s="13"/>
      <c r="L32" s="46">
        <f t="shared" si="5"/>
        <v>0</v>
      </c>
      <c r="M32" s="24"/>
      <c r="N32" s="1"/>
    </row>
    <row r="33" spans="1:15" x14ac:dyDescent="0.15">
      <c r="A33" s="1"/>
      <c r="B33" s="4" t="s">
        <v>30</v>
      </c>
      <c r="C33" s="9">
        <v>2</v>
      </c>
      <c r="D33" s="14"/>
      <c r="E33" s="13">
        <v>4</v>
      </c>
      <c r="F33" s="46">
        <f t="shared" si="4"/>
        <v>6</v>
      </c>
      <c r="G33" s="24">
        <v>44083</v>
      </c>
      <c r="H33" s="4"/>
      <c r="I33" s="9"/>
      <c r="J33" s="14"/>
      <c r="K33" s="13"/>
      <c r="L33" s="46">
        <f t="shared" si="5"/>
        <v>0</v>
      </c>
      <c r="M33" s="24"/>
      <c r="N33" s="1"/>
    </row>
    <row r="34" spans="1:15" x14ac:dyDescent="0.15">
      <c r="A34" s="1"/>
      <c r="B34" s="4" t="s">
        <v>30</v>
      </c>
      <c r="C34" s="9">
        <v>2</v>
      </c>
      <c r="D34" s="14"/>
      <c r="E34" s="13">
        <v>1</v>
      </c>
      <c r="F34" s="46">
        <f t="shared" si="4"/>
        <v>3</v>
      </c>
      <c r="G34" s="24">
        <v>44084</v>
      </c>
      <c r="H34" s="4"/>
      <c r="I34" s="9"/>
      <c r="J34" s="14"/>
      <c r="K34" s="13"/>
      <c r="L34" s="46">
        <f t="shared" si="5"/>
        <v>0</v>
      </c>
      <c r="M34" s="24"/>
      <c r="N34" s="1"/>
    </row>
    <row r="35" spans="1:15" x14ac:dyDescent="0.15">
      <c r="A35" s="1"/>
      <c r="B35" s="4" t="s">
        <v>30</v>
      </c>
      <c r="C35" s="9">
        <v>1</v>
      </c>
      <c r="D35" s="14">
        <v>1</v>
      </c>
      <c r="E35" s="13"/>
      <c r="F35" s="46">
        <f t="shared" si="4"/>
        <v>2</v>
      </c>
      <c r="G35" s="24">
        <v>44085</v>
      </c>
      <c r="H35" s="4"/>
      <c r="I35" s="9"/>
      <c r="J35" s="14"/>
      <c r="K35" s="13"/>
      <c r="L35" s="46">
        <f t="shared" si="5"/>
        <v>0</v>
      </c>
      <c r="M35" s="24"/>
      <c r="N35" s="1"/>
    </row>
    <row r="36" spans="1:15" x14ac:dyDescent="0.15">
      <c r="A36" s="1"/>
      <c r="B36" s="4" t="s">
        <v>30</v>
      </c>
      <c r="C36" s="9"/>
      <c r="D36" s="14">
        <v>1</v>
      </c>
      <c r="E36" s="13"/>
      <c r="F36" s="46">
        <f t="shared" si="4"/>
        <v>1</v>
      </c>
      <c r="G36" s="24">
        <v>44090</v>
      </c>
      <c r="H36" s="4" t="s">
        <v>27</v>
      </c>
      <c r="I36" s="9"/>
      <c r="J36" s="14"/>
      <c r="K36" s="13"/>
      <c r="L36" s="46">
        <f t="shared" si="5"/>
        <v>0</v>
      </c>
      <c r="M36" s="24" t="s">
        <v>28</v>
      </c>
      <c r="N36" s="26"/>
    </row>
    <row r="37" spans="1:15" x14ac:dyDescent="0.15">
      <c r="A37" s="1"/>
      <c r="B37" s="4" t="s">
        <v>30</v>
      </c>
      <c r="C37" s="9"/>
      <c r="D37" s="14"/>
      <c r="E37" s="13">
        <v>1</v>
      </c>
      <c r="F37" s="46">
        <f t="shared" si="4"/>
        <v>1</v>
      </c>
      <c r="G37" s="24">
        <v>44091</v>
      </c>
      <c r="H37" s="4" t="s">
        <v>16</v>
      </c>
      <c r="I37" s="9"/>
      <c r="J37" s="14"/>
      <c r="K37" s="13"/>
      <c r="L37" s="46">
        <f t="shared" si="5"/>
        <v>0</v>
      </c>
      <c r="M37" s="24" t="s">
        <v>17</v>
      </c>
      <c r="N37" s="26"/>
      <c r="O37" s="54"/>
    </row>
    <row r="38" spans="1:15" x14ac:dyDescent="0.15">
      <c r="A38" s="1"/>
      <c r="B38" s="4" t="s">
        <v>30</v>
      </c>
      <c r="C38" s="16">
        <v>1</v>
      </c>
      <c r="D38" s="17">
        <v>3</v>
      </c>
      <c r="E38" s="18"/>
      <c r="F38" s="46">
        <f t="shared" si="4"/>
        <v>4</v>
      </c>
      <c r="G38" s="24">
        <v>44097</v>
      </c>
      <c r="H38" s="4" t="s">
        <v>18</v>
      </c>
      <c r="I38" s="16"/>
      <c r="J38" s="17"/>
      <c r="K38" s="18"/>
      <c r="L38" s="46">
        <f t="shared" si="5"/>
        <v>0</v>
      </c>
      <c r="M38" s="24" t="s">
        <v>19</v>
      </c>
      <c r="N38" s="26"/>
      <c r="O38" s="54"/>
    </row>
    <row r="39" spans="1:15" ht="14.25" thickBot="1" x14ac:dyDescent="0.2">
      <c r="A39" s="1"/>
      <c r="B39" s="4" t="s">
        <v>30</v>
      </c>
      <c r="C39" s="9"/>
      <c r="D39" s="14"/>
      <c r="E39" s="13">
        <v>2</v>
      </c>
      <c r="F39" s="47">
        <f t="shared" si="4"/>
        <v>2</v>
      </c>
      <c r="G39" s="24">
        <v>44098</v>
      </c>
      <c r="H39" s="4" t="s">
        <v>21</v>
      </c>
      <c r="I39" s="9"/>
      <c r="J39" s="14"/>
      <c r="K39" s="13"/>
      <c r="L39" s="47">
        <f t="shared" si="5"/>
        <v>0</v>
      </c>
      <c r="M39" s="24" t="s">
        <v>22</v>
      </c>
      <c r="N39" s="26"/>
      <c r="O39" s="54"/>
    </row>
    <row r="40" spans="1:15" ht="14.25" thickBot="1" x14ac:dyDescent="0.2">
      <c r="A40" s="1"/>
      <c r="B40" s="5" t="s">
        <v>9</v>
      </c>
      <c r="C40" s="10">
        <f>SUM(C16:C39)</f>
        <v>52</v>
      </c>
      <c r="D40" s="10">
        <f t="shared" ref="D40:E40" si="6">SUM(D16:D39)</f>
        <v>41</v>
      </c>
      <c r="E40" s="10">
        <f t="shared" si="6"/>
        <v>24</v>
      </c>
      <c r="F40" s="37">
        <f t="shared" si="4"/>
        <v>117</v>
      </c>
      <c r="G40" s="1"/>
      <c r="H40" s="5" t="s">
        <v>9</v>
      </c>
      <c r="I40" s="10">
        <f>SUM(I16:I39)</f>
        <v>281</v>
      </c>
      <c r="J40" s="10">
        <f t="shared" ref="J40:K40" si="7">SUM(J16:J39)</f>
        <v>241</v>
      </c>
      <c r="K40" s="10">
        <f t="shared" si="7"/>
        <v>179</v>
      </c>
      <c r="L40" s="37">
        <f t="shared" si="5"/>
        <v>701</v>
      </c>
      <c r="M40" s="1"/>
      <c r="N40" s="1"/>
    </row>
    <row r="41" spans="1:15" ht="14.25" thickBot="1" x14ac:dyDescent="0.2">
      <c r="A41" s="1"/>
      <c r="B41" s="8" t="s">
        <v>10</v>
      </c>
      <c r="C41" s="11">
        <f>C15-C40</f>
        <v>50</v>
      </c>
      <c r="D41" s="11">
        <f t="shared" ref="D41:E41" si="8">D15-D40</f>
        <v>61</v>
      </c>
      <c r="E41" s="11">
        <f t="shared" si="8"/>
        <v>76</v>
      </c>
      <c r="F41" s="37">
        <f t="shared" si="4"/>
        <v>187</v>
      </c>
      <c r="G41" s="1"/>
      <c r="H41" s="8" t="s">
        <v>10</v>
      </c>
      <c r="I41" s="11">
        <f>I15-I40</f>
        <v>1019</v>
      </c>
      <c r="J41" s="11">
        <f t="shared" ref="J41:K41" si="9">J15-J40</f>
        <v>629</v>
      </c>
      <c r="K41" s="11">
        <f t="shared" si="9"/>
        <v>201</v>
      </c>
      <c r="L41" s="37">
        <f t="shared" si="5"/>
        <v>1849</v>
      </c>
      <c r="M41" s="1"/>
      <c r="N41" s="1"/>
    </row>
    <row r="43" spans="1:15" ht="18.75" x14ac:dyDescent="0.2">
      <c r="A43" s="41" t="s">
        <v>12</v>
      </c>
      <c r="B43" s="42"/>
      <c r="C43" s="41"/>
      <c r="D43" s="43"/>
      <c r="E43" s="43"/>
      <c r="F43" s="2"/>
      <c r="G43" s="1"/>
      <c r="H43" s="41" t="s">
        <v>12</v>
      </c>
      <c r="I43" s="41"/>
      <c r="J43" s="43"/>
      <c r="K43" s="43"/>
      <c r="L43" s="2"/>
      <c r="M43" s="1"/>
      <c r="N43" s="1"/>
    </row>
    <row r="44" spans="1:15" ht="19.5" thickBot="1" x14ac:dyDescent="0.25">
      <c r="A44" s="7"/>
      <c r="B44" s="7" t="s">
        <v>0</v>
      </c>
      <c r="C44" s="7"/>
      <c r="D44" s="7" t="s">
        <v>15</v>
      </c>
      <c r="E44" s="2"/>
      <c r="F44" s="2"/>
      <c r="G44" s="1"/>
      <c r="H44" s="7" t="s">
        <v>1</v>
      </c>
      <c r="I44" s="1"/>
      <c r="J44" s="7" t="s">
        <v>15</v>
      </c>
      <c r="K44" s="2"/>
      <c r="L44" s="2"/>
      <c r="M44" s="1"/>
      <c r="N44" s="1"/>
    </row>
    <row r="45" spans="1:15" ht="14.25" thickBot="1" x14ac:dyDescent="0.2">
      <c r="A45" s="1"/>
      <c r="B45" s="3"/>
      <c r="C45" s="5" t="s">
        <v>2</v>
      </c>
      <c r="D45" s="3" t="s">
        <v>3</v>
      </c>
      <c r="E45" s="12" t="s">
        <v>4</v>
      </c>
      <c r="F45" s="3" t="s">
        <v>5</v>
      </c>
      <c r="G45" s="1"/>
      <c r="H45" s="3"/>
      <c r="I45" s="5" t="s">
        <v>2</v>
      </c>
      <c r="J45" s="3" t="s">
        <v>3</v>
      </c>
      <c r="K45" s="12" t="s">
        <v>4</v>
      </c>
      <c r="L45" s="3" t="s">
        <v>5</v>
      </c>
      <c r="M45" s="1"/>
      <c r="N45" s="1"/>
    </row>
    <row r="46" spans="1:15" ht="14.25" thickBot="1" x14ac:dyDescent="0.2">
      <c r="A46" s="1"/>
      <c r="B46" s="34" t="s">
        <v>11</v>
      </c>
      <c r="C46" s="35">
        <f>C41</f>
        <v>50</v>
      </c>
      <c r="D46" s="36">
        <f>D41</f>
        <v>61</v>
      </c>
      <c r="E46" s="35">
        <f>E41</f>
        <v>76</v>
      </c>
      <c r="F46" s="37">
        <f>SUM(C46:E46)</f>
        <v>187</v>
      </c>
      <c r="G46" s="28"/>
      <c r="H46" s="34" t="s">
        <v>11</v>
      </c>
      <c r="I46" s="35">
        <f>I41</f>
        <v>1019</v>
      </c>
      <c r="J46" s="36">
        <f>J41</f>
        <v>629</v>
      </c>
      <c r="K46" s="35">
        <f>K41</f>
        <v>201</v>
      </c>
      <c r="L46" s="37">
        <f>SUM(I46:K46)</f>
        <v>1849</v>
      </c>
      <c r="M46" s="28"/>
      <c r="N46" s="1"/>
    </row>
    <row r="47" spans="1:15" x14ac:dyDescent="0.15">
      <c r="A47" s="1"/>
      <c r="B47" s="29" t="s">
        <v>40</v>
      </c>
      <c r="C47" s="30">
        <v>1</v>
      </c>
      <c r="D47" s="15"/>
      <c r="E47" s="30"/>
      <c r="F47" s="46">
        <f>SUM(C47:E47)</f>
        <v>1</v>
      </c>
      <c r="G47" s="24">
        <v>44105</v>
      </c>
      <c r="H47" s="29" t="s">
        <v>7</v>
      </c>
      <c r="I47" s="30"/>
      <c r="J47" s="15"/>
      <c r="K47" s="30"/>
      <c r="L47" s="46">
        <f>SUM(I47:K47)</f>
        <v>0</v>
      </c>
      <c r="M47" s="24"/>
      <c r="N47" s="1"/>
    </row>
    <row r="48" spans="1:15" x14ac:dyDescent="0.15">
      <c r="A48" s="1"/>
      <c r="B48" s="29" t="s">
        <v>47</v>
      </c>
      <c r="C48" s="19"/>
      <c r="D48" s="4">
        <v>1</v>
      </c>
      <c r="E48" s="19">
        <v>1</v>
      </c>
      <c r="F48" s="46">
        <f>SUM(C48:E48)</f>
        <v>2</v>
      </c>
      <c r="G48" s="24">
        <v>44124</v>
      </c>
      <c r="H48" s="29" t="s">
        <v>7</v>
      </c>
      <c r="I48" s="19"/>
      <c r="J48" s="4"/>
      <c r="K48" s="19"/>
      <c r="L48" s="46">
        <f>SUM(I48:K48)</f>
        <v>0</v>
      </c>
      <c r="M48" s="27"/>
      <c r="N48" s="26"/>
    </row>
    <row r="49" spans="1:14" x14ac:dyDescent="0.15">
      <c r="A49" s="1"/>
      <c r="B49" s="29" t="s">
        <v>40</v>
      </c>
      <c r="C49" s="19">
        <v>2</v>
      </c>
      <c r="D49" s="4">
        <v>2</v>
      </c>
      <c r="E49" s="19">
        <v>2</v>
      </c>
      <c r="F49" s="46">
        <f t="shared" ref="F49:F56" si="10">SUM(C49:E49)</f>
        <v>6</v>
      </c>
      <c r="G49" s="24">
        <v>44130</v>
      </c>
      <c r="H49" s="29" t="s">
        <v>7</v>
      </c>
      <c r="I49" s="22"/>
      <c r="J49" s="23"/>
      <c r="K49" s="22"/>
      <c r="L49" s="46">
        <f t="shared" ref="L49:L50" si="11">SUM(I49:K49)</f>
        <v>0</v>
      </c>
      <c r="M49" s="27"/>
      <c r="N49" s="26"/>
    </row>
    <row r="50" spans="1:14" x14ac:dyDescent="0.15">
      <c r="A50" s="1"/>
      <c r="B50" s="29" t="s">
        <v>7</v>
      </c>
      <c r="C50" s="22">
        <v>100</v>
      </c>
      <c r="D50" s="23"/>
      <c r="E50" s="22"/>
      <c r="F50" s="46">
        <f t="shared" si="10"/>
        <v>100</v>
      </c>
      <c r="G50" s="27">
        <v>44135</v>
      </c>
      <c r="H50" s="29" t="s">
        <v>7</v>
      </c>
      <c r="I50" s="22"/>
      <c r="J50" s="23"/>
      <c r="K50" s="22"/>
      <c r="L50" s="46">
        <f t="shared" si="11"/>
        <v>0</v>
      </c>
      <c r="M50" s="27"/>
      <c r="N50" s="1"/>
    </row>
    <row r="51" spans="1:14" x14ac:dyDescent="0.15">
      <c r="A51" s="1"/>
      <c r="B51" s="29" t="s">
        <v>53</v>
      </c>
      <c r="C51" s="22"/>
      <c r="D51" s="23">
        <v>1</v>
      </c>
      <c r="E51" s="22"/>
      <c r="F51" s="46">
        <f t="shared" si="10"/>
        <v>1</v>
      </c>
      <c r="G51" s="27">
        <v>44139</v>
      </c>
      <c r="H51" s="29" t="s">
        <v>7</v>
      </c>
      <c r="I51" s="22"/>
      <c r="J51" s="23"/>
      <c r="K51" s="22"/>
      <c r="L51" s="46">
        <f t="shared" ref="L51:L56" si="12">SUM(I51:K51)</f>
        <v>0</v>
      </c>
      <c r="M51" s="27"/>
      <c r="N51" s="1"/>
    </row>
    <row r="52" spans="1:14" x14ac:dyDescent="0.15">
      <c r="A52" s="1"/>
      <c r="B52" s="29" t="s">
        <v>40</v>
      </c>
      <c r="C52" s="22"/>
      <c r="D52" s="23"/>
      <c r="E52" s="22">
        <v>2</v>
      </c>
      <c r="F52" s="46">
        <f t="shared" si="10"/>
        <v>2</v>
      </c>
      <c r="G52" s="27">
        <v>44144</v>
      </c>
      <c r="H52" s="29" t="s">
        <v>7</v>
      </c>
      <c r="I52" s="19"/>
      <c r="J52" s="4"/>
      <c r="K52" s="19"/>
      <c r="L52" s="46">
        <f>SUM(I52:K52)</f>
        <v>0</v>
      </c>
      <c r="M52" s="27"/>
      <c r="N52" s="1"/>
    </row>
    <row r="53" spans="1:14" x14ac:dyDescent="0.15">
      <c r="A53" s="1"/>
      <c r="B53" s="29" t="s">
        <v>40</v>
      </c>
      <c r="C53" s="20"/>
      <c r="D53" s="21">
        <v>2</v>
      </c>
      <c r="E53" s="20"/>
      <c r="F53" s="46">
        <f t="shared" si="10"/>
        <v>2</v>
      </c>
      <c r="G53" s="27">
        <v>44146</v>
      </c>
      <c r="H53" s="29" t="s">
        <v>7</v>
      </c>
      <c r="I53" s="20"/>
      <c r="J53" s="21"/>
      <c r="K53" s="20"/>
      <c r="L53" s="46">
        <f t="shared" si="12"/>
        <v>0</v>
      </c>
      <c r="M53" s="26"/>
      <c r="N53" s="1"/>
    </row>
    <row r="54" spans="1:14" x14ac:dyDescent="0.15">
      <c r="A54" s="1"/>
      <c r="B54" s="29" t="s">
        <v>47</v>
      </c>
      <c r="C54" s="20">
        <v>2</v>
      </c>
      <c r="D54" s="21">
        <v>2</v>
      </c>
      <c r="E54" s="20">
        <v>2</v>
      </c>
      <c r="F54" s="46">
        <f t="shared" si="10"/>
        <v>6</v>
      </c>
      <c r="G54" s="27">
        <v>44153</v>
      </c>
      <c r="H54" s="29" t="s">
        <v>7</v>
      </c>
      <c r="I54" s="20"/>
      <c r="J54" s="21"/>
      <c r="K54" s="20"/>
      <c r="L54" s="46">
        <f t="shared" si="12"/>
        <v>0</v>
      </c>
      <c r="M54" s="1"/>
      <c r="N54" s="1"/>
    </row>
    <row r="55" spans="1:14" x14ac:dyDescent="0.15">
      <c r="A55" s="1"/>
      <c r="B55" s="29" t="s">
        <v>40</v>
      </c>
      <c r="C55" s="20"/>
      <c r="D55" s="21">
        <v>2</v>
      </c>
      <c r="E55" s="20"/>
      <c r="F55" s="46">
        <f t="shared" si="10"/>
        <v>2</v>
      </c>
      <c r="G55" s="24">
        <v>44162</v>
      </c>
      <c r="H55" s="29" t="s">
        <v>7</v>
      </c>
      <c r="I55" s="20"/>
      <c r="J55" s="21"/>
      <c r="K55" s="20"/>
      <c r="L55" s="46">
        <f t="shared" si="12"/>
        <v>0</v>
      </c>
      <c r="M55" s="1"/>
      <c r="N55" s="1"/>
    </row>
    <row r="56" spans="1:14" ht="14.25" thickBot="1" x14ac:dyDescent="0.2">
      <c r="A56" s="1"/>
      <c r="B56" s="29" t="s">
        <v>7</v>
      </c>
      <c r="C56" s="19"/>
      <c r="D56" s="4"/>
      <c r="E56" s="19"/>
      <c r="F56" s="46">
        <f t="shared" si="10"/>
        <v>0</v>
      </c>
      <c r="G56" s="27"/>
      <c r="H56" s="29" t="s">
        <v>7</v>
      </c>
      <c r="I56" s="19"/>
      <c r="J56" s="4"/>
      <c r="K56" s="19"/>
      <c r="L56" s="46">
        <f t="shared" si="12"/>
        <v>0</v>
      </c>
      <c r="M56" s="1"/>
      <c r="N56" s="1"/>
    </row>
    <row r="57" spans="1:14" ht="14.25" thickBot="1" x14ac:dyDescent="0.2">
      <c r="A57" s="1"/>
      <c r="B57" s="6" t="s">
        <v>8</v>
      </c>
      <c r="C57" s="44">
        <f>SUM(C46:C56)</f>
        <v>155</v>
      </c>
      <c r="D57" s="44">
        <f t="shared" ref="D57" si="13">SUM(D46:D56)</f>
        <v>71</v>
      </c>
      <c r="E57" s="44">
        <f t="shared" ref="E57" si="14">SUM(E46:E56)</f>
        <v>83</v>
      </c>
      <c r="F57" s="45">
        <f t="shared" ref="F57" si="15">SUM(F46:F56)</f>
        <v>309</v>
      </c>
      <c r="G57" s="1"/>
      <c r="H57" s="6" t="s">
        <v>8</v>
      </c>
      <c r="I57" s="44">
        <f>SUM(I46:I56)</f>
        <v>1019</v>
      </c>
      <c r="J57" s="44">
        <f t="shared" ref="J57:L57" si="16">SUM(J46:J56)</f>
        <v>629</v>
      </c>
      <c r="K57" s="44">
        <f t="shared" si="16"/>
        <v>201</v>
      </c>
      <c r="L57" s="45">
        <f t="shared" si="16"/>
        <v>1849</v>
      </c>
      <c r="M57" s="1"/>
      <c r="N57" s="1"/>
    </row>
    <row r="58" spans="1:14" x14ac:dyDescent="0.15">
      <c r="A58" s="1"/>
      <c r="B58" s="38" t="s">
        <v>30</v>
      </c>
      <c r="C58" s="9">
        <v>1</v>
      </c>
      <c r="D58" s="14">
        <v>1</v>
      </c>
      <c r="E58" s="13"/>
      <c r="F58" s="46">
        <f>SUM(C58:E58)</f>
        <v>2</v>
      </c>
      <c r="G58" s="24">
        <v>44099</v>
      </c>
      <c r="H58" s="4" t="s">
        <v>38</v>
      </c>
      <c r="I58" s="9"/>
      <c r="J58" s="14">
        <v>7</v>
      </c>
      <c r="K58" s="13"/>
      <c r="L58" s="46">
        <f>SUM(I58:K58)</f>
        <v>7</v>
      </c>
      <c r="M58" s="24">
        <v>44105</v>
      </c>
      <c r="N58" s="1"/>
    </row>
    <row r="59" spans="1:14" x14ac:dyDescent="0.15">
      <c r="B59" s="38" t="s">
        <v>30</v>
      </c>
      <c r="C59" s="9">
        <v>3</v>
      </c>
      <c r="D59" s="14">
        <v>1</v>
      </c>
      <c r="E59" s="13"/>
      <c r="F59" s="46">
        <f>SUM(C59:E59)</f>
        <v>4</v>
      </c>
      <c r="G59" s="24">
        <v>44100</v>
      </c>
      <c r="H59" s="4" t="s">
        <v>41</v>
      </c>
      <c r="I59" s="9">
        <v>7</v>
      </c>
      <c r="J59" s="14"/>
      <c r="K59" s="13"/>
      <c r="L59" s="46">
        <f>SUM(I59:K59)</f>
        <v>7</v>
      </c>
      <c r="M59" s="24">
        <v>44112</v>
      </c>
      <c r="N59" s="1"/>
    </row>
    <row r="60" spans="1:14" x14ac:dyDescent="0.15">
      <c r="B60" s="4" t="s">
        <v>36</v>
      </c>
      <c r="C60" s="9">
        <v>1</v>
      </c>
      <c r="D60" s="14"/>
      <c r="E60" s="13"/>
      <c r="F60" s="46">
        <f t="shared" ref="F60:F83" si="17">SUM(C60:E60)</f>
        <v>1</v>
      </c>
      <c r="G60" s="24">
        <v>44103</v>
      </c>
      <c r="H60" s="4" t="s">
        <v>42</v>
      </c>
      <c r="I60" s="9"/>
      <c r="J60" s="14"/>
      <c r="K60" s="13">
        <v>14</v>
      </c>
      <c r="L60" s="46">
        <f t="shared" ref="L60:L83" si="18">SUM(I60:K60)</f>
        <v>14</v>
      </c>
      <c r="M60" s="24">
        <v>44119</v>
      </c>
      <c r="N60" s="26"/>
    </row>
    <row r="61" spans="1:14" x14ac:dyDescent="0.15">
      <c r="B61" s="4" t="s">
        <v>37</v>
      </c>
      <c r="C61" s="9">
        <v>1</v>
      </c>
      <c r="D61" s="14"/>
      <c r="E61" s="13"/>
      <c r="F61" s="46">
        <f t="shared" si="17"/>
        <v>1</v>
      </c>
      <c r="G61" s="24">
        <v>44103</v>
      </c>
      <c r="H61" s="4" t="s">
        <v>43</v>
      </c>
      <c r="I61" s="9"/>
      <c r="J61" s="14"/>
      <c r="K61" s="13">
        <v>10</v>
      </c>
      <c r="L61" s="46">
        <f t="shared" si="18"/>
        <v>10</v>
      </c>
      <c r="M61" s="24">
        <v>44124</v>
      </c>
      <c r="N61" s="1"/>
    </row>
    <row r="62" spans="1:14" x14ac:dyDescent="0.15">
      <c r="B62" s="4" t="s">
        <v>39</v>
      </c>
      <c r="C62" s="9">
        <v>1</v>
      </c>
      <c r="D62" s="14"/>
      <c r="E62" s="13"/>
      <c r="F62" s="46">
        <f t="shared" si="17"/>
        <v>1</v>
      </c>
      <c r="G62" s="24">
        <v>44104</v>
      </c>
      <c r="H62" s="4" t="s">
        <v>45</v>
      </c>
      <c r="I62" s="9"/>
      <c r="J62" s="14">
        <v>40</v>
      </c>
      <c r="K62" s="13"/>
      <c r="L62" s="46">
        <f t="shared" si="18"/>
        <v>40</v>
      </c>
      <c r="M62" s="24">
        <v>44125</v>
      </c>
      <c r="N62" s="1"/>
    </row>
    <row r="63" spans="1:14" x14ac:dyDescent="0.15">
      <c r="B63" s="38" t="s">
        <v>30</v>
      </c>
      <c r="C63" s="9">
        <v>1</v>
      </c>
      <c r="D63" s="14">
        <v>1</v>
      </c>
      <c r="E63" s="13"/>
      <c r="F63" s="46">
        <f t="shared" si="17"/>
        <v>2</v>
      </c>
      <c r="G63" s="24">
        <v>44109</v>
      </c>
      <c r="H63" s="4" t="s">
        <v>46</v>
      </c>
      <c r="I63" s="9">
        <v>40</v>
      </c>
      <c r="J63" s="14"/>
      <c r="K63" s="13">
        <v>20</v>
      </c>
      <c r="L63" s="46">
        <f t="shared" si="18"/>
        <v>60</v>
      </c>
      <c r="M63" s="24">
        <v>44126</v>
      </c>
      <c r="N63" s="1"/>
    </row>
    <row r="64" spans="1:14" x14ac:dyDescent="0.15">
      <c r="B64" s="38" t="s">
        <v>30</v>
      </c>
      <c r="C64" s="9">
        <v>1</v>
      </c>
      <c r="D64" s="14"/>
      <c r="E64" s="13"/>
      <c r="F64" s="46">
        <f t="shared" si="17"/>
        <v>1</v>
      </c>
      <c r="G64" s="24">
        <v>44110</v>
      </c>
      <c r="H64" s="4" t="s">
        <v>48</v>
      </c>
      <c r="I64" s="9"/>
      <c r="J64" s="14">
        <v>22</v>
      </c>
      <c r="K64" s="13"/>
      <c r="L64" s="46">
        <f t="shared" si="18"/>
        <v>22</v>
      </c>
      <c r="M64" s="24">
        <v>44134</v>
      </c>
      <c r="N64" s="1"/>
    </row>
    <row r="65" spans="1:14" x14ac:dyDescent="0.15">
      <c r="B65" s="38" t="s">
        <v>30</v>
      </c>
      <c r="C65" s="9"/>
      <c r="D65" s="14"/>
      <c r="E65" s="13">
        <v>1</v>
      </c>
      <c r="F65" s="46">
        <f t="shared" si="17"/>
        <v>1</v>
      </c>
      <c r="G65" s="24">
        <v>44112</v>
      </c>
      <c r="H65" s="4" t="s">
        <v>49</v>
      </c>
      <c r="I65" s="9"/>
      <c r="J65" s="14"/>
      <c r="K65" s="13">
        <v>20</v>
      </c>
      <c r="L65" s="46">
        <f t="shared" si="18"/>
        <v>20</v>
      </c>
      <c r="M65" s="24">
        <v>44134</v>
      </c>
      <c r="N65" s="26"/>
    </row>
    <row r="66" spans="1:14" x14ac:dyDescent="0.15">
      <c r="B66" s="38" t="s">
        <v>30</v>
      </c>
      <c r="C66" s="9"/>
      <c r="D66" s="14">
        <v>1</v>
      </c>
      <c r="E66" s="13">
        <v>2</v>
      </c>
      <c r="F66" s="46">
        <f t="shared" si="17"/>
        <v>3</v>
      </c>
      <c r="G66" s="24">
        <v>44113</v>
      </c>
      <c r="H66" s="4" t="s">
        <v>50</v>
      </c>
      <c r="I66" s="9">
        <v>100</v>
      </c>
      <c r="J66" s="14"/>
      <c r="K66" s="13"/>
      <c r="L66" s="46">
        <f t="shared" si="18"/>
        <v>100</v>
      </c>
      <c r="M66" s="24">
        <v>44135</v>
      </c>
      <c r="N66" s="1"/>
    </row>
    <row r="67" spans="1:14" x14ac:dyDescent="0.15">
      <c r="B67" s="38" t="s">
        <v>30</v>
      </c>
      <c r="C67" s="9">
        <v>3</v>
      </c>
      <c r="D67" s="14">
        <v>1</v>
      </c>
      <c r="E67" s="13">
        <v>1</v>
      </c>
      <c r="F67" s="46">
        <f t="shared" si="17"/>
        <v>5</v>
      </c>
      <c r="G67" s="24">
        <v>44116</v>
      </c>
      <c r="H67" s="4" t="s">
        <v>51</v>
      </c>
      <c r="I67" s="9">
        <v>5</v>
      </c>
      <c r="J67" s="14">
        <v>8</v>
      </c>
      <c r="K67" s="13">
        <v>12</v>
      </c>
      <c r="L67" s="46">
        <f t="shared" si="18"/>
        <v>25</v>
      </c>
      <c r="M67" s="24">
        <v>44144</v>
      </c>
      <c r="N67" s="1"/>
    </row>
    <row r="68" spans="1:14" x14ac:dyDescent="0.15">
      <c r="B68" s="38" t="s">
        <v>30</v>
      </c>
      <c r="C68" s="9"/>
      <c r="D68" s="14">
        <v>1</v>
      </c>
      <c r="E68" s="40"/>
      <c r="F68" s="46">
        <f t="shared" si="17"/>
        <v>1</v>
      </c>
      <c r="G68" s="24">
        <v>44118</v>
      </c>
      <c r="H68" s="4" t="s">
        <v>52</v>
      </c>
      <c r="I68" s="9">
        <v>19</v>
      </c>
      <c r="J68" s="14"/>
      <c r="K68" s="40"/>
      <c r="L68" s="46">
        <f t="shared" si="18"/>
        <v>19</v>
      </c>
      <c r="M68" s="24">
        <v>44141</v>
      </c>
      <c r="N68" s="1"/>
    </row>
    <row r="69" spans="1:14" x14ac:dyDescent="0.15">
      <c r="B69" s="38" t="s">
        <v>30</v>
      </c>
      <c r="C69" s="9">
        <v>1</v>
      </c>
      <c r="D69" s="14"/>
      <c r="E69" s="13"/>
      <c r="F69" s="46">
        <f t="shared" si="17"/>
        <v>1</v>
      </c>
      <c r="G69" s="24">
        <v>44120</v>
      </c>
      <c r="H69" s="4" t="s">
        <v>54</v>
      </c>
      <c r="I69" s="9"/>
      <c r="J69" s="14">
        <v>40</v>
      </c>
      <c r="K69" s="13"/>
      <c r="L69" s="46">
        <f t="shared" si="18"/>
        <v>40</v>
      </c>
      <c r="M69" s="24">
        <v>44154</v>
      </c>
      <c r="N69" s="26"/>
    </row>
    <row r="70" spans="1:14" x14ac:dyDescent="0.15">
      <c r="B70" s="38" t="s">
        <v>30</v>
      </c>
      <c r="C70" s="9">
        <v>1</v>
      </c>
      <c r="D70" s="14"/>
      <c r="E70" s="13"/>
      <c r="F70" s="46">
        <f t="shared" si="17"/>
        <v>1</v>
      </c>
      <c r="G70" s="24">
        <v>44124</v>
      </c>
      <c r="H70" s="4" t="s">
        <v>55</v>
      </c>
      <c r="I70" s="9">
        <v>1</v>
      </c>
      <c r="J70" s="14"/>
      <c r="K70" s="13"/>
      <c r="L70" s="46">
        <f t="shared" si="18"/>
        <v>1</v>
      </c>
      <c r="M70" s="24">
        <v>44156</v>
      </c>
      <c r="N70" s="26"/>
    </row>
    <row r="71" spans="1:14" x14ac:dyDescent="0.15">
      <c r="B71" s="38" t="s">
        <v>30</v>
      </c>
      <c r="C71" s="9">
        <v>3</v>
      </c>
      <c r="D71" s="14"/>
      <c r="E71" s="13">
        <v>1</v>
      </c>
      <c r="F71" s="46">
        <f t="shared" si="17"/>
        <v>4</v>
      </c>
      <c r="G71" s="24">
        <v>44144</v>
      </c>
      <c r="H71" s="4" t="s">
        <v>56</v>
      </c>
      <c r="I71" s="9">
        <v>75</v>
      </c>
      <c r="J71" s="14">
        <v>70</v>
      </c>
      <c r="K71" s="13">
        <v>55</v>
      </c>
      <c r="L71" s="46">
        <v>200</v>
      </c>
      <c r="M71" s="24">
        <v>44163</v>
      </c>
      <c r="N71" s="1"/>
    </row>
    <row r="72" spans="1:14" x14ac:dyDescent="0.15">
      <c r="B72" s="38" t="s">
        <v>30</v>
      </c>
      <c r="C72" s="9"/>
      <c r="D72" s="14">
        <v>1</v>
      </c>
      <c r="E72" s="13"/>
      <c r="F72" s="46">
        <f t="shared" si="17"/>
        <v>1</v>
      </c>
      <c r="G72" s="24">
        <v>44145</v>
      </c>
      <c r="H72" s="4" t="s">
        <v>58</v>
      </c>
      <c r="I72" s="9"/>
      <c r="J72" s="14"/>
      <c r="K72" s="13">
        <v>4</v>
      </c>
      <c r="L72" s="46">
        <f t="shared" si="18"/>
        <v>4</v>
      </c>
      <c r="M72" s="24">
        <v>44180</v>
      </c>
      <c r="N72" s="1"/>
    </row>
    <row r="73" spans="1:14" x14ac:dyDescent="0.15">
      <c r="B73" s="38" t="s">
        <v>30</v>
      </c>
      <c r="C73" s="9">
        <v>2</v>
      </c>
      <c r="D73" s="14"/>
      <c r="E73" s="13"/>
      <c r="F73" s="46">
        <f t="shared" si="17"/>
        <v>2</v>
      </c>
      <c r="G73" s="24">
        <v>44146</v>
      </c>
      <c r="H73" s="4"/>
      <c r="I73" s="9"/>
      <c r="J73" s="14"/>
      <c r="K73" s="13"/>
      <c r="L73" s="46">
        <f t="shared" si="18"/>
        <v>0</v>
      </c>
      <c r="M73" s="24"/>
      <c r="N73" s="1"/>
    </row>
    <row r="74" spans="1:14" x14ac:dyDescent="0.15">
      <c r="B74" s="38" t="s">
        <v>30</v>
      </c>
      <c r="C74" s="9">
        <v>1</v>
      </c>
      <c r="D74" s="14">
        <v>1</v>
      </c>
      <c r="E74" s="13"/>
      <c r="F74" s="46">
        <f t="shared" si="17"/>
        <v>2</v>
      </c>
      <c r="G74" s="24">
        <v>44151</v>
      </c>
      <c r="H74" s="4"/>
      <c r="I74" s="9"/>
      <c r="J74" s="14"/>
      <c r="K74" s="13"/>
      <c r="L74" s="46">
        <f t="shared" si="18"/>
        <v>0</v>
      </c>
      <c r="M74" s="24"/>
      <c r="N74" s="1"/>
    </row>
    <row r="75" spans="1:14" x14ac:dyDescent="0.15">
      <c r="A75" s="1"/>
      <c r="B75" s="38" t="s">
        <v>30</v>
      </c>
      <c r="C75" s="9">
        <v>1</v>
      </c>
      <c r="D75" s="14"/>
      <c r="E75" s="13"/>
      <c r="F75" s="46">
        <f t="shared" si="17"/>
        <v>1</v>
      </c>
      <c r="G75" s="24">
        <v>44155</v>
      </c>
      <c r="H75" s="4"/>
      <c r="I75" s="9"/>
      <c r="J75" s="14"/>
      <c r="K75" s="13"/>
      <c r="L75" s="46">
        <f t="shared" si="18"/>
        <v>0</v>
      </c>
      <c r="M75" s="24"/>
      <c r="N75" s="1"/>
    </row>
    <row r="76" spans="1:14" x14ac:dyDescent="0.15">
      <c r="A76" s="1"/>
      <c r="B76" s="38" t="s">
        <v>30</v>
      </c>
      <c r="C76" s="9"/>
      <c r="D76" s="14">
        <v>1</v>
      </c>
      <c r="E76" s="13">
        <v>1</v>
      </c>
      <c r="F76" s="46">
        <f t="shared" si="17"/>
        <v>2</v>
      </c>
      <c r="G76" s="24">
        <v>44156</v>
      </c>
      <c r="H76" s="4"/>
      <c r="I76" s="9"/>
      <c r="J76" s="14"/>
      <c r="K76" s="13"/>
      <c r="L76" s="46">
        <f t="shared" si="18"/>
        <v>0</v>
      </c>
      <c r="M76" s="24"/>
      <c r="N76" s="1"/>
    </row>
    <row r="77" spans="1:14" x14ac:dyDescent="0.15">
      <c r="A77" s="1"/>
      <c r="B77" s="38" t="s">
        <v>30</v>
      </c>
      <c r="C77" s="9">
        <v>1</v>
      </c>
      <c r="D77" s="14">
        <v>1</v>
      </c>
      <c r="E77" s="13">
        <v>1</v>
      </c>
      <c r="F77" s="46">
        <f t="shared" si="17"/>
        <v>3</v>
      </c>
      <c r="G77" s="24">
        <v>44159</v>
      </c>
      <c r="H77" s="4"/>
      <c r="I77" s="9"/>
      <c r="J77" s="14"/>
      <c r="K77" s="13"/>
      <c r="L77" s="46">
        <f t="shared" si="18"/>
        <v>0</v>
      </c>
      <c r="M77" s="24"/>
      <c r="N77" s="1"/>
    </row>
    <row r="78" spans="1:14" x14ac:dyDescent="0.15">
      <c r="A78" s="1"/>
      <c r="B78" s="38" t="s">
        <v>30</v>
      </c>
      <c r="C78" s="9">
        <v>2</v>
      </c>
      <c r="D78" s="14">
        <v>1</v>
      </c>
      <c r="E78" s="13">
        <v>1</v>
      </c>
      <c r="F78" s="46">
        <f t="shared" si="17"/>
        <v>4</v>
      </c>
      <c r="G78" s="24">
        <v>44172</v>
      </c>
      <c r="H78" s="4"/>
      <c r="I78" s="9"/>
      <c r="J78" s="14"/>
      <c r="K78" s="13"/>
      <c r="L78" s="46">
        <f t="shared" si="18"/>
        <v>0</v>
      </c>
      <c r="M78" s="24"/>
      <c r="N78" s="1"/>
    </row>
    <row r="79" spans="1:14" x14ac:dyDescent="0.15">
      <c r="A79" s="1"/>
      <c r="B79" s="38" t="s">
        <v>30</v>
      </c>
      <c r="C79" s="9">
        <v>1</v>
      </c>
      <c r="D79" s="14"/>
      <c r="E79" s="13"/>
      <c r="F79" s="46">
        <f t="shared" si="17"/>
        <v>1</v>
      </c>
      <c r="G79" s="24">
        <v>44173</v>
      </c>
      <c r="H79" s="4"/>
      <c r="I79" s="9"/>
      <c r="J79" s="14"/>
      <c r="K79" s="13"/>
      <c r="L79" s="46">
        <f t="shared" si="18"/>
        <v>0</v>
      </c>
      <c r="M79" s="24"/>
      <c r="N79" s="1"/>
    </row>
    <row r="80" spans="1:14" x14ac:dyDescent="0.15">
      <c r="A80" s="1"/>
      <c r="B80" s="38" t="s">
        <v>30</v>
      </c>
      <c r="C80" s="16"/>
      <c r="D80" s="17">
        <v>1</v>
      </c>
      <c r="E80" s="18"/>
      <c r="F80" s="46">
        <f t="shared" si="17"/>
        <v>1</v>
      </c>
      <c r="G80" s="24">
        <v>44174</v>
      </c>
      <c r="H80" s="4"/>
      <c r="I80" s="9"/>
      <c r="J80" s="14"/>
      <c r="K80" s="13"/>
      <c r="L80" s="46">
        <f t="shared" ref="L80" si="19">SUM(I80:K80)</f>
        <v>0</v>
      </c>
      <c r="M80" s="24"/>
      <c r="N80" s="1"/>
    </row>
    <row r="81" spans="1:14" ht="14.25" thickBot="1" x14ac:dyDescent="0.2">
      <c r="A81" s="1"/>
      <c r="B81" s="38" t="s">
        <v>30</v>
      </c>
      <c r="C81" s="9"/>
      <c r="D81" s="14">
        <v>1</v>
      </c>
      <c r="E81" s="13"/>
      <c r="F81" s="47">
        <f t="shared" si="17"/>
        <v>1</v>
      </c>
      <c r="G81" s="24">
        <v>44175</v>
      </c>
      <c r="H81" s="4"/>
      <c r="I81" s="9"/>
      <c r="J81" s="14"/>
      <c r="K81" s="13"/>
      <c r="L81" s="47">
        <f t="shared" si="18"/>
        <v>0</v>
      </c>
      <c r="M81" s="24"/>
    </row>
    <row r="82" spans="1:14" ht="14.25" thickBot="1" x14ac:dyDescent="0.2">
      <c r="A82" s="1"/>
      <c r="B82" s="5" t="s">
        <v>9</v>
      </c>
      <c r="C82" s="10">
        <f>SUM(C58:C81)</f>
        <v>25</v>
      </c>
      <c r="D82" s="10">
        <f t="shared" ref="D82" si="20">SUM(D58:D81)</f>
        <v>13</v>
      </c>
      <c r="E82" s="10">
        <f t="shared" ref="E82" si="21">SUM(E58:E81)</f>
        <v>8</v>
      </c>
      <c r="F82" s="48">
        <f t="shared" si="17"/>
        <v>46</v>
      </c>
      <c r="G82" s="1"/>
      <c r="H82" s="5" t="s">
        <v>9</v>
      </c>
      <c r="I82" s="10">
        <f>SUM(I58:I81)</f>
        <v>247</v>
      </c>
      <c r="J82" s="10">
        <f t="shared" ref="J82:K82" si="22">SUM(J58:J81)</f>
        <v>187</v>
      </c>
      <c r="K82" s="10">
        <f t="shared" si="22"/>
        <v>135</v>
      </c>
      <c r="L82" s="48">
        <f t="shared" si="18"/>
        <v>569</v>
      </c>
      <c r="M82" s="1"/>
    </row>
    <row r="83" spans="1:14" ht="14.25" thickBot="1" x14ac:dyDescent="0.2">
      <c r="A83" s="1"/>
      <c r="B83" s="8" t="s">
        <v>10</v>
      </c>
      <c r="C83" s="11">
        <f>C57-C82</f>
        <v>130</v>
      </c>
      <c r="D83" s="11">
        <f t="shared" ref="D83" si="23">D57-D82</f>
        <v>58</v>
      </c>
      <c r="E83" s="11">
        <f t="shared" ref="E83" si="24">E57-E82</f>
        <v>75</v>
      </c>
      <c r="F83" s="37">
        <f t="shared" si="17"/>
        <v>263</v>
      </c>
      <c r="G83" s="1"/>
      <c r="H83" s="8" t="s">
        <v>10</v>
      </c>
      <c r="I83" s="11">
        <f>I57-I82</f>
        <v>772</v>
      </c>
      <c r="J83" s="11">
        <f t="shared" ref="J83:K83" si="25">J57-J82</f>
        <v>442</v>
      </c>
      <c r="K83" s="11">
        <f t="shared" si="25"/>
        <v>66</v>
      </c>
      <c r="L83" s="37">
        <f t="shared" si="18"/>
        <v>1280</v>
      </c>
      <c r="M83" s="1"/>
    </row>
    <row r="85" spans="1:14" ht="18.75" x14ac:dyDescent="0.2">
      <c r="A85" s="41" t="s">
        <v>12</v>
      </c>
      <c r="B85" s="42"/>
      <c r="C85" s="41"/>
      <c r="D85" s="43"/>
      <c r="E85" s="43"/>
      <c r="F85" s="2"/>
      <c r="G85" s="1"/>
      <c r="H85" s="41" t="s">
        <v>12</v>
      </c>
      <c r="I85" s="41"/>
      <c r="J85" s="43"/>
      <c r="K85" s="43"/>
      <c r="L85" s="2"/>
      <c r="M85" s="1"/>
      <c r="N85" s="26"/>
    </row>
    <row r="86" spans="1:14" ht="19.5" thickBot="1" x14ac:dyDescent="0.25">
      <c r="A86" s="7"/>
      <c r="B86" s="7" t="s">
        <v>0</v>
      </c>
      <c r="C86" s="7"/>
      <c r="D86" s="7" t="s">
        <v>15</v>
      </c>
      <c r="E86" s="2"/>
      <c r="F86" s="2"/>
      <c r="G86" s="1"/>
      <c r="H86" s="7" t="s">
        <v>1</v>
      </c>
      <c r="I86" s="1"/>
      <c r="J86" s="7" t="s">
        <v>15</v>
      </c>
      <c r="K86" s="2"/>
      <c r="L86" s="2"/>
      <c r="M86" s="1"/>
      <c r="N86" s="1"/>
    </row>
    <row r="87" spans="1:14" ht="14.25" thickBot="1" x14ac:dyDescent="0.2">
      <c r="A87" s="1"/>
      <c r="B87" s="3"/>
      <c r="C87" s="5" t="s">
        <v>2</v>
      </c>
      <c r="D87" s="3" t="s">
        <v>3</v>
      </c>
      <c r="E87" s="12" t="s">
        <v>4</v>
      </c>
      <c r="F87" s="3" t="s">
        <v>5</v>
      </c>
      <c r="G87" s="1"/>
      <c r="H87" s="3"/>
      <c r="I87" s="5" t="s">
        <v>2</v>
      </c>
      <c r="J87" s="3" t="s">
        <v>3</v>
      </c>
      <c r="K87" s="12" t="s">
        <v>4</v>
      </c>
      <c r="L87" s="3" t="s">
        <v>5</v>
      </c>
      <c r="M87" s="1"/>
      <c r="N87" s="1"/>
    </row>
    <row r="88" spans="1:14" ht="14.25" thickBot="1" x14ac:dyDescent="0.2">
      <c r="A88" s="1"/>
      <c r="B88" s="34" t="s">
        <v>11</v>
      </c>
      <c r="C88" s="35">
        <f>C83</f>
        <v>130</v>
      </c>
      <c r="D88" s="36">
        <f>D83</f>
        <v>58</v>
      </c>
      <c r="E88" s="35">
        <f>E83</f>
        <v>75</v>
      </c>
      <c r="F88" s="37">
        <f>SUM(C88:E88)</f>
        <v>263</v>
      </c>
      <c r="G88" s="28"/>
      <c r="H88" s="34" t="s">
        <v>11</v>
      </c>
      <c r="I88" s="35">
        <f>I83</f>
        <v>772</v>
      </c>
      <c r="J88" s="36">
        <f>J83</f>
        <v>442</v>
      </c>
      <c r="K88" s="35">
        <f>K83</f>
        <v>66</v>
      </c>
      <c r="L88" s="37">
        <f>SUM(I88:K88)</f>
        <v>1280</v>
      </c>
      <c r="M88" s="28"/>
    </row>
    <row r="89" spans="1:14" x14ac:dyDescent="0.15">
      <c r="A89" s="1"/>
      <c r="B89" s="29" t="s">
        <v>59</v>
      </c>
      <c r="C89" s="58">
        <v>1</v>
      </c>
      <c r="D89" s="15"/>
      <c r="E89" s="30"/>
      <c r="F89" s="46">
        <f>SUM(C89:E89)</f>
        <v>1</v>
      </c>
      <c r="G89" s="24">
        <v>44182</v>
      </c>
      <c r="H89" s="29" t="s">
        <v>47</v>
      </c>
      <c r="I89" s="30">
        <v>78</v>
      </c>
      <c r="J89" s="15">
        <v>44</v>
      </c>
      <c r="K89" s="30">
        <v>5</v>
      </c>
      <c r="L89" s="46">
        <f>SUM(I89:K89)</f>
        <v>127</v>
      </c>
      <c r="M89" s="24">
        <v>44141</v>
      </c>
      <c r="N89" s="1"/>
    </row>
    <row r="90" spans="1:14" x14ac:dyDescent="0.15">
      <c r="A90" s="1"/>
      <c r="B90" s="29" t="s">
        <v>63</v>
      </c>
      <c r="C90" s="30">
        <v>1</v>
      </c>
      <c r="D90" s="4"/>
      <c r="E90" s="19"/>
      <c r="F90" s="46">
        <f>SUM(C90:E90)</f>
        <v>1</v>
      </c>
      <c r="G90" s="24">
        <v>44284</v>
      </c>
      <c r="H90" s="29" t="s">
        <v>7</v>
      </c>
      <c r="I90" s="19"/>
      <c r="J90" s="4"/>
      <c r="K90" s="19"/>
      <c r="L90" s="46">
        <f>SUM(I90:K90)</f>
        <v>0</v>
      </c>
      <c r="M90" s="27"/>
      <c r="N90" s="1"/>
    </row>
    <row r="91" spans="1:14" x14ac:dyDescent="0.15">
      <c r="A91" s="1"/>
      <c r="B91" s="29" t="s">
        <v>7</v>
      </c>
      <c r="C91" s="19"/>
      <c r="D91" s="4"/>
      <c r="E91" s="19"/>
      <c r="F91" s="46">
        <f t="shared" ref="F91:F98" si="26">SUM(C91:E91)</f>
        <v>0</v>
      </c>
      <c r="G91" s="24"/>
      <c r="H91" s="29" t="s">
        <v>7</v>
      </c>
      <c r="I91" s="22">
        <v>500</v>
      </c>
      <c r="J91" s="23">
        <v>500</v>
      </c>
      <c r="K91" s="22">
        <v>400</v>
      </c>
      <c r="L91" s="46">
        <f t="shared" ref="L91:L93" si="27">SUM(I91:K91)</f>
        <v>1400</v>
      </c>
      <c r="M91" s="27" t="s">
        <v>57</v>
      </c>
      <c r="N91" s="1"/>
    </row>
    <row r="92" spans="1:14" x14ac:dyDescent="0.15">
      <c r="A92" s="1"/>
      <c r="B92" s="29" t="s">
        <v>7</v>
      </c>
      <c r="C92" s="22"/>
      <c r="D92" s="23"/>
      <c r="E92" s="22"/>
      <c r="F92" s="46">
        <f t="shared" si="26"/>
        <v>0</v>
      </c>
      <c r="G92" s="27"/>
      <c r="H92" s="29" t="s">
        <v>7</v>
      </c>
      <c r="I92" s="22"/>
      <c r="J92" s="23"/>
      <c r="K92" s="22"/>
      <c r="L92" s="46">
        <f t="shared" si="27"/>
        <v>0</v>
      </c>
      <c r="M92" s="27"/>
      <c r="N92" s="1"/>
    </row>
    <row r="93" spans="1:14" x14ac:dyDescent="0.15">
      <c r="A93" s="1"/>
      <c r="B93" s="29" t="s">
        <v>7</v>
      </c>
      <c r="C93" s="22"/>
      <c r="D93" s="23"/>
      <c r="E93" s="22"/>
      <c r="F93" s="46">
        <f t="shared" si="26"/>
        <v>0</v>
      </c>
      <c r="G93" s="27"/>
      <c r="H93" s="59" t="s">
        <v>61</v>
      </c>
      <c r="I93" s="60">
        <v>2</v>
      </c>
      <c r="J93" s="61">
        <v>2</v>
      </c>
      <c r="K93" s="60"/>
      <c r="L93" s="62">
        <f t="shared" si="27"/>
        <v>4</v>
      </c>
      <c r="M93" s="33">
        <v>44259</v>
      </c>
    </row>
    <row r="94" spans="1:14" x14ac:dyDescent="0.15">
      <c r="A94" s="1"/>
      <c r="B94" s="29" t="s">
        <v>7</v>
      </c>
      <c r="C94" s="22"/>
      <c r="D94" s="23"/>
      <c r="E94" s="22"/>
      <c r="F94" s="46">
        <f t="shared" si="26"/>
        <v>0</v>
      </c>
      <c r="G94" s="27"/>
      <c r="H94" s="29" t="s">
        <v>7</v>
      </c>
      <c r="I94" s="19"/>
      <c r="J94" s="4"/>
      <c r="K94" s="19"/>
      <c r="L94" s="46">
        <f>SUM(I94:K94)</f>
        <v>0</v>
      </c>
      <c r="M94" s="27"/>
    </row>
    <row r="95" spans="1:14" x14ac:dyDescent="0.15">
      <c r="A95" s="1"/>
      <c r="B95" s="29" t="s">
        <v>7</v>
      </c>
      <c r="C95" s="20"/>
      <c r="D95" s="21"/>
      <c r="E95" s="20"/>
      <c r="F95" s="46">
        <f t="shared" si="26"/>
        <v>0</v>
      </c>
      <c r="G95" s="27"/>
      <c r="H95" s="29" t="s">
        <v>7</v>
      </c>
      <c r="I95" s="20"/>
      <c r="J95" s="21"/>
      <c r="K95" s="20"/>
      <c r="L95" s="46">
        <f t="shared" ref="L95:L98" si="28">SUM(I95:K95)</f>
        <v>0</v>
      </c>
      <c r="M95" s="26"/>
    </row>
    <row r="96" spans="1:14" x14ac:dyDescent="0.15">
      <c r="A96" s="1"/>
      <c r="B96" s="29" t="s">
        <v>7</v>
      </c>
      <c r="C96" s="20"/>
      <c r="D96" s="21"/>
      <c r="E96" s="20"/>
      <c r="F96" s="46">
        <f t="shared" si="26"/>
        <v>0</v>
      </c>
      <c r="G96" s="27"/>
      <c r="H96" s="29" t="s">
        <v>7</v>
      </c>
      <c r="I96" s="20"/>
      <c r="J96" s="21"/>
      <c r="K96" s="20"/>
      <c r="L96" s="46">
        <f t="shared" si="28"/>
        <v>0</v>
      </c>
      <c r="M96" s="1"/>
    </row>
    <row r="97" spans="1:14" x14ac:dyDescent="0.15">
      <c r="A97" s="1"/>
      <c r="B97" s="29" t="s">
        <v>7</v>
      </c>
      <c r="C97" s="20"/>
      <c r="D97" s="21"/>
      <c r="E97" s="20"/>
      <c r="F97" s="46">
        <f t="shared" si="26"/>
        <v>0</v>
      </c>
      <c r="G97" s="24"/>
      <c r="H97" s="29" t="s">
        <v>7</v>
      </c>
      <c r="I97" s="20"/>
      <c r="J97" s="21"/>
      <c r="K97" s="20"/>
      <c r="L97" s="46">
        <f t="shared" si="28"/>
        <v>0</v>
      </c>
      <c r="M97" s="1"/>
    </row>
    <row r="98" spans="1:14" ht="14.25" thickBot="1" x14ac:dyDescent="0.2">
      <c r="A98" s="1"/>
      <c r="B98" s="29" t="s">
        <v>7</v>
      </c>
      <c r="C98" s="19"/>
      <c r="D98" s="4"/>
      <c r="E98" s="19"/>
      <c r="F98" s="46">
        <f t="shared" si="26"/>
        <v>0</v>
      </c>
      <c r="G98" s="27"/>
      <c r="H98" s="29" t="s">
        <v>7</v>
      </c>
      <c r="I98" s="19"/>
      <c r="J98" s="4"/>
      <c r="K98" s="19"/>
      <c r="L98" s="46">
        <f t="shared" si="28"/>
        <v>0</v>
      </c>
      <c r="M98" s="1"/>
    </row>
    <row r="99" spans="1:14" ht="14.25" thickBot="1" x14ac:dyDescent="0.2">
      <c r="A99" s="1"/>
      <c r="B99" s="6" t="s">
        <v>8</v>
      </c>
      <c r="C99" s="44">
        <f>SUM(C88:C98)</f>
        <v>132</v>
      </c>
      <c r="D99" s="44">
        <f t="shared" ref="D99:F99" si="29">SUM(D88:D98)</f>
        <v>58</v>
      </c>
      <c r="E99" s="44">
        <f t="shared" si="29"/>
        <v>75</v>
      </c>
      <c r="F99" s="45">
        <f t="shared" si="29"/>
        <v>265</v>
      </c>
      <c r="G99" s="1"/>
      <c r="H99" s="6" t="s">
        <v>8</v>
      </c>
      <c r="I99" s="44">
        <f>SUM(I88:I98)</f>
        <v>1352</v>
      </c>
      <c r="J99" s="44">
        <f t="shared" ref="J99:L99" si="30">SUM(J88:J98)</f>
        <v>988</v>
      </c>
      <c r="K99" s="44">
        <f t="shared" si="30"/>
        <v>471</v>
      </c>
      <c r="L99" s="45">
        <f t="shared" si="30"/>
        <v>2811</v>
      </c>
      <c r="M99" s="1"/>
    </row>
    <row r="100" spans="1:14" x14ac:dyDescent="0.15">
      <c r="A100" s="1"/>
      <c r="B100" s="38" t="s">
        <v>30</v>
      </c>
      <c r="C100" s="9">
        <v>2</v>
      </c>
      <c r="D100" s="14">
        <v>1</v>
      </c>
      <c r="E100" s="13"/>
      <c r="F100" s="46">
        <f>SUM(C100:E100)</f>
        <v>3</v>
      </c>
      <c r="G100" s="24">
        <v>44176</v>
      </c>
      <c r="H100" s="4" t="s">
        <v>60</v>
      </c>
      <c r="I100" s="9">
        <v>4</v>
      </c>
      <c r="J100" s="14"/>
      <c r="K100" s="13"/>
      <c r="L100" s="46">
        <f>SUM(I100:K100)</f>
        <v>4</v>
      </c>
      <c r="M100" s="24">
        <v>44210</v>
      </c>
      <c r="N100" s="54"/>
    </row>
    <row r="101" spans="1:14" x14ac:dyDescent="0.15">
      <c r="B101" s="38" t="s">
        <v>30</v>
      </c>
      <c r="C101" s="9"/>
      <c r="D101" s="14"/>
      <c r="E101" s="13">
        <v>1</v>
      </c>
      <c r="F101" s="46">
        <f>SUM(C101:E101)</f>
        <v>1</v>
      </c>
      <c r="G101" s="24">
        <v>44186</v>
      </c>
      <c r="H101" s="4" t="s">
        <v>62</v>
      </c>
      <c r="I101" s="9">
        <v>10</v>
      </c>
      <c r="J101" s="14">
        <v>20</v>
      </c>
      <c r="K101" s="13">
        <v>30</v>
      </c>
      <c r="L101" s="46">
        <f>SUM(I101:K101)</f>
        <v>60</v>
      </c>
      <c r="M101" s="24">
        <v>44284</v>
      </c>
      <c r="N101" s="54"/>
    </row>
    <row r="102" spans="1:14" x14ac:dyDescent="0.15">
      <c r="B102" s="38" t="s">
        <v>30</v>
      </c>
      <c r="C102" s="9"/>
      <c r="D102" s="14">
        <v>1</v>
      </c>
      <c r="E102" s="13">
        <v>1</v>
      </c>
      <c r="F102" s="46">
        <f t="shared" ref="F102:F125" si="31">SUM(C102:E102)</f>
        <v>2</v>
      </c>
      <c r="G102" s="24">
        <v>44187</v>
      </c>
      <c r="H102" s="4"/>
      <c r="I102" s="9"/>
      <c r="J102" s="14"/>
      <c r="K102" s="13"/>
      <c r="L102" s="46">
        <f t="shared" ref="L102:L125" si="32">SUM(I102:K102)</f>
        <v>0</v>
      </c>
      <c r="M102" s="24"/>
    </row>
    <row r="103" spans="1:14" x14ac:dyDescent="0.15">
      <c r="B103" s="38" t="s">
        <v>30</v>
      </c>
      <c r="C103" s="9">
        <v>1</v>
      </c>
      <c r="D103" s="14"/>
      <c r="E103" s="13"/>
      <c r="F103" s="46">
        <f t="shared" si="31"/>
        <v>1</v>
      </c>
      <c r="G103" s="24">
        <v>44188</v>
      </c>
      <c r="H103" s="4"/>
      <c r="I103" s="9"/>
      <c r="J103" s="14"/>
      <c r="K103" s="13"/>
      <c r="L103" s="46">
        <f t="shared" si="32"/>
        <v>0</v>
      </c>
      <c r="M103" s="24"/>
    </row>
    <row r="104" spans="1:14" x14ac:dyDescent="0.15">
      <c r="B104" s="38" t="s">
        <v>30</v>
      </c>
      <c r="C104" s="9">
        <v>2</v>
      </c>
      <c r="D104" s="14"/>
      <c r="E104" s="13">
        <v>1</v>
      </c>
      <c r="F104" s="46">
        <f t="shared" si="31"/>
        <v>3</v>
      </c>
      <c r="G104" s="24">
        <v>44193</v>
      </c>
      <c r="H104" s="39"/>
      <c r="I104" s="9"/>
      <c r="J104" s="14"/>
      <c r="K104" s="13"/>
      <c r="L104" s="46">
        <f t="shared" si="32"/>
        <v>0</v>
      </c>
      <c r="M104" s="24"/>
    </row>
    <row r="105" spans="1:14" x14ac:dyDescent="0.15">
      <c r="B105" s="38" t="s">
        <v>30</v>
      </c>
      <c r="C105" s="9">
        <v>1</v>
      </c>
      <c r="D105" s="14"/>
      <c r="E105" s="13"/>
      <c r="F105" s="46">
        <f t="shared" si="31"/>
        <v>1</v>
      </c>
      <c r="G105" s="24">
        <v>44208</v>
      </c>
      <c r="H105" s="4"/>
      <c r="I105" s="9"/>
      <c r="J105" s="14"/>
      <c r="K105" s="13"/>
      <c r="L105" s="46">
        <f t="shared" si="32"/>
        <v>0</v>
      </c>
      <c r="M105" s="24"/>
    </row>
    <row r="106" spans="1:14" x14ac:dyDescent="0.15">
      <c r="B106" s="38" t="s">
        <v>30</v>
      </c>
      <c r="C106" s="9">
        <v>1</v>
      </c>
      <c r="D106" s="14"/>
      <c r="E106" s="13"/>
      <c r="F106" s="46">
        <f t="shared" si="31"/>
        <v>1</v>
      </c>
      <c r="G106" s="24">
        <v>44210</v>
      </c>
      <c r="H106" s="4"/>
      <c r="I106" s="9"/>
      <c r="J106" s="14"/>
      <c r="K106" s="13"/>
      <c r="L106" s="46">
        <f t="shared" si="32"/>
        <v>0</v>
      </c>
      <c r="M106" s="24"/>
    </row>
    <row r="107" spans="1:14" x14ac:dyDescent="0.15">
      <c r="B107" s="38" t="s">
        <v>30</v>
      </c>
      <c r="C107" s="9">
        <v>1</v>
      </c>
      <c r="D107" s="14"/>
      <c r="E107" s="13"/>
      <c r="F107" s="46">
        <f t="shared" si="31"/>
        <v>1</v>
      </c>
      <c r="G107" s="24">
        <v>44212</v>
      </c>
      <c r="H107" s="4"/>
      <c r="I107" s="9"/>
      <c r="J107" s="14"/>
      <c r="K107" s="13"/>
      <c r="L107" s="46">
        <f t="shared" si="32"/>
        <v>0</v>
      </c>
      <c r="M107" s="24"/>
    </row>
    <row r="108" spans="1:14" x14ac:dyDescent="0.15">
      <c r="B108" s="38" t="s">
        <v>30</v>
      </c>
      <c r="C108" s="9"/>
      <c r="D108" s="14">
        <f>2+1</f>
        <v>3</v>
      </c>
      <c r="E108" s="13"/>
      <c r="F108" s="46">
        <f t="shared" si="31"/>
        <v>3</v>
      </c>
      <c r="G108" s="24">
        <v>44222</v>
      </c>
      <c r="H108" s="4"/>
      <c r="I108" s="9"/>
      <c r="J108" s="14"/>
      <c r="K108" s="13"/>
      <c r="L108" s="46">
        <f t="shared" si="32"/>
        <v>0</v>
      </c>
      <c r="M108" s="24"/>
    </row>
    <row r="109" spans="1:14" x14ac:dyDescent="0.15">
      <c r="B109" s="38" t="s">
        <v>30</v>
      </c>
      <c r="C109" s="9"/>
      <c r="D109" s="14"/>
      <c r="E109" s="13">
        <v>1</v>
      </c>
      <c r="F109" s="46">
        <f t="shared" si="31"/>
        <v>1</v>
      </c>
      <c r="G109" s="24">
        <v>44224</v>
      </c>
      <c r="H109" s="4"/>
      <c r="I109" s="9"/>
      <c r="J109" s="14"/>
      <c r="K109" s="13"/>
      <c r="L109" s="46">
        <f t="shared" si="32"/>
        <v>0</v>
      </c>
      <c r="M109" s="28"/>
    </row>
    <row r="110" spans="1:14" x14ac:dyDescent="0.15">
      <c r="B110" s="38" t="s">
        <v>30</v>
      </c>
      <c r="C110" s="9">
        <v>1</v>
      </c>
      <c r="D110" s="14"/>
      <c r="E110" s="40"/>
      <c r="F110" s="46">
        <f t="shared" si="31"/>
        <v>1</v>
      </c>
      <c r="G110" s="24">
        <v>44225</v>
      </c>
      <c r="H110" s="4"/>
      <c r="I110" s="9"/>
      <c r="J110" s="14"/>
      <c r="K110" s="40"/>
      <c r="L110" s="46">
        <f t="shared" si="32"/>
        <v>0</v>
      </c>
      <c r="M110" s="24"/>
    </row>
    <row r="111" spans="1:14" x14ac:dyDescent="0.15">
      <c r="B111" s="38" t="s">
        <v>30</v>
      </c>
      <c r="C111" s="9">
        <v>1</v>
      </c>
      <c r="D111" s="14"/>
      <c r="E111" s="13"/>
      <c r="F111" s="46">
        <f t="shared" si="31"/>
        <v>1</v>
      </c>
      <c r="G111" s="24">
        <v>44228</v>
      </c>
      <c r="H111" s="4"/>
      <c r="I111" s="9"/>
      <c r="J111" s="14"/>
      <c r="K111" s="13"/>
      <c r="L111" s="46">
        <f t="shared" si="32"/>
        <v>0</v>
      </c>
      <c r="M111" s="24"/>
    </row>
    <row r="112" spans="1:14" x14ac:dyDescent="0.15">
      <c r="B112" s="38" t="s">
        <v>30</v>
      </c>
      <c r="C112" s="9"/>
      <c r="D112" s="14">
        <v>1</v>
      </c>
      <c r="E112" s="13"/>
      <c r="F112" s="46">
        <f t="shared" si="31"/>
        <v>1</v>
      </c>
      <c r="G112" s="24">
        <v>44229</v>
      </c>
      <c r="H112" s="4"/>
      <c r="I112" s="9"/>
      <c r="J112" s="14"/>
      <c r="K112" s="13"/>
      <c r="L112" s="46">
        <f t="shared" si="32"/>
        <v>0</v>
      </c>
      <c r="M112" s="24"/>
    </row>
    <row r="113" spans="1:15" x14ac:dyDescent="0.15">
      <c r="B113" s="38" t="s">
        <v>30</v>
      </c>
      <c r="C113" s="9">
        <v>1</v>
      </c>
      <c r="D113" s="14">
        <v>1</v>
      </c>
      <c r="E113" s="13">
        <v>1</v>
      </c>
      <c r="F113" s="46">
        <f t="shared" si="31"/>
        <v>3</v>
      </c>
      <c r="G113" s="24">
        <v>44237</v>
      </c>
      <c r="H113" s="4"/>
      <c r="I113" s="9"/>
      <c r="J113" s="14"/>
      <c r="K113" s="13"/>
      <c r="L113" s="46">
        <f t="shared" si="32"/>
        <v>0</v>
      </c>
      <c r="M113" s="24"/>
    </row>
    <row r="114" spans="1:15" x14ac:dyDescent="0.15">
      <c r="B114" s="38" t="s">
        <v>30</v>
      </c>
      <c r="C114" s="9">
        <f>1+1</f>
        <v>2</v>
      </c>
      <c r="D114" s="14"/>
      <c r="E114" s="13"/>
      <c r="F114" s="46">
        <f t="shared" si="31"/>
        <v>2</v>
      </c>
      <c r="G114" s="24">
        <v>44239</v>
      </c>
      <c r="H114" s="4"/>
      <c r="I114" s="9"/>
      <c r="J114" s="14"/>
      <c r="K114" s="13"/>
      <c r="L114" s="46">
        <f t="shared" si="32"/>
        <v>0</v>
      </c>
      <c r="M114" s="24"/>
    </row>
    <row r="115" spans="1:15" x14ac:dyDescent="0.15">
      <c r="B115" s="38" t="s">
        <v>30</v>
      </c>
      <c r="C115" s="9">
        <v>2</v>
      </c>
      <c r="D115" s="14">
        <v>1</v>
      </c>
      <c r="E115" s="13"/>
      <c r="F115" s="46">
        <f t="shared" si="31"/>
        <v>3</v>
      </c>
      <c r="G115" s="24">
        <v>44242</v>
      </c>
      <c r="H115" s="4"/>
      <c r="I115" s="9"/>
      <c r="J115" s="14"/>
      <c r="K115" s="13"/>
      <c r="L115" s="46">
        <f t="shared" si="32"/>
        <v>0</v>
      </c>
      <c r="M115" s="24"/>
    </row>
    <row r="116" spans="1:15" x14ac:dyDescent="0.15">
      <c r="B116" s="38" t="s">
        <v>30</v>
      </c>
      <c r="C116" s="9"/>
      <c r="D116" s="14"/>
      <c r="E116" s="13">
        <v>1</v>
      </c>
      <c r="F116" s="46">
        <f t="shared" si="31"/>
        <v>1</v>
      </c>
      <c r="G116" s="24">
        <v>44243</v>
      </c>
      <c r="H116" s="4"/>
      <c r="I116" s="9"/>
      <c r="J116" s="14"/>
      <c r="K116" s="13"/>
      <c r="L116" s="46">
        <f t="shared" si="32"/>
        <v>0</v>
      </c>
      <c r="M116" s="24"/>
    </row>
    <row r="117" spans="1:15" x14ac:dyDescent="0.15">
      <c r="A117" s="1"/>
      <c r="B117" s="38" t="s">
        <v>30</v>
      </c>
      <c r="C117" s="9">
        <v>1</v>
      </c>
      <c r="D117" s="14"/>
      <c r="E117" s="13"/>
      <c r="F117" s="46">
        <f t="shared" si="31"/>
        <v>1</v>
      </c>
      <c r="G117" s="24">
        <v>44251</v>
      </c>
      <c r="H117" s="4"/>
      <c r="I117" s="9"/>
      <c r="J117" s="14"/>
      <c r="K117" s="13"/>
      <c r="L117" s="46">
        <f t="shared" si="32"/>
        <v>0</v>
      </c>
      <c r="M117" s="24"/>
    </row>
    <row r="118" spans="1:15" x14ac:dyDescent="0.15">
      <c r="A118" s="1"/>
      <c r="B118" s="38" t="s">
        <v>30</v>
      </c>
      <c r="C118" s="9">
        <v>3</v>
      </c>
      <c r="D118" s="14">
        <v>1</v>
      </c>
      <c r="E118" s="13"/>
      <c r="F118" s="46">
        <f t="shared" si="31"/>
        <v>4</v>
      </c>
      <c r="G118" s="24">
        <v>44260</v>
      </c>
      <c r="H118" s="4"/>
      <c r="I118" s="9"/>
      <c r="J118" s="14"/>
      <c r="K118" s="13"/>
      <c r="L118" s="46">
        <f t="shared" si="32"/>
        <v>0</v>
      </c>
      <c r="M118" s="24"/>
    </row>
    <row r="119" spans="1:15" x14ac:dyDescent="0.15">
      <c r="A119" s="1"/>
      <c r="B119" s="38" t="s">
        <v>30</v>
      </c>
      <c r="C119" s="9">
        <v>3</v>
      </c>
      <c r="D119" s="14"/>
      <c r="E119" s="13"/>
      <c r="F119" s="46">
        <f t="shared" si="31"/>
        <v>3</v>
      </c>
      <c r="G119" s="24">
        <v>44263</v>
      </c>
      <c r="H119" s="4"/>
      <c r="I119" s="9"/>
      <c r="J119" s="14"/>
      <c r="K119" s="13"/>
      <c r="L119" s="46">
        <f t="shared" si="32"/>
        <v>0</v>
      </c>
      <c r="M119" s="24"/>
    </row>
    <row r="120" spans="1:15" x14ac:dyDescent="0.15">
      <c r="A120" s="1"/>
      <c r="B120" s="38" t="s">
        <v>30</v>
      </c>
      <c r="C120" s="9">
        <v>5</v>
      </c>
      <c r="D120" s="14"/>
      <c r="E120" s="13">
        <v>1</v>
      </c>
      <c r="F120" s="46">
        <f t="shared" si="31"/>
        <v>6</v>
      </c>
      <c r="G120" s="24">
        <v>44264</v>
      </c>
      <c r="H120" s="4"/>
      <c r="I120" s="9"/>
      <c r="J120" s="14"/>
      <c r="K120" s="13"/>
      <c r="L120" s="46">
        <f t="shared" si="32"/>
        <v>0</v>
      </c>
      <c r="M120" s="24"/>
    </row>
    <row r="121" spans="1:15" x14ac:dyDescent="0.15">
      <c r="A121" s="1"/>
      <c r="B121" s="38" t="s">
        <v>30</v>
      </c>
      <c r="C121" s="9"/>
      <c r="D121" s="14">
        <v>1</v>
      </c>
      <c r="E121" s="13">
        <f>1+2+2</f>
        <v>5</v>
      </c>
      <c r="F121" s="46">
        <f t="shared" si="31"/>
        <v>6</v>
      </c>
      <c r="G121" s="24">
        <v>44265</v>
      </c>
      <c r="H121" s="4"/>
      <c r="I121" s="9"/>
      <c r="J121" s="14"/>
      <c r="K121" s="13"/>
      <c r="L121" s="46">
        <f t="shared" si="32"/>
        <v>0</v>
      </c>
      <c r="M121" s="24"/>
    </row>
    <row r="122" spans="1:15" x14ac:dyDescent="0.15">
      <c r="A122" s="1"/>
      <c r="B122" s="38" t="s">
        <v>30</v>
      </c>
      <c r="C122" s="16">
        <f>1+1</f>
        <v>2</v>
      </c>
      <c r="D122" s="17">
        <f>2+1</f>
        <v>3</v>
      </c>
      <c r="E122" s="18">
        <f>1+1+1</f>
        <v>3</v>
      </c>
      <c r="F122" s="46">
        <f t="shared" si="31"/>
        <v>8</v>
      </c>
      <c r="G122" s="24">
        <v>44266</v>
      </c>
      <c r="H122" s="4"/>
      <c r="I122" s="9"/>
      <c r="J122" s="14"/>
      <c r="K122" s="13"/>
      <c r="L122" s="46">
        <f t="shared" si="32"/>
        <v>0</v>
      </c>
      <c r="M122" s="24"/>
    </row>
    <row r="123" spans="1:15" ht="14.25" thickBot="1" x14ac:dyDescent="0.2">
      <c r="A123" s="1"/>
      <c r="B123" s="38" t="s">
        <v>30</v>
      </c>
      <c r="C123" s="9">
        <v>1</v>
      </c>
      <c r="D123" s="14"/>
      <c r="E123" s="13">
        <v>2</v>
      </c>
      <c r="F123" s="47">
        <f t="shared" si="31"/>
        <v>3</v>
      </c>
      <c r="G123" s="24">
        <v>44277</v>
      </c>
      <c r="H123" s="4" t="s">
        <v>44</v>
      </c>
      <c r="I123" s="9"/>
      <c r="J123" s="14"/>
      <c r="K123" s="13"/>
      <c r="L123" s="47">
        <f t="shared" si="32"/>
        <v>0</v>
      </c>
      <c r="M123" s="24"/>
    </row>
    <row r="124" spans="1:15" ht="14.25" thickBot="1" x14ac:dyDescent="0.2">
      <c r="A124" s="1"/>
      <c r="B124" s="5" t="s">
        <v>9</v>
      </c>
      <c r="C124" s="10">
        <f>SUM(C100:C123)</f>
        <v>30</v>
      </c>
      <c r="D124" s="10">
        <f t="shared" ref="D124:E124" si="33">SUM(D100:D123)</f>
        <v>13</v>
      </c>
      <c r="E124" s="10">
        <f t="shared" si="33"/>
        <v>17</v>
      </c>
      <c r="F124" s="48">
        <f t="shared" si="31"/>
        <v>60</v>
      </c>
      <c r="G124" s="1"/>
      <c r="H124" s="5" t="s">
        <v>9</v>
      </c>
      <c r="I124" s="10">
        <f>SUM(I100:I123)</f>
        <v>14</v>
      </c>
      <c r="J124" s="10">
        <f t="shared" ref="J124:K124" si="34">SUM(J100:J123)</f>
        <v>20</v>
      </c>
      <c r="K124" s="10">
        <f t="shared" si="34"/>
        <v>30</v>
      </c>
      <c r="L124" s="48">
        <f t="shared" si="32"/>
        <v>64</v>
      </c>
      <c r="M124" s="1"/>
    </row>
    <row r="125" spans="1:15" ht="14.25" thickBot="1" x14ac:dyDescent="0.2">
      <c r="A125" s="1"/>
      <c r="B125" s="8" t="s">
        <v>10</v>
      </c>
      <c r="C125" s="11">
        <f>C99-C124</f>
        <v>102</v>
      </c>
      <c r="D125" s="11">
        <f t="shared" ref="D125:E125" si="35">D99-D124</f>
        <v>45</v>
      </c>
      <c r="E125" s="11">
        <f t="shared" si="35"/>
        <v>58</v>
      </c>
      <c r="F125" s="37">
        <f t="shared" si="31"/>
        <v>205</v>
      </c>
      <c r="G125" s="1"/>
      <c r="H125" s="8" t="s">
        <v>10</v>
      </c>
      <c r="I125" s="11">
        <f>I99-I124</f>
        <v>1338</v>
      </c>
      <c r="J125" s="11">
        <f t="shared" ref="J125:K125" si="36">J99-J124</f>
        <v>968</v>
      </c>
      <c r="K125" s="11">
        <f t="shared" si="36"/>
        <v>441</v>
      </c>
      <c r="L125" s="37">
        <f t="shared" si="32"/>
        <v>2747</v>
      </c>
      <c r="M125" s="1"/>
      <c r="N125" s="1"/>
      <c r="O125" s="1"/>
    </row>
    <row r="126" spans="1:15" x14ac:dyDescent="0.15">
      <c r="M126" s="31"/>
      <c r="N126" s="26"/>
      <c r="O126" s="26"/>
    </row>
    <row r="127" spans="1:15" ht="18.75" x14ac:dyDescent="0.2">
      <c r="A127" s="41" t="s">
        <v>12</v>
      </c>
      <c r="B127" s="42"/>
      <c r="C127" s="41"/>
      <c r="D127" s="43"/>
      <c r="E127" s="43"/>
      <c r="F127" s="2"/>
      <c r="G127" s="1"/>
      <c r="H127" s="41" t="s">
        <v>12</v>
      </c>
      <c r="I127" s="41"/>
      <c r="J127" s="43"/>
      <c r="K127" s="43"/>
      <c r="L127" s="2"/>
      <c r="M127" s="31"/>
      <c r="N127" s="26"/>
      <c r="O127" s="1"/>
    </row>
    <row r="128" spans="1:15" ht="19.5" thickBot="1" x14ac:dyDescent="0.25">
      <c r="A128" s="7"/>
      <c r="B128" s="7" t="s">
        <v>0</v>
      </c>
      <c r="C128" s="7"/>
      <c r="D128" s="7" t="s">
        <v>15</v>
      </c>
      <c r="E128" s="2"/>
      <c r="F128" s="2"/>
      <c r="G128" s="1"/>
      <c r="H128" s="7" t="s">
        <v>1</v>
      </c>
      <c r="I128" s="1"/>
      <c r="J128" s="7" t="s">
        <v>15</v>
      </c>
      <c r="K128" s="2"/>
      <c r="L128" s="2"/>
      <c r="M128" s="1"/>
      <c r="N128" s="1"/>
      <c r="O128" s="1"/>
    </row>
    <row r="129" spans="1:15" ht="14.25" thickBot="1" x14ac:dyDescent="0.2">
      <c r="A129" s="1"/>
      <c r="B129" s="3"/>
      <c r="C129" s="5" t="s">
        <v>2</v>
      </c>
      <c r="D129" s="3" t="s">
        <v>3</v>
      </c>
      <c r="E129" s="12" t="s">
        <v>4</v>
      </c>
      <c r="F129" s="3" t="s">
        <v>5</v>
      </c>
      <c r="G129" s="1"/>
      <c r="H129" s="3"/>
      <c r="I129" s="5" t="s">
        <v>2</v>
      </c>
      <c r="J129" s="3" t="s">
        <v>3</v>
      </c>
      <c r="K129" s="12" t="s">
        <v>4</v>
      </c>
      <c r="L129" s="3" t="s">
        <v>5</v>
      </c>
      <c r="M129" s="1"/>
      <c r="N129" s="1"/>
      <c r="O129" s="1"/>
    </row>
    <row r="130" spans="1:15" ht="14.25" thickBot="1" x14ac:dyDescent="0.2">
      <c r="A130" s="1"/>
      <c r="B130" s="34" t="s">
        <v>11</v>
      </c>
      <c r="C130" s="35">
        <f>C125</f>
        <v>102</v>
      </c>
      <c r="D130" s="36">
        <f>D125</f>
        <v>45</v>
      </c>
      <c r="E130" s="35">
        <f>E125</f>
        <v>58</v>
      </c>
      <c r="F130" s="37">
        <f>SUM(C130:E130)</f>
        <v>205</v>
      </c>
      <c r="G130" s="28"/>
      <c r="H130" s="34" t="s">
        <v>11</v>
      </c>
      <c r="I130" s="35">
        <f>I125</f>
        <v>1338</v>
      </c>
      <c r="J130" s="36">
        <f>J125</f>
        <v>968</v>
      </c>
      <c r="K130" s="35">
        <f>K125</f>
        <v>441</v>
      </c>
      <c r="L130" s="37">
        <f>SUM(I130:K130)</f>
        <v>2747</v>
      </c>
    </row>
    <row r="131" spans="1:15" x14ac:dyDescent="0.15">
      <c r="A131" s="1"/>
      <c r="B131" s="29" t="s">
        <v>7</v>
      </c>
      <c r="C131" s="58"/>
      <c r="D131" s="15"/>
      <c r="E131" s="30"/>
      <c r="F131" s="46">
        <f>SUM(C131:E131)</f>
        <v>0</v>
      </c>
      <c r="G131" s="24"/>
      <c r="H131" s="29" t="s">
        <v>24</v>
      </c>
      <c r="I131" s="30">
        <v>35</v>
      </c>
      <c r="J131" s="15"/>
      <c r="K131" s="30"/>
      <c r="L131" s="46">
        <f>SUM(I131:K131)</f>
        <v>35</v>
      </c>
      <c r="M131" s="63">
        <v>44289</v>
      </c>
      <c r="N131" s="1"/>
      <c r="O131" s="1"/>
    </row>
    <row r="132" spans="1:15" x14ac:dyDescent="0.15">
      <c r="A132" s="1"/>
      <c r="B132" s="29" t="s">
        <v>7</v>
      </c>
      <c r="C132" s="30"/>
      <c r="D132" s="4"/>
      <c r="E132" s="19"/>
      <c r="F132" s="46">
        <f>SUM(C132:E132)</f>
        <v>0</v>
      </c>
      <c r="G132" s="24"/>
      <c r="H132" s="29" t="s">
        <v>7</v>
      </c>
      <c r="I132" s="19"/>
      <c r="J132" s="4"/>
      <c r="K132" s="19"/>
      <c r="L132" s="46">
        <f>SUM(I132:K132)</f>
        <v>0</v>
      </c>
      <c r="M132" s="1"/>
      <c r="N132" s="1"/>
      <c r="O132" s="1"/>
    </row>
    <row r="133" spans="1:15" x14ac:dyDescent="0.15">
      <c r="A133" s="1"/>
      <c r="B133" s="29" t="s">
        <v>7</v>
      </c>
      <c r="C133" s="19"/>
      <c r="D133" s="4"/>
      <c r="E133" s="19"/>
      <c r="F133" s="46">
        <f t="shared" ref="F133:F140" si="37">SUM(C133:E133)</f>
        <v>0</v>
      </c>
      <c r="G133" s="24"/>
      <c r="H133" s="29" t="s">
        <v>7</v>
      </c>
      <c r="I133" s="22"/>
      <c r="J133" s="23"/>
      <c r="K133" s="22"/>
      <c r="L133" s="46">
        <f t="shared" ref="L133:L135" si="38">SUM(I133:K133)</f>
        <v>0</v>
      </c>
      <c r="M133" s="26"/>
      <c r="N133" s="1"/>
      <c r="O133" s="1"/>
    </row>
    <row r="134" spans="1:15" x14ac:dyDescent="0.15">
      <c r="A134" s="1"/>
      <c r="B134" s="29" t="s">
        <v>7</v>
      </c>
      <c r="C134" s="22"/>
      <c r="D134" s="23"/>
      <c r="E134" s="22"/>
      <c r="F134" s="46">
        <f t="shared" si="37"/>
        <v>0</v>
      </c>
      <c r="G134" s="27"/>
      <c r="H134" s="29" t="s">
        <v>7</v>
      </c>
      <c r="I134" s="22"/>
      <c r="J134" s="23"/>
      <c r="K134" s="22"/>
      <c r="L134" s="46">
        <f t="shared" si="38"/>
        <v>0</v>
      </c>
      <c r="M134" s="26"/>
      <c r="N134" s="1"/>
      <c r="O134" s="1"/>
    </row>
    <row r="135" spans="1:15" x14ac:dyDescent="0.15">
      <c r="A135" s="1"/>
      <c r="B135" s="29" t="s">
        <v>7</v>
      </c>
      <c r="C135" s="22"/>
      <c r="D135" s="23"/>
      <c r="E135" s="22"/>
      <c r="F135" s="46">
        <f t="shared" si="37"/>
        <v>0</v>
      </c>
      <c r="G135" s="27"/>
      <c r="H135" s="29" t="s">
        <v>7</v>
      </c>
      <c r="I135" s="22"/>
      <c r="J135" s="23"/>
      <c r="K135" s="22"/>
      <c r="L135" s="46">
        <f t="shared" si="38"/>
        <v>0</v>
      </c>
      <c r="M135" s="26"/>
      <c r="N135" s="1"/>
      <c r="O135" s="1"/>
    </row>
    <row r="136" spans="1:15" x14ac:dyDescent="0.15">
      <c r="A136" s="1"/>
      <c r="B136" s="29" t="s">
        <v>7</v>
      </c>
      <c r="C136" s="22"/>
      <c r="D136" s="23"/>
      <c r="E136" s="22"/>
      <c r="F136" s="46">
        <f t="shared" si="37"/>
        <v>0</v>
      </c>
      <c r="G136" s="27"/>
      <c r="H136" s="29" t="s">
        <v>7</v>
      </c>
      <c r="I136" s="19"/>
      <c r="J136" s="4"/>
      <c r="K136" s="19"/>
      <c r="L136" s="46">
        <f>SUM(I136:K136)</f>
        <v>0</v>
      </c>
      <c r="M136" s="31"/>
      <c r="N136" s="1"/>
      <c r="O136" s="1"/>
    </row>
    <row r="137" spans="1:15" x14ac:dyDescent="0.15">
      <c r="A137" s="1"/>
      <c r="B137" s="29" t="s">
        <v>7</v>
      </c>
      <c r="C137" s="20"/>
      <c r="D137" s="21"/>
      <c r="E137" s="20"/>
      <c r="F137" s="46">
        <f t="shared" si="37"/>
        <v>0</v>
      </c>
      <c r="G137" s="27"/>
      <c r="H137" s="29" t="s">
        <v>7</v>
      </c>
      <c r="I137" s="20"/>
      <c r="J137" s="21"/>
      <c r="K137" s="20"/>
      <c r="L137" s="46">
        <f t="shared" ref="L137:L140" si="39">SUM(I137:K137)</f>
        <v>0</v>
      </c>
      <c r="M137" s="31"/>
      <c r="N137" s="1"/>
      <c r="O137" s="1"/>
    </row>
    <row r="138" spans="1:15" x14ac:dyDescent="0.15">
      <c r="A138" s="1"/>
      <c r="B138" s="29" t="s">
        <v>7</v>
      </c>
      <c r="C138" s="20"/>
      <c r="D138" s="21"/>
      <c r="E138" s="20"/>
      <c r="F138" s="46">
        <f t="shared" si="37"/>
        <v>0</v>
      </c>
      <c r="G138" s="27"/>
      <c r="H138" s="29" t="s">
        <v>7</v>
      </c>
      <c r="I138" s="20"/>
      <c r="J138" s="21"/>
      <c r="K138" s="20"/>
      <c r="L138" s="46">
        <f t="shared" si="39"/>
        <v>0</v>
      </c>
      <c r="M138" s="31"/>
      <c r="N138" s="1"/>
      <c r="O138" s="1"/>
    </row>
    <row r="139" spans="1:15" x14ac:dyDescent="0.15">
      <c r="A139" s="1"/>
      <c r="B139" s="29" t="s">
        <v>7</v>
      </c>
      <c r="C139" s="20"/>
      <c r="D139" s="21"/>
      <c r="E139" s="20"/>
      <c r="F139" s="46">
        <f t="shared" si="37"/>
        <v>0</v>
      </c>
      <c r="G139" s="24"/>
      <c r="H139" s="29" t="s">
        <v>7</v>
      </c>
      <c r="I139" s="20"/>
      <c r="J139" s="21"/>
      <c r="K139" s="20"/>
      <c r="L139" s="46">
        <f t="shared" si="39"/>
        <v>0</v>
      </c>
      <c r="M139" s="27"/>
      <c r="N139" s="1"/>
      <c r="O139" s="1"/>
    </row>
    <row r="140" spans="1:15" ht="14.25" thickBot="1" x14ac:dyDescent="0.2">
      <c r="A140" s="1"/>
      <c r="B140" s="29" t="s">
        <v>7</v>
      </c>
      <c r="C140" s="19"/>
      <c r="D140" s="4"/>
      <c r="E140" s="19"/>
      <c r="F140" s="46">
        <f t="shared" si="37"/>
        <v>0</v>
      </c>
      <c r="G140" s="27"/>
      <c r="H140" s="29" t="s">
        <v>7</v>
      </c>
      <c r="I140" s="19"/>
      <c r="J140" s="4"/>
      <c r="K140" s="19"/>
      <c r="L140" s="46">
        <f t="shared" si="39"/>
        <v>0</v>
      </c>
      <c r="M140" s="31"/>
      <c r="N140" s="1"/>
      <c r="O140" s="1"/>
    </row>
    <row r="141" spans="1:15" ht="14.25" thickBot="1" x14ac:dyDescent="0.2">
      <c r="A141" s="1"/>
      <c r="B141" s="6" t="s">
        <v>8</v>
      </c>
      <c r="C141" s="44">
        <f>SUM(C130:C140)</f>
        <v>102</v>
      </c>
      <c r="D141" s="44">
        <f t="shared" ref="D141:F141" si="40">SUM(D130:D140)</f>
        <v>45</v>
      </c>
      <c r="E141" s="44">
        <f t="shared" si="40"/>
        <v>58</v>
      </c>
      <c r="F141" s="45">
        <f t="shared" si="40"/>
        <v>205</v>
      </c>
      <c r="G141" s="1"/>
      <c r="H141" s="6" t="s">
        <v>8</v>
      </c>
      <c r="I141" s="44">
        <f>SUM(I130:I140)</f>
        <v>1373</v>
      </c>
      <c r="J141" s="44">
        <f t="shared" ref="J141:L141" si="41">SUM(J130:J140)</f>
        <v>968</v>
      </c>
      <c r="K141" s="44">
        <f t="shared" si="41"/>
        <v>441</v>
      </c>
      <c r="L141" s="45">
        <f t="shared" si="41"/>
        <v>2782</v>
      </c>
      <c r="M141" s="31"/>
    </row>
    <row r="142" spans="1:15" x14ac:dyDescent="0.15">
      <c r="A142" s="1"/>
      <c r="B142" s="38" t="s">
        <v>30</v>
      </c>
      <c r="C142" s="9">
        <v>1</v>
      </c>
      <c r="D142" s="14"/>
      <c r="E142" s="13">
        <v>1</v>
      </c>
      <c r="F142" s="46">
        <f>SUM(C142:E142)</f>
        <v>2</v>
      </c>
      <c r="G142" s="24">
        <v>44278</v>
      </c>
      <c r="H142" s="4" t="s">
        <v>66</v>
      </c>
      <c r="I142" s="9">
        <v>10</v>
      </c>
      <c r="J142" s="14">
        <v>20</v>
      </c>
      <c r="K142" s="13"/>
      <c r="L142" s="46">
        <f>SUM(I142:K142)</f>
        <v>30</v>
      </c>
      <c r="M142" s="27">
        <v>44308</v>
      </c>
    </row>
    <row r="143" spans="1:15" x14ac:dyDescent="0.15">
      <c r="B143" s="38" t="s">
        <v>30</v>
      </c>
      <c r="C143" s="9">
        <f>3+2</f>
        <v>5</v>
      </c>
      <c r="D143" s="14"/>
      <c r="E143" s="13"/>
      <c r="F143" s="46">
        <f>SUM(C143:E143)</f>
        <v>5</v>
      </c>
      <c r="G143" s="24">
        <v>44279</v>
      </c>
      <c r="H143" s="4" t="s">
        <v>67</v>
      </c>
      <c r="I143" s="9">
        <v>5</v>
      </c>
      <c r="J143" s="14"/>
      <c r="K143" s="13">
        <v>5</v>
      </c>
      <c r="L143" s="46">
        <f>SUM(I143:K143)</f>
        <v>10</v>
      </c>
      <c r="M143" s="27">
        <v>44334</v>
      </c>
    </row>
    <row r="144" spans="1:15" x14ac:dyDescent="0.15">
      <c r="B144" s="38" t="s">
        <v>30</v>
      </c>
      <c r="C144" s="9">
        <v>2</v>
      </c>
      <c r="D144" s="14">
        <v>1</v>
      </c>
      <c r="E144" s="13"/>
      <c r="F144" s="46">
        <f t="shared" ref="F144:F167" si="42">SUM(C144:E144)</f>
        <v>3</v>
      </c>
      <c r="G144" s="24">
        <v>44280</v>
      </c>
      <c r="H144" s="4"/>
      <c r="I144" s="9"/>
      <c r="J144" s="14"/>
      <c r="K144" s="13"/>
      <c r="L144" s="46">
        <f t="shared" ref="L144:L167" si="43">SUM(I144:K144)</f>
        <v>0</v>
      </c>
      <c r="M144" s="1"/>
    </row>
    <row r="145" spans="1:15" x14ac:dyDescent="0.15">
      <c r="B145" s="38" t="s">
        <v>30</v>
      </c>
      <c r="C145" s="9">
        <v>3</v>
      </c>
      <c r="D145" s="14"/>
      <c r="E145" s="13"/>
      <c r="F145" s="46">
        <f t="shared" si="42"/>
        <v>3</v>
      </c>
      <c r="G145" s="24">
        <v>44281</v>
      </c>
      <c r="H145" s="4"/>
      <c r="I145" s="9"/>
      <c r="J145" s="14"/>
      <c r="K145" s="13"/>
      <c r="L145" s="46">
        <f t="shared" si="43"/>
        <v>0</v>
      </c>
      <c r="M145" s="1"/>
    </row>
    <row r="146" spans="1:15" x14ac:dyDescent="0.15">
      <c r="B146" s="38" t="s">
        <v>30</v>
      </c>
      <c r="C146" s="9">
        <v>1</v>
      </c>
      <c r="D146" s="14">
        <v>1</v>
      </c>
      <c r="E146" s="13"/>
      <c r="F146" s="46">
        <f t="shared" si="42"/>
        <v>2</v>
      </c>
      <c r="G146" s="24">
        <v>44284</v>
      </c>
      <c r="H146" s="39"/>
      <c r="I146" s="9"/>
      <c r="J146" s="14"/>
      <c r="K146" s="13"/>
      <c r="L146" s="46">
        <f t="shared" si="43"/>
        <v>0</v>
      </c>
      <c r="M146" s="27"/>
    </row>
    <row r="147" spans="1:15" x14ac:dyDescent="0.15">
      <c r="B147" s="38" t="s">
        <v>30</v>
      </c>
      <c r="C147" s="9"/>
      <c r="D147" s="14"/>
      <c r="E147" s="13">
        <v>1</v>
      </c>
      <c r="F147" s="46">
        <f t="shared" si="42"/>
        <v>1</v>
      </c>
      <c r="G147" s="24">
        <v>44285</v>
      </c>
      <c r="H147" s="4"/>
      <c r="I147" s="9"/>
      <c r="J147" s="14"/>
      <c r="K147" s="13"/>
      <c r="L147" s="46">
        <f t="shared" si="43"/>
        <v>0</v>
      </c>
      <c r="M147" s="27"/>
    </row>
    <row r="148" spans="1:15" x14ac:dyDescent="0.15">
      <c r="B148" s="38" t="s">
        <v>64</v>
      </c>
      <c r="C148" s="9">
        <v>35</v>
      </c>
      <c r="D148" s="14"/>
      <c r="E148" s="13"/>
      <c r="F148" s="46">
        <f t="shared" si="42"/>
        <v>35</v>
      </c>
      <c r="G148" s="24">
        <v>44289</v>
      </c>
      <c r="H148" s="4"/>
      <c r="I148" s="9"/>
      <c r="J148" s="14"/>
      <c r="K148" s="13"/>
      <c r="L148" s="46">
        <f t="shared" si="43"/>
        <v>0</v>
      </c>
      <c r="M148" s="27"/>
    </row>
    <row r="149" spans="1:15" x14ac:dyDescent="0.15">
      <c r="B149" s="38" t="s">
        <v>65</v>
      </c>
      <c r="C149" s="9"/>
      <c r="D149" s="14">
        <v>1</v>
      </c>
      <c r="E149" s="13"/>
      <c r="F149" s="46">
        <f t="shared" si="42"/>
        <v>1</v>
      </c>
      <c r="G149" s="24">
        <v>44294</v>
      </c>
      <c r="H149" s="4"/>
      <c r="I149" s="9"/>
      <c r="J149" s="14"/>
      <c r="K149" s="13"/>
      <c r="L149" s="46">
        <f t="shared" si="43"/>
        <v>0</v>
      </c>
      <c r="M149" s="27"/>
    </row>
    <row r="150" spans="1:15" x14ac:dyDescent="0.15">
      <c r="B150" s="38" t="s">
        <v>25</v>
      </c>
      <c r="C150" s="9"/>
      <c r="D150" s="14">
        <v>1</v>
      </c>
      <c r="E150" s="13">
        <v>1</v>
      </c>
      <c r="F150" s="46">
        <f t="shared" si="42"/>
        <v>2</v>
      </c>
      <c r="G150" s="24">
        <v>44295</v>
      </c>
      <c r="H150" s="4"/>
      <c r="I150" s="9"/>
      <c r="J150" s="14"/>
      <c r="K150" s="13"/>
      <c r="L150" s="46">
        <f t="shared" si="43"/>
        <v>0</v>
      </c>
      <c r="M150" s="27"/>
    </row>
    <row r="151" spans="1:15" x14ac:dyDescent="0.15">
      <c r="B151" s="38" t="s">
        <v>25</v>
      </c>
      <c r="C151" s="9">
        <f>2+1+1</f>
        <v>4</v>
      </c>
      <c r="D151" s="14">
        <f>1+1+1</f>
        <v>3</v>
      </c>
      <c r="E151" s="13">
        <f>1+1+1</f>
        <v>3</v>
      </c>
      <c r="F151" s="46">
        <f t="shared" si="42"/>
        <v>10</v>
      </c>
      <c r="G151" s="24">
        <v>44298</v>
      </c>
      <c r="H151" s="4"/>
      <c r="I151" s="9"/>
      <c r="J151" s="14"/>
      <c r="K151" s="13"/>
      <c r="L151" s="46">
        <f t="shared" si="43"/>
        <v>0</v>
      </c>
      <c r="M151" s="27"/>
    </row>
    <row r="152" spans="1:15" x14ac:dyDescent="0.15">
      <c r="B152" s="38" t="s">
        <v>25</v>
      </c>
      <c r="C152" s="9"/>
      <c r="D152" s="14"/>
      <c r="E152" s="40">
        <f>1+1</f>
        <v>2</v>
      </c>
      <c r="F152" s="46">
        <f t="shared" si="42"/>
        <v>2</v>
      </c>
      <c r="G152" s="24">
        <v>44299</v>
      </c>
      <c r="H152" s="4"/>
      <c r="I152" s="9"/>
      <c r="J152" s="14"/>
      <c r="K152" s="40"/>
      <c r="L152" s="46">
        <f t="shared" si="43"/>
        <v>0</v>
      </c>
      <c r="M152" s="27"/>
    </row>
    <row r="153" spans="1:15" x14ac:dyDescent="0.15">
      <c r="B153" s="38" t="s">
        <v>25</v>
      </c>
      <c r="C153" s="9"/>
      <c r="D153" s="14">
        <f>1+1</f>
        <v>2</v>
      </c>
      <c r="E153" s="13">
        <v>1</v>
      </c>
      <c r="F153" s="46">
        <f t="shared" si="42"/>
        <v>3</v>
      </c>
      <c r="G153" s="24">
        <v>44301</v>
      </c>
      <c r="H153" s="4"/>
      <c r="I153" s="9"/>
      <c r="J153" s="14"/>
      <c r="K153" s="13"/>
      <c r="L153" s="46">
        <f t="shared" si="43"/>
        <v>0</v>
      </c>
      <c r="M153" s="27"/>
    </row>
    <row r="154" spans="1:15" x14ac:dyDescent="0.15">
      <c r="B154" s="38" t="s">
        <v>25</v>
      </c>
      <c r="C154" s="9">
        <f>1+1</f>
        <v>2</v>
      </c>
      <c r="D154" s="14">
        <v>2</v>
      </c>
      <c r="E154" s="13">
        <v>2</v>
      </c>
      <c r="F154" s="46">
        <f t="shared" si="42"/>
        <v>6</v>
      </c>
      <c r="G154" s="24">
        <v>44302</v>
      </c>
      <c r="H154" s="4"/>
      <c r="I154" s="9"/>
      <c r="J154" s="14"/>
      <c r="K154" s="13"/>
      <c r="L154" s="46">
        <f t="shared" si="43"/>
        <v>0</v>
      </c>
      <c r="M154" s="27"/>
    </row>
    <row r="155" spans="1:15" x14ac:dyDescent="0.15">
      <c r="B155" s="38" t="s">
        <v>25</v>
      </c>
      <c r="C155" s="9">
        <v>1</v>
      </c>
      <c r="D155" s="14">
        <v>1</v>
      </c>
      <c r="E155" s="13"/>
      <c r="F155" s="46">
        <f t="shared" si="42"/>
        <v>2</v>
      </c>
      <c r="G155" s="24">
        <v>44306</v>
      </c>
      <c r="H155" s="4"/>
      <c r="I155" s="9"/>
      <c r="J155" s="14"/>
      <c r="K155" s="13"/>
      <c r="L155" s="46">
        <f t="shared" si="43"/>
        <v>0</v>
      </c>
      <c r="M155" s="27"/>
    </row>
    <row r="156" spans="1:15" x14ac:dyDescent="0.15">
      <c r="B156" s="38" t="s">
        <v>25</v>
      </c>
      <c r="C156" s="9"/>
      <c r="D156" s="14"/>
      <c r="E156" s="13">
        <v>1</v>
      </c>
      <c r="F156" s="46">
        <f t="shared" si="42"/>
        <v>1</v>
      </c>
      <c r="G156" s="24">
        <v>44308</v>
      </c>
      <c r="H156" s="4"/>
      <c r="I156" s="9"/>
      <c r="J156" s="14"/>
      <c r="K156" s="13"/>
      <c r="L156" s="46">
        <f t="shared" si="43"/>
        <v>0</v>
      </c>
      <c r="M156" s="27"/>
    </row>
    <row r="157" spans="1:15" x14ac:dyDescent="0.15">
      <c r="B157" s="38" t="s">
        <v>25</v>
      </c>
      <c r="C157" s="9">
        <f>1+1+2+1+1+1+1+2</f>
        <v>10</v>
      </c>
      <c r="D157" s="14">
        <f>1+2</f>
        <v>3</v>
      </c>
      <c r="E157" s="13">
        <f>1+1</f>
        <v>2</v>
      </c>
      <c r="F157" s="46">
        <f t="shared" si="42"/>
        <v>15</v>
      </c>
      <c r="G157" s="24">
        <v>44312</v>
      </c>
      <c r="H157" s="4"/>
      <c r="I157" s="9"/>
      <c r="J157" s="14"/>
      <c r="K157" s="13"/>
      <c r="L157" s="46">
        <f t="shared" si="43"/>
        <v>0</v>
      </c>
      <c r="M157" s="27"/>
      <c r="N157" s="1"/>
      <c r="O157" s="1"/>
    </row>
    <row r="158" spans="1:15" x14ac:dyDescent="0.15">
      <c r="B158" s="38" t="s">
        <v>25</v>
      </c>
      <c r="C158" s="9"/>
      <c r="D158" s="14">
        <v>1</v>
      </c>
      <c r="E158" s="13">
        <v>1</v>
      </c>
      <c r="F158" s="46">
        <f t="shared" si="42"/>
        <v>2</v>
      </c>
      <c r="G158" s="24">
        <v>44313</v>
      </c>
      <c r="H158" s="4"/>
      <c r="I158" s="9"/>
      <c r="J158" s="14"/>
      <c r="K158" s="13"/>
      <c r="L158" s="46">
        <f t="shared" si="43"/>
        <v>0</v>
      </c>
      <c r="M158" s="27"/>
      <c r="N158" s="1"/>
      <c r="O158" s="1"/>
    </row>
    <row r="159" spans="1:15" x14ac:dyDescent="0.15">
      <c r="A159" s="1"/>
      <c r="B159" s="38" t="s">
        <v>59</v>
      </c>
      <c r="C159" s="9">
        <v>-1</v>
      </c>
      <c r="D159" s="14"/>
      <c r="E159" s="13"/>
      <c r="F159" s="46">
        <f t="shared" si="42"/>
        <v>-1</v>
      </c>
      <c r="G159" s="24">
        <v>44314</v>
      </c>
      <c r="H159" s="4"/>
      <c r="I159" s="9"/>
      <c r="J159" s="14"/>
      <c r="K159" s="13"/>
      <c r="L159" s="46">
        <f t="shared" si="43"/>
        <v>0</v>
      </c>
      <c r="M159" s="27"/>
      <c r="N159" s="1"/>
      <c r="O159" s="1"/>
    </row>
    <row r="160" spans="1:15" x14ac:dyDescent="0.15">
      <c r="A160" s="1"/>
      <c r="B160" s="38" t="s">
        <v>25</v>
      </c>
      <c r="C160" s="9"/>
      <c r="D160" s="14"/>
      <c r="E160" s="13">
        <v>1</v>
      </c>
      <c r="F160" s="46">
        <f t="shared" si="42"/>
        <v>1</v>
      </c>
      <c r="G160" s="24">
        <v>44322</v>
      </c>
      <c r="H160" s="4"/>
      <c r="I160" s="9"/>
      <c r="J160" s="14"/>
      <c r="K160" s="13"/>
      <c r="L160" s="46">
        <f t="shared" si="43"/>
        <v>0</v>
      </c>
      <c r="M160" s="27"/>
      <c r="N160" s="1"/>
      <c r="O160" s="1"/>
    </row>
    <row r="161" spans="1:15" x14ac:dyDescent="0.15">
      <c r="A161" s="1"/>
      <c r="B161" s="38" t="s">
        <v>25</v>
      </c>
      <c r="C161" s="9">
        <f>2+2+1</f>
        <v>5</v>
      </c>
      <c r="D161" s="14">
        <f>2+1</f>
        <v>3</v>
      </c>
      <c r="E161" s="13"/>
      <c r="F161" s="46">
        <f t="shared" si="42"/>
        <v>8</v>
      </c>
      <c r="G161" s="24">
        <v>44326</v>
      </c>
      <c r="H161" s="4"/>
      <c r="I161" s="9"/>
      <c r="J161" s="14"/>
      <c r="K161" s="13"/>
      <c r="L161" s="46">
        <f t="shared" si="43"/>
        <v>0</v>
      </c>
      <c r="M161" s="27"/>
      <c r="N161" s="1"/>
      <c r="O161" s="1"/>
    </row>
    <row r="162" spans="1:15" x14ac:dyDescent="0.15">
      <c r="A162" s="1"/>
      <c r="B162" s="38" t="s">
        <v>25</v>
      </c>
      <c r="C162" s="9">
        <f>1+3+1</f>
        <v>5</v>
      </c>
      <c r="D162" s="14"/>
      <c r="E162" s="13">
        <f>1+1</f>
        <v>2</v>
      </c>
      <c r="F162" s="46">
        <f t="shared" si="42"/>
        <v>7</v>
      </c>
      <c r="G162" s="24">
        <v>44327</v>
      </c>
      <c r="H162" s="4"/>
      <c r="I162" s="9"/>
      <c r="J162" s="14"/>
      <c r="K162" s="13"/>
      <c r="L162" s="46">
        <f t="shared" si="43"/>
        <v>0</v>
      </c>
      <c r="M162" s="27"/>
      <c r="N162" s="26"/>
      <c r="O162" s="1"/>
    </row>
    <row r="163" spans="1:15" x14ac:dyDescent="0.15">
      <c r="A163" s="1"/>
      <c r="B163" s="38" t="s">
        <v>25</v>
      </c>
      <c r="C163" s="9"/>
      <c r="D163" s="14">
        <v>1</v>
      </c>
      <c r="E163" s="13">
        <v>1</v>
      </c>
      <c r="F163" s="46">
        <f t="shared" si="42"/>
        <v>2</v>
      </c>
      <c r="G163" s="24">
        <v>44328</v>
      </c>
      <c r="H163" s="4"/>
      <c r="I163" s="9"/>
      <c r="J163" s="14"/>
      <c r="K163" s="13"/>
      <c r="L163" s="46">
        <f t="shared" si="43"/>
        <v>0</v>
      </c>
      <c r="M163" s="1"/>
      <c r="N163" s="1"/>
      <c r="O163" s="1"/>
    </row>
    <row r="164" spans="1:15" x14ac:dyDescent="0.15">
      <c r="A164" s="1"/>
      <c r="B164" s="38" t="s">
        <v>25</v>
      </c>
      <c r="C164" s="16"/>
      <c r="D164" s="17">
        <f>2+2</f>
        <v>4</v>
      </c>
      <c r="E164" s="18"/>
      <c r="F164" s="46">
        <f t="shared" si="42"/>
        <v>4</v>
      </c>
      <c r="G164" s="24">
        <v>44329</v>
      </c>
      <c r="H164" s="4"/>
      <c r="I164" s="9"/>
      <c r="J164" s="14"/>
      <c r="K164" s="13"/>
      <c r="L164" s="46">
        <f t="shared" si="43"/>
        <v>0</v>
      </c>
      <c r="M164" s="1"/>
      <c r="N164" s="1"/>
      <c r="O164" s="1"/>
    </row>
    <row r="165" spans="1:15" ht="14.25" thickBot="1" x14ac:dyDescent="0.2">
      <c r="A165" s="1"/>
      <c r="B165" s="38" t="s">
        <v>25</v>
      </c>
      <c r="C165" s="9"/>
      <c r="D165" s="14">
        <f>2+2</f>
        <v>4</v>
      </c>
      <c r="E165" s="13"/>
      <c r="F165" s="47">
        <f t="shared" si="42"/>
        <v>4</v>
      </c>
      <c r="G165" s="24">
        <v>44330</v>
      </c>
      <c r="H165" s="4"/>
      <c r="I165" s="9"/>
      <c r="J165" s="14"/>
      <c r="K165" s="13"/>
      <c r="L165" s="47">
        <f t="shared" si="43"/>
        <v>0</v>
      </c>
      <c r="M165" s="1"/>
      <c r="N165" s="1"/>
      <c r="O165" s="1"/>
    </row>
    <row r="166" spans="1:15" ht="14.25" thickBot="1" x14ac:dyDescent="0.2">
      <c r="A166" s="1"/>
      <c r="B166" s="5" t="s">
        <v>9</v>
      </c>
      <c r="C166" s="10">
        <f>SUM(C142:C165)</f>
        <v>73</v>
      </c>
      <c r="D166" s="10">
        <f t="shared" ref="D166:E166" si="44">SUM(D142:D165)</f>
        <v>28</v>
      </c>
      <c r="E166" s="10">
        <f t="shared" si="44"/>
        <v>19</v>
      </c>
      <c r="F166" s="48">
        <f t="shared" si="42"/>
        <v>120</v>
      </c>
      <c r="G166" s="1"/>
      <c r="H166" s="5" t="s">
        <v>9</v>
      </c>
      <c r="I166" s="10">
        <f>SUM(I142:I165)</f>
        <v>15</v>
      </c>
      <c r="J166" s="10">
        <f t="shared" ref="J166:K166" si="45">SUM(J142:J165)</f>
        <v>20</v>
      </c>
      <c r="K166" s="10">
        <f t="shared" si="45"/>
        <v>5</v>
      </c>
      <c r="L166" s="48">
        <f t="shared" si="43"/>
        <v>40</v>
      </c>
      <c r="M166" s="31"/>
      <c r="N166" s="1"/>
      <c r="O166" s="1"/>
    </row>
    <row r="167" spans="1:15" ht="14.25" thickBot="1" x14ac:dyDescent="0.2">
      <c r="A167" s="1"/>
      <c r="B167" s="8" t="s">
        <v>10</v>
      </c>
      <c r="C167" s="11">
        <f>C141-C166</f>
        <v>29</v>
      </c>
      <c r="D167" s="11">
        <f t="shared" ref="D167:E167" si="46">D141-D166</f>
        <v>17</v>
      </c>
      <c r="E167" s="11">
        <f t="shared" si="46"/>
        <v>39</v>
      </c>
      <c r="F167" s="37">
        <f t="shared" si="42"/>
        <v>85</v>
      </c>
      <c r="G167" s="1"/>
      <c r="H167" s="8" t="s">
        <v>10</v>
      </c>
      <c r="I167" s="11">
        <f>I141-I166</f>
        <v>1358</v>
      </c>
      <c r="J167" s="11">
        <f t="shared" ref="J167:K167" si="47">J141-J166</f>
        <v>948</v>
      </c>
      <c r="K167" s="11">
        <f t="shared" si="47"/>
        <v>436</v>
      </c>
      <c r="L167" s="37">
        <f t="shared" si="43"/>
        <v>2742</v>
      </c>
      <c r="M167" s="31"/>
      <c r="N167" s="26"/>
      <c r="O167" s="26"/>
    </row>
    <row r="168" spans="1:15" x14ac:dyDescent="0.15">
      <c r="M168" s="31"/>
      <c r="N168" s="26"/>
      <c r="O168" s="26"/>
    </row>
    <row r="169" spans="1:15" ht="18.75" x14ac:dyDescent="0.2">
      <c r="A169" s="41" t="s">
        <v>12</v>
      </c>
      <c r="B169" s="42"/>
      <c r="C169" s="41"/>
      <c r="D169" s="43"/>
      <c r="E169" s="43"/>
      <c r="F169" s="2"/>
      <c r="G169" s="1"/>
      <c r="H169" s="41" t="s">
        <v>12</v>
      </c>
      <c r="I169" s="41"/>
      <c r="J169" s="43"/>
      <c r="K169" s="43"/>
      <c r="L169" s="2"/>
      <c r="M169" s="31"/>
      <c r="N169" s="26"/>
      <c r="O169" s="26"/>
    </row>
    <row r="170" spans="1:15" ht="19.5" thickBot="1" x14ac:dyDescent="0.25">
      <c r="A170" s="7"/>
      <c r="B170" s="7" t="s">
        <v>0</v>
      </c>
      <c r="C170" s="7"/>
      <c r="D170" s="7" t="s">
        <v>15</v>
      </c>
      <c r="E170" s="2"/>
      <c r="F170" s="2"/>
      <c r="G170" s="1"/>
      <c r="H170" s="7" t="s">
        <v>1</v>
      </c>
      <c r="I170" s="1"/>
      <c r="J170" s="7" t="s">
        <v>15</v>
      </c>
      <c r="K170" s="2"/>
      <c r="L170" s="2"/>
      <c r="M170" s="1"/>
      <c r="N170" s="1"/>
      <c r="O170" s="1"/>
    </row>
    <row r="171" spans="1:15" ht="14.25" thickBot="1" x14ac:dyDescent="0.2">
      <c r="A171" s="1"/>
      <c r="B171" s="3"/>
      <c r="C171" s="5" t="s">
        <v>2</v>
      </c>
      <c r="D171" s="3" t="s">
        <v>3</v>
      </c>
      <c r="E171" s="12" t="s">
        <v>4</v>
      </c>
      <c r="F171" s="3" t="s">
        <v>5</v>
      </c>
      <c r="G171" s="1"/>
      <c r="H171" s="3"/>
      <c r="I171" s="5" t="s">
        <v>2</v>
      </c>
      <c r="J171" s="3" t="s">
        <v>3</v>
      </c>
      <c r="K171" s="12" t="s">
        <v>4</v>
      </c>
      <c r="L171" s="3" t="s">
        <v>5</v>
      </c>
      <c r="M171" s="1"/>
      <c r="N171" s="1"/>
      <c r="O171" s="1"/>
    </row>
    <row r="172" spans="1:15" ht="14.25" thickBot="1" x14ac:dyDescent="0.2">
      <c r="A172" s="1"/>
      <c r="B172" s="34" t="s">
        <v>11</v>
      </c>
      <c r="C172" s="35">
        <f>C167</f>
        <v>29</v>
      </c>
      <c r="D172" s="36">
        <f>D167</f>
        <v>17</v>
      </c>
      <c r="E172" s="35">
        <f>E167</f>
        <v>39</v>
      </c>
      <c r="F172" s="37">
        <f>SUM(C172:E172)</f>
        <v>85</v>
      </c>
      <c r="G172" s="28"/>
      <c r="H172" s="34" t="s">
        <v>11</v>
      </c>
      <c r="I172" s="35">
        <f>I167</f>
        <v>1358</v>
      </c>
      <c r="J172" s="36">
        <f>J167</f>
        <v>948</v>
      </c>
      <c r="K172" s="35">
        <f>K167</f>
        <v>436</v>
      </c>
      <c r="L172" s="37">
        <f>SUM(I172:K172)</f>
        <v>2742</v>
      </c>
    </row>
    <row r="173" spans="1:15" x14ac:dyDescent="0.15">
      <c r="A173" s="1"/>
      <c r="B173" s="29" t="s">
        <v>7</v>
      </c>
      <c r="C173" s="64">
        <v>10</v>
      </c>
      <c r="D173" s="15">
        <v>15</v>
      </c>
      <c r="E173" s="30"/>
      <c r="F173" s="46">
        <f>SUM(C173:E173)</f>
        <v>25</v>
      </c>
      <c r="G173" s="24">
        <v>44356</v>
      </c>
      <c r="H173" s="29" t="s">
        <v>7</v>
      </c>
      <c r="I173" s="30"/>
      <c r="J173" s="15"/>
      <c r="K173" s="30"/>
      <c r="L173" s="46">
        <f>SUM(I173:K173)</f>
        <v>0</v>
      </c>
      <c r="M173" s="1"/>
    </row>
    <row r="174" spans="1:15" x14ac:dyDescent="0.15">
      <c r="A174" s="1"/>
      <c r="B174" s="29" t="s">
        <v>7</v>
      </c>
      <c r="C174" s="30">
        <v>20</v>
      </c>
      <c r="D174" s="4">
        <v>10</v>
      </c>
      <c r="E174" s="19"/>
      <c r="F174" s="46">
        <f>SUM(C174:E174)</f>
        <v>30</v>
      </c>
      <c r="G174" s="24">
        <v>44371</v>
      </c>
      <c r="H174" s="29" t="s">
        <v>7</v>
      </c>
      <c r="I174" s="19"/>
      <c r="J174" s="4"/>
      <c r="K174" s="19"/>
      <c r="L174" s="46">
        <f>SUM(I174:K174)</f>
        <v>0</v>
      </c>
      <c r="M174" s="1"/>
    </row>
    <row r="175" spans="1:15" x14ac:dyDescent="0.15">
      <c r="A175" s="1"/>
      <c r="B175" s="29" t="s">
        <v>40</v>
      </c>
      <c r="C175" s="19">
        <v>3</v>
      </c>
      <c r="D175" s="4"/>
      <c r="E175" s="19"/>
      <c r="F175" s="46">
        <f t="shared" ref="F175:F182" si="48">SUM(C175:E175)</f>
        <v>3</v>
      </c>
      <c r="G175" s="24">
        <v>44383</v>
      </c>
      <c r="H175" s="29" t="s">
        <v>7</v>
      </c>
      <c r="I175" s="22"/>
      <c r="J175" s="23"/>
      <c r="K175" s="22"/>
      <c r="L175" s="46">
        <f t="shared" ref="L175:L177" si="49">SUM(I175:K175)</f>
        <v>0</v>
      </c>
      <c r="M175" s="1"/>
    </row>
    <row r="176" spans="1:15" x14ac:dyDescent="0.15">
      <c r="A176" s="1"/>
      <c r="B176" s="29" t="s">
        <v>7</v>
      </c>
      <c r="C176" s="22"/>
      <c r="D176" s="23"/>
      <c r="E176" s="22"/>
      <c r="F176" s="46">
        <f t="shared" si="48"/>
        <v>0</v>
      </c>
      <c r="G176" s="27"/>
      <c r="H176" s="29" t="s">
        <v>7</v>
      </c>
      <c r="I176" s="22"/>
      <c r="J176" s="23"/>
      <c r="K176" s="22"/>
      <c r="L176" s="46">
        <f t="shared" si="49"/>
        <v>0</v>
      </c>
      <c r="M176" s="1"/>
    </row>
    <row r="177" spans="1:13" x14ac:dyDescent="0.15">
      <c r="A177" s="1"/>
      <c r="B177" s="29" t="s">
        <v>7</v>
      </c>
      <c r="C177" s="22"/>
      <c r="D177" s="23"/>
      <c r="E177" s="22"/>
      <c r="F177" s="46">
        <f t="shared" si="48"/>
        <v>0</v>
      </c>
      <c r="G177" s="27"/>
      <c r="H177" s="29" t="s">
        <v>7</v>
      </c>
      <c r="I177" s="22"/>
      <c r="J177" s="23"/>
      <c r="K177" s="22"/>
      <c r="L177" s="46">
        <f t="shared" si="49"/>
        <v>0</v>
      </c>
      <c r="M177" s="1"/>
    </row>
    <row r="178" spans="1:13" x14ac:dyDescent="0.15">
      <c r="A178" s="1"/>
      <c r="B178" s="29" t="s">
        <v>7</v>
      </c>
      <c r="C178" s="22"/>
      <c r="D178" s="23"/>
      <c r="E178" s="22"/>
      <c r="F178" s="46">
        <f t="shared" si="48"/>
        <v>0</v>
      </c>
      <c r="G178" s="27"/>
      <c r="H178" s="29" t="s">
        <v>7</v>
      </c>
      <c r="I178" s="19"/>
      <c r="J178" s="4"/>
      <c r="K178" s="19"/>
      <c r="L178" s="46">
        <f>SUM(I178:K178)</f>
        <v>0</v>
      </c>
      <c r="M178" s="31"/>
    </row>
    <row r="179" spans="1:13" x14ac:dyDescent="0.15">
      <c r="A179" s="1"/>
      <c r="B179" s="29" t="s">
        <v>7</v>
      </c>
      <c r="C179" s="20"/>
      <c r="D179" s="21"/>
      <c r="E179" s="20"/>
      <c r="F179" s="46">
        <f t="shared" si="48"/>
        <v>0</v>
      </c>
      <c r="G179" s="27"/>
      <c r="H179" s="29" t="s">
        <v>7</v>
      </c>
      <c r="I179" s="20"/>
      <c r="J179" s="21"/>
      <c r="K179" s="20"/>
      <c r="L179" s="46">
        <f t="shared" ref="L179:L182" si="50">SUM(I179:K179)</f>
        <v>0</v>
      </c>
      <c r="M179" s="27"/>
    </row>
    <row r="180" spans="1:13" x14ac:dyDescent="0.15">
      <c r="A180" s="1"/>
      <c r="B180" s="29" t="s">
        <v>7</v>
      </c>
      <c r="C180" s="20"/>
      <c r="D180" s="21"/>
      <c r="E180" s="20"/>
      <c r="F180" s="46">
        <f t="shared" si="48"/>
        <v>0</v>
      </c>
      <c r="G180" s="27"/>
      <c r="H180" s="29" t="s">
        <v>7</v>
      </c>
      <c r="I180" s="20"/>
      <c r="J180" s="21"/>
      <c r="K180" s="20"/>
      <c r="L180" s="46">
        <f t="shared" si="50"/>
        <v>0</v>
      </c>
      <c r="M180" s="31"/>
    </row>
    <row r="181" spans="1:13" x14ac:dyDescent="0.15">
      <c r="A181" s="1"/>
      <c r="B181" s="29" t="s">
        <v>7</v>
      </c>
      <c r="C181" s="20"/>
      <c r="D181" s="21"/>
      <c r="E181" s="20"/>
      <c r="F181" s="46">
        <f t="shared" si="48"/>
        <v>0</v>
      </c>
      <c r="G181" s="24"/>
      <c r="H181" s="29" t="s">
        <v>7</v>
      </c>
      <c r="I181" s="20"/>
      <c r="J181" s="21"/>
      <c r="K181" s="20"/>
      <c r="L181" s="46">
        <f t="shared" si="50"/>
        <v>0</v>
      </c>
      <c r="M181" s="27"/>
    </row>
    <row r="182" spans="1:13" ht="14.25" thickBot="1" x14ac:dyDescent="0.2">
      <c r="A182" s="1"/>
      <c r="B182" s="29" t="s">
        <v>7</v>
      </c>
      <c r="C182" s="19"/>
      <c r="D182" s="4"/>
      <c r="E182" s="19"/>
      <c r="F182" s="46">
        <f t="shared" si="48"/>
        <v>0</v>
      </c>
      <c r="G182" s="27"/>
      <c r="H182" s="29" t="s">
        <v>7</v>
      </c>
      <c r="I182" s="19"/>
      <c r="J182" s="4"/>
      <c r="K182" s="19"/>
      <c r="L182" s="46">
        <f t="shared" si="50"/>
        <v>0</v>
      </c>
      <c r="M182" s="31"/>
    </row>
    <row r="183" spans="1:13" ht="14.25" thickBot="1" x14ac:dyDescent="0.2">
      <c r="A183" s="1"/>
      <c r="B183" s="6" t="s">
        <v>8</v>
      </c>
      <c r="C183" s="44">
        <f>SUM(C172:C182)</f>
        <v>62</v>
      </c>
      <c r="D183" s="44">
        <f t="shared" ref="D183:F183" si="51">SUM(D172:D182)</f>
        <v>42</v>
      </c>
      <c r="E183" s="44">
        <f t="shared" si="51"/>
        <v>39</v>
      </c>
      <c r="F183" s="45">
        <f t="shared" si="51"/>
        <v>143</v>
      </c>
      <c r="G183" s="1"/>
      <c r="H183" s="6" t="s">
        <v>8</v>
      </c>
      <c r="I183" s="44">
        <f>SUM(I172:I182)</f>
        <v>1358</v>
      </c>
      <c r="J183" s="44">
        <f t="shared" ref="J183:L183" si="52">SUM(J172:J182)</f>
        <v>948</v>
      </c>
      <c r="K183" s="44">
        <f t="shared" si="52"/>
        <v>436</v>
      </c>
      <c r="L183" s="45">
        <f t="shared" si="52"/>
        <v>2742</v>
      </c>
      <c r="M183" s="31"/>
    </row>
    <row r="184" spans="1:13" x14ac:dyDescent="0.15">
      <c r="A184" s="1"/>
      <c r="B184" s="38" t="s">
        <v>25</v>
      </c>
      <c r="C184" s="9">
        <f>1+1+1+1</f>
        <v>4</v>
      </c>
      <c r="D184" s="14">
        <f>1+1+1</f>
        <v>3</v>
      </c>
      <c r="E184" s="13">
        <v>1</v>
      </c>
      <c r="F184" s="46">
        <f>SUM(C184:E184)</f>
        <v>8</v>
      </c>
      <c r="G184" s="24">
        <v>44333</v>
      </c>
      <c r="H184" s="4" t="s">
        <v>69</v>
      </c>
      <c r="I184" s="9"/>
      <c r="J184" s="14">
        <v>5</v>
      </c>
      <c r="K184" s="13"/>
      <c r="L184" s="46">
        <f>SUM(I184:K184)</f>
        <v>5</v>
      </c>
      <c r="M184" s="27">
        <v>44340</v>
      </c>
    </row>
    <row r="185" spans="1:13" x14ac:dyDescent="0.15">
      <c r="B185" s="38" t="s">
        <v>68</v>
      </c>
      <c r="C185" s="9">
        <v>1</v>
      </c>
      <c r="D185" s="14"/>
      <c r="E185" s="13"/>
      <c r="F185" s="46">
        <f>SUM(C185:E185)</f>
        <v>1</v>
      </c>
      <c r="G185" s="24">
        <v>44335</v>
      </c>
      <c r="H185" s="4" t="s">
        <v>70</v>
      </c>
      <c r="I185" s="9">
        <v>30</v>
      </c>
      <c r="J185" s="14">
        <v>40</v>
      </c>
      <c r="K185" s="13">
        <v>40</v>
      </c>
      <c r="L185" s="46">
        <f t="shared" ref="L185:L209" si="53">SUM(I185:K185)</f>
        <v>110</v>
      </c>
      <c r="M185" s="27">
        <v>44354</v>
      </c>
    </row>
    <row r="186" spans="1:13" x14ac:dyDescent="0.15">
      <c r="B186" s="38" t="s">
        <v>25</v>
      </c>
      <c r="C186" s="9">
        <v>1</v>
      </c>
      <c r="D186" s="14"/>
      <c r="E186" s="13"/>
      <c r="F186" s="46">
        <f t="shared" ref="F186:F209" si="54">SUM(C186:E186)</f>
        <v>1</v>
      </c>
      <c r="G186" s="24">
        <v>44340</v>
      </c>
      <c r="H186" s="4" t="s">
        <v>24</v>
      </c>
      <c r="I186" s="9">
        <v>10</v>
      </c>
      <c r="J186" s="14">
        <v>15</v>
      </c>
      <c r="K186" s="13"/>
      <c r="L186" s="46">
        <f t="shared" si="53"/>
        <v>25</v>
      </c>
      <c r="M186" s="27">
        <v>44356</v>
      </c>
    </row>
    <row r="187" spans="1:13" x14ac:dyDescent="0.15">
      <c r="B187" s="38" t="s">
        <v>25</v>
      </c>
      <c r="C187" s="9">
        <v>1</v>
      </c>
      <c r="D187" s="14"/>
      <c r="E187" s="13"/>
      <c r="F187" s="46">
        <f t="shared" si="54"/>
        <v>1</v>
      </c>
      <c r="G187" s="24">
        <v>44341</v>
      </c>
      <c r="H187" s="4" t="s">
        <v>71</v>
      </c>
      <c r="I187" s="9">
        <v>10</v>
      </c>
      <c r="J187" s="14"/>
      <c r="K187" s="13"/>
      <c r="L187" s="46">
        <f t="shared" si="53"/>
        <v>10</v>
      </c>
      <c r="M187" s="27">
        <v>44368</v>
      </c>
    </row>
    <row r="188" spans="1:13" x14ac:dyDescent="0.15">
      <c r="B188" s="38" t="s">
        <v>25</v>
      </c>
      <c r="C188" s="9">
        <v>1</v>
      </c>
      <c r="D188" s="14">
        <f>1+2</f>
        <v>3</v>
      </c>
      <c r="E188" s="13">
        <v>1</v>
      </c>
      <c r="F188" s="46">
        <f t="shared" si="54"/>
        <v>5</v>
      </c>
      <c r="G188" s="24">
        <v>44342</v>
      </c>
      <c r="H188" s="4" t="s">
        <v>24</v>
      </c>
      <c r="I188" s="9">
        <v>20</v>
      </c>
      <c r="J188" s="14">
        <v>10</v>
      </c>
      <c r="K188" s="13"/>
      <c r="L188" s="46">
        <f t="shared" si="53"/>
        <v>30</v>
      </c>
      <c r="M188" s="27">
        <v>44371</v>
      </c>
    </row>
    <row r="189" spans="1:13" x14ac:dyDescent="0.15">
      <c r="B189" s="38" t="s">
        <v>25</v>
      </c>
      <c r="C189" s="9">
        <f>1+1</f>
        <v>2</v>
      </c>
      <c r="D189" s="14"/>
      <c r="E189" s="13">
        <v>1</v>
      </c>
      <c r="F189" s="46">
        <f t="shared" si="54"/>
        <v>3</v>
      </c>
      <c r="G189" s="24">
        <v>44343</v>
      </c>
      <c r="H189" s="4" t="s">
        <v>73</v>
      </c>
      <c r="I189" s="9">
        <v>40</v>
      </c>
      <c r="J189" s="14"/>
      <c r="K189" s="13"/>
      <c r="L189" s="46">
        <f t="shared" si="53"/>
        <v>40</v>
      </c>
      <c r="M189" s="27">
        <v>44375</v>
      </c>
    </row>
    <row r="190" spans="1:13" x14ac:dyDescent="0.15">
      <c r="B190" s="38" t="s">
        <v>25</v>
      </c>
      <c r="C190" s="9">
        <f>1+1</f>
        <v>2</v>
      </c>
      <c r="D190" s="14"/>
      <c r="E190" s="13"/>
      <c r="F190" s="46">
        <f t="shared" si="54"/>
        <v>2</v>
      </c>
      <c r="G190" s="24">
        <v>44347</v>
      </c>
      <c r="H190" s="4" t="s">
        <v>74</v>
      </c>
      <c r="I190" s="9">
        <v>5</v>
      </c>
      <c r="J190" s="14"/>
      <c r="K190" s="13"/>
      <c r="L190" s="46">
        <f t="shared" si="53"/>
        <v>5</v>
      </c>
      <c r="M190" s="27">
        <v>44389</v>
      </c>
    </row>
    <row r="191" spans="1:13" x14ac:dyDescent="0.15">
      <c r="B191" s="38" t="s">
        <v>25</v>
      </c>
      <c r="C191" s="9">
        <v>1</v>
      </c>
      <c r="D191" s="14"/>
      <c r="E191" s="13">
        <v>1</v>
      </c>
      <c r="F191" s="46">
        <f t="shared" si="54"/>
        <v>2</v>
      </c>
      <c r="G191" s="24">
        <v>44348</v>
      </c>
      <c r="H191" s="4"/>
      <c r="I191" s="9"/>
      <c r="J191" s="14"/>
      <c r="K191" s="13"/>
      <c r="L191" s="46">
        <f t="shared" si="53"/>
        <v>0</v>
      </c>
      <c r="M191" s="27"/>
    </row>
    <row r="192" spans="1:13" x14ac:dyDescent="0.15">
      <c r="B192" s="38" t="s">
        <v>25</v>
      </c>
      <c r="C192" s="9">
        <v>2</v>
      </c>
      <c r="D192" s="14">
        <v>1</v>
      </c>
      <c r="E192" s="13">
        <f>1+1</f>
        <v>2</v>
      </c>
      <c r="F192" s="46">
        <f t="shared" si="54"/>
        <v>5</v>
      </c>
      <c r="G192" s="24">
        <v>44352</v>
      </c>
      <c r="H192" s="4"/>
      <c r="I192" s="9"/>
      <c r="J192" s="14"/>
      <c r="K192" s="13"/>
      <c r="L192" s="46">
        <f t="shared" si="53"/>
        <v>0</v>
      </c>
      <c r="M192" s="27"/>
    </row>
    <row r="193" spans="1:16" x14ac:dyDescent="0.15">
      <c r="B193" s="38" t="s">
        <v>25</v>
      </c>
      <c r="C193" s="9">
        <v>2</v>
      </c>
      <c r="D193" s="14">
        <f>2+1</f>
        <v>3</v>
      </c>
      <c r="E193" s="13">
        <v>1</v>
      </c>
      <c r="F193" s="46">
        <f t="shared" si="54"/>
        <v>6</v>
      </c>
      <c r="G193" s="24">
        <v>44354</v>
      </c>
      <c r="H193" s="4"/>
      <c r="I193" s="9"/>
      <c r="J193" s="14"/>
      <c r="K193" s="13"/>
      <c r="L193" s="46">
        <f t="shared" si="53"/>
        <v>0</v>
      </c>
      <c r="M193" s="27"/>
    </row>
    <row r="194" spans="1:16" x14ac:dyDescent="0.15">
      <c r="B194" s="38" t="s">
        <v>25</v>
      </c>
      <c r="C194" s="9"/>
      <c r="D194" s="14">
        <v>1</v>
      </c>
      <c r="E194" s="40"/>
      <c r="F194" s="46">
        <f t="shared" si="54"/>
        <v>1</v>
      </c>
      <c r="G194" s="24">
        <v>44355</v>
      </c>
      <c r="H194" s="4"/>
      <c r="I194" s="9"/>
      <c r="J194" s="14"/>
      <c r="K194" s="40"/>
      <c r="L194" s="46">
        <f t="shared" si="53"/>
        <v>0</v>
      </c>
      <c r="M194" s="27"/>
    </row>
    <row r="195" spans="1:16" x14ac:dyDescent="0.15">
      <c r="B195" s="38" t="s">
        <v>25</v>
      </c>
      <c r="C195" s="9">
        <v>2</v>
      </c>
      <c r="D195" s="14"/>
      <c r="E195" s="13"/>
      <c r="F195" s="46">
        <f t="shared" si="54"/>
        <v>2</v>
      </c>
      <c r="G195" s="24">
        <v>44356</v>
      </c>
      <c r="H195" s="4"/>
      <c r="I195" s="9"/>
      <c r="J195" s="14"/>
      <c r="K195" s="13"/>
      <c r="L195" s="46">
        <f t="shared" si="53"/>
        <v>0</v>
      </c>
      <c r="M195" s="27"/>
    </row>
    <row r="196" spans="1:16" x14ac:dyDescent="0.15">
      <c r="B196" s="38" t="s">
        <v>25</v>
      </c>
      <c r="C196" s="9">
        <v>1</v>
      </c>
      <c r="D196" s="14"/>
      <c r="E196" s="13"/>
      <c r="F196" s="46">
        <f t="shared" si="54"/>
        <v>1</v>
      </c>
      <c r="G196" s="24">
        <v>44357</v>
      </c>
      <c r="H196" s="4"/>
      <c r="I196" s="9"/>
      <c r="J196" s="14"/>
      <c r="K196" s="13"/>
      <c r="L196" s="46">
        <f t="shared" si="53"/>
        <v>0</v>
      </c>
      <c r="M196" s="27"/>
    </row>
    <row r="197" spans="1:16" x14ac:dyDescent="0.15">
      <c r="B197" s="38" t="s">
        <v>25</v>
      </c>
      <c r="C197" s="9">
        <v>1</v>
      </c>
      <c r="D197" s="14">
        <f>1+1</f>
        <v>2</v>
      </c>
      <c r="E197" s="13"/>
      <c r="F197" s="46">
        <f t="shared" si="54"/>
        <v>3</v>
      </c>
      <c r="G197" s="24">
        <v>44358</v>
      </c>
      <c r="H197" s="4"/>
      <c r="I197" s="9"/>
      <c r="J197" s="14"/>
      <c r="K197" s="13"/>
      <c r="L197" s="46">
        <f t="shared" si="53"/>
        <v>0</v>
      </c>
      <c r="M197" s="27"/>
    </row>
    <row r="198" spans="1:16" x14ac:dyDescent="0.15">
      <c r="B198" s="38" t="s">
        <v>25</v>
      </c>
      <c r="C198" s="9">
        <v>1</v>
      </c>
      <c r="D198" s="14"/>
      <c r="E198" s="13"/>
      <c r="F198" s="46">
        <f t="shared" si="54"/>
        <v>1</v>
      </c>
      <c r="G198" s="24">
        <v>44361</v>
      </c>
      <c r="H198" s="4"/>
      <c r="I198" s="9"/>
      <c r="J198" s="14"/>
      <c r="K198" s="13"/>
      <c r="L198" s="46">
        <f t="shared" si="53"/>
        <v>0</v>
      </c>
      <c r="M198" s="27"/>
    </row>
    <row r="199" spans="1:16" x14ac:dyDescent="0.15">
      <c r="B199" s="38" t="s">
        <v>25</v>
      </c>
      <c r="C199" s="9">
        <v>2</v>
      </c>
      <c r="D199" s="14"/>
      <c r="E199" s="13"/>
      <c r="F199" s="46">
        <f t="shared" si="54"/>
        <v>2</v>
      </c>
      <c r="G199" s="24">
        <v>44364</v>
      </c>
      <c r="H199" s="4"/>
      <c r="I199" s="9"/>
      <c r="J199" s="14"/>
      <c r="K199" s="13"/>
      <c r="L199" s="46">
        <f t="shared" si="53"/>
        <v>0</v>
      </c>
      <c r="M199" s="27"/>
    </row>
    <row r="200" spans="1:16" x14ac:dyDescent="0.15">
      <c r="B200" s="38" t="s">
        <v>25</v>
      </c>
      <c r="C200" s="9">
        <v>1</v>
      </c>
      <c r="D200" s="14"/>
      <c r="E200" s="13"/>
      <c r="F200" s="46">
        <f t="shared" si="54"/>
        <v>1</v>
      </c>
      <c r="G200" s="24">
        <v>44368</v>
      </c>
      <c r="H200" s="4"/>
      <c r="I200" s="9"/>
      <c r="J200" s="14"/>
      <c r="K200" s="13"/>
      <c r="L200" s="46">
        <f t="shared" si="53"/>
        <v>0</v>
      </c>
      <c r="M200" s="27"/>
    </row>
    <row r="201" spans="1:16" x14ac:dyDescent="0.15">
      <c r="A201" s="1"/>
      <c r="B201" s="38" t="s">
        <v>72</v>
      </c>
      <c r="C201" s="9">
        <v>9</v>
      </c>
      <c r="D201" s="14"/>
      <c r="E201" s="13"/>
      <c r="F201" s="46">
        <f t="shared" si="54"/>
        <v>9</v>
      </c>
      <c r="G201" s="24">
        <v>44371</v>
      </c>
      <c r="H201" s="4"/>
      <c r="I201" s="9"/>
      <c r="J201" s="14"/>
      <c r="K201" s="13"/>
      <c r="L201" s="46">
        <f t="shared" si="53"/>
        <v>0</v>
      </c>
      <c r="M201" s="27"/>
    </row>
    <row r="202" spans="1:16" x14ac:dyDescent="0.15">
      <c r="A202" s="1"/>
      <c r="B202" s="38" t="s">
        <v>25</v>
      </c>
      <c r="C202" s="9">
        <v>1</v>
      </c>
      <c r="D202" s="14">
        <v>1</v>
      </c>
      <c r="E202" s="13"/>
      <c r="F202" s="46">
        <f t="shared" si="54"/>
        <v>2</v>
      </c>
      <c r="G202" s="24">
        <v>44370</v>
      </c>
      <c r="H202" s="4"/>
      <c r="I202" s="9"/>
      <c r="J202" s="14"/>
      <c r="K202" s="13"/>
      <c r="L202" s="46">
        <f t="shared" si="53"/>
        <v>0</v>
      </c>
      <c r="M202" s="1"/>
    </row>
    <row r="203" spans="1:16" x14ac:dyDescent="0.15">
      <c r="A203" s="1"/>
      <c r="B203" s="38" t="s">
        <v>25</v>
      </c>
      <c r="C203" s="9"/>
      <c r="D203" s="14">
        <v>1</v>
      </c>
      <c r="E203" s="13">
        <f>1+1</f>
        <v>2</v>
      </c>
      <c r="F203" s="46">
        <f t="shared" si="54"/>
        <v>3</v>
      </c>
      <c r="G203" s="24">
        <v>44372</v>
      </c>
      <c r="H203" s="4"/>
      <c r="I203" s="9"/>
      <c r="J203" s="14"/>
      <c r="K203" s="13"/>
      <c r="L203" s="46">
        <f t="shared" si="53"/>
        <v>0</v>
      </c>
      <c r="M203" s="1"/>
    </row>
    <row r="204" spans="1:16" x14ac:dyDescent="0.15">
      <c r="A204" s="1"/>
      <c r="B204" s="38" t="s">
        <v>25</v>
      </c>
      <c r="C204" s="9">
        <v>1</v>
      </c>
      <c r="D204" s="14"/>
      <c r="E204" s="13"/>
      <c r="F204" s="46">
        <f t="shared" si="54"/>
        <v>1</v>
      </c>
      <c r="G204" s="24">
        <v>44375</v>
      </c>
      <c r="H204" s="4"/>
      <c r="I204" s="9"/>
      <c r="J204" s="14"/>
      <c r="K204" s="13"/>
      <c r="L204" s="46">
        <f t="shared" si="53"/>
        <v>0</v>
      </c>
      <c r="M204" s="1"/>
    </row>
    <row r="205" spans="1:16" x14ac:dyDescent="0.15">
      <c r="A205" s="1"/>
      <c r="B205" s="38" t="s">
        <v>25</v>
      </c>
      <c r="C205" s="9"/>
      <c r="D205" s="14">
        <v>2</v>
      </c>
      <c r="E205" s="13">
        <v>1</v>
      </c>
      <c r="F205" s="46">
        <f t="shared" si="54"/>
        <v>3</v>
      </c>
      <c r="G205" s="24">
        <v>44376</v>
      </c>
      <c r="H205" s="4"/>
      <c r="I205" s="9"/>
      <c r="J205" s="14"/>
      <c r="K205" s="13"/>
      <c r="L205" s="46">
        <f t="shared" si="53"/>
        <v>0</v>
      </c>
      <c r="M205" s="1"/>
      <c r="N205" s="1"/>
      <c r="O205" s="1"/>
      <c r="P205" s="1"/>
    </row>
    <row r="206" spans="1:16" x14ac:dyDescent="0.15">
      <c r="A206" s="1"/>
      <c r="B206" s="38" t="s">
        <v>25</v>
      </c>
      <c r="C206" s="16">
        <v>1</v>
      </c>
      <c r="D206" s="17"/>
      <c r="E206" s="18">
        <v>1</v>
      </c>
      <c r="F206" s="46">
        <f t="shared" si="54"/>
        <v>2</v>
      </c>
      <c r="G206" s="24">
        <v>44382</v>
      </c>
      <c r="H206" s="4"/>
      <c r="I206" s="9"/>
      <c r="J206" s="14"/>
      <c r="K206" s="13"/>
      <c r="L206" s="46">
        <f t="shared" si="53"/>
        <v>0</v>
      </c>
      <c r="M206" s="1"/>
      <c r="N206" s="1"/>
      <c r="O206" s="1"/>
      <c r="P206" s="1"/>
    </row>
    <row r="207" spans="1:16" ht="14.25" thickBot="1" x14ac:dyDescent="0.2">
      <c r="A207" s="1"/>
      <c r="B207" s="38" t="s">
        <v>25</v>
      </c>
      <c r="C207" s="9"/>
      <c r="D207" s="14">
        <f>1+1</f>
        <v>2</v>
      </c>
      <c r="E207" s="13"/>
      <c r="F207" s="47">
        <f t="shared" si="54"/>
        <v>2</v>
      </c>
      <c r="G207" s="24">
        <v>44383</v>
      </c>
      <c r="H207" s="4"/>
      <c r="I207" s="9"/>
      <c r="J207" s="14"/>
      <c r="K207" s="13"/>
      <c r="L207" s="47">
        <f t="shared" si="53"/>
        <v>0</v>
      </c>
      <c r="M207" s="1"/>
      <c r="N207" s="1"/>
      <c r="O207" s="1"/>
      <c r="P207" s="1"/>
    </row>
    <row r="208" spans="1:16" ht="14.25" thickBot="1" x14ac:dyDescent="0.2">
      <c r="A208" s="1"/>
      <c r="B208" s="5" t="s">
        <v>9</v>
      </c>
      <c r="C208" s="10">
        <f>SUM(C184:C207)</f>
        <v>37</v>
      </c>
      <c r="D208" s="10">
        <f t="shared" ref="D208:E208" si="55">SUM(D184:D207)</f>
        <v>19</v>
      </c>
      <c r="E208" s="10">
        <f t="shared" si="55"/>
        <v>11</v>
      </c>
      <c r="F208" s="48">
        <f t="shared" si="54"/>
        <v>67</v>
      </c>
      <c r="G208" s="1"/>
      <c r="H208" s="5" t="s">
        <v>9</v>
      </c>
      <c r="I208" s="10">
        <f>SUM(I184:I207)</f>
        <v>115</v>
      </c>
      <c r="J208" s="10">
        <f t="shared" ref="J208:K208" si="56">SUM(J184:J207)</f>
        <v>70</v>
      </c>
      <c r="K208" s="10">
        <f t="shared" si="56"/>
        <v>40</v>
      </c>
      <c r="L208" s="48">
        <f t="shared" si="53"/>
        <v>225</v>
      </c>
      <c r="M208" s="31"/>
      <c r="N208" s="1"/>
      <c r="O208" s="1"/>
      <c r="P208" s="1"/>
    </row>
    <row r="209" spans="1:16" ht="14.25" thickBot="1" x14ac:dyDescent="0.2">
      <c r="A209" s="1"/>
      <c r="B209" s="8" t="s">
        <v>10</v>
      </c>
      <c r="C209" s="11">
        <f>C183-C208</f>
        <v>25</v>
      </c>
      <c r="D209" s="11">
        <f t="shared" ref="D209:E209" si="57">D183-D208</f>
        <v>23</v>
      </c>
      <c r="E209" s="11">
        <f t="shared" si="57"/>
        <v>28</v>
      </c>
      <c r="F209" s="37">
        <f t="shared" si="54"/>
        <v>76</v>
      </c>
      <c r="G209" s="1"/>
      <c r="H209" s="8" t="s">
        <v>10</v>
      </c>
      <c r="I209" s="11">
        <f>I183-I208</f>
        <v>1243</v>
      </c>
      <c r="J209" s="11">
        <f t="shared" ref="J209:K209" si="58">J183-J208</f>
        <v>878</v>
      </c>
      <c r="K209" s="11">
        <f t="shared" si="58"/>
        <v>396</v>
      </c>
      <c r="L209" s="37">
        <f t="shared" si="53"/>
        <v>2517</v>
      </c>
      <c r="M209" s="31"/>
      <c r="N209" s="1"/>
      <c r="O209" s="1"/>
      <c r="P209" s="1"/>
    </row>
    <row r="211" spans="1:16" x14ac:dyDescent="0.15">
      <c r="M211" s="31"/>
      <c r="N211" s="26"/>
      <c r="O211" s="26"/>
    </row>
    <row r="212" spans="1:16" ht="18.75" x14ac:dyDescent="0.2">
      <c r="A212" s="41" t="s">
        <v>12</v>
      </c>
      <c r="B212" s="42"/>
      <c r="C212" s="41"/>
      <c r="D212" s="43"/>
      <c r="E212" s="43"/>
      <c r="F212" s="2"/>
      <c r="G212" s="1"/>
      <c r="H212" s="41" t="s">
        <v>12</v>
      </c>
      <c r="I212" s="41"/>
      <c r="J212" s="43"/>
      <c r="K212" s="43"/>
      <c r="L212" s="2"/>
      <c r="M212" s="31"/>
      <c r="N212" s="26"/>
      <c r="O212" s="26"/>
    </row>
    <row r="213" spans="1:16" ht="19.5" thickBot="1" x14ac:dyDescent="0.25">
      <c r="A213" s="7"/>
      <c r="B213" s="7" t="s">
        <v>0</v>
      </c>
      <c r="C213" s="7"/>
      <c r="D213" s="7" t="s">
        <v>15</v>
      </c>
      <c r="E213" s="2"/>
      <c r="F213" s="2"/>
      <c r="G213" s="1"/>
      <c r="H213" s="7" t="s">
        <v>1</v>
      </c>
      <c r="I213" s="1"/>
      <c r="J213" s="7" t="s">
        <v>15</v>
      </c>
      <c r="K213" s="2"/>
      <c r="L213" s="2"/>
      <c r="M213" s="1"/>
      <c r="N213" s="1"/>
      <c r="O213" s="1"/>
    </row>
    <row r="214" spans="1:16" ht="14.25" thickBot="1" x14ac:dyDescent="0.2">
      <c r="A214" s="1"/>
      <c r="B214" s="3"/>
      <c r="C214" s="5" t="s">
        <v>2</v>
      </c>
      <c r="D214" s="3" t="s">
        <v>3</v>
      </c>
      <c r="E214" s="12" t="s">
        <v>4</v>
      </c>
      <c r="F214" s="3" t="s">
        <v>5</v>
      </c>
      <c r="G214" s="1"/>
      <c r="H214" s="3"/>
      <c r="I214" s="5" t="s">
        <v>2</v>
      </c>
      <c r="J214" s="3" t="s">
        <v>3</v>
      </c>
      <c r="K214" s="12" t="s">
        <v>4</v>
      </c>
      <c r="L214" s="3" t="s">
        <v>5</v>
      </c>
      <c r="M214" s="1"/>
      <c r="N214" s="1"/>
      <c r="O214" s="1"/>
    </row>
    <row r="215" spans="1:16" ht="14.25" thickBot="1" x14ac:dyDescent="0.2">
      <c r="A215" s="1"/>
      <c r="B215" s="34" t="s">
        <v>11</v>
      </c>
      <c r="C215" s="35">
        <f>C209</f>
        <v>25</v>
      </c>
      <c r="D215" s="36">
        <f>D209</f>
        <v>23</v>
      </c>
      <c r="E215" s="35">
        <f>E209</f>
        <v>28</v>
      </c>
      <c r="F215" s="37">
        <f>SUM(C215:E215)</f>
        <v>76</v>
      </c>
      <c r="G215" s="28"/>
      <c r="H215" s="34" t="s">
        <v>11</v>
      </c>
      <c r="I215" s="35">
        <f>I209</f>
        <v>1243</v>
      </c>
      <c r="J215" s="36">
        <f>J209</f>
        <v>878</v>
      </c>
      <c r="K215" s="35">
        <f>K209</f>
        <v>396</v>
      </c>
      <c r="L215" s="37">
        <f>SUM(I215:K215)</f>
        <v>2517</v>
      </c>
    </row>
    <row r="216" spans="1:16" x14ac:dyDescent="0.15">
      <c r="A216" s="1"/>
      <c r="B216" s="29" t="s">
        <v>40</v>
      </c>
      <c r="C216" s="64">
        <v>50</v>
      </c>
      <c r="D216" s="15">
        <v>22</v>
      </c>
      <c r="E216" s="30"/>
      <c r="F216" s="46">
        <f>SUM(C216:E216)</f>
        <v>72</v>
      </c>
      <c r="G216" s="24">
        <v>44412</v>
      </c>
      <c r="H216" s="29" t="s">
        <v>7</v>
      </c>
      <c r="I216" s="30"/>
      <c r="J216" s="15"/>
      <c r="K216" s="30"/>
      <c r="L216" s="46">
        <f>SUM(I216:K216)</f>
        <v>0</v>
      </c>
      <c r="M216" s="1"/>
    </row>
    <row r="217" spans="1:16" x14ac:dyDescent="0.15">
      <c r="A217" s="1"/>
      <c r="B217" s="29" t="s">
        <v>7</v>
      </c>
      <c r="C217" s="30"/>
      <c r="D217" s="4"/>
      <c r="E217" s="19">
        <v>10</v>
      </c>
      <c r="F217" s="46">
        <f>SUM(C217:E217)</f>
        <v>10</v>
      </c>
      <c r="G217" s="24">
        <v>44419</v>
      </c>
      <c r="H217" s="29" t="s">
        <v>7</v>
      </c>
      <c r="I217" s="19"/>
      <c r="J217" s="4"/>
      <c r="K217" s="19"/>
      <c r="L217" s="46">
        <f>SUM(I217:K217)</f>
        <v>0</v>
      </c>
      <c r="M217" s="1"/>
    </row>
    <row r="218" spans="1:16" x14ac:dyDescent="0.15">
      <c r="A218" s="1"/>
      <c r="B218" s="29" t="s">
        <v>76</v>
      </c>
      <c r="C218" s="19">
        <v>1</v>
      </c>
      <c r="D218" s="4"/>
      <c r="E218" s="19">
        <v>3</v>
      </c>
      <c r="F218" s="46">
        <f t="shared" ref="F218:F225" si="59">SUM(C218:E218)</f>
        <v>4</v>
      </c>
      <c r="G218" s="24">
        <v>44434</v>
      </c>
      <c r="H218" s="29" t="s">
        <v>7</v>
      </c>
      <c r="I218" s="22"/>
      <c r="J218" s="23"/>
      <c r="K218" s="22"/>
      <c r="L218" s="46">
        <f t="shared" ref="L218:L220" si="60">SUM(I218:K218)</f>
        <v>0</v>
      </c>
      <c r="M218" s="1"/>
    </row>
    <row r="219" spans="1:16" x14ac:dyDescent="0.15">
      <c r="A219" s="1"/>
      <c r="B219" s="29" t="s">
        <v>7</v>
      </c>
      <c r="C219" s="22"/>
      <c r="D219" s="23"/>
      <c r="E219" s="22"/>
      <c r="F219" s="46">
        <f t="shared" si="59"/>
        <v>0</v>
      </c>
      <c r="G219" s="27"/>
      <c r="H219" s="29" t="s">
        <v>7</v>
      </c>
      <c r="I219" s="22"/>
      <c r="J219" s="23"/>
      <c r="K219" s="22"/>
      <c r="L219" s="46">
        <f t="shared" si="60"/>
        <v>0</v>
      </c>
      <c r="M219" s="1"/>
    </row>
    <row r="220" spans="1:16" x14ac:dyDescent="0.15">
      <c r="A220" s="1"/>
      <c r="B220" s="29" t="s">
        <v>7</v>
      </c>
      <c r="C220" s="22"/>
      <c r="D220" s="23"/>
      <c r="E220" s="22"/>
      <c r="F220" s="46">
        <f t="shared" si="59"/>
        <v>0</v>
      </c>
      <c r="G220" s="27"/>
      <c r="H220" s="29" t="s">
        <v>7</v>
      </c>
      <c r="I220" s="22"/>
      <c r="J220" s="23"/>
      <c r="K220" s="22"/>
      <c r="L220" s="46">
        <f t="shared" si="60"/>
        <v>0</v>
      </c>
      <c r="M220" s="1"/>
    </row>
    <row r="221" spans="1:16" x14ac:dyDescent="0.15">
      <c r="A221" s="1"/>
      <c r="B221" s="29" t="s">
        <v>7</v>
      </c>
      <c r="C221" s="22"/>
      <c r="D221" s="23"/>
      <c r="E221" s="22"/>
      <c r="F221" s="46">
        <f t="shared" si="59"/>
        <v>0</v>
      </c>
      <c r="G221" s="27"/>
      <c r="H221" s="29" t="s">
        <v>7</v>
      </c>
      <c r="I221" s="19"/>
      <c r="J221" s="4"/>
      <c r="K221" s="19"/>
      <c r="L221" s="46">
        <f>SUM(I221:K221)</f>
        <v>0</v>
      </c>
      <c r="M221" s="31"/>
    </row>
    <row r="222" spans="1:16" x14ac:dyDescent="0.15">
      <c r="A222" s="1"/>
      <c r="B222" s="29" t="s">
        <v>7</v>
      </c>
      <c r="C222" s="20"/>
      <c r="D222" s="21"/>
      <c r="E222" s="20"/>
      <c r="F222" s="46">
        <f t="shared" si="59"/>
        <v>0</v>
      </c>
      <c r="G222" s="27"/>
      <c r="H222" s="29" t="s">
        <v>7</v>
      </c>
      <c r="I222" s="20"/>
      <c r="J222" s="21"/>
      <c r="K222" s="20"/>
      <c r="L222" s="46">
        <f t="shared" ref="L222:L225" si="61">SUM(I222:K222)</f>
        <v>0</v>
      </c>
      <c r="M222" s="27"/>
    </row>
    <row r="223" spans="1:16" x14ac:dyDescent="0.15">
      <c r="A223" s="1"/>
      <c r="B223" s="29" t="s">
        <v>7</v>
      </c>
      <c r="C223" s="20"/>
      <c r="D223" s="21"/>
      <c r="E223" s="20"/>
      <c r="F223" s="46">
        <f t="shared" si="59"/>
        <v>0</v>
      </c>
      <c r="G223" s="27"/>
      <c r="H223" s="29" t="s">
        <v>7</v>
      </c>
      <c r="I223" s="20"/>
      <c r="J223" s="21"/>
      <c r="K223" s="20"/>
      <c r="L223" s="46">
        <f t="shared" si="61"/>
        <v>0</v>
      </c>
      <c r="M223" s="31"/>
    </row>
    <row r="224" spans="1:16" x14ac:dyDescent="0.15">
      <c r="A224" s="1"/>
      <c r="B224" s="29" t="s">
        <v>7</v>
      </c>
      <c r="C224" s="20"/>
      <c r="D224" s="21"/>
      <c r="E224" s="20"/>
      <c r="F224" s="46">
        <f t="shared" si="59"/>
        <v>0</v>
      </c>
      <c r="G224" s="24"/>
      <c r="H224" s="29" t="s">
        <v>7</v>
      </c>
      <c r="I224" s="20"/>
      <c r="J224" s="21"/>
      <c r="K224" s="20"/>
      <c r="L224" s="46">
        <f t="shared" si="61"/>
        <v>0</v>
      </c>
      <c r="M224" s="27"/>
    </row>
    <row r="225" spans="1:15" ht="14.25" thickBot="1" x14ac:dyDescent="0.2">
      <c r="A225" s="1"/>
      <c r="B225" s="29" t="s">
        <v>7</v>
      </c>
      <c r="C225" s="19"/>
      <c r="D225" s="4"/>
      <c r="E225" s="19"/>
      <c r="F225" s="46">
        <f t="shared" si="59"/>
        <v>0</v>
      </c>
      <c r="G225" s="27"/>
      <c r="H225" s="29" t="s">
        <v>7</v>
      </c>
      <c r="I225" s="19"/>
      <c r="J225" s="4"/>
      <c r="K225" s="19"/>
      <c r="L225" s="46">
        <f t="shared" si="61"/>
        <v>0</v>
      </c>
      <c r="M225" s="31"/>
    </row>
    <row r="226" spans="1:15" ht="14.25" thickBot="1" x14ac:dyDescent="0.2">
      <c r="A226" s="1"/>
      <c r="B226" s="6" t="s">
        <v>8</v>
      </c>
      <c r="C226" s="44">
        <f>SUM(C215:C225)</f>
        <v>76</v>
      </c>
      <c r="D226" s="44">
        <f t="shared" ref="D226:F226" si="62">SUM(D215:D225)</f>
        <v>45</v>
      </c>
      <c r="E226" s="44">
        <f t="shared" si="62"/>
        <v>41</v>
      </c>
      <c r="F226" s="45">
        <f t="shared" si="62"/>
        <v>162</v>
      </c>
      <c r="G226" s="1"/>
      <c r="H226" s="6" t="s">
        <v>8</v>
      </c>
      <c r="I226" s="44">
        <f>SUM(I215:I225)</f>
        <v>1243</v>
      </c>
      <c r="J226" s="44">
        <f t="shared" ref="J226:L226" si="63">SUM(J215:J225)</f>
        <v>878</v>
      </c>
      <c r="K226" s="44">
        <f t="shared" si="63"/>
        <v>396</v>
      </c>
      <c r="L226" s="45">
        <f t="shared" si="63"/>
        <v>2517</v>
      </c>
      <c r="M226" s="31"/>
    </row>
    <row r="227" spans="1:15" x14ac:dyDescent="0.15">
      <c r="A227" s="1"/>
      <c r="B227" s="38" t="s">
        <v>25</v>
      </c>
      <c r="C227" s="9">
        <v>1</v>
      </c>
      <c r="D227" s="14"/>
      <c r="E227" s="13"/>
      <c r="F227" s="46">
        <f>SUM(C227:E227)</f>
        <v>1</v>
      </c>
      <c r="G227" s="24">
        <v>44384</v>
      </c>
      <c r="H227" s="15" t="s">
        <v>24</v>
      </c>
      <c r="I227" s="30"/>
      <c r="J227" s="4"/>
      <c r="K227" s="19">
        <v>10</v>
      </c>
      <c r="L227" s="46">
        <f>SUM(I227:K227)</f>
        <v>10</v>
      </c>
      <c r="M227" s="24">
        <v>44419</v>
      </c>
      <c r="N227" s="54"/>
      <c r="O227" s="54"/>
    </row>
    <row r="228" spans="1:15" x14ac:dyDescent="0.15">
      <c r="B228" s="38" t="s">
        <v>25</v>
      </c>
      <c r="C228" s="9">
        <f>1+1</f>
        <v>2</v>
      </c>
      <c r="D228" s="14">
        <v>1</v>
      </c>
      <c r="E228" s="13"/>
      <c r="F228" s="46">
        <f>SUM(C228:E228)</f>
        <v>3</v>
      </c>
      <c r="G228" s="24">
        <v>44389</v>
      </c>
      <c r="H228" s="4" t="s">
        <v>77</v>
      </c>
      <c r="I228" s="9">
        <v>5</v>
      </c>
      <c r="J228" s="14">
        <v>5</v>
      </c>
      <c r="K228" s="13">
        <v>5</v>
      </c>
      <c r="L228" s="46">
        <f t="shared" ref="L228:L252" si="64">SUM(I228:K228)</f>
        <v>15</v>
      </c>
      <c r="M228" s="27">
        <v>44456</v>
      </c>
      <c r="N228" s="54"/>
      <c r="O228" s="54"/>
    </row>
    <row r="229" spans="1:15" x14ac:dyDescent="0.15">
      <c r="B229" s="38" t="s">
        <v>25</v>
      </c>
      <c r="C229" s="9"/>
      <c r="D229" s="14"/>
      <c r="E229" s="13">
        <v>1</v>
      </c>
      <c r="F229" s="46">
        <f t="shared" ref="F229:F252" si="65">SUM(C229:E229)</f>
        <v>1</v>
      </c>
      <c r="G229" s="24">
        <v>44393</v>
      </c>
      <c r="H229" s="4"/>
      <c r="I229" s="9"/>
      <c r="J229" s="14"/>
      <c r="K229" s="13"/>
      <c r="L229" s="46">
        <f t="shared" si="64"/>
        <v>0</v>
      </c>
      <c r="M229" s="27"/>
      <c r="N229" s="54"/>
      <c r="O229" s="54"/>
    </row>
    <row r="230" spans="1:15" x14ac:dyDescent="0.15">
      <c r="B230" s="38" t="s">
        <v>25</v>
      </c>
      <c r="C230" s="9"/>
      <c r="D230" s="14">
        <v>1</v>
      </c>
      <c r="E230" s="13">
        <f>1+1+1+1</f>
        <v>4</v>
      </c>
      <c r="F230" s="46">
        <f t="shared" si="65"/>
        <v>5</v>
      </c>
      <c r="G230" s="24">
        <v>44397</v>
      </c>
      <c r="H230" s="4"/>
      <c r="I230" s="9"/>
      <c r="J230" s="14"/>
      <c r="K230" s="13"/>
      <c r="L230" s="46">
        <f t="shared" si="64"/>
        <v>0</v>
      </c>
      <c r="M230" s="27"/>
      <c r="N230" s="54"/>
      <c r="O230" s="54"/>
    </row>
    <row r="231" spans="1:15" x14ac:dyDescent="0.15">
      <c r="B231" s="4" t="s">
        <v>75</v>
      </c>
      <c r="C231" s="9"/>
      <c r="D231" s="14"/>
      <c r="E231" s="13">
        <v>5</v>
      </c>
      <c r="F231" s="46">
        <f t="shared" si="65"/>
        <v>5</v>
      </c>
      <c r="G231" s="24">
        <v>44405</v>
      </c>
      <c r="H231" s="4"/>
      <c r="I231" s="9"/>
      <c r="J231" s="14"/>
      <c r="K231" s="13"/>
      <c r="L231" s="46">
        <f t="shared" si="64"/>
        <v>0</v>
      </c>
      <c r="M231" s="27"/>
    </row>
    <row r="232" spans="1:15" x14ac:dyDescent="0.15">
      <c r="B232" s="38" t="s">
        <v>25</v>
      </c>
      <c r="C232" s="9">
        <f>1+2</f>
        <v>3</v>
      </c>
      <c r="D232" s="14"/>
      <c r="E232" s="13"/>
      <c r="F232" s="46">
        <f t="shared" si="65"/>
        <v>3</v>
      </c>
      <c r="G232" s="24">
        <v>44398</v>
      </c>
      <c r="H232" s="4"/>
      <c r="I232" s="9"/>
      <c r="J232" s="14"/>
      <c r="K232" s="13"/>
      <c r="L232" s="46">
        <f t="shared" si="64"/>
        <v>0</v>
      </c>
      <c r="M232" s="27"/>
    </row>
    <row r="233" spans="1:15" x14ac:dyDescent="0.15">
      <c r="B233" s="38" t="s">
        <v>25</v>
      </c>
      <c r="C233" s="9">
        <f>2+1+1</f>
        <v>4</v>
      </c>
      <c r="D233" s="14">
        <f>1+1+1+1</f>
        <v>4</v>
      </c>
      <c r="E233" s="13">
        <f>1+1</f>
        <v>2</v>
      </c>
      <c r="F233" s="46">
        <f t="shared" si="65"/>
        <v>10</v>
      </c>
      <c r="G233" s="24">
        <v>44403</v>
      </c>
      <c r="H233" s="4"/>
      <c r="I233" s="9"/>
      <c r="J233" s="14"/>
      <c r="K233" s="13"/>
      <c r="L233" s="46">
        <f t="shared" si="64"/>
        <v>0</v>
      </c>
      <c r="M233" s="27"/>
    </row>
    <row r="234" spans="1:15" x14ac:dyDescent="0.15">
      <c r="B234" s="38" t="s">
        <v>25</v>
      </c>
      <c r="C234" s="9"/>
      <c r="D234" s="14"/>
      <c r="E234" s="13">
        <v>1</v>
      </c>
      <c r="F234" s="46">
        <f t="shared" si="65"/>
        <v>1</v>
      </c>
      <c r="G234" s="24">
        <v>44404</v>
      </c>
      <c r="H234" s="4"/>
      <c r="I234" s="9"/>
      <c r="J234" s="14"/>
      <c r="K234" s="13"/>
      <c r="L234" s="46">
        <f t="shared" si="64"/>
        <v>0</v>
      </c>
      <c r="M234" s="27"/>
    </row>
    <row r="235" spans="1:15" x14ac:dyDescent="0.15">
      <c r="B235" s="38" t="s">
        <v>25</v>
      </c>
      <c r="C235" s="9"/>
      <c r="D235" s="14">
        <v>1</v>
      </c>
      <c r="E235" s="13">
        <v>1</v>
      </c>
      <c r="F235" s="46">
        <f t="shared" si="65"/>
        <v>2</v>
      </c>
      <c r="G235" s="24">
        <v>44411</v>
      </c>
      <c r="H235" s="4"/>
      <c r="I235" s="9"/>
      <c r="J235" s="14"/>
      <c r="K235" s="13"/>
      <c r="L235" s="46">
        <f t="shared" si="64"/>
        <v>0</v>
      </c>
      <c r="M235" s="27"/>
    </row>
    <row r="236" spans="1:15" x14ac:dyDescent="0.15">
      <c r="B236" s="38" t="s">
        <v>25</v>
      </c>
      <c r="C236" s="9"/>
      <c r="D236" s="14">
        <f>1+1</f>
        <v>2</v>
      </c>
      <c r="E236" s="13"/>
      <c r="F236" s="46">
        <f t="shared" si="65"/>
        <v>2</v>
      </c>
      <c r="G236" s="24">
        <v>44413</v>
      </c>
      <c r="H236" s="4"/>
      <c r="I236" s="9"/>
      <c r="J236" s="14"/>
      <c r="K236" s="13"/>
      <c r="L236" s="46">
        <f t="shared" si="64"/>
        <v>0</v>
      </c>
      <c r="M236" s="27"/>
    </row>
    <row r="237" spans="1:15" x14ac:dyDescent="0.15">
      <c r="B237" s="38" t="s">
        <v>25</v>
      </c>
      <c r="C237" s="9">
        <f>1+1</f>
        <v>2</v>
      </c>
      <c r="D237" s="14"/>
      <c r="E237" s="40">
        <f>2+3</f>
        <v>5</v>
      </c>
      <c r="F237" s="46">
        <f t="shared" si="65"/>
        <v>7</v>
      </c>
      <c r="G237" s="24">
        <v>44418</v>
      </c>
      <c r="H237" s="4"/>
      <c r="I237" s="9"/>
      <c r="J237" s="14"/>
      <c r="K237" s="40"/>
      <c r="L237" s="46">
        <f t="shared" si="64"/>
        <v>0</v>
      </c>
      <c r="M237" s="27"/>
    </row>
    <row r="238" spans="1:15" x14ac:dyDescent="0.15">
      <c r="B238" s="38" t="s">
        <v>25</v>
      </c>
      <c r="C238" s="9"/>
      <c r="D238" s="14"/>
      <c r="E238" s="13">
        <f>1+1</f>
        <v>2</v>
      </c>
      <c r="F238" s="46">
        <f t="shared" si="65"/>
        <v>2</v>
      </c>
      <c r="G238" s="24">
        <v>44419</v>
      </c>
      <c r="H238" s="4"/>
      <c r="I238" s="9"/>
      <c r="J238" s="14"/>
      <c r="K238" s="13"/>
      <c r="L238" s="46">
        <f t="shared" si="64"/>
        <v>0</v>
      </c>
      <c r="M238" s="27"/>
    </row>
    <row r="239" spans="1:15" x14ac:dyDescent="0.15">
      <c r="B239" s="38" t="s">
        <v>25</v>
      </c>
      <c r="C239" s="9"/>
      <c r="D239" s="14">
        <v>1</v>
      </c>
      <c r="E239" s="13"/>
      <c r="F239" s="46">
        <f t="shared" si="65"/>
        <v>1</v>
      </c>
      <c r="G239" s="24">
        <v>44424</v>
      </c>
      <c r="H239" s="4"/>
      <c r="I239" s="9"/>
      <c r="J239" s="14"/>
      <c r="K239" s="13"/>
      <c r="L239" s="46">
        <f t="shared" si="64"/>
        <v>0</v>
      </c>
      <c r="M239" s="27"/>
    </row>
    <row r="240" spans="1:15" x14ac:dyDescent="0.15">
      <c r="B240" s="38" t="s">
        <v>25</v>
      </c>
      <c r="C240" s="9"/>
      <c r="D240" s="14">
        <v>1</v>
      </c>
      <c r="E240" s="13"/>
      <c r="F240" s="46">
        <f t="shared" si="65"/>
        <v>1</v>
      </c>
      <c r="G240" s="24">
        <v>44434</v>
      </c>
      <c r="H240" s="4"/>
      <c r="I240" s="9"/>
      <c r="J240" s="14"/>
      <c r="K240" s="13"/>
      <c r="L240" s="46">
        <f t="shared" si="64"/>
        <v>0</v>
      </c>
      <c r="M240" s="27"/>
    </row>
    <row r="241" spans="1:16" x14ac:dyDescent="0.15">
      <c r="B241" s="38" t="s">
        <v>25</v>
      </c>
      <c r="C241" s="9">
        <v>1</v>
      </c>
      <c r="D241" s="14">
        <v>1</v>
      </c>
      <c r="E241" s="13">
        <f>1+3</f>
        <v>4</v>
      </c>
      <c r="F241" s="46">
        <f t="shared" si="65"/>
        <v>6</v>
      </c>
      <c r="G241" s="24">
        <v>44445</v>
      </c>
      <c r="H241" s="4"/>
      <c r="I241" s="9"/>
      <c r="J241" s="14"/>
      <c r="K241" s="13"/>
      <c r="L241" s="46">
        <f t="shared" si="64"/>
        <v>0</v>
      </c>
      <c r="M241" s="27"/>
    </row>
    <row r="242" spans="1:16" x14ac:dyDescent="0.15">
      <c r="B242" s="38" t="s">
        <v>25</v>
      </c>
      <c r="C242" s="9"/>
      <c r="D242" s="14">
        <v>1</v>
      </c>
      <c r="E242" s="13"/>
      <c r="F242" s="46">
        <f t="shared" si="65"/>
        <v>1</v>
      </c>
      <c r="G242" s="24">
        <v>44446</v>
      </c>
      <c r="H242" s="4"/>
      <c r="I242" s="9"/>
      <c r="J242" s="14"/>
      <c r="K242" s="13"/>
      <c r="L242" s="46">
        <f t="shared" si="64"/>
        <v>0</v>
      </c>
      <c r="M242" s="27"/>
    </row>
    <row r="243" spans="1:16" x14ac:dyDescent="0.15">
      <c r="B243" s="38" t="s">
        <v>25</v>
      </c>
      <c r="C243" s="9"/>
      <c r="D243" s="14">
        <v>1</v>
      </c>
      <c r="E243" s="13"/>
      <c r="F243" s="46">
        <f t="shared" si="65"/>
        <v>1</v>
      </c>
      <c r="G243" s="24">
        <v>44447</v>
      </c>
      <c r="H243" s="4"/>
      <c r="I243" s="9"/>
      <c r="J243" s="14"/>
      <c r="K243" s="13"/>
      <c r="L243" s="46">
        <f t="shared" si="64"/>
        <v>0</v>
      </c>
      <c r="M243" s="27"/>
    </row>
    <row r="244" spans="1:16" x14ac:dyDescent="0.15">
      <c r="A244" s="1"/>
      <c r="B244" s="38" t="s">
        <v>25</v>
      </c>
      <c r="C244" s="9"/>
      <c r="D244" s="14"/>
      <c r="E244" s="13">
        <v>1</v>
      </c>
      <c r="F244" s="46">
        <f t="shared" si="65"/>
        <v>1</v>
      </c>
      <c r="G244" s="24">
        <v>44449</v>
      </c>
      <c r="H244" s="4"/>
      <c r="I244" s="9"/>
      <c r="J244" s="14"/>
      <c r="K244" s="13"/>
      <c r="L244" s="46">
        <f t="shared" si="64"/>
        <v>0</v>
      </c>
      <c r="M244" s="27"/>
    </row>
    <row r="245" spans="1:16" x14ac:dyDescent="0.15">
      <c r="A245" s="1"/>
      <c r="B245" s="38" t="s">
        <v>25</v>
      </c>
      <c r="C245" s="9">
        <v>1</v>
      </c>
      <c r="D245" s="14"/>
      <c r="E245" s="13"/>
      <c r="F245" s="46">
        <f t="shared" si="65"/>
        <v>1</v>
      </c>
      <c r="G245" s="24">
        <v>44452</v>
      </c>
      <c r="H245" s="4"/>
      <c r="I245" s="9"/>
      <c r="J245" s="14"/>
      <c r="K245" s="13"/>
      <c r="L245" s="46">
        <f t="shared" si="64"/>
        <v>0</v>
      </c>
      <c r="M245" s="1"/>
    </row>
    <row r="246" spans="1:16" x14ac:dyDescent="0.15">
      <c r="A246" s="1"/>
      <c r="B246" s="38" t="s">
        <v>25</v>
      </c>
      <c r="C246" s="9">
        <v>1</v>
      </c>
      <c r="D246" s="14"/>
      <c r="E246" s="13"/>
      <c r="F246" s="46">
        <f t="shared" si="65"/>
        <v>1</v>
      </c>
      <c r="G246" s="24">
        <v>44453</v>
      </c>
      <c r="H246" s="4"/>
      <c r="I246" s="9"/>
      <c r="J246" s="14"/>
      <c r="K246" s="13"/>
      <c r="L246" s="46">
        <f t="shared" si="64"/>
        <v>0</v>
      </c>
      <c r="M246" s="1"/>
    </row>
    <row r="247" spans="1:16" x14ac:dyDescent="0.15">
      <c r="A247" s="1"/>
      <c r="B247" s="38" t="s">
        <v>25</v>
      </c>
      <c r="C247" s="9">
        <f>1+1+2</f>
        <v>4</v>
      </c>
      <c r="D247" s="14">
        <f>1+4</f>
        <v>5</v>
      </c>
      <c r="E247" s="13">
        <v>1</v>
      </c>
      <c r="F247" s="46">
        <f t="shared" si="65"/>
        <v>10</v>
      </c>
      <c r="G247" s="24">
        <v>44460</v>
      </c>
      <c r="H247" s="4"/>
      <c r="I247" s="9"/>
      <c r="J247" s="14"/>
      <c r="K247" s="13"/>
      <c r="L247" s="46">
        <f t="shared" si="64"/>
        <v>0</v>
      </c>
      <c r="M247" s="1"/>
    </row>
    <row r="248" spans="1:16" x14ac:dyDescent="0.15">
      <c r="A248" s="1"/>
      <c r="B248" s="38" t="s">
        <v>25</v>
      </c>
      <c r="C248" s="9">
        <f>1+1+1</f>
        <v>3</v>
      </c>
      <c r="D248" s="14"/>
      <c r="E248" s="13">
        <v>1</v>
      </c>
      <c r="F248" s="46">
        <f t="shared" si="65"/>
        <v>4</v>
      </c>
      <c r="G248" s="24">
        <v>44463</v>
      </c>
      <c r="H248" s="4"/>
      <c r="I248" s="9"/>
      <c r="J248" s="14"/>
      <c r="K248" s="13"/>
      <c r="L248" s="46">
        <f t="shared" si="64"/>
        <v>0</v>
      </c>
      <c r="M248" s="1"/>
      <c r="N248" s="1"/>
      <c r="O248" s="1"/>
      <c r="P248" s="1"/>
    </row>
    <row r="249" spans="1:16" x14ac:dyDescent="0.15">
      <c r="A249" s="1"/>
      <c r="B249" s="38" t="s">
        <v>25</v>
      </c>
      <c r="C249" s="16">
        <v>1</v>
      </c>
      <c r="D249" s="17"/>
      <c r="E249" s="18"/>
      <c r="F249" s="46">
        <f t="shared" si="65"/>
        <v>1</v>
      </c>
      <c r="G249" s="24">
        <v>44473</v>
      </c>
      <c r="H249" s="4"/>
      <c r="I249" s="9"/>
      <c r="J249" s="14"/>
      <c r="K249" s="13"/>
      <c r="L249" s="46">
        <f t="shared" si="64"/>
        <v>0</v>
      </c>
      <c r="M249" s="1"/>
      <c r="N249" s="1"/>
      <c r="O249" s="1"/>
      <c r="P249" s="1"/>
    </row>
    <row r="250" spans="1:16" ht="14.25" thickBot="1" x14ac:dyDescent="0.2">
      <c r="A250" s="1"/>
      <c r="B250" s="38" t="s">
        <v>25</v>
      </c>
      <c r="C250" s="9">
        <v>1</v>
      </c>
      <c r="D250" s="14"/>
      <c r="E250" s="13"/>
      <c r="F250" s="47">
        <f t="shared" si="65"/>
        <v>1</v>
      </c>
      <c r="G250" s="24">
        <v>44474</v>
      </c>
      <c r="H250" s="4"/>
      <c r="I250" s="9"/>
      <c r="J250" s="14"/>
      <c r="K250" s="13"/>
      <c r="L250" s="47">
        <f t="shared" si="64"/>
        <v>0</v>
      </c>
      <c r="M250" s="1"/>
      <c r="N250" s="1"/>
      <c r="O250" s="1"/>
      <c r="P250" s="1"/>
    </row>
    <row r="251" spans="1:16" ht="14.25" thickBot="1" x14ac:dyDescent="0.2">
      <c r="A251" s="1"/>
      <c r="B251" s="5" t="s">
        <v>9</v>
      </c>
      <c r="C251" s="10">
        <f>SUM(C227:C250)</f>
        <v>24</v>
      </c>
      <c r="D251" s="10">
        <f t="shared" ref="D251:E251" si="66">SUM(D227:D250)</f>
        <v>19</v>
      </c>
      <c r="E251" s="10">
        <f t="shared" si="66"/>
        <v>28</v>
      </c>
      <c r="F251" s="48">
        <f t="shared" si="65"/>
        <v>71</v>
      </c>
      <c r="G251" s="1"/>
      <c r="H251" s="5" t="s">
        <v>9</v>
      </c>
      <c r="I251" s="10">
        <f>SUM(I227:I250)</f>
        <v>5</v>
      </c>
      <c r="J251" s="10">
        <f t="shared" ref="J251:K251" si="67">SUM(J227:J250)</f>
        <v>5</v>
      </c>
      <c r="K251" s="10">
        <f t="shared" si="67"/>
        <v>15</v>
      </c>
      <c r="L251" s="48">
        <f t="shared" si="64"/>
        <v>25</v>
      </c>
      <c r="M251" s="31"/>
      <c r="N251" s="1"/>
      <c r="O251" s="1"/>
      <c r="P251" s="1"/>
    </row>
    <row r="252" spans="1:16" ht="14.25" thickBot="1" x14ac:dyDescent="0.2">
      <c r="A252" s="1"/>
      <c r="B252" s="8" t="s">
        <v>10</v>
      </c>
      <c r="C252" s="11">
        <f>C226-C251</f>
        <v>52</v>
      </c>
      <c r="D252" s="11">
        <f t="shared" ref="D252:E252" si="68">D226-D251</f>
        <v>26</v>
      </c>
      <c r="E252" s="11">
        <f t="shared" si="68"/>
        <v>13</v>
      </c>
      <c r="F252" s="37">
        <f t="shared" si="65"/>
        <v>91</v>
      </c>
      <c r="G252" s="1"/>
      <c r="H252" s="8" t="s">
        <v>10</v>
      </c>
      <c r="I252" s="11">
        <f>I226-I251</f>
        <v>1238</v>
      </c>
      <c r="J252" s="11">
        <f t="shared" ref="J252:K252" si="69">J226-J251</f>
        <v>873</v>
      </c>
      <c r="K252" s="11">
        <f t="shared" si="69"/>
        <v>381</v>
      </c>
      <c r="L252" s="37">
        <f t="shared" si="64"/>
        <v>2492</v>
      </c>
      <c r="M252" s="31"/>
      <c r="N252" s="1"/>
      <c r="O252" s="1"/>
      <c r="P252" s="1"/>
    </row>
    <row r="253" spans="1:16" x14ac:dyDescent="0.15">
      <c r="M253" s="31"/>
      <c r="N253" s="1"/>
      <c r="O253" s="26"/>
      <c r="P253" s="26"/>
    </row>
    <row r="254" spans="1:16" x14ac:dyDescent="0.15">
      <c r="M254" s="31"/>
      <c r="N254" s="26"/>
      <c r="O254" s="26"/>
      <c r="P254" s="26"/>
    </row>
    <row r="255" spans="1:16" ht="18.75" x14ac:dyDescent="0.2">
      <c r="A255" s="41" t="s">
        <v>12</v>
      </c>
      <c r="B255" s="42"/>
      <c r="C255" s="41"/>
      <c r="D255" s="43"/>
      <c r="E255" s="43"/>
      <c r="F255" s="2"/>
      <c r="G255" s="1"/>
      <c r="H255" s="41" t="s">
        <v>12</v>
      </c>
      <c r="I255" s="41"/>
      <c r="J255" s="43"/>
      <c r="K255" s="43"/>
      <c r="L255" s="2"/>
      <c r="M255" s="1"/>
      <c r="N255" s="1"/>
      <c r="O255" s="1"/>
      <c r="P255" s="1"/>
    </row>
    <row r="256" spans="1:16" ht="19.5" thickBot="1" x14ac:dyDescent="0.25">
      <c r="A256" s="7"/>
      <c r="B256" s="7" t="s">
        <v>0</v>
      </c>
      <c r="C256" s="7"/>
      <c r="D256" s="7" t="s">
        <v>15</v>
      </c>
      <c r="E256" s="2"/>
      <c r="F256" s="2"/>
      <c r="G256" s="1"/>
      <c r="H256" s="7" t="s">
        <v>1</v>
      </c>
      <c r="I256" s="1"/>
      <c r="J256" s="7" t="s">
        <v>15</v>
      </c>
      <c r="K256" s="2"/>
      <c r="L256" s="2"/>
      <c r="M256" s="1"/>
      <c r="N256" s="1"/>
      <c r="O256" s="1"/>
      <c r="P256" s="1"/>
    </row>
    <row r="257" spans="1:16" ht="14.25" thickBot="1" x14ac:dyDescent="0.2">
      <c r="A257" s="1"/>
      <c r="B257" s="3"/>
      <c r="C257" s="5" t="s">
        <v>2</v>
      </c>
      <c r="D257" s="3" t="s">
        <v>3</v>
      </c>
      <c r="E257" s="12" t="s">
        <v>4</v>
      </c>
      <c r="F257" s="3" t="s">
        <v>5</v>
      </c>
      <c r="G257" s="1"/>
      <c r="H257" s="3"/>
      <c r="I257" s="5" t="s">
        <v>2</v>
      </c>
      <c r="J257" s="3" t="s">
        <v>3</v>
      </c>
      <c r="K257" s="12" t="s">
        <v>4</v>
      </c>
      <c r="L257" s="3" t="s">
        <v>5</v>
      </c>
    </row>
    <row r="258" spans="1:16" ht="14.25" thickBot="1" x14ac:dyDescent="0.2">
      <c r="A258" s="1"/>
      <c r="B258" s="34" t="s">
        <v>11</v>
      </c>
      <c r="C258" s="35">
        <f>C252</f>
        <v>52</v>
      </c>
      <c r="D258" s="36">
        <f>D252</f>
        <v>26</v>
      </c>
      <c r="E258" s="35">
        <f>E252</f>
        <v>13</v>
      </c>
      <c r="F258" s="37">
        <f>SUM(C258:E258)</f>
        <v>91</v>
      </c>
      <c r="G258" s="28"/>
      <c r="H258" s="34"/>
      <c r="I258" s="35">
        <f>I252</f>
        <v>1238</v>
      </c>
      <c r="J258" s="36">
        <f>J252</f>
        <v>873</v>
      </c>
      <c r="K258" s="35">
        <f>K252</f>
        <v>381</v>
      </c>
      <c r="L258" s="37">
        <f>SUM(I258:K258)</f>
        <v>2492</v>
      </c>
      <c r="M258" s="1"/>
      <c r="N258" s="1"/>
      <c r="O258" s="1"/>
      <c r="P258" s="1"/>
    </row>
    <row r="259" spans="1:16" x14ac:dyDescent="0.15">
      <c r="A259" s="1"/>
      <c r="B259" s="29" t="s">
        <v>7</v>
      </c>
      <c r="C259" s="64"/>
      <c r="D259" s="15"/>
      <c r="E259" s="30">
        <v>10</v>
      </c>
      <c r="F259" s="46">
        <f>SUM(C259:E259)</f>
        <v>10</v>
      </c>
      <c r="G259" s="24">
        <v>44499</v>
      </c>
      <c r="H259" s="29"/>
      <c r="I259" s="30"/>
      <c r="J259" s="15"/>
      <c r="K259" s="30"/>
      <c r="L259" s="46">
        <f>SUM(I259:K259)</f>
        <v>0</v>
      </c>
      <c r="M259" s="1"/>
      <c r="N259" s="1"/>
      <c r="O259" s="1"/>
      <c r="P259" s="1"/>
    </row>
    <row r="260" spans="1:16" x14ac:dyDescent="0.15">
      <c r="A260" s="1"/>
      <c r="B260" s="29" t="s">
        <v>7</v>
      </c>
      <c r="C260" s="30"/>
      <c r="D260" s="4">
        <v>10</v>
      </c>
      <c r="E260" s="19"/>
      <c r="F260" s="46">
        <f>SUM(C260:E260)</f>
        <v>10</v>
      </c>
      <c r="G260" s="24">
        <v>44520</v>
      </c>
      <c r="H260" s="29"/>
      <c r="I260" s="19"/>
      <c r="J260" s="4"/>
      <c r="K260" s="19"/>
      <c r="L260" s="46">
        <f>SUM(I260:K260)</f>
        <v>0</v>
      </c>
      <c r="M260" s="1"/>
      <c r="N260" s="1"/>
      <c r="O260" s="1"/>
      <c r="P260" s="1"/>
    </row>
    <row r="261" spans="1:16" x14ac:dyDescent="0.15">
      <c r="A261" s="1"/>
      <c r="B261" s="29" t="s">
        <v>7</v>
      </c>
      <c r="C261" s="19"/>
      <c r="D261" s="4">
        <v>10</v>
      </c>
      <c r="E261" s="19"/>
      <c r="F261" s="46">
        <f t="shared" ref="F261:F268" si="70">SUM(C261:E261)</f>
        <v>10</v>
      </c>
      <c r="G261" s="24">
        <v>44534</v>
      </c>
      <c r="H261" s="29"/>
      <c r="I261" s="22"/>
      <c r="J261" s="23"/>
      <c r="K261" s="22"/>
      <c r="L261" s="46">
        <f t="shared" ref="L261:L263" si="71">SUM(I261:K261)</f>
        <v>0</v>
      </c>
      <c r="M261" s="1"/>
      <c r="N261" s="1"/>
      <c r="O261" s="1"/>
      <c r="P261" s="1"/>
    </row>
    <row r="262" spans="1:16" x14ac:dyDescent="0.15">
      <c r="A262" s="1"/>
      <c r="B262" s="29" t="s">
        <v>7</v>
      </c>
      <c r="C262" s="22"/>
      <c r="D262" s="23"/>
      <c r="E262" s="22"/>
      <c r="F262" s="46">
        <f t="shared" si="70"/>
        <v>0</v>
      </c>
      <c r="G262" s="27"/>
      <c r="H262" s="29"/>
      <c r="I262" s="22"/>
      <c r="J262" s="23"/>
      <c r="K262" s="22"/>
      <c r="L262" s="46">
        <f t="shared" si="71"/>
        <v>0</v>
      </c>
      <c r="M262" s="1"/>
      <c r="N262" s="1"/>
      <c r="O262" s="1"/>
      <c r="P262" s="1"/>
    </row>
    <row r="263" spans="1:16" x14ac:dyDescent="0.15">
      <c r="A263" s="1"/>
      <c r="B263" s="29" t="s">
        <v>7</v>
      </c>
      <c r="C263" s="22"/>
      <c r="D263" s="23"/>
      <c r="E263" s="22"/>
      <c r="F263" s="46">
        <f t="shared" si="70"/>
        <v>0</v>
      </c>
      <c r="G263" s="27"/>
      <c r="H263" s="29"/>
      <c r="I263" s="22"/>
      <c r="J263" s="23"/>
      <c r="K263" s="22"/>
      <c r="L263" s="46">
        <f t="shared" si="71"/>
        <v>0</v>
      </c>
      <c r="M263" s="31"/>
      <c r="N263" s="1"/>
      <c r="O263" s="1"/>
      <c r="P263" s="1"/>
    </row>
    <row r="264" spans="1:16" x14ac:dyDescent="0.15">
      <c r="A264" s="1"/>
      <c r="B264" s="29" t="s">
        <v>7</v>
      </c>
      <c r="C264" s="22"/>
      <c r="D264" s="23"/>
      <c r="E264" s="22"/>
      <c r="F264" s="46">
        <f t="shared" si="70"/>
        <v>0</v>
      </c>
      <c r="G264" s="27"/>
      <c r="H264" s="29"/>
      <c r="I264" s="19"/>
      <c r="J264" s="4"/>
      <c r="K264" s="19"/>
      <c r="L264" s="46">
        <f>SUM(I264:K264)</f>
        <v>0</v>
      </c>
      <c r="M264" s="31"/>
    </row>
    <row r="265" spans="1:16" x14ac:dyDescent="0.15">
      <c r="A265" s="1"/>
      <c r="B265" s="29" t="s">
        <v>7</v>
      </c>
      <c r="C265" s="20"/>
      <c r="D265" s="21"/>
      <c r="E265" s="20"/>
      <c r="F265" s="46">
        <f t="shared" si="70"/>
        <v>0</v>
      </c>
      <c r="G265" s="27"/>
      <c r="H265" s="29"/>
      <c r="I265" s="20"/>
      <c r="J265" s="21"/>
      <c r="K265" s="20"/>
      <c r="L265" s="46">
        <f t="shared" ref="L265:L268" si="72">SUM(I265:K265)</f>
        <v>0</v>
      </c>
      <c r="M265" s="31"/>
    </row>
    <row r="266" spans="1:16" x14ac:dyDescent="0.15">
      <c r="A266" s="1"/>
      <c r="B266" s="29" t="s">
        <v>7</v>
      </c>
      <c r="C266" s="20"/>
      <c r="D266" s="21"/>
      <c r="E266" s="20"/>
      <c r="F266" s="46">
        <f t="shared" si="70"/>
        <v>0</v>
      </c>
      <c r="G266" s="27"/>
      <c r="H266" s="29"/>
      <c r="I266" s="20"/>
      <c r="J266" s="21"/>
      <c r="K266" s="20"/>
      <c r="L266" s="46">
        <f t="shared" si="72"/>
        <v>0</v>
      </c>
      <c r="M266" s="27"/>
    </row>
    <row r="267" spans="1:16" x14ac:dyDescent="0.15">
      <c r="A267" s="1"/>
      <c r="B267" s="29" t="s">
        <v>7</v>
      </c>
      <c r="C267" s="20"/>
      <c r="D267" s="21"/>
      <c r="E267" s="20"/>
      <c r="F267" s="46">
        <f t="shared" si="70"/>
        <v>0</v>
      </c>
      <c r="G267" s="24"/>
      <c r="H267" s="29"/>
      <c r="I267" s="20"/>
      <c r="J267" s="21"/>
      <c r="K267" s="20"/>
      <c r="L267" s="46">
        <f t="shared" si="72"/>
        <v>0</v>
      </c>
      <c r="M267" s="31"/>
    </row>
    <row r="268" spans="1:16" ht="14.25" thickBot="1" x14ac:dyDescent="0.2">
      <c r="A268" s="1"/>
      <c r="B268" s="29" t="s">
        <v>7</v>
      </c>
      <c r="C268" s="19"/>
      <c r="D268" s="4"/>
      <c r="E268" s="19"/>
      <c r="F268" s="46">
        <f t="shared" si="70"/>
        <v>0</v>
      </c>
      <c r="G268" s="27"/>
      <c r="H268" s="29"/>
      <c r="I268" s="19"/>
      <c r="J268" s="4"/>
      <c r="K268" s="19"/>
      <c r="L268" s="46">
        <f t="shared" si="72"/>
        <v>0</v>
      </c>
      <c r="M268" s="31"/>
    </row>
    <row r="269" spans="1:16" ht="14.25" thickBot="1" x14ac:dyDescent="0.2">
      <c r="A269" s="1"/>
      <c r="B269" s="6" t="s">
        <v>8</v>
      </c>
      <c r="C269" s="44">
        <f>SUM(C258:C268)</f>
        <v>52</v>
      </c>
      <c r="D269" s="44">
        <f t="shared" ref="D269:F269" si="73">SUM(D258:D268)</f>
        <v>46</v>
      </c>
      <c r="E269" s="44">
        <f t="shared" si="73"/>
        <v>23</v>
      </c>
      <c r="F269" s="45">
        <f t="shared" si="73"/>
        <v>121</v>
      </c>
      <c r="G269" s="1"/>
      <c r="H269" s="6"/>
      <c r="I269" s="44">
        <f>SUM(I258:I268)</f>
        <v>1238</v>
      </c>
      <c r="J269" s="44">
        <f t="shared" ref="J269:L269" si="74">SUM(J258:J268)</f>
        <v>873</v>
      </c>
      <c r="K269" s="44">
        <f t="shared" si="74"/>
        <v>381</v>
      </c>
      <c r="L269" s="45">
        <f t="shared" si="74"/>
        <v>2492</v>
      </c>
      <c r="M269" s="31"/>
    </row>
    <row r="270" spans="1:16" x14ac:dyDescent="0.15">
      <c r="A270" s="1"/>
      <c r="B270" s="38" t="s">
        <v>25</v>
      </c>
      <c r="C270" s="9">
        <v>1</v>
      </c>
      <c r="D270" s="14"/>
      <c r="E270" s="13"/>
      <c r="F270" s="46">
        <f>SUM(C270:E270)</f>
        <v>1</v>
      </c>
      <c r="G270" s="24">
        <v>44475</v>
      </c>
      <c r="H270" s="15" t="s">
        <v>79</v>
      </c>
      <c r="I270" s="30"/>
      <c r="J270" s="4"/>
      <c r="K270" s="19">
        <v>10</v>
      </c>
      <c r="L270" s="46">
        <f>SUM(I270:K270)</f>
        <v>10</v>
      </c>
      <c r="M270" s="27">
        <v>44499</v>
      </c>
      <c r="N270" s="54"/>
    </row>
    <row r="271" spans="1:16" x14ac:dyDescent="0.15">
      <c r="B271" s="38" t="s">
        <v>25</v>
      </c>
      <c r="C271" s="9">
        <f>1+1</f>
        <v>2</v>
      </c>
      <c r="D271" s="14">
        <f>1+2</f>
        <v>3</v>
      </c>
      <c r="E271" s="13"/>
      <c r="F271" s="46">
        <f>SUM(C271:E271)</f>
        <v>5</v>
      </c>
      <c r="G271" s="24">
        <v>44480</v>
      </c>
      <c r="H271" s="15" t="s">
        <v>24</v>
      </c>
      <c r="I271" s="9"/>
      <c r="J271" s="14">
        <v>10</v>
      </c>
      <c r="K271" s="13"/>
      <c r="L271" s="46">
        <f t="shared" ref="L271:L295" si="75">SUM(I271:K271)</f>
        <v>10</v>
      </c>
      <c r="M271" s="27">
        <v>44520</v>
      </c>
      <c r="N271" s="54"/>
    </row>
    <row r="272" spans="1:16" x14ac:dyDescent="0.15">
      <c r="B272" s="4" t="s">
        <v>78</v>
      </c>
      <c r="C272" s="9"/>
      <c r="D272" s="14"/>
      <c r="E272" s="13">
        <v>10</v>
      </c>
      <c r="F272" s="46">
        <f t="shared" ref="F272:F295" si="76">SUM(C272:E272)</f>
        <v>10</v>
      </c>
      <c r="G272" s="24">
        <v>44502</v>
      </c>
      <c r="H272" s="15" t="s">
        <v>24</v>
      </c>
      <c r="I272" s="9"/>
      <c r="J272" s="14">
        <v>10</v>
      </c>
      <c r="K272" s="13"/>
      <c r="L272" s="46">
        <f t="shared" si="75"/>
        <v>10</v>
      </c>
      <c r="M272" s="65">
        <v>44534</v>
      </c>
    </row>
    <row r="273" spans="1:14" x14ac:dyDescent="0.15">
      <c r="B273" s="38" t="s">
        <v>25</v>
      </c>
      <c r="C273" s="9">
        <v>1</v>
      </c>
      <c r="D273" s="14">
        <v>1</v>
      </c>
      <c r="E273" s="13"/>
      <c r="F273" s="46">
        <f t="shared" si="76"/>
        <v>2</v>
      </c>
      <c r="G273" s="24">
        <v>44498</v>
      </c>
      <c r="H273" s="4"/>
      <c r="I273" s="9"/>
      <c r="J273" s="14"/>
      <c r="K273" s="13"/>
      <c r="L273" s="46">
        <f t="shared" si="75"/>
        <v>0</v>
      </c>
      <c r="M273" s="27"/>
    </row>
    <row r="274" spans="1:14" x14ac:dyDescent="0.15">
      <c r="B274" s="38" t="s">
        <v>25</v>
      </c>
      <c r="C274" s="9">
        <f>1+1</f>
        <v>2</v>
      </c>
      <c r="D274" s="14"/>
      <c r="E274" s="13"/>
      <c r="F274" s="46">
        <f t="shared" si="76"/>
        <v>2</v>
      </c>
      <c r="G274" s="24">
        <v>44505</v>
      </c>
      <c r="H274" s="4"/>
      <c r="I274" s="9"/>
      <c r="J274" s="14"/>
      <c r="K274" s="13"/>
      <c r="L274" s="46">
        <f t="shared" si="75"/>
        <v>0</v>
      </c>
      <c r="M274" s="27"/>
    </row>
    <row r="275" spans="1:14" x14ac:dyDescent="0.15">
      <c r="B275" s="38" t="s">
        <v>25</v>
      </c>
      <c r="C275" s="9">
        <v>1</v>
      </c>
      <c r="D275" s="14">
        <f>1+1</f>
        <v>2</v>
      </c>
      <c r="E275" s="13"/>
      <c r="F275" s="46">
        <f t="shared" si="76"/>
        <v>3</v>
      </c>
      <c r="G275" s="24">
        <v>44506</v>
      </c>
      <c r="H275" s="4"/>
      <c r="I275" s="9"/>
      <c r="J275" s="14"/>
      <c r="K275" s="13"/>
      <c r="L275" s="46">
        <f t="shared" si="75"/>
        <v>0</v>
      </c>
      <c r="M275" s="27"/>
    </row>
    <row r="276" spans="1:14" x14ac:dyDescent="0.15">
      <c r="B276" s="38" t="s">
        <v>25</v>
      </c>
      <c r="C276" s="9">
        <v>2</v>
      </c>
      <c r="D276" s="14">
        <f>1+1</f>
        <v>2</v>
      </c>
      <c r="E276" s="13">
        <v>1</v>
      </c>
      <c r="F276" s="46">
        <f t="shared" si="76"/>
        <v>5</v>
      </c>
      <c r="G276" s="24">
        <v>44508</v>
      </c>
      <c r="H276" s="4"/>
      <c r="I276" s="9"/>
      <c r="J276" s="14"/>
      <c r="K276" s="13"/>
      <c r="L276" s="46">
        <f t="shared" si="75"/>
        <v>0</v>
      </c>
      <c r="M276" s="27"/>
    </row>
    <row r="277" spans="1:14" x14ac:dyDescent="0.15">
      <c r="B277" s="4" t="s">
        <v>80</v>
      </c>
      <c r="C277" s="9"/>
      <c r="D277" s="14">
        <v>5</v>
      </c>
      <c r="E277" s="13"/>
      <c r="F277" s="46">
        <f t="shared" si="76"/>
        <v>5</v>
      </c>
      <c r="G277" s="24">
        <v>44515</v>
      </c>
      <c r="H277" s="4"/>
      <c r="I277" s="9"/>
      <c r="J277" s="14"/>
      <c r="K277" s="13"/>
      <c r="L277" s="46">
        <f t="shared" si="75"/>
        <v>0</v>
      </c>
      <c r="M277" s="27"/>
    </row>
    <row r="278" spans="1:14" x14ac:dyDescent="0.15">
      <c r="B278" s="38" t="s">
        <v>25</v>
      </c>
      <c r="C278" s="9"/>
      <c r="D278" s="14">
        <v>1</v>
      </c>
      <c r="E278" s="13"/>
      <c r="F278" s="46">
        <f t="shared" si="76"/>
        <v>1</v>
      </c>
      <c r="G278" s="24">
        <v>44509</v>
      </c>
      <c r="H278" s="4"/>
      <c r="I278" s="9"/>
      <c r="J278" s="14"/>
      <c r="K278" s="13"/>
      <c r="L278" s="46">
        <f t="shared" si="75"/>
        <v>0</v>
      </c>
      <c r="M278" s="27"/>
    </row>
    <row r="279" spans="1:14" x14ac:dyDescent="0.15">
      <c r="B279" s="38" t="s">
        <v>25</v>
      </c>
      <c r="C279" s="9">
        <f>1+2</f>
        <v>3</v>
      </c>
      <c r="D279" s="14"/>
      <c r="E279" s="13"/>
      <c r="F279" s="46">
        <f t="shared" si="76"/>
        <v>3</v>
      </c>
      <c r="G279" s="24">
        <v>44510</v>
      </c>
      <c r="H279" s="4"/>
      <c r="I279" s="9"/>
      <c r="J279" s="14"/>
      <c r="K279" s="13"/>
      <c r="L279" s="46">
        <f t="shared" si="75"/>
        <v>0</v>
      </c>
      <c r="M279" s="27"/>
    </row>
    <row r="280" spans="1:14" x14ac:dyDescent="0.15">
      <c r="B280" s="38" t="s">
        <v>25</v>
      </c>
      <c r="C280" s="9">
        <v>1</v>
      </c>
      <c r="D280" s="14">
        <v>1</v>
      </c>
      <c r="E280" s="40"/>
      <c r="F280" s="46">
        <f t="shared" si="76"/>
        <v>2</v>
      </c>
      <c r="G280" s="24">
        <v>44511</v>
      </c>
      <c r="H280" s="4"/>
      <c r="I280" s="9"/>
      <c r="J280" s="14"/>
      <c r="K280" s="40"/>
      <c r="L280" s="46">
        <f t="shared" si="75"/>
        <v>0</v>
      </c>
      <c r="M280" s="27"/>
      <c r="N280" s="1"/>
    </row>
    <row r="281" spans="1:14" x14ac:dyDescent="0.15">
      <c r="B281" s="38" t="s">
        <v>25</v>
      </c>
      <c r="C281" s="9"/>
      <c r="D281" s="14">
        <v>1</v>
      </c>
      <c r="E281" s="13"/>
      <c r="F281" s="46">
        <f t="shared" si="76"/>
        <v>1</v>
      </c>
      <c r="G281" s="24">
        <v>44515</v>
      </c>
      <c r="H281" s="4"/>
      <c r="I281" s="9"/>
      <c r="J281" s="14"/>
      <c r="K281" s="13"/>
      <c r="L281" s="46">
        <f t="shared" si="75"/>
        <v>0</v>
      </c>
      <c r="M281" s="27"/>
      <c r="N281" s="1"/>
    </row>
    <row r="282" spans="1:14" x14ac:dyDescent="0.15">
      <c r="B282" s="38" t="s">
        <v>25</v>
      </c>
      <c r="C282" s="9">
        <v>1</v>
      </c>
      <c r="D282" s="14"/>
      <c r="E282" s="13"/>
      <c r="F282" s="46">
        <f t="shared" si="76"/>
        <v>1</v>
      </c>
      <c r="G282" s="24">
        <v>44516</v>
      </c>
      <c r="H282" s="4"/>
      <c r="I282" s="9"/>
      <c r="J282" s="14"/>
      <c r="K282" s="13"/>
      <c r="L282" s="46">
        <f t="shared" si="75"/>
        <v>0</v>
      </c>
      <c r="M282" s="27"/>
      <c r="N282" s="1"/>
    </row>
    <row r="283" spans="1:14" x14ac:dyDescent="0.15">
      <c r="B283" s="38" t="s">
        <v>25</v>
      </c>
      <c r="C283" s="9">
        <f>1+1</f>
        <v>2</v>
      </c>
      <c r="D283" s="14">
        <f>1+1</f>
        <v>2</v>
      </c>
      <c r="E283" s="13"/>
      <c r="F283" s="46">
        <f t="shared" si="76"/>
        <v>4</v>
      </c>
      <c r="G283" s="24">
        <v>44519</v>
      </c>
      <c r="H283" s="4"/>
      <c r="I283" s="9"/>
      <c r="J283" s="14"/>
      <c r="K283" s="13"/>
      <c r="L283" s="46">
        <f t="shared" si="75"/>
        <v>0</v>
      </c>
      <c r="M283" s="27"/>
      <c r="N283" s="26"/>
    </row>
    <row r="284" spans="1:14" x14ac:dyDescent="0.15">
      <c r="B284" s="38" t="s">
        <v>25</v>
      </c>
      <c r="C284" s="9">
        <f>1+1</f>
        <v>2</v>
      </c>
      <c r="D284" s="14">
        <f>1+1+1+2</f>
        <v>5</v>
      </c>
      <c r="E284" s="13"/>
      <c r="F284" s="46">
        <f t="shared" si="76"/>
        <v>7</v>
      </c>
      <c r="G284" s="24">
        <v>44520</v>
      </c>
      <c r="H284" s="4"/>
      <c r="I284" s="9"/>
      <c r="J284" s="14"/>
      <c r="K284" s="13"/>
      <c r="L284" s="46">
        <f t="shared" si="75"/>
        <v>0</v>
      </c>
      <c r="M284" s="27"/>
      <c r="N284" s="26"/>
    </row>
    <row r="285" spans="1:14" x14ac:dyDescent="0.15">
      <c r="B285" s="38" t="s">
        <v>25</v>
      </c>
      <c r="C285" s="9">
        <f>1+1</f>
        <v>2</v>
      </c>
      <c r="D285" s="14">
        <v>1</v>
      </c>
      <c r="E285" s="13"/>
      <c r="F285" s="46">
        <f t="shared" si="76"/>
        <v>3</v>
      </c>
      <c r="G285" s="24">
        <v>44522</v>
      </c>
      <c r="H285" s="4"/>
      <c r="I285" s="9"/>
      <c r="J285" s="14"/>
      <c r="K285" s="13"/>
      <c r="L285" s="46">
        <f t="shared" si="75"/>
        <v>0</v>
      </c>
      <c r="M285" s="27"/>
      <c r="N285" s="26"/>
    </row>
    <row r="286" spans="1:14" x14ac:dyDescent="0.15">
      <c r="B286" s="38" t="s">
        <v>25</v>
      </c>
      <c r="C286" s="9">
        <f>1+1</f>
        <v>2</v>
      </c>
      <c r="D286" s="14">
        <f>1+1</f>
        <v>2</v>
      </c>
      <c r="E286" s="13"/>
      <c r="F286" s="46">
        <f t="shared" si="76"/>
        <v>4</v>
      </c>
      <c r="G286" s="24">
        <v>44524</v>
      </c>
      <c r="H286" s="4"/>
      <c r="I286" s="9"/>
      <c r="J286" s="14"/>
      <c r="K286" s="13"/>
      <c r="L286" s="46">
        <f t="shared" si="75"/>
        <v>0</v>
      </c>
      <c r="M286" s="27"/>
      <c r="N286" s="1"/>
    </row>
    <row r="287" spans="1:14" x14ac:dyDescent="0.15">
      <c r="A287" s="1"/>
      <c r="B287" s="4" t="s">
        <v>81</v>
      </c>
      <c r="C287" s="9">
        <v>5</v>
      </c>
      <c r="D287" s="14"/>
      <c r="E287" s="13"/>
      <c r="F287" s="46">
        <f t="shared" si="76"/>
        <v>5</v>
      </c>
      <c r="G287" s="24">
        <v>44531</v>
      </c>
      <c r="H287" s="4"/>
      <c r="I287" s="9"/>
      <c r="J287" s="14"/>
      <c r="K287" s="13"/>
      <c r="L287" s="46">
        <f t="shared" si="75"/>
        <v>0</v>
      </c>
      <c r="M287" s="1"/>
      <c r="N287" s="1"/>
    </row>
    <row r="288" spans="1:14" x14ac:dyDescent="0.15">
      <c r="A288" s="1"/>
      <c r="B288" s="38" t="s">
        <v>25</v>
      </c>
      <c r="C288" s="9">
        <v>1</v>
      </c>
      <c r="D288" s="14"/>
      <c r="E288" s="13"/>
      <c r="F288" s="46">
        <f t="shared" si="76"/>
        <v>1</v>
      </c>
      <c r="G288" s="24">
        <v>44529</v>
      </c>
      <c r="H288" s="4"/>
      <c r="I288" s="9"/>
      <c r="J288" s="14"/>
      <c r="K288" s="13"/>
      <c r="L288" s="46">
        <f t="shared" si="75"/>
        <v>0</v>
      </c>
      <c r="M288" s="1"/>
      <c r="N288" s="1"/>
    </row>
    <row r="289" spans="1:14" x14ac:dyDescent="0.15">
      <c r="A289" s="1"/>
      <c r="B289" s="38" t="s">
        <v>25</v>
      </c>
      <c r="C289" s="9"/>
      <c r="D289" s="14">
        <v>1</v>
      </c>
      <c r="E289" s="13"/>
      <c r="F289" s="46">
        <f t="shared" si="76"/>
        <v>1</v>
      </c>
      <c r="G289" s="24">
        <v>44530</v>
      </c>
      <c r="H289" s="4"/>
      <c r="I289" s="9"/>
      <c r="J289" s="14"/>
      <c r="K289" s="13"/>
      <c r="L289" s="46">
        <f t="shared" si="75"/>
        <v>0</v>
      </c>
      <c r="M289" s="1"/>
      <c r="N289" s="1"/>
    </row>
    <row r="290" spans="1:14" x14ac:dyDescent="0.15">
      <c r="A290" s="1"/>
      <c r="B290" s="38" t="s">
        <v>25</v>
      </c>
      <c r="C290" s="9">
        <v>1</v>
      </c>
      <c r="D290" s="14"/>
      <c r="E290" s="13"/>
      <c r="F290" s="46">
        <f t="shared" si="76"/>
        <v>1</v>
      </c>
      <c r="G290" s="24">
        <v>44532</v>
      </c>
      <c r="H290" s="4"/>
      <c r="I290" s="9"/>
      <c r="J290" s="14"/>
      <c r="K290" s="13"/>
      <c r="L290" s="46">
        <f t="shared" si="75"/>
        <v>0</v>
      </c>
      <c r="M290" s="1"/>
      <c r="N290" s="1"/>
    </row>
    <row r="291" spans="1:14" x14ac:dyDescent="0.15">
      <c r="A291" s="1"/>
      <c r="B291" s="38" t="s">
        <v>25</v>
      </c>
      <c r="C291" s="9"/>
      <c r="D291" s="14">
        <v>1</v>
      </c>
      <c r="E291" s="13">
        <v>1</v>
      </c>
      <c r="F291" s="46">
        <f t="shared" si="76"/>
        <v>2</v>
      </c>
      <c r="G291" s="24">
        <v>44536</v>
      </c>
      <c r="H291" s="4"/>
      <c r="I291" s="9"/>
      <c r="J291" s="14"/>
      <c r="K291" s="13"/>
      <c r="L291" s="46">
        <f t="shared" si="75"/>
        <v>0</v>
      </c>
      <c r="M291" s="1"/>
      <c r="N291" s="1"/>
    </row>
    <row r="292" spans="1:14" x14ac:dyDescent="0.15">
      <c r="A292" s="1"/>
      <c r="B292" s="38" t="s">
        <v>25</v>
      </c>
      <c r="C292" s="16"/>
      <c r="D292" s="17">
        <v>1</v>
      </c>
      <c r="E292" s="18"/>
      <c r="F292" s="46">
        <f t="shared" si="76"/>
        <v>1</v>
      </c>
      <c r="G292" s="24">
        <v>44537</v>
      </c>
      <c r="H292" s="4"/>
      <c r="I292" s="9"/>
      <c r="J292" s="14"/>
      <c r="K292" s="13"/>
      <c r="L292" s="46">
        <f t="shared" si="75"/>
        <v>0</v>
      </c>
      <c r="M292" s="1"/>
      <c r="N292" s="1"/>
    </row>
    <row r="293" spans="1:14" ht="14.25" thickBot="1" x14ac:dyDescent="0.2">
      <c r="A293" s="1"/>
      <c r="B293" s="38" t="s">
        <v>25</v>
      </c>
      <c r="C293" s="9"/>
      <c r="D293" s="14">
        <v>1</v>
      </c>
      <c r="E293" s="13"/>
      <c r="F293" s="47">
        <f t="shared" si="76"/>
        <v>1</v>
      </c>
      <c r="G293" s="24">
        <v>44539</v>
      </c>
      <c r="H293" s="4"/>
      <c r="I293" s="9"/>
      <c r="J293" s="14"/>
      <c r="K293" s="13"/>
      <c r="L293" s="47">
        <f t="shared" si="75"/>
        <v>0</v>
      </c>
      <c r="M293" s="31"/>
      <c r="N293" s="1"/>
    </row>
    <row r="294" spans="1:14" ht="14.25" thickBot="1" x14ac:dyDescent="0.2">
      <c r="A294" s="1"/>
      <c r="B294" s="5" t="s">
        <v>9</v>
      </c>
      <c r="C294" s="10">
        <f>SUM(C270:C293)</f>
        <v>29</v>
      </c>
      <c r="D294" s="10">
        <f t="shared" ref="D294:E294" si="77">SUM(D270:D293)</f>
        <v>30</v>
      </c>
      <c r="E294" s="10">
        <f t="shared" si="77"/>
        <v>12</v>
      </c>
      <c r="F294" s="48">
        <f t="shared" si="76"/>
        <v>71</v>
      </c>
      <c r="G294" s="1"/>
      <c r="H294" s="5" t="s">
        <v>9</v>
      </c>
      <c r="I294" s="10">
        <f>SUM(I270:I293)</f>
        <v>0</v>
      </c>
      <c r="J294" s="10">
        <f t="shared" ref="J294:K294" si="78">SUM(J270:J293)</f>
        <v>20</v>
      </c>
      <c r="K294" s="10">
        <f t="shared" si="78"/>
        <v>10</v>
      </c>
      <c r="L294" s="48">
        <f t="shared" si="75"/>
        <v>30</v>
      </c>
      <c r="M294" s="31"/>
      <c r="N294" s="1"/>
    </row>
    <row r="295" spans="1:14" ht="14.25" thickBot="1" x14ac:dyDescent="0.2">
      <c r="A295" s="1"/>
      <c r="B295" s="8" t="s">
        <v>10</v>
      </c>
      <c r="C295" s="11">
        <f>C269-C294</f>
        <v>23</v>
      </c>
      <c r="D295" s="11">
        <f t="shared" ref="D295:E295" si="79">D269-D294</f>
        <v>16</v>
      </c>
      <c r="E295" s="11">
        <f t="shared" si="79"/>
        <v>11</v>
      </c>
      <c r="F295" s="37">
        <f t="shared" si="76"/>
        <v>50</v>
      </c>
      <c r="G295" s="1"/>
      <c r="H295" s="8" t="s">
        <v>10</v>
      </c>
      <c r="I295" s="11">
        <f>I269-I294</f>
        <v>1238</v>
      </c>
      <c r="J295" s="11">
        <f t="shared" ref="J295:K295" si="80">J269-J294</f>
        <v>853</v>
      </c>
      <c r="K295" s="11">
        <f t="shared" si="80"/>
        <v>371</v>
      </c>
      <c r="L295" s="37">
        <f t="shared" si="75"/>
        <v>2462</v>
      </c>
      <c r="M295" s="31"/>
      <c r="N295" s="1"/>
    </row>
    <row r="296" spans="1:14" x14ac:dyDescent="0.15">
      <c r="M296" s="31"/>
    </row>
    <row r="297" spans="1:14" x14ac:dyDescent="0.15">
      <c r="M297" s="1"/>
    </row>
    <row r="298" spans="1:14" ht="18.75" x14ac:dyDescent="0.2">
      <c r="A298" s="41" t="s">
        <v>12</v>
      </c>
      <c r="B298" s="42"/>
      <c r="C298" s="41"/>
      <c r="D298" s="43"/>
      <c r="E298" s="43"/>
      <c r="F298" s="2"/>
      <c r="G298" s="1"/>
      <c r="H298" s="41" t="s">
        <v>12</v>
      </c>
      <c r="I298" s="41"/>
      <c r="J298" s="43"/>
      <c r="K298" s="43"/>
      <c r="L298" s="2"/>
      <c r="M298" s="1"/>
    </row>
    <row r="299" spans="1:14" ht="19.5" thickBot="1" x14ac:dyDescent="0.25">
      <c r="A299" s="7"/>
      <c r="B299" s="7" t="s">
        <v>0</v>
      </c>
      <c r="C299" s="7"/>
      <c r="D299" s="7" t="s">
        <v>15</v>
      </c>
      <c r="E299" s="2"/>
      <c r="F299" s="2"/>
      <c r="G299" s="1"/>
      <c r="H299" s="7" t="s">
        <v>1</v>
      </c>
      <c r="I299" s="1"/>
      <c r="J299" s="7" t="s">
        <v>15</v>
      </c>
      <c r="K299" s="2"/>
      <c r="L299" s="2"/>
    </row>
    <row r="300" spans="1:14" ht="14.25" thickBot="1" x14ac:dyDescent="0.2">
      <c r="A300" s="1"/>
      <c r="B300" s="3"/>
      <c r="C300" s="5" t="s">
        <v>2</v>
      </c>
      <c r="D300" s="3" t="s">
        <v>3</v>
      </c>
      <c r="E300" s="12" t="s">
        <v>4</v>
      </c>
      <c r="F300" s="3" t="s">
        <v>5</v>
      </c>
      <c r="G300" s="1"/>
      <c r="H300" s="3"/>
      <c r="I300" s="5" t="s">
        <v>2</v>
      </c>
      <c r="J300" s="3" t="s">
        <v>3</v>
      </c>
      <c r="K300" s="12" t="s">
        <v>4</v>
      </c>
      <c r="L300" s="3" t="s">
        <v>5</v>
      </c>
      <c r="M300" s="1"/>
    </row>
    <row r="301" spans="1:14" ht="14.25" thickBot="1" x14ac:dyDescent="0.2">
      <c r="A301" s="1"/>
      <c r="B301" s="34" t="s">
        <v>11</v>
      </c>
      <c r="C301" s="35">
        <f>C295</f>
        <v>23</v>
      </c>
      <c r="D301" s="36">
        <f>D295</f>
        <v>16</v>
      </c>
      <c r="E301" s="35">
        <f>E295</f>
        <v>11</v>
      </c>
      <c r="F301" s="37">
        <f>SUM(C301:E301)</f>
        <v>50</v>
      </c>
      <c r="G301" s="28"/>
      <c r="H301" s="34"/>
      <c r="I301" s="35">
        <f>I295</f>
        <v>1238</v>
      </c>
      <c r="J301" s="36">
        <f>J295</f>
        <v>853</v>
      </c>
      <c r="K301" s="35">
        <f>K295</f>
        <v>371</v>
      </c>
      <c r="L301" s="37">
        <f>SUM(I301:K301)</f>
        <v>2462</v>
      </c>
      <c r="M301" s="1"/>
    </row>
    <row r="302" spans="1:14" x14ac:dyDescent="0.15">
      <c r="A302" s="1"/>
      <c r="B302" s="29" t="s">
        <v>7</v>
      </c>
      <c r="C302" s="64"/>
      <c r="D302" s="15">
        <v>5</v>
      </c>
      <c r="E302" s="30">
        <v>5</v>
      </c>
      <c r="F302" s="46">
        <f>SUM(C302:E302)</f>
        <v>10</v>
      </c>
      <c r="G302" s="24">
        <v>44590</v>
      </c>
      <c r="H302" s="29"/>
      <c r="I302" s="30"/>
      <c r="J302" s="15"/>
      <c r="K302" s="30"/>
      <c r="L302" s="46">
        <f>SUM(I302:K302)</f>
        <v>0</v>
      </c>
      <c r="M302" s="1"/>
    </row>
    <row r="303" spans="1:14" x14ac:dyDescent="0.15">
      <c r="A303" s="1"/>
      <c r="B303" s="29" t="s">
        <v>7</v>
      </c>
      <c r="C303" s="30">
        <v>10</v>
      </c>
      <c r="D303" s="4">
        <v>10</v>
      </c>
      <c r="E303" s="19">
        <v>15</v>
      </c>
      <c r="F303" s="46">
        <f>SUM(C303:E303)</f>
        <v>35</v>
      </c>
      <c r="G303" s="24">
        <v>44629</v>
      </c>
      <c r="H303" s="29"/>
      <c r="I303" s="19"/>
      <c r="J303" s="4"/>
      <c r="K303" s="19"/>
      <c r="L303" s="46">
        <f>SUM(I303:K303)</f>
        <v>0</v>
      </c>
      <c r="M303" s="1"/>
    </row>
    <row r="304" spans="1:14" x14ac:dyDescent="0.15">
      <c r="A304" s="1"/>
      <c r="B304" s="29" t="s">
        <v>7</v>
      </c>
      <c r="C304" s="19"/>
      <c r="D304" s="4"/>
      <c r="E304" s="19"/>
      <c r="F304" s="46">
        <f t="shared" ref="F304:F311" si="81">SUM(C304:E304)</f>
        <v>0</v>
      </c>
      <c r="G304" s="24"/>
      <c r="H304" s="29"/>
      <c r="I304" s="22"/>
      <c r="J304" s="23"/>
      <c r="K304" s="22"/>
      <c r="L304" s="46">
        <f t="shared" ref="L304:L306" si="82">SUM(I304:K304)</f>
        <v>0</v>
      </c>
      <c r="M304" s="1"/>
    </row>
    <row r="305" spans="1:13" x14ac:dyDescent="0.15">
      <c r="A305" s="1"/>
      <c r="B305" s="29" t="s">
        <v>7</v>
      </c>
      <c r="C305" s="22"/>
      <c r="D305" s="23"/>
      <c r="E305" s="22"/>
      <c r="F305" s="46">
        <f t="shared" si="81"/>
        <v>0</v>
      </c>
      <c r="G305" s="27"/>
      <c r="H305" s="29"/>
      <c r="I305" s="22"/>
      <c r="J305" s="23"/>
      <c r="K305" s="22"/>
      <c r="L305" s="46">
        <f t="shared" si="82"/>
        <v>0</v>
      </c>
      <c r="M305" s="31"/>
    </row>
    <row r="306" spans="1:13" x14ac:dyDescent="0.15">
      <c r="A306" s="1"/>
      <c r="B306" s="29" t="s">
        <v>7</v>
      </c>
      <c r="C306" s="22"/>
      <c r="D306" s="23"/>
      <c r="E306" s="22"/>
      <c r="F306" s="46">
        <f t="shared" si="81"/>
        <v>0</v>
      </c>
      <c r="G306" s="27"/>
      <c r="H306" s="29"/>
      <c r="I306" s="22"/>
      <c r="J306" s="23"/>
      <c r="K306" s="22"/>
      <c r="L306" s="46">
        <f t="shared" si="82"/>
        <v>0</v>
      </c>
      <c r="M306" s="27"/>
    </row>
    <row r="307" spans="1:13" x14ac:dyDescent="0.15">
      <c r="A307" s="1"/>
      <c r="B307" s="29" t="s">
        <v>7</v>
      </c>
      <c r="C307" s="22"/>
      <c r="D307" s="23"/>
      <c r="E307" s="22"/>
      <c r="F307" s="46">
        <f t="shared" si="81"/>
        <v>0</v>
      </c>
      <c r="G307" s="27"/>
      <c r="H307" s="29"/>
      <c r="I307" s="19"/>
      <c r="J307" s="4"/>
      <c r="K307" s="19"/>
      <c r="L307" s="46">
        <f>SUM(I307:K307)</f>
        <v>0</v>
      </c>
      <c r="M307" s="31"/>
    </row>
    <row r="308" spans="1:13" x14ac:dyDescent="0.15">
      <c r="A308" s="1"/>
      <c r="B308" s="29" t="s">
        <v>7</v>
      </c>
      <c r="C308" s="20"/>
      <c r="D308" s="21"/>
      <c r="E308" s="20"/>
      <c r="F308" s="46">
        <f t="shared" si="81"/>
        <v>0</v>
      </c>
      <c r="G308" s="27"/>
      <c r="H308" s="29"/>
      <c r="I308" s="20"/>
      <c r="J308" s="21"/>
      <c r="K308" s="20"/>
      <c r="L308" s="46">
        <f t="shared" ref="L308:L311" si="83">SUM(I308:K308)</f>
        <v>0</v>
      </c>
      <c r="M308" s="31"/>
    </row>
    <row r="309" spans="1:13" x14ac:dyDescent="0.15">
      <c r="A309" s="1"/>
      <c r="B309" s="29" t="s">
        <v>7</v>
      </c>
      <c r="C309" s="20"/>
      <c r="D309" s="21"/>
      <c r="E309" s="20"/>
      <c r="F309" s="46">
        <f t="shared" si="81"/>
        <v>0</v>
      </c>
      <c r="G309" s="27"/>
      <c r="H309" s="29"/>
      <c r="I309" s="20"/>
      <c r="J309" s="21"/>
      <c r="K309" s="20"/>
      <c r="L309" s="46">
        <f t="shared" si="83"/>
        <v>0</v>
      </c>
      <c r="M309" s="31"/>
    </row>
    <row r="310" spans="1:13" x14ac:dyDescent="0.15">
      <c r="A310" s="1"/>
      <c r="B310" s="29" t="s">
        <v>7</v>
      </c>
      <c r="C310" s="20"/>
      <c r="D310" s="21"/>
      <c r="E310" s="20"/>
      <c r="F310" s="46">
        <f t="shared" si="81"/>
        <v>0</v>
      </c>
      <c r="G310" s="24"/>
      <c r="H310" s="29"/>
      <c r="I310" s="20"/>
      <c r="J310" s="21"/>
      <c r="K310" s="20"/>
      <c r="L310" s="46">
        <f t="shared" si="83"/>
        <v>0</v>
      </c>
      <c r="M310" s="1"/>
    </row>
    <row r="311" spans="1:13" ht="14.25" thickBot="1" x14ac:dyDescent="0.2">
      <c r="A311" s="1"/>
      <c r="B311" s="29" t="s">
        <v>7</v>
      </c>
      <c r="C311" s="19"/>
      <c r="D311" s="4"/>
      <c r="E311" s="19"/>
      <c r="F311" s="46">
        <f t="shared" si="81"/>
        <v>0</v>
      </c>
      <c r="G311" s="27"/>
      <c r="H311" s="29"/>
      <c r="I311" s="19"/>
      <c r="J311" s="4"/>
      <c r="K311" s="19"/>
      <c r="L311" s="46">
        <f t="shared" si="83"/>
        <v>0</v>
      </c>
      <c r="M311" s="1"/>
    </row>
    <row r="312" spans="1:13" ht="14.25" thickBot="1" x14ac:dyDescent="0.2">
      <c r="A312" s="1"/>
      <c r="B312" s="6" t="s">
        <v>8</v>
      </c>
      <c r="C312" s="44">
        <f>SUM(C301:C311)</f>
        <v>33</v>
      </c>
      <c r="D312" s="44">
        <f t="shared" ref="D312:F312" si="84">SUM(D301:D311)</f>
        <v>31</v>
      </c>
      <c r="E312" s="44">
        <f t="shared" si="84"/>
        <v>31</v>
      </c>
      <c r="F312" s="45">
        <f t="shared" si="84"/>
        <v>95</v>
      </c>
      <c r="G312" s="1"/>
      <c r="H312" s="6"/>
      <c r="I312" s="44">
        <f>SUM(I301:I311)</f>
        <v>1238</v>
      </c>
      <c r="J312" s="44">
        <f t="shared" ref="J312:L312" si="85">SUM(J301:J311)</f>
        <v>853</v>
      </c>
      <c r="K312" s="44">
        <f t="shared" si="85"/>
        <v>371</v>
      </c>
      <c r="L312" s="45">
        <f t="shared" si="85"/>
        <v>2462</v>
      </c>
      <c r="M312" s="1"/>
    </row>
    <row r="313" spans="1:13" x14ac:dyDescent="0.15">
      <c r="A313" s="1"/>
      <c r="B313" s="38" t="s">
        <v>25</v>
      </c>
      <c r="C313" s="9"/>
      <c r="D313" s="14">
        <v>1</v>
      </c>
      <c r="E313" s="13">
        <v>1</v>
      </c>
      <c r="F313" s="46">
        <f>SUM(C313:E313)</f>
        <v>2</v>
      </c>
      <c r="G313" s="24">
        <v>44540</v>
      </c>
      <c r="H313" s="4" t="s">
        <v>82</v>
      </c>
      <c r="I313" s="30"/>
      <c r="J313" s="4">
        <v>4</v>
      </c>
      <c r="K313" s="19"/>
      <c r="L313" s="46">
        <f>SUM(I313:K313)</f>
        <v>4</v>
      </c>
      <c r="M313" s="65">
        <v>44582</v>
      </c>
    </row>
    <row r="314" spans="1:13" x14ac:dyDescent="0.15">
      <c r="B314" s="38" t="s">
        <v>25</v>
      </c>
      <c r="C314" s="9">
        <v>1</v>
      </c>
      <c r="D314" s="14">
        <v>1</v>
      </c>
      <c r="E314" s="13"/>
      <c r="F314" s="46">
        <f>SUM(C314:E314)</f>
        <v>2</v>
      </c>
      <c r="G314" s="24">
        <v>44543</v>
      </c>
      <c r="H314" s="15" t="s">
        <v>83</v>
      </c>
      <c r="I314" s="9"/>
      <c r="J314" s="14">
        <v>5</v>
      </c>
      <c r="K314" s="13">
        <v>5</v>
      </c>
      <c r="L314" s="46">
        <f t="shared" ref="L314:L338" si="86">SUM(I314:K314)</f>
        <v>10</v>
      </c>
      <c r="M314" s="65">
        <v>44590</v>
      </c>
    </row>
    <row r="315" spans="1:13" x14ac:dyDescent="0.15">
      <c r="B315" s="38" t="s">
        <v>25</v>
      </c>
      <c r="C315" s="9"/>
      <c r="D315" s="14"/>
      <c r="E315" s="13">
        <v>1</v>
      </c>
      <c r="F315" s="46">
        <f t="shared" ref="F315:F338" si="87">SUM(C315:E315)</f>
        <v>1</v>
      </c>
      <c r="G315" s="24">
        <v>44545</v>
      </c>
      <c r="H315" s="15" t="s">
        <v>24</v>
      </c>
      <c r="I315" s="9">
        <v>10</v>
      </c>
      <c r="J315" s="14">
        <v>10</v>
      </c>
      <c r="K315" s="13">
        <v>15</v>
      </c>
      <c r="L315" s="46">
        <f>SUM(I315:K315)</f>
        <v>35</v>
      </c>
      <c r="M315" s="66">
        <v>44629</v>
      </c>
    </row>
    <row r="316" spans="1:13" x14ac:dyDescent="0.15">
      <c r="B316" s="38" t="s">
        <v>25</v>
      </c>
      <c r="C316" s="9"/>
      <c r="D316" s="14"/>
      <c r="E316" s="13">
        <v>1</v>
      </c>
      <c r="F316" s="46">
        <f t="shared" si="87"/>
        <v>1</v>
      </c>
      <c r="G316" s="24">
        <v>44547</v>
      </c>
      <c r="H316" s="4"/>
      <c r="I316" s="9"/>
      <c r="J316" s="14"/>
      <c r="K316" s="13"/>
      <c r="L316" s="46">
        <f>SUM(I316:K316)</f>
        <v>0</v>
      </c>
      <c r="M316" s="27"/>
    </row>
    <row r="317" spans="1:13" x14ac:dyDescent="0.15">
      <c r="B317" s="38" t="s">
        <v>25</v>
      </c>
      <c r="C317" s="9">
        <f>1+1</f>
        <v>2</v>
      </c>
      <c r="D317" s="14">
        <v>1</v>
      </c>
      <c r="E317" s="13"/>
      <c r="F317" s="46">
        <f t="shared" si="87"/>
        <v>3</v>
      </c>
      <c r="G317" s="24">
        <v>44550</v>
      </c>
      <c r="H317" s="4"/>
      <c r="I317" s="9"/>
      <c r="J317" s="14"/>
      <c r="K317" s="13"/>
      <c r="L317" s="46">
        <f t="shared" si="86"/>
        <v>0</v>
      </c>
      <c r="M317" s="27"/>
    </row>
    <row r="318" spans="1:13" x14ac:dyDescent="0.15">
      <c r="B318" s="38" t="s">
        <v>25</v>
      </c>
      <c r="C318" s="9">
        <f>1+2</f>
        <v>3</v>
      </c>
      <c r="D318" s="14"/>
      <c r="E318" s="13">
        <v>1</v>
      </c>
      <c r="F318" s="46">
        <f t="shared" si="87"/>
        <v>4</v>
      </c>
      <c r="G318" s="24">
        <v>44572</v>
      </c>
      <c r="H318" s="4"/>
      <c r="I318" s="9"/>
      <c r="J318" s="14"/>
      <c r="K318" s="13"/>
      <c r="L318" s="46">
        <f t="shared" si="86"/>
        <v>0</v>
      </c>
      <c r="M318" s="27"/>
    </row>
    <row r="319" spans="1:13" x14ac:dyDescent="0.15">
      <c r="B319" s="38" t="s">
        <v>25</v>
      </c>
      <c r="C319" s="9"/>
      <c r="D319" s="14">
        <v>2</v>
      </c>
      <c r="E319" s="13"/>
      <c r="F319" s="46">
        <f t="shared" si="87"/>
        <v>2</v>
      </c>
      <c r="G319" s="24">
        <v>44573</v>
      </c>
      <c r="H319" s="4"/>
      <c r="I319" s="9"/>
      <c r="J319" s="14"/>
      <c r="K319" s="13"/>
      <c r="L319" s="46">
        <f t="shared" si="86"/>
        <v>0</v>
      </c>
      <c r="M319" s="27"/>
    </row>
    <row r="320" spans="1:13" x14ac:dyDescent="0.15">
      <c r="B320" s="38" t="s">
        <v>25</v>
      </c>
      <c r="C320" s="9"/>
      <c r="D320" s="14"/>
      <c r="E320" s="13">
        <v>1</v>
      </c>
      <c r="F320" s="46">
        <f t="shared" si="87"/>
        <v>1</v>
      </c>
      <c r="G320" s="24">
        <v>44575</v>
      </c>
      <c r="H320" s="4"/>
      <c r="I320" s="9"/>
      <c r="J320" s="14"/>
      <c r="K320" s="13"/>
      <c r="L320" s="46">
        <f t="shared" si="86"/>
        <v>0</v>
      </c>
      <c r="M320" s="27"/>
    </row>
    <row r="321" spans="1:15" x14ac:dyDescent="0.15">
      <c r="B321" s="38" t="s">
        <v>25</v>
      </c>
      <c r="C321" s="9">
        <f>1+1</f>
        <v>2</v>
      </c>
      <c r="D321" s="14"/>
      <c r="E321" s="13">
        <v>1</v>
      </c>
      <c r="F321" s="46">
        <f t="shared" si="87"/>
        <v>3</v>
      </c>
      <c r="G321" s="24">
        <v>44578</v>
      </c>
      <c r="H321" s="4"/>
      <c r="I321" s="9"/>
      <c r="J321" s="14"/>
      <c r="K321" s="13"/>
      <c r="L321" s="46">
        <f t="shared" si="86"/>
        <v>0</v>
      </c>
      <c r="M321" s="27"/>
    </row>
    <row r="322" spans="1:15" x14ac:dyDescent="0.15">
      <c r="B322" s="38" t="s">
        <v>25</v>
      </c>
      <c r="C322" s="9"/>
      <c r="D322" s="14">
        <f>2+1</f>
        <v>3</v>
      </c>
      <c r="E322" s="13"/>
      <c r="F322" s="46">
        <f t="shared" si="87"/>
        <v>3</v>
      </c>
      <c r="G322" s="24">
        <v>44585</v>
      </c>
      <c r="H322" s="4"/>
      <c r="I322" s="9"/>
      <c r="J322" s="14"/>
      <c r="K322" s="13"/>
      <c r="L322" s="46">
        <f t="shared" si="86"/>
        <v>0</v>
      </c>
      <c r="M322" s="27"/>
    </row>
    <row r="323" spans="1:15" x14ac:dyDescent="0.15">
      <c r="B323" s="38" t="s">
        <v>25</v>
      </c>
      <c r="C323" s="9">
        <v>1</v>
      </c>
      <c r="D323" s="14"/>
      <c r="E323" s="40"/>
      <c r="F323" s="46">
        <f t="shared" si="87"/>
        <v>1</v>
      </c>
      <c r="G323" s="24">
        <v>44586</v>
      </c>
      <c r="H323" s="4"/>
      <c r="I323" s="9"/>
      <c r="J323" s="14"/>
      <c r="K323" s="40"/>
      <c r="L323" s="46">
        <f t="shared" si="86"/>
        <v>0</v>
      </c>
      <c r="M323" s="27"/>
    </row>
    <row r="324" spans="1:15" x14ac:dyDescent="0.15">
      <c r="B324" s="38" t="s">
        <v>25</v>
      </c>
      <c r="C324" s="9">
        <v>1</v>
      </c>
      <c r="D324" s="14">
        <v>1</v>
      </c>
      <c r="E324" s="13">
        <v>1</v>
      </c>
      <c r="F324" s="46">
        <f t="shared" si="87"/>
        <v>3</v>
      </c>
      <c r="G324" s="24">
        <v>44588</v>
      </c>
      <c r="H324" s="4"/>
      <c r="I324" s="9"/>
      <c r="J324" s="14"/>
      <c r="K324" s="13"/>
      <c r="L324" s="46">
        <f t="shared" si="86"/>
        <v>0</v>
      </c>
      <c r="M324" s="27"/>
    </row>
    <row r="325" spans="1:15" x14ac:dyDescent="0.15">
      <c r="B325" s="38" t="s">
        <v>25</v>
      </c>
      <c r="C325" s="9">
        <v>1</v>
      </c>
      <c r="D325" s="14"/>
      <c r="E325" s="13"/>
      <c r="F325" s="46">
        <f t="shared" si="87"/>
        <v>1</v>
      </c>
      <c r="G325" s="24">
        <v>44592</v>
      </c>
      <c r="H325" s="4"/>
      <c r="I325" s="9"/>
      <c r="J325" s="14"/>
      <c r="K325" s="13"/>
      <c r="L325" s="46">
        <f t="shared" si="86"/>
        <v>0</v>
      </c>
      <c r="M325" s="27"/>
    </row>
    <row r="326" spans="1:15" x14ac:dyDescent="0.15">
      <c r="B326" s="38" t="s">
        <v>25</v>
      </c>
      <c r="C326" s="9"/>
      <c r="D326" s="14">
        <f>1+1</f>
        <v>2</v>
      </c>
      <c r="E326" s="13">
        <v>1</v>
      </c>
      <c r="F326" s="46">
        <f t="shared" si="87"/>
        <v>3</v>
      </c>
      <c r="G326" s="24">
        <v>44599</v>
      </c>
      <c r="H326" s="4"/>
      <c r="I326" s="9"/>
      <c r="J326" s="14"/>
      <c r="K326" s="13"/>
      <c r="L326" s="46">
        <f t="shared" si="86"/>
        <v>0</v>
      </c>
      <c r="M326" s="27"/>
    </row>
    <row r="327" spans="1:15" x14ac:dyDescent="0.15">
      <c r="B327" s="38" t="s">
        <v>25</v>
      </c>
      <c r="C327" s="9">
        <v>1</v>
      </c>
      <c r="D327" s="14"/>
      <c r="E327" s="13"/>
      <c r="F327" s="46">
        <f t="shared" si="87"/>
        <v>1</v>
      </c>
      <c r="G327" s="24">
        <v>44600</v>
      </c>
      <c r="H327" s="4"/>
      <c r="I327" s="9"/>
      <c r="J327" s="14"/>
      <c r="K327" s="13"/>
      <c r="L327" s="46">
        <f t="shared" si="86"/>
        <v>0</v>
      </c>
      <c r="M327" s="27"/>
    </row>
    <row r="328" spans="1:15" x14ac:dyDescent="0.15">
      <c r="B328" s="38" t="s">
        <v>25</v>
      </c>
      <c r="C328" s="9">
        <v>1</v>
      </c>
      <c r="D328" s="14">
        <v>1</v>
      </c>
      <c r="E328" s="13"/>
      <c r="F328" s="46">
        <f t="shared" si="87"/>
        <v>2</v>
      </c>
      <c r="G328" s="24">
        <v>44602</v>
      </c>
      <c r="H328" s="4"/>
      <c r="I328" s="9"/>
      <c r="J328" s="14"/>
      <c r="K328" s="13"/>
      <c r="L328" s="46">
        <f t="shared" si="86"/>
        <v>0</v>
      </c>
      <c r="M328" s="27"/>
      <c r="N328" s="1"/>
      <c r="O328" s="1"/>
    </row>
    <row r="329" spans="1:15" x14ac:dyDescent="0.15">
      <c r="B329" s="38" t="s">
        <v>25</v>
      </c>
      <c r="C329" s="9">
        <f>2+1</f>
        <v>3</v>
      </c>
      <c r="D329" s="14">
        <v>2</v>
      </c>
      <c r="E329" s="13"/>
      <c r="F329" s="46">
        <f t="shared" si="87"/>
        <v>5</v>
      </c>
      <c r="G329" s="24">
        <v>44606</v>
      </c>
      <c r="H329" s="4"/>
      <c r="I329" s="9"/>
      <c r="J329" s="14"/>
      <c r="K329" s="13"/>
      <c r="L329" s="46">
        <f t="shared" si="86"/>
        <v>0</v>
      </c>
      <c r="M329" s="27"/>
      <c r="N329" s="1"/>
      <c r="O329" s="1"/>
    </row>
    <row r="330" spans="1:15" x14ac:dyDescent="0.15">
      <c r="A330" s="1"/>
      <c r="B330" s="38" t="s">
        <v>25</v>
      </c>
      <c r="C330" s="9">
        <v>1</v>
      </c>
      <c r="D330" s="14"/>
      <c r="E330" s="13"/>
      <c r="F330" s="46">
        <f t="shared" si="87"/>
        <v>1</v>
      </c>
      <c r="G330" s="24">
        <v>44607</v>
      </c>
      <c r="H330" s="4"/>
      <c r="I330" s="9"/>
      <c r="J330" s="14"/>
      <c r="K330" s="13"/>
      <c r="L330" s="46">
        <f t="shared" si="86"/>
        <v>0</v>
      </c>
      <c r="M330" s="27"/>
      <c r="N330" s="26"/>
      <c r="O330" s="1"/>
    </row>
    <row r="331" spans="1:15" x14ac:dyDescent="0.15">
      <c r="A331" s="1"/>
      <c r="B331" s="4" t="s">
        <v>84</v>
      </c>
      <c r="C331" s="9"/>
      <c r="D331" s="14">
        <v>1</v>
      </c>
      <c r="E331" s="13"/>
      <c r="F331" s="46">
        <f t="shared" si="87"/>
        <v>1</v>
      </c>
      <c r="G331" s="24">
        <v>44617</v>
      </c>
      <c r="H331" s="4"/>
      <c r="I331" s="9"/>
      <c r="J331" s="14"/>
      <c r="K331" s="13"/>
      <c r="L331" s="46">
        <f t="shared" si="86"/>
        <v>0</v>
      </c>
      <c r="M331" s="31"/>
      <c r="N331" s="26"/>
      <c r="O331" s="1"/>
    </row>
    <row r="332" spans="1:15" x14ac:dyDescent="0.15">
      <c r="A332" s="1"/>
      <c r="B332" s="38" t="s">
        <v>25</v>
      </c>
      <c r="C332" s="9">
        <v>1</v>
      </c>
      <c r="D332" s="14"/>
      <c r="E332" s="13"/>
      <c r="F332" s="46">
        <f t="shared" si="87"/>
        <v>1</v>
      </c>
      <c r="G332" s="24">
        <v>44613</v>
      </c>
      <c r="H332" s="4"/>
      <c r="I332" s="9"/>
      <c r="J332" s="14"/>
      <c r="K332" s="13"/>
      <c r="L332" s="46">
        <f t="shared" si="86"/>
        <v>0</v>
      </c>
      <c r="M332" s="31"/>
      <c r="N332" s="26"/>
      <c r="O332" s="1"/>
    </row>
    <row r="333" spans="1:15" x14ac:dyDescent="0.15">
      <c r="A333" s="1"/>
      <c r="B333" s="38" t="s">
        <v>25</v>
      </c>
      <c r="C333" s="9"/>
      <c r="D333" s="14"/>
      <c r="E333" s="13">
        <v>1</v>
      </c>
      <c r="F333" s="46">
        <f t="shared" si="87"/>
        <v>1</v>
      </c>
      <c r="G333" s="24">
        <v>44622</v>
      </c>
      <c r="H333" s="4"/>
      <c r="I333" s="9"/>
      <c r="J333" s="14"/>
      <c r="K333" s="13"/>
      <c r="L333" s="46">
        <f t="shared" si="86"/>
        <v>0</v>
      </c>
      <c r="M333" s="1"/>
      <c r="N333" s="1"/>
      <c r="O333" s="1"/>
    </row>
    <row r="334" spans="1:15" x14ac:dyDescent="0.15">
      <c r="A334" s="1"/>
      <c r="B334" s="38" t="s">
        <v>25</v>
      </c>
      <c r="C334" s="9">
        <v>1</v>
      </c>
      <c r="D334" s="14">
        <v>1</v>
      </c>
      <c r="E334" s="13">
        <f>2+1+1</f>
        <v>4</v>
      </c>
      <c r="F334" s="46">
        <f t="shared" si="87"/>
        <v>6</v>
      </c>
      <c r="G334" s="24">
        <v>44627</v>
      </c>
      <c r="H334" s="4"/>
      <c r="I334" s="9"/>
      <c r="J334" s="14"/>
      <c r="K334" s="13"/>
      <c r="L334" s="46">
        <f t="shared" si="86"/>
        <v>0</v>
      </c>
      <c r="M334" s="1"/>
      <c r="N334" s="1"/>
      <c r="O334" s="1"/>
    </row>
    <row r="335" spans="1:15" x14ac:dyDescent="0.15">
      <c r="A335" s="1"/>
      <c r="B335" s="38" t="s">
        <v>25</v>
      </c>
      <c r="C335" s="16">
        <v>1</v>
      </c>
      <c r="D335" s="17"/>
      <c r="E335" s="18">
        <v>1</v>
      </c>
      <c r="F335" s="46">
        <f t="shared" si="87"/>
        <v>2</v>
      </c>
      <c r="G335" s="24">
        <v>44630</v>
      </c>
      <c r="H335" s="4"/>
      <c r="I335" s="9"/>
      <c r="J335" s="14"/>
      <c r="K335" s="13"/>
      <c r="L335" s="46">
        <f t="shared" si="86"/>
        <v>0</v>
      </c>
      <c r="M335" s="31"/>
      <c r="N335" s="1"/>
      <c r="O335" s="1"/>
    </row>
    <row r="336" spans="1:15" ht="14.25" thickBot="1" x14ac:dyDescent="0.2">
      <c r="A336" s="1"/>
      <c r="B336" s="38" t="s">
        <v>25</v>
      </c>
      <c r="C336" s="9">
        <v>2</v>
      </c>
      <c r="D336" s="14">
        <v>1</v>
      </c>
      <c r="E336" s="13">
        <v>2</v>
      </c>
      <c r="F336" s="47">
        <f t="shared" si="87"/>
        <v>5</v>
      </c>
      <c r="G336" s="24">
        <v>44631</v>
      </c>
      <c r="H336" s="4"/>
      <c r="I336" s="9"/>
      <c r="J336" s="14"/>
      <c r="K336" s="13"/>
      <c r="L336" s="47">
        <f t="shared" si="86"/>
        <v>0</v>
      </c>
      <c r="M336" s="31"/>
      <c r="N336" s="1"/>
      <c r="O336" s="1"/>
    </row>
    <row r="337" spans="1:15" ht="14.25" thickBot="1" x14ac:dyDescent="0.2">
      <c r="A337" s="1"/>
      <c r="B337" s="5" t="s">
        <v>9</v>
      </c>
      <c r="C337" s="10">
        <f>SUM(C313:C336)</f>
        <v>22</v>
      </c>
      <c r="D337" s="10">
        <f t="shared" ref="D337:E337" si="88">SUM(D313:D336)</f>
        <v>17</v>
      </c>
      <c r="E337" s="10">
        <f t="shared" si="88"/>
        <v>16</v>
      </c>
      <c r="F337" s="48">
        <f t="shared" si="87"/>
        <v>55</v>
      </c>
      <c r="G337" s="1"/>
      <c r="H337" s="5" t="s">
        <v>9</v>
      </c>
      <c r="I337" s="10">
        <f>SUM(I313:I336)</f>
        <v>10</v>
      </c>
      <c r="J337" s="10">
        <f t="shared" ref="J337:K337" si="89">SUM(J313:J336)</f>
        <v>19</v>
      </c>
      <c r="K337" s="10">
        <f t="shared" si="89"/>
        <v>20</v>
      </c>
      <c r="L337" s="48">
        <f t="shared" si="86"/>
        <v>49</v>
      </c>
      <c r="M337" s="31"/>
      <c r="N337" s="26"/>
      <c r="O337" s="26"/>
    </row>
    <row r="338" spans="1:15" ht="14.25" thickBot="1" x14ac:dyDescent="0.2">
      <c r="A338" s="1"/>
      <c r="B338" s="8" t="s">
        <v>10</v>
      </c>
      <c r="C338" s="11">
        <f>C312-C337</f>
        <v>11</v>
      </c>
      <c r="D338" s="11">
        <f t="shared" ref="D338:E338" si="90">D312-D337</f>
        <v>14</v>
      </c>
      <c r="E338" s="11">
        <f t="shared" si="90"/>
        <v>15</v>
      </c>
      <c r="F338" s="37">
        <f t="shared" si="87"/>
        <v>40</v>
      </c>
      <c r="G338" s="1"/>
      <c r="H338" s="8" t="s">
        <v>10</v>
      </c>
      <c r="I338" s="11">
        <f>I312-I337</f>
        <v>1228</v>
      </c>
      <c r="J338" s="11">
        <f t="shared" ref="J338:K338" si="91">J312-J337</f>
        <v>834</v>
      </c>
      <c r="K338" s="11">
        <f t="shared" si="91"/>
        <v>351</v>
      </c>
      <c r="L338" s="37">
        <f t="shared" si="86"/>
        <v>2413</v>
      </c>
      <c r="M338" s="31"/>
      <c r="N338" s="1"/>
      <c r="O338" s="1"/>
    </row>
    <row r="339" spans="1:15" x14ac:dyDescent="0.15">
      <c r="M339" s="1"/>
      <c r="N339" s="1"/>
      <c r="O339" s="1"/>
    </row>
    <row r="340" spans="1:15" x14ac:dyDescent="0.15">
      <c r="M340" s="1"/>
      <c r="N340" s="1"/>
      <c r="O340" s="1"/>
    </row>
    <row r="341" spans="1:15" ht="18.75" x14ac:dyDescent="0.2">
      <c r="A341" s="41" t="s">
        <v>12</v>
      </c>
      <c r="B341" s="42"/>
      <c r="C341" s="41"/>
      <c r="D341" s="43"/>
      <c r="E341" s="43"/>
      <c r="F341" s="2"/>
      <c r="G341" s="1"/>
      <c r="H341" s="41" t="s">
        <v>12</v>
      </c>
      <c r="I341" s="41"/>
      <c r="J341" s="43"/>
      <c r="K341" s="43"/>
      <c r="L341" s="2"/>
    </row>
    <row r="342" spans="1:15" ht="19.5" thickBot="1" x14ac:dyDescent="0.25">
      <c r="A342" s="7"/>
      <c r="B342" s="7" t="s">
        <v>0</v>
      </c>
      <c r="C342" s="7"/>
      <c r="D342" s="7" t="s">
        <v>15</v>
      </c>
      <c r="E342" s="2"/>
      <c r="F342" s="2"/>
      <c r="G342" s="1"/>
      <c r="H342" s="7" t="s">
        <v>1</v>
      </c>
      <c r="I342" s="1"/>
      <c r="J342" s="7" t="s">
        <v>15</v>
      </c>
      <c r="K342" s="2"/>
      <c r="L342" s="2"/>
      <c r="M342" s="1"/>
      <c r="N342" s="1"/>
      <c r="O342" s="1"/>
    </row>
    <row r="343" spans="1:15" ht="14.25" thickBot="1" x14ac:dyDescent="0.2">
      <c r="A343" s="1"/>
      <c r="B343" s="3"/>
      <c r="C343" s="5" t="s">
        <v>2</v>
      </c>
      <c r="D343" s="3" t="s">
        <v>3</v>
      </c>
      <c r="E343" s="12" t="s">
        <v>4</v>
      </c>
      <c r="F343" s="3" t="s">
        <v>5</v>
      </c>
      <c r="G343" s="1"/>
      <c r="H343" s="3"/>
      <c r="I343" s="5" t="s">
        <v>2</v>
      </c>
      <c r="J343" s="3" t="s">
        <v>3</v>
      </c>
      <c r="K343" s="12" t="s">
        <v>4</v>
      </c>
      <c r="L343" s="3" t="s">
        <v>5</v>
      </c>
      <c r="M343" s="1"/>
      <c r="N343" s="1"/>
      <c r="O343" s="1"/>
    </row>
    <row r="344" spans="1:15" ht="14.25" thickBot="1" x14ac:dyDescent="0.2">
      <c r="A344" s="1"/>
      <c r="B344" s="34" t="s">
        <v>11</v>
      </c>
      <c r="C344" s="35">
        <f>C338</f>
        <v>11</v>
      </c>
      <c r="D344" s="36">
        <f>D338</f>
        <v>14</v>
      </c>
      <c r="E344" s="35">
        <f>E338</f>
        <v>15</v>
      </c>
      <c r="F344" s="37">
        <f>SUM(C344:E344)</f>
        <v>40</v>
      </c>
      <c r="G344" s="28"/>
      <c r="H344" s="34"/>
      <c r="I344" s="35">
        <f>I338</f>
        <v>1228</v>
      </c>
      <c r="J344" s="36">
        <f>J338</f>
        <v>834</v>
      </c>
      <c r="K344" s="35">
        <f>K338</f>
        <v>351</v>
      </c>
      <c r="L344" s="37">
        <f>SUM(I344:K344)</f>
        <v>2413</v>
      </c>
      <c r="M344" s="1"/>
    </row>
    <row r="345" spans="1:15" x14ac:dyDescent="0.15">
      <c r="A345" s="1"/>
      <c r="B345" s="29" t="s">
        <v>7</v>
      </c>
      <c r="C345" s="64">
        <v>10</v>
      </c>
      <c r="D345" s="15"/>
      <c r="E345" s="30"/>
      <c r="F345" s="46">
        <f>SUM(C345:E345)</f>
        <v>10</v>
      </c>
      <c r="G345" s="24">
        <v>44649</v>
      </c>
      <c r="H345" s="29"/>
      <c r="I345" s="30"/>
      <c r="J345" s="15"/>
      <c r="K345" s="30"/>
      <c r="L345" s="46">
        <f>SUM(I345:K345)</f>
        <v>0</v>
      </c>
      <c r="M345" s="1"/>
    </row>
    <row r="346" spans="1:15" x14ac:dyDescent="0.15">
      <c r="A346" s="1"/>
      <c r="B346" s="29" t="s">
        <v>7</v>
      </c>
      <c r="C346" s="30">
        <v>10</v>
      </c>
      <c r="D346" s="4">
        <v>5</v>
      </c>
      <c r="E346" s="19"/>
      <c r="F346" s="46">
        <f>SUM(C346:E346)</f>
        <v>15</v>
      </c>
      <c r="G346" s="24">
        <v>44650</v>
      </c>
      <c r="H346" s="29"/>
      <c r="I346" s="19"/>
      <c r="J346" s="4"/>
      <c r="K346" s="19"/>
      <c r="L346" s="46">
        <f>SUM(I346:K346)</f>
        <v>0</v>
      </c>
      <c r="M346" s="31"/>
    </row>
    <row r="347" spans="1:15" x14ac:dyDescent="0.15">
      <c r="A347" s="1"/>
      <c r="B347" s="29" t="s">
        <v>7</v>
      </c>
      <c r="C347" s="19"/>
      <c r="D347" s="4">
        <v>5</v>
      </c>
      <c r="E347" s="19"/>
      <c r="F347" s="46">
        <f t="shared" ref="F347:F354" si="92">SUM(C347:E347)</f>
        <v>5</v>
      </c>
      <c r="G347" s="24">
        <v>44658</v>
      </c>
      <c r="H347" s="29"/>
      <c r="I347" s="22"/>
      <c r="J347" s="23"/>
      <c r="K347" s="22"/>
      <c r="L347" s="46">
        <f t="shared" ref="L347:L349" si="93">SUM(I347:K347)</f>
        <v>0</v>
      </c>
      <c r="M347" s="27"/>
    </row>
    <row r="348" spans="1:15" x14ac:dyDescent="0.15">
      <c r="A348" s="1"/>
      <c r="B348" s="29" t="s">
        <v>7</v>
      </c>
      <c r="C348" s="22">
        <v>5</v>
      </c>
      <c r="D348" s="23"/>
      <c r="E348" s="22">
        <v>5</v>
      </c>
      <c r="F348" s="46">
        <f t="shared" si="92"/>
        <v>10</v>
      </c>
      <c r="G348" s="27">
        <v>44670</v>
      </c>
      <c r="H348" s="29"/>
      <c r="I348" s="22"/>
      <c r="J348" s="23"/>
      <c r="K348" s="22"/>
      <c r="L348" s="46">
        <f t="shared" si="93"/>
        <v>0</v>
      </c>
      <c r="M348" s="27"/>
    </row>
    <row r="349" spans="1:15" x14ac:dyDescent="0.15">
      <c r="A349" s="1"/>
      <c r="B349" s="29" t="s">
        <v>7</v>
      </c>
      <c r="C349" s="22">
        <v>10</v>
      </c>
      <c r="D349" s="23">
        <v>5</v>
      </c>
      <c r="E349" s="22">
        <v>5</v>
      </c>
      <c r="F349" s="46">
        <f t="shared" si="92"/>
        <v>20</v>
      </c>
      <c r="G349" s="27">
        <v>44676</v>
      </c>
      <c r="H349" s="29"/>
      <c r="I349" s="22"/>
      <c r="J349" s="23"/>
      <c r="K349" s="22"/>
      <c r="L349" s="46">
        <f t="shared" si="93"/>
        <v>0</v>
      </c>
      <c r="M349" s="27"/>
    </row>
    <row r="350" spans="1:15" x14ac:dyDescent="0.15">
      <c r="A350" s="1"/>
      <c r="B350" s="29" t="s">
        <v>7</v>
      </c>
      <c r="C350" s="22"/>
      <c r="D350" s="23">
        <v>5</v>
      </c>
      <c r="E350" s="22"/>
      <c r="F350" s="46">
        <f t="shared" si="92"/>
        <v>5</v>
      </c>
      <c r="G350" s="27">
        <v>44677</v>
      </c>
      <c r="H350" s="29"/>
      <c r="I350" s="19"/>
      <c r="J350" s="4"/>
      <c r="K350" s="19"/>
      <c r="L350" s="46">
        <f>SUM(I350:K350)</f>
        <v>0</v>
      </c>
      <c r="M350" s="31"/>
    </row>
    <row r="351" spans="1:15" x14ac:dyDescent="0.15">
      <c r="A351" s="1"/>
      <c r="B351" s="29" t="s">
        <v>7</v>
      </c>
      <c r="C351" s="20">
        <v>10</v>
      </c>
      <c r="D351" s="21">
        <v>5</v>
      </c>
      <c r="E351" s="20">
        <v>5</v>
      </c>
      <c r="F351" s="46">
        <f t="shared" si="92"/>
        <v>20</v>
      </c>
      <c r="G351" s="27">
        <v>44679</v>
      </c>
      <c r="H351" s="29"/>
      <c r="I351" s="20"/>
      <c r="J351" s="21"/>
      <c r="K351" s="20"/>
      <c r="L351" s="46">
        <f t="shared" ref="L351:L354" si="94">SUM(I351:K351)</f>
        <v>0</v>
      </c>
      <c r="M351" s="27"/>
    </row>
    <row r="352" spans="1:15" x14ac:dyDescent="0.15">
      <c r="A352" s="1"/>
      <c r="B352" s="29" t="s">
        <v>7</v>
      </c>
      <c r="C352" s="20"/>
      <c r="D352" s="21"/>
      <c r="E352" s="20"/>
      <c r="F352" s="46">
        <f t="shared" si="92"/>
        <v>0</v>
      </c>
      <c r="G352" s="27"/>
      <c r="H352" s="29"/>
      <c r="I352" s="20"/>
      <c r="J352" s="21"/>
      <c r="K352" s="20"/>
      <c r="L352" s="46">
        <f t="shared" si="94"/>
        <v>0</v>
      </c>
      <c r="M352" s="31"/>
    </row>
    <row r="353" spans="1:14" x14ac:dyDescent="0.15">
      <c r="A353" s="1"/>
      <c r="B353" s="29" t="s">
        <v>7</v>
      </c>
      <c r="C353" s="20"/>
      <c r="D353" s="21"/>
      <c r="E353" s="20"/>
      <c r="F353" s="46">
        <f t="shared" si="92"/>
        <v>0</v>
      </c>
      <c r="G353" s="24"/>
      <c r="H353" s="29"/>
      <c r="I353" s="20"/>
      <c r="J353" s="21"/>
      <c r="K353" s="20"/>
      <c r="L353" s="46">
        <f t="shared" si="94"/>
        <v>0</v>
      </c>
      <c r="M353" s="1"/>
    </row>
    <row r="354" spans="1:14" ht="14.25" thickBot="1" x14ac:dyDescent="0.2">
      <c r="A354" s="1"/>
      <c r="B354" s="29" t="s">
        <v>7</v>
      </c>
      <c r="C354" s="19"/>
      <c r="D354" s="4"/>
      <c r="E354" s="19"/>
      <c r="F354" s="46">
        <f t="shared" si="92"/>
        <v>0</v>
      </c>
      <c r="G354" s="27"/>
      <c r="H354" s="29"/>
      <c r="I354" s="19"/>
      <c r="J354" s="4"/>
      <c r="K354" s="19"/>
      <c r="L354" s="46">
        <f t="shared" si="94"/>
        <v>0</v>
      </c>
      <c r="M354" s="1"/>
    </row>
    <row r="355" spans="1:14" ht="14.25" thickBot="1" x14ac:dyDescent="0.2">
      <c r="A355" s="1"/>
      <c r="B355" s="6" t="s">
        <v>8</v>
      </c>
      <c r="C355" s="44">
        <f>SUM(C344:C354)</f>
        <v>56</v>
      </c>
      <c r="D355" s="44">
        <f t="shared" ref="D355:F355" si="95">SUM(D344:D354)</f>
        <v>39</v>
      </c>
      <c r="E355" s="44">
        <f t="shared" si="95"/>
        <v>30</v>
      </c>
      <c r="F355" s="45">
        <f t="shared" si="95"/>
        <v>125</v>
      </c>
      <c r="G355" s="1"/>
      <c r="H355" s="6"/>
      <c r="I355" s="44">
        <f>SUM(I344:I354)</f>
        <v>1228</v>
      </c>
      <c r="J355" s="44">
        <f t="shared" ref="J355:L355" si="96">SUM(J344:J354)</f>
        <v>834</v>
      </c>
      <c r="K355" s="44">
        <f t="shared" si="96"/>
        <v>351</v>
      </c>
      <c r="L355" s="45">
        <f t="shared" si="96"/>
        <v>2413</v>
      </c>
      <c r="M355" s="1"/>
    </row>
    <row r="356" spans="1:14" x14ac:dyDescent="0.15">
      <c r="A356" s="1"/>
      <c r="B356" s="38" t="s">
        <v>25</v>
      </c>
      <c r="C356" s="9">
        <v>1</v>
      </c>
      <c r="D356" s="14"/>
      <c r="E356" s="13"/>
      <c r="F356" s="46">
        <f>SUM(C356:E356)</f>
        <v>1</v>
      </c>
      <c r="G356" s="24">
        <v>44634</v>
      </c>
      <c r="H356" s="4" t="s">
        <v>85</v>
      </c>
      <c r="I356" s="30">
        <v>40</v>
      </c>
      <c r="J356" s="4">
        <v>30</v>
      </c>
      <c r="K356" s="19">
        <v>30</v>
      </c>
      <c r="L356" s="46">
        <f>SUM(I356:K356)</f>
        <v>100</v>
      </c>
      <c r="M356" s="65">
        <v>44642</v>
      </c>
      <c r="N356" s="54"/>
    </row>
    <row r="357" spans="1:14" x14ac:dyDescent="0.15">
      <c r="B357" s="38" t="s">
        <v>25</v>
      </c>
      <c r="C357" s="9"/>
      <c r="D357" s="14">
        <v>1</v>
      </c>
      <c r="E357" s="13"/>
      <c r="F357" s="46">
        <f>SUM(C357:E357)</f>
        <v>1</v>
      </c>
      <c r="G357" s="24">
        <v>44636</v>
      </c>
      <c r="H357" s="4" t="s">
        <v>87</v>
      </c>
      <c r="I357" s="9">
        <v>10</v>
      </c>
      <c r="J357" s="14"/>
      <c r="K357" s="13"/>
      <c r="L357" s="46">
        <f t="shared" ref="L357:L381" si="97">SUM(I357:K357)</f>
        <v>10</v>
      </c>
      <c r="M357" s="27">
        <v>44649</v>
      </c>
      <c r="N357" s="54"/>
    </row>
    <row r="358" spans="1:14" x14ac:dyDescent="0.15">
      <c r="B358" s="38" t="s">
        <v>25</v>
      </c>
      <c r="C358" s="9">
        <v>2</v>
      </c>
      <c r="D358" s="14"/>
      <c r="E358" s="13"/>
      <c r="F358" s="46">
        <f t="shared" ref="F358:F381" si="98">SUM(C358:E358)</f>
        <v>2</v>
      </c>
      <c r="G358" s="24">
        <v>44638</v>
      </c>
      <c r="H358" s="4" t="s">
        <v>24</v>
      </c>
      <c r="I358" s="9">
        <v>10</v>
      </c>
      <c r="J358" s="14">
        <v>5</v>
      </c>
      <c r="K358" s="13"/>
      <c r="L358" s="46">
        <f t="shared" si="97"/>
        <v>15</v>
      </c>
      <c r="M358" s="27">
        <v>44650</v>
      </c>
    </row>
    <row r="359" spans="1:14" x14ac:dyDescent="0.15">
      <c r="B359" s="38" t="s">
        <v>25</v>
      </c>
      <c r="C359" s="9">
        <v>1</v>
      </c>
      <c r="D359" s="14">
        <f>1+1</f>
        <v>2</v>
      </c>
      <c r="E359" s="13"/>
      <c r="F359" s="46">
        <f t="shared" si="98"/>
        <v>3</v>
      </c>
      <c r="G359" s="24">
        <v>44642</v>
      </c>
      <c r="H359" s="4" t="s">
        <v>24</v>
      </c>
      <c r="I359" s="9"/>
      <c r="J359" s="14">
        <v>5</v>
      </c>
      <c r="K359" s="13"/>
      <c r="L359" s="46">
        <f t="shared" si="97"/>
        <v>5</v>
      </c>
      <c r="M359" s="27">
        <v>44658</v>
      </c>
      <c r="N359" s="54"/>
    </row>
    <row r="360" spans="1:14" x14ac:dyDescent="0.15">
      <c r="B360" s="4" t="s">
        <v>86</v>
      </c>
      <c r="C360" s="9"/>
      <c r="D360" s="14">
        <v>1</v>
      </c>
      <c r="E360" s="13"/>
      <c r="F360" s="46">
        <f t="shared" si="98"/>
        <v>1</v>
      </c>
      <c r="G360" s="27">
        <v>44645</v>
      </c>
      <c r="H360" s="4" t="s">
        <v>24</v>
      </c>
      <c r="I360" s="9">
        <v>5</v>
      </c>
      <c r="J360" s="14"/>
      <c r="K360" s="13">
        <v>5</v>
      </c>
      <c r="L360" s="46">
        <f t="shared" si="97"/>
        <v>10</v>
      </c>
      <c r="M360" s="27">
        <v>44670</v>
      </c>
      <c r="N360" s="54"/>
    </row>
    <row r="361" spans="1:14" x14ac:dyDescent="0.15">
      <c r="B361" s="38" t="s">
        <v>25</v>
      </c>
      <c r="C361" s="9">
        <v>2</v>
      </c>
      <c r="D361" s="14">
        <v>1</v>
      </c>
      <c r="E361" s="13"/>
      <c r="F361" s="46">
        <f t="shared" si="98"/>
        <v>3</v>
      </c>
      <c r="G361" s="24">
        <v>44645</v>
      </c>
      <c r="H361" s="4" t="s">
        <v>24</v>
      </c>
      <c r="I361" s="9">
        <v>10</v>
      </c>
      <c r="J361" s="14">
        <v>5</v>
      </c>
      <c r="K361" s="13">
        <v>5</v>
      </c>
      <c r="L361" s="46">
        <f t="shared" si="97"/>
        <v>20</v>
      </c>
      <c r="M361" s="27">
        <v>44676</v>
      </c>
      <c r="N361" s="54"/>
    </row>
    <row r="362" spans="1:14" x14ac:dyDescent="0.15">
      <c r="B362" s="38" t="s">
        <v>25</v>
      </c>
      <c r="C362" s="9">
        <f>1+1+2+1</f>
        <v>5</v>
      </c>
      <c r="D362" s="14">
        <f>1+1</f>
        <v>2</v>
      </c>
      <c r="E362" s="13">
        <f>1</f>
        <v>1</v>
      </c>
      <c r="F362" s="46">
        <f t="shared" si="98"/>
        <v>8</v>
      </c>
      <c r="G362" s="24">
        <v>44648</v>
      </c>
      <c r="H362" s="4" t="s">
        <v>24</v>
      </c>
      <c r="I362" s="9"/>
      <c r="J362" s="14">
        <v>5</v>
      </c>
      <c r="K362" s="13"/>
      <c r="L362" s="46">
        <f t="shared" si="97"/>
        <v>5</v>
      </c>
      <c r="M362" s="27">
        <v>44677</v>
      </c>
    </row>
    <row r="363" spans="1:14" x14ac:dyDescent="0.15">
      <c r="B363" s="38" t="s">
        <v>25</v>
      </c>
      <c r="C363" s="9">
        <v>2</v>
      </c>
      <c r="D363" s="14">
        <v>1</v>
      </c>
      <c r="E363" s="13"/>
      <c r="F363" s="46">
        <f t="shared" si="98"/>
        <v>3</v>
      </c>
      <c r="G363" s="24">
        <v>44649</v>
      </c>
      <c r="H363" s="4" t="s">
        <v>24</v>
      </c>
      <c r="I363" s="9">
        <v>10</v>
      </c>
      <c r="J363" s="14">
        <v>5</v>
      </c>
      <c r="K363" s="13">
        <v>5</v>
      </c>
      <c r="L363" s="46">
        <f t="shared" si="97"/>
        <v>20</v>
      </c>
      <c r="M363" s="65">
        <v>44679</v>
      </c>
      <c r="N363" s="54"/>
    </row>
    <row r="364" spans="1:14" x14ac:dyDescent="0.15">
      <c r="B364" s="4" t="s">
        <v>88</v>
      </c>
      <c r="C364" s="9"/>
      <c r="D364" s="14">
        <v>2</v>
      </c>
      <c r="E364" s="13"/>
      <c r="F364" s="46">
        <f t="shared" si="98"/>
        <v>2</v>
      </c>
      <c r="G364" s="27">
        <v>44659</v>
      </c>
      <c r="H364" s="4"/>
      <c r="I364" s="9"/>
      <c r="J364" s="14"/>
      <c r="K364" s="13"/>
      <c r="L364" s="46">
        <f t="shared" si="97"/>
        <v>0</v>
      </c>
      <c r="M364" s="1"/>
    </row>
    <row r="365" spans="1:14" x14ac:dyDescent="0.15">
      <c r="B365" s="38" t="s">
        <v>25</v>
      </c>
      <c r="C365" s="9"/>
      <c r="D365" s="14">
        <v>1</v>
      </c>
      <c r="E365" s="13"/>
      <c r="F365" s="46">
        <f t="shared" si="98"/>
        <v>1</v>
      </c>
      <c r="G365" s="24">
        <v>44657</v>
      </c>
      <c r="H365" s="4"/>
      <c r="I365" s="9"/>
      <c r="J365" s="14"/>
      <c r="K365" s="13"/>
      <c r="L365" s="46">
        <f t="shared" si="97"/>
        <v>0</v>
      </c>
      <c r="M365" s="1"/>
    </row>
    <row r="366" spans="1:14" x14ac:dyDescent="0.15">
      <c r="B366" s="38" t="s">
        <v>25</v>
      </c>
      <c r="C366" s="9">
        <v>2</v>
      </c>
      <c r="D366" s="14"/>
      <c r="E366" s="40"/>
      <c r="F366" s="46">
        <f t="shared" si="98"/>
        <v>2</v>
      </c>
      <c r="G366" s="24">
        <v>44658</v>
      </c>
      <c r="H366" s="4"/>
      <c r="I366" s="9"/>
      <c r="J366" s="14"/>
      <c r="K366" s="40"/>
      <c r="L366" s="46">
        <f t="shared" si="97"/>
        <v>0</v>
      </c>
      <c r="M366" s="1"/>
    </row>
    <row r="367" spans="1:14" x14ac:dyDescent="0.15">
      <c r="B367" s="38" t="s">
        <v>25</v>
      </c>
      <c r="C367" s="9">
        <v>1</v>
      </c>
      <c r="D367" s="14"/>
      <c r="E367" s="13"/>
      <c r="F367" s="46">
        <f t="shared" si="98"/>
        <v>1</v>
      </c>
      <c r="G367" s="24">
        <v>44659</v>
      </c>
      <c r="H367" s="4"/>
      <c r="I367" s="9"/>
      <c r="J367" s="14"/>
      <c r="K367" s="13"/>
      <c r="L367" s="46">
        <f t="shared" si="97"/>
        <v>0</v>
      </c>
      <c r="M367" s="1"/>
    </row>
    <row r="368" spans="1:14" x14ac:dyDescent="0.15">
      <c r="B368" s="38" t="s">
        <v>25</v>
      </c>
      <c r="C368" s="9">
        <f>3+1+1</f>
        <v>5</v>
      </c>
      <c r="D368" s="14">
        <v>3</v>
      </c>
      <c r="E368" s="13">
        <f>1+1</f>
        <v>2</v>
      </c>
      <c r="F368" s="46">
        <f t="shared" si="98"/>
        <v>10</v>
      </c>
      <c r="G368" s="24">
        <v>44662</v>
      </c>
      <c r="H368" s="4"/>
      <c r="I368" s="9"/>
      <c r="J368" s="14"/>
      <c r="K368" s="13"/>
      <c r="L368" s="46">
        <f t="shared" si="97"/>
        <v>0</v>
      </c>
      <c r="M368" s="1"/>
    </row>
    <row r="369" spans="1:14" x14ac:dyDescent="0.15">
      <c r="B369" s="38" t="s">
        <v>89</v>
      </c>
      <c r="C369" s="9">
        <v>2</v>
      </c>
      <c r="D369" s="14"/>
      <c r="E369" s="13"/>
      <c r="F369" s="46">
        <f t="shared" si="98"/>
        <v>2</v>
      </c>
      <c r="G369" s="24">
        <v>44663</v>
      </c>
      <c r="H369" s="4"/>
      <c r="I369" s="9"/>
      <c r="J369" s="14"/>
      <c r="K369" s="13"/>
      <c r="L369" s="46">
        <f t="shared" si="97"/>
        <v>0</v>
      </c>
      <c r="M369" s="1"/>
    </row>
    <row r="370" spans="1:14" x14ac:dyDescent="0.15">
      <c r="B370" s="38" t="s">
        <v>25</v>
      </c>
      <c r="C370" s="9">
        <v>1</v>
      </c>
      <c r="D370" s="14"/>
      <c r="E370" s="13">
        <v>2</v>
      </c>
      <c r="F370" s="46">
        <f t="shared" si="98"/>
        <v>3</v>
      </c>
      <c r="G370" s="24">
        <v>44664</v>
      </c>
      <c r="H370" s="4"/>
      <c r="I370" s="9"/>
      <c r="J370" s="14"/>
      <c r="K370" s="13"/>
      <c r="L370" s="46">
        <f t="shared" si="97"/>
        <v>0</v>
      </c>
      <c r="M370" s="1"/>
    </row>
    <row r="371" spans="1:14" x14ac:dyDescent="0.15">
      <c r="B371" s="38" t="s">
        <v>25</v>
      </c>
      <c r="C371" s="9">
        <v>1</v>
      </c>
      <c r="D371" s="14"/>
      <c r="E371" s="13"/>
      <c r="F371" s="46">
        <f t="shared" si="98"/>
        <v>1</v>
      </c>
      <c r="G371" s="24">
        <v>44666</v>
      </c>
      <c r="H371" s="4"/>
      <c r="I371" s="9"/>
      <c r="J371" s="14"/>
      <c r="K371" s="13"/>
      <c r="L371" s="46">
        <f t="shared" si="97"/>
        <v>0</v>
      </c>
      <c r="M371" s="1"/>
    </row>
    <row r="372" spans="1:14" x14ac:dyDescent="0.15">
      <c r="B372" s="38" t="s">
        <v>25</v>
      </c>
      <c r="C372" s="9">
        <f>1+1+1</f>
        <v>3</v>
      </c>
      <c r="D372" s="14"/>
      <c r="E372" s="13">
        <f>2+1+1</f>
        <v>4</v>
      </c>
      <c r="F372" s="46">
        <f t="shared" si="98"/>
        <v>7</v>
      </c>
      <c r="G372" s="24">
        <v>44667</v>
      </c>
      <c r="H372" s="4"/>
      <c r="I372" s="9"/>
      <c r="J372" s="14"/>
      <c r="K372" s="13"/>
      <c r="L372" s="46">
        <f t="shared" si="97"/>
        <v>0</v>
      </c>
      <c r="M372" s="1"/>
    </row>
    <row r="373" spans="1:14" x14ac:dyDescent="0.15">
      <c r="A373" s="1"/>
      <c r="B373" s="38" t="s">
        <v>25</v>
      </c>
      <c r="C373" s="9"/>
      <c r="D373" s="14">
        <v>2</v>
      </c>
      <c r="E373" s="13">
        <v>2</v>
      </c>
      <c r="F373" s="46">
        <f t="shared" si="98"/>
        <v>4</v>
      </c>
      <c r="G373" s="24">
        <v>44669</v>
      </c>
      <c r="H373" s="4"/>
      <c r="I373" s="9"/>
      <c r="J373" s="14"/>
      <c r="K373" s="13"/>
      <c r="L373" s="46">
        <f t="shared" si="97"/>
        <v>0</v>
      </c>
      <c r="M373" s="1"/>
    </row>
    <row r="374" spans="1:14" x14ac:dyDescent="0.15">
      <c r="A374" s="1"/>
      <c r="B374" s="38" t="s">
        <v>25</v>
      </c>
      <c r="C374" s="9"/>
      <c r="D374" s="14"/>
      <c r="E374" s="13">
        <v>1</v>
      </c>
      <c r="F374" s="46">
        <f t="shared" si="98"/>
        <v>1</v>
      </c>
      <c r="G374" s="24">
        <v>44672</v>
      </c>
      <c r="H374" s="4"/>
      <c r="I374" s="9"/>
      <c r="J374" s="14"/>
      <c r="K374" s="13"/>
      <c r="L374" s="46">
        <f t="shared" si="97"/>
        <v>0</v>
      </c>
      <c r="M374" s="1"/>
    </row>
    <row r="375" spans="1:14" x14ac:dyDescent="0.15">
      <c r="A375" s="1"/>
      <c r="B375" s="38" t="s">
        <v>25</v>
      </c>
      <c r="C375" s="9">
        <v>1</v>
      </c>
      <c r="D375" s="14"/>
      <c r="E375" s="13"/>
      <c r="F375" s="46">
        <f t="shared" si="98"/>
        <v>1</v>
      </c>
      <c r="G375" s="24">
        <v>44673</v>
      </c>
      <c r="H375" s="4"/>
      <c r="I375" s="9"/>
      <c r="J375" s="14"/>
      <c r="K375" s="13"/>
      <c r="L375" s="46">
        <f t="shared" si="97"/>
        <v>0</v>
      </c>
      <c r="M375" s="1"/>
    </row>
    <row r="376" spans="1:14" x14ac:dyDescent="0.15">
      <c r="A376" s="1"/>
      <c r="B376" s="38" t="s">
        <v>89</v>
      </c>
      <c r="C376" s="9">
        <v>2</v>
      </c>
      <c r="D376" s="14">
        <f>1+1</f>
        <v>2</v>
      </c>
      <c r="E376" s="13">
        <v>1</v>
      </c>
      <c r="F376" s="46">
        <f t="shared" si="98"/>
        <v>5</v>
      </c>
      <c r="G376" s="24">
        <v>44677</v>
      </c>
      <c r="H376" s="4"/>
      <c r="I376" s="9"/>
      <c r="J376" s="14"/>
      <c r="K376" s="13"/>
      <c r="L376" s="46">
        <f t="shared" si="97"/>
        <v>0</v>
      </c>
      <c r="M376" s="1"/>
    </row>
    <row r="377" spans="1:14" x14ac:dyDescent="0.15">
      <c r="A377" s="1"/>
      <c r="B377" s="38" t="s">
        <v>25</v>
      </c>
      <c r="C377" s="9">
        <f>1+1+1</f>
        <v>3</v>
      </c>
      <c r="D377" s="14">
        <f>2+1+1+1+2</f>
        <v>7</v>
      </c>
      <c r="E377" s="13">
        <v>1</v>
      </c>
      <c r="F377" s="46">
        <f t="shared" si="98"/>
        <v>11</v>
      </c>
      <c r="G377" s="24">
        <v>44676</v>
      </c>
      <c r="H377" s="4"/>
      <c r="I377" s="9"/>
      <c r="J377" s="14"/>
      <c r="K377" s="13"/>
      <c r="L377" s="46">
        <f t="shared" si="97"/>
        <v>0</v>
      </c>
      <c r="M377" s="31"/>
    </row>
    <row r="378" spans="1:14" x14ac:dyDescent="0.15">
      <c r="A378" s="1"/>
      <c r="B378" s="38" t="s">
        <v>25</v>
      </c>
      <c r="C378" s="16">
        <v>1</v>
      </c>
      <c r="D378" s="17">
        <v>1</v>
      </c>
      <c r="E378" s="18">
        <v>1</v>
      </c>
      <c r="F378" s="46">
        <f t="shared" si="98"/>
        <v>3</v>
      </c>
      <c r="G378" s="24">
        <v>44677</v>
      </c>
      <c r="H378" s="4"/>
      <c r="I378" s="9"/>
      <c r="J378" s="14"/>
      <c r="K378" s="13"/>
      <c r="L378" s="46">
        <f t="shared" si="97"/>
        <v>0</v>
      </c>
      <c r="M378" s="31"/>
    </row>
    <row r="379" spans="1:14" ht="14.25" thickBot="1" x14ac:dyDescent="0.2">
      <c r="A379" s="1"/>
      <c r="B379" s="38" t="s">
        <v>25</v>
      </c>
      <c r="C379" s="9">
        <v>1</v>
      </c>
      <c r="D379" s="14"/>
      <c r="E379" s="13">
        <v>1</v>
      </c>
      <c r="F379" s="47">
        <f t="shared" si="98"/>
        <v>2</v>
      </c>
      <c r="G379" s="24">
        <v>44678</v>
      </c>
      <c r="H379" s="4"/>
      <c r="I379" s="9"/>
      <c r="J379" s="14"/>
      <c r="K379" s="13"/>
      <c r="L379" s="47">
        <f t="shared" si="97"/>
        <v>0</v>
      </c>
      <c r="M379" s="31"/>
    </row>
    <row r="380" spans="1:14" ht="14.25" thickBot="1" x14ac:dyDescent="0.2">
      <c r="A380" s="1"/>
      <c r="B380" s="5" t="s">
        <v>9</v>
      </c>
      <c r="C380" s="10">
        <f>SUM(C356:C379)</f>
        <v>36</v>
      </c>
      <c r="D380" s="10">
        <f t="shared" ref="D380:E380" si="99">SUM(D356:D379)</f>
        <v>26</v>
      </c>
      <c r="E380" s="10">
        <f t="shared" si="99"/>
        <v>16</v>
      </c>
      <c r="F380" s="48">
        <f t="shared" si="98"/>
        <v>78</v>
      </c>
      <c r="G380" s="1"/>
      <c r="H380" s="5" t="s">
        <v>9</v>
      </c>
      <c r="I380" s="10">
        <f>SUM(I356:I379)</f>
        <v>85</v>
      </c>
      <c r="J380" s="10">
        <f t="shared" ref="J380:K380" si="100">SUM(J356:J379)</f>
        <v>55</v>
      </c>
      <c r="K380" s="10">
        <f t="shared" si="100"/>
        <v>45</v>
      </c>
      <c r="L380" s="48">
        <f t="shared" si="97"/>
        <v>185</v>
      </c>
      <c r="M380" s="31"/>
    </row>
    <row r="381" spans="1:14" ht="14.25" thickBot="1" x14ac:dyDescent="0.2">
      <c r="A381" s="1"/>
      <c r="B381" s="8" t="s">
        <v>10</v>
      </c>
      <c r="C381" s="11">
        <f>C355-C380</f>
        <v>20</v>
      </c>
      <c r="D381" s="11">
        <f t="shared" ref="D381:E381" si="101">D355-D380</f>
        <v>13</v>
      </c>
      <c r="E381" s="11">
        <f t="shared" si="101"/>
        <v>14</v>
      </c>
      <c r="F381" s="37">
        <f t="shared" si="98"/>
        <v>47</v>
      </c>
      <c r="G381" s="1"/>
      <c r="H381" s="8" t="s">
        <v>10</v>
      </c>
      <c r="I381" s="11">
        <f>I355-I380</f>
        <v>1143</v>
      </c>
      <c r="J381" s="11">
        <f t="shared" ref="J381:K381" si="102">J355-J380</f>
        <v>779</v>
      </c>
      <c r="K381" s="11">
        <f t="shared" si="102"/>
        <v>306</v>
      </c>
      <c r="L381" s="37">
        <f t="shared" si="97"/>
        <v>2228</v>
      </c>
      <c r="M381" s="1"/>
    </row>
    <row r="382" spans="1:14" x14ac:dyDescent="0.15">
      <c r="M382" s="1"/>
      <c r="N382" s="1"/>
    </row>
    <row r="383" spans="1:14" x14ac:dyDescent="0.15">
      <c r="M383" s="1"/>
      <c r="N383" s="1"/>
    </row>
    <row r="384" spans="1:14" ht="18.75" x14ac:dyDescent="0.2">
      <c r="A384" s="41" t="s">
        <v>12</v>
      </c>
      <c r="B384" s="42"/>
      <c r="C384" s="41"/>
      <c r="D384" s="43"/>
      <c r="E384" s="43"/>
      <c r="F384" s="2"/>
      <c r="G384" s="1"/>
      <c r="H384" s="41" t="s">
        <v>12</v>
      </c>
      <c r="I384" s="41"/>
      <c r="J384" s="43"/>
      <c r="K384" s="43"/>
      <c r="L384" s="2"/>
    </row>
    <row r="385" spans="1:14" ht="19.5" thickBot="1" x14ac:dyDescent="0.25">
      <c r="A385" s="7"/>
      <c r="B385" s="7" t="s">
        <v>0</v>
      </c>
      <c r="C385" s="7"/>
      <c r="D385" s="7" t="s">
        <v>15</v>
      </c>
      <c r="E385" s="2"/>
      <c r="F385" s="2"/>
      <c r="G385" s="1"/>
      <c r="H385" s="7" t="s">
        <v>1</v>
      </c>
      <c r="I385" s="1"/>
      <c r="J385" s="7" t="s">
        <v>15</v>
      </c>
      <c r="K385" s="2"/>
      <c r="L385" s="2"/>
      <c r="M385" s="1"/>
      <c r="N385" s="1"/>
    </row>
    <row r="386" spans="1:14" ht="14.25" thickBot="1" x14ac:dyDescent="0.2">
      <c r="A386" s="1"/>
      <c r="B386" s="3"/>
      <c r="C386" s="5" t="s">
        <v>2</v>
      </c>
      <c r="D386" s="3" t="s">
        <v>3</v>
      </c>
      <c r="E386" s="12" t="s">
        <v>4</v>
      </c>
      <c r="F386" s="3" t="s">
        <v>5</v>
      </c>
      <c r="G386" s="1"/>
      <c r="H386" s="3"/>
      <c r="I386" s="5" t="s">
        <v>2</v>
      </c>
      <c r="J386" s="3" t="s">
        <v>3</v>
      </c>
      <c r="K386" s="12" t="s">
        <v>4</v>
      </c>
      <c r="L386" s="3" t="s">
        <v>5</v>
      </c>
      <c r="M386" s="1"/>
      <c r="N386" s="1"/>
    </row>
    <row r="387" spans="1:14" ht="14.25" thickBot="1" x14ac:dyDescent="0.2">
      <c r="A387" s="1"/>
      <c r="B387" s="34" t="s">
        <v>11</v>
      </c>
      <c r="C387" s="35">
        <f>C381</f>
        <v>20</v>
      </c>
      <c r="D387" s="36">
        <f>D381</f>
        <v>13</v>
      </c>
      <c r="E387" s="35">
        <f>E381</f>
        <v>14</v>
      </c>
      <c r="F387" s="37">
        <f>SUM(C387:E387)</f>
        <v>47</v>
      </c>
      <c r="G387" s="28"/>
      <c r="H387" s="34"/>
      <c r="I387" s="35">
        <f>I381</f>
        <v>1143</v>
      </c>
      <c r="J387" s="36">
        <f>J381</f>
        <v>779</v>
      </c>
      <c r="K387" s="35">
        <f>K381</f>
        <v>306</v>
      </c>
      <c r="L387" s="37">
        <f>SUM(I387:K387)</f>
        <v>2228</v>
      </c>
      <c r="M387" s="1"/>
    </row>
    <row r="388" spans="1:14" x14ac:dyDescent="0.15">
      <c r="A388" s="1"/>
      <c r="B388" s="29" t="s">
        <v>7</v>
      </c>
      <c r="C388" s="64"/>
      <c r="D388" s="15">
        <v>5</v>
      </c>
      <c r="E388" s="30"/>
      <c r="F388" s="46">
        <f>SUM(C388:E388)</f>
        <v>5</v>
      </c>
      <c r="G388" s="24">
        <v>44688</v>
      </c>
      <c r="H388" s="29"/>
      <c r="I388" s="30"/>
      <c r="J388" s="15"/>
      <c r="K388" s="30"/>
      <c r="L388" s="46">
        <f>SUM(I388:K388)</f>
        <v>0</v>
      </c>
      <c r="M388" s="1"/>
    </row>
    <row r="389" spans="1:14" x14ac:dyDescent="0.15">
      <c r="A389" s="1"/>
      <c r="B389" s="29" t="s">
        <v>7</v>
      </c>
      <c r="C389" s="30">
        <v>5</v>
      </c>
      <c r="D389" s="4"/>
      <c r="E389" s="19"/>
      <c r="F389" s="46">
        <f>SUM(C389:E389)</f>
        <v>5</v>
      </c>
      <c r="G389" s="24">
        <v>44701</v>
      </c>
      <c r="H389" s="29"/>
      <c r="I389" s="19"/>
      <c r="J389" s="4"/>
      <c r="K389" s="19"/>
      <c r="L389" s="46">
        <f>SUM(I389:K389)</f>
        <v>0</v>
      </c>
      <c r="M389" s="31"/>
    </row>
    <row r="390" spans="1:14" x14ac:dyDescent="0.15">
      <c r="A390" s="1"/>
      <c r="B390" s="29" t="s">
        <v>7</v>
      </c>
      <c r="C390" s="19">
        <v>5</v>
      </c>
      <c r="D390" s="4"/>
      <c r="E390" s="19"/>
      <c r="F390" s="46">
        <f t="shared" ref="F390:F397" si="103">SUM(C390:E390)</f>
        <v>5</v>
      </c>
      <c r="G390" s="24">
        <v>44702</v>
      </c>
      <c r="H390" s="29"/>
      <c r="I390" s="22"/>
      <c r="J390" s="23"/>
      <c r="K390" s="22"/>
      <c r="L390" s="46">
        <f t="shared" ref="L390:L392" si="104">SUM(I390:K390)</f>
        <v>0</v>
      </c>
      <c r="M390" s="27"/>
    </row>
    <row r="391" spans="1:14" x14ac:dyDescent="0.15">
      <c r="A391" s="1"/>
      <c r="B391" s="29" t="s">
        <v>7</v>
      </c>
      <c r="C391" s="22">
        <v>5</v>
      </c>
      <c r="D391" s="23">
        <v>5</v>
      </c>
      <c r="E391" s="22">
        <v>5</v>
      </c>
      <c r="F391" s="46">
        <f t="shared" si="103"/>
        <v>15</v>
      </c>
      <c r="G391" s="27">
        <v>44715</v>
      </c>
      <c r="H391" s="29"/>
      <c r="I391" s="22"/>
      <c r="J391" s="23"/>
      <c r="K391" s="22"/>
      <c r="L391" s="46">
        <f t="shared" si="104"/>
        <v>0</v>
      </c>
      <c r="M391" s="27"/>
    </row>
    <row r="392" spans="1:14" x14ac:dyDescent="0.15">
      <c r="A392" s="1"/>
      <c r="B392" s="29" t="s">
        <v>7</v>
      </c>
      <c r="C392" s="22"/>
      <c r="D392" s="23"/>
      <c r="E392" s="22"/>
      <c r="F392" s="46">
        <f t="shared" si="103"/>
        <v>0</v>
      </c>
      <c r="G392" s="27"/>
      <c r="H392" s="29"/>
      <c r="I392" s="22"/>
      <c r="J392" s="23"/>
      <c r="K392" s="22"/>
      <c r="L392" s="46">
        <f t="shared" si="104"/>
        <v>0</v>
      </c>
      <c r="M392" s="27"/>
    </row>
    <row r="393" spans="1:14" x14ac:dyDescent="0.15">
      <c r="A393" s="1"/>
      <c r="B393" s="29" t="s">
        <v>7</v>
      </c>
      <c r="C393" s="22"/>
      <c r="D393" s="23"/>
      <c r="E393" s="22"/>
      <c r="F393" s="46">
        <f t="shared" si="103"/>
        <v>0</v>
      </c>
      <c r="G393" s="27"/>
      <c r="H393" s="29"/>
      <c r="I393" s="19"/>
      <c r="J393" s="4"/>
      <c r="K393" s="19"/>
      <c r="L393" s="46">
        <f>SUM(I393:K393)</f>
        <v>0</v>
      </c>
      <c r="M393" s="31"/>
    </row>
    <row r="394" spans="1:14" x14ac:dyDescent="0.15">
      <c r="A394" s="1"/>
      <c r="B394" s="29" t="s">
        <v>7</v>
      </c>
      <c r="C394" s="20"/>
      <c r="D394" s="21"/>
      <c r="E394" s="20"/>
      <c r="F394" s="46">
        <f t="shared" si="103"/>
        <v>0</v>
      </c>
      <c r="G394" s="27"/>
      <c r="H394" s="29"/>
      <c r="I394" s="20"/>
      <c r="J394" s="21"/>
      <c r="K394" s="20"/>
      <c r="L394" s="46">
        <f t="shared" ref="L394:L397" si="105">SUM(I394:K394)</f>
        <v>0</v>
      </c>
      <c r="M394" s="27"/>
    </row>
    <row r="395" spans="1:14" x14ac:dyDescent="0.15">
      <c r="A395" s="1"/>
      <c r="B395" s="29" t="s">
        <v>7</v>
      </c>
      <c r="C395" s="20"/>
      <c r="D395" s="21"/>
      <c r="E395" s="20"/>
      <c r="F395" s="46">
        <f t="shared" si="103"/>
        <v>0</v>
      </c>
      <c r="G395" s="27"/>
      <c r="H395" s="29"/>
      <c r="I395" s="20"/>
      <c r="J395" s="21"/>
      <c r="K395" s="20"/>
      <c r="L395" s="46">
        <f t="shared" si="105"/>
        <v>0</v>
      </c>
      <c r="M395" s="31"/>
    </row>
    <row r="396" spans="1:14" x14ac:dyDescent="0.15">
      <c r="A396" s="1"/>
      <c r="B396" s="29" t="s">
        <v>7</v>
      </c>
      <c r="C396" s="20"/>
      <c r="D396" s="21"/>
      <c r="E396" s="20"/>
      <c r="F396" s="46">
        <f t="shared" si="103"/>
        <v>0</v>
      </c>
      <c r="G396" s="24"/>
      <c r="H396" s="29"/>
      <c r="I396" s="20"/>
      <c r="J396" s="21"/>
      <c r="K396" s="20"/>
      <c r="L396" s="46">
        <f t="shared" si="105"/>
        <v>0</v>
      </c>
      <c r="M396" s="1"/>
    </row>
    <row r="397" spans="1:14" ht="14.25" thickBot="1" x14ac:dyDescent="0.2">
      <c r="A397" s="1"/>
      <c r="B397" s="29" t="s">
        <v>7</v>
      </c>
      <c r="C397" s="19"/>
      <c r="D397" s="4"/>
      <c r="E397" s="19"/>
      <c r="F397" s="46">
        <f t="shared" si="103"/>
        <v>0</v>
      </c>
      <c r="G397" s="27"/>
      <c r="H397" s="29"/>
      <c r="I397" s="19"/>
      <c r="J397" s="4"/>
      <c r="K397" s="19"/>
      <c r="L397" s="46">
        <f t="shared" si="105"/>
        <v>0</v>
      </c>
      <c r="M397" s="1"/>
    </row>
    <row r="398" spans="1:14" ht="14.25" thickBot="1" x14ac:dyDescent="0.2">
      <c r="A398" s="1"/>
      <c r="B398" s="6" t="s">
        <v>8</v>
      </c>
      <c r="C398" s="44">
        <f>SUM(C387:C397)</f>
        <v>35</v>
      </c>
      <c r="D398" s="44">
        <f t="shared" ref="D398:F398" si="106">SUM(D387:D397)</f>
        <v>23</v>
      </c>
      <c r="E398" s="44">
        <f t="shared" si="106"/>
        <v>19</v>
      </c>
      <c r="F398" s="45">
        <f t="shared" si="106"/>
        <v>77</v>
      </c>
      <c r="G398" s="1"/>
      <c r="H398" s="6"/>
      <c r="I398" s="44">
        <f>SUM(I387:I397)</f>
        <v>1143</v>
      </c>
      <c r="J398" s="44">
        <f t="shared" ref="J398:L398" si="107">SUM(J387:J397)</f>
        <v>779</v>
      </c>
      <c r="K398" s="44">
        <f t="shared" si="107"/>
        <v>306</v>
      </c>
      <c r="L398" s="45">
        <f t="shared" si="107"/>
        <v>2228</v>
      </c>
      <c r="M398" s="1"/>
    </row>
    <row r="399" spans="1:14" x14ac:dyDescent="0.15">
      <c r="A399" s="1"/>
      <c r="B399" s="38" t="s">
        <v>25</v>
      </c>
      <c r="C399" s="9">
        <v>1</v>
      </c>
      <c r="D399" s="14">
        <v>1</v>
      </c>
      <c r="E399" s="13"/>
      <c r="F399" s="46">
        <f>SUM(C399:E399)</f>
        <v>2</v>
      </c>
      <c r="G399" s="24">
        <v>44679</v>
      </c>
      <c r="H399" s="4" t="s">
        <v>90</v>
      </c>
      <c r="I399" s="30"/>
      <c r="J399" s="4">
        <v>5</v>
      </c>
      <c r="K399" s="19"/>
      <c r="L399" s="46">
        <f>SUM(I399:K399)</f>
        <v>5</v>
      </c>
      <c r="M399" s="65">
        <v>44688</v>
      </c>
      <c r="N399" s="54"/>
    </row>
    <row r="400" spans="1:14" x14ac:dyDescent="0.15">
      <c r="B400" s="38" t="s">
        <v>25</v>
      </c>
      <c r="C400" s="9">
        <v>3</v>
      </c>
      <c r="D400" s="14"/>
      <c r="E400" s="13">
        <v>1</v>
      </c>
      <c r="F400" s="46">
        <f>SUM(C400:E400)</f>
        <v>4</v>
      </c>
      <c r="G400" s="24">
        <v>44683</v>
      </c>
      <c r="H400" s="4" t="s">
        <v>24</v>
      </c>
      <c r="I400" s="9">
        <v>5</v>
      </c>
      <c r="J400" s="14"/>
      <c r="K400" s="13"/>
      <c r="L400" s="46">
        <f t="shared" ref="L400:L424" si="108">SUM(I400:K400)</f>
        <v>5</v>
      </c>
      <c r="M400" s="27">
        <v>44701</v>
      </c>
      <c r="N400" s="54"/>
    </row>
    <row r="401" spans="1:14" x14ac:dyDescent="0.15">
      <c r="B401" s="38" t="s">
        <v>25</v>
      </c>
      <c r="C401" s="9"/>
      <c r="D401" s="14">
        <v>2</v>
      </c>
      <c r="E401" s="13"/>
      <c r="F401" s="46">
        <f t="shared" ref="F401:F424" si="109">SUM(C401:E401)</f>
        <v>2</v>
      </c>
      <c r="G401" s="24">
        <v>44687</v>
      </c>
      <c r="H401" s="4" t="s">
        <v>24</v>
      </c>
      <c r="I401" s="9">
        <v>5</v>
      </c>
      <c r="J401" s="14"/>
      <c r="K401" s="13"/>
      <c r="L401" s="46">
        <f t="shared" si="108"/>
        <v>5</v>
      </c>
      <c r="M401" s="27">
        <v>44702</v>
      </c>
    </row>
    <row r="402" spans="1:14" x14ac:dyDescent="0.15">
      <c r="B402" s="4" t="s">
        <v>91</v>
      </c>
      <c r="C402" s="9"/>
      <c r="D402" s="14">
        <v>2</v>
      </c>
      <c r="E402" s="13"/>
      <c r="F402" s="46">
        <f t="shared" si="109"/>
        <v>2</v>
      </c>
      <c r="G402" s="24">
        <v>44694</v>
      </c>
      <c r="H402" s="4" t="s">
        <v>92</v>
      </c>
      <c r="I402" s="9"/>
      <c r="J402" s="14">
        <v>2</v>
      </c>
      <c r="K402" s="13"/>
      <c r="L402" s="46">
        <f t="shared" si="108"/>
        <v>2</v>
      </c>
      <c r="M402" s="27">
        <v>44707</v>
      </c>
      <c r="N402" s="54"/>
    </row>
    <row r="403" spans="1:14" x14ac:dyDescent="0.15">
      <c r="B403" s="38" t="s">
        <v>25</v>
      </c>
      <c r="C403" s="9">
        <f>1+1</f>
        <v>2</v>
      </c>
      <c r="D403" s="14">
        <v>1</v>
      </c>
      <c r="E403" s="13">
        <v>1</v>
      </c>
      <c r="F403" s="46">
        <f t="shared" si="109"/>
        <v>4</v>
      </c>
      <c r="G403" s="27">
        <v>44690</v>
      </c>
      <c r="H403" s="4" t="s">
        <v>24</v>
      </c>
      <c r="I403" s="9">
        <v>5</v>
      </c>
      <c r="J403" s="14">
        <v>5</v>
      </c>
      <c r="K403" s="13">
        <v>5</v>
      </c>
      <c r="L403" s="46">
        <f t="shared" si="108"/>
        <v>15</v>
      </c>
      <c r="M403" s="27">
        <v>44715</v>
      </c>
      <c r="N403" s="54"/>
    </row>
    <row r="404" spans="1:14" x14ac:dyDescent="0.15">
      <c r="B404" s="38" t="s">
        <v>25</v>
      </c>
      <c r="C404" s="9">
        <v>1</v>
      </c>
      <c r="D404" s="14"/>
      <c r="E404" s="13"/>
      <c r="F404" s="46">
        <f t="shared" si="109"/>
        <v>1</v>
      </c>
      <c r="G404" s="24">
        <v>44693</v>
      </c>
      <c r="H404" s="4" t="s">
        <v>93</v>
      </c>
      <c r="I404" s="9"/>
      <c r="J404" s="14"/>
      <c r="K404" s="13">
        <v>2</v>
      </c>
      <c r="L404" s="46">
        <f t="shared" si="108"/>
        <v>2</v>
      </c>
      <c r="M404" s="27">
        <v>44740</v>
      </c>
      <c r="N404" s="54"/>
    </row>
    <row r="405" spans="1:14" x14ac:dyDescent="0.15">
      <c r="B405" s="38" t="s">
        <v>25</v>
      </c>
      <c r="C405" s="9"/>
      <c r="D405" s="14"/>
      <c r="E405" s="13">
        <v>1</v>
      </c>
      <c r="F405" s="46">
        <f t="shared" si="109"/>
        <v>1</v>
      </c>
      <c r="G405" s="24">
        <v>44694</v>
      </c>
      <c r="H405" s="4"/>
      <c r="I405" s="9"/>
      <c r="J405" s="14"/>
      <c r="K405" s="13"/>
      <c r="L405" s="46">
        <f t="shared" si="108"/>
        <v>0</v>
      </c>
      <c r="M405" s="27"/>
    </row>
    <row r="406" spans="1:14" x14ac:dyDescent="0.15">
      <c r="B406" s="38" t="s">
        <v>25</v>
      </c>
      <c r="C406" s="9">
        <f>1+1</f>
        <v>2</v>
      </c>
      <c r="D406" s="14"/>
      <c r="E406" s="13">
        <v>1</v>
      </c>
      <c r="F406" s="46">
        <f t="shared" si="109"/>
        <v>3</v>
      </c>
      <c r="G406" s="24">
        <v>44697</v>
      </c>
      <c r="H406" s="4"/>
      <c r="I406" s="9"/>
      <c r="J406" s="14"/>
      <c r="K406" s="13"/>
      <c r="L406" s="46">
        <f t="shared" si="108"/>
        <v>0</v>
      </c>
      <c r="M406" s="26"/>
    </row>
    <row r="407" spans="1:14" x14ac:dyDescent="0.15">
      <c r="B407" s="38" t="s">
        <v>89</v>
      </c>
      <c r="C407" s="9"/>
      <c r="D407" s="14">
        <v>1</v>
      </c>
      <c r="E407" s="13"/>
      <c r="F407" s="46">
        <f t="shared" si="109"/>
        <v>1</v>
      </c>
      <c r="G407" s="27">
        <v>44698</v>
      </c>
      <c r="H407" s="4"/>
      <c r="I407" s="9"/>
      <c r="J407" s="14"/>
      <c r="K407" s="13"/>
      <c r="L407" s="46">
        <f t="shared" si="108"/>
        <v>0</v>
      </c>
      <c r="M407" s="1"/>
    </row>
    <row r="408" spans="1:14" x14ac:dyDescent="0.15">
      <c r="B408" s="38" t="s">
        <v>25</v>
      </c>
      <c r="C408" s="9">
        <f>5+1</f>
        <v>6</v>
      </c>
      <c r="D408" s="14"/>
      <c r="E408" s="13"/>
      <c r="F408" s="46">
        <f t="shared" si="109"/>
        <v>6</v>
      </c>
      <c r="G408" s="24">
        <v>44698</v>
      </c>
      <c r="H408" s="4"/>
      <c r="I408" s="9"/>
      <c r="J408" s="14"/>
      <c r="K408" s="13"/>
      <c r="L408" s="46">
        <f t="shared" si="108"/>
        <v>0</v>
      </c>
      <c r="M408" s="1"/>
    </row>
    <row r="409" spans="1:14" x14ac:dyDescent="0.15">
      <c r="B409" s="38" t="s">
        <v>25</v>
      </c>
      <c r="C409" s="9">
        <v>1</v>
      </c>
      <c r="D409" s="14"/>
      <c r="E409" s="40"/>
      <c r="F409" s="46">
        <f t="shared" si="109"/>
        <v>1</v>
      </c>
      <c r="G409" s="24">
        <v>44705</v>
      </c>
      <c r="H409" s="4"/>
      <c r="I409" s="9"/>
      <c r="J409" s="14"/>
      <c r="K409" s="40"/>
      <c r="L409" s="46">
        <f t="shared" si="108"/>
        <v>0</v>
      </c>
      <c r="M409" s="1"/>
    </row>
    <row r="410" spans="1:14" x14ac:dyDescent="0.15">
      <c r="B410" s="38" t="s">
        <v>25</v>
      </c>
      <c r="C410" s="9">
        <f>1+1</f>
        <v>2</v>
      </c>
      <c r="D410" s="14"/>
      <c r="E410" s="13"/>
      <c r="F410" s="46">
        <f t="shared" si="109"/>
        <v>2</v>
      </c>
      <c r="G410" s="24">
        <v>44706</v>
      </c>
      <c r="H410" s="4"/>
      <c r="I410" s="9"/>
      <c r="J410" s="14"/>
      <c r="K410" s="13"/>
      <c r="L410" s="46">
        <f t="shared" si="108"/>
        <v>0</v>
      </c>
      <c r="M410" s="1"/>
    </row>
    <row r="411" spans="1:14" x14ac:dyDescent="0.15">
      <c r="B411" s="38" t="s">
        <v>25</v>
      </c>
      <c r="C411" s="9"/>
      <c r="D411" s="14">
        <f>1+1</f>
        <v>2</v>
      </c>
      <c r="E411" s="13">
        <v>1</v>
      </c>
      <c r="F411" s="46">
        <f t="shared" si="109"/>
        <v>3</v>
      </c>
      <c r="G411" s="24">
        <v>44707</v>
      </c>
      <c r="H411" s="4"/>
      <c r="I411" s="9"/>
      <c r="J411" s="14"/>
      <c r="K411" s="13"/>
      <c r="L411" s="46">
        <f t="shared" si="108"/>
        <v>0</v>
      </c>
      <c r="M411" s="1"/>
    </row>
    <row r="412" spans="1:14" x14ac:dyDescent="0.15">
      <c r="B412" s="38" t="s">
        <v>25</v>
      </c>
      <c r="C412" s="9"/>
      <c r="D412" s="14">
        <v>1</v>
      </c>
      <c r="E412" s="13">
        <f>1+1</f>
        <v>2</v>
      </c>
      <c r="F412" s="46">
        <f t="shared" si="109"/>
        <v>3</v>
      </c>
      <c r="G412" s="24">
        <v>44708</v>
      </c>
      <c r="H412" s="4"/>
      <c r="I412" s="9"/>
      <c r="J412" s="14"/>
      <c r="K412" s="13"/>
      <c r="L412" s="46">
        <f t="shared" si="108"/>
        <v>0</v>
      </c>
      <c r="M412" s="1"/>
    </row>
    <row r="413" spans="1:14" x14ac:dyDescent="0.15">
      <c r="B413" s="38" t="s">
        <v>89</v>
      </c>
      <c r="C413" s="9"/>
      <c r="D413" s="14">
        <v>1</v>
      </c>
      <c r="E413" s="13"/>
      <c r="F413" s="46">
        <f t="shared" si="109"/>
        <v>1</v>
      </c>
      <c r="G413" s="24">
        <v>44711</v>
      </c>
      <c r="H413" s="4"/>
      <c r="I413" s="9"/>
      <c r="J413" s="14"/>
      <c r="K413" s="13"/>
      <c r="L413" s="46">
        <f t="shared" si="108"/>
        <v>0</v>
      </c>
      <c r="M413" s="1"/>
    </row>
    <row r="414" spans="1:14" x14ac:dyDescent="0.15">
      <c r="B414" s="38" t="s">
        <v>25</v>
      </c>
      <c r="C414" s="9">
        <v>1</v>
      </c>
      <c r="D414" s="14"/>
      <c r="E414" s="13">
        <v>2</v>
      </c>
      <c r="F414" s="46">
        <f t="shared" si="109"/>
        <v>3</v>
      </c>
      <c r="G414" s="24">
        <v>44711</v>
      </c>
      <c r="H414" s="4"/>
      <c r="I414" s="9"/>
      <c r="J414" s="14"/>
      <c r="K414" s="13"/>
      <c r="L414" s="46">
        <f t="shared" si="108"/>
        <v>0</v>
      </c>
      <c r="M414" s="1"/>
    </row>
    <row r="415" spans="1:14" x14ac:dyDescent="0.15">
      <c r="B415" s="38" t="s">
        <v>25</v>
      </c>
      <c r="C415" s="9">
        <f>2+1+1+1</f>
        <v>5</v>
      </c>
      <c r="D415" s="14">
        <v>1</v>
      </c>
      <c r="E415" s="13">
        <v>1</v>
      </c>
      <c r="F415" s="46">
        <f t="shared" si="109"/>
        <v>7</v>
      </c>
      <c r="G415" s="24">
        <v>44718</v>
      </c>
      <c r="H415" s="4"/>
      <c r="I415" s="9"/>
      <c r="J415" s="14"/>
      <c r="K415" s="13"/>
      <c r="L415" s="46">
        <f t="shared" si="108"/>
        <v>0</v>
      </c>
      <c r="M415" s="1"/>
    </row>
    <row r="416" spans="1:14" x14ac:dyDescent="0.15">
      <c r="A416" s="1"/>
      <c r="B416" s="38" t="s">
        <v>25</v>
      </c>
      <c r="C416" s="9"/>
      <c r="D416" s="14"/>
      <c r="E416" s="13">
        <v>1</v>
      </c>
      <c r="F416" s="46">
        <f t="shared" si="109"/>
        <v>1</v>
      </c>
      <c r="G416" s="24">
        <v>44720</v>
      </c>
      <c r="H416" s="4"/>
      <c r="I416" s="9"/>
      <c r="J416" s="14"/>
      <c r="K416" s="13"/>
      <c r="L416" s="46">
        <f t="shared" si="108"/>
        <v>0</v>
      </c>
      <c r="M416" s="1"/>
    </row>
    <row r="417" spans="1:14" x14ac:dyDescent="0.15">
      <c r="A417" s="1"/>
      <c r="B417" s="4" t="s">
        <v>60</v>
      </c>
      <c r="C417" s="9"/>
      <c r="D417" s="14">
        <v>2</v>
      </c>
      <c r="E417" s="13"/>
      <c r="F417" s="46">
        <f t="shared" si="109"/>
        <v>2</v>
      </c>
      <c r="G417" s="27">
        <v>44722</v>
      </c>
      <c r="H417" s="4"/>
      <c r="I417" s="9"/>
      <c r="J417" s="14"/>
      <c r="K417" s="13"/>
      <c r="L417" s="46">
        <f t="shared" si="108"/>
        <v>0</v>
      </c>
      <c r="M417" s="1"/>
    </row>
    <row r="418" spans="1:14" x14ac:dyDescent="0.15">
      <c r="A418" s="1"/>
      <c r="B418" s="38" t="s">
        <v>25</v>
      </c>
      <c r="C418" s="9"/>
      <c r="D418" s="14"/>
      <c r="E418" s="13">
        <v>1</v>
      </c>
      <c r="F418" s="46">
        <f t="shared" si="109"/>
        <v>1</v>
      </c>
      <c r="G418" s="24">
        <v>44721</v>
      </c>
      <c r="H418" s="4"/>
      <c r="I418" s="9"/>
      <c r="J418" s="14"/>
      <c r="K418" s="13"/>
      <c r="L418" s="46">
        <f t="shared" si="108"/>
        <v>0</v>
      </c>
      <c r="M418" s="1"/>
    </row>
    <row r="419" spans="1:14" x14ac:dyDescent="0.15">
      <c r="A419" s="1"/>
      <c r="B419" s="38" t="s">
        <v>25</v>
      </c>
      <c r="C419" s="9">
        <v>1</v>
      </c>
      <c r="D419" s="14">
        <v>1</v>
      </c>
      <c r="E419" s="13"/>
      <c r="F419" s="46">
        <f t="shared" si="109"/>
        <v>2</v>
      </c>
      <c r="G419" s="24">
        <v>44733</v>
      </c>
      <c r="H419" s="4"/>
      <c r="I419" s="9"/>
      <c r="J419" s="14"/>
      <c r="K419" s="13"/>
      <c r="L419" s="46">
        <f t="shared" si="108"/>
        <v>0</v>
      </c>
      <c r="M419" s="1"/>
    </row>
    <row r="420" spans="1:14" x14ac:dyDescent="0.15">
      <c r="A420" s="1"/>
      <c r="B420" s="38" t="s">
        <v>89</v>
      </c>
      <c r="C420" s="9">
        <v>1</v>
      </c>
      <c r="D420" s="14"/>
      <c r="E420" s="13"/>
      <c r="F420" s="46">
        <f t="shared" si="109"/>
        <v>1</v>
      </c>
      <c r="G420" s="24">
        <v>44734</v>
      </c>
      <c r="H420" s="4"/>
      <c r="I420" s="9"/>
      <c r="J420" s="14"/>
      <c r="K420" s="13"/>
      <c r="L420" s="46">
        <f t="shared" si="108"/>
        <v>0</v>
      </c>
      <c r="M420" s="31"/>
    </row>
    <row r="421" spans="1:14" x14ac:dyDescent="0.15">
      <c r="A421" s="1"/>
      <c r="B421" s="38" t="s">
        <v>25</v>
      </c>
      <c r="C421" s="16"/>
      <c r="D421" s="17">
        <v>1</v>
      </c>
      <c r="E421" s="18"/>
      <c r="F421" s="46">
        <f t="shared" si="109"/>
        <v>1</v>
      </c>
      <c r="G421" s="24">
        <v>44735</v>
      </c>
      <c r="H421" s="4"/>
      <c r="I421" s="9"/>
      <c r="J421" s="14"/>
      <c r="K421" s="13"/>
      <c r="L421" s="46">
        <f t="shared" si="108"/>
        <v>0</v>
      </c>
      <c r="M421" s="31"/>
    </row>
    <row r="422" spans="1:14" ht="14.25" thickBot="1" x14ac:dyDescent="0.2">
      <c r="A422" s="1"/>
      <c r="B422" s="38" t="s">
        <v>25</v>
      </c>
      <c r="C422" s="9">
        <v>2</v>
      </c>
      <c r="D422" s="14">
        <v>3</v>
      </c>
      <c r="E422" s="13"/>
      <c r="F422" s="47">
        <f t="shared" si="109"/>
        <v>5</v>
      </c>
      <c r="G422" s="24">
        <v>44739</v>
      </c>
      <c r="H422" s="4"/>
      <c r="I422" s="9"/>
      <c r="J422" s="14"/>
      <c r="K422" s="13"/>
      <c r="L422" s="47">
        <f t="shared" si="108"/>
        <v>0</v>
      </c>
      <c r="M422" s="31"/>
    </row>
    <row r="423" spans="1:14" ht="14.25" thickBot="1" x14ac:dyDescent="0.2">
      <c r="A423" s="1"/>
      <c r="B423" s="5" t="s">
        <v>9</v>
      </c>
      <c r="C423" s="10">
        <f>SUM(C399:C422)</f>
        <v>28</v>
      </c>
      <c r="D423" s="10">
        <f t="shared" ref="D423:E423" si="110">SUM(D399:D422)</f>
        <v>19</v>
      </c>
      <c r="E423" s="10">
        <f t="shared" si="110"/>
        <v>12</v>
      </c>
      <c r="F423" s="48">
        <f t="shared" si="109"/>
        <v>59</v>
      </c>
      <c r="G423" s="1"/>
      <c r="H423" s="5" t="s">
        <v>9</v>
      </c>
      <c r="I423" s="10">
        <f>SUM(I399:I422)</f>
        <v>15</v>
      </c>
      <c r="J423" s="10">
        <f t="shared" ref="J423:K423" si="111">SUM(J399:J422)</f>
        <v>12</v>
      </c>
      <c r="K423" s="10">
        <f t="shared" si="111"/>
        <v>7</v>
      </c>
      <c r="L423" s="48">
        <f t="shared" si="108"/>
        <v>34</v>
      </c>
      <c r="M423" s="31"/>
    </row>
    <row r="424" spans="1:14" ht="14.25" thickBot="1" x14ac:dyDescent="0.2">
      <c r="A424" s="1"/>
      <c r="B424" s="8" t="s">
        <v>10</v>
      </c>
      <c r="C424" s="11">
        <f>C398-C423</f>
        <v>7</v>
      </c>
      <c r="D424" s="11">
        <f t="shared" ref="D424:E424" si="112">D398-D423</f>
        <v>4</v>
      </c>
      <c r="E424" s="11">
        <f t="shared" si="112"/>
        <v>7</v>
      </c>
      <c r="F424" s="37">
        <f t="shared" si="109"/>
        <v>18</v>
      </c>
      <c r="G424" s="1"/>
      <c r="H424" s="8" t="s">
        <v>10</v>
      </c>
      <c r="I424" s="11">
        <f>I398-I423</f>
        <v>1128</v>
      </c>
      <c r="J424" s="11">
        <f t="shared" ref="J424:K424" si="113">J398-J423</f>
        <v>767</v>
      </c>
      <c r="K424" s="11">
        <f t="shared" si="113"/>
        <v>299</v>
      </c>
      <c r="L424" s="37">
        <f t="shared" si="108"/>
        <v>2194</v>
      </c>
      <c r="M424" s="1"/>
    </row>
    <row r="425" spans="1:14" x14ac:dyDescent="0.15">
      <c r="M425" s="1"/>
      <c r="N425" s="1"/>
    </row>
    <row r="426" spans="1:14" x14ac:dyDescent="0.15">
      <c r="M426" s="1"/>
      <c r="N426" s="1"/>
    </row>
    <row r="427" spans="1:14" ht="18.75" x14ac:dyDescent="0.2">
      <c r="A427" s="41" t="s">
        <v>12</v>
      </c>
      <c r="B427" s="42"/>
      <c r="C427" s="41"/>
      <c r="D427" s="43"/>
      <c r="E427" s="43"/>
      <c r="F427" s="2"/>
      <c r="G427" s="1"/>
      <c r="H427" s="41" t="s">
        <v>12</v>
      </c>
      <c r="I427" s="41"/>
      <c r="J427" s="43"/>
      <c r="K427" s="43"/>
      <c r="L427" s="2"/>
    </row>
    <row r="428" spans="1:14" ht="19.5" thickBot="1" x14ac:dyDescent="0.25">
      <c r="A428" s="7"/>
      <c r="B428" s="7" t="s">
        <v>0</v>
      </c>
      <c r="C428" s="7"/>
      <c r="D428" s="7" t="s">
        <v>15</v>
      </c>
      <c r="E428" s="2"/>
      <c r="F428" s="2"/>
      <c r="G428" s="1"/>
      <c r="H428" s="7" t="s">
        <v>1</v>
      </c>
      <c r="I428" s="1"/>
      <c r="J428" s="7" t="s">
        <v>15</v>
      </c>
      <c r="K428" s="2"/>
      <c r="L428" s="2"/>
      <c r="M428" s="1"/>
      <c r="N428" s="1"/>
    </row>
    <row r="429" spans="1:14" ht="14.25" thickBot="1" x14ac:dyDescent="0.2">
      <c r="A429" s="1"/>
      <c r="B429" s="3"/>
      <c r="C429" s="5" t="s">
        <v>2</v>
      </c>
      <c r="D429" s="3" t="s">
        <v>3</v>
      </c>
      <c r="E429" s="12" t="s">
        <v>4</v>
      </c>
      <c r="F429" s="3" t="s">
        <v>5</v>
      </c>
      <c r="G429" s="1"/>
      <c r="H429" s="3"/>
      <c r="I429" s="5" t="s">
        <v>2</v>
      </c>
      <c r="J429" s="3" t="s">
        <v>3</v>
      </c>
      <c r="K429" s="12" t="s">
        <v>4</v>
      </c>
      <c r="L429" s="3" t="s">
        <v>5</v>
      </c>
      <c r="M429" s="1"/>
      <c r="N429" s="1"/>
    </row>
    <row r="430" spans="1:14" ht="14.25" thickBot="1" x14ac:dyDescent="0.2">
      <c r="A430" s="1"/>
      <c r="B430" s="34" t="s">
        <v>11</v>
      </c>
      <c r="C430" s="35">
        <f>C424</f>
        <v>7</v>
      </c>
      <c r="D430" s="36">
        <f>D424</f>
        <v>4</v>
      </c>
      <c r="E430" s="35">
        <f>E424</f>
        <v>7</v>
      </c>
      <c r="F430" s="37">
        <f>SUM(C430:E430)</f>
        <v>18</v>
      </c>
      <c r="G430" s="28"/>
      <c r="H430" s="34"/>
      <c r="I430" s="35">
        <f>I424</f>
        <v>1128</v>
      </c>
      <c r="J430" s="36">
        <f>J424</f>
        <v>767</v>
      </c>
      <c r="K430" s="35">
        <f>K424</f>
        <v>299</v>
      </c>
      <c r="L430" s="37">
        <f>SUM(I430:K430)</f>
        <v>2194</v>
      </c>
      <c r="M430" s="1"/>
    </row>
    <row r="431" spans="1:14" x14ac:dyDescent="0.15">
      <c r="A431" s="1"/>
      <c r="B431" s="29" t="s">
        <v>7</v>
      </c>
      <c r="C431" s="64">
        <v>5</v>
      </c>
      <c r="D431" s="15">
        <v>10</v>
      </c>
      <c r="E431" s="30">
        <v>5</v>
      </c>
      <c r="F431" s="46">
        <f>SUM(C431:E431)</f>
        <v>20</v>
      </c>
      <c r="G431" s="24">
        <v>44747</v>
      </c>
      <c r="H431" s="29"/>
      <c r="I431" s="30"/>
      <c r="J431" s="15"/>
      <c r="K431" s="30"/>
      <c r="L431" s="46">
        <f>SUM(I431:K431)</f>
        <v>0</v>
      </c>
      <c r="M431" s="1"/>
    </row>
    <row r="432" spans="1:14" x14ac:dyDescent="0.15">
      <c r="A432" s="1"/>
      <c r="B432" s="29" t="s">
        <v>7</v>
      </c>
      <c r="C432" s="30">
        <v>5</v>
      </c>
      <c r="D432" s="4">
        <v>5</v>
      </c>
      <c r="E432" s="19">
        <v>5</v>
      </c>
      <c r="F432" s="46">
        <f>SUM(C432:E432)</f>
        <v>15</v>
      </c>
      <c r="G432" s="24">
        <v>44764</v>
      </c>
      <c r="H432" s="29"/>
      <c r="I432" s="19"/>
      <c r="J432" s="4"/>
      <c r="K432" s="19"/>
      <c r="L432" s="46">
        <f>SUM(I432:K432)</f>
        <v>0</v>
      </c>
      <c r="M432" s="31"/>
    </row>
    <row r="433" spans="1:14" x14ac:dyDescent="0.15">
      <c r="A433" s="1"/>
      <c r="B433" s="29" t="s">
        <v>7</v>
      </c>
      <c r="C433" s="19">
        <v>5</v>
      </c>
      <c r="D433" s="4">
        <v>5</v>
      </c>
      <c r="E433" s="19">
        <v>5</v>
      </c>
      <c r="F433" s="46">
        <f t="shared" ref="F433:F440" si="114">SUM(C433:E433)</f>
        <v>15</v>
      </c>
      <c r="G433" s="24">
        <v>44768</v>
      </c>
      <c r="H433" s="29"/>
      <c r="I433" s="22"/>
      <c r="J433" s="23"/>
      <c r="K433" s="22"/>
      <c r="L433" s="46">
        <f t="shared" ref="L433:L435" si="115">SUM(I433:K433)</f>
        <v>0</v>
      </c>
      <c r="M433" s="27"/>
    </row>
    <row r="434" spans="1:14" x14ac:dyDescent="0.15">
      <c r="A434" s="1"/>
      <c r="B434" s="29" t="s">
        <v>7</v>
      </c>
      <c r="C434" s="22">
        <v>5</v>
      </c>
      <c r="D434" s="23">
        <v>5</v>
      </c>
      <c r="E434" s="22">
        <v>5</v>
      </c>
      <c r="F434" s="46">
        <f t="shared" si="114"/>
        <v>15</v>
      </c>
      <c r="G434" s="27">
        <v>44783</v>
      </c>
      <c r="H434" s="29"/>
      <c r="I434" s="22"/>
      <c r="J434" s="23"/>
      <c r="K434" s="22"/>
      <c r="L434" s="46">
        <f t="shared" si="115"/>
        <v>0</v>
      </c>
      <c r="M434" s="27"/>
    </row>
    <row r="435" spans="1:14" x14ac:dyDescent="0.15">
      <c r="A435" s="1"/>
      <c r="B435" s="29" t="s">
        <v>7</v>
      </c>
      <c r="C435" s="22"/>
      <c r="D435" s="23"/>
      <c r="E435" s="22"/>
      <c r="F435" s="46">
        <f t="shared" si="114"/>
        <v>0</v>
      </c>
      <c r="G435" s="27"/>
      <c r="H435" s="29"/>
      <c r="I435" s="22"/>
      <c r="J435" s="23"/>
      <c r="K435" s="22"/>
      <c r="L435" s="46">
        <f t="shared" si="115"/>
        <v>0</v>
      </c>
      <c r="M435" s="27"/>
    </row>
    <row r="436" spans="1:14" x14ac:dyDescent="0.15">
      <c r="A436" s="1"/>
      <c r="B436" s="29" t="s">
        <v>7</v>
      </c>
      <c r="C436" s="22"/>
      <c r="D436" s="23"/>
      <c r="E436" s="22"/>
      <c r="F436" s="46">
        <f t="shared" si="114"/>
        <v>0</v>
      </c>
      <c r="G436" s="27"/>
      <c r="H436" s="29"/>
      <c r="I436" s="19"/>
      <c r="J436" s="4"/>
      <c r="K436" s="19"/>
      <c r="L436" s="46">
        <f>SUM(I436:K436)</f>
        <v>0</v>
      </c>
      <c r="M436" s="31"/>
    </row>
    <row r="437" spans="1:14" x14ac:dyDescent="0.15">
      <c r="A437" s="1"/>
      <c r="B437" s="29" t="s">
        <v>7</v>
      </c>
      <c r="C437" s="20"/>
      <c r="D437" s="21"/>
      <c r="E437" s="20"/>
      <c r="F437" s="46">
        <f t="shared" si="114"/>
        <v>0</v>
      </c>
      <c r="G437" s="27"/>
      <c r="H437" s="29"/>
      <c r="I437" s="20"/>
      <c r="J437" s="21"/>
      <c r="K437" s="20"/>
      <c r="L437" s="46">
        <f t="shared" ref="L437:L440" si="116">SUM(I437:K437)</f>
        <v>0</v>
      </c>
      <c r="M437" s="27"/>
    </row>
    <row r="438" spans="1:14" x14ac:dyDescent="0.15">
      <c r="A438" s="1"/>
      <c r="B438" s="29" t="s">
        <v>7</v>
      </c>
      <c r="C438" s="20"/>
      <c r="D438" s="21"/>
      <c r="E438" s="20"/>
      <c r="F438" s="46">
        <f t="shared" si="114"/>
        <v>0</v>
      </c>
      <c r="G438" s="27"/>
      <c r="H438" s="29"/>
      <c r="I438" s="20"/>
      <c r="J438" s="21"/>
      <c r="K438" s="20"/>
      <c r="L438" s="46">
        <f t="shared" si="116"/>
        <v>0</v>
      </c>
      <c r="M438" s="31"/>
    </row>
    <row r="439" spans="1:14" x14ac:dyDescent="0.15">
      <c r="A439" s="1"/>
      <c r="B439" s="29" t="s">
        <v>7</v>
      </c>
      <c r="C439" s="20"/>
      <c r="D439" s="21"/>
      <c r="E439" s="20"/>
      <c r="F439" s="46">
        <f t="shared" si="114"/>
        <v>0</v>
      </c>
      <c r="G439" s="24"/>
      <c r="H439" s="29"/>
      <c r="I439" s="20"/>
      <c r="J439" s="21"/>
      <c r="K439" s="20"/>
      <c r="L439" s="46">
        <f t="shared" si="116"/>
        <v>0</v>
      </c>
      <c r="M439" s="1"/>
    </row>
    <row r="440" spans="1:14" ht="14.25" thickBot="1" x14ac:dyDescent="0.2">
      <c r="A440" s="1"/>
      <c r="B440" s="29" t="s">
        <v>7</v>
      </c>
      <c r="C440" s="19"/>
      <c r="D440" s="4"/>
      <c r="E440" s="19"/>
      <c r="F440" s="46">
        <f t="shared" si="114"/>
        <v>0</v>
      </c>
      <c r="G440" s="27"/>
      <c r="H440" s="29"/>
      <c r="I440" s="19"/>
      <c r="J440" s="4"/>
      <c r="K440" s="19"/>
      <c r="L440" s="46">
        <f t="shared" si="116"/>
        <v>0</v>
      </c>
      <c r="M440" s="1"/>
    </row>
    <row r="441" spans="1:14" ht="14.25" thickBot="1" x14ac:dyDescent="0.2">
      <c r="A441" s="1"/>
      <c r="B441" s="6" t="s">
        <v>8</v>
      </c>
      <c r="C441" s="44">
        <f>SUM(C430:C440)</f>
        <v>27</v>
      </c>
      <c r="D441" s="44">
        <f t="shared" ref="D441:F441" si="117">SUM(D430:D440)</f>
        <v>29</v>
      </c>
      <c r="E441" s="44">
        <f t="shared" si="117"/>
        <v>27</v>
      </c>
      <c r="F441" s="45">
        <f t="shared" si="117"/>
        <v>83</v>
      </c>
      <c r="G441" s="1"/>
      <c r="H441" s="6"/>
      <c r="I441" s="44">
        <f>SUM(I430:I440)</f>
        <v>1128</v>
      </c>
      <c r="J441" s="44">
        <f t="shared" ref="J441:L441" si="118">SUM(J430:J440)</f>
        <v>767</v>
      </c>
      <c r="K441" s="44">
        <f t="shared" si="118"/>
        <v>299</v>
      </c>
      <c r="L441" s="45">
        <f t="shared" si="118"/>
        <v>2194</v>
      </c>
      <c r="M441" s="1"/>
    </row>
    <row r="442" spans="1:14" x14ac:dyDescent="0.15">
      <c r="A442" s="1"/>
      <c r="B442" s="38" t="s">
        <v>25</v>
      </c>
      <c r="C442" s="9">
        <v>1</v>
      </c>
      <c r="D442" s="14">
        <v>1</v>
      </c>
      <c r="E442" s="13">
        <v>2</v>
      </c>
      <c r="F442" s="46">
        <f>SUM(C442:E442)</f>
        <v>4</v>
      </c>
      <c r="G442" s="24">
        <v>44741</v>
      </c>
      <c r="H442" s="4" t="s">
        <v>95</v>
      </c>
      <c r="I442" s="67">
        <v>5</v>
      </c>
      <c r="J442" s="40">
        <v>10</v>
      </c>
      <c r="K442" s="68">
        <v>5</v>
      </c>
      <c r="L442" s="46">
        <f>SUM(I442:K442)</f>
        <v>20</v>
      </c>
      <c r="M442" s="65">
        <v>44747</v>
      </c>
      <c r="N442" s="54"/>
    </row>
    <row r="443" spans="1:14" x14ac:dyDescent="0.15">
      <c r="B443" s="38" t="s">
        <v>25</v>
      </c>
      <c r="C443" s="9"/>
      <c r="D443" s="14">
        <v>2</v>
      </c>
      <c r="E443" s="13">
        <v>1</v>
      </c>
      <c r="F443" s="46">
        <f>SUM(C443:E443)</f>
        <v>3</v>
      </c>
      <c r="G443" s="24">
        <v>44744</v>
      </c>
      <c r="H443" s="4" t="s">
        <v>24</v>
      </c>
      <c r="I443" s="52">
        <v>5</v>
      </c>
      <c r="J443" s="53">
        <v>5</v>
      </c>
      <c r="K443" s="55">
        <v>5</v>
      </c>
      <c r="L443" s="46">
        <f>SUM(I443:K443)</f>
        <v>15</v>
      </c>
      <c r="M443" s="66">
        <v>44764</v>
      </c>
      <c r="N443" s="54"/>
    </row>
    <row r="444" spans="1:14" x14ac:dyDescent="0.15">
      <c r="B444" s="38" t="s">
        <v>94</v>
      </c>
      <c r="C444" s="9"/>
      <c r="D444" s="14">
        <v>1</v>
      </c>
      <c r="E444" s="13"/>
      <c r="F444" s="46">
        <f t="shared" ref="F444:F467" si="119">SUM(C444:E444)</f>
        <v>1</v>
      </c>
      <c r="G444" s="24">
        <v>44747</v>
      </c>
      <c r="H444" s="4" t="s">
        <v>24</v>
      </c>
      <c r="I444" s="52">
        <v>5</v>
      </c>
      <c r="J444" s="53">
        <v>5</v>
      </c>
      <c r="K444" s="55">
        <v>5</v>
      </c>
      <c r="L444" s="46">
        <f t="shared" ref="L444:L467" si="120">SUM(I444:K444)</f>
        <v>15</v>
      </c>
      <c r="M444" s="66">
        <v>44768</v>
      </c>
      <c r="N444" s="54"/>
    </row>
    <row r="445" spans="1:14" x14ac:dyDescent="0.15">
      <c r="B445" s="38" t="s">
        <v>25</v>
      </c>
      <c r="C445" s="9">
        <v>1</v>
      </c>
      <c r="D445" s="14">
        <f>1+1</f>
        <v>2</v>
      </c>
      <c r="E445" s="13">
        <f>1+1</f>
        <v>2</v>
      </c>
      <c r="F445" s="46">
        <f t="shared" si="119"/>
        <v>5</v>
      </c>
      <c r="G445" s="24">
        <v>44747</v>
      </c>
      <c r="H445" s="4" t="s">
        <v>24</v>
      </c>
      <c r="I445" s="9">
        <v>5</v>
      </c>
      <c r="J445" s="14">
        <v>5</v>
      </c>
      <c r="K445" s="13">
        <v>5</v>
      </c>
      <c r="L445" s="46">
        <f t="shared" ref="L445:L456" si="121">SUM(I445:K445)</f>
        <v>15</v>
      </c>
      <c r="M445" s="27">
        <v>44783</v>
      </c>
      <c r="N445" s="54"/>
    </row>
    <row r="446" spans="1:14" x14ac:dyDescent="0.15">
      <c r="B446" s="38" t="s">
        <v>25</v>
      </c>
      <c r="C446" s="9">
        <v>2</v>
      </c>
      <c r="D446" s="14">
        <v>1</v>
      </c>
      <c r="E446" s="13">
        <v>1</v>
      </c>
      <c r="F446" s="46">
        <f t="shared" si="119"/>
        <v>4</v>
      </c>
      <c r="G446" s="24">
        <v>44748</v>
      </c>
      <c r="H446" s="4"/>
      <c r="I446" s="9"/>
      <c r="J446" s="14"/>
      <c r="K446" s="13"/>
      <c r="L446" s="46">
        <f t="shared" si="121"/>
        <v>0</v>
      </c>
      <c r="M446" s="27"/>
      <c r="N446" s="54"/>
    </row>
    <row r="447" spans="1:14" x14ac:dyDescent="0.15">
      <c r="B447" s="38" t="s">
        <v>25</v>
      </c>
      <c r="C447" s="9"/>
      <c r="D447" s="14">
        <v>1</v>
      </c>
      <c r="E447" s="13"/>
      <c r="F447" s="46">
        <f t="shared" si="119"/>
        <v>1</v>
      </c>
      <c r="G447" s="24">
        <v>44750</v>
      </c>
      <c r="H447" s="4"/>
      <c r="I447" s="9"/>
      <c r="J447" s="14"/>
      <c r="K447" s="13"/>
      <c r="L447" s="46">
        <f t="shared" si="121"/>
        <v>0</v>
      </c>
      <c r="M447" s="27"/>
      <c r="N447" s="54"/>
    </row>
    <row r="448" spans="1:14" x14ac:dyDescent="0.15">
      <c r="B448" s="38" t="s">
        <v>25</v>
      </c>
      <c r="C448" s="9">
        <f>1+1+1+1</f>
        <v>4</v>
      </c>
      <c r="D448" s="14">
        <f>1+1</f>
        <v>2</v>
      </c>
      <c r="E448" s="13">
        <v>1</v>
      </c>
      <c r="F448" s="46">
        <f t="shared" si="119"/>
        <v>7</v>
      </c>
      <c r="G448" s="24">
        <v>44753</v>
      </c>
      <c r="H448" s="4"/>
      <c r="I448" s="9"/>
      <c r="J448" s="14"/>
      <c r="K448" s="13"/>
      <c r="L448" s="46">
        <f t="shared" si="121"/>
        <v>0</v>
      </c>
      <c r="M448" s="27"/>
    </row>
    <row r="449" spans="1:13" x14ac:dyDescent="0.15">
      <c r="B449" s="38" t="s">
        <v>25</v>
      </c>
      <c r="C449" s="9">
        <f>1+1</f>
        <v>2</v>
      </c>
      <c r="D449" s="14">
        <v>2</v>
      </c>
      <c r="E449" s="13">
        <f>2+1</f>
        <v>3</v>
      </c>
      <c r="F449" s="46">
        <f t="shared" si="119"/>
        <v>7</v>
      </c>
      <c r="G449" s="24">
        <v>44761</v>
      </c>
      <c r="H449" s="4"/>
      <c r="I449" s="9"/>
      <c r="J449" s="14"/>
      <c r="K449" s="13"/>
      <c r="L449" s="46">
        <f t="shared" si="121"/>
        <v>0</v>
      </c>
      <c r="M449" s="27"/>
    </row>
    <row r="450" spans="1:13" x14ac:dyDescent="0.15">
      <c r="B450" s="38" t="s">
        <v>25</v>
      </c>
      <c r="C450" s="9">
        <v>1</v>
      </c>
      <c r="D450" s="14">
        <v>1</v>
      </c>
      <c r="E450" s="13">
        <v>1</v>
      </c>
      <c r="F450" s="46">
        <f t="shared" si="119"/>
        <v>3</v>
      </c>
      <c r="G450" s="27">
        <v>44762</v>
      </c>
      <c r="H450" s="4"/>
      <c r="I450" s="9"/>
      <c r="J450" s="14"/>
      <c r="K450" s="13"/>
      <c r="L450" s="46">
        <f t="shared" si="121"/>
        <v>0</v>
      </c>
      <c r="M450" s="27"/>
    </row>
    <row r="451" spans="1:13" x14ac:dyDescent="0.15">
      <c r="B451" s="38" t="s">
        <v>25</v>
      </c>
      <c r="C451" s="9"/>
      <c r="D451" s="14"/>
      <c r="E451" s="13">
        <v>1</v>
      </c>
      <c r="F451" s="46">
        <f t="shared" si="119"/>
        <v>1</v>
      </c>
      <c r="G451" s="24">
        <v>44763</v>
      </c>
      <c r="H451" s="4"/>
      <c r="I451" s="9"/>
      <c r="J451" s="14"/>
      <c r="K451" s="13"/>
      <c r="L451" s="46">
        <f t="shared" si="121"/>
        <v>0</v>
      </c>
      <c r="M451" s="27"/>
    </row>
    <row r="452" spans="1:13" x14ac:dyDescent="0.15">
      <c r="B452" s="38" t="s">
        <v>25</v>
      </c>
      <c r="C452" s="9">
        <v>1</v>
      </c>
      <c r="D452" s="14"/>
      <c r="E452" s="40"/>
      <c r="F452" s="46">
        <f t="shared" si="119"/>
        <v>1</v>
      </c>
      <c r="G452" s="24">
        <v>44764</v>
      </c>
      <c r="H452" s="4"/>
      <c r="I452" s="9"/>
      <c r="J452" s="14"/>
      <c r="K452" s="13"/>
      <c r="L452" s="46">
        <f t="shared" si="121"/>
        <v>0</v>
      </c>
      <c r="M452" s="27"/>
    </row>
    <row r="453" spans="1:13" x14ac:dyDescent="0.15">
      <c r="B453" s="38" t="s">
        <v>25</v>
      </c>
      <c r="C453" s="9">
        <v>1</v>
      </c>
      <c r="D453" s="14">
        <f>2+1</f>
        <v>3</v>
      </c>
      <c r="E453" s="13">
        <v>1</v>
      </c>
      <c r="F453" s="46">
        <f t="shared" si="119"/>
        <v>5</v>
      </c>
      <c r="G453" s="24">
        <v>44767</v>
      </c>
      <c r="H453" s="4"/>
      <c r="I453" s="9"/>
      <c r="J453" s="14"/>
      <c r="K453" s="13"/>
      <c r="L453" s="46">
        <f t="shared" si="121"/>
        <v>0</v>
      </c>
      <c r="M453" s="27"/>
    </row>
    <row r="454" spans="1:13" x14ac:dyDescent="0.15">
      <c r="B454" s="38" t="s">
        <v>25</v>
      </c>
      <c r="C454" s="9"/>
      <c r="D454" s="14">
        <v>1</v>
      </c>
      <c r="E454" s="13">
        <v>2</v>
      </c>
      <c r="F454" s="46">
        <f t="shared" si="119"/>
        <v>3</v>
      </c>
      <c r="G454" s="24">
        <v>44768</v>
      </c>
      <c r="H454" s="4"/>
      <c r="I454" s="9"/>
      <c r="J454" s="14"/>
      <c r="K454" s="13"/>
      <c r="L454" s="46">
        <f t="shared" si="121"/>
        <v>0</v>
      </c>
      <c r="M454" s="27"/>
    </row>
    <row r="455" spans="1:13" x14ac:dyDescent="0.15">
      <c r="B455" s="38" t="s">
        <v>59</v>
      </c>
      <c r="C455" s="9"/>
      <c r="D455" s="14"/>
      <c r="E455" s="13">
        <v>-2</v>
      </c>
      <c r="F455" s="46">
        <f t="shared" si="119"/>
        <v>-2</v>
      </c>
      <c r="G455" s="24">
        <v>44768</v>
      </c>
      <c r="H455" s="4"/>
      <c r="I455" s="9"/>
      <c r="J455" s="14"/>
      <c r="K455" s="13"/>
      <c r="L455" s="46">
        <f t="shared" si="121"/>
        <v>0</v>
      </c>
      <c r="M455" s="27"/>
    </row>
    <row r="456" spans="1:13" x14ac:dyDescent="0.15">
      <c r="B456" s="38" t="s">
        <v>25</v>
      </c>
      <c r="C456" s="9"/>
      <c r="D456" s="14"/>
      <c r="E456" s="13">
        <v>1</v>
      </c>
      <c r="F456" s="46">
        <f t="shared" si="119"/>
        <v>1</v>
      </c>
      <c r="G456" s="24">
        <v>44774</v>
      </c>
      <c r="H456" s="4"/>
      <c r="I456" s="9"/>
      <c r="J456" s="14"/>
      <c r="K456" s="13"/>
      <c r="L456" s="46">
        <f t="shared" si="121"/>
        <v>0</v>
      </c>
      <c r="M456" s="27"/>
    </row>
    <row r="457" spans="1:13" x14ac:dyDescent="0.15">
      <c r="B457" s="38" t="s">
        <v>25</v>
      </c>
      <c r="C457" s="9">
        <v>1</v>
      </c>
      <c r="D457" s="14"/>
      <c r="E457" s="13"/>
      <c r="F457" s="46">
        <f t="shared" si="119"/>
        <v>1</v>
      </c>
      <c r="G457" s="24">
        <v>44778</v>
      </c>
      <c r="H457" s="4"/>
      <c r="I457" s="9"/>
      <c r="J457" s="14"/>
      <c r="K457" s="13"/>
      <c r="L457" s="46">
        <f t="shared" si="120"/>
        <v>0</v>
      </c>
      <c r="M457" s="1"/>
    </row>
    <row r="458" spans="1:13" x14ac:dyDescent="0.15">
      <c r="B458" s="38" t="s">
        <v>25</v>
      </c>
      <c r="C458" s="9"/>
      <c r="D458" s="14"/>
      <c r="E458" s="13">
        <v>1</v>
      </c>
      <c r="F458" s="46">
        <f t="shared" si="119"/>
        <v>1</v>
      </c>
      <c r="G458" s="24">
        <v>44779</v>
      </c>
      <c r="H458" s="4"/>
      <c r="I458" s="9"/>
      <c r="J458" s="14"/>
      <c r="K458" s="13"/>
      <c r="L458" s="46">
        <f t="shared" si="120"/>
        <v>0</v>
      </c>
      <c r="M458" s="1"/>
    </row>
    <row r="459" spans="1:13" x14ac:dyDescent="0.15">
      <c r="A459" s="1"/>
      <c r="B459" s="38" t="s">
        <v>25</v>
      </c>
      <c r="C459" s="9"/>
      <c r="D459" s="14">
        <f>1+1</f>
        <v>2</v>
      </c>
      <c r="E459" s="13">
        <v>1</v>
      </c>
      <c r="F459" s="46">
        <f t="shared" si="119"/>
        <v>3</v>
      </c>
      <c r="G459" s="24">
        <v>44781</v>
      </c>
      <c r="H459" s="4"/>
      <c r="I459" s="9"/>
      <c r="J459" s="14"/>
      <c r="K459" s="13"/>
      <c r="L459" s="46">
        <f t="shared" si="120"/>
        <v>0</v>
      </c>
      <c r="M459" s="1"/>
    </row>
    <row r="460" spans="1:13" x14ac:dyDescent="0.15">
      <c r="A460" s="1"/>
      <c r="B460" s="38" t="s">
        <v>25</v>
      </c>
      <c r="C460" s="9"/>
      <c r="D460" s="14"/>
      <c r="E460" s="13">
        <v>1</v>
      </c>
      <c r="F460" s="46">
        <f t="shared" si="119"/>
        <v>1</v>
      </c>
      <c r="G460" s="24">
        <v>44782</v>
      </c>
      <c r="H460" s="4"/>
      <c r="I460" s="9"/>
      <c r="J460" s="14"/>
      <c r="K460" s="13"/>
      <c r="L460" s="46">
        <f t="shared" si="120"/>
        <v>0</v>
      </c>
      <c r="M460" s="1"/>
    </row>
    <row r="461" spans="1:13" x14ac:dyDescent="0.15">
      <c r="A461" s="1"/>
      <c r="B461" s="38" t="s">
        <v>25</v>
      </c>
      <c r="C461" s="9">
        <v>1</v>
      </c>
      <c r="D461" s="14"/>
      <c r="E461" s="13">
        <v>1</v>
      </c>
      <c r="F461" s="46">
        <f t="shared" si="119"/>
        <v>2</v>
      </c>
      <c r="G461" s="24">
        <v>44783</v>
      </c>
      <c r="H461" s="4"/>
      <c r="I461" s="9"/>
      <c r="J461" s="14"/>
      <c r="K461" s="13"/>
      <c r="L461" s="46">
        <f t="shared" si="120"/>
        <v>0</v>
      </c>
      <c r="M461" s="1"/>
    </row>
    <row r="462" spans="1:13" x14ac:dyDescent="0.15">
      <c r="A462" s="1"/>
      <c r="B462" s="38" t="s">
        <v>25</v>
      </c>
      <c r="C462" s="9">
        <v>1</v>
      </c>
      <c r="D462" s="14"/>
      <c r="E462" s="13"/>
      <c r="F462" s="46">
        <f t="shared" si="119"/>
        <v>1</v>
      </c>
      <c r="G462" s="24">
        <v>44784</v>
      </c>
      <c r="H462" s="4"/>
      <c r="I462" s="9"/>
      <c r="J462" s="14"/>
      <c r="K462" s="13"/>
      <c r="L462" s="46">
        <f t="shared" si="120"/>
        <v>0</v>
      </c>
      <c r="M462" s="1"/>
    </row>
    <row r="463" spans="1:13" x14ac:dyDescent="0.15">
      <c r="A463" s="1"/>
      <c r="B463" s="38" t="s">
        <v>25</v>
      </c>
      <c r="C463" s="9"/>
      <c r="D463" s="14">
        <v>1</v>
      </c>
      <c r="E463" s="13"/>
      <c r="F463" s="46">
        <f t="shared" si="119"/>
        <v>1</v>
      </c>
      <c r="G463" s="24">
        <v>44793</v>
      </c>
      <c r="H463" s="4"/>
      <c r="I463" s="9"/>
      <c r="J463" s="14"/>
      <c r="K463" s="13"/>
      <c r="L463" s="46">
        <f t="shared" si="120"/>
        <v>0</v>
      </c>
      <c r="M463" s="31"/>
    </row>
    <row r="464" spans="1:13" x14ac:dyDescent="0.15">
      <c r="A464" s="1"/>
      <c r="B464" s="38" t="s">
        <v>25</v>
      </c>
      <c r="C464" s="16"/>
      <c r="D464" s="17">
        <v>1</v>
      </c>
      <c r="E464" s="18"/>
      <c r="F464" s="46">
        <f t="shared" si="119"/>
        <v>1</v>
      </c>
      <c r="G464" s="24">
        <v>44795</v>
      </c>
      <c r="H464" s="4"/>
      <c r="I464" s="9"/>
      <c r="J464" s="14"/>
      <c r="K464" s="13"/>
      <c r="L464" s="46">
        <f t="shared" si="120"/>
        <v>0</v>
      </c>
      <c r="M464" s="31"/>
    </row>
    <row r="465" spans="1:13" ht="14.25" thickBot="1" x14ac:dyDescent="0.2">
      <c r="A465" s="1"/>
      <c r="B465" s="38"/>
      <c r="C465" s="9"/>
      <c r="D465" s="14"/>
      <c r="E465" s="13"/>
      <c r="F465" s="47">
        <f t="shared" si="119"/>
        <v>0</v>
      </c>
      <c r="G465" s="24"/>
      <c r="H465" s="4"/>
      <c r="I465" s="9"/>
      <c r="J465" s="14"/>
      <c r="K465" s="13"/>
      <c r="L465" s="47">
        <f t="shared" si="120"/>
        <v>0</v>
      </c>
      <c r="M465" s="31"/>
    </row>
    <row r="466" spans="1:13" ht="14.25" thickBot="1" x14ac:dyDescent="0.2">
      <c r="A466" s="1"/>
      <c r="B466" s="5" t="s">
        <v>9</v>
      </c>
      <c r="C466" s="10">
        <f>SUM(C442:C465)</f>
        <v>16</v>
      </c>
      <c r="D466" s="10">
        <f t="shared" ref="D466:E466" si="122">SUM(D442:D465)</f>
        <v>21</v>
      </c>
      <c r="E466" s="10">
        <f t="shared" si="122"/>
        <v>18</v>
      </c>
      <c r="F466" s="48">
        <f t="shared" si="119"/>
        <v>55</v>
      </c>
      <c r="G466" s="1"/>
      <c r="H466" s="5" t="s">
        <v>9</v>
      </c>
      <c r="I466" s="10">
        <f>SUM(I442:I465)</f>
        <v>20</v>
      </c>
      <c r="J466" s="10">
        <f t="shared" ref="J466:K466" si="123">SUM(J442:J465)</f>
        <v>25</v>
      </c>
      <c r="K466" s="10">
        <f t="shared" si="123"/>
        <v>20</v>
      </c>
      <c r="L466" s="48">
        <f t="shared" si="120"/>
        <v>65</v>
      </c>
      <c r="M466" s="31"/>
    </row>
    <row r="467" spans="1:13" ht="14.25" thickBot="1" x14ac:dyDescent="0.2">
      <c r="A467" s="1"/>
      <c r="B467" s="8" t="s">
        <v>10</v>
      </c>
      <c r="C467" s="11">
        <f>C441-C466</f>
        <v>11</v>
      </c>
      <c r="D467" s="11">
        <f t="shared" ref="D467:E467" si="124">D441-D466</f>
        <v>8</v>
      </c>
      <c r="E467" s="11">
        <f t="shared" si="124"/>
        <v>9</v>
      </c>
      <c r="F467" s="37">
        <f t="shared" si="119"/>
        <v>28</v>
      </c>
      <c r="G467" s="1"/>
      <c r="H467" s="8" t="s">
        <v>10</v>
      </c>
      <c r="I467" s="11">
        <f>I441-I466</f>
        <v>1108</v>
      </c>
      <c r="J467" s="11">
        <f t="shared" ref="J467:K467" si="125">J441-J466</f>
        <v>742</v>
      </c>
      <c r="K467" s="11">
        <f t="shared" si="125"/>
        <v>279</v>
      </c>
      <c r="L467" s="37">
        <f t="shared" si="120"/>
        <v>2129</v>
      </c>
      <c r="M467" s="1"/>
    </row>
    <row r="468" spans="1:13" x14ac:dyDescent="0.15">
      <c r="M468" s="1"/>
    </row>
    <row r="469" spans="1:13" x14ac:dyDescent="0.15">
      <c r="M469" s="1"/>
    </row>
    <row r="470" spans="1:13" ht="18.75" x14ac:dyDescent="0.2">
      <c r="A470" s="41" t="s">
        <v>12</v>
      </c>
      <c r="B470" s="42"/>
      <c r="C470" s="41"/>
      <c r="D470" s="43"/>
      <c r="E470" s="43"/>
      <c r="F470" s="2"/>
      <c r="G470" s="1"/>
      <c r="H470" s="41" t="s">
        <v>12</v>
      </c>
      <c r="I470" s="41"/>
      <c r="J470" s="43"/>
      <c r="K470" s="43"/>
      <c r="L470" s="2"/>
      <c r="M470" s="1"/>
    </row>
    <row r="471" spans="1:13" ht="19.5" thickBot="1" x14ac:dyDescent="0.25">
      <c r="A471" s="7"/>
      <c r="B471" s="7" t="s">
        <v>0</v>
      </c>
      <c r="C471" s="7"/>
      <c r="D471" s="7" t="s">
        <v>15</v>
      </c>
      <c r="E471" s="2"/>
      <c r="F471" s="2"/>
      <c r="G471" s="1"/>
      <c r="H471" s="7" t="s">
        <v>1</v>
      </c>
      <c r="I471" s="1"/>
      <c r="J471" s="7" t="s">
        <v>15</v>
      </c>
      <c r="K471" s="2"/>
      <c r="L471" s="2"/>
      <c r="M471" s="1"/>
    </row>
    <row r="472" spans="1:13" ht="14.25" thickBot="1" x14ac:dyDescent="0.2">
      <c r="A472" s="1"/>
      <c r="B472" s="3"/>
      <c r="C472" s="5" t="s">
        <v>2</v>
      </c>
      <c r="D472" s="3" t="s">
        <v>3</v>
      </c>
      <c r="E472" s="12" t="s">
        <v>4</v>
      </c>
      <c r="F472" s="3" t="s">
        <v>5</v>
      </c>
      <c r="G472" s="1"/>
      <c r="H472" s="3"/>
      <c r="I472" s="5" t="s">
        <v>2</v>
      </c>
      <c r="J472" s="3" t="s">
        <v>3</v>
      </c>
      <c r="K472" s="12" t="s">
        <v>4</v>
      </c>
      <c r="L472" s="3" t="s">
        <v>5</v>
      </c>
      <c r="M472" s="1"/>
    </row>
    <row r="473" spans="1:13" ht="14.25" thickBot="1" x14ac:dyDescent="0.2">
      <c r="A473" s="1"/>
      <c r="B473" s="34" t="s">
        <v>11</v>
      </c>
      <c r="C473" s="35">
        <f>C467</f>
        <v>11</v>
      </c>
      <c r="D473" s="36">
        <f>D467</f>
        <v>8</v>
      </c>
      <c r="E473" s="35">
        <f>E467</f>
        <v>9</v>
      </c>
      <c r="F473" s="37">
        <f>SUM(C473:E473)</f>
        <v>28</v>
      </c>
      <c r="G473" s="28"/>
      <c r="H473" s="34"/>
      <c r="I473" s="35">
        <f>I467</f>
        <v>1108</v>
      </c>
      <c r="J473" s="36">
        <f>J467</f>
        <v>742</v>
      </c>
      <c r="K473" s="35">
        <f>K467</f>
        <v>279</v>
      </c>
      <c r="L473" s="37">
        <f>SUM(I473:K473)</f>
        <v>2129</v>
      </c>
      <c r="M473" s="31"/>
    </row>
    <row r="474" spans="1:13" x14ac:dyDescent="0.15">
      <c r="A474" s="1"/>
      <c r="B474" s="59" t="s">
        <v>96</v>
      </c>
      <c r="C474" s="69">
        <v>0</v>
      </c>
      <c r="D474" s="59">
        <v>0</v>
      </c>
      <c r="E474" s="70">
        <v>0</v>
      </c>
      <c r="F474" s="71">
        <f>SUM(C474:E474)</f>
        <v>0</v>
      </c>
      <c r="G474" s="72">
        <v>44798</v>
      </c>
      <c r="H474" s="29"/>
      <c r="I474" s="30"/>
      <c r="J474" s="15"/>
      <c r="K474" s="30"/>
      <c r="L474" s="46">
        <f>SUM(I474:K474)</f>
        <v>0</v>
      </c>
      <c r="M474" s="33"/>
    </row>
    <row r="475" spans="1:13" x14ac:dyDescent="0.15">
      <c r="A475" s="1"/>
      <c r="B475" s="29" t="s">
        <v>7</v>
      </c>
      <c r="C475" s="30">
        <v>5</v>
      </c>
      <c r="D475" s="4">
        <v>5</v>
      </c>
      <c r="E475" s="19">
        <v>5</v>
      </c>
      <c r="F475" s="46">
        <f>SUM(C475:E475)</f>
        <v>15</v>
      </c>
      <c r="G475" s="24">
        <v>44845</v>
      </c>
      <c r="H475" s="29"/>
      <c r="I475" s="19"/>
      <c r="J475" s="4"/>
      <c r="K475" s="19"/>
      <c r="L475" s="46">
        <f>SUM(I475:K475)</f>
        <v>0</v>
      </c>
      <c r="M475" s="32"/>
    </row>
    <row r="476" spans="1:13" x14ac:dyDescent="0.15">
      <c r="A476" s="1"/>
      <c r="B476" s="29" t="s">
        <v>7</v>
      </c>
      <c r="C476" s="19">
        <v>5</v>
      </c>
      <c r="D476" s="4"/>
      <c r="E476" s="19"/>
      <c r="F476" s="46">
        <f t="shared" ref="F476:F483" si="126">SUM(C476:E476)</f>
        <v>5</v>
      </c>
      <c r="G476" s="24">
        <v>44880</v>
      </c>
      <c r="H476" s="29"/>
      <c r="I476" s="22"/>
      <c r="J476" s="23"/>
      <c r="K476" s="22"/>
      <c r="L476" s="46">
        <f t="shared" ref="L476:L478" si="127">SUM(I476:K476)</f>
        <v>0</v>
      </c>
      <c r="M476" s="33"/>
    </row>
    <row r="477" spans="1:13" x14ac:dyDescent="0.15">
      <c r="A477" s="1"/>
      <c r="B477" s="29" t="s">
        <v>7</v>
      </c>
      <c r="C477" s="22">
        <v>5</v>
      </c>
      <c r="D477" s="23"/>
      <c r="E477" s="22">
        <v>5</v>
      </c>
      <c r="F477" s="46">
        <f t="shared" si="126"/>
        <v>10</v>
      </c>
      <c r="G477" s="27">
        <v>44898</v>
      </c>
      <c r="H477" s="29"/>
      <c r="I477" s="22"/>
      <c r="J477" s="23"/>
      <c r="K477" s="22"/>
      <c r="L477" s="46">
        <f t="shared" si="127"/>
        <v>0</v>
      </c>
      <c r="M477" s="32"/>
    </row>
    <row r="478" spans="1:13" x14ac:dyDescent="0.15">
      <c r="A478" s="1"/>
      <c r="B478" s="29" t="s">
        <v>7</v>
      </c>
      <c r="C478" s="22">
        <v>5</v>
      </c>
      <c r="D478" s="23">
        <v>5</v>
      </c>
      <c r="E478" s="22">
        <v>5</v>
      </c>
      <c r="F478" s="46">
        <f t="shared" si="126"/>
        <v>15</v>
      </c>
      <c r="G478" s="27">
        <v>44912</v>
      </c>
      <c r="H478" s="29"/>
      <c r="I478" s="22"/>
      <c r="J478" s="23"/>
      <c r="K478" s="22"/>
      <c r="L478" s="46">
        <f t="shared" si="127"/>
        <v>0</v>
      </c>
      <c r="M478" s="1"/>
    </row>
    <row r="479" spans="1:13" x14ac:dyDescent="0.15">
      <c r="A479" s="1"/>
      <c r="B479" s="29" t="s">
        <v>7</v>
      </c>
      <c r="C479" s="22">
        <v>5</v>
      </c>
      <c r="D479" s="23">
        <v>5</v>
      </c>
      <c r="E479" s="22"/>
      <c r="F479" s="46">
        <f t="shared" si="126"/>
        <v>10</v>
      </c>
      <c r="G479" s="27">
        <v>44921</v>
      </c>
      <c r="H479" s="29"/>
      <c r="I479" s="19"/>
      <c r="J479" s="4"/>
      <c r="K479" s="19"/>
      <c r="L479" s="46">
        <f>SUM(I479:K479)</f>
        <v>0</v>
      </c>
      <c r="M479" s="1"/>
    </row>
    <row r="480" spans="1:13" x14ac:dyDescent="0.15">
      <c r="A480" s="1"/>
      <c r="B480" s="29" t="s">
        <v>7</v>
      </c>
      <c r="C480" s="20"/>
      <c r="D480" s="21"/>
      <c r="E480" s="20"/>
      <c r="F480" s="46">
        <f t="shared" si="126"/>
        <v>0</v>
      </c>
      <c r="G480" s="27"/>
      <c r="H480" s="29"/>
      <c r="I480" s="20"/>
      <c r="J480" s="21"/>
      <c r="K480" s="20"/>
      <c r="L480" s="46">
        <f t="shared" ref="L480:L483" si="128">SUM(I480:K480)</f>
        <v>0</v>
      </c>
      <c r="M480" s="1"/>
    </row>
    <row r="481" spans="1:15" x14ac:dyDescent="0.15">
      <c r="A481" s="1"/>
      <c r="B481" s="29" t="s">
        <v>7</v>
      </c>
      <c r="C481" s="20"/>
      <c r="D481" s="21"/>
      <c r="E481" s="20"/>
      <c r="F481" s="46">
        <f t="shared" si="126"/>
        <v>0</v>
      </c>
      <c r="G481" s="27"/>
      <c r="H481" s="29"/>
      <c r="I481" s="20"/>
      <c r="J481" s="21"/>
      <c r="K481" s="20"/>
      <c r="L481" s="46">
        <f t="shared" si="128"/>
        <v>0</v>
      </c>
      <c r="M481" s="1"/>
    </row>
    <row r="482" spans="1:15" x14ac:dyDescent="0.15">
      <c r="A482" s="1"/>
      <c r="B482" s="29" t="s">
        <v>7</v>
      </c>
      <c r="C482" s="20"/>
      <c r="D482" s="21"/>
      <c r="E482" s="20"/>
      <c r="F482" s="46">
        <f t="shared" si="126"/>
        <v>0</v>
      </c>
      <c r="G482" s="24"/>
      <c r="H482" s="29"/>
      <c r="I482" s="20"/>
      <c r="J482" s="21"/>
      <c r="K482" s="20"/>
      <c r="L482" s="46">
        <f t="shared" si="128"/>
        <v>0</v>
      </c>
      <c r="M482" s="1"/>
    </row>
    <row r="483" spans="1:15" ht="14.25" thickBot="1" x14ac:dyDescent="0.2">
      <c r="A483" s="1"/>
      <c r="B483" s="29" t="s">
        <v>7</v>
      </c>
      <c r="C483" s="19"/>
      <c r="D483" s="4"/>
      <c r="E483" s="19"/>
      <c r="F483" s="46">
        <f t="shared" si="126"/>
        <v>0</v>
      </c>
      <c r="G483" s="27"/>
      <c r="H483" s="29"/>
      <c r="I483" s="19"/>
      <c r="J483" s="4"/>
      <c r="K483" s="19"/>
      <c r="L483" s="46">
        <f t="shared" si="128"/>
        <v>0</v>
      </c>
      <c r="M483" s="1"/>
    </row>
    <row r="484" spans="1:15" ht="14.25" thickBot="1" x14ac:dyDescent="0.2">
      <c r="A484" s="1"/>
      <c r="B484" s="6" t="s">
        <v>8</v>
      </c>
      <c r="C484" s="44">
        <f>SUM(C473:C483)</f>
        <v>36</v>
      </c>
      <c r="D484" s="44">
        <f t="shared" ref="D484:F484" si="129">SUM(D473:D483)</f>
        <v>23</v>
      </c>
      <c r="E484" s="44">
        <f t="shared" si="129"/>
        <v>24</v>
      </c>
      <c r="F484" s="45">
        <f t="shared" si="129"/>
        <v>83</v>
      </c>
      <c r="G484" s="1"/>
      <c r="H484" s="6"/>
      <c r="I484" s="44">
        <f>SUM(I473:I483)</f>
        <v>1108</v>
      </c>
      <c r="J484" s="44">
        <f t="shared" ref="J484:L484" si="130">SUM(J473:J483)</f>
        <v>742</v>
      </c>
      <c r="K484" s="44">
        <f t="shared" si="130"/>
        <v>279</v>
      </c>
      <c r="L484" s="45">
        <f t="shared" si="130"/>
        <v>2129</v>
      </c>
      <c r="M484" s="1"/>
    </row>
    <row r="485" spans="1:15" x14ac:dyDescent="0.15">
      <c r="A485" s="1"/>
      <c r="B485" s="38" t="s">
        <v>25</v>
      </c>
      <c r="C485" s="9"/>
      <c r="D485" s="14">
        <v>1</v>
      </c>
      <c r="E485" s="13"/>
      <c r="F485" s="46">
        <f>SUM(C485:E485)</f>
        <v>1</v>
      </c>
      <c r="G485" s="24">
        <v>44802</v>
      </c>
      <c r="H485" s="4" t="s">
        <v>97</v>
      </c>
      <c r="I485" s="67">
        <v>5</v>
      </c>
      <c r="J485" s="40">
        <v>5</v>
      </c>
      <c r="K485" s="68">
        <v>5</v>
      </c>
      <c r="L485" s="46">
        <f>SUM(I485:K485)</f>
        <v>15</v>
      </c>
      <c r="M485" s="65">
        <v>44845</v>
      </c>
    </row>
    <row r="486" spans="1:15" x14ac:dyDescent="0.15">
      <c r="B486" s="38" t="s">
        <v>25</v>
      </c>
      <c r="C486" s="9">
        <v>1</v>
      </c>
      <c r="D486" s="14"/>
      <c r="E486" s="13"/>
      <c r="F486" s="46">
        <f>SUM(C486:E486)</f>
        <v>1</v>
      </c>
      <c r="G486" s="24">
        <v>44816</v>
      </c>
      <c r="H486" s="4" t="s">
        <v>24</v>
      </c>
      <c r="I486" s="52">
        <v>5</v>
      </c>
      <c r="J486" s="53"/>
      <c r="K486" s="55"/>
      <c r="L486" s="46">
        <f>SUM(I486:K486)</f>
        <v>5</v>
      </c>
      <c r="M486" s="65">
        <v>44880</v>
      </c>
    </row>
    <row r="487" spans="1:15" x14ac:dyDescent="0.15">
      <c r="B487" s="38" t="s">
        <v>25</v>
      </c>
      <c r="C487" s="9"/>
      <c r="D487" s="14"/>
      <c r="E487" s="13">
        <v>5</v>
      </c>
      <c r="F487" s="46">
        <f t="shared" ref="F487:F510" si="131">SUM(C487:E487)</f>
        <v>5</v>
      </c>
      <c r="G487" s="24">
        <v>44826</v>
      </c>
      <c r="H487" s="4" t="s">
        <v>24</v>
      </c>
      <c r="I487" s="52">
        <v>5</v>
      </c>
      <c r="J487" s="53"/>
      <c r="K487" s="55">
        <v>5</v>
      </c>
      <c r="L487" s="46">
        <f t="shared" ref="L487:L510" si="132">SUM(I487:K487)</f>
        <v>10</v>
      </c>
      <c r="M487" s="65">
        <v>44898</v>
      </c>
    </row>
    <row r="488" spans="1:15" x14ac:dyDescent="0.15">
      <c r="B488" s="38" t="s">
        <v>25</v>
      </c>
      <c r="C488" s="9">
        <v>1</v>
      </c>
      <c r="D488" s="14"/>
      <c r="E488" s="13"/>
      <c r="F488" s="46">
        <f t="shared" si="131"/>
        <v>1</v>
      </c>
      <c r="G488" s="24">
        <v>44839</v>
      </c>
      <c r="H488" s="4" t="s">
        <v>24</v>
      </c>
      <c r="I488" s="9">
        <v>5</v>
      </c>
      <c r="J488" s="14">
        <v>5</v>
      </c>
      <c r="K488" s="13">
        <v>5</v>
      </c>
      <c r="L488" s="46">
        <f t="shared" si="132"/>
        <v>15</v>
      </c>
      <c r="M488" s="65">
        <v>44912</v>
      </c>
      <c r="N488" s="54"/>
      <c r="O488" s="54"/>
    </row>
    <row r="489" spans="1:15" x14ac:dyDescent="0.15">
      <c r="B489" s="38" t="s">
        <v>25</v>
      </c>
      <c r="C489" s="9">
        <v>2</v>
      </c>
      <c r="D489" s="14"/>
      <c r="E489" s="13"/>
      <c r="F489" s="46">
        <f t="shared" si="131"/>
        <v>2</v>
      </c>
      <c r="G489" s="24">
        <v>44854</v>
      </c>
      <c r="H489" s="4" t="s">
        <v>24</v>
      </c>
      <c r="I489" s="9">
        <v>5</v>
      </c>
      <c r="J489" s="14">
        <v>5</v>
      </c>
      <c r="K489" s="13"/>
      <c r="L489" s="46">
        <f t="shared" si="132"/>
        <v>10</v>
      </c>
      <c r="M489" s="65">
        <v>44921</v>
      </c>
    </row>
    <row r="490" spans="1:15" x14ac:dyDescent="0.15">
      <c r="B490" s="38" t="s">
        <v>25</v>
      </c>
      <c r="C490" s="9">
        <v>1</v>
      </c>
      <c r="D490" s="14"/>
      <c r="E490" s="13"/>
      <c r="F490" s="46">
        <f t="shared" si="131"/>
        <v>1</v>
      </c>
      <c r="G490" s="24">
        <v>44858</v>
      </c>
      <c r="H490" s="4"/>
      <c r="I490" s="9"/>
      <c r="J490" s="14"/>
      <c r="K490" s="13"/>
      <c r="L490" s="46">
        <f t="shared" si="132"/>
        <v>0</v>
      </c>
      <c r="M490" s="1"/>
    </row>
    <row r="491" spans="1:15" x14ac:dyDescent="0.15">
      <c r="B491" s="38" t="s">
        <v>25</v>
      </c>
      <c r="C491" s="9">
        <v>1</v>
      </c>
      <c r="D491" s="14"/>
      <c r="E491" s="13"/>
      <c r="F491" s="46">
        <f t="shared" si="131"/>
        <v>1</v>
      </c>
      <c r="G491" s="24">
        <v>44869</v>
      </c>
      <c r="H491" s="4"/>
      <c r="I491" s="9"/>
      <c r="J491" s="14"/>
      <c r="K491" s="13"/>
      <c r="L491" s="46">
        <f t="shared" si="132"/>
        <v>0</v>
      </c>
      <c r="M491" s="1"/>
    </row>
    <row r="492" spans="1:15" x14ac:dyDescent="0.15">
      <c r="B492" s="38" t="s">
        <v>25</v>
      </c>
      <c r="C492" s="9">
        <v>1</v>
      </c>
      <c r="D492" s="14"/>
      <c r="E492" s="13"/>
      <c r="F492" s="46">
        <f t="shared" si="131"/>
        <v>1</v>
      </c>
      <c r="G492" s="24">
        <v>44872</v>
      </c>
      <c r="H492" s="4"/>
      <c r="I492" s="9"/>
      <c r="J492" s="14"/>
      <c r="K492" s="13"/>
      <c r="L492" s="46">
        <f t="shared" si="132"/>
        <v>0</v>
      </c>
      <c r="M492" s="1"/>
    </row>
    <row r="493" spans="1:15" x14ac:dyDescent="0.15">
      <c r="B493" s="38" t="s">
        <v>25</v>
      </c>
      <c r="C493" s="9">
        <v>1</v>
      </c>
      <c r="D493" s="14"/>
      <c r="E493" s="13"/>
      <c r="F493" s="46">
        <f t="shared" si="131"/>
        <v>1</v>
      </c>
      <c r="G493" s="27">
        <v>44887</v>
      </c>
      <c r="H493" s="4"/>
      <c r="I493" s="9"/>
      <c r="J493" s="14"/>
      <c r="K493" s="13"/>
      <c r="L493" s="46">
        <f t="shared" si="132"/>
        <v>0</v>
      </c>
      <c r="M493" s="1"/>
    </row>
    <row r="494" spans="1:15" x14ac:dyDescent="0.15">
      <c r="B494" s="38" t="s">
        <v>25</v>
      </c>
      <c r="C494" s="9">
        <f>2+1</f>
        <v>3</v>
      </c>
      <c r="D494" s="14"/>
      <c r="E494" s="13">
        <v>1</v>
      </c>
      <c r="F494" s="46">
        <f t="shared" si="131"/>
        <v>4</v>
      </c>
      <c r="G494" s="24">
        <v>44889</v>
      </c>
      <c r="H494" s="4"/>
      <c r="I494" s="9"/>
      <c r="J494" s="14"/>
      <c r="K494" s="13"/>
      <c r="L494" s="46">
        <f t="shared" si="132"/>
        <v>0</v>
      </c>
      <c r="M494" s="1"/>
    </row>
    <row r="495" spans="1:15" x14ac:dyDescent="0.15">
      <c r="B495" s="38" t="s">
        <v>25</v>
      </c>
      <c r="C495" s="9">
        <v>1</v>
      </c>
      <c r="D495" s="14">
        <v>1</v>
      </c>
      <c r="E495" s="40">
        <v>1</v>
      </c>
      <c r="F495" s="46">
        <f t="shared" si="131"/>
        <v>3</v>
      </c>
      <c r="G495" s="24">
        <v>44890</v>
      </c>
      <c r="H495" s="4"/>
      <c r="I495" s="9"/>
      <c r="J495" s="14"/>
      <c r="K495" s="13"/>
      <c r="L495" s="46">
        <f t="shared" si="132"/>
        <v>0</v>
      </c>
      <c r="M495" s="1"/>
    </row>
    <row r="496" spans="1:15" x14ac:dyDescent="0.15">
      <c r="B496" s="38" t="s">
        <v>25</v>
      </c>
      <c r="C496" s="9">
        <v>2</v>
      </c>
      <c r="D496" s="14">
        <v>1</v>
      </c>
      <c r="E496" s="13">
        <v>2</v>
      </c>
      <c r="F496" s="46">
        <f t="shared" si="131"/>
        <v>5</v>
      </c>
      <c r="G496" s="24">
        <v>44893</v>
      </c>
      <c r="H496" s="4"/>
      <c r="I496" s="9"/>
      <c r="J496" s="14"/>
      <c r="K496" s="13"/>
      <c r="L496" s="46">
        <f t="shared" si="132"/>
        <v>0</v>
      </c>
      <c r="M496" s="1"/>
    </row>
    <row r="497" spans="1:13" x14ac:dyDescent="0.15">
      <c r="B497" s="38" t="s">
        <v>25</v>
      </c>
      <c r="C497" s="9">
        <v>2</v>
      </c>
      <c r="D497" s="14"/>
      <c r="E497" s="13">
        <v>1</v>
      </c>
      <c r="F497" s="46">
        <f t="shared" si="131"/>
        <v>3</v>
      </c>
      <c r="G497" s="24">
        <v>44900</v>
      </c>
      <c r="H497" s="4"/>
      <c r="I497" s="9"/>
      <c r="J497" s="14"/>
      <c r="K497" s="13"/>
      <c r="L497" s="46">
        <f t="shared" si="132"/>
        <v>0</v>
      </c>
      <c r="M497" s="1"/>
    </row>
    <row r="498" spans="1:13" x14ac:dyDescent="0.15">
      <c r="B498" s="38" t="s">
        <v>25</v>
      </c>
      <c r="C498" s="9">
        <f>1+1+2</f>
        <v>4</v>
      </c>
      <c r="D498" s="14">
        <f>2+1+1</f>
        <v>4</v>
      </c>
      <c r="E498" s="13">
        <f>1+1</f>
        <v>2</v>
      </c>
      <c r="F498" s="46">
        <f t="shared" si="131"/>
        <v>10</v>
      </c>
      <c r="G498" s="24">
        <v>44907</v>
      </c>
      <c r="H498" s="4"/>
      <c r="I498" s="9"/>
      <c r="J498" s="14"/>
      <c r="K498" s="13"/>
      <c r="L498" s="46">
        <f t="shared" si="132"/>
        <v>0</v>
      </c>
      <c r="M498" s="1"/>
    </row>
    <row r="499" spans="1:13" x14ac:dyDescent="0.15">
      <c r="B499" s="38" t="s">
        <v>25</v>
      </c>
      <c r="C499" s="9"/>
      <c r="D499" s="14"/>
      <c r="E499" s="13">
        <v>1</v>
      </c>
      <c r="F499" s="46">
        <f t="shared" si="131"/>
        <v>1</v>
      </c>
      <c r="G499" s="24">
        <v>44908</v>
      </c>
      <c r="H499" s="4"/>
      <c r="I499" s="9"/>
      <c r="J499" s="14"/>
      <c r="K499" s="13"/>
      <c r="L499" s="46">
        <f t="shared" si="132"/>
        <v>0</v>
      </c>
      <c r="M499" s="1"/>
    </row>
    <row r="500" spans="1:13" x14ac:dyDescent="0.15">
      <c r="B500" s="38" t="s">
        <v>25</v>
      </c>
      <c r="C500" s="9"/>
      <c r="D500" s="14">
        <v>1</v>
      </c>
      <c r="E500" s="13"/>
      <c r="F500" s="46">
        <f t="shared" si="131"/>
        <v>1</v>
      </c>
      <c r="G500" s="24">
        <v>44911</v>
      </c>
      <c r="H500" s="4"/>
      <c r="I500" s="9"/>
      <c r="J500" s="14"/>
      <c r="K500" s="13"/>
      <c r="L500" s="46">
        <f t="shared" si="132"/>
        <v>0</v>
      </c>
      <c r="M500" s="1"/>
    </row>
    <row r="501" spans="1:13" x14ac:dyDescent="0.15">
      <c r="B501" s="38" t="s">
        <v>25</v>
      </c>
      <c r="C501" s="9">
        <f>1+1+1</f>
        <v>3</v>
      </c>
      <c r="D501" s="14">
        <f>1+1</f>
        <v>2</v>
      </c>
      <c r="E501" s="13"/>
      <c r="F501" s="46">
        <f t="shared" si="131"/>
        <v>5</v>
      </c>
      <c r="G501" s="24">
        <v>44914</v>
      </c>
      <c r="H501" s="4"/>
      <c r="I501" s="9"/>
      <c r="J501" s="14"/>
      <c r="K501" s="13"/>
      <c r="L501" s="46">
        <f t="shared" si="132"/>
        <v>0</v>
      </c>
      <c r="M501" s="1"/>
    </row>
    <row r="502" spans="1:13" x14ac:dyDescent="0.15">
      <c r="A502" s="1"/>
      <c r="B502" s="38" t="s">
        <v>25</v>
      </c>
      <c r="C502" s="9">
        <v>1</v>
      </c>
      <c r="D502" s="14">
        <v>1</v>
      </c>
      <c r="E502" s="13">
        <v>1</v>
      </c>
      <c r="F502" s="46">
        <f t="shared" si="131"/>
        <v>3</v>
      </c>
      <c r="G502" s="24">
        <v>44915</v>
      </c>
      <c r="H502" s="4"/>
      <c r="I502" s="9"/>
      <c r="J502" s="14"/>
      <c r="K502" s="13"/>
      <c r="L502" s="46">
        <f t="shared" si="132"/>
        <v>0</v>
      </c>
      <c r="M502" s="31"/>
    </row>
    <row r="503" spans="1:13" x14ac:dyDescent="0.15">
      <c r="A503" s="1"/>
      <c r="B503" s="38" t="s">
        <v>25</v>
      </c>
      <c r="C503" s="9">
        <v>1</v>
      </c>
      <c r="D503" s="14"/>
      <c r="E503" s="13"/>
      <c r="F503" s="46">
        <f t="shared" si="131"/>
        <v>1</v>
      </c>
      <c r="G503" s="24">
        <v>44916</v>
      </c>
      <c r="H503" s="4"/>
      <c r="I503" s="9"/>
      <c r="J503" s="14"/>
      <c r="K503" s="13"/>
      <c r="L503" s="46">
        <f t="shared" si="132"/>
        <v>0</v>
      </c>
      <c r="M503" s="31"/>
    </row>
    <row r="504" spans="1:13" x14ac:dyDescent="0.15">
      <c r="A504" s="1"/>
      <c r="B504" s="38" t="s">
        <v>25</v>
      </c>
      <c r="C504" s="9"/>
      <c r="D504" s="14">
        <v>1</v>
      </c>
      <c r="E504" s="13"/>
      <c r="F504" s="46">
        <f t="shared" si="131"/>
        <v>1</v>
      </c>
      <c r="G504" s="24">
        <v>44917</v>
      </c>
      <c r="H504" s="4"/>
      <c r="I504" s="9"/>
      <c r="J504" s="14"/>
      <c r="K504" s="13"/>
      <c r="L504" s="46">
        <f t="shared" si="132"/>
        <v>0</v>
      </c>
      <c r="M504" s="31"/>
    </row>
    <row r="505" spans="1:13" x14ac:dyDescent="0.15">
      <c r="A505" s="1"/>
      <c r="B505" s="38" t="s">
        <v>25</v>
      </c>
      <c r="C505" s="9"/>
      <c r="D505" s="14">
        <v>1</v>
      </c>
      <c r="E505" s="13"/>
      <c r="F505" s="46">
        <f t="shared" si="131"/>
        <v>1</v>
      </c>
      <c r="G505" s="24">
        <v>44918</v>
      </c>
      <c r="H505" s="4"/>
      <c r="I505" s="9"/>
      <c r="J505" s="14"/>
      <c r="K505" s="13"/>
      <c r="L505" s="46">
        <f t="shared" si="132"/>
        <v>0</v>
      </c>
      <c r="M505" s="31"/>
    </row>
    <row r="506" spans="1:13" x14ac:dyDescent="0.15">
      <c r="A506" s="1"/>
      <c r="B506" s="38" t="s">
        <v>89</v>
      </c>
      <c r="C506" s="9">
        <v>1</v>
      </c>
      <c r="D506" s="14"/>
      <c r="E506" s="13"/>
      <c r="F506" s="46">
        <f t="shared" si="131"/>
        <v>1</v>
      </c>
      <c r="G506" s="24">
        <v>44919</v>
      </c>
      <c r="H506" s="4"/>
      <c r="I506" s="9"/>
      <c r="J506" s="14"/>
      <c r="K506" s="13"/>
      <c r="L506" s="46">
        <f t="shared" si="132"/>
        <v>0</v>
      </c>
      <c r="M506" s="32"/>
    </row>
    <row r="507" spans="1:13" x14ac:dyDescent="0.15">
      <c r="A507" s="1"/>
      <c r="B507" s="38" t="s">
        <v>25</v>
      </c>
      <c r="C507" s="16"/>
      <c r="D507" s="17">
        <v>2</v>
      </c>
      <c r="E507" s="18"/>
      <c r="F507" s="46">
        <f t="shared" si="131"/>
        <v>2</v>
      </c>
      <c r="G507" s="24">
        <v>44921</v>
      </c>
      <c r="H507" s="4"/>
      <c r="I507" s="9"/>
      <c r="J507" s="14"/>
      <c r="K507" s="13"/>
      <c r="L507" s="46">
        <f t="shared" si="132"/>
        <v>0</v>
      </c>
      <c r="M507" s="1"/>
    </row>
    <row r="508" spans="1:13" ht="14.25" thickBot="1" x14ac:dyDescent="0.2">
      <c r="A508" s="1"/>
      <c r="B508" s="38" t="s">
        <v>25</v>
      </c>
      <c r="C508" s="9">
        <v>3</v>
      </c>
      <c r="D508" s="14">
        <v>1</v>
      </c>
      <c r="E508" s="13">
        <v>1</v>
      </c>
      <c r="F508" s="47">
        <f t="shared" si="131"/>
        <v>5</v>
      </c>
      <c r="G508" s="24">
        <v>44921</v>
      </c>
      <c r="H508" s="4"/>
      <c r="I508" s="9"/>
      <c r="J508" s="14"/>
      <c r="K508" s="13"/>
      <c r="L508" s="47">
        <f t="shared" si="132"/>
        <v>0</v>
      </c>
      <c r="M508" s="1"/>
    </row>
    <row r="509" spans="1:13" ht="14.25" thickBot="1" x14ac:dyDescent="0.2">
      <c r="A509" s="1"/>
      <c r="B509" s="5" t="s">
        <v>9</v>
      </c>
      <c r="C509" s="10">
        <f>SUM(C485:C508)</f>
        <v>29</v>
      </c>
      <c r="D509" s="10">
        <f t="shared" ref="D509:E509" si="133">SUM(D485:D508)</f>
        <v>16</v>
      </c>
      <c r="E509" s="10">
        <f t="shared" si="133"/>
        <v>15</v>
      </c>
      <c r="F509" s="48">
        <f t="shared" si="131"/>
        <v>60</v>
      </c>
      <c r="G509" s="1"/>
      <c r="H509" s="5" t="s">
        <v>9</v>
      </c>
      <c r="I509" s="10">
        <f>SUM(I485:I508)</f>
        <v>25</v>
      </c>
      <c r="J509" s="10">
        <f t="shared" ref="J509:K509" si="134">SUM(J485:J508)</f>
        <v>15</v>
      </c>
      <c r="K509" s="10">
        <f t="shared" si="134"/>
        <v>15</v>
      </c>
      <c r="L509" s="48">
        <f t="shared" si="132"/>
        <v>55</v>
      </c>
    </row>
    <row r="510" spans="1:13" ht="14.25" thickBot="1" x14ac:dyDescent="0.2">
      <c r="A510" s="1"/>
      <c r="B510" s="8" t="s">
        <v>10</v>
      </c>
      <c r="C510" s="11">
        <f>C484-C509</f>
        <v>7</v>
      </c>
      <c r="D510" s="11">
        <f t="shared" ref="D510:E510" si="135">D484-D509</f>
        <v>7</v>
      </c>
      <c r="E510" s="11">
        <f t="shared" si="135"/>
        <v>9</v>
      </c>
      <c r="F510" s="37">
        <f t="shared" si="131"/>
        <v>23</v>
      </c>
      <c r="G510" s="1"/>
      <c r="H510" s="8" t="s">
        <v>10</v>
      </c>
      <c r="I510" s="11">
        <f>I484-I509</f>
        <v>1083</v>
      </c>
      <c r="J510" s="11">
        <f t="shared" ref="J510:K510" si="136">J484-J509</f>
        <v>727</v>
      </c>
      <c r="K510" s="11">
        <f t="shared" si="136"/>
        <v>264</v>
      </c>
      <c r="L510" s="37">
        <f t="shared" si="132"/>
        <v>2074</v>
      </c>
      <c r="M510" s="1"/>
    </row>
    <row r="511" spans="1:13" x14ac:dyDescent="0.15">
      <c r="M511" s="1"/>
    </row>
    <row r="512" spans="1:13" x14ac:dyDescent="0.15">
      <c r="M512" s="1"/>
    </row>
    <row r="513" spans="1:13" ht="18.75" x14ac:dyDescent="0.2">
      <c r="A513" s="41" t="s">
        <v>12</v>
      </c>
      <c r="B513" s="42"/>
      <c r="C513" s="41"/>
      <c r="D513" s="43"/>
      <c r="E513" s="43"/>
      <c r="F513" s="2"/>
      <c r="G513" s="1"/>
      <c r="H513" s="41" t="s">
        <v>12</v>
      </c>
      <c r="I513" s="41"/>
      <c r="J513" s="43"/>
      <c r="K513" s="43"/>
      <c r="L513" s="2"/>
      <c r="M513" s="1"/>
    </row>
    <row r="514" spans="1:13" ht="19.5" thickBot="1" x14ac:dyDescent="0.25">
      <c r="A514" s="7"/>
      <c r="B514" s="7" t="s">
        <v>0</v>
      </c>
      <c r="C514" s="7"/>
      <c r="D514" s="7" t="s">
        <v>15</v>
      </c>
      <c r="E514" s="2"/>
      <c r="F514" s="2"/>
      <c r="G514" s="1"/>
      <c r="H514" s="7" t="s">
        <v>1</v>
      </c>
      <c r="I514" s="1"/>
      <c r="J514" s="7" t="s">
        <v>15</v>
      </c>
      <c r="K514" s="2"/>
      <c r="L514" s="2"/>
      <c r="M514" s="1"/>
    </row>
    <row r="515" spans="1:13" ht="14.25" thickBot="1" x14ac:dyDescent="0.2">
      <c r="A515" s="1"/>
      <c r="B515" s="3"/>
      <c r="C515" s="5" t="s">
        <v>2</v>
      </c>
      <c r="D515" s="3" t="s">
        <v>3</v>
      </c>
      <c r="E515" s="12" t="s">
        <v>4</v>
      </c>
      <c r="F515" s="3" t="s">
        <v>5</v>
      </c>
      <c r="G515" s="1"/>
      <c r="H515" s="3"/>
      <c r="I515" s="5" t="s">
        <v>2</v>
      </c>
      <c r="J515" s="3" t="s">
        <v>3</v>
      </c>
      <c r="K515" s="12" t="s">
        <v>4</v>
      </c>
      <c r="L515" s="3" t="s">
        <v>5</v>
      </c>
      <c r="M515" s="1"/>
    </row>
    <row r="516" spans="1:13" ht="14.25" thickBot="1" x14ac:dyDescent="0.2">
      <c r="A516" s="1"/>
      <c r="B516" s="34" t="s">
        <v>11</v>
      </c>
      <c r="C516" s="35">
        <f>C510</f>
        <v>7</v>
      </c>
      <c r="D516" s="36">
        <f>D510</f>
        <v>7</v>
      </c>
      <c r="E516" s="35">
        <f>E510</f>
        <v>9</v>
      </c>
      <c r="F516" s="37">
        <f>SUM(C516:E516)</f>
        <v>23</v>
      </c>
      <c r="G516" s="28"/>
      <c r="H516" s="34"/>
      <c r="I516" s="35">
        <f>I510</f>
        <v>1083</v>
      </c>
      <c r="J516" s="36">
        <f>J510</f>
        <v>727</v>
      </c>
      <c r="K516" s="35">
        <f>K510</f>
        <v>264</v>
      </c>
      <c r="L516" s="37">
        <f>SUM(I516:K516)</f>
        <v>2074</v>
      </c>
      <c r="M516" s="31"/>
    </row>
    <row r="517" spans="1:13" x14ac:dyDescent="0.15">
      <c r="A517" s="1"/>
      <c r="B517" s="29" t="s">
        <v>7</v>
      </c>
      <c r="C517" s="20">
        <v>10</v>
      </c>
      <c r="D517" s="21">
        <v>5</v>
      </c>
      <c r="E517" s="20">
        <v>5</v>
      </c>
      <c r="F517" s="46">
        <f t="shared" ref="F517" si="137">SUM(C517:E517)</f>
        <v>20</v>
      </c>
      <c r="G517" s="27">
        <v>44939</v>
      </c>
      <c r="H517" s="29"/>
      <c r="I517" s="30"/>
      <c r="J517" s="15"/>
      <c r="K517" s="30"/>
      <c r="L517" s="46">
        <f>SUM(I517:K517)</f>
        <v>0</v>
      </c>
      <c r="M517" s="33"/>
    </row>
    <row r="518" spans="1:13" x14ac:dyDescent="0.15">
      <c r="A518" s="1"/>
      <c r="B518" s="29" t="s">
        <v>7</v>
      </c>
      <c r="C518" s="20">
        <v>10</v>
      </c>
      <c r="D518" s="21">
        <v>5</v>
      </c>
      <c r="E518" s="20">
        <v>5</v>
      </c>
      <c r="F518" s="46">
        <f t="shared" ref="F518:F523" si="138">SUM(C518:E518)</f>
        <v>20</v>
      </c>
      <c r="G518" s="27">
        <v>44944</v>
      </c>
      <c r="H518" s="29"/>
      <c r="I518" s="19"/>
      <c r="J518" s="4"/>
      <c r="K518" s="19"/>
      <c r="L518" s="46">
        <f>SUM(I518:K518)</f>
        <v>0</v>
      </c>
      <c r="M518" s="32"/>
    </row>
    <row r="519" spans="1:13" x14ac:dyDescent="0.15">
      <c r="A519" s="1"/>
      <c r="B519" s="29" t="s">
        <v>7</v>
      </c>
      <c r="C519" s="20">
        <v>10</v>
      </c>
      <c r="D519" s="21">
        <v>5</v>
      </c>
      <c r="E519" s="20">
        <v>5</v>
      </c>
      <c r="F519" s="46">
        <f t="shared" si="138"/>
        <v>20</v>
      </c>
      <c r="G519" s="27">
        <v>44966</v>
      </c>
      <c r="H519" s="29"/>
      <c r="I519" s="22"/>
      <c r="J519" s="23"/>
      <c r="K519" s="22"/>
      <c r="L519" s="46">
        <f t="shared" ref="L519:L521" si="139">SUM(I519:K519)</f>
        <v>0</v>
      </c>
      <c r="M519" s="33"/>
    </row>
    <row r="520" spans="1:13" x14ac:dyDescent="0.15">
      <c r="A520" s="1"/>
      <c r="B520" s="29" t="s">
        <v>7</v>
      </c>
      <c r="C520" s="20"/>
      <c r="D520" s="21"/>
      <c r="E520" s="20"/>
      <c r="F520" s="46">
        <f t="shared" si="138"/>
        <v>0</v>
      </c>
      <c r="G520" s="27"/>
      <c r="H520" s="29"/>
      <c r="I520" s="22"/>
      <c r="J520" s="23"/>
      <c r="K520" s="22"/>
      <c r="L520" s="46">
        <f t="shared" si="139"/>
        <v>0</v>
      </c>
      <c r="M520" s="32"/>
    </row>
    <row r="521" spans="1:13" x14ac:dyDescent="0.15">
      <c r="A521" s="1"/>
      <c r="B521" s="29" t="s">
        <v>7</v>
      </c>
      <c r="C521" s="20"/>
      <c r="D521" s="21"/>
      <c r="E521" s="20"/>
      <c r="F521" s="46">
        <f t="shared" si="138"/>
        <v>0</v>
      </c>
      <c r="G521" s="27"/>
      <c r="H521" s="29"/>
      <c r="I521" s="22"/>
      <c r="J521" s="23"/>
      <c r="K521" s="22"/>
      <c r="L521" s="46">
        <f t="shared" si="139"/>
        <v>0</v>
      </c>
      <c r="M521" s="1"/>
    </row>
    <row r="522" spans="1:13" x14ac:dyDescent="0.15">
      <c r="A522" s="1"/>
      <c r="B522" s="29" t="s">
        <v>7</v>
      </c>
      <c r="C522" s="20"/>
      <c r="D522" s="21"/>
      <c r="E522" s="20"/>
      <c r="F522" s="46">
        <f t="shared" si="138"/>
        <v>0</v>
      </c>
      <c r="G522" s="27"/>
      <c r="H522" s="29"/>
      <c r="I522" s="19"/>
      <c r="J522" s="4"/>
      <c r="K522" s="19"/>
      <c r="L522" s="46">
        <f>SUM(I522:K522)</f>
        <v>0</v>
      </c>
      <c r="M522" s="1"/>
    </row>
    <row r="523" spans="1:13" x14ac:dyDescent="0.15">
      <c r="A523" s="1"/>
      <c r="B523" s="29" t="s">
        <v>7</v>
      </c>
      <c r="C523" s="20"/>
      <c r="D523" s="21"/>
      <c r="E523" s="20"/>
      <c r="F523" s="46">
        <f t="shared" si="138"/>
        <v>0</v>
      </c>
      <c r="G523" s="27"/>
      <c r="H523" s="29"/>
      <c r="I523" s="20"/>
      <c r="J523" s="21"/>
      <c r="K523" s="20"/>
      <c r="L523" s="46">
        <f t="shared" ref="L523:L526" si="140">SUM(I523:K523)</f>
        <v>0</v>
      </c>
      <c r="M523" s="1"/>
    </row>
    <row r="524" spans="1:13" x14ac:dyDescent="0.15">
      <c r="A524" s="1"/>
      <c r="B524" s="29" t="s">
        <v>7</v>
      </c>
      <c r="C524" s="20"/>
      <c r="D524" s="21"/>
      <c r="E524" s="20"/>
      <c r="F524" s="46">
        <f t="shared" ref="F524:F526" si="141">SUM(C524:E524)</f>
        <v>0</v>
      </c>
      <c r="G524" s="27"/>
      <c r="H524" s="29"/>
      <c r="I524" s="20"/>
      <c r="J524" s="21"/>
      <c r="K524" s="20"/>
      <c r="L524" s="46">
        <f t="shared" si="140"/>
        <v>0</v>
      </c>
      <c r="M524" s="1"/>
    </row>
    <row r="525" spans="1:13" x14ac:dyDescent="0.15">
      <c r="A525" s="1"/>
      <c r="B525" s="29" t="s">
        <v>7</v>
      </c>
      <c r="C525" s="20"/>
      <c r="D525" s="21"/>
      <c r="E525" s="20"/>
      <c r="F525" s="46">
        <f t="shared" si="141"/>
        <v>0</v>
      </c>
      <c r="G525" s="24"/>
      <c r="H525" s="29"/>
      <c r="I525" s="20"/>
      <c r="J525" s="21"/>
      <c r="K525" s="20"/>
      <c r="L525" s="46">
        <f t="shared" si="140"/>
        <v>0</v>
      </c>
      <c r="M525" s="1"/>
    </row>
    <row r="526" spans="1:13" ht="14.25" thickBot="1" x14ac:dyDescent="0.2">
      <c r="A526" s="1"/>
      <c r="B526" s="29" t="s">
        <v>7</v>
      </c>
      <c r="C526" s="19"/>
      <c r="D526" s="4"/>
      <c r="E526" s="19"/>
      <c r="F526" s="46">
        <f t="shared" si="141"/>
        <v>0</v>
      </c>
      <c r="G526" s="27"/>
      <c r="H526" s="29"/>
      <c r="I526" s="19"/>
      <c r="J526" s="4"/>
      <c r="K526" s="19"/>
      <c r="L526" s="46">
        <f t="shared" si="140"/>
        <v>0</v>
      </c>
      <c r="M526" s="1"/>
    </row>
    <row r="527" spans="1:13" ht="14.25" thickBot="1" x14ac:dyDescent="0.2">
      <c r="A527" s="1"/>
      <c r="B527" s="6" t="s">
        <v>8</v>
      </c>
      <c r="C527" s="44">
        <f>SUM(C516:C526)</f>
        <v>37</v>
      </c>
      <c r="D527" s="44">
        <f t="shared" ref="D527:F527" si="142">SUM(D516:D526)</f>
        <v>22</v>
      </c>
      <c r="E527" s="44">
        <f t="shared" si="142"/>
        <v>24</v>
      </c>
      <c r="F527" s="45">
        <f t="shared" si="142"/>
        <v>83</v>
      </c>
      <c r="G527" s="1"/>
      <c r="H527" s="6"/>
      <c r="I527" s="44">
        <f>SUM(I516:I526)</f>
        <v>1083</v>
      </c>
      <c r="J527" s="44">
        <f t="shared" ref="J527:L527" si="143">SUM(J516:J526)</f>
        <v>727</v>
      </c>
      <c r="K527" s="44">
        <f t="shared" si="143"/>
        <v>264</v>
      </c>
      <c r="L527" s="45">
        <f t="shared" si="143"/>
        <v>2074</v>
      </c>
      <c r="M527" s="1"/>
    </row>
    <row r="528" spans="1:13" x14ac:dyDescent="0.15">
      <c r="A528" s="1"/>
      <c r="B528" s="38" t="s">
        <v>59</v>
      </c>
      <c r="C528" s="9"/>
      <c r="D528" s="14"/>
      <c r="E528" s="13">
        <v>-1</v>
      </c>
      <c r="F528" s="46">
        <f t="shared" ref="F528:F544" si="144">SUM(C528:E528)</f>
        <v>-1</v>
      </c>
      <c r="G528" s="24">
        <v>44921</v>
      </c>
      <c r="H528" s="4" t="s">
        <v>24</v>
      </c>
      <c r="I528" s="9">
        <v>10</v>
      </c>
      <c r="J528" s="14">
        <v>5</v>
      </c>
      <c r="K528" s="13">
        <v>5</v>
      </c>
      <c r="L528" s="46">
        <f t="shared" ref="L528:L530" si="145">SUM(I528:K528)</f>
        <v>20</v>
      </c>
      <c r="M528" s="65">
        <v>44939</v>
      </c>
    </row>
    <row r="529" spans="2:15" x14ac:dyDescent="0.15">
      <c r="B529" s="38" t="s">
        <v>89</v>
      </c>
      <c r="C529" s="9"/>
      <c r="D529" s="14"/>
      <c r="E529" s="13">
        <v>1</v>
      </c>
      <c r="F529" s="46">
        <f t="shared" si="144"/>
        <v>1</v>
      </c>
      <c r="G529" s="24">
        <v>44932</v>
      </c>
      <c r="H529" s="4" t="s">
        <v>24</v>
      </c>
      <c r="I529" s="9">
        <v>10</v>
      </c>
      <c r="J529" s="14">
        <v>5</v>
      </c>
      <c r="K529" s="13">
        <v>5</v>
      </c>
      <c r="L529" s="46">
        <f t="shared" si="145"/>
        <v>20</v>
      </c>
      <c r="M529" s="65">
        <v>44944</v>
      </c>
    </row>
    <row r="530" spans="2:15" x14ac:dyDescent="0.15">
      <c r="B530" s="38" t="s">
        <v>25</v>
      </c>
      <c r="C530" s="9">
        <v>1</v>
      </c>
      <c r="D530" s="14">
        <v>2</v>
      </c>
      <c r="E530" s="13"/>
      <c r="F530" s="46">
        <f t="shared" si="144"/>
        <v>3</v>
      </c>
      <c r="G530" s="24">
        <v>44936</v>
      </c>
      <c r="H530" s="4" t="s">
        <v>24</v>
      </c>
      <c r="I530" s="9">
        <v>10</v>
      </c>
      <c r="J530" s="14">
        <v>5</v>
      </c>
      <c r="K530" s="13">
        <v>5</v>
      </c>
      <c r="L530" s="46">
        <f t="shared" si="145"/>
        <v>20</v>
      </c>
      <c r="M530" s="65">
        <v>44966</v>
      </c>
      <c r="N530" s="54"/>
    </row>
    <row r="531" spans="2:15" x14ac:dyDescent="0.15">
      <c r="B531" s="38" t="s">
        <v>25</v>
      </c>
      <c r="C531" s="9">
        <v>1</v>
      </c>
      <c r="D531" s="14"/>
      <c r="E531" s="13"/>
      <c r="F531" s="46">
        <f t="shared" si="144"/>
        <v>1</v>
      </c>
      <c r="G531" s="24">
        <v>44937</v>
      </c>
      <c r="H531" s="4"/>
      <c r="I531" s="9"/>
      <c r="J531" s="14"/>
      <c r="K531" s="13"/>
      <c r="L531" s="46">
        <f t="shared" ref="L531:L536" si="146">SUM(I531:K531)</f>
        <v>0</v>
      </c>
      <c r="M531" s="26"/>
      <c r="N531" s="54"/>
      <c r="O531" s="54"/>
    </row>
    <row r="532" spans="2:15" x14ac:dyDescent="0.15">
      <c r="B532" s="38" t="s">
        <v>25</v>
      </c>
      <c r="C532" s="9">
        <v>2</v>
      </c>
      <c r="D532" s="14"/>
      <c r="E532" s="13">
        <v>1</v>
      </c>
      <c r="F532" s="46">
        <f t="shared" si="144"/>
        <v>3</v>
      </c>
      <c r="G532" s="24">
        <v>44938</v>
      </c>
      <c r="H532" s="4"/>
      <c r="I532" s="9"/>
      <c r="J532" s="14"/>
      <c r="K532" s="13"/>
      <c r="L532" s="46">
        <f t="shared" si="146"/>
        <v>0</v>
      </c>
      <c r="M532" s="1"/>
    </row>
    <row r="533" spans="2:15" x14ac:dyDescent="0.15">
      <c r="B533" s="38" t="s">
        <v>25</v>
      </c>
      <c r="C533" s="9">
        <v>4</v>
      </c>
      <c r="D533" s="14">
        <f>1+1</f>
        <v>2</v>
      </c>
      <c r="E533" s="13">
        <f>3+1</f>
        <v>4</v>
      </c>
      <c r="F533" s="46">
        <f t="shared" si="144"/>
        <v>10</v>
      </c>
      <c r="G533" s="24">
        <v>44942</v>
      </c>
      <c r="H533" s="4"/>
      <c r="I533" s="9"/>
      <c r="J533" s="14"/>
      <c r="K533" s="13"/>
      <c r="L533" s="46">
        <f t="shared" si="146"/>
        <v>0</v>
      </c>
      <c r="M533" s="1"/>
    </row>
    <row r="534" spans="2:15" x14ac:dyDescent="0.15">
      <c r="B534" s="38" t="s">
        <v>25</v>
      </c>
      <c r="C534" s="9">
        <v>1</v>
      </c>
      <c r="D534" s="14"/>
      <c r="E534" s="13"/>
      <c r="F534" s="46">
        <f t="shared" si="144"/>
        <v>1</v>
      </c>
      <c r="G534" s="24">
        <v>44943</v>
      </c>
      <c r="H534" s="4"/>
      <c r="I534" s="9"/>
      <c r="J534" s="14"/>
      <c r="K534" s="13"/>
      <c r="L534" s="46">
        <f t="shared" si="146"/>
        <v>0</v>
      </c>
      <c r="M534" s="1"/>
    </row>
    <row r="535" spans="2:15" x14ac:dyDescent="0.15">
      <c r="B535" s="38" t="s">
        <v>25</v>
      </c>
      <c r="C535" s="9"/>
      <c r="D535" s="14">
        <v>1</v>
      </c>
      <c r="E535" s="13"/>
      <c r="F535" s="46">
        <f t="shared" si="144"/>
        <v>1</v>
      </c>
      <c r="G535" s="24">
        <v>44946</v>
      </c>
      <c r="H535" s="4"/>
      <c r="I535" s="9"/>
      <c r="J535" s="14"/>
      <c r="K535" s="13"/>
      <c r="L535" s="46">
        <f t="shared" si="146"/>
        <v>0</v>
      </c>
      <c r="M535" s="1"/>
    </row>
    <row r="536" spans="2:15" x14ac:dyDescent="0.15">
      <c r="B536" s="38" t="s">
        <v>25</v>
      </c>
      <c r="C536" s="9">
        <v>3</v>
      </c>
      <c r="D536" s="14"/>
      <c r="E536" s="13"/>
      <c r="F536" s="46">
        <f t="shared" si="144"/>
        <v>3</v>
      </c>
      <c r="G536" s="24">
        <v>44949</v>
      </c>
      <c r="H536" s="4"/>
      <c r="I536" s="9"/>
      <c r="J536" s="14"/>
      <c r="K536" s="13"/>
      <c r="L536" s="46">
        <f t="shared" si="146"/>
        <v>0</v>
      </c>
      <c r="M536" s="1"/>
    </row>
    <row r="537" spans="2:15" x14ac:dyDescent="0.15">
      <c r="B537" s="38" t="s">
        <v>25</v>
      </c>
      <c r="C537" s="9">
        <v>1</v>
      </c>
      <c r="D537" s="14"/>
      <c r="E537" s="13">
        <v>1</v>
      </c>
      <c r="F537" s="46">
        <f t="shared" si="144"/>
        <v>2</v>
      </c>
      <c r="G537" s="24">
        <v>44951</v>
      </c>
      <c r="H537" s="4"/>
      <c r="I537" s="9"/>
      <c r="J537" s="14"/>
      <c r="K537" s="13"/>
      <c r="L537" s="46">
        <f t="shared" ref="L537:L553" si="147">SUM(I537:K537)</f>
        <v>0</v>
      </c>
      <c r="M537" s="1"/>
    </row>
    <row r="538" spans="2:15" x14ac:dyDescent="0.15">
      <c r="B538" s="38" t="s">
        <v>25</v>
      </c>
      <c r="C538" s="9">
        <v>1</v>
      </c>
      <c r="D538" s="14">
        <v>1</v>
      </c>
      <c r="E538" s="13">
        <v>1</v>
      </c>
      <c r="F538" s="46">
        <f t="shared" si="144"/>
        <v>3</v>
      </c>
      <c r="G538" s="24">
        <v>44952</v>
      </c>
      <c r="H538" s="4"/>
      <c r="I538" s="9"/>
      <c r="J538" s="14"/>
      <c r="K538" s="13"/>
      <c r="L538" s="46">
        <f t="shared" si="147"/>
        <v>0</v>
      </c>
      <c r="M538" s="1"/>
    </row>
    <row r="539" spans="2:15" x14ac:dyDescent="0.15">
      <c r="B539" s="38" t="s">
        <v>25</v>
      </c>
      <c r="C539" s="9"/>
      <c r="D539" s="14"/>
      <c r="E539" s="13">
        <v>2</v>
      </c>
      <c r="F539" s="46">
        <f t="shared" si="144"/>
        <v>2</v>
      </c>
      <c r="G539" s="24">
        <v>44953</v>
      </c>
      <c r="H539" s="4"/>
      <c r="I539" s="9"/>
      <c r="J539" s="14"/>
      <c r="K539" s="13"/>
      <c r="L539" s="46">
        <f t="shared" si="147"/>
        <v>0</v>
      </c>
      <c r="M539" s="1"/>
    </row>
    <row r="540" spans="2:15" x14ac:dyDescent="0.15">
      <c r="B540" s="38" t="s">
        <v>25</v>
      </c>
      <c r="C540" s="9">
        <v>2</v>
      </c>
      <c r="D540" s="14"/>
      <c r="E540" s="13">
        <v>1</v>
      </c>
      <c r="F540" s="46">
        <f t="shared" si="144"/>
        <v>3</v>
      </c>
      <c r="G540" s="24">
        <v>44956</v>
      </c>
      <c r="H540" s="4"/>
      <c r="I540" s="9"/>
      <c r="J540" s="14"/>
      <c r="K540" s="13"/>
      <c r="L540" s="46">
        <f t="shared" si="147"/>
        <v>0</v>
      </c>
      <c r="M540" s="1"/>
    </row>
    <row r="541" spans="2:15" x14ac:dyDescent="0.15">
      <c r="B541" s="38" t="s">
        <v>25</v>
      </c>
      <c r="C541" s="9">
        <v>1</v>
      </c>
      <c r="D541" s="14"/>
      <c r="E541" s="13">
        <v>1</v>
      </c>
      <c r="F541" s="46">
        <f t="shared" si="144"/>
        <v>2</v>
      </c>
      <c r="G541" s="24">
        <v>44963</v>
      </c>
      <c r="H541" s="4"/>
      <c r="I541" s="9"/>
      <c r="J541" s="14"/>
      <c r="K541" s="13"/>
      <c r="L541" s="46">
        <f t="shared" si="147"/>
        <v>0</v>
      </c>
      <c r="M541" s="1"/>
    </row>
    <row r="542" spans="2:15" x14ac:dyDescent="0.15">
      <c r="B542" s="38" t="s">
        <v>89</v>
      </c>
      <c r="C542" s="9">
        <v>1</v>
      </c>
      <c r="D542" s="14">
        <v>1</v>
      </c>
      <c r="E542" s="13"/>
      <c r="F542" s="46">
        <f t="shared" si="144"/>
        <v>2</v>
      </c>
      <c r="G542" s="24">
        <v>44965</v>
      </c>
      <c r="H542" s="4"/>
      <c r="I542" s="9"/>
      <c r="J542" s="14"/>
      <c r="K542" s="13"/>
      <c r="L542" s="46">
        <f t="shared" si="147"/>
        <v>0</v>
      </c>
      <c r="M542" s="1"/>
    </row>
    <row r="543" spans="2:15" x14ac:dyDescent="0.15">
      <c r="B543" s="38" t="s">
        <v>25</v>
      </c>
      <c r="C543" s="9"/>
      <c r="D543" s="14">
        <v>1</v>
      </c>
      <c r="E543" s="13">
        <v>1</v>
      </c>
      <c r="F543" s="46">
        <f t="shared" si="144"/>
        <v>2</v>
      </c>
      <c r="G543" s="24">
        <v>44966</v>
      </c>
      <c r="H543" s="4"/>
      <c r="I543" s="9"/>
      <c r="J543" s="14"/>
      <c r="K543" s="13"/>
      <c r="L543" s="46">
        <f t="shared" si="147"/>
        <v>0</v>
      </c>
      <c r="M543" s="1"/>
    </row>
    <row r="544" spans="2:15" x14ac:dyDescent="0.15">
      <c r="B544" s="38" t="s">
        <v>25</v>
      </c>
      <c r="C544" s="9"/>
      <c r="D544" s="14"/>
      <c r="E544" s="13">
        <v>1</v>
      </c>
      <c r="F544" s="46">
        <f t="shared" si="144"/>
        <v>1</v>
      </c>
      <c r="G544" s="24">
        <v>44970</v>
      </c>
      <c r="H544" s="4"/>
      <c r="I544" s="9"/>
      <c r="J544" s="14"/>
      <c r="K544" s="13"/>
      <c r="L544" s="46">
        <f t="shared" si="147"/>
        <v>0</v>
      </c>
      <c r="M544" s="1"/>
    </row>
    <row r="545" spans="1:13" x14ac:dyDescent="0.15">
      <c r="A545" s="1"/>
      <c r="B545" s="38" t="s">
        <v>25</v>
      </c>
      <c r="C545" s="9">
        <v>1</v>
      </c>
      <c r="D545" s="14"/>
      <c r="E545" s="13"/>
      <c r="F545" s="46">
        <f t="shared" ref="F545:F553" si="148">SUM(C545:E545)</f>
        <v>1</v>
      </c>
      <c r="G545" s="24">
        <v>44974</v>
      </c>
      <c r="H545" s="4"/>
      <c r="I545" s="9"/>
      <c r="J545" s="14"/>
      <c r="K545" s="13"/>
      <c r="L545" s="46">
        <f t="shared" si="147"/>
        <v>0</v>
      </c>
      <c r="M545" s="31"/>
    </row>
    <row r="546" spans="1:13" x14ac:dyDescent="0.15">
      <c r="A546" s="1"/>
      <c r="B546" s="38" t="s">
        <v>25</v>
      </c>
      <c r="C546" s="9"/>
      <c r="D546" s="14">
        <v>1</v>
      </c>
      <c r="E546" s="13"/>
      <c r="F546" s="46">
        <f t="shared" si="148"/>
        <v>1</v>
      </c>
      <c r="G546" s="24">
        <v>44978</v>
      </c>
      <c r="H546" s="4"/>
      <c r="I546" s="9"/>
      <c r="J546" s="14"/>
      <c r="K546" s="13"/>
      <c r="L546" s="46">
        <f t="shared" si="147"/>
        <v>0</v>
      </c>
      <c r="M546" s="31"/>
    </row>
    <row r="547" spans="1:13" x14ac:dyDescent="0.15">
      <c r="A547" s="1"/>
      <c r="B547" s="38" t="s">
        <v>25</v>
      </c>
      <c r="C547" s="9"/>
      <c r="D547" s="14">
        <v>1</v>
      </c>
      <c r="E547" s="13"/>
      <c r="F547" s="46">
        <f t="shared" si="148"/>
        <v>1</v>
      </c>
      <c r="G547" s="24">
        <v>44991</v>
      </c>
      <c r="H547" s="4"/>
      <c r="I547" s="9"/>
      <c r="J547" s="14"/>
      <c r="K547" s="13"/>
      <c r="L547" s="46">
        <f t="shared" si="147"/>
        <v>0</v>
      </c>
      <c r="M547" s="31"/>
    </row>
    <row r="548" spans="1:13" x14ac:dyDescent="0.15">
      <c r="A548" s="1"/>
      <c r="B548" s="38" t="s">
        <v>25</v>
      </c>
      <c r="C548" s="9"/>
      <c r="D548" s="14">
        <v>1</v>
      </c>
      <c r="E548" s="13"/>
      <c r="F548" s="46">
        <f t="shared" si="148"/>
        <v>1</v>
      </c>
      <c r="G548" s="24">
        <v>44994</v>
      </c>
      <c r="H548" s="4"/>
      <c r="I548" s="9"/>
      <c r="J548" s="14"/>
      <c r="K548" s="13"/>
      <c r="L548" s="46">
        <f t="shared" si="147"/>
        <v>0</v>
      </c>
      <c r="M548" s="31"/>
    </row>
    <row r="549" spans="1:13" x14ac:dyDescent="0.15">
      <c r="A549" s="1"/>
      <c r="B549" s="38" t="s">
        <v>25</v>
      </c>
      <c r="C549" s="9">
        <v>1</v>
      </c>
      <c r="D549" s="14"/>
      <c r="E549" s="13">
        <v>1</v>
      </c>
      <c r="F549" s="46">
        <f t="shared" si="148"/>
        <v>2</v>
      </c>
      <c r="G549" s="24">
        <v>44998</v>
      </c>
      <c r="H549" s="4"/>
      <c r="I549" s="9"/>
      <c r="J549" s="14"/>
      <c r="K549" s="13"/>
      <c r="L549" s="46">
        <f t="shared" si="147"/>
        <v>0</v>
      </c>
      <c r="M549" s="32"/>
    </row>
    <row r="550" spans="1:13" x14ac:dyDescent="0.15">
      <c r="A550" s="1"/>
      <c r="B550" s="38" t="s">
        <v>25</v>
      </c>
      <c r="C550" s="16">
        <v>1</v>
      </c>
      <c r="D550" s="17">
        <v>2</v>
      </c>
      <c r="E550" s="18"/>
      <c r="F550" s="46">
        <f t="shared" si="148"/>
        <v>3</v>
      </c>
      <c r="G550" s="24">
        <v>44999</v>
      </c>
      <c r="H550" s="4"/>
      <c r="I550" s="9"/>
      <c r="J550" s="14"/>
      <c r="K550" s="13"/>
      <c r="L550" s="46">
        <f t="shared" si="147"/>
        <v>0</v>
      </c>
      <c r="M550" s="1"/>
    </row>
    <row r="551" spans="1:13" ht="14.25" thickBot="1" x14ac:dyDescent="0.2">
      <c r="A551" s="1"/>
      <c r="B551" s="38" t="s">
        <v>25</v>
      </c>
      <c r="C551" s="9">
        <v>1</v>
      </c>
      <c r="D551" s="14"/>
      <c r="E551" s="13"/>
      <c r="F551" s="47">
        <f t="shared" si="148"/>
        <v>1</v>
      </c>
      <c r="G551" s="24">
        <v>45001</v>
      </c>
      <c r="H551" s="4"/>
      <c r="I551" s="9"/>
      <c r="J551" s="14"/>
      <c r="K551" s="13"/>
      <c r="L551" s="47">
        <f t="shared" si="147"/>
        <v>0</v>
      </c>
      <c r="M551" s="1"/>
    </row>
    <row r="552" spans="1:13" ht="14.25" thickBot="1" x14ac:dyDescent="0.2">
      <c r="A552" s="1"/>
      <c r="B552" s="5" t="s">
        <v>9</v>
      </c>
      <c r="C552" s="10">
        <f>SUM(C528:C551)</f>
        <v>22</v>
      </c>
      <c r="D552" s="10">
        <f t="shared" ref="D552:E552" si="149">SUM(D528:D551)</f>
        <v>13</v>
      </c>
      <c r="E552" s="10">
        <f t="shared" si="149"/>
        <v>14</v>
      </c>
      <c r="F552" s="48">
        <f t="shared" si="148"/>
        <v>49</v>
      </c>
      <c r="G552" s="1"/>
      <c r="H552" s="5" t="s">
        <v>9</v>
      </c>
      <c r="I552" s="10">
        <f>SUM(I528:I551)</f>
        <v>30</v>
      </c>
      <c r="J552" s="10">
        <f t="shared" ref="J552:K552" si="150">SUM(J528:J551)</f>
        <v>15</v>
      </c>
      <c r="K552" s="10">
        <f t="shared" si="150"/>
        <v>15</v>
      </c>
      <c r="L552" s="48">
        <f t="shared" si="147"/>
        <v>60</v>
      </c>
    </row>
    <row r="553" spans="1:13" ht="14.25" thickBot="1" x14ac:dyDescent="0.2">
      <c r="A553" s="1"/>
      <c r="B553" s="8" t="s">
        <v>10</v>
      </c>
      <c r="C553" s="11">
        <f>C527-C552</f>
        <v>15</v>
      </c>
      <c r="D553" s="11">
        <f t="shared" ref="D553:E553" si="151">D527-D552</f>
        <v>9</v>
      </c>
      <c r="E553" s="11">
        <f t="shared" si="151"/>
        <v>10</v>
      </c>
      <c r="F553" s="37">
        <f t="shared" si="148"/>
        <v>34</v>
      </c>
      <c r="G553" s="1"/>
      <c r="H553" s="8" t="s">
        <v>10</v>
      </c>
      <c r="I553" s="11">
        <f>I527-I552</f>
        <v>1053</v>
      </c>
      <c r="J553" s="11">
        <f t="shared" ref="J553:K553" si="152">J527-J552</f>
        <v>712</v>
      </c>
      <c r="K553" s="11">
        <f t="shared" si="152"/>
        <v>249</v>
      </c>
      <c r="L553" s="37">
        <f t="shared" si="147"/>
        <v>2014</v>
      </c>
      <c r="M553" s="1"/>
    </row>
    <row r="556" spans="1:13" ht="18.75" x14ac:dyDescent="0.2">
      <c r="A556" s="41" t="s">
        <v>12</v>
      </c>
      <c r="B556" s="42"/>
      <c r="C556" s="41"/>
      <c r="D556" s="43"/>
      <c r="E556" s="43"/>
      <c r="F556" s="2"/>
      <c r="G556" s="1"/>
      <c r="H556" s="41" t="s">
        <v>12</v>
      </c>
      <c r="I556" s="41"/>
      <c r="J556" s="43"/>
      <c r="K556" s="43"/>
      <c r="L556" s="2"/>
    </row>
    <row r="557" spans="1:13" ht="19.5" thickBot="1" x14ac:dyDescent="0.25">
      <c r="A557" s="7"/>
      <c r="B557" s="7" t="s">
        <v>0</v>
      </c>
      <c r="C557" s="7"/>
      <c r="D557" s="7" t="s">
        <v>15</v>
      </c>
      <c r="E557" s="2"/>
      <c r="F557" s="2"/>
      <c r="G557" s="1"/>
      <c r="H557" s="7" t="s">
        <v>1</v>
      </c>
      <c r="I557" s="1"/>
      <c r="J557" s="7" t="s">
        <v>15</v>
      </c>
      <c r="K557" s="2"/>
      <c r="L557" s="2"/>
    </row>
    <row r="558" spans="1:13" ht="14.25" thickBot="1" x14ac:dyDescent="0.2">
      <c r="A558" s="1"/>
      <c r="B558" s="3"/>
      <c r="C558" s="5" t="s">
        <v>2</v>
      </c>
      <c r="D558" s="3" t="s">
        <v>3</v>
      </c>
      <c r="E558" s="12" t="s">
        <v>4</v>
      </c>
      <c r="F558" s="3" t="s">
        <v>5</v>
      </c>
      <c r="G558" s="1"/>
      <c r="H558" s="3"/>
      <c r="I558" s="5" t="s">
        <v>2</v>
      </c>
      <c r="J558" s="3" t="s">
        <v>3</v>
      </c>
      <c r="K558" s="12" t="s">
        <v>4</v>
      </c>
      <c r="L558" s="3" t="s">
        <v>5</v>
      </c>
    </row>
    <row r="559" spans="1:13" ht="14.25" thickBot="1" x14ac:dyDescent="0.2">
      <c r="A559" s="1"/>
      <c r="B559" s="34" t="s">
        <v>11</v>
      </c>
      <c r="C559" s="35">
        <f>C553</f>
        <v>15</v>
      </c>
      <c r="D559" s="36">
        <f>D553</f>
        <v>9</v>
      </c>
      <c r="E559" s="35">
        <f>E553</f>
        <v>10</v>
      </c>
      <c r="F559" s="37">
        <f>SUM(C559:E559)</f>
        <v>34</v>
      </c>
      <c r="G559" s="28"/>
      <c r="H559" s="34"/>
      <c r="I559" s="35">
        <f>I553</f>
        <v>1053</v>
      </c>
      <c r="J559" s="36">
        <f>J553</f>
        <v>712</v>
      </c>
      <c r="K559" s="35">
        <f>K553</f>
        <v>249</v>
      </c>
      <c r="L559" s="37">
        <f>SUM(I559:K559)</f>
        <v>2014</v>
      </c>
    </row>
    <row r="560" spans="1:13" x14ac:dyDescent="0.15">
      <c r="A560" s="1"/>
      <c r="B560" s="29" t="s">
        <v>7</v>
      </c>
      <c r="C560" s="20">
        <v>10</v>
      </c>
      <c r="D560" s="21">
        <v>5</v>
      </c>
      <c r="E560" s="20"/>
      <c r="F560" s="46">
        <f t="shared" ref="F560:F562" si="153">SUM(C560:E560)</f>
        <v>15</v>
      </c>
      <c r="G560" s="27">
        <v>45030</v>
      </c>
      <c r="H560" s="29"/>
      <c r="I560" s="30"/>
      <c r="J560" s="15"/>
      <c r="K560" s="30"/>
      <c r="L560" s="46">
        <f>SUM(I560:K560)</f>
        <v>0</v>
      </c>
    </row>
    <row r="561" spans="1:14" x14ac:dyDescent="0.15">
      <c r="A561" s="1"/>
      <c r="B561" s="29" t="s">
        <v>7</v>
      </c>
      <c r="C561" s="20">
        <v>5</v>
      </c>
      <c r="D561" s="21">
        <v>5</v>
      </c>
      <c r="E561" s="20">
        <v>5</v>
      </c>
      <c r="F561" s="46">
        <f t="shared" si="153"/>
        <v>15</v>
      </c>
      <c r="G561" s="27">
        <v>45080</v>
      </c>
      <c r="H561" s="29"/>
      <c r="I561" s="19"/>
      <c r="J561" s="4"/>
      <c r="K561" s="19"/>
      <c r="L561" s="46">
        <f>SUM(I561:K561)</f>
        <v>0</v>
      </c>
    </row>
    <row r="562" spans="1:14" x14ac:dyDescent="0.15">
      <c r="A562" s="1"/>
      <c r="B562" s="29" t="s">
        <v>7</v>
      </c>
      <c r="C562" s="20"/>
      <c r="D562" s="21"/>
      <c r="E562" s="20">
        <v>5</v>
      </c>
      <c r="F562" s="46">
        <f t="shared" si="153"/>
        <v>5</v>
      </c>
      <c r="G562" s="27">
        <v>45084</v>
      </c>
      <c r="H562" s="29"/>
      <c r="I562" s="22"/>
      <c r="J562" s="23"/>
      <c r="K562" s="22"/>
      <c r="L562" s="46">
        <f t="shared" ref="L562:L564" si="154">SUM(I562:K562)</f>
        <v>0</v>
      </c>
    </row>
    <row r="563" spans="1:14" x14ac:dyDescent="0.15">
      <c r="A563" s="1"/>
      <c r="B563" s="29" t="s">
        <v>7</v>
      </c>
      <c r="C563" s="20">
        <v>10</v>
      </c>
      <c r="D563" s="21"/>
      <c r="E563" s="20"/>
      <c r="F563" s="46">
        <f t="shared" ref="F563:F569" si="155">SUM(C563:E563)</f>
        <v>10</v>
      </c>
      <c r="G563" s="27">
        <v>45093</v>
      </c>
      <c r="H563" s="29"/>
      <c r="I563" s="22"/>
      <c r="J563" s="23"/>
      <c r="K563" s="22"/>
      <c r="L563" s="46">
        <f t="shared" si="154"/>
        <v>0</v>
      </c>
    </row>
    <row r="564" spans="1:14" x14ac:dyDescent="0.15">
      <c r="A564" s="1"/>
      <c r="B564" s="29" t="s">
        <v>7</v>
      </c>
      <c r="C564" s="20"/>
      <c r="D564" s="21"/>
      <c r="E564" s="20"/>
      <c r="F564" s="46">
        <f t="shared" si="155"/>
        <v>0</v>
      </c>
      <c r="G564" s="27"/>
      <c r="H564" s="29"/>
      <c r="I564" s="22"/>
      <c r="J564" s="23"/>
      <c r="K564" s="22"/>
      <c r="L564" s="46">
        <f t="shared" si="154"/>
        <v>0</v>
      </c>
    </row>
    <row r="565" spans="1:14" x14ac:dyDescent="0.15">
      <c r="A565" s="1"/>
      <c r="B565" s="29" t="s">
        <v>7</v>
      </c>
      <c r="C565" s="20"/>
      <c r="D565" s="21"/>
      <c r="E565" s="20"/>
      <c r="F565" s="46">
        <f t="shared" si="155"/>
        <v>0</v>
      </c>
      <c r="G565" s="27"/>
      <c r="H565" s="29"/>
      <c r="I565" s="19"/>
      <c r="J565" s="4"/>
      <c r="K565" s="19"/>
      <c r="L565" s="46">
        <f>SUM(I565:K565)</f>
        <v>0</v>
      </c>
    </row>
    <row r="566" spans="1:14" x14ac:dyDescent="0.15">
      <c r="A566" s="1"/>
      <c r="B566" s="29" t="s">
        <v>7</v>
      </c>
      <c r="C566" s="20"/>
      <c r="D566" s="21"/>
      <c r="E566" s="20"/>
      <c r="F566" s="46">
        <f t="shared" si="155"/>
        <v>0</v>
      </c>
      <c r="G566" s="27"/>
      <c r="H566" s="29"/>
      <c r="I566" s="20"/>
      <c r="J566" s="21"/>
      <c r="K566" s="20"/>
      <c r="L566" s="46">
        <f t="shared" ref="L566:L569" si="156">SUM(I566:K566)</f>
        <v>0</v>
      </c>
    </row>
    <row r="567" spans="1:14" x14ac:dyDescent="0.15">
      <c r="A567" s="1"/>
      <c r="B567" s="29" t="s">
        <v>7</v>
      </c>
      <c r="C567" s="20"/>
      <c r="D567" s="21"/>
      <c r="E567" s="20"/>
      <c r="F567" s="46">
        <f t="shared" si="155"/>
        <v>0</v>
      </c>
      <c r="G567" s="27"/>
      <c r="H567" s="29"/>
      <c r="I567" s="20"/>
      <c r="J567" s="21"/>
      <c r="K567" s="20"/>
      <c r="L567" s="46">
        <f t="shared" si="156"/>
        <v>0</v>
      </c>
    </row>
    <row r="568" spans="1:14" x14ac:dyDescent="0.15">
      <c r="A568" s="1"/>
      <c r="B568" s="29" t="s">
        <v>7</v>
      </c>
      <c r="C568" s="20"/>
      <c r="D568" s="21"/>
      <c r="E568" s="20"/>
      <c r="F568" s="46">
        <f t="shared" si="155"/>
        <v>0</v>
      </c>
      <c r="G568" s="24"/>
      <c r="H568" s="29"/>
      <c r="I568" s="20"/>
      <c r="J568" s="21"/>
      <c r="K568" s="20"/>
      <c r="L568" s="46">
        <f t="shared" si="156"/>
        <v>0</v>
      </c>
    </row>
    <row r="569" spans="1:14" ht="14.25" thickBot="1" x14ac:dyDescent="0.2">
      <c r="A569" s="1"/>
      <c r="B569" s="29" t="s">
        <v>7</v>
      </c>
      <c r="C569" s="19"/>
      <c r="D569" s="4"/>
      <c r="E569" s="19"/>
      <c r="F569" s="46">
        <f t="shared" si="155"/>
        <v>0</v>
      </c>
      <c r="G569" s="27"/>
      <c r="H569" s="29"/>
      <c r="I569" s="19"/>
      <c r="J569" s="4"/>
      <c r="K569" s="19"/>
      <c r="L569" s="46">
        <f t="shared" si="156"/>
        <v>0</v>
      </c>
    </row>
    <row r="570" spans="1:14" ht="14.25" thickBot="1" x14ac:dyDescent="0.2">
      <c r="A570" s="1"/>
      <c r="B570" s="6" t="s">
        <v>8</v>
      </c>
      <c r="C570" s="44">
        <f>SUM(C559:C569)</f>
        <v>40</v>
      </c>
      <c r="D570" s="44">
        <f t="shared" ref="D570:F570" si="157">SUM(D559:D569)</f>
        <v>19</v>
      </c>
      <c r="E570" s="44">
        <f t="shared" si="157"/>
        <v>20</v>
      </c>
      <c r="F570" s="45">
        <f t="shared" si="157"/>
        <v>79</v>
      </c>
      <c r="G570" s="1"/>
      <c r="H570" s="6"/>
      <c r="I570" s="44">
        <f>SUM(I559:I569)</f>
        <v>1053</v>
      </c>
      <c r="J570" s="44">
        <f t="shared" ref="J570:L570" si="158">SUM(J559:J569)</f>
        <v>712</v>
      </c>
      <c r="K570" s="44">
        <f t="shared" si="158"/>
        <v>249</v>
      </c>
      <c r="L570" s="45">
        <f t="shared" si="158"/>
        <v>2014</v>
      </c>
    </row>
    <row r="571" spans="1:14" x14ac:dyDescent="0.15">
      <c r="A571" s="1"/>
      <c r="B571" s="38" t="s">
        <v>25</v>
      </c>
      <c r="C571" s="9">
        <v>1</v>
      </c>
      <c r="D571" s="14"/>
      <c r="E571" s="13"/>
      <c r="F571" s="46">
        <f t="shared" ref="F571:F590" si="159">SUM(C571:E571)</f>
        <v>1</v>
      </c>
      <c r="G571" s="24">
        <v>45005</v>
      </c>
      <c r="H571" s="4" t="s">
        <v>24</v>
      </c>
      <c r="I571" s="9">
        <v>10</v>
      </c>
      <c r="J571" s="14">
        <v>5</v>
      </c>
      <c r="K571" s="13"/>
      <c r="L571" s="46">
        <f t="shared" ref="L571:L574" si="160">SUM(I571:K571)</f>
        <v>15</v>
      </c>
      <c r="M571" s="73">
        <v>45030</v>
      </c>
    </row>
    <row r="572" spans="1:14" x14ac:dyDescent="0.15">
      <c r="B572" s="38" t="s">
        <v>25</v>
      </c>
      <c r="C572" s="9">
        <v>2</v>
      </c>
      <c r="D572" s="14"/>
      <c r="E572" s="13"/>
      <c r="F572" s="46">
        <f t="shared" si="159"/>
        <v>2</v>
      </c>
      <c r="G572" s="24">
        <v>45007</v>
      </c>
      <c r="H572" s="4" t="s">
        <v>24</v>
      </c>
      <c r="I572" s="9">
        <v>5</v>
      </c>
      <c r="J572" s="14">
        <v>5</v>
      </c>
      <c r="K572" s="13">
        <v>5</v>
      </c>
      <c r="L572" s="46">
        <f t="shared" si="160"/>
        <v>15</v>
      </c>
      <c r="M572" s="73">
        <v>45080</v>
      </c>
    </row>
    <row r="573" spans="1:14" x14ac:dyDescent="0.15">
      <c r="B573" s="38" t="s">
        <v>25</v>
      </c>
      <c r="C573" s="9">
        <v>2</v>
      </c>
      <c r="D573" s="14"/>
      <c r="E573" s="13"/>
      <c r="F573" s="46">
        <f t="shared" si="159"/>
        <v>2</v>
      </c>
      <c r="G573" s="24">
        <v>45013</v>
      </c>
      <c r="H573" s="4" t="s">
        <v>24</v>
      </c>
      <c r="I573" s="9"/>
      <c r="J573" s="14"/>
      <c r="K573" s="13">
        <v>5</v>
      </c>
      <c r="L573" s="46">
        <f t="shared" si="160"/>
        <v>5</v>
      </c>
      <c r="M573" s="73">
        <v>45084</v>
      </c>
      <c r="N573" s="54"/>
    </row>
    <row r="574" spans="1:14" x14ac:dyDescent="0.15">
      <c r="B574" s="38" t="s">
        <v>25</v>
      </c>
      <c r="C574" s="9"/>
      <c r="D574" s="14">
        <v>1</v>
      </c>
      <c r="E574" s="13"/>
      <c r="F574" s="46">
        <f t="shared" si="159"/>
        <v>1</v>
      </c>
      <c r="G574" s="24">
        <v>45014</v>
      </c>
      <c r="H574" s="4" t="s">
        <v>24</v>
      </c>
      <c r="I574" s="9">
        <v>10</v>
      </c>
      <c r="J574" s="14"/>
      <c r="K574" s="13"/>
      <c r="L574" s="46">
        <f t="shared" si="160"/>
        <v>10</v>
      </c>
      <c r="M574" s="73">
        <v>45093</v>
      </c>
    </row>
    <row r="575" spans="1:14" x14ac:dyDescent="0.15">
      <c r="B575" s="38" t="s">
        <v>25</v>
      </c>
      <c r="C575" s="9">
        <v>1</v>
      </c>
      <c r="D575" s="14">
        <v>1</v>
      </c>
      <c r="E575" s="13">
        <v>1</v>
      </c>
      <c r="F575" s="46">
        <f t="shared" si="159"/>
        <v>3</v>
      </c>
      <c r="G575" s="24">
        <v>45022</v>
      </c>
      <c r="H575" s="4"/>
      <c r="I575" s="9"/>
      <c r="J575" s="14"/>
      <c r="K575" s="13"/>
      <c r="L575" s="46">
        <f t="shared" ref="L575:L596" si="161">SUM(I575:K575)</f>
        <v>0</v>
      </c>
    </row>
    <row r="576" spans="1:14" x14ac:dyDescent="0.15">
      <c r="B576" s="38" t="s">
        <v>25</v>
      </c>
      <c r="C576" s="9">
        <f>1+1</f>
        <v>2</v>
      </c>
      <c r="D576" s="14">
        <v>1</v>
      </c>
      <c r="E576" s="13"/>
      <c r="F576" s="46">
        <f t="shared" si="159"/>
        <v>3</v>
      </c>
      <c r="G576" s="24">
        <v>45026</v>
      </c>
      <c r="H576" s="4"/>
      <c r="I576" s="9"/>
      <c r="J576" s="14"/>
      <c r="K576" s="13"/>
      <c r="L576" s="46">
        <f t="shared" si="161"/>
        <v>0</v>
      </c>
    </row>
    <row r="577" spans="1:12" x14ac:dyDescent="0.15">
      <c r="B577" s="38" t="s">
        <v>25</v>
      </c>
      <c r="C577" s="9">
        <v>1</v>
      </c>
      <c r="D577" s="14"/>
      <c r="E577" s="13"/>
      <c r="F577" s="46">
        <f t="shared" si="159"/>
        <v>1</v>
      </c>
      <c r="G577" s="24">
        <v>45028</v>
      </c>
      <c r="H577" s="4"/>
      <c r="I577" s="9"/>
      <c r="J577" s="14"/>
      <c r="K577" s="13"/>
      <c r="L577" s="46">
        <f t="shared" si="161"/>
        <v>0</v>
      </c>
    </row>
    <row r="578" spans="1:12" x14ac:dyDescent="0.15">
      <c r="B578" s="38" t="s">
        <v>25</v>
      </c>
      <c r="C578" s="9"/>
      <c r="D578" s="14">
        <v>1</v>
      </c>
      <c r="E578" s="13"/>
      <c r="F578" s="46">
        <f t="shared" si="159"/>
        <v>1</v>
      </c>
      <c r="G578" s="24">
        <v>45029</v>
      </c>
      <c r="H578" s="4"/>
      <c r="I578" s="9"/>
      <c r="J578" s="14"/>
      <c r="K578" s="13"/>
      <c r="L578" s="46">
        <f t="shared" si="161"/>
        <v>0</v>
      </c>
    </row>
    <row r="579" spans="1:12" x14ac:dyDescent="0.15">
      <c r="B579" s="38" t="s">
        <v>25</v>
      </c>
      <c r="C579" s="9">
        <v>2</v>
      </c>
      <c r="D579" s="14">
        <v>1</v>
      </c>
      <c r="E579" s="13"/>
      <c r="F579" s="46">
        <f t="shared" si="159"/>
        <v>3</v>
      </c>
      <c r="G579" s="24">
        <v>45031</v>
      </c>
      <c r="H579" s="4"/>
      <c r="I579" s="9"/>
      <c r="J579" s="14"/>
      <c r="K579" s="13"/>
      <c r="L579" s="46">
        <f t="shared" si="161"/>
        <v>0</v>
      </c>
    </row>
    <row r="580" spans="1:12" x14ac:dyDescent="0.15">
      <c r="B580" s="38" t="s">
        <v>25</v>
      </c>
      <c r="C580" s="9">
        <v>1</v>
      </c>
      <c r="D580" s="14"/>
      <c r="E580" s="13"/>
      <c r="F580" s="46">
        <f t="shared" si="159"/>
        <v>1</v>
      </c>
      <c r="G580" s="24">
        <v>45040</v>
      </c>
      <c r="H580" s="4"/>
      <c r="I580" s="9"/>
      <c r="J580" s="14"/>
      <c r="K580" s="13"/>
      <c r="L580" s="46">
        <f t="shared" si="161"/>
        <v>0</v>
      </c>
    </row>
    <row r="581" spans="1:12" x14ac:dyDescent="0.15">
      <c r="B581" s="38" t="s">
        <v>25</v>
      </c>
      <c r="C581" s="9">
        <v>1</v>
      </c>
      <c r="D581" s="14">
        <v>1</v>
      </c>
      <c r="E581" s="13">
        <f>1+1+1</f>
        <v>3</v>
      </c>
      <c r="F581" s="46">
        <f t="shared" si="159"/>
        <v>5</v>
      </c>
      <c r="G581" s="24">
        <v>45054</v>
      </c>
      <c r="H581" s="4"/>
      <c r="I581" s="9"/>
      <c r="J581" s="14"/>
      <c r="K581" s="13"/>
      <c r="L581" s="46">
        <f t="shared" si="161"/>
        <v>0</v>
      </c>
    </row>
    <row r="582" spans="1:12" x14ac:dyDescent="0.15">
      <c r="B582" s="38" t="s">
        <v>25</v>
      </c>
      <c r="C582" s="9">
        <v>1</v>
      </c>
      <c r="D582" s="14">
        <v>1</v>
      </c>
      <c r="E582" s="13">
        <v>1</v>
      </c>
      <c r="F582" s="46">
        <f t="shared" si="159"/>
        <v>3</v>
      </c>
      <c r="G582" s="24">
        <v>45058</v>
      </c>
      <c r="H582" s="4"/>
      <c r="I582" s="9"/>
      <c r="J582" s="14"/>
      <c r="K582" s="13"/>
      <c r="L582" s="46">
        <f t="shared" si="161"/>
        <v>0</v>
      </c>
    </row>
    <row r="583" spans="1:12" x14ac:dyDescent="0.15">
      <c r="B583" s="38" t="s">
        <v>25</v>
      </c>
      <c r="C583" s="9">
        <v>1</v>
      </c>
      <c r="D583" s="14"/>
      <c r="E583" s="13"/>
      <c r="F583" s="46">
        <f t="shared" si="159"/>
        <v>1</v>
      </c>
      <c r="G583" s="24">
        <v>45066</v>
      </c>
      <c r="H583" s="4"/>
      <c r="I583" s="9"/>
      <c r="J583" s="14"/>
      <c r="K583" s="13"/>
      <c r="L583" s="46">
        <f t="shared" si="161"/>
        <v>0</v>
      </c>
    </row>
    <row r="584" spans="1:12" x14ac:dyDescent="0.15">
      <c r="B584" s="38" t="s">
        <v>25</v>
      </c>
      <c r="C584" s="9">
        <v>1</v>
      </c>
      <c r="D584" s="14"/>
      <c r="E584" s="13"/>
      <c r="F584" s="46">
        <f t="shared" si="159"/>
        <v>1</v>
      </c>
      <c r="G584" s="24">
        <v>45071</v>
      </c>
      <c r="H584" s="4"/>
      <c r="I584" s="9"/>
      <c r="J584" s="14"/>
      <c r="K584" s="13"/>
      <c r="L584" s="46">
        <f t="shared" si="161"/>
        <v>0</v>
      </c>
    </row>
    <row r="585" spans="1:12" x14ac:dyDescent="0.15">
      <c r="B585" s="38" t="s">
        <v>25</v>
      </c>
      <c r="C585" s="9">
        <v>1</v>
      </c>
      <c r="D585" s="14">
        <v>2</v>
      </c>
      <c r="E585" s="13"/>
      <c r="F585" s="46">
        <f t="shared" si="159"/>
        <v>3</v>
      </c>
      <c r="G585" s="24">
        <v>45072</v>
      </c>
      <c r="H585" s="4"/>
      <c r="I585" s="9"/>
      <c r="J585" s="14"/>
      <c r="K585" s="13"/>
      <c r="L585" s="46">
        <f t="shared" si="161"/>
        <v>0</v>
      </c>
    </row>
    <row r="586" spans="1:12" x14ac:dyDescent="0.15">
      <c r="B586" s="38" t="s">
        <v>25</v>
      </c>
      <c r="C586" s="9"/>
      <c r="D586" s="14"/>
      <c r="E586" s="13">
        <v>1</v>
      </c>
      <c r="F586" s="46">
        <f t="shared" si="159"/>
        <v>1</v>
      </c>
      <c r="G586" s="24">
        <v>45075</v>
      </c>
      <c r="H586" s="4"/>
      <c r="I586" s="9"/>
      <c r="J586" s="14"/>
      <c r="K586" s="13"/>
      <c r="L586" s="46">
        <f t="shared" si="161"/>
        <v>0</v>
      </c>
    </row>
    <row r="587" spans="1:12" x14ac:dyDescent="0.15">
      <c r="B587" s="38" t="s">
        <v>25</v>
      </c>
      <c r="C587" s="9"/>
      <c r="D587" s="14">
        <v>1</v>
      </c>
      <c r="E587" s="13">
        <v>1</v>
      </c>
      <c r="F587" s="46">
        <f t="shared" si="159"/>
        <v>2</v>
      </c>
      <c r="G587" s="24">
        <v>45079</v>
      </c>
      <c r="H587" s="4"/>
      <c r="I587" s="9"/>
      <c r="J587" s="14"/>
      <c r="K587" s="13"/>
      <c r="L587" s="46">
        <f t="shared" si="161"/>
        <v>0</v>
      </c>
    </row>
    <row r="588" spans="1:12" x14ac:dyDescent="0.15">
      <c r="A588" s="1"/>
      <c r="B588" s="38" t="s">
        <v>25</v>
      </c>
      <c r="C588" s="9">
        <v>1</v>
      </c>
      <c r="D588" s="14"/>
      <c r="E588" s="13">
        <v>2</v>
      </c>
      <c r="F588" s="46">
        <f t="shared" si="159"/>
        <v>3</v>
      </c>
      <c r="G588" s="24">
        <v>45082</v>
      </c>
      <c r="H588" s="4"/>
      <c r="I588" s="9"/>
      <c r="J588" s="14"/>
      <c r="K588" s="13"/>
      <c r="L588" s="46">
        <f t="shared" si="161"/>
        <v>0</v>
      </c>
    </row>
    <row r="589" spans="1:12" x14ac:dyDescent="0.15">
      <c r="A589" s="1"/>
      <c r="B589" s="38" t="s">
        <v>25</v>
      </c>
      <c r="C589" s="9">
        <v>1</v>
      </c>
      <c r="D589" s="14"/>
      <c r="E589" s="13">
        <v>1</v>
      </c>
      <c r="F589" s="46">
        <f t="shared" si="159"/>
        <v>2</v>
      </c>
      <c r="G589" s="24">
        <v>45083</v>
      </c>
      <c r="H589" s="4"/>
      <c r="I589" s="9"/>
      <c r="J589" s="14"/>
      <c r="K589" s="13"/>
      <c r="L589" s="46">
        <f t="shared" si="161"/>
        <v>0</v>
      </c>
    </row>
    <row r="590" spans="1:12" x14ac:dyDescent="0.15">
      <c r="A590" s="1"/>
      <c r="B590" s="38" t="s">
        <v>25</v>
      </c>
      <c r="C590" s="9">
        <v>1</v>
      </c>
      <c r="D590" s="14"/>
      <c r="E590" s="13">
        <v>2</v>
      </c>
      <c r="F590" s="46">
        <f t="shared" si="159"/>
        <v>3</v>
      </c>
      <c r="G590" s="24">
        <v>45084</v>
      </c>
      <c r="H590" s="4"/>
      <c r="I590" s="9"/>
      <c r="J590" s="14"/>
      <c r="K590" s="13"/>
      <c r="L590" s="46">
        <f t="shared" si="161"/>
        <v>0</v>
      </c>
    </row>
    <row r="591" spans="1:12" x14ac:dyDescent="0.15">
      <c r="A591" s="1"/>
      <c r="B591" s="38" t="s">
        <v>25</v>
      </c>
      <c r="C591" s="9">
        <v>2</v>
      </c>
      <c r="D591" s="14"/>
      <c r="E591" s="13">
        <v>1</v>
      </c>
      <c r="F591" s="46">
        <f t="shared" ref="F591:F596" si="162">SUM(C591:E591)</f>
        <v>3</v>
      </c>
      <c r="G591" s="24">
        <v>45089</v>
      </c>
      <c r="H591" s="4"/>
      <c r="I591" s="9"/>
      <c r="J591" s="14"/>
      <c r="K591" s="13"/>
      <c r="L591" s="46">
        <f t="shared" si="161"/>
        <v>0</v>
      </c>
    </row>
    <row r="592" spans="1:12" x14ac:dyDescent="0.15">
      <c r="A592" s="1"/>
      <c r="B592" s="38" t="s">
        <v>98</v>
      </c>
      <c r="C592" s="9"/>
      <c r="D592" s="14">
        <v>1</v>
      </c>
      <c r="E592" s="13"/>
      <c r="F592" s="46">
        <f t="shared" si="162"/>
        <v>1</v>
      </c>
      <c r="G592" s="24">
        <v>45091</v>
      </c>
      <c r="H592" s="4"/>
      <c r="I592" s="9"/>
      <c r="J592" s="14"/>
      <c r="K592" s="13"/>
      <c r="L592" s="46">
        <f t="shared" si="161"/>
        <v>0</v>
      </c>
    </row>
    <row r="593" spans="1:12" x14ac:dyDescent="0.15">
      <c r="A593" s="1"/>
      <c r="B593" s="38" t="s">
        <v>25</v>
      </c>
      <c r="C593" s="16">
        <v>1</v>
      </c>
      <c r="D593" s="17"/>
      <c r="E593" s="18"/>
      <c r="F593" s="46">
        <f t="shared" si="162"/>
        <v>1</v>
      </c>
      <c r="G593" s="24">
        <v>45091</v>
      </c>
      <c r="H593" s="4"/>
      <c r="I593" s="9"/>
      <c r="J593" s="14"/>
      <c r="K593" s="13"/>
      <c r="L593" s="46">
        <f t="shared" si="161"/>
        <v>0</v>
      </c>
    </row>
    <row r="594" spans="1:12" ht="14.25" thickBot="1" x14ac:dyDescent="0.2">
      <c r="A594" s="1"/>
      <c r="B594" s="38" t="s">
        <v>25</v>
      </c>
      <c r="C594" s="9">
        <v>2</v>
      </c>
      <c r="D594" s="14"/>
      <c r="E594" s="13"/>
      <c r="F594" s="47">
        <f t="shared" si="162"/>
        <v>2</v>
      </c>
      <c r="G594" s="24">
        <v>45092</v>
      </c>
      <c r="H594" s="4"/>
      <c r="I594" s="9"/>
      <c r="J594" s="14"/>
      <c r="K594" s="13"/>
      <c r="L594" s="47">
        <f t="shared" si="161"/>
        <v>0</v>
      </c>
    </row>
    <row r="595" spans="1:12" ht="14.25" thickBot="1" x14ac:dyDescent="0.2">
      <c r="A595" s="1"/>
      <c r="B595" s="5" t="s">
        <v>9</v>
      </c>
      <c r="C595" s="10">
        <f>SUM(C571:C594)</f>
        <v>25</v>
      </c>
      <c r="D595" s="10">
        <f t="shared" ref="D595:E595" si="163">SUM(D571:D594)</f>
        <v>11</v>
      </c>
      <c r="E595" s="10">
        <f t="shared" si="163"/>
        <v>13</v>
      </c>
      <c r="F595" s="48">
        <f t="shared" si="162"/>
        <v>49</v>
      </c>
      <c r="G595" s="1"/>
      <c r="H595" s="5" t="s">
        <v>9</v>
      </c>
      <c r="I595" s="10">
        <f>SUM(I571:I594)</f>
        <v>25</v>
      </c>
      <c r="J595" s="10">
        <f t="shared" ref="J595:K595" si="164">SUM(J571:J594)</f>
        <v>10</v>
      </c>
      <c r="K595" s="10">
        <f t="shared" si="164"/>
        <v>10</v>
      </c>
      <c r="L595" s="48">
        <f t="shared" si="161"/>
        <v>45</v>
      </c>
    </row>
    <row r="596" spans="1:12" ht="14.25" thickBot="1" x14ac:dyDescent="0.2">
      <c r="A596" s="1"/>
      <c r="B596" s="8" t="s">
        <v>10</v>
      </c>
      <c r="C596" s="11">
        <f>C570-C595</f>
        <v>15</v>
      </c>
      <c r="D596" s="11">
        <f t="shared" ref="D596:E596" si="165">D570-D595</f>
        <v>8</v>
      </c>
      <c r="E596" s="11">
        <f t="shared" si="165"/>
        <v>7</v>
      </c>
      <c r="F596" s="37">
        <f t="shared" si="162"/>
        <v>30</v>
      </c>
      <c r="G596" s="1"/>
      <c r="H596" s="8" t="s">
        <v>10</v>
      </c>
      <c r="I596" s="11">
        <f>I570-I595</f>
        <v>1028</v>
      </c>
      <c r="J596" s="11">
        <f t="shared" ref="J596:K596" si="166">J570-J595</f>
        <v>702</v>
      </c>
      <c r="K596" s="11">
        <f t="shared" si="166"/>
        <v>239</v>
      </c>
      <c r="L596" s="37">
        <f t="shared" si="161"/>
        <v>1969</v>
      </c>
    </row>
    <row r="599" spans="1:12" ht="18.75" x14ac:dyDescent="0.2">
      <c r="A599" s="41" t="s">
        <v>12</v>
      </c>
      <c r="B599" s="42"/>
      <c r="C599" s="41"/>
      <c r="D599" s="43"/>
      <c r="E599" s="43"/>
      <c r="F599" s="2"/>
      <c r="G599" s="1"/>
      <c r="H599" s="41" t="s">
        <v>12</v>
      </c>
      <c r="I599" s="41"/>
      <c r="J599" s="43"/>
      <c r="K599" s="43"/>
      <c r="L599" s="2"/>
    </row>
    <row r="600" spans="1:12" ht="19.5" thickBot="1" x14ac:dyDescent="0.25">
      <c r="A600" s="7"/>
      <c r="B600" s="7" t="s">
        <v>0</v>
      </c>
      <c r="C600" s="7"/>
      <c r="D600" s="7" t="s">
        <v>15</v>
      </c>
      <c r="E600" s="2"/>
      <c r="F600" s="2"/>
      <c r="G600" s="1"/>
      <c r="H600" s="7" t="s">
        <v>1</v>
      </c>
      <c r="I600" s="1"/>
      <c r="J600" s="7" t="s">
        <v>15</v>
      </c>
      <c r="K600" s="2"/>
      <c r="L600" s="2"/>
    </row>
    <row r="601" spans="1:12" ht="14.25" thickBot="1" x14ac:dyDescent="0.2">
      <c r="A601" s="1"/>
      <c r="B601" s="3"/>
      <c r="C601" s="5" t="s">
        <v>2</v>
      </c>
      <c r="D601" s="3" t="s">
        <v>3</v>
      </c>
      <c r="E601" s="12" t="s">
        <v>4</v>
      </c>
      <c r="F601" s="3" t="s">
        <v>5</v>
      </c>
      <c r="G601" s="1"/>
      <c r="H601" s="3"/>
      <c r="I601" s="5" t="s">
        <v>2</v>
      </c>
      <c r="J601" s="3" t="s">
        <v>3</v>
      </c>
      <c r="K601" s="12" t="s">
        <v>4</v>
      </c>
      <c r="L601" s="3" t="s">
        <v>5</v>
      </c>
    </row>
    <row r="602" spans="1:12" ht="14.25" thickBot="1" x14ac:dyDescent="0.2">
      <c r="A602" s="1"/>
      <c r="B602" s="34" t="s">
        <v>11</v>
      </c>
      <c r="C602" s="35">
        <f>C596</f>
        <v>15</v>
      </c>
      <c r="D602" s="36">
        <f>D596</f>
        <v>8</v>
      </c>
      <c r="E602" s="35">
        <f>E596</f>
        <v>7</v>
      </c>
      <c r="F602" s="37">
        <f>SUM(C602:E602)</f>
        <v>30</v>
      </c>
      <c r="G602" s="28"/>
      <c r="H602" s="34"/>
      <c r="I602" s="35">
        <f>I596</f>
        <v>1028</v>
      </c>
      <c r="J602" s="36">
        <f>J596</f>
        <v>702</v>
      </c>
      <c r="K602" s="35">
        <f>K596</f>
        <v>239</v>
      </c>
      <c r="L602" s="37">
        <f>SUM(I602:K602)</f>
        <v>1969</v>
      </c>
    </row>
    <row r="603" spans="1:12" x14ac:dyDescent="0.15">
      <c r="A603" s="1"/>
      <c r="B603" s="29" t="s">
        <v>7</v>
      </c>
      <c r="C603" s="20"/>
      <c r="D603" s="21">
        <v>5</v>
      </c>
      <c r="E603" s="20">
        <v>5</v>
      </c>
      <c r="F603" s="46">
        <f t="shared" ref="F603:F606" si="167">SUM(C603:E603)</f>
        <v>10</v>
      </c>
      <c r="G603" s="27">
        <v>45112</v>
      </c>
      <c r="H603" s="29"/>
      <c r="I603" s="22"/>
      <c r="J603" s="23"/>
      <c r="K603" s="22"/>
      <c r="L603" s="46">
        <f t="shared" ref="L603:L606" si="168">SUM(I603:K603)</f>
        <v>0</v>
      </c>
    </row>
    <row r="604" spans="1:12" x14ac:dyDescent="0.15">
      <c r="A604" s="1"/>
      <c r="B604" s="29" t="s">
        <v>7</v>
      </c>
      <c r="C604" s="20">
        <v>5</v>
      </c>
      <c r="D604" s="21">
        <v>5</v>
      </c>
      <c r="E604" s="20"/>
      <c r="F604" s="46">
        <f t="shared" si="167"/>
        <v>10</v>
      </c>
      <c r="G604" s="27">
        <v>45118</v>
      </c>
      <c r="H604" s="29"/>
      <c r="I604" s="22"/>
      <c r="J604" s="23"/>
      <c r="K604" s="22"/>
      <c r="L604" s="46">
        <f t="shared" si="168"/>
        <v>0</v>
      </c>
    </row>
    <row r="605" spans="1:12" x14ac:dyDescent="0.15">
      <c r="A605" s="1"/>
      <c r="B605" s="29" t="s">
        <v>7</v>
      </c>
      <c r="C605" s="20">
        <v>5</v>
      </c>
      <c r="D605" s="21">
        <v>5</v>
      </c>
      <c r="E605" s="20">
        <v>5</v>
      </c>
      <c r="F605" s="46">
        <f t="shared" si="167"/>
        <v>15</v>
      </c>
      <c r="G605" s="27">
        <v>45127</v>
      </c>
      <c r="H605" s="29"/>
      <c r="I605" s="22"/>
      <c r="J605" s="23"/>
      <c r="K605" s="22"/>
      <c r="L605" s="46">
        <f t="shared" si="168"/>
        <v>0</v>
      </c>
    </row>
    <row r="606" spans="1:12" x14ac:dyDescent="0.15">
      <c r="A606" s="1"/>
      <c r="B606" s="29" t="s">
        <v>7</v>
      </c>
      <c r="C606" s="20">
        <v>10</v>
      </c>
      <c r="D606" s="21"/>
      <c r="E606" s="20"/>
      <c r="F606" s="46">
        <f t="shared" si="167"/>
        <v>10</v>
      </c>
      <c r="G606" s="27">
        <v>45131</v>
      </c>
      <c r="H606" s="29"/>
      <c r="I606" s="22"/>
      <c r="J606" s="23"/>
      <c r="K606" s="22"/>
      <c r="L606" s="46">
        <f t="shared" si="168"/>
        <v>0</v>
      </c>
    </row>
    <row r="607" spans="1:12" x14ac:dyDescent="0.15">
      <c r="A607" s="1"/>
      <c r="B607" s="29" t="s">
        <v>76</v>
      </c>
      <c r="C607" s="20">
        <v>1</v>
      </c>
      <c r="D607" s="21"/>
      <c r="E607" s="20"/>
      <c r="F607" s="46">
        <f t="shared" ref="F607:F612" si="169">SUM(C607:E607)</f>
        <v>1</v>
      </c>
      <c r="G607" s="27">
        <v>45140</v>
      </c>
      <c r="H607" s="29"/>
      <c r="I607" s="22"/>
      <c r="J607" s="23"/>
      <c r="K607" s="22"/>
      <c r="L607" s="46">
        <f t="shared" ref="L607" si="170">SUM(I607:K607)</f>
        <v>0</v>
      </c>
    </row>
    <row r="608" spans="1:12" x14ac:dyDescent="0.15">
      <c r="A608" s="1"/>
      <c r="B608" s="29" t="s">
        <v>100</v>
      </c>
      <c r="C608" s="20">
        <v>18</v>
      </c>
      <c r="D608" s="21">
        <v>3</v>
      </c>
      <c r="E608" s="20">
        <v>1</v>
      </c>
      <c r="F608" s="46">
        <f t="shared" si="169"/>
        <v>22</v>
      </c>
      <c r="G608" s="27">
        <v>45141</v>
      </c>
      <c r="H608" s="29"/>
      <c r="I608" s="19"/>
      <c r="J608" s="4"/>
      <c r="K608" s="19"/>
      <c r="L608" s="46">
        <f>SUM(I608:K608)</f>
        <v>0</v>
      </c>
    </row>
    <row r="609" spans="1:14" x14ac:dyDescent="0.15">
      <c r="A609" s="1"/>
      <c r="B609" s="29" t="s">
        <v>7</v>
      </c>
      <c r="C609" s="20"/>
      <c r="D609" s="21"/>
      <c r="E609" s="20">
        <v>5</v>
      </c>
      <c r="F609" s="46">
        <f t="shared" si="169"/>
        <v>5</v>
      </c>
      <c r="G609" s="27">
        <v>45143</v>
      </c>
      <c r="H609" s="29"/>
      <c r="I609" s="20"/>
      <c r="J609" s="21"/>
      <c r="K609" s="20"/>
      <c r="L609" s="46">
        <f t="shared" ref="L609:L612" si="171">SUM(I609:K609)</f>
        <v>0</v>
      </c>
    </row>
    <row r="610" spans="1:14" x14ac:dyDescent="0.15">
      <c r="A610" s="1"/>
      <c r="B610" s="29" t="s">
        <v>7</v>
      </c>
      <c r="C610" s="20"/>
      <c r="D610" s="21">
        <v>5</v>
      </c>
      <c r="E610" s="20">
        <v>5</v>
      </c>
      <c r="F610" s="46">
        <f t="shared" si="169"/>
        <v>10</v>
      </c>
      <c r="G610" s="27">
        <v>45148</v>
      </c>
      <c r="H610" s="29"/>
      <c r="I610" s="20"/>
      <c r="J610" s="21"/>
      <c r="K610" s="20"/>
      <c r="L610" s="46">
        <f t="shared" si="171"/>
        <v>0</v>
      </c>
    </row>
    <row r="611" spans="1:14" x14ac:dyDescent="0.15">
      <c r="A611" s="1"/>
      <c r="B611" s="29" t="s">
        <v>7</v>
      </c>
      <c r="C611" s="20"/>
      <c r="D611" s="21"/>
      <c r="E611" s="20"/>
      <c r="F611" s="46">
        <f t="shared" si="169"/>
        <v>0</v>
      </c>
      <c r="G611" s="24"/>
      <c r="H611" s="29"/>
      <c r="I611" s="20"/>
      <c r="J611" s="21"/>
      <c r="K611" s="20"/>
      <c r="L611" s="46">
        <f t="shared" si="171"/>
        <v>0</v>
      </c>
    </row>
    <row r="612" spans="1:14" ht="14.25" thickBot="1" x14ac:dyDescent="0.2">
      <c r="A612" s="1"/>
      <c r="B612" s="29" t="s">
        <v>7</v>
      </c>
      <c r="C612" s="19"/>
      <c r="D612" s="4"/>
      <c r="E612" s="19"/>
      <c r="F612" s="46">
        <f t="shared" si="169"/>
        <v>0</v>
      </c>
      <c r="G612" s="27"/>
      <c r="H612" s="29"/>
      <c r="I612" s="19"/>
      <c r="J612" s="4"/>
      <c r="K612" s="19"/>
      <c r="L612" s="46">
        <f t="shared" si="171"/>
        <v>0</v>
      </c>
    </row>
    <row r="613" spans="1:14" ht="14.25" thickBot="1" x14ac:dyDescent="0.2">
      <c r="A613" s="1"/>
      <c r="B613" s="6" t="s">
        <v>8</v>
      </c>
      <c r="C613" s="44">
        <f>SUM(C602:C612)</f>
        <v>54</v>
      </c>
      <c r="D613" s="44">
        <f t="shared" ref="D613:F613" si="172">SUM(D602:D612)</f>
        <v>31</v>
      </c>
      <c r="E613" s="44">
        <f t="shared" si="172"/>
        <v>28</v>
      </c>
      <c r="F613" s="45">
        <f t="shared" si="172"/>
        <v>113</v>
      </c>
      <c r="G613" s="1"/>
      <c r="H613" s="6"/>
      <c r="I613" s="44">
        <f>SUM(I602:I612)</f>
        <v>1028</v>
      </c>
      <c r="J613" s="44">
        <f t="shared" ref="J613:L613" si="173">SUM(J602:J612)</f>
        <v>702</v>
      </c>
      <c r="K613" s="44">
        <f t="shared" si="173"/>
        <v>239</v>
      </c>
      <c r="L613" s="45">
        <f t="shared" si="173"/>
        <v>1969</v>
      </c>
    </row>
    <row r="614" spans="1:14" x14ac:dyDescent="0.15">
      <c r="A614" s="1"/>
      <c r="B614" s="38" t="s">
        <v>25</v>
      </c>
      <c r="C614" s="16"/>
      <c r="D614" s="17">
        <v>1</v>
      </c>
      <c r="E614" s="18"/>
      <c r="F614" s="46">
        <f t="shared" ref="F614:F635" si="174">SUM(C614:E614)</f>
        <v>1</v>
      </c>
      <c r="G614" s="24">
        <v>45097</v>
      </c>
      <c r="H614" s="4" t="s">
        <v>24</v>
      </c>
      <c r="I614" s="9"/>
      <c r="J614" s="14">
        <v>5</v>
      </c>
      <c r="K614" s="13">
        <v>5</v>
      </c>
      <c r="L614" s="46">
        <f t="shared" ref="L614:L617" si="175">SUM(I614:K614)</f>
        <v>10</v>
      </c>
      <c r="M614" s="73">
        <v>45112</v>
      </c>
    </row>
    <row r="615" spans="1:14" x14ac:dyDescent="0.15">
      <c r="B615" s="38" t="s">
        <v>25</v>
      </c>
      <c r="C615" s="16"/>
      <c r="D615" s="17"/>
      <c r="E615" s="18">
        <v>1</v>
      </c>
      <c r="F615" s="46">
        <f t="shared" si="174"/>
        <v>1</v>
      </c>
      <c r="G615" s="24">
        <v>45099</v>
      </c>
      <c r="H615" s="4" t="s">
        <v>24</v>
      </c>
      <c r="I615" s="9">
        <v>5</v>
      </c>
      <c r="J615" s="14">
        <v>5</v>
      </c>
      <c r="K615" s="13"/>
      <c r="L615" s="46">
        <f t="shared" si="175"/>
        <v>10</v>
      </c>
      <c r="M615" s="73">
        <v>45118</v>
      </c>
    </row>
    <row r="616" spans="1:14" x14ac:dyDescent="0.15">
      <c r="B616" s="38" t="s">
        <v>25</v>
      </c>
      <c r="C616" s="16"/>
      <c r="D616" s="17">
        <v>1</v>
      </c>
      <c r="E616" s="18">
        <v>1</v>
      </c>
      <c r="F616" s="46">
        <f t="shared" si="174"/>
        <v>2</v>
      </c>
      <c r="G616" s="24">
        <v>45100</v>
      </c>
      <c r="H616" s="4" t="s">
        <v>24</v>
      </c>
      <c r="I616" s="9">
        <v>5</v>
      </c>
      <c r="J616" s="14">
        <v>5</v>
      </c>
      <c r="K616" s="13">
        <v>5</v>
      </c>
      <c r="L616" s="46">
        <f t="shared" si="175"/>
        <v>15</v>
      </c>
      <c r="M616" s="73">
        <v>45127</v>
      </c>
      <c r="N616" s="54"/>
    </row>
    <row r="617" spans="1:14" x14ac:dyDescent="0.15">
      <c r="B617" s="38" t="s">
        <v>25</v>
      </c>
      <c r="C617" s="16">
        <v>2</v>
      </c>
      <c r="D617" s="17">
        <v>2</v>
      </c>
      <c r="E617" s="18"/>
      <c r="F617" s="46">
        <f t="shared" si="174"/>
        <v>4</v>
      </c>
      <c r="G617" s="24">
        <v>45103</v>
      </c>
      <c r="H617" s="4" t="s">
        <v>24</v>
      </c>
      <c r="I617" s="9">
        <v>10</v>
      </c>
      <c r="J617" s="14"/>
      <c r="K617" s="13"/>
      <c r="L617" s="46">
        <f t="shared" si="175"/>
        <v>10</v>
      </c>
      <c r="M617" s="73">
        <v>45131</v>
      </c>
    </row>
    <row r="618" spans="1:14" x14ac:dyDescent="0.15">
      <c r="B618" s="38" t="s">
        <v>25</v>
      </c>
      <c r="C618" s="16"/>
      <c r="D618" s="17">
        <v>1</v>
      </c>
      <c r="E618" s="18">
        <v>2</v>
      </c>
      <c r="F618" s="46">
        <f t="shared" si="174"/>
        <v>3</v>
      </c>
      <c r="G618" s="24">
        <v>45110</v>
      </c>
      <c r="H618" s="4" t="s">
        <v>24</v>
      </c>
      <c r="I618" s="9"/>
      <c r="J618" s="14"/>
      <c r="K618" s="13">
        <v>5</v>
      </c>
      <c r="L618" s="46">
        <f t="shared" ref="L618:L635" si="176">SUM(I618:K618)</f>
        <v>5</v>
      </c>
      <c r="M618" s="74">
        <v>45143</v>
      </c>
    </row>
    <row r="619" spans="1:14" x14ac:dyDescent="0.15">
      <c r="B619" s="38" t="s">
        <v>25</v>
      </c>
      <c r="C619" s="16"/>
      <c r="D619" s="17">
        <v>1</v>
      </c>
      <c r="E619" s="18"/>
      <c r="F619" s="46">
        <f t="shared" si="174"/>
        <v>1</v>
      </c>
      <c r="G619" s="24">
        <v>45111</v>
      </c>
      <c r="H619" s="4" t="s">
        <v>24</v>
      </c>
      <c r="I619" s="9"/>
      <c r="J619" s="14">
        <v>5</v>
      </c>
      <c r="K619" s="13">
        <v>5</v>
      </c>
      <c r="L619" s="46">
        <f t="shared" si="176"/>
        <v>10</v>
      </c>
      <c r="M619" s="73">
        <v>45148</v>
      </c>
    </row>
    <row r="620" spans="1:14" x14ac:dyDescent="0.15">
      <c r="B620" s="38" t="s">
        <v>25</v>
      </c>
      <c r="C620" s="16">
        <f>1+2</f>
        <v>3</v>
      </c>
      <c r="D620" s="17"/>
      <c r="E620" s="18">
        <v>1</v>
      </c>
      <c r="F620" s="46">
        <f t="shared" si="174"/>
        <v>4</v>
      </c>
      <c r="G620" s="24">
        <v>45113</v>
      </c>
      <c r="H620" s="4"/>
      <c r="I620" s="9"/>
      <c r="J620" s="14"/>
      <c r="K620" s="13"/>
      <c r="L620" s="46">
        <f t="shared" si="176"/>
        <v>0</v>
      </c>
    </row>
    <row r="621" spans="1:14" x14ac:dyDescent="0.15">
      <c r="B621" s="38" t="s">
        <v>25</v>
      </c>
      <c r="C621" s="16">
        <v>1</v>
      </c>
      <c r="D621" s="17"/>
      <c r="E621" s="18"/>
      <c r="F621" s="46">
        <f t="shared" si="174"/>
        <v>1</v>
      </c>
      <c r="G621" s="24">
        <v>45114</v>
      </c>
      <c r="H621" s="4"/>
      <c r="I621" s="9"/>
      <c r="J621" s="14"/>
      <c r="K621" s="13"/>
      <c r="L621" s="46">
        <f t="shared" si="176"/>
        <v>0</v>
      </c>
    </row>
    <row r="622" spans="1:14" x14ac:dyDescent="0.15">
      <c r="B622" s="38" t="s">
        <v>25</v>
      </c>
      <c r="C622" s="16">
        <v>2</v>
      </c>
      <c r="D622" s="17">
        <v>2</v>
      </c>
      <c r="E622" s="18"/>
      <c r="F622" s="46">
        <f t="shared" si="174"/>
        <v>4</v>
      </c>
      <c r="G622" s="24">
        <v>45117</v>
      </c>
      <c r="H622" s="4"/>
      <c r="I622" s="9"/>
      <c r="J622" s="14"/>
      <c r="K622" s="13"/>
      <c r="L622" s="46">
        <f t="shared" si="176"/>
        <v>0</v>
      </c>
    </row>
    <row r="623" spans="1:14" x14ac:dyDescent="0.15">
      <c r="B623" s="38" t="s">
        <v>25</v>
      </c>
      <c r="C623" s="16">
        <v>1</v>
      </c>
      <c r="D623" s="17"/>
      <c r="E623" s="18"/>
      <c r="F623" s="46">
        <f t="shared" si="174"/>
        <v>1</v>
      </c>
      <c r="G623" s="24">
        <v>45118</v>
      </c>
      <c r="H623" s="4"/>
      <c r="I623" s="9"/>
      <c r="J623" s="14"/>
      <c r="K623" s="13"/>
      <c r="L623" s="46">
        <f t="shared" si="176"/>
        <v>0</v>
      </c>
    </row>
    <row r="624" spans="1:14" x14ac:dyDescent="0.15">
      <c r="B624" s="38" t="s">
        <v>99</v>
      </c>
      <c r="C624" s="16"/>
      <c r="D624" s="17">
        <v>1</v>
      </c>
      <c r="E624" s="18"/>
      <c r="F624" s="46">
        <f t="shared" si="174"/>
        <v>1</v>
      </c>
      <c r="G624" s="24">
        <v>45121</v>
      </c>
      <c r="H624" s="4"/>
      <c r="I624" s="9"/>
      <c r="J624" s="14"/>
      <c r="K624" s="13"/>
      <c r="L624" s="46">
        <f t="shared" si="176"/>
        <v>0</v>
      </c>
    </row>
    <row r="625" spans="1:12" x14ac:dyDescent="0.15">
      <c r="B625" s="38" t="s">
        <v>25</v>
      </c>
      <c r="C625" s="16">
        <v>2</v>
      </c>
      <c r="D625" s="17">
        <v>1</v>
      </c>
      <c r="E625" s="18">
        <v>1</v>
      </c>
      <c r="F625" s="46">
        <f t="shared" si="174"/>
        <v>4</v>
      </c>
      <c r="G625" s="24">
        <v>45125</v>
      </c>
      <c r="H625" s="4"/>
      <c r="I625" s="9"/>
      <c r="J625" s="14"/>
      <c r="K625" s="13"/>
      <c r="L625" s="46">
        <f t="shared" si="176"/>
        <v>0</v>
      </c>
    </row>
    <row r="626" spans="1:12" x14ac:dyDescent="0.15">
      <c r="B626" s="38" t="s">
        <v>25</v>
      </c>
      <c r="C626" s="16"/>
      <c r="D626" s="17">
        <v>1</v>
      </c>
      <c r="E626" s="18"/>
      <c r="F626" s="46">
        <f t="shared" si="174"/>
        <v>1</v>
      </c>
      <c r="G626" s="24">
        <v>45126</v>
      </c>
      <c r="H626" s="4"/>
      <c r="I626" s="9"/>
      <c r="J626" s="14"/>
      <c r="K626" s="13"/>
      <c r="L626" s="46">
        <f t="shared" si="176"/>
        <v>0</v>
      </c>
    </row>
    <row r="627" spans="1:12" x14ac:dyDescent="0.15">
      <c r="B627" s="38" t="s">
        <v>25</v>
      </c>
      <c r="C627" s="16"/>
      <c r="D627" s="17">
        <v>1</v>
      </c>
      <c r="E627" s="18"/>
      <c r="F627" s="46">
        <f t="shared" si="174"/>
        <v>1</v>
      </c>
      <c r="G627" s="24">
        <v>45127</v>
      </c>
      <c r="H627" s="4"/>
      <c r="I627" s="9"/>
      <c r="J627" s="14"/>
      <c r="K627" s="13"/>
      <c r="L627" s="46">
        <f t="shared" si="176"/>
        <v>0</v>
      </c>
    </row>
    <row r="628" spans="1:12" x14ac:dyDescent="0.15">
      <c r="B628" s="38" t="s">
        <v>25</v>
      </c>
      <c r="C628" s="16">
        <v>6</v>
      </c>
      <c r="D628" s="17"/>
      <c r="E628" s="18">
        <v>1</v>
      </c>
      <c r="F628" s="46">
        <f t="shared" si="174"/>
        <v>7</v>
      </c>
      <c r="G628" s="24">
        <v>45128</v>
      </c>
      <c r="H628" s="4"/>
      <c r="I628" s="9"/>
      <c r="J628" s="14"/>
      <c r="K628" s="13"/>
      <c r="L628" s="46">
        <f t="shared" si="176"/>
        <v>0</v>
      </c>
    </row>
    <row r="629" spans="1:12" x14ac:dyDescent="0.15">
      <c r="B629" s="38" t="s">
        <v>25</v>
      </c>
      <c r="C629" s="16"/>
      <c r="D629" s="17">
        <v>2</v>
      </c>
      <c r="E629" s="18">
        <v>2</v>
      </c>
      <c r="F629" s="46">
        <f t="shared" si="174"/>
        <v>4</v>
      </c>
      <c r="G629" s="24">
        <v>45131</v>
      </c>
      <c r="H629" s="4"/>
      <c r="I629" s="9"/>
      <c r="J629" s="14"/>
      <c r="K629" s="13"/>
      <c r="L629" s="46">
        <f t="shared" si="176"/>
        <v>0</v>
      </c>
    </row>
    <row r="630" spans="1:12" x14ac:dyDescent="0.15">
      <c r="B630" s="38" t="s">
        <v>25</v>
      </c>
      <c r="C630" s="16">
        <v>1</v>
      </c>
      <c r="D630" s="17"/>
      <c r="E630" s="18">
        <v>1</v>
      </c>
      <c r="F630" s="46">
        <f t="shared" si="174"/>
        <v>2</v>
      </c>
      <c r="G630" s="24">
        <v>45132</v>
      </c>
      <c r="H630" s="4"/>
      <c r="I630" s="9"/>
      <c r="J630" s="14"/>
      <c r="K630" s="13"/>
      <c r="L630" s="46">
        <f t="shared" si="176"/>
        <v>0</v>
      </c>
    </row>
    <row r="631" spans="1:12" x14ac:dyDescent="0.15">
      <c r="A631" s="1"/>
      <c r="B631" s="38" t="s">
        <v>25</v>
      </c>
      <c r="C631" s="16"/>
      <c r="D631" s="17"/>
      <c r="E631" s="18">
        <v>1</v>
      </c>
      <c r="F631" s="46">
        <f t="shared" si="174"/>
        <v>1</v>
      </c>
      <c r="G631" s="24">
        <v>45133</v>
      </c>
      <c r="H631" s="4"/>
      <c r="I631" s="9"/>
      <c r="J631" s="14"/>
      <c r="K631" s="13"/>
      <c r="L631" s="46">
        <f t="shared" si="176"/>
        <v>0</v>
      </c>
    </row>
    <row r="632" spans="1:12" x14ac:dyDescent="0.15">
      <c r="A632" s="1"/>
      <c r="B632" s="38" t="s">
        <v>25</v>
      </c>
      <c r="C632" s="16">
        <v>1</v>
      </c>
      <c r="D632" s="17"/>
      <c r="E632" s="18"/>
      <c r="F632" s="46">
        <f t="shared" si="174"/>
        <v>1</v>
      </c>
      <c r="G632" s="24">
        <v>45134</v>
      </c>
      <c r="H632" s="4"/>
      <c r="I632" s="9"/>
      <c r="J632" s="14"/>
      <c r="K632" s="13"/>
      <c r="L632" s="46">
        <f t="shared" si="176"/>
        <v>0</v>
      </c>
    </row>
    <row r="633" spans="1:12" x14ac:dyDescent="0.15">
      <c r="A633" s="1"/>
      <c r="B633" s="38" t="s">
        <v>25</v>
      </c>
      <c r="C633" s="16"/>
      <c r="D633" s="17"/>
      <c r="E633" s="18">
        <v>1</v>
      </c>
      <c r="F633" s="46">
        <f t="shared" si="174"/>
        <v>1</v>
      </c>
      <c r="G633" s="24">
        <v>45136</v>
      </c>
      <c r="H633" s="4"/>
      <c r="I633" s="9"/>
      <c r="J633" s="14"/>
      <c r="K633" s="13"/>
      <c r="L633" s="46">
        <f t="shared" si="176"/>
        <v>0</v>
      </c>
    </row>
    <row r="634" spans="1:12" x14ac:dyDescent="0.15">
      <c r="A634" s="1"/>
      <c r="B634" s="38" t="s">
        <v>25</v>
      </c>
      <c r="C634" s="16"/>
      <c r="D634" s="17">
        <v>2</v>
      </c>
      <c r="E634" s="18"/>
      <c r="F634" s="46">
        <f t="shared" si="174"/>
        <v>2</v>
      </c>
      <c r="G634" s="24">
        <v>45138</v>
      </c>
      <c r="H634" s="4"/>
      <c r="I634" s="9"/>
      <c r="J634" s="14"/>
      <c r="K634" s="13"/>
      <c r="L634" s="46">
        <f t="shared" si="176"/>
        <v>0</v>
      </c>
    </row>
    <row r="635" spans="1:12" x14ac:dyDescent="0.15">
      <c r="A635" s="1"/>
      <c r="B635" s="38" t="s">
        <v>25</v>
      </c>
      <c r="C635" s="16"/>
      <c r="D635" s="17">
        <v>1</v>
      </c>
      <c r="E635" s="18"/>
      <c r="F635" s="46">
        <f t="shared" si="174"/>
        <v>1</v>
      </c>
      <c r="G635" s="24">
        <v>45143</v>
      </c>
      <c r="H635" s="4"/>
      <c r="I635" s="9"/>
      <c r="J635" s="14"/>
      <c r="K635" s="13"/>
      <c r="L635" s="46">
        <f t="shared" si="176"/>
        <v>0</v>
      </c>
    </row>
    <row r="636" spans="1:12" x14ac:dyDescent="0.15">
      <c r="A636" s="1"/>
      <c r="B636" s="38" t="s">
        <v>101</v>
      </c>
      <c r="C636" s="16">
        <v>3</v>
      </c>
      <c r="D636" s="17">
        <v>3</v>
      </c>
      <c r="E636" s="18">
        <v>3</v>
      </c>
      <c r="F636" s="46">
        <f t="shared" ref="F636:F639" si="177">SUM(C636:E636)</f>
        <v>9</v>
      </c>
      <c r="G636" s="24">
        <v>45147</v>
      </c>
      <c r="H636" s="4"/>
      <c r="I636" s="9"/>
      <c r="J636" s="14"/>
      <c r="K636" s="13"/>
      <c r="L636" s="46">
        <f t="shared" ref="L636:L639" si="178">SUM(I636:K636)</f>
        <v>0</v>
      </c>
    </row>
    <row r="637" spans="1:12" ht="14.25" thickBot="1" x14ac:dyDescent="0.2">
      <c r="A637" s="1"/>
      <c r="B637" s="38" t="s">
        <v>25</v>
      </c>
      <c r="C637" s="9"/>
      <c r="D637" s="14"/>
      <c r="E637" s="13">
        <v>2</v>
      </c>
      <c r="F637" s="47">
        <f t="shared" si="177"/>
        <v>2</v>
      </c>
      <c r="G637" s="24">
        <v>45146</v>
      </c>
      <c r="H637" s="4"/>
      <c r="I637" s="9"/>
      <c r="J637" s="14"/>
      <c r="K637" s="13"/>
      <c r="L637" s="47">
        <f t="shared" si="178"/>
        <v>0</v>
      </c>
    </row>
    <row r="638" spans="1:12" ht="14.25" thickBot="1" x14ac:dyDescent="0.2">
      <c r="A638" s="1"/>
      <c r="B638" s="5" t="s">
        <v>9</v>
      </c>
      <c r="C638" s="10">
        <f>SUM(C614:C637)</f>
        <v>22</v>
      </c>
      <c r="D638" s="10">
        <f t="shared" ref="D638:E638" si="179">SUM(D614:D637)</f>
        <v>20</v>
      </c>
      <c r="E638" s="10">
        <f t="shared" si="179"/>
        <v>17</v>
      </c>
      <c r="F638" s="48">
        <f t="shared" si="177"/>
        <v>59</v>
      </c>
      <c r="G638" s="1"/>
      <c r="H638" s="5" t="s">
        <v>9</v>
      </c>
      <c r="I638" s="10">
        <f>SUM(I614:I637)</f>
        <v>20</v>
      </c>
      <c r="J638" s="10">
        <f t="shared" ref="J638:K638" si="180">SUM(J614:J637)</f>
        <v>20</v>
      </c>
      <c r="K638" s="10">
        <f t="shared" si="180"/>
        <v>20</v>
      </c>
      <c r="L638" s="48">
        <f t="shared" si="178"/>
        <v>60</v>
      </c>
    </row>
    <row r="639" spans="1:12" ht="14.25" thickBot="1" x14ac:dyDescent="0.2">
      <c r="A639" s="1"/>
      <c r="B639" s="8" t="s">
        <v>10</v>
      </c>
      <c r="C639" s="11">
        <f>C613-C638</f>
        <v>32</v>
      </c>
      <c r="D639" s="11">
        <f t="shared" ref="D639:E639" si="181">D613-D638</f>
        <v>11</v>
      </c>
      <c r="E639" s="11">
        <f t="shared" si="181"/>
        <v>11</v>
      </c>
      <c r="F639" s="37">
        <f t="shared" si="177"/>
        <v>54</v>
      </c>
      <c r="G639" s="1"/>
      <c r="H639" s="8" t="s">
        <v>10</v>
      </c>
      <c r="I639" s="11">
        <f>I613-I638</f>
        <v>1008</v>
      </c>
      <c r="J639" s="11">
        <f t="shared" ref="J639:K639" si="182">J613-J638</f>
        <v>682</v>
      </c>
      <c r="K639" s="11">
        <f t="shared" si="182"/>
        <v>219</v>
      </c>
      <c r="L639" s="37">
        <f t="shared" si="178"/>
        <v>1909</v>
      </c>
    </row>
    <row r="642" spans="1:12" ht="18.75" x14ac:dyDescent="0.2">
      <c r="A642" s="41" t="s">
        <v>12</v>
      </c>
      <c r="B642" s="42"/>
      <c r="C642" s="41"/>
      <c r="D642" s="43"/>
      <c r="E642" s="43"/>
      <c r="F642" s="2"/>
      <c r="G642" s="1"/>
      <c r="H642" s="41" t="s">
        <v>12</v>
      </c>
      <c r="I642" s="41"/>
      <c r="J642" s="43"/>
      <c r="K642" s="43"/>
      <c r="L642" s="2"/>
    </row>
    <row r="643" spans="1:12" ht="19.5" thickBot="1" x14ac:dyDescent="0.25">
      <c r="A643" s="7"/>
      <c r="B643" s="7" t="s">
        <v>0</v>
      </c>
      <c r="C643" s="7"/>
      <c r="D643" s="7" t="s">
        <v>15</v>
      </c>
      <c r="E643" s="2"/>
      <c r="F643" s="2"/>
      <c r="G643" s="1"/>
      <c r="H643" s="7" t="s">
        <v>1</v>
      </c>
      <c r="I643" s="1"/>
      <c r="J643" s="7" t="s">
        <v>15</v>
      </c>
      <c r="K643" s="2"/>
      <c r="L643" s="2"/>
    </row>
    <row r="644" spans="1:12" ht="14.25" thickBot="1" x14ac:dyDescent="0.2">
      <c r="A644" s="1"/>
      <c r="B644" s="3"/>
      <c r="C644" s="5" t="s">
        <v>2</v>
      </c>
      <c r="D644" s="3" t="s">
        <v>3</v>
      </c>
      <c r="E644" s="12" t="s">
        <v>4</v>
      </c>
      <c r="F644" s="3" t="s">
        <v>5</v>
      </c>
      <c r="G644" s="1"/>
      <c r="H644" s="3"/>
      <c r="I644" s="5" t="s">
        <v>2</v>
      </c>
      <c r="J644" s="3" t="s">
        <v>3</v>
      </c>
      <c r="K644" s="12" t="s">
        <v>4</v>
      </c>
      <c r="L644" s="3" t="s">
        <v>5</v>
      </c>
    </row>
    <row r="645" spans="1:12" ht="14.25" thickBot="1" x14ac:dyDescent="0.2">
      <c r="A645" s="1"/>
      <c r="B645" s="34" t="s">
        <v>11</v>
      </c>
      <c r="C645" s="35">
        <f>C639</f>
        <v>32</v>
      </c>
      <c r="D645" s="36">
        <f>D639</f>
        <v>11</v>
      </c>
      <c r="E645" s="35">
        <f>E639</f>
        <v>11</v>
      </c>
      <c r="F645" s="37">
        <f>SUM(C645:E645)</f>
        <v>54</v>
      </c>
      <c r="G645" s="28"/>
      <c r="H645" s="34"/>
      <c r="I645" s="35">
        <f>I639</f>
        <v>1008</v>
      </c>
      <c r="J645" s="36">
        <f>J639</f>
        <v>682</v>
      </c>
      <c r="K645" s="35">
        <f>K639</f>
        <v>219</v>
      </c>
      <c r="L645" s="37">
        <f>SUM(I645:K645)</f>
        <v>1909</v>
      </c>
    </row>
    <row r="646" spans="1:12" x14ac:dyDescent="0.15">
      <c r="A646" s="1"/>
      <c r="B646" s="29" t="s">
        <v>7</v>
      </c>
      <c r="C646" s="20"/>
      <c r="D646" s="21">
        <v>2</v>
      </c>
      <c r="E646" s="20">
        <v>9</v>
      </c>
      <c r="F646" s="46">
        <f t="shared" ref="F646:F653" si="183">SUM(C646:E646)</f>
        <v>11</v>
      </c>
      <c r="G646" s="24">
        <v>45197</v>
      </c>
      <c r="H646" s="29"/>
      <c r="I646" s="20"/>
      <c r="J646" s="21"/>
      <c r="K646" s="20"/>
      <c r="L646" s="46">
        <f t="shared" ref="L646:L653" si="184">SUM(I646:K646)</f>
        <v>0</v>
      </c>
    </row>
    <row r="647" spans="1:12" x14ac:dyDescent="0.15">
      <c r="A647" s="1"/>
      <c r="B647" s="29" t="s">
        <v>7</v>
      </c>
      <c r="C647" s="20"/>
      <c r="D647" s="21">
        <v>10</v>
      </c>
      <c r="E647" s="20"/>
      <c r="F647" s="46">
        <f t="shared" si="183"/>
        <v>10</v>
      </c>
      <c r="G647" s="24">
        <v>45215</v>
      </c>
      <c r="H647" s="29"/>
      <c r="I647" s="20"/>
      <c r="J647" s="21"/>
      <c r="K647" s="20"/>
      <c r="L647" s="46">
        <f t="shared" si="184"/>
        <v>0</v>
      </c>
    </row>
    <row r="648" spans="1:12" x14ac:dyDescent="0.15">
      <c r="A648" s="1"/>
      <c r="B648" s="29" t="s">
        <v>7</v>
      </c>
      <c r="C648" s="20"/>
      <c r="D648" s="21"/>
      <c r="E648" s="20"/>
      <c r="F648" s="46">
        <f t="shared" si="183"/>
        <v>0</v>
      </c>
      <c r="G648" s="24"/>
      <c r="H648" s="29"/>
      <c r="I648" s="20"/>
      <c r="J648" s="21"/>
      <c r="K648" s="20"/>
      <c r="L648" s="46">
        <f t="shared" si="184"/>
        <v>0</v>
      </c>
    </row>
    <row r="649" spans="1:12" x14ac:dyDescent="0.15">
      <c r="A649" s="1"/>
      <c r="B649" s="29" t="s">
        <v>7</v>
      </c>
      <c r="C649" s="20"/>
      <c r="D649" s="21"/>
      <c r="E649" s="20"/>
      <c r="F649" s="46">
        <f t="shared" si="183"/>
        <v>0</v>
      </c>
      <c r="G649" s="24"/>
      <c r="H649" s="29"/>
      <c r="I649" s="20"/>
      <c r="J649" s="21"/>
      <c r="K649" s="20"/>
      <c r="L649" s="46">
        <f t="shared" si="184"/>
        <v>0</v>
      </c>
    </row>
    <row r="650" spans="1:12" x14ac:dyDescent="0.15">
      <c r="A650" s="1"/>
      <c r="B650" s="29" t="s">
        <v>7</v>
      </c>
      <c r="C650" s="20"/>
      <c r="D650" s="21"/>
      <c r="E650" s="20"/>
      <c r="F650" s="46">
        <f t="shared" si="183"/>
        <v>0</v>
      </c>
      <c r="G650" s="24"/>
      <c r="H650" s="29"/>
      <c r="I650" s="20"/>
      <c r="J650" s="21"/>
      <c r="K650" s="20"/>
      <c r="L650" s="46">
        <f t="shared" si="184"/>
        <v>0</v>
      </c>
    </row>
    <row r="651" spans="1:12" x14ac:dyDescent="0.15">
      <c r="A651" s="1"/>
      <c r="B651" s="29" t="s">
        <v>7</v>
      </c>
      <c r="C651" s="20"/>
      <c r="D651" s="21"/>
      <c r="E651" s="20"/>
      <c r="F651" s="46">
        <f t="shared" si="183"/>
        <v>0</v>
      </c>
      <c r="G651" s="24"/>
      <c r="H651" s="29"/>
      <c r="I651" s="20"/>
      <c r="J651" s="21"/>
      <c r="K651" s="20"/>
      <c r="L651" s="46">
        <f t="shared" si="184"/>
        <v>0</v>
      </c>
    </row>
    <row r="652" spans="1:12" x14ac:dyDescent="0.15">
      <c r="A652" s="1"/>
      <c r="B652" s="29" t="s">
        <v>7</v>
      </c>
      <c r="C652" s="20"/>
      <c r="D652" s="21"/>
      <c r="E652" s="20"/>
      <c r="F652" s="46">
        <f t="shared" si="183"/>
        <v>0</v>
      </c>
      <c r="G652" s="24"/>
      <c r="H652" s="29"/>
      <c r="I652" s="20"/>
      <c r="J652" s="21"/>
      <c r="K652" s="20"/>
      <c r="L652" s="46">
        <f t="shared" si="184"/>
        <v>0</v>
      </c>
    </row>
    <row r="653" spans="1:12" x14ac:dyDescent="0.15">
      <c r="A653" s="1"/>
      <c r="B653" s="29" t="s">
        <v>7</v>
      </c>
      <c r="C653" s="20"/>
      <c r="D653" s="21"/>
      <c r="E653" s="20"/>
      <c r="F653" s="46">
        <f t="shared" si="183"/>
        <v>0</v>
      </c>
      <c r="G653" s="24"/>
      <c r="H653" s="29"/>
      <c r="I653" s="20"/>
      <c r="J653" s="21"/>
      <c r="K653" s="20"/>
      <c r="L653" s="46">
        <f t="shared" si="184"/>
        <v>0</v>
      </c>
    </row>
    <row r="654" spans="1:12" x14ac:dyDescent="0.15">
      <c r="A654" s="1"/>
      <c r="B654" s="29" t="s">
        <v>7</v>
      </c>
      <c r="C654" s="20"/>
      <c r="D654" s="21"/>
      <c r="E654" s="20"/>
      <c r="F654" s="46">
        <f t="shared" ref="F654:F655" si="185">SUM(C654:E654)</f>
        <v>0</v>
      </c>
      <c r="G654" s="24"/>
      <c r="H654" s="29"/>
      <c r="I654" s="20"/>
      <c r="J654" s="21"/>
      <c r="K654" s="20"/>
      <c r="L654" s="46">
        <f t="shared" ref="L654:L655" si="186">SUM(I654:K654)</f>
        <v>0</v>
      </c>
    </row>
    <row r="655" spans="1:12" ht="14.25" thickBot="1" x14ac:dyDescent="0.2">
      <c r="A655" s="1"/>
      <c r="B655" s="29" t="s">
        <v>7</v>
      </c>
      <c r="C655" s="19"/>
      <c r="D655" s="4"/>
      <c r="E655" s="19"/>
      <c r="F655" s="46">
        <f t="shared" si="185"/>
        <v>0</v>
      </c>
      <c r="G655" s="27"/>
      <c r="H655" s="29"/>
      <c r="I655" s="19"/>
      <c r="J655" s="4"/>
      <c r="K655" s="19"/>
      <c r="L655" s="46">
        <f t="shared" si="186"/>
        <v>0</v>
      </c>
    </row>
    <row r="656" spans="1:12" ht="14.25" thickBot="1" x14ac:dyDescent="0.2">
      <c r="A656" s="1"/>
      <c r="B656" s="6" t="s">
        <v>8</v>
      </c>
      <c r="C656" s="44">
        <f>SUM(C645:C655)</f>
        <v>32</v>
      </c>
      <c r="D656" s="44">
        <f t="shared" ref="D656:F656" si="187">SUM(D645:D655)</f>
        <v>23</v>
      </c>
      <c r="E656" s="44">
        <f t="shared" si="187"/>
        <v>20</v>
      </c>
      <c r="F656" s="45">
        <f t="shared" si="187"/>
        <v>75</v>
      </c>
      <c r="G656" s="1"/>
      <c r="H656" s="6"/>
      <c r="I656" s="44">
        <f>SUM(I645:I655)</f>
        <v>1008</v>
      </c>
      <c r="J656" s="44">
        <f t="shared" ref="J656:L656" si="188">SUM(J645:J655)</f>
        <v>682</v>
      </c>
      <c r="K656" s="44">
        <f t="shared" si="188"/>
        <v>219</v>
      </c>
      <c r="L656" s="45">
        <f t="shared" si="188"/>
        <v>1909</v>
      </c>
    </row>
    <row r="657" spans="1:14" x14ac:dyDescent="0.15">
      <c r="A657" s="1"/>
      <c r="B657" s="38" t="s">
        <v>25</v>
      </c>
      <c r="C657" s="16"/>
      <c r="D657" s="17"/>
      <c r="E657" s="18">
        <v>1</v>
      </c>
      <c r="F657" s="46">
        <f t="shared" ref="F657:F677" si="189">SUM(C657:E657)</f>
        <v>1</v>
      </c>
      <c r="G657" s="24">
        <v>45147</v>
      </c>
      <c r="H657" s="4" t="s">
        <v>24</v>
      </c>
      <c r="I657" s="9"/>
      <c r="J657" s="14">
        <v>2</v>
      </c>
      <c r="K657" s="13">
        <v>9</v>
      </c>
      <c r="L657" s="46">
        <f t="shared" ref="L657:L658" si="190">SUM(I657:K657)</f>
        <v>11</v>
      </c>
      <c r="M657" s="73">
        <v>45197</v>
      </c>
    </row>
    <row r="658" spans="1:14" x14ac:dyDescent="0.15">
      <c r="B658" s="38" t="s">
        <v>25</v>
      </c>
      <c r="C658" s="16">
        <v>2</v>
      </c>
      <c r="D658" s="17">
        <v>1</v>
      </c>
      <c r="E658" s="18"/>
      <c r="F658" s="46">
        <f t="shared" si="189"/>
        <v>3</v>
      </c>
      <c r="G658" s="24">
        <v>45149</v>
      </c>
      <c r="H658" s="4" t="s">
        <v>24</v>
      </c>
      <c r="I658" s="9"/>
      <c r="J658" s="14">
        <v>10</v>
      </c>
      <c r="K658" s="13"/>
      <c r="L658" s="46">
        <f t="shared" si="190"/>
        <v>10</v>
      </c>
      <c r="M658" s="73">
        <v>45215</v>
      </c>
      <c r="N658" s="75"/>
    </row>
    <row r="659" spans="1:14" x14ac:dyDescent="0.15">
      <c r="B659" s="38" t="s">
        <v>25</v>
      </c>
      <c r="C659" s="16">
        <v>2</v>
      </c>
      <c r="D659" s="17"/>
      <c r="E659" s="18"/>
      <c r="F659" s="46">
        <f t="shared" si="189"/>
        <v>2</v>
      </c>
      <c r="G659" s="24">
        <v>45168</v>
      </c>
      <c r="H659" s="4"/>
      <c r="I659" s="9"/>
      <c r="J659" s="14"/>
      <c r="K659" s="13"/>
      <c r="L659" s="46">
        <f t="shared" ref="L659:L677" si="191">SUM(I659:K659)</f>
        <v>0</v>
      </c>
      <c r="M659" s="54"/>
    </row>
    <row r="660" spans="1:14" x14ac:dyDescent="0.15">
      <c r="B660" s="38" t="s">
        <v>25</v>
      </c>
      <c r="C660" s="16"/>
      <c r="D660" s="17">
        <v>1</v>
      </c>
      <c r="E660" s="18"/>
      <c r="F660" s="46">
        <f t="shared" si="189"/>
        <v>1</v>
      </c>
      <c r="G660" s="24">
        <v>45169</v>
      </c>
      <c r="H660" s="4"/>
      <c r="I660" s="9"/>
      <c r="J660" s="14"/>
      <c r="K660" s="13"/>
      <c r="L660" s="46">
        <f t="shared" si="191"/>
        <v>0</v>
      </c>
    </row>
    <row r="661" spans="1:14" x14ac:dyDescent="0.15">
      <c r="B661" s="38" t="s">
        <v>25</v>
      </c>
      <c r="C661" s="16"/>
      <c r="D661" s="17">
        <v>1</v>
      </c>
      <c r="E661" s="18"/>
      <c r="F661" s="46">
        <f t="shared" si="189"/>
        <v>1</v>
      </c>
      <c r="G661" s="24">
        <v>45171</v>
      </c>
      <c r="H661" s="4"/>
      <c r="I661" s="9"/>
      <c r="J661" s="14"/>
      <c r="K661" s="13"/>
      <c r="L661" s="46">
        <f t="shared" si="191"/>
        <v>0</v>
      </c>
    </row>
    <row r="662" spans="1:14" x14ac:dyDescent="0.15">
      <c r="B662" s="38" t="s">
        <v>25</v>
      </c>
      <c r="C662" s="16"/>
      <c r="D662" s="17">
        <v>1</v>
      </c>
      <c r="E662" s="18">
        <v>1</v>
      </c>
      <c r="F662" s="46">
        <f t="shared" si="189"/>
        <v>2</v>
      </c>
      <c r="G662" s="24">
        <v>45173</v>
      </c>
      <c r="H662" s="4"/>
      <c r="I662" s="9"/>
      <c r="J662" s="14"/>
      <c r="K662" s="13"/>
      <c r="L662" s="46">
        <f t="shared" si="191"/>
        <v>0</v>
      </c>
    </row>
    <row r="663" spans="1:14" x14ac:dyDescent="0.15">
      <c r="B663" s="38" t="s">
        <v>25</v>
      </c>
      <c r="C663" s="16">
        <v>1</v>
      </c>
      <c r="D663" s="17">
        <v>1</v>
      </c>
      <c r="E663" s="18"/>
      <c r="F663" s="46">
        <f t="shared" si="189"/>
        <v>2</v>
      </c>
      <c r="G663" s="24">
        <v>45174</v>
      </c>
      <c r="H663" s="4"/>
      <c r="I663" s="9"/>
      <c r="J663" s="14"/>
      <c r="K663" s="13"/>
      <c r="L663" s="46">
        <f t="shared" si="191"/>
        <v>0</v>
      </c>
    </row>
    <row r="664" spans="1:14" x14ac:dyDescent="0.15">
      <c r="B664" s="38" t="s">
        <v>25</v>
      </c>
      <c r="C664" s="16"/>
      <c r="D664" s="17"/>
      <c r="E664" s="18">
        <v>1</v>
      </c>
      <c r="F664" s="46">
        <f t="shared" si="189"/>
        <v>1</v>
      </c>
      <c r="G664" s="24">
        <v>45176</v>
      </c>
      <c r="H664" s="4"/>
      <c r="I664" s="9"/>
      <c r="J664" s="14"/>
      <c r="K664" s="13"/>
      <c r="L664" s="46">
        <f t="shared" si="191"/>
        <v>0</v>
      </c>
    </row>
    <row r="665" spans="1:14" x14ac:dyDescent="0.15">
      <c r="B665" s="38" t="s">
        <v>25</v>
      </c>
      <c r="C665" s="16">
        <f>1+1</f>
        <v>2</v>
      </c>
      <c r="D665" s="17"/>
      <c r="E665" s="18"/>
      <c r="F665" s="46">
        <f t="shared" si="189"/>
        <v>2</v>
      </c>
      <c r="G665" s="24">
        <v>45177</v>
      </c>
      <c r="H665" s="4"/>
      <c r="I665" s="9"/>
      <c r="J665" s="14"/>
      <c r="K665" s="13"/>
      <c r="L665" s="46">
        <f t="shared" si="191"/>
        <v>0</v>
      </c>
    </row>
    <row r="666" spans="1:14" x14ac:dyDescent="0.15">
      <c r="B666" s="38" t="s">
        <v>25</v>
      </c>
      <c r="C666" s="16"/>
      <c r="D666" s="17">
        <v>1</v>
      </c>
      <c r="E666" s="18">
        <v>1</v>
      </c>
      <c r="F666" s="46">
        <f t="shared" si="189"/>
        <v>2</v>
      </c>
      <c r="G666" s="24">
        <v>45180</v>
      </c>
      <c r="H666" s="4"/>
      <c r="I666" s="9"/>
      <c r="J666" s="14"/>
      <c r="K666" s="13"/>
      <c r="L666" s="46">
        <f t="shared" si="191"/>
        <v>0</v>
      </c>
    </row>
    <row r="667" spans="1:14" x14ac:dyDescent="0.15">
      <c r="B667" s="38" t="s">
        <v>25</v>
      </c>
      <c r="C667" s="16">
        <f>1+1</f>
        <v>2</v>
      </c>
      <c r="D667" s="17">
        <v>1</v>
      </c>
      <c r="E667" s="18">
        <v>1</v>
      </c>
      <c r="F667" s="46">
        <f t="shared" si="189"/>
        <v>4</v>
      </c>
      <c r="G667" s="24">
        <v>45194</v>
      </c>
      <c r="H667" s="4"/>
      <c r="I667" s="9"/>
      <c r="J667" s="14"/>
      <c r="K667" s="13"/>
      <c r="L667" s="46">
        <f t="shared" si="191"/>
        <v>0</v>
      </c>
    </row>
    <row r="668" spans="1:14" x14ac:dyDescent="0.15">
      <c r="B668" s="38" t="s">
        <v>25</v>
      </c>
      <c r="C668" s="16"/>
      <c r="D668" s="17">
        <v>2</v>
      </c>
      <c r="E668" s="18"/>
      <c r="F668" s="46">
        <f t="shared" si="189"/>
        <v>2</v>
      </c>
      <c r="G668" s="24">
        <v>45195</v>
      </c>
      <c r="H668" s="4"/>
      <c r="I668" s="9"/>
      <c r="J668" s="14"/>
      <c r="K668" s="13"/>
      <c r="L668" s="46">
        <f t="shared" si="191"/>
        <v>0</v>
      </c>
    </row>
    <row r="669" spans="1:14" x14ac:dyDescent="0.15">
      <c r="B669" s="38" t="s">
        <v>102</v>
      </c>
      <c r="C669" s="16"/>
      <c r="D669" s="17">
        <v>1</v>
      </c>
      <c r="E669" s="18"/>
      <c r="F669" s="46">
        <f t="shared" si="189"/>
        <v>1</v>
      </c>
      <c r="G669" s="24">
        <v>45197</v>
      </c>
      <c r="H669" s="4"/>
      <c r="I669" s="9"/>
      <c r="J669" s="14"/>
      <c r="K669" s="13"/>
      <c r="L669" s="46">
        <f t="shared" si="191"/>
        <v>0</v>
      </c>
    </row>
    <row r="670" spans="1:14" x14ac:dyDescent="0.15">
      <c r="B670" s="38" t="s">
        <v>25</v>
      </c>
      <c r="C670" s="16">
        <v>1</v>
      </c>
      <c r="D670" s="17">
        <v>1</v>
      </c>
      <c r="E670" s="18"/>
      <c r="F670" s="46">
        <f t="shared" si="189"/>
        <v>2</v>
      </c>
      <c r="G670" s="24">
        <v>45199</v>
      </c>
      <c r="H670" s="4"/>
      <c r="I670" s="9"/>
      <c r="J670" s="14"/>
      <c r="K670" s="13"/>
      <c r="L670" s="46">
        <f t="shared" si="191"/>
        <v>0</v>
      </c>
    </row>
    <row r="671" spans="1:14" x14ac:dyDescent="0.15">
      <c r="B671" s="38" t="s">
        <v>25</v>
      </c>
      <c r="C671" s="16"/>
      <c r="D671" s="17"/>
      <c r="E671" s="18">
        <v>1</v>
      </c>
      <c r="F671" s="46">
        <f t="shared" si="189"/>
        <v>1</v>
      </c>
      <c r="G671" s="24">
        <v>45201</v>
      </c>
      <c r="H671" s="4"/>
      <c r="I671" s="9"/>
      <c r="J671" s="14"/>
      <c r="K671" s="13"/>
      <c r="L671" s="46">
        <f t="shared" si="191"/>
        <v>0</v>
      </c>
    </row>
    <row r="672" spans="1:14" x14ac:dyDescent="0.15">
      <c r="B672" s="38" t="s">
        <v>25</v>
      </c>
      <c r="C672" s="16"/>
      <c r="D672" s="17">
        <v>2</v>
      </c>
      <c r="E672" s="18"/>
      <c r="F672" s="46">
        <f t="shared" si="189"/>
        <v>2</v>
      </c>
      <c r="G672" s="24">
        <v>45202</v>
      </c>
      <c r="H672" s="4"/>
      <c r="I672" s="9"/>
      <c r="J672" s="14"/>
      <c r="K672" s="13"/>
      <c r="L672" s="46">
        <f t="shared" si="191"/>
        <v>0</v>
      </c>
    </row>
    <row r="673" spans="1:12" x14ac:dyDescent="0.15">
      <c r="B673" s="38" t="s">
        <v>25</v>
      </c>
      <c r="C673" s="16">
        <v>1</v>
      </c>
      <c r="D673" s="17"/>
      <c r="E673" s="18">
        <v>1</v>
      </c>
      <c r="F673" s="46">
        <f t="shared" si="189"/>
        <v>2</v>
      </c>
      <c r="G673" s="24">
        <v>45203</v>
      </c>
      <c r="H673" s="4"/>
      <c r="I673" s="9"/>
      <c r="J673" s="14"/>
      <c r="K673" s="13"/>
      <c r="L673" s="46">
        <f t="shared" si="191"/>
        <v>0</v>
      </c>
    </row>
    <row r="674" spans="1:12" x14ac:dyDescent="0.15">
      <c r="A674" s="1"/>
      <c r="B674" s="38" t="s">
        <v>25</v>
      </c>
      <c r="C674" s="16">
        <v>1</v>
      </c>
      <c r="D674" s="17"/>
      <c r="E674" s="18">
        <v>1</v>
      </c>
      <c r="F674" s="46">
        <f t="shared" si="189"/>
        <v>2</v>
      </c>
      <c r="G674" s="24">
        <v>45205</v>
      </c>
      <c r="H674" s="4"/>
      <c r="I674" s="9"/>
      <c r="J674" s="14"/>
      <c r="K674" s="13"/>
      <c r="L674" s="46">
        <f t="shared" si="191"/>
        <v>0</v>
      </c>
    </row>
    <row r="675" spans="1:12" x14ac:dyDescent="0.15">
      <c r="A675" s="1"/>
      <c r="B675" s="38" t="s">
        <v>25</v>
      </c>
      <c r="C675" s="16">
        <v>1</v>
      </c>
      <c r="D675" s="17"/>
      <c r="E675" s="18">
        <f>1+1</f>
        <v>2</v>
      </c>
      <c r="F675" s="46">
        <f t="shared" si="189"/>
        <v>3</v>
      </c>
      <c r="G675" s="24">
        <v>45209</v>
      </c>
      <c r="H675" s="4"/>
      <c r="I675" s="9"/>
      <c r="J675" s="14"/>
      <c r="K675" s="13"/>
      <c r="L675" s="46">
        <f t="shared" si="191"/>
        <v>0</v>
      </c>
    </row>
    <row r="676" spans="1:12" x14ac:dyDescent="0.15">
      <c r="A676" s="1"/>
      <c r="B676" s="38" t="s">
        <v>25</v>
      </c>
      <c r="C676" s="16">
        <v>1</v>
      </c>
      <c r="D676" s="17"/>
      <c r="E676" s="18"/>
      <c r="F676" s="46">
        <f t="shared" si="189"/>
        <v>1</v>
      </c>
      <c r="G676" s="24">
        <v>45210</v>
      </c>
      <c r="H676" s="4"/>
      <c r="I676" s="9"/>
      <c r="J676" s="14"/>
      <c r="K676" s="13"/>
      <c r="L676" s="46">
        <f t="shared" si="191"/>
        <v>0</v>
      </c>
    </row>
    <row r="677" spans="1:12" x14ac:dyDescent="0.15">
      <c r="A677" s="1"/>
      <c r="B677" s="38" t="s">
        <v>25</v>
      </c>
      <c r="C677" s="16">
        <f>1+1+2+1</f>
        <v>5</v>
      </c>
      <c r="D677" s="17"/>
      <c r="E677" s="18">
        <f>1+1</f>
        <v>2</v>
      </c>
      <c r="F677" s="46">
        <f t="shared" si="189"/>
        <v>7</v>
      </c>
      <c r="G677" s="24">
        <v>45215</v>
      </c>
      <c r="H677" s="4"/>
      <c r="I677" s="9"/>
      <c r="J677" s="14"/>
      <c r="K677" s="13"/>
      <c r="L677" s="46">
        <f t="shared" si="191"/>
        <v>0</v>
      </c>
    </row>
    <row r="678" spans="1:12" x14ac:dyDescent="0.15">
      <c r="A678" s="1"/>
      <c r="B678" s="38" t="s">
        <v>25</v>
      </c>
      <c r="C678" s="16"/>
      <c r="D678" s="17">
        <v>1</v>
      </c>
      <c r="E678" s="18"/>
      <c r="F678" s="46">
        <f t="shared" ref="F678:F682" si="192">SUM(C678:E678)</f>
        <v>1</v>
      </c>
      <c r="G678" s="24">
        <v>45226</v>
      </c>
      <c r="H678" s="4"/>
      <c r="I678" s="9"/>
      <c r="J678" s="14"/>
      <c r="K678" s="13"/>
      <c r="L678" s="46">
        <f t="shared" ref="L678:L682" si="193">SUM(I678:K678)</f>
        <v>0</v>
      </c>
    </row>
    <row r="679" spans="1:12" x14ac:dyDescent="0.15">
      <c r="A679" s="1"/>
      <c r="B679" s="38" t="s">
        <v>25</v>
      </c>
      <c r="C679" s="16">
        <v>1</v>
      </c>
      <c r="D679" s="17"/>
      <c r="E679" s="18"/>
      <c r="F679" s="46">
        <f t="shared" si="192"/>
        <v>1</v>
      </c>
      <c r="G679" s="24">
        <v>45229</v>
      </c>
      <c r="H679" s="4"/>
      <c r="I679" s="9"/>
      <c r="J679" s="14"/>
      <c r="K679" s="13"/>
      <c r="L679" s="46">
        <f t="shared" si="193"/>
        <v>0</v>
      </c>
    </row>
    <row r="680" spans="1:12" ht="14.25" thickBot="1" x14ac:dyDescent="0.2">
      <c r="A680" s="1"/>
      <c r="B680" s="38" t="s">
        <v>25</v>
      </c>
      <c r="C680" s="16">
        <v>1</v>
      </c>
      <c r="D680" s="17"/>
      <c r="E680" s="18"/>
      <c r="F680" s="46">
        <f t="shared" si="192"/>
        <v>1</v>
      </c>
      <c r="G680" s="24">
        <v>45231</v>
      </c>
      <c r="H680" s="4"/>
      <c r="I680" s="9"/>
      <c r="J680" s="14"/>
      <c r="K680" s="13"/>
      <c r="L680" s="46">
        <f t="shared" si="193"/>
        <v>0</v>
      </c>
    </row>
    <row r="681" spans="1:12" ht="14.25" thickBot="1" x14ac:dyDescent="0.2">
      <c r="A681" s="1"/>
      <c r="B681" s="5" t="s">
        <v>9</v>
      </c>
      <c r="C681" s="10">
        <f>SUM(C657:C680)</f>
        <v>21</v>
      </c>
      <c r="D681" s="10">
        <f t="shared" ref="D681:E681" si="194">SUM(D657:D680)</f>
        <v>14</v>
      </c>
      <c r="E681" s="10">
        <f t="shared" si="194"/>
        <v>12</v>
      </c>
      <c r="F681" s="48">
        <f t="shared" si="192"/>
        <v>47</v>
      </c>
      <c r="G681" s="1"/>
      <c r="H681" s="5" t="s">
        <v>9</v>
      </c>
      <c r="I681" s="10">
        <f>SUM(I657:I680)</f>
        <v>0</v>
      </c>
      <c r="J681" s="10">
        <f t="shared" ref="J681:K681" si="195">SUM(J657:J680)</f>
        <v>12</v>
      </c>
      <c r="K681" s="10">
        <f t="shared" si="195"/>
        <v>9</v>
      </c>
      <c r="L681" s="48">
        <f t="shared" si="193"/>
        <v>21</v>
      </c>
    </row>
    <row r="682" spans="1:12" ht="14.25" thickBot="1" x14ac:dyDescent="0.2">
      <c r="A682" s="1"/>
      <c r="B682" s="8" t="s">
        <v>10</v>
      </c>
      <c r="C682" s="11">
        <f>C656-C681</f>
        <v>11</v>
      </c>
      <c r="D682" s="11">
        <f t="shared" ref="D682:E682" si="196">D656-D681</f>
        <v>9</v>
      </c>
      <c r="E682" s="11">
        <f t="shared" si="196"/>
        <v>8</v>
      </c>
      <c r="F682" s="37">
        <f t="shared" si="192"/>
        <v>28</v>
      </c>
      <c r="G682" s="1"/>
      <c r="H682" s="8" t="s">
        <v>10</v>
      </c>
      <c r="I682" s="11">
        <f>I656-I681</f>
        <v>1008</v>
      </c>
      <c r="J682" s="11">
        <f t="shared" ref="J682:K682" si="197">J656-J681</f>
        <v>670</v>
      </c>
      <c r="K682" s="11">
        <f t="shared" si="197"/>
        <v>210</v>
      </c>
      <c r="L682" s="37">
        <f t="shared" si="193"/>
        <v>1888</v>
      </c>
    </row>
    <row r="685" spans="1:12" ht="18.75" x14ac:dyDescent="0.2">
      <c r="A685" s="41" t="s">
        <v>12</v>
      </c>
      <c r="B685" s="42"/>
      <c r="C685" s="41"/>
      <c r="D685" s="43"/>
      <c r="E685" s="43"/>
      <c r="F685" s="2"/>
      <c r="G685" s="1"/>
      <c r="H685" s="41" t="s">
        <v>12</v>
      </c>
      <c r="I685" s="41"/>
      <c r="J685" s="43"/>
      <c r="K685" s="43"/>
      <c r="L685" s="2"/>
    </row>
    <row r="686" spans="1:12" ht="19.5" thickBot="1" x14ac:dyDescent="0.25">
      <c r="A686" s="7"/>
      <c r="B686" s="7" t="s">
        <v>0</v>
      </c>
      <c r="C686" s="7"/>
      <c r="D686" s="7" t="s">
        <v>15</v>
      </c>
      <c r="E686" s="2"/>
      <c r="F686" s="2"/>
      <c r="G686" s="1"/>
      <c r="H686" s="7" t="s">
        <v>1</v>
      </c>
      <c r="I686" s="1"/>
      <c r="J686" s="7" t="s">
        <v>15</v>
      </c>
      <c r="K686" s="2"/>
      <c r="L686" s="2"/>
    </row>
    <row r="687" spans="1:12" ht="14.25" thickBot="1" x14ac:dyDescent="0.2">
      <c r="A687" s="1"/>
      <c r="B687" s="3"/>
      <c r="C687" s="5" t="s">
        <v>2</v>
      </c>
      <c r="D687" s="3" t="s">
        <v>3</v>
      </c>
      <c r="E687" s="12" t="s">
        <v>4</v>
      </c>
      <c r="F687" s="3" t="s">
        <v>5</v>
      </c>
      <c r="G687" s="1"/>
      <c r="H687" s="3"/>
      <c r="I687" s="5" t="s">
        <v>2</v>
      </c>
      <c r="J687" s="3" t="s">
        <v>3</v>
      </c>
      <c r="K687" s="12" t="s">
        <v>4</v>
      </c>
      <c r="L687" s="3" t="s">
        <v>5</v>
      </c>
    </row>
    <row r="688" spans="1:12" ht="14.25" thickBot="1" x14ac:dyDescent="0.2">
      <c r="A688" s="1"/>
      <c r="B688" s="34" t="s">
        <v>11</v>
      </c>
      <c r="C688" s="35">
        <f>C682</f>
        <v>11</v>
      </c>
      <c r="D688" s="36">
        <f>D682</f>
        <v>9</v>
      </c>
      <c r="E688" s="35">
        <f>E682</f>
        <v>8</v>
      </c>
      <c r="F688" s="37">
        <f>SUM(C688:E688)</f>
        <v>28</v>
      </c>
      <c r="G688" s="28"/>
      <c r="H688" s="34"/>
      <c r="I688" s="35">
        <f>I682</f>
        <v>1008</v>
      </c>
      <c r="J688" s="36">
        <f>J682</f>
        <v>670</v>
      </c>
      <c r="K688" s="35">
        <f>K682</f>
        <v>210</v>
      </c>
      <c r="L688" s="37">
        <f>SUM(I688:K688)</f>
        <v>1888</v>
      </c>
    </row>
    <row r="689" spans="1:14" x14ac:dyDescent="0.15">
      <c r="A689" s="1"/>
      <c r="B689" s="29" t="s">
        <v>7</v>
      </c>
      <c r="C689" s="20">
        <v>10</v>
      </c>
      <c r="D689" s="21">
        <v>5</v>
      </c>
      <c r="E689" s="20">
        <v>5</v>
      </c>
      <c r="F689" s="46">
        <f t="shared" ref="F689:F693" si="198">SUM(C689:E689)</f>
        <v>20</v>
      </c>
      <c r="G689" s="24">
        <v>45245</v>
      </c>
      <c r="H689" s="29"/>
      <c r="I689" s="20"/>
      <c r="J689" s="21"/>
      <c r="K689" s="20"/>
      <c r="L689" s="46">
        <f t="shared" ref="L689:L698" si="199">SUM(I689:K689)</f>
        <v>0</v>
      </c>
    </row>
    <row r="690" spans="1:14" x14ac:dyDescent="0.15">
      <c r="A690" s="1"/>
      <c r="B690" s="29" t="s">
        <v>7</v>
      </c>
      <c r="C690" s="20">
        <v>5</v>
      </c>
      <c r="D690" s="21">
        <v>5</v>
      </c>
      <c r="E690" s="20">
        <v>5</v>
      </c>
      <c r="F690" s="46">
        <f t="shared" si="198"/>
        <v>15</v>
      </c>
      <c r="G690" s="24">
        <v>45260</v>
      </c>
      <c r="H690" s="29"/>
      <c r="I690" s="20"/>
      <c r="J690" s="21"/>
      <c r="K690" s="20"/>
      <c r="L690" s="46">
        <f t="shared" si="199"/>
        <v>0</v>
      </c>
    </row>
    <row r="691" spans="1:14" x14ac:dyDescent="0.15">
      <c r="A691" s="1"/>
      <c r="B691" s="29" t="s">
        <v>7</v>
      </c>
      <c r="C691" s="20"/>
      <c r="D691" s="21">
        <v>5</v>
      </c>
      <c r="E691" s="20"/>
      <c r="F691" s="46">
        <f t="shared" si="198"/>
        <v>5</v>
      </c>
      <c r="G691" s="24">
        <v>45271</v>
      </c>
      <c r="H691" s="29"/>
      <c r="I691" s="20"/>
      <c r="J691" s="21"/>
      <c r="K691" s="20"/>
      <c r="L691" s="46">
        <f t="shared" si="199"/>
        <v>0</v>
      </c>
    </row>
    <row r="692" spans="1:14" x14ac:dyDescent="0.15">
      <c r="A692" s="1"/>
      <c r="B692" s="29" t="s">
        <v>7</v>
      </c>
      <c r="C692" s="20"/>
      <c r="D692" s="21">
        <v>10</v>
      </c>
      <c r="E692" s="20">
        <v>5</v>
      </c>
      <c r="F692" s="46">
        <f t="shared" si="198"/>
        <v>15</v>
      </c>
      <c r="G692" s="24">
        <v>45272</v>
      </c>
      <c r="H692" s="29"/>
      <c r="I692" s="20"/>
      <c r="J692" s="21"/>
      <c r="K692" s="20"/>
      <c r="L692" s="46">
        <f t="shared" si="199"/>
        <v>0</v>
      </c>
    </row>
    <row r="693" spans="1:14" x14ac:dyDescent="0.15">
      <c r="A693" s="1"/>
      <c r="B693" s="29" t="s">
        <v>7</v>
      </c>
      <c r="C693" s="20">
        <v>15</v>
      </c>
      <c r="D693" s="21"/>
      <c r="E693" s="20"/>
      <c r="F693" s="46">
        <f t="shared" si="198"/>
        <v>15</v>
      </c>
      <c r="G693" s="24">
        <v>45276</v>
      </c>
      <c r="H693" s="29"/>
      <c r="I693" s="20"/>
      <c r="J693" s="21"/>
      <c r="K693" s="20"/>
      <c r="L693" s="46">
        <f t="shared" si="199"/>
        <v>0</v>
      </c>
    </row>
    <row r="694" spans="1:14" x14ac:dyDescent="0.15">
      <c r="A694" s="1"/>
      <c r="B694" s="29" t="s">
        <v>7</v>
      </c>
      <c r="C694" s="20"/>
      <c r="D694" s="21"/>
      <c r="E694" s="20"/>
      <c r="F694" s="46">
        <f t="shared" ref="F694:F698" si="200">SUM(C694:E694)</f>
        <v>0</v>
      </c>
      <c r="G694" s="24"/>
      <c r="H694" s="29"/>
      <c r="I694" s="20"/>
      <c r="J694" s="21"/>
      <c r="K694" s="20"/>
      <c r="L694" s="46">
        <f t="shared" si="199"/>
        <v>0</v>
      </c>
    </row>
    <row r="695" spans="1:14" x14ac:dyDescent="0.15">
      <c r="A695" s="1"/>
      <c r="B695" s="29" t="s">
        <v>7</v>
      </c>
      <c r="C695" s="20"/>
      <c r="D695" s="21"/>
      <c r="E695" s="20"/>
      <c r="F695" s="46">
        <f t="shared" si="200"/>
        <v>0</v>
      </c>
      <c r="G695" s="24"/>
      <c r="H695" s="29"/>
      <c r="I695" s="20"/>
      <c r="J695" s="21"/>
      <c r="K695" s="20"/>
      <c r="L695" s="46">
        <f t="shared" si="199"/>
        <v>0</v>
      </c>
    </row>
    <row r="696" spans="1:14" x14ac:dyDescent="0.15">
      <c r="A696" s="1"/>
      <c r="B696" s="29" t="s">
        <v>7</v>
      </c>
      <c r="C696" s="20"/>
      <c r="D696" s="21"/>
      <c r="E696" s="20"/>
      <c r="F696" s="46">
        <f t="shared" si="200"/>
        <v>0</v>
      </c>
      <c r="G696" s="24"/>
      <c r="H696" s="29"/>
      <c r="I696" s="20"/>
      <c r="J696" s="21"/>
      <c r="K696" s="20"/>
      <c r="L696" s="46">
        <f t="shared" si="199"/>
        <v>0</v>
      </c>
    </row>
    <row r="697" spans="1:14" x14ac:dyDescent="0.15">
      <c r="A697" s="1"/>
      <c r="B697" s="29" t="s">
        <v>7</v>
      </c>
      <c r="C697" s="20"/>
      <c r="D697" s="21"/>
      <c r="E697" s="20"/>
      <c r="F697" s="46">
        <f t="shared" si="200"/>
        <v>0</v>
      </c>
      <c r="G697" s="24"/>
      <c r="H697" s="29"/>
      <c r="I697" s="20"/>
      <c r="J697" s="21"/>
      <c r="K697" s="20"/>
      <c r="L697" s="46">
        <f t="shared" si="199"/>
        <v>0</v>
      </c>
    </row>
    <row r="698" spans="1:14" ht="14.25" thickBot="1" x14ac:dyDescent="0.2">
      <c r="A698" s="1"/>
      <c r="B698" s="29" t="s">
        <v>7</v>
      </c>
      <c r="C698" s="19"/>
      <c r="D698" s="4"/>
      <c r="E698" s="19"/>
      <c r="F698" s="46">
        <f t="shared" si="200"/>
        <v>0</v>
      </c>
      <c r="G698" s="27"/>
      <c r="H698" s="29"/>
      <c r="I698" s="19"/>
      <c r="J698" s="4"/>
      <c r="K698" s="19"/>
      <c r="L698" s="46">
        <f t="shared" si="199"/>
        <v>0</v>
      </c>
    </row>
    <row r="699" spans="1:14" ht="14.25" thickBot="1" x14ac:dyDescent="0.2">
      <c r="A699" s="1"/>
      <c r="B699" s="6" t="s">
        <v>8</v>
      </c>
      <c r="C699" s="44">
        <f>SUM(C688:C698)</f>
        <v>41</v>
      </c>
      <c r="D699" s="44">
        <f t="shared" ref="D699:F699" si="201">SUM(D688:D698)</f>
        <v>34</v>
      </c>
      <c r="E699" s="44">
        <f t="shared" si="201"/>
        <v>23</v>
      </c>
      <c r="F699" s="45">
        <f t="shared" si="201"/>
        <v>98</v>
      </c>
      <c r="G699" s="1"/>
      <c r="H699" s="6"/>
      <c r="I699" s="44">
        <f>SUM(I688:I698)</f>
        <v>1008</v>
      </c>
      <c r="J699" s="44">
        <f t="shared" ref="J699:L699" si="202">SUM(J688:J698)</f>
        <v>670</v>
      </c>
      <c r="K699" s="44">
        <f t="shared" si="202"/>
        <v>210</v>
      </c>
      <c r="L699" s="45">
        <f t="shared" si="202"/>
        <v>1888</v>
      </c>
    </row>
    <row r="700" spans="1:14" x14ac:dyDescent="0.15">
      <c r="A700" s="1"/>
      <c r="B700" s="38" t="s">
        <v>25</v>
      </c>
      <c r="C700" s="16">
        <v>2</v>
      </c>
      <c r="D700" s="17"/>
      <c r="E700" s="18"/>
      <c r="F700" s="46">
        <f t="shared" ref="F700:F721" si="203">SUM(C700:E700)</f>
        <v>2</v>
      </c>
      <c r="G700" s="24">
        <v>45234</v>
      </c>
      <c r="H700" s="4" t="s">
        <v>24</v>
      </c>
      <c r="I700" s="9">
        <v>10</v>
      </c>
      <c r="J700" s="14">
        <v>5</v>
      </c>
      <c r="K700" s="13">
        <v>5</v>
      </c>
      <c r="L700" s="46">
        <f t="shared" ref="L700:L704" si="204">SUM(I700:K700)</f>
        <v>20</v>
      </c>
      <c r="M700" s="73">
        <v>45245</v>
      </c>
    </row>
    <row r="701" spans="1:14" x14ac:dyDescent="0.15">
      <c r="B701" s="38" t="s">
        <v>25</v>
      </c>
      <c r="C701" s="16">
        <v>2</v>
      </c>
      <c r="D701" s="17">
        <v>1</v>
      </c>
      <c r="E701" s="18">
        <v>1</v>
      </c>
      <c r="F701" s="46">
        <f t="shared" si="203"/>
        <v>4</v>
      </c>
      <c r="G701" s="24">
        <v>45236</v>
      </c>
      <c r="H701" s="4" t="s">
        <v>24</v>
      </c>
      <c r="I701" s="9">
        <v>5</v>
      </c>
      <c r="J701" s="14">
        <v>5</v>
      </c>
      <c r="K701" s="13">
        <v>5</v>
      </c>
      <c r="L701" s="46">
        <f t="shared" si="204"/>
        <v>15</v>
      </c>
      <c r="M701" s="73">
        <v>45260</v>
      </c>
      <c r="N701" s="75"/>
    </row>
    <row r="702" spans="1:14" x14ac:dyDescent="0.15">
      <c r="B702" s="38" t="s">
        <v>103</v>
      </c>
      <c r="C702" s="16"/>
      <c r="D702" s="17"/>
      <c r="E702" s="18">
        <v>1</v>
      </c>
      <c r="F702" s="46">
        <f t="shared" si="203"/>
        <v>1</v>
      </c>
      <c r="G702" s="24">
        <v>45237</v>
      </c>
      <c r="H702" s="4" t="s">
        <v>24</v>
      </c>
      <c r="I702" s="9"/>
      <c r="J702" s="14">
        <v>5</v>
      </c>
      <c r="K702" s="13"/>
      <c r="L702" s="46">
        <f t="shared" si="204"/>
        <v>5</v>
      </c>
      <c r="M702" s="73">
        <v>45271</v>
      </c>
    </row>
    <row r="703" spans="1:14" x14ac:dyDescent="0.15">
      <c r="B703" s="38" t="s">
        <v>25</v>
      </c>
      <c r="C703" s="16"/>
      <c r="D703" s="17">
        <v>1</v>
      </c>
      <c r="E703" s="18"/>
      <c r="F703" s="46">
        <f t="shared" si="203"/>
        <v>1</v>
      </c>
      <c r="G703" s="24">
        <v>45240</v>
      </c>
      <c r="H703" s="4" t="s">
        <v>24</v>
      </c>
      <c r="I703" s="9"/>
      <c r="J703" s="14">
        <v>10</v>
      </c>
      <c r="K703" s="13">
        <v>5</v>
      </c>
      <c r="L703" s="46">
        <f t="shared" si="204"/>
        <v>15</v>
      </c>
      <c r="M703" s="73">
        <v>45272</v>
      </c>
    </row>
    <row r="704" spans="1:14" x14ac:dyDescent="0.15">
      <c r="B704" s="38" t="s">
        <v>89</v>
      </c>
      <c r="C704" s="16">
        <v>1</v>
      </c>
      <c r="D704" s="17"/>
      <c r="E704" s="18">
        <v>1</v>
      </c>
      <c r="F704" s="46">
        <f t="shared" si="203"/>
        <v>2</v>
      </c>
      <c r="G704" s="24">
        <v>45243</v>
      </c>
      <c r="H704" s="4" t="s">
        <v>24</v>
      </c>
      <c r="I704" s="9">
        <v>15</v>
      </c>
      <c r="J704" s="14"/>
      <c r="K704" s="13"/>
      <c r="L704" s="46">
        <f t="shared" si="204"/>
        <v>15</v>
      </c>
      <c r="M704" s="73">
        <v>45276</v>
      </c>
    </row>
    <row r="705" spans="1:12" x14ac:dyDescent="0.15">
      <c r="B705" s="38" t="s">
        <v>25</v>
      </c>
      <c r="C705" s="16">
        <v>1</v>
      </c>
      <c r="D705" s="17"/>
      <c r="E705" s="18"/>
      <c r="F705" s="46">
        <f t="shared" si="203"/>
        <v>1</v>
      </c>
      <c r="G705" s="24">
        <v>45245</v>
      </c>
      <c r="H705" s="4"/>
      <c r="I705" s="9"/>
      <c r="J705" s="14"/>
      <c r="K705" s="13"/>
      <c r="L705" s="46">
        <f t="shared" ref="L705:L725" si="205">SUM(I705:K705)</f>
        <v>0</v>
      </c>
    </row>
    <row r="706" spans="1:12" x14ac:dyDescent="0.15">
      <c r="B706" s="38" t="s">
        <v>25</v>
      </c>
      <c r="C706" s="16"/>
      <c r="D706" s="17">
        <v>1</v>
      </c>
      <c r="E706" s="18"/>
      <c r="F706" s="46">
        <f t="shared" si="203"/>
        <v>1</v>
      </c>
      <c r="G706" s="24">
        <v>45247</v>
      </c>
      <c r="H706" s="4"/>
      <c r="I706" s="9"/>
      <c r="J706" s="14"/>
      <c r="K706" s="13"/>
      <c r="L706" s="46">
        <f t="shared" si="205"/>
        <v>0</v>
      </c>
    </row>
    <row r="707" spans="1:12" x14ac:dyDescent="0.15">
      <c r="B707" s="38" t="s">
        <v>89</v>
      </c>
      <c r="C707" s="16"/>
      <c r="D707" s="17"/>
      <c r="E707" s="18">
        <v>1</v>
      </c>
      <c r="F707" s="46">
        <f t="shared" si="203"/>
        <v>1</v>
      </c>
      <c r="G707" s="24">
        <v>45251</v>
      </c>
      <c r="H707" s="4"/>
      <c r="I707" s="9"/>
      <c r="J707" s="14"/>
      <c r="K707" s="13"/>
      <c r="L707" s="46">
        <f t="shared" si="205"/>
        <v>0</v>
      </c>
    </row>
    <row r="708" spans="1:12" x14ac:dyDescent="0.15">
      <c r="B708" s="38" t="s">
        <v>25</v>
      </c>
      <c r="C708" s="16"/>
      <c r="D708" s="17">
        <v>2</v>
      </c>
      <c r="E708" s="18"/>
      <c r="F708" s="46">
        <f t="shared" si="203"/>
        <v>2</v>
      </c>
      <c r="G708" s="24">
        <v>45252</v>
      </c>
      <c r="H708" s="4"/>
      <c r="I708" s="9"/>
      <c r="J708" s="14"/>
      <c r="K708" s="13"/>
      <c r="L708" s="46">
        <f t="shared" si="205"/>
        <v>0</v>
      </c>
    </row>
    <row r="709" spans="1:12" x14ac:dyDescent="0.15">
      <c r="B709" s="38" t="s">
        <v>25</v>
      </c>
      <c r="C709" s="16">
        <v>1</v>
      </c>
      <c r="D709" s="17"/>
      <c r="E709" s="18"/>
      <c r="F709" s="46">
        <f t="shared" si="203"/>
        <v>1</v>
      </c>
      <c r="G709" s="24">
        <v>45254</v>
      </c>
      <c r="H709" s="4"/>
      <c r="I709" s="9"/>
      <c r="J709" s="14"/>
      <c r="K709" s="13"/>
      <c r="L709" s="46">
        <f t="shared" si="205"/>
        <v>0</v>
      </c>
    </row>
    <row r="710" spans="1:12" x14ac:dyDescent="0.15">
      <c r="B710" s="38" t="s">
        <v>25</v>
      </c>
      <c r="C710" s="16">
        <v>3</v>
      </c>
      <c r="D710" s="17">
        <v>3</v>
      </c>
      <c r="E710" s="18"/>
      <c r="F710" s="46">
        <f t="shared" si="203"/>
        <v>6</v>
      </c>
      <c r="G710" s="24">
        <v>45257</v>
      </c>
      <c r="H710" s="4"/>
      <c r="I710" s="9"/>
      <c r="J710" s="14"/>
      <c r="K710" s="13"/>
      <c r="L710" s="46">
        <f t="shared" si="205"/>
        <v>0</v>
      </c>
    </row>
    <row r="711" spans="1:12" x14ac:dyDescent="0.15">
      <c r="B711" s="38" t="s">
        <v>25</v>
      </c>
      <c r="C711" s="16">
        <v>1</v>
      </c>
      <c r="D711" s="17"/>
      <c r="E711" s="18"/>
      <c r="F711" s="46">
        <f t="shared" si="203"/>
        <v>1</v>
      </c>
      <c r="G711" s="24">
        <v>45259</v>
      </c>
      <c r="H711" s="4"/>
      <c r="I711" s="9"/>
      <c r="J711" s="14"/>
      <c r="K711" s="13"/>
      <c r="L711" s="46">
        <f t="shared" ref="L711:L721" si="206">SUM(I711:K711)</f>
        <v>0</v>
      </c>
    </row>
    <row r="712" spans="1:12" x14ac:dyDescent="0.15">
      <c r="B712" s="38" t="s">
        <v>25</v>
      </c>
      <c r="C712" s="16">
        <v>1</v>
      </c>
      <c r="D712" s="17">
        <v>1</v>
      </c>
      <c r="E712" s="18">
        <f>1+1</f>
        <v>2</v>
      </c>
      <c r="F712" s="46">
        <f t="shared" si="203"/>
        <v>4</v>
      </c>
      <c r="G712" s="24">
        <v>45264</v>
      </c>
      <c r="H712" s="4"/>
      <c r="I712" s="9"/>
      <c r="J712" s="14"/>
      <c r="K712" s="13"/>
      <c r="L712" s="46">
        <f t="shared" si="206"/>
        <v>0</v>
      </c>
    </row>
    <row r="713" spans="1:12" x14ac:dyDescent="0.15">
      <c r="B713" s="38" t="s">
        <v>25</v>
      </c>
      <c r="C713" s="16"/>
      <c r="D713" s="17">
        <v>1</v>
      </c>
      <c r="E713" s="18">
        <v>1</v>
      </c>
      <c r="F713" s="46">
        <f t="shared" si="203"/>
        <v>2</v>
      </c>
      <c r="G713" s="24">
        <v>45265</v>
      </c>
      <c r="H713" s="4"/>
      <c r="I713" s="9"/>
      <c r="J713" s="14"/>
      <c r="K713" s="13"/>
      <c r="L713" s="46">
        <f t="shared" si="206"/>
        <v>0</v>
      </c>
    </row>
    <row r="714" spans="1:12" x14ac:dyDescent="0.15">
      <c r="B714" s="38" t="s">
        <v>25</v>
      </c>
      <c r="C714" s="16"/>
      <c r="D714" s="17">
        <v>1</v>
      </c>
      <c r="E714" s="18"/>
      <c r="F714" s="46">
        <f t="shared" si="203"/>
        <v>1</v>
      </c>
      <c r="G714" s="24">
        <v>45266</v>
      </c>
      <c r="H714" s="4"/>
      <c r="I714" s="9"/>
      <c r="J714" s="14"/>
      <c r="K714" s="13"/>
      <c r="L714" s="46">
        <f t="shared" si="206"/>
        <v>0</v>
      </c>
    </row>
    <row r="715" spans="1:12" x14ac:dyDescent="0.15">
      <c r="B715" s="38" t="s">
        <v>25</v>
      </c>
      <c r="C715" s="16"/>
      <c r="D715" s="17">
        <v>1</v>
      </c>
      <c r="E715" s="18"/>
      <c r="F715" s="46">
        <f t="shared" si="203"/>
        <v>1</v>
      </c>
      <c r="G715" s="24">
        <v>45267</v>
      </c>
      <c r="H715" s="4"/>
      <c r="I715" s="9"/>
      <c r="J715" s="14"/>
      <c r="K715" s="13"/>
      <c r="L715" s="46">
        <f t="shared" si="206"/>
        <v>0</v>
      </c>
    </row>
    <row r="716" spans="1:12" x14ac:dyDescent="0.15">
      <c r="B716" s="38" t="s">
        <v>25</v>
      </c>
      <c r="C716" s="16"/>
      <c r="D716" s="17">
        <v>1</v>
      </c>
      <c r="E716" s="18"/>
      <c r="F716" s="46">
        <f t="shared" si="203"/>
        <v>1</v>
      </c>
      <c r="G716" s="24">
        <v>45268</v>
      </c>
      <c r="H716" s="4"/>
      <c r="I716" s="9"/>
      <c r="J716" s="14"/>
      <c r="K716" s="13"/>
      <c r="L716" s="46">
        <f t="shared" si="206"/>
        <v>0</v>
      </c>
    </row>
    <row r="717" spans="1:12" x14ac:dyDescent="0.15">
      <c r="A717" s="1"/>
      <c r="B717" s="38" t="s">
        <v>89</v>
      </c>
      <c r="C717" s="16"/>
      <c r="D717" s="17">
        <v>1</v>
      </c>
      <c r="E717" s="18">
        <v>2</v>
      </c>
      <c r="F717" s="46">
        <f t="shared" si="203"/>
        <v>3</v>
      </c>
      <c r="G717" s="24">
        <v>45272</v>
      </c>
      <c r="H717" s="4"/>
      <c r="I717" s="9"/>
      <c r="J717" s="14"/>
      <c r="K717" s="13"/>
      <c r="L717" s="46">
        <f t="shared" si="206"/>
        <v>0</v>
      </c>
    </row>
    <row r="718" spans="1:12" x14ac:dyDescent="0.15">
      <c r="A718" s="1"/>
      <c r="B718" s="38" t="s">
        <v>25</v>
      </c>
      <c r="C718" s="16">
        <v>4</v>
      </c>
      <c r="D718" s="17">
        <f>2+3+1</f>
        <v>6</v>
      </c>
      <c r="E718" s="18"/>
      <c r="F718" s="46">
        <f t="shared" si="203"/>
        <v>10</v>
      </c>
      <c r="G718" s="24">
        <v>45271</v>
      </c>
      <c r="H718" s="4"/>
      <c r="I718" s="9"/>
      <c r="J718" s="14"/>
      <c r="K718" s="13"/>
      <c r="L718" s="46">
        <f t="shared" si="206"/>
        <v>0</v>
      </c>
    </row>
    <row r="719" spans="1:12" x14ac:dyDescent="0.15">
      <c r="A719" s="1"/>
      <c r="B719" s="38" t="s">
        <v>25</v>
      </c>
      <c r="C719" s="16">
        <v>1</v>
      </c>
      <c r="D719" s="17"/>
      <c r="E719" s="18"/>
      <c r="F719" s="46">
        <f t="shared" si="203"/>
        <v>1</v>
      </c>
      <c r="G719" s="24">
        <v>45272</v>
      </c>
      <c r="H719" s="4"/>
      <c r="I719" s="9"/>
      <c r="J719" s="14"/>
      <c r="K719" s="13"/>
      <c r="L719" s="46">
        <f t="shared" si="206"/>
        <v>0</v>
      </c>
    </row>
    <row r="720" spans="1:12" x14ac:dyDescent="0.15">
      <c r="A720" s="1"/>
      <c r="B720" s="38" t="s">
        <v>25</v>
      </c>
      <c r="C720" s="16"/>
      <c r="D720" s="17"/>
      <c r="E720" s="18">
        <v>1</v>
      </c>
      <c r="F720" s="46">
        <f t="shared" si="203"/>
        <v>1</v>
      </c>
      <c r="G720" s="24">
        <v>45273</v>
      </c>
      <c r="H720" s="4"/>
      <c r="I720" s="9"/>
      <c r="J720" s="14"/>
      <c r="K720" s="13"/>
      <c r="L720" s="46">
        <f t="shared" si="206"/>
        <v>0</v>
      </c>
    </row>
    <row r="721" spans="1:12" x14ac:dyDescent="0.15">
      <c r="A721" s="1"/>
      <c r="B721" s="38" t="s">
        <v>25</v>
      </c>
      <c r="C721" s="16"/>
      <c r="D721" s="17">
        <v>1</v>
      </c>
      <c r="E721" s="18">
        <v>1</v>
      </c>
      <c r="F721" s="46">
        <f t="shared" si="203"/>
        <v>2</v>
      </c>
      <c r="G721" s="24">
        <v>45274</v>
      </c>
      <c r="H721" s="4"/>
      <c r="I721" s="9"/>
      <c r="J721" s="14"/>
      <c r="K721" s="13"/>
      <c r="L721" s="46">
        <f t="shared" si="206"/>
        <v>0</v>
      </c>
    </row>
    <row r="722" spans="1:12" x14ac:dyDescent="0.15">
      <c r="A722" s="1"/>
      <c r="B722" s="38" t="s">
        <v>104</v>
      </c>
      <c r="C722" s="16">
        <v>1</v>
      </c>
      <c r="D722" s="17"/>
      <c r="E722" s="18"/>
      <c r="F722" s="46">
        <f t="shared" ref="F722:F725" si="207">SUM(C722:E722)</f>
        <v>1</v>
      </c>
      <c r="G722" s="24">
        <v>45268</v>
      </c>
      <c r="H722" s="4"/>
      <c r="I722" s="9"/>
      <c r="J722" s="14"/>
      <c r="K722" s="13"/>
      <c r="L722" s="46">
        <f t="shared" ref="L722:L723" si="208">SUM(I722:K722)</f>
        <v>0</v>
      </c>
    </row>
    <row r="723" spans="1:12" ht="14.25" thickBot="1" x14ac:dyDescent="0.2">
      <c r="A723" s="1"/>
      <c r="B723" s="38" t="s">
        <v>25</v>
      </c>
      <c r="C723" s="16"/>
      <c r="D723" s="17">
        <v>1</v>
      </c>
      <c r="E723" s="18">
        <v>1</v>
      </c>
      <c r="F723" s="46">
        <f t="shared" si="207"/>
        <v>2</v>
      </c>
      <c r="G723" s="24">
        <v>45276</v>
      </c>
      <c r="H723" s="4"/>
      <c r="I723" s="9"/>
      <c r="J723" s="14"/>
      <c r="K723" s="13"/>
      <c r="L723" s="46">
        <f t="shared" si="208"/>
        <v>0</v>
      </c>
    </row>
    <row r="724" spans="1:12" ht="14.25" thickBot="1" x14ac:dyDescent="0.2">
      <c r="A724" s="1"/>
      <c r="B724" s="5" t="s">
        <v>9</v>
      </c>
      <c r="C724" s="10">
        <f>SUM(C700:C723)</f>
        <v>18</v>
      </c>
      <c r="D724" s="10">
        <f t="shared" ref="D724:E724" si="209">SUM(D700:D723)</f>
        <v>22</v>
      </c>
      <c r="E724" s="10">
        <f t="shared" si="209"/>
        <v>12</v>
      </c>
      <c r="F724" s="48">
        <f t="shared" si="207"/>
        <v>52</v>
      </c>
      <c r="G724" s="1"/>
      <c r="H724" s="5" t="s">
        <v>9</v>
      </c>
      <c r="I724" s="10">
        <f>SUM(I700:I723)</f>
        <v>30</v>
      </c>
      <c r="J724" s="10">
        <f t="shared" ref="J724:K724" si="210">SUM(J700:J723)</f>
        <v>25</v>
      </c>
      <c r="K724" s="10">
        <f t="shared" si="210"/>
        <v>15</v>
      </c>
      <c r="L724" s="48">
        <f t="shared" si="205"/>
        <v>70</v>
      </c>
    </row>
    <row r="725" spans="1:12" ht="14.25" thickBot="1" x14ac:dyDescent="0.2">
      <c r="A725" s="1"/>
      <c r="B725" s="8" t="s">
        <v>10</v>
      </c>
      <c r="C725" s="11">
        <f>C699-C724</f>
        <v>23</v>
      </c>
      <c r="D725" s="11">
        <f t="shared" ref="D725:E725" si="211">D699-D724</f>
        <v>12</v>
      </c>
      <c r="E725" s="11">
        <f t="shared" si="211"/>
        <v>11</v>
      </c>
      <c r="F725" s="37">
        <f t="shared" si="207"/>
        <v>46</v>
      </c>
      <c r="G725" s="1"/>
      <c r="H725" s="8" t="s">
        <v>10</v>
      </c>
      <c r="I725" s="11">
        <f>I699-I724</f>
        <v>978</v>
      </c>
      <c r="J725" s="11">
        <f t="shared" ref="J725:K725" si="212">J699-J724</f>
        <v>645</v>
      </c>
      <c r="K725" s="11">
        <f t="shared" si="212"/>
        <v>195</v>
      </c>
      <c r="L725" s="37">
        <f t="shared" si="205"/>
        <v>1818</v>
      </c>
    </row>
    <row r="728" spans="1:12" ht="18.75" x14ac:dyDescent="0.2">
      <c r="A728" s="41" t="s">
        <v>12</v>
      </c>
      <c r="B728" s="42"/>
      <c r="C728" s="41"/>
      <c r="D728" s="43"/>
      <c r="E728" s="43"/>
      <c r="F728" s="2"/>
      <c r="G728" s="1"/>
      <c r="H728" s="41" t="s">
        <v>12</v>
      </c>
      <c r="I728" s="41"/>
      <c r="J728" s="43"/>
      <c r="K728" s="43"/>
      <c r="L728" s="2"/>
    </row>
    <row r="729" spans="1:12" ht="19.5" thickBot="1" x14ac:dyDescent="0.25">
      <c r="A729" s="7"/>
      <c r="B729" s="7" t="s">
        <v>0</v>
      </c>
      <c r="C729" s="7"/>
      <c r="D729" s="7" t="s">
        <v>15</v>
      </c>
      <c r="E729" s="2"/>
      <c r="F729" s="2"/>
      <c r="G729" s="1"/>
      <c r="H729" s="7" t="s">
        <v>1</v>
      </c>
      <c r="I729" s="1"/>
      <c r="J729" s="7" t="s">
        <v>15</v>
      </c>
      <c r="K729" s="2"/>
      <c r="L729" s="2"/>
    </row>
    <row r="730" spans="1:12" ht="14.25" thickBot="1" x14ac:dyDescent="0.2">
      <c r="A730" s="1"/>
      <c r="B730" s="3"/>
      <c r="C730" s="5" t="s">
        <v>2</v>
      </c>
      <c r="D730" s="3" t="s">
        <v>3</v>
      </c>
      <c r="E730" s="12" t="s">
        <v>4</v>
      </c>
      <c r="F730" s="3" t="s">
        <v>5</v>
      </c>
      <c r="G730" s="1"/>
      <c r="H730" s="3"/>
      <c r="I730" s="5" t="s">
        <v>2</v>
      </c>
      <c r="J730" s="3" t="s">
        <v>3</v>
      </c>
      <c r="K730" s="12" t="s">
        <v>4</v>
      </c>
      <c r="L730" s="3" t="s">
        <v>5</v>
      </c>
    </row>
    <row r="731" spans="1:12" ht="14.25" thickBot="1" x14ac:dyDescent="0.2">
      <c r="A731" s="1"/>
      <c r="B731" s="34" t="s">
        <v>11</v>
      </c>
      <c r="C731" s="35">
        <f>C725</f>
        <v>23</v>
      </c>
      <c r="D731" s="36">
        <f>D725</f>
        <v>12</v>
      </c>
      <c r="E731" s="35">
        <f>E725</f>
        <v>11</v>
      </c>
      <c r="F731" s="37">
        <f>SUM(C731:E731)</f>
        <v>46</v>
      </c>
      <c r="G731" s="28"/>
      <c r="H731" s="34"/>
      <c r="I731" s="35">
        <f>I725</f>
        <v>978</v>
      </c>
      <c r="J731" s="36">
        <f>J725</f>
        <v>645</v>
      </c>
      <c r="K731" s="35">
        <f>K725</f>
        <v>195</v>
      </c>
      <c r="L731" s="37">
        <f>SUM(I731:K731)</f>
        <v>1818</v>
      </c>
    </row>
    <row r="732" spans="1:12" x14ac:dyDescent="0.15">
      <c r="A732" s="1"/>
      <c r="B732" s="29" t="s">
        <v>7</v>
      </c>
      <c r="C732" s="20"/>
      <c r="D732" s="21">
        <v>5</v>
      </c>
      <c r="E732" s="20">
        <v>10</v>
      </c>
      <c r="F732" s="46">
        <f t="shared" ref="F732:F736" si="213">SUM(C732:E732)</f>
        <v>15</v>
      </c>
      <c r="G732" s="24">
        <v>45303</v>
      </c>
      <c r="H732" s="29"/>
      <c r="I732" s="20"/>
      <c r="J732" s="21"/>
      <c r="K732" s="20"/>
      <c r="L732" s="46">
        <f t="shared" ref="L732:L741" si="214">SUM(I732:K732)</f>
        <v>0</v>
      </c>
    </row>
    <row r="733" spans="1:12" x14ac:dyDescent="0.15">
      <c r="A733" s="1"/>
      <c r="B733" s="29" t="s">
        <v>7</v>
      </c>
      <c r="C733" s="20"/>
      <c r="D733" s="21">
        <v>5</v>
      </c>
      <c r="E733" s="20">
        <v>5</v>
      </c>
      <c r="F733" s="46">
        <f t="shared" si="213"/>
        <v>10</v>
      </c>
      <c r="G733" s="24">
        <v>45317</v>
      </c>
      <c r="H733" s="29"/>
      <c r="I733" s="20"/>
      <c r="J733" s="21"/>
      <c r="K733" s="20"/>
      <c r="L733" s="46">
        <f t="shared" si="214"/>
        <v>0</v>
      </c>
    </row>
    <row r="734" spans="1:12" x14ac:dyDescent="0.15">
      <c r="A734" s="1"/>
      <c r="B734" s="29" t="s">
        <v>7</v>
      </c>
      <c r="C734" s="20"/>
      <c r="D734" s="21">
        <v>5</v>
      </c>
      <c r="E734" s="20">
        <v>5</v>
      </c>
      <c r="F734" s="46">
        <f t="shared" si="213"/>
        <v>10</v>
      </c>
      <c r="G734" s="24">
        <v>45329</v>
      </c>
      <c r="H734" s="29"/>
      <c r="I734" s="20"/>
      <c r="J734" s="21"/>
      <c r="K734" s="20"/>
      <c r="L734" s="46">
        <f t="shared" si="214"/>
        <v>0</v>
      </c>
    </row>
    <row r="735" spans="1:12" x14ac:dyDescent="0.15">
      <c r="A735" s="1"/>
      <c r="B735" s="29" t="s">
        <v>7</v>
      </c>
      <c r="C735" s="20"/>
      <c r="D735" s="21"/>
      <c r="E735" s="20"/>
      <c r="F735" s="46">
        <f t="shared" si="213"/>
        <v>0</v>
      </c>
      <c r="G735" s="24"/>
      <c r="H735" s="29"/>
      <c r="I735" s="20"/>
      <c r="J735" s="21"/>
      <c r="K735" s="20"/>
      <c r="L735" s="46">
        <f t="shared" si="214"/>
        <v>0</v>
      </c>
    </row>
    <row r="736" spans="1:12" x14ac:dyDescent="0.15">
      <c r="A736" s="1"/>
      <c r="B736" s="29" t="s">
        <v>7</v>
      </c>
      <c r="C736" s="20"/>
      <c r="D736" s="21"/>
      <c r="E736" s="20"/>
      <c r="F736" s="46">
        <f t="shared" si="213"/>
        <v>0</v>
      </c>
      <c r="G736" s="24"/>
      <c r="H736" s="29"/>
      <c r="I736" s="20"/>
      <c r="J736" s="21"/>
      <c r="K736" s="20"/>
      <c r="L736" s="46">
        <f t="shared" si="214"/>
        <v>0</v>
      </c>
    </row>
    <row r="737" spans="1:14" x14ac:dyDescent="0.15">
      <c r="A737" s="1"/>
      <c r="B737" s="29" t="s">
        <v>7</v>
      </c>
      <c r="C737" s="20"/>
      <c r="D737" s="21"/>
      <c r="E737" s="20"/>
      <c r="F737" s="46">
        <f t="shared" ref="F737:F741" si="215">SUM(C737:E737)</f>
        <v>0</v>
      </c>
      <c r="G737" s="24"/>
      <c r="H737" s="29"/>
      <c r="I737" s="20"/>
      <c r="J737" s="21"/>
      <c r="K737" s="20"/>
      <c r="L737" s="46">
        <f t="shared" si="214"/>
        <v>0</v>
      </c>
    </row>
    <row r="738" spans="1:14" x14ac:dyDescent="0.15">
      <c r="A738" s="1"/>
      <c r="B738" s="29" t="s">
        <v>7</v>
      </c>
      <c r="C738" s="20"/>
      <c r="D738" s="21"/>
      <c r="E738" s="20"/>
      <c r="F738" s="46">
        <f t="shared" si="215"/>
        <v>0</v>
      </c>
      <c r="G738" s="24"/>
      <c r="H738" s="29"/>
      <c r="I738" s="20"/>
      <c r="J738" s="21"/>
      <c r="K738" s="20"/>
      <c r="L738" s="46">
        <f t="shared" si="214"/>
        <v>0</v>
      </c>
    </row>
    <row r="739" spans="1:14" x14ac:dyDescent="0.15">
      <c r="A739" s="1"/>
      <c r="B739" s="29" t="s">
        <v>7</v>
      </c>
      <c r="C739" s="20"/>
      <c r="D739" s="21"/>
      <c r="E739" s="20"/>
      <c r="F739" s="46">
        <f t="shared" si="215"/>
        <v>0</v>
      </c>
      <c r="G739" s="24"/>
      <c r="H739" s="29"/>
      <c r="I739" s="20"/>
      <c r="J739" s="21"/>
      <c r="K739" s="20"/>
      <c r="L739" s="46">
        <f t="shared" si="214"/>
        <v>0</v>
      </c>
    </row>
    <row r="740" spans="1:14" x14ac:dyDescent="0.15">
      <c r="A740" s="1"/>
      <c r="B740" s="29" t="s">
        <v>7</v>
      </c>
      <c r="C740" s="20"/>
      <c r="D740" s="21"/>
      <c r="E740" s="20"/>
      <c r="F740" s="46">
        <f t="shared" si="215"/>
        <v>0</v>
      </c>
      <c r="G740" s="24"/>
      <c r="H740" s="29"/>
      <c r="I740" s="20"/>
      <c r="J740" s="21"/>
      <c r="K740" s="20"/>
      <c r="L740" s="46">
        <f t="shared" si="214"/>
        <v>0</v>
      </c>
    </row>
    <row r="741" spans="1:14" ht="14.25" thickBot="1" x14ac:dyDescent="0.2">
      <c r="A741" s="1"/>
      <c r="B741" s="29" t="s">
        <v>7</v>
      </c>
      <c r="C741" s="19"/>
      <c r="D741" s="4"/>
      <c r="E741" s="19"/>
      <c r="F741" s="46">
        <f t="shared" si="215"/>
        <v>0</v>
      </c>
      <c r="G741" s="27"/>
      <c r="H741" s="29"/>
      <c r="I741" s="19"/>
      <c r="J741" s="4"/>
      <c r="K741" s="19"/>
      <c r="L741" s="46">
        <f t="shared" si="214"/>
        <v>0</v>
      </c>
    </row>
    <row r="742" spans="1:14" ht="14.25" thickBot="1" x14ac:dyDescent="0.2">
      <c r="A742" s="1"/>
      <c r="B742" s="6" t="s">
        <v>8</v>
      </c>
      <c r="C742" s="44">
        <f>SUM(C731:C741)</f>
        <v>23</v>
      </c>
      <c r="D742" s="44">
        <f t="shared" ref="D742:F742" si="216">SUM(D731:D741)</f>
        <v>27</v>
      </c>
      <c r="E742" s="44">
        <f t="shared" si="216"/>
        <v>31</v>
      </c>
      <c r="F742" s="45">
        <f t="shared" si="216"/>
        <v>81</v>
      </c>
      <c r="G742" s="1"/>
      <c r="H742" s="6"/>
      <c r="I742" s="44">
        <f>SUM(I731:I741)</f>
        <v>978</v>
      </c>
      <c r="J742" s="44">
        <f t="shared" ref="J742:L742" si="217">SUM(J731:J741)</f>
        <v>645</v>
      </c>
      <c r="K742" s="44">
        <f t="shared" si="217"/>
        <v>195</v>
      </c>
      <c r="L742" s="45">
        <f t="shared" si="217"/>
        <v>1818</v>
      </c>
    </row>
    <row r="743" spans="1:14" x14ac:dyDescent="0.15">
      <c r="A743" s="1"/>
      <c r="B743" s="38" t="s">
        <v>25</v>
      </c>
      <c r="C743" s="16">
        <v>1</v>
      </c>
      <c r="D743" s="17"/>
      <c r="E743" s="18"/>
      <c r="F743" s="46">
        <f t="shared" ref="F743:F764" si="218">SUM(C743:E743)</f>
        <v>1</v>
      </c>
      <c r="G743" s="24">
        <v>45279</v>
      </c>
      <c r="H743" s="4" t="s">
        <v>24</v>
      </c>
      <c r="I743" s="9"/>
      <c r="J743" s="14">
        <v>5</v>
      </c>
      <c r="K743" s="13">
        <v>10</v>
      </c>
      <c r="L743" s="46">
        <f t="shared" ref="L743:L745" si="219">SUM(I743:K743)</f>
        <v>15</v>
      </c>
      <c r="M743" s="73">
        <v>45303</v>
      </c>
    </row>
    <row r="744" spans="1:14" x14ac:dyDescent="0.15">
      <c r="B744" s="38" t="s">
        <v>25</v>
      </c>
      <c r="C744" s="16"/>
      <c r="D744" s="17">
        <v>1</v>
      </c>
      <c r="E744" s="18"/>
      <c r="F744" s="46">
        <f t="shared" si="218"/>
        <v>1</v>
      </c>
      <c r="G744" s="24">
        <v>45281</v>
      </c>
      <c r="H744" s="4" t="s">
        <v>24</v>
      </c>
      <c r="I744" s="9"/>
      <c r="J744" s="14">
        <v>5</v>
      </c>
      <c r="K744" s="13">
        <v>5</v>
      </c>
      <c r="L744" s="46">
        <f t="shared" si="219"/>
        <v>10</v>
      </c>
      <c r="M744" s="73">
        <v>45317</v>
      </c>
    </row>
    <row r="745" spans="1:14" x14ac:dyDescent="0.15">
      <c r="B745" s="38" t="s">
        <v>25</v>
      </c>
      <c r="C745" s="16">
        <v>2</v>
      </c>
      <c r="D745" s="17"/>
      <c r="E745" s="18">
        <f>1+1</f>
        <v>2</v>
      </c>
      <c r="F745" s="46">
        <f t="shared" si="218"/>
        <v>4</v>
      </c>
      <c r="G745" s="24">
        <v>45285</v>
      </c>
      <c r="H745" s="4" t="s">
        <v>24</v>
      </c>
      <c r="I745" s="9"/>
      <c r="J745" s="14">
        <v>5</v>
      </c>
      <c r="K745" s="13">
        <v>5</v>
      </c>
      <c r="L745" s="46">
        <f t="shared" si="219"/>
        <v>10</v>
      </c>
      <c r="M745" s="73">
        <v>45329</v>
      </c>
      <c r="N745" s="75"/>
    </row>
    <row r="746" spans="1:14" x14ac:dyDescent="0.15">
      <c r="B746" s="38" t="s">
        <v>25</v>
      </c>
      <c r="C746" s="16"/>
      <c r="D746" s="17">
        <v>1</v>
      </c>
      <c r="E746" s="18">
        <v>1</v>
      </c>
      <c r="F746" s="46">
        <f t="shared" si="218"/>
        <v>2</v>
      </c>
      <c r="G746" s="24">
        <v>45286</v>
      </c>
      <c r="H746" s="4"/>
      <c r="I746" s="9"/>
      <c r="J746" s="14"/>
      <c r="K746" s="13"/>
      <c r="L746" s="46">
        <f t="shared" ref="L746" si="220">SUM(I746:K746)</f>
        <v>0</v>
      </c>
    </row>
    <row r="747" spans="1:14" x14ac:dyDescent="0.15">
      <c r="B747" s="38" t="s">
        <v>25</v>
      </c>
      <c r="C747" s="16"/>
      <c r="D747" s="17">
        <v>1</v>
      </c>
      <c r="E747" s="18"/>
      <c r="F747" s="46">
        <f t="shared" si="218"/>
        <v>1</v>
      </c>
      <c r="G747" s="24">
        <v>45287</v>
      </c>
      <c r="H747" s="4"/>
      <c r="I747" s="9"/>
      <c r="J747" s="14"/>
      <c r="K747" s="13"/>
      <c r="L747" s="46">
        <f t="shared" ref="L747:L768" si="221">SUM(I747:K747)</f>
        <v>0</v>
      </c>
    </row>
    <row r="748" spans="1:14" x14ac:dyDescent="0.15">
      <c r="B748" s="38" t="s">
        <v>25</v>
      </c>
      <c r="C748" s="16">
        <v>1</v>
      </c>
      <c r="D748" s="17"/>
      <c r="E748" s="18">
        <f>1+1</f>
        <v>2</v>
      </c>
      <c r="F748" s="46">
        <f t="shared" si="218"/>
        <v>3</v>
      </c>
      <c r="G748" s="24">
        <v>45296</v>
      </c>
      <c r="H748" s="4"/>
      <c r="I748" s="9"/>
      <c r="J748" s="14"/>
      <c r="K748" s="13"/>
      <c r="L748" s="46">
        <f t="shared" si="221"/>
        <v>0</v>
      </c>
    </row>
    <row r="749" spans="1:14" x14ac:dyDescent="0.15">
      <c r="B749" s="38" t="s">
        <v>25</v>
      </c>
      <c r="C749" s="16">
        <v>1</v>
      </c>
      <c r="D749" s="17"/>
      <c r="E749" s="18"/>
      <c r="F749" s="46">
        <f t="shared" si="218"/>
        <v>1</v>
      </c>
      <c r="G749" s="24">
        <v>45297</v>
      </c>
      <c r="H749" s="4"/>
      <c r="I749" s="9"/>
      <c r="J749" s="14"/>
      <c r="K749" s="13"/>
      <c r="L749" s="46">
        <f t="shared" si="221"/>
        <v>0</v>
      </c>
    </row>
    <row r="750" spans="1:14" x14ac:dyDescent="0.15">
      <c r="B750" s="38" t="s">
        <v>25</v>
      </c>
      <c r="C750" s="16"/>
      <c r="D750" s="17">
        <v>1</v>
      </c>
      <c r="E750" s="18">
        <v>1</v>
      </c>
      <c r="F750" s="46">
        <f t="shared" si="218"/>
        <v>2</v>
      </c>
      <c r="G750" s="24">
        <v>45301</v>
      </c>
      <c r="H750" s="4"/>
      <c r="I750" s="9"/>
      <c r="J750" s="14"/>
      <c r="K750" s="13"/>
      <c r="L750" s="46">
        <f t="shared" si="221"/>
        <v>0</v>
      </c>
    </row>
    <row r="751" spans="1:14" x14ac:dyDescent="0.15">
      <c r="B751" s="38" t="s">
        <v>25</v>
      </c>
      <c r="C751" s="16"/>
      <c r="D751" s="17"/>
      <c r="E751" s="18">
        <v>4</v>
      </c>
      <c r="F751" s="46">
        <f t="shared" si="218"/>
        <v>4</v>
      </c>
      <c r="G751" s="24">
        <v>45302</v>
      </c>
      <c r="H751" s="4"/>
      <c r="I751" s="9"/>
      <c r="J751" s="14"/>
      <c r="K751" s="13"/>
      <c r="L751" s="46">
        <f t="shared" si="221"/>
        <v>0</v>
      </c>
    </row>
    <row r="752" spans="1:14" x14ac:dyDescent="0.15">
      <c r="B752" s="38" t="s">
        <v>25</v>
      </c>
      <c r="C752" s="16">
        <v>1</v>
      </c>
      <c r="D752" s="17">
        <f>1+2</f>
        <v>3</v>
      </c>
      <c r="E752" s="18">
        <v>1</v>
      </c>
      <c r="F752" s="46">
        <f t="shared" si="218"/>
        <v>5</v>
      </c>
      <c r="G752" s="24">
        <v>45303</v>
      </c>
      <c r="H752" s="4"/>
      <c r="I752" s="9"/>
      <c r="J752" s="14"/>
      <c r="K752" s="13"/>
      <c r="L752" s="46">
        <f t="shared" si="221"/>
        <v>0</v>
      </c>
    </row>
    <row r="753" spans="1:12" x14ac:dyDescent="0.15">
      <c r="B753" s="38" t="s">
        <v>105</v>
      </c>
      <c r="C753" s="16"/>
      <c r="D753" s="17">
        <v>1</v>
      </c>
      <c r="E753" s="18"/>
      <c r="F753" s="46">
        <f t="shared" si="218"/>
        <v>1</v>
      </c>
      <c r="G753" s="24">
        <v>45306</v>
      </c>
      <c r="H753" s="4"/>
      <c r="I753" s="9"/>
      <c r="J753" s="14"/>
      <c r="K753" s="13"/>
      <c r="L753" s="46">
        <f t="shared" si="221"/>
        <v>0</v>
      </c>
    </row>
    <row r="754" spans="1:12" x14ac:dyDescent="0.15">
      <c r="B754" s="38" t="s">
        <v>25</v>
      </c>
      <c r="C754" s="16"/>
      <c r="D754" s="17">
        <v>1</v>
      </c>
      <c r="E754" s="18">
        <v>1</v>
      </c>
      <c r="F754" s="46">
        <f t="shared" si="218"/>
        <v>2</v>
      </c>
      <c r="G754" s="24">
        <v>45306</v>
      </c>
      <c r="H754" s="4"/>
      <c r="I754" s="9"/>
      <c r="J754" s="14"/>
      <c r="K754" s="13"/>
      <c r="L754" s="46">
        <f t="shared" si="221"/>
        <v>0</v>
      </c>
    </row>
    <row r="755" spans="1:12" x14ac:dyDescent="0.15">
      <c r="B755" s="38" t="s">
        <v>25</v>
      </c>
      <c r="C755" s="16">
        <v>2</v>
      </c>
      <c r="D755" s="17">
        <v>1</v>
      </c>
      <c r="E755" s="18">
        <f>1+1</f>
        <v>2</v>
      </c>
      <c r="F755" s="46">
        <f t="shared" si="218"/>
        <v>5</v>
      </c>
      <c r="G755" s="24">
        <v>45307</v>
      </c>
      <c r="H755" s="4"/>
      <c r="I755" s="9"/>
      <c r="J755" s="14"/>
      <c r="K755" s="13"/>
      <c r="L755" s="46">
        <f t="shared" si="221"/>
        <v>0</v>
      </c>
    </row>
    <row r="756" spans="1:12" x14ac:dyDescent="0.15">
      <c r="B756" s="38" t="s">
        <v>25</v>
      </c>
      <c r="C756" s="16"/>
      <c r="D756" s="17">
        <v>1</v>
      </c>
      <c r="E756" s="18"/>
      <c r="F756" s="46">
        <f t="shared" si="218"/>
        <v>1</v>
      </c>
      <c r="G756" s="24">
        <v>45308</v>
      </c>
      <c r="H756" s="4"/>
      <c r="I756" s="9"/>
      <c r="J756" s="14"/>
      <c r="K756" s="13"/>
      <c r="L756" s="46">
        <f t="shared" si="221"/>
        <v>0</v>
      </c>
    </row>
    <row r="757" spans="1:12" x14ac:dyDescent="0.15">
      <c r="B757" s="38" t="s">
        <v>25</v>
      </c>
      <c r="C757" s="16"/>
      <c r="D757" s="17"/>
      <c r="E757" s="18">
        <v>1</v>
      </c>
      <c r="F757" s="46">
        <f t="shared" si="218"/>
        <v>1</v>
      </c>
      <c r="G757" s="24">
        <v>45309</v>
      </c>
      <c r="H757" s="4"/>
      <c r="I757" s="9"/>
      <c r="J757" s="14"/>
      <c r="K757" s="13"/>
      <c r="L757" s="46">
        <f t="shared" si="221"/>
        <v>0</v>
      </c>
    </row>
    <row r="758" spans="1:12" x14ac:dyDescent="0.15">
      <c r="B758" s="38" t="s">
        <v>25</v>
      </c>
      <c r="C758" s="16">
        <v>1</v>
      </c>
      <c r="D758" s="17"/>
      <c r="E758" s="18">
        <v>2</v>
      </c>
      <c r="F758" s="46">
        <f t="shared" si="218"/>
        <v>3</v>
      </c>
      <c r="G758" s="24">
        <v>45316</v>
      </c>
      <c r="H758" s="4"/>
      <c r="I758" s="9"/>
      <c r="J758" s="14"/>
      <c r="K758" s="13"/>
      <c r="L758" s="46">
        <f t="shared" si="221"/>
        <v>0</v>
      </c>
    </row>
    <row r="759" spans="1:12" x14ac:dyDescent="0.15">
      <c r="B759" s="38" t="s">
        <v>25</v>
      </c>
      <c r="C759" s="16">
        <v>2</v>
      </c>
      <c r="D759" s="17">
        <v>2</v>
      </c>
      <c r="E759" s="18"/>
      <c r="F759" s="46">
        <f t="shared" si="218"/>
        <v>4</v>
      </c>
      <c r="G759" s="24">
        <v>45317</v>
      </c>
      <c r="H759" s="4"/>
      <c r="I759" s="9"/>
      <c r="J759" s="14"/>
      <c r="K759" s="13"/>
      <c r="L759" s="46">
        <f t="shared" si="221"/>
        <v>0</v>
      </c>
    </row>
    <row r="760" spans="1:12" x14ac:dyDescent="0.15">
      <c r="A760" s="1"/>
      <c r="B760" s="38" t="s">
        <v>25</v>
      </c>
      <c r="C760" s="16"/>
      <c r="D760" s="17">
        <v>1</v>
      </c>
      <c r="E760" s="18">
        <v>1</v>
      </c>
      <c r="F760" s="46">
        <f t="shared" si="218"/>
        <v>2</v>
      </c>
      <c r="G760" s="24">
        <v>45320</v>
      </c>
      <c r="H760" s="4"/>
      <c r="I760" s="9"/>
      <c r="J760" s="14"/>
      <c r="K760" s="13"/>
      <c r="L760" s="46">
        <f t="shared" si="221"/>
        <v>0</v>
      </c>
    </row>
    <row r="761" spans="1:12" x14ac:dyDescent="0.15">
      <c r="A761" s="1"/>
      <c r="B761" s="38" t="s">
        <v>89</v>
      </c>
      <c r="C761" s="16">
        <v>1</v>
      </c>
      <c r="D761" s="17"/>
      <c r="E761" s="18"/>
      <c r="F761" s="46">
        <f t="shared" si="218"/>
        <v>1</v>
      </c>
      <c r="G761" s="24">
        <v>45327</v>
      </c>
      <c r="H761" s="4"/>
      <c r="I761" s="9"/>
      <c r="J761" s="14"/>
      <c r="K761" s="13"/>
      <c r="L761" s="46">
        <f t="shared" si="221"/>
        <v>0</v>
      </c>
    </row>
    <row r="762" spans="1:12" x14ac:dyDescent="0.15">
      <c r="A762" s="1"/>
      <c r="B762" s="38" t="s">
        <v>25</v>
      </c>
      <c r="C762" s="16">
        <v>1</v>
      </c>
      <c r="D762" s="17">
        <f>3+2</f>
        <v>5</v>
      </c>
      <c r="E762" s="18">
        <v>2</v>
      </c>
      <c r="F762" s="46">
        <f t="shared" si="218"/>
        <v>8</v>
      </c>
      <c r="G762" s="24">
        <v>45327</v>
      </c>
      <c r="H762" s="4"/>
      <c r="I762" s="9"/>
      <c r="J762" s="14"/>
      <c r="K762" s="13"/>
      <c r="L762" s="46">
        <f t="shared" si="221"/>
        <v>0</v>
      </c>
    </row>
    <row r="763" spans="1:12" x14ac:dyDescent="0.15">
      <c r="A763" s="1"/>
      <c r="B763" s="38" t="s">
        <v>25</v>
      </c>
      <c r="C763" s="16">
        <v>1</v>
      </c>
      <c r="D763" s="17"/>
      <c r="E763" s="18">
        <v>1</v>
      </c>
      <c r="F763" s="46">
        <f t="shared" si="218"/>
        <v>2</v>
      </c>
      <c r="G763" s="24">
        <v>45328</v>
      </c>
      <c r="H763" s="4"/>
      <c r="I763" s="9"/>
      <c r="J763" s="14"/>
      <c r="K763" s="13"/>
      <c r="L763" s="46">
        <f t="shared" si="221"/>
        <v>0</v>
      </c>
    </row>
    <row r="764" spans="1:12" x14ac:dyDescent="0.15">
      <c r="A764" s="1"/>
      <c r="B764" s="38" t="s">
        <v>25</v>
      </c>
      <c r="C764" s="16"/>
      <c r="D764" s="17"/>
      <c r="E764" s="18">
        <v>1</v>
      </c>
      <c r="F764" s="46">
        <f t="shared" si="218"/>
        <v>1</v>
      </c>
      <c r="G764" s="24">
        <v>45330</v>
      </c>
      <c r="H764" s="4"/>
      <c r="I764" s="9"/>
      <c r="J764" s="14"/>
      <c r="K764" s="13"/>
      <c r="L764" s="46">
        <f t="shared" si="221"/>
        <v>0</v>
      </c>
    </row>
    <row r="765" spans="1:12" x14ac:dyDescent="0.15">
      <c r="A765" s="1"/>
      <c r="B765" s="38" t="s">
        <v>25</v>
      </c>
      <c r="C765" s="16"/>
      <c r="D765" s="17">
        <v>1</v>
      </c>
      <c r="E765" s="18"/>
      <c r="F765" s="46">
        <f t="shared" ref="F765:F768" si="222">SUM(C765:E765)</f>
        <v>1</v>
      </c>
      <c r="G765" s="24">
        <v>45331</v>
      </c>
      <c r="H765" s="4"/>
      <c r="I765" s="9"/>
      <c r="J765" s="14"/>
      <c r="K765" s="13"/>
      <c r="L765" s="46">
        <f t="shared" si="221"/>
        <v>0</v>
      </c>
    </row>
    <row r="766" spans="1:12" ht="14.25" thickBot="1" x14ac:dyDescent="0.2">
      <c r="A766" s="1"/>
      <c r="B766" s="38" t="s">
        <v>25</v>
      </c>
      <c r="C766" s="16">
        <v>1</v>
      </c>
      <c r="D766" s="17"/>
      <c r="E766" s="18">
        <v>1</v>
      </c>
      <c r="F766" s="46">
        <f t="shared" si="222"/>
        <v>2</v>
      </c>
      <c r="G766" s="24">
        <v>45335</v>
      </c>
      <c r="H766" s="4"/>
      <c r="I766" s="9"/>
      <c r="J766" s="14"/>
      <c r="K766" s="13"/>
      <c r="L766" s="46">
        <f t="shared" si="221"/>
        <v>0</v>
      </c>
    </row>
    <row r="767" spans="1:12" ht="14.25" thickBot="1" x14ac:dyDescent="0.2">
      <c r="A767" s="1"/>
      <c r="B767" s="5" t="s">
        <v>9</v>
      </c>
      <c r="C767" s="10">
        <f>SUM(C743:C766)</f>
        <v>15</v>
      </c>
      <c r="D767" s="10">
        <f t="shared" ref="D767:E767" si="223">SUM(D743:D766)</f>
        <v>20</v>
      </c>
      <c r="E767" s="10">
        <f t="shared" si="223"/>
        <v>23</v>
      </c>
      <c r="F767" s="48">
        <f t="shared" si="222"/>
        <v>58</v>
      </c>
      <c r="G767" s="1"/>
      <c r="H767" s="5" t="s">
        <v>9</v>
      </c>
      <c r="I767" s="10">
        <f>SUM(I743:I766)</f>
        <v>0</v>
      </c>
      <c r="J767" s="10">
        <f t="shared" ref="J767:K767" si="224">SUM(J743:J766)</f>
        <v>15</v>
      </c>
      <c r="K767" s="10">
        <f t="shared" si="224"/>
        <v>20</v>
      </c>
      <c r="L767" s="48">
        <f t="shared" si="221"/>
        <v>35</v>
      </c>
    </row>
    <row r="768" spans="1:12" ht="14.25" thickBot="1" x14ac:dyDescent="0.2">
      <c r="A768" s="1"/>
      <c r="B768" s="8" t="s">
        <v>10</v>
      </c>
      <c r="C768" s="11">
        <f>C742-C767</f>
        <v>8</v>
      </c>
      <c r="D768" s="11">
        <f t="shared" ref="D768:E768" si="225">D742-D767</f>
        <v>7</v>
      </c>
      <c r="E768" s="11">
        <f t="shared" si="225"/>
        <v>8</v>
      </c>
      <c r="F768" s="37">
        <f t="shared" si="222"/>
        <v>23</v>
      </c>
      <c r="G768" s="1"/>
      <c r="H768" s="8" t="s">
        <v>10</v>
      </c>
      <c r="I768" s="11">
        <f>I742-I767</f>
        <v>978</v>
      </c>
      <c r="J768" s="11">
        <f t="shared" ref="J768:K768" si="226">J742-J767</f>
        <v>630</v>
      </c>
      <c r="K768" s="11">
        <f t="shared" si="226"/>
        <v>175</v>
      </c>
      <c r="L768" s="37">
        <f t="shared" si="221"/>
        <v>1783</v>
      </c>
    </row>
    <row r="771" spans="1:12" ht="18.75" x14ac:dyDescent="0.2">
      <c r="A771" s="41" t="s">
        <v>12</v>
      </c>
      <c r="B771" s="42"/>
      <c r="C771" s="41"/>
      <c r="D771" s="43"/>
      <c r="E771" s="43"/>
      <c r="F771" s="2"/>
      <c r="G771" s="1"/>
      <c r="H771" s="41" t="s">
        <v>12</v>
      </c>
      <c r="I771" s="41"/>
      <c r="J771" s="43"/>
      <c r="K771" s="43"/>
      <c r="L771" s="2"/>
    </row>
    <row r="772" spans="1:12" ht="19.5" thickBot="1" x14ac:dyDescent="0.25">
      <c r="A772" s="7"/>
      <c r="B772" s="7" t="s">
        <v>0</v>
      </c>
      <c r="C772" s="7"/>
      <c r="D772" s="7" t="s">
        <v>15</v>
      </c>
      <c r="E772" s="2"/>
      <c r="F772" s="2"/>
      <c r="G772" s="1"/>
      <c r="H772" s="7" t="s">
        <v>1</v>
      </c>
      <c r="I772" s="1"/>
      <c r="J772" s="7" t="s">
        <v>15</v>
      </c>
      <c r="K772" s="2"/>
      <c r="L772" s="2"/>
    </row>
    <row r="773" spans="1:12" ht="14.25" thickBot="1" x14ac:dyDescent="0.2">
      <c r="A773" s="1"/>
      <c r="B773" s="3"/>
      <c r="C773" s="5" t="s">
        <v>2</v>
      </c>
      <c r="D773" s="3" t="s">
        <v>3</v>
      </c>
      <c r="E773" s="12" t="s">
        <v>4</v>
      </c>
      <c r="F773" s="3" t="s">
        <v>5</v>
      </c>
      <c r="G773" s="1"/>
      <c r="H773" s="3"/>
      <c r="I773" s="5" t="s">
        <v>2</v>
      </c>
      <c r="J773" s="3" t="s">
        <v>3</v>
      </c>
      <c r="K773" s="12" t="s">
        <v>4</v>
      </c>
      <c r="L773" s="3" t="s">
        <v>5</v>
      </c>
    </row>
    <row r="774" spans="1:12" ht="14.25" thickBot="1" x14ac:dyDescent="0.2">
      <c r="A774" s="1"/>
      <c r="B774" s="34" t="s">
        <v>11</v>
      </c>
      <c r="C774" s="35">
        <f>C768</f>
        <v>8</v>
      </c>
      <c r="D774" s="36">
        <f>D768</f>
        <v>7</v>
      </c>
      <c r="E774" s="35">
        <f>E768</f>
        <v>8</v>
      </c>
      <c r="F774" s="37">
        <f>SUM(C774:E774)</f>
        <v>23</v>
      </c>
      <c r="G774" s="28"/>
      <c r="H774" s="34"/>
      <c r="I774" s="35">
        <f>I768</f>
        <v>978</v>
      </c>
      <c r="J774" s="36">
        <f>J768</f>
        <v>630</v>
      </c>
      <c r="K774" s="35">
        <f>K768</f>
        <v>175</v>
      </c>
      <c r="L774" s="37">
        <f>SUM(I774:K774)</f>
        <v>1783</v>
      </c>
    </row>
    <row r="775" spans="1:12" x14ac:dyDescent="0.15">
      <c r="A775" s="1"/>
      <c r="B775" s="29" t="s">
        <v>7</v>
      </c>
      <c r="C775" s="20"/>
      <c r="D775" s="21">
        <v>5</v>
      </c>
      <c r="E775" s="20"/>
      <c r="F775" s="46">
        <f t="shared" ref="F775:F779" si="227">SUM(C775:E775)</f>
        <v>5</v>
      </c>
      <c r="G775" s="24">
        <v>45343</v>
      </c>
      <c r="H775" s="29"/>
      <c r="I775" s="20"/>
      <c r="J775" s="21"/>
      <c r="K775" s="20"/>
      <c r="L775" s="46">
        <f t="shared" ref="L775:L784" si="228">SUM(I775:K775)</f>
        <v>0</v>
      </c>
    </row>
    <row r="776" spans="1:12" x14ac:dyDescent="0.15">
      <c r="A776" s="1"/>
      <c r="B776" s="29" t="s">
        <v>7</v>
      </c>
      <c r="C776" s="20">
        <v>5</v>
      </c>
      <c r="D776" s="21">
        <v>5</v>
      </c>
      <c r="E776" s="20">
        <v>5</v>
      </c>
      <c r="F776" s="46">
        <f t="shared" si="227"/>
        <v>15</v>
      </c>
      <c r="G776" s="24">
        <v>45353</v>
      </c>
      <c r="H776" s="29"/>
      <c r="I776" s="20"/>
      <c r="J776" s="21"/>
      <c r="K776" s="20"/>
      <c r="L776" s="46">
        <f t="shared" si="228"/>
        <v>0</v>
      </c>
    </row>
    <row r="777" spans="1:12" x14ac:dyDescent="0.15">
      <c r="A777" s="1"/>
      <c r="B777" s="29" t="s">
        <v>7</v>
      </c>
      <c r="C777" s="20">
        <v>3</v>
      </c>
      <c r="D777" s="21">
        <v>3</v>
      </c>
      <c r="E777" s="20">
        <v>10</v>
      </c>
      <c r="F777" s="46">
        <f t="shared" si="227"/>
        <v>16</v>
      </c>
      <c r="G777" s="24">
        <v>45357</v>
      </c>
      <c r="H777" s="29"/>
      <c r="I777" s="20"/>
      <c r="J777" s="21"/>
      <c r="K777" s="20"/>
      <c r="L777" s="46">
        <f t="shared" si="228"/>
        <v>0</v>
      </c>
    </row>
    <row r="778" spans="1:12" x14ac:dyDescent="0.15">
      <c r="A778" s="1"/>
      <c r="B778" s="29" t="s">
        <v>7</v>
      </c>
      <c r="C778" s="20">
        <v>5</v>
      </c>
      <c r="D778" s="21">
        <v>5</v>
      </c>
      <c r="E778" s="20"/>
      <c r="F778" s="46">
        <f t="shared" si="227"/>
        <v>10</v>
      </c>
      <c r="G778" s="24">
        <v>45363</v>
      </c>
      <c r="H778" s="29"/>
      <c r="I778" s="20"/>
      <c r="J778" s="21"/>
      <c r="K778" s="20"/>
      <c r="L778" s="46">
        <f t="shared" si="228"/>
        <v>0</v>
      </c>
    </row>
    <row r="779" spans="1:12" x14ac:dyDescent="0.15">
      <c r="A779" s="1"/>
      <c r="B779" s="29" t="s">
        <v>7</v>
      </c>
      <c r="C779" s="20">
        <v>5</v>
      </c>
      <c r="D779" s="21">
        <v>5</v>
      </c>
      <c r="E779" s="20">
        <v>5</v>
      </c>
      <c r="F779" s="46">
        <f t="shared" si="227"/>
        <v>15</v>
      </c>
      <c r="G779" s="24">
        <v>45381</v>
      </c>
      <c r="H779" s="29"/>
      <c r="I779" s="20"/>
      <c r="J779" s="21"/>
      <c r="K779" s="20"/>
      <c r="L779" s="46">
        <f t="shared" si="228"/>
        <v>0</v>
      </c>
    </row>
    <row r="780" spans="1:12" x14ac:dyDescent="0.15">
      <c r="A780" s="1"/>
      <c r="B780" s="29" t="s">
        <v>7</v>
      </c>
      <c r="C780" s="20">
        <v>10</v>
      </c>
      <c r="D780" s="21"/>
      <c r="E780" s="20"/>
      <c r="F780" s="46">
        <f t="shared" ref="F780:F784" si="229">SUM(C780:E780)</f>
        <v>10</v>
      </c>
      <c r="G780" s="24">
        <v>45391</v>
      </c>
      <c r="H780" s="29"/>
      <c r="I780" s="20"/>
      <c r="J780" s="21"/>
      <c r="K780" s="20"/>
      <c r="L780" s="46">
        <f t="shared" si="228"/>
        <v>0</v>
      </c>
    </row>
    <row r="781" spans="1:12" x14ac:dyDescent="0.15">
      <c r="A781" s="1"/>
      <c r="B781" s="29" t="s">
        <v>7</v>
      </c>
      <c r="C781" s="20"/>
      <c r="D781" s="21"/>
      <c r="E781" s="20"/>
      <c r="F781" s="46">
        <f t="shared" si="229"/>
        <v>0</v>
      </c>
      <c r="G781" s="24"/>
      <c r="H781" s="29"/>
      <c r="I781" s="20"/>
      <c r="J781" s="21"/>
      <c r="K781" s="20"/>
      <c r="L781" s="46">
        <f t="shared" si="228"/>
        <v>0</v>
      </c>
    </row>
    <row r="782" spans="1:12" x14ac:dyDescent="0.15">
      <c r="A782" s="1"/>
      <c r="B782" s="29" t="s">
        <v>7</v>
      </c>
      <c r="C782" s="20"/>
      <c r="D782" s="21"/>
      <c r="E782" s="20"/>
      <c r="F782" s="46">
        <f t="shared" si="229"/>
        <v>0</v>
      </c>
      <c r="G782" s="24"/>
      <c r="H782" s="29"/>
      <c r="I782" s="20"/>
      <c r="J782" s="21"/>
      <c r="K782" s="20"/>
      <c r="L782" s="46">
        <f t="shared" si="228"/>
        <v>0</v>
      </c>
    </row>
    <row r="783" spans="1:12" x14ac:dyDescent="0.15">
      <c r="A783" s="1"/>
      <c r="B783" s="29" t="s">
        <v>7</v>
      </c>
      <c r="C783" s="20"/>
      <c r="D783" s="21"/>
      <c r="E783" s="20"/>
      <c r="F783" s="46">
        <f t="shared" si="229"/>
        <v>0</v>
      </c>
      <c r="G783" s="24"/>
      <c r="H783" s="29"/>
      <c r="I783" s="20"/>
      <c r="J783" s="21"/>
      <c r="K783" s="20"/>
      <c r="L783" s="46">
        <f t="shared" si="228"/>
        <v>0</v>
      </c>
    </row>
    <row r="784" spans="1:12" ht="14.25" thickBot="1" x14ac:dyDescent="0.2">
      <c r="A784" s="1"/>
      <c r="B784" s="29" t="s">
        <v>7</v>
      </c>
      <c r="C784" s="19"/>
      <c r="D784" s="4"/>
      <c r="E784" s="19"/>
      <c r="F784" s="46">
        <f t="shared" si="229"/>
        <v>0</v>
      </c>
      <c r="G784" s="27"/>
      <c r="H784" s="29"/>
      <c r="I784" s="19"/>
      <c r="J784" s="4"/>
      <c r="K784" s="19"/>
      <c r="L784" s="46">
        <f t="shared" si="228"/>
        <v>0</v>
      </c>
    </row>
    <row r="785" spans="1:14" ht="14.25" thickBot="1" x14ac:dyDescent="0.2">
      <c r="A785" s="1"/>
      <c r="B785" s="6" t="s">
        <v>8</v>
      </c>
      <c r="C785" s="44">
        <f>SUM(C774:C784)</f>
        <v>36</v>
      </c>
      <c r="D785" s="44">
        <f t="shared" ref="D785:F785" si="230">SUM(D774:D784)</f>
        <v>30</v>
      </c>
      <c r="E785" s="44">
        <f t="shared" si="230"/>
        <v>28</v>
      </c>
      <c r="F785" s="45">
        <f t="shared" si="230"/>
        <v>94</v>
      </c>
      <c r="G785" s="1"/>
      <c r="H785" s="6"/>
      <c r="I785" s="44">
        <f>SUM(I774:I784)</f>
        <v>978</v>
      </c>
      <c r="J785" s="44">
        <f t="shared" ref="J785:L785" si="231">SUM(J774:J784)</f>
        <v>630</v>
      </c>
      <c r="K785" s="44">
        <f t="shared" si="231"/>
        <v>175</v>
      </c>
      <c r="L785" s="45">
        <f t="shared" si="231"/>
        <v>1783</v>
      </c>
    </row>
    <row r="786" spans="1:14" x14ac:dyDescent="0.15">
      <c r="A786" s="1"/>
      <c r="B786" s="38" t="s">
        <v>25</v>
      </c>
      <c r="C786" s="16"/>
      <c r="D786" s="17">
        <v>3</v>
      </c>
      <c r="E786" s="18">
        <v>1</v>
      </c>
      <c r="F786" s="46">
        <f t="shared" ref="F786:F805" si="232">SUM(C786:E786)</f>
        <v>4</v>
      </c>
      <c r="G786" s="24">
        <v>45341</v>
      </c>
      <c r="H786" s="4" t="s">
        <v>106</v>
      </c>
      <c r="I786" s="9"/>
      <c r="J786" s="14">
        <v>5</v>
      </c>
      <c r="K786" s="13"/>
      <c r="L786" s="46">
        <f t="shared" ref="L786:L791" si="233">SUM(I786:K786)</f>
        <v>5</v>
      </c>
      <c r="M786" s="73">
        <v>45343</v>
      </c>
      <c r="N786" s="54"/>
    </row>
    <row r="787" spans="1:14" x14ac:dyDescent="0.15">
      <c r="B787" s="38" t="s">
        <v>25</v>
      </c>
      <c r="C787" s="16"/>
      <c r="D787" s="17">
        <v>1</v>
      </c>
      <c r="E787" s="18"/>
      <c r="F787" s="46">
        <f t="shared" si="232"/>
        <v>1</v>
      </c>
      <c r="G787" s="24">
        <v>45342</v>
      </c>
      <c r="H787" s="4" t="s">
        <v>24</v>
      </c>
      <c r="I787" s="9">
        <v>5</v>
      </c>
      <c r="J787" s="14">
        <v>5</v>
      </c>
      <c r="K787" s="13">
        <v>5</v>
      </c>
      <c r="L787" s="46">
        <f t="shared" si="233"/>
        <v>15</v>
      </c>
      <c r="M787" s="73">
        <v>45353</v>
      </c>
      <c r="N787" s="54"/>
    </row>
    <row r="788" spans="1:14" x14ac:dyDescent="0.15">
      <c r="B788" s="38" t="s">
        <v>25</v>
      </c>
      <c r="C788" s="16">
        <v>1</v>
      </c>
      <c r="D788" s="17">
        <v>1</v>
      </c>
      <c r="E788" s="18"/>
      <c r="F788" s="46">
        <f t="shared" si="232"/>
        <v>2</v>
      </c>
      <c r="G788" s="24">
        <v>45343</v>
      </c>
      <c r="H788" s="4" t="s">
        <v>24</v>
      </c>
      <c r="I788" s="9">
        <v>3</v>
      </c>
      <c r="J788" s="14">
        <v>3</v>
      </c>
      <c r="K788" s="13">
        <v>10</v>
      </c>
      <c r="L788" s="46">
        <f t="shared" si="233"/>
        <v>16</v>
      </c>
      <c r="M788" s="73">
        <v>45357</v>
      </c>
      <c r="N788" s="54"/>
    </row>
    <row r="789" spans="1:14" x14ac:dyDescent="0.15">
      <c r="B789" s="38" t="s">
        <v>25</v>
      </c>
      <c r="C789" s="16">
        <v>1</v>
      </c>
      <c r="D789" s="17">
        <v>2</v>
      </c>
      <c r="E789" s="18">
        <v>2</v>
      </c>
      <c r="F789" s="46">
        <f t="shared" si="232"/>
        <v>5</v>
      </c>
      <c r="G789" s="24">
        <v>45344</v>
      </c>
      <c r="H789" s="4" t="s">
        <v>24</v>
      </c>
      <c r="I789" s="9">
        <v>5</v>
      </c>
      <c r="J789" s="14">
        <v>5</v>
      </c>
      <c r="K789" s="13"/>
      <c r="L789" s="46">
        <f t="shared" si="233"/>
        <v>10</v>
      </c>
      <c r="M789" s="73">
        <v>45363</v>
      </c>
      <c r="N789" s="54"/>
    </row>
    <row r="790" spans="1:14" x14ac:dyDescent="0.15">
      <c r="B790" s="38" t="s">
        <v>25</v>
      </c>
      <c r="C790" s="16">
        <v>2</v>
      </c>
      <c r="D790" s="17">
        <v>1</v>
      </c>
      <c r="E790" s="18"/>
      <c r="F790" s="46">
        <f t="shared" si="232"/>
        <v>3</v>
      </c>
      <c r="G790" s="24">
        <v>45348</v>
      </c>
      <c r="H790" s="4" t="s">
        <v>24</v>
      </c>
      <c r="I790" s="9">
        <v>5</v>
      </c>
      <c r="J790" s="14">
        <v>5</v>
      </c>
      <c r="K790" s="13">
        <v>5</v>
      </c>
      <c r="L790" s="46">
        <f t="shared" si="233"/>
        <v>15</v>
      </c>
      <c r="M790" s="73">
        <v>45381</v>
      </c>
    </row>
    <row r="791" spans="1:14" x14ac:dyDescent="0.15">
      <c r="B791" s="38" t="s">
        <v>25</v>
      </c>
      <c r="C791" s="16"/>
      <c r="D791" s="17">
        <v>1</v>
      </c>
      <c r="E791" s="18">
        <v>1</v>
      </c>
      <c r="F791" s="46">
        <f t="shared" si="232"/>
        <v>2</v>
      </c>
      <c r="G791" s="24">
        <v>45351</v>
      </c>
      <c r="H791" s="4" t="s">
        <v>24</v>
      </c>
      <c r="I791" s="9">
        <v>10</v>
      </c>
      <c r="J791" s="14"/>
      <c r="K791" s="13"/>
      <c r="L791" s="46">
        <f t="shared" si="233"/>
        <v>10</v>
      </c>
      <c r="M791" s="73">
        <v>45391</v>
      </c>
    </row>
    <row r="792" spans="1:14" x14ac:dyDescent="0.15">
      <c r="B792" s="38" t="s">
        <v>25</v>
      </c>
      <c r="C792" s="16"/>
      <c r="D792" s="17"/>
      <c r="E792" s="18">
        <v>1</v>
      </c>
      <c r="F792" s="46">
        <f t="shared" si="232"/>
        <v>1</v>
      </c>
      <c r="G792" s="24">
        <v>45352</v>
      </c>
      <c r="H792" s="4"/>
      <c r="I792" s="9"/>
      <c r="J792" s="14"/>
      <c r="K792" s="13"/>
      <c r="L792" s="46">
        <f t="shared" ref="L792:L811" si="234">SUM(I792:K792)</f>
        <v>0</v>
      </c>
      <c r="M792" s="54"/>
    </row>
    <row r="793" spans="1:14" x14ac:dyDescent="0.15">
      <c r="B793" s="38" t="s">
        <v>25</v>
      </c>
      <c r="C793" s="16"/>
      <c r="D793" s="17"/>
      <c r="E793" s="18">
        <v>2</v>
      </c>
      <c r="F793" s="46">
        <f t="shared" si="232"/>
        <v>2</v>
      </c>
      <c r="G793" s="24">
        <v>45353</v>
      </c>
      <c r="H793" s="4"/>
      <c r="I793" s="9"/>
      <c r="J793" s="14"/>
      <c r="K793" s="13"/>
      <c r="L793" s="46">
        <f t="shared" si="234"/>
        <v>0</v>
      </c>
    </row>
    <row r="794" spans="1:14" x14ac:dyDescent="0.15">
      <c r="B794" s="38" t="s">
        <v>25</v>
      </c>
      <c r="C794" s="16">
        <v>1</v>
      </c>
      <c r="D794" s="17">
        <v>1</v>
      </c>
      <c r="E794" s="18">
        <v>2</v>
      </c>
      <c r="F794" s="46">
        <f t="shared" si="232"/>
        <v>4</v>
      </c>
      <c r="G794" s="24">
        <v>45355</v>
      </c>
      <c r="H794" s="4"/>
      <c r="I794" s="9"/>
      <c r="J794" s="14"/>
      <c r="K794" s="13"/>
      <c r="L794" s="46">
        <f t="shared" si="234"/>
        <v>0</v>
      </c>
    </row>
    <row r="795" spans="1:14" x14ac:dyDescent="0.15">
      <c r="B795" s="38" t="s">
        <v>25</v>
      </c>
      <c r="C795" s="16">
        <f>1+1</f>
        <v>2</v>
      </c>
      <c r="D795" s="17">
        <v>3</v>
      </c>
      <c r="E795" s="18">
        <f>1+2+1</f>
        <v>4</v>
      </c>
      <c r="F795" s="46">
        <f t="shared" si="232"/>
        <v>9</v>
      </c>
      <c r="G795" s="24">
        <v>45356</v>
      </c>
      <c r="H795" s="4"/>
      <c r="I795" s="9"/>
      <c r="J795" s="14"/>
      <c r="K795" s="13"/>
      <c r="L795" s="46">
        <f t="shared" si="234"/>
        <v>0</v>
      </c>
    </row>
    <row r="796" spans="1:14" x14ac:dyDescent="0.15">
      <c r="B796" s="38" t="s">
        <v>25</v>
      </c>
      <c r="C796" s="16">
        <f>3+2</f>
        <v>5</v>
      </c>
      <c r="D796" s="17">
        <f>1+2</f>
        <v>3</v>
      </c>
      <c r="E796" s="18">
        <v>1</v>
      </c>
      <c r="F796" s="46">
        <f t="shared" si="232"/>
        <v>9</v>
      </c>
      <c r="G796" s="24">
        <v>45362</v>
      </c>
      <c r="H796" s="4"/>
      <c r="I796" s="9"/>
      <c r="J796" s="14"/>
      <c r="K796" s="13"/>
      <c r="L796" s="46">
        <f t="shared" si="234"/>
        <v>0</v>
      </c>
    </row>
    <row r="797" spans="1:14" x14ac:dyDescent="0.15">
      <c r="B797" s="38" t="s">
        <v>25</v>
      </c>
      <c r="C797" s="16"/>
      <c r="D797" s="17"/>
      <c r="E797" s="18">
        <v>2</v>
      </c>
      <c r="F797" s="46">
        <f t="shared" si="232"/>
        <v>2</v>
      </c>
      <c r="G797" s="24">
        <v>45369</v>
      </c>
      <c r="H797" s="4"/>
      <c r="I797" s="9"/>
      <c r="J797" s="14"/>
      <c r="K797" s="13"/>
      <c r="L797" s="46">
        <f t="shared" si="234"/>
        <v>0</v>
      </c>
    </row>
    <row r="798" spans="1:14" x14ac:dyDescent="0.15">
      <c r="B798" s="38" t="s">
        <v>25</v>
      </c>
      <c r="C798" s="16">
        <v>1</v>
      </c>
      <c r="D798" s="17"/>
      <c r="E798" s="18"/>
      <c r="F798" s="46">
        <f t="shared" si="232"/>
        <v>1</v>
      </c>
      <c r="G798" s="24">
        <v>45372</v>
      </c>
      <c r="H798" s="4"/>
      <c r="I798" s="9"/>
      <c r="J798" s="14"/>
      <c r="K798" s="13"/>
      <c r="L798" s="46">
        <f t="shared" si="234"/>
        <v>0</v>
      </c>
    </row>
    <row r="799" spans="1:14" x14ac:dyDescent="0.15">
      <c r="B799" s="38" t="s">
        <v>25</v>
      </c>
      <c r="C799" s="16">
        <v>2</v>
      </c>
      <c r="D799" s="17">
        <v>1</v>
      </c>
      <c r="E799" s="18">
        <v>1</v>
      </c>
      <c r="F799" s="46">
        <f t="shared" si="232"/>
        <v>4</v>
      </c>
      <c r="G799" s="24">
        <v>45376</v>
      </c>
      <c r="H799" s="4"/>
      <c r="I799" s="9"/>
      <c r="J799" s="14"/>
      <c r="K799" s="13"/>
      <c r="L799" s="46">
        <f t="shared" si="234"/>
        <v>0</v>
      </c>
    </row>
    <row r="800" spans="1:14" x14ac:dyDescent="0.15">
      <c r="B800" s="38" t="s">
        <v>107</v>
      </c>
      <c r="C800" s="16"/>
      <c r="D800" s="17">
        <v>1</v>
      </c>
      <c r="E800" s="18"/>
      <c r="F800" s="46">
        <f t="shared" si="232"/>
        <v>1</v>
      </c>
      <c r="G800" s="24">
        <v>45384</v>
      </c>
      <c r="H800" s="4"/>
      <c r="I800" s="9"/>
      <c r="J800" s="14"/>
      <c r="K800" s="13"/>
      <c r="L800" s="46">
        <f t="shared" si="234"/>
        <v>0</v>
      </c>
    </row>
    <row r="801" spans="1:12" x14ac:dyDescent="0.15">
      <c r="B801" s="38" t="s">
        <v>25</v>
      </c>
      <c r="C801" s="16">
        <v>1</v>
      </c>
      <c r="D801" s="17"/>
      <c r="E801" s="18">
        <v>1</v>
      </c>
      <c r="F801" s="46">
        <f t="shared" si="232"/>
        <v>2</v>
      </c>
      <c r="G801" s="24">
        <v>45383</v>
      </c>
      <c r="H801" s="4"/>
      <c r="I801" s="9"/>
      <c r="J801" s="14"/>
      <c r="K801" s="13"/>
      <c r="L801" s="46">
        <f t="shared" si="234"/>
        <v>0</v>
      </c>
    </row>
    <row r="802" spans="1:12" x14ac:dyDescent="0.15">
      <c r="B802" s="38" t="s">
        <v>25</v>
      </c>
      <c r="C802" s="16">
        <v>2</v>
      </c>
      <c r="D802" s="17">
        <v>1</v>
      </c>
      <c r="E802" s="18"/>
      <c r="F802" s="46">
        <f t="shared" si="232"/>
        <v>3</v>
      </c>
      <c r="G802" s="24">
        <v>45387</v>
      </c>
      <c r="H802" s="4"/>
      <c r="I802" s="9"/>
      <c r="J802" s="14"/>
      <c r="K802" s="13"/>
      <c r="L802" s="46">
        <f t="shared" si="234"/>
        <v>0</v>
      </c>
    </row>
    <row r="803" spans="1:12" x14ac:dyDescent="0.15">
      <c r="A803" s="1"/>
      <c r="B803" s="38" t="s">
        <v>25</v>
      </c>
      <c r="C803" s="16">
        <v>4</v>
      </c>
      <c r="D803" s="17"/>
      <c r="E803" s="18"/>
      <c r="F803" s="46">
        <f t="shared" si="232"/>
        <v>4</v>
      </c>
      <c r="G803" s="24">
        <v>45388</v>
      </c>
      <c r="H803" s="4"/>
      <c r="I803" s="9"/>
      <c r="J803" s="14"/>
      <c r="K803" s="13"/>
      <c r="L803" s="46">
        <f t="shared" si="234"/>
        <v>0</v>
      </c>
    </row>
    <row r="804" spans="1:12" x14ac:dyDescent="0.15">
      <c r="A804" s="1"/>
      <c r="B804" s="38" t="s">
        <v>25</v>
      </c>
      <c r="C804" s="16">
        <v>2</v>
      </c>
      <c r="D804" s="17"/>
      <c r="E804" s="18"/>
      <c r="F804" s="46">
        <f t="shared" si="232"/>
        <v>2</v>
      </c>
      <c r="G804" s="24">
        <v>45390</v>
      </c>
      <c r="H804" s="4"/>
      <c r="I804" s="9"/>
      <c r="J804" s="14"/>
      <c r="K804" s="13"/>
      <c r="L804" s="46">
        <f t="shared" si="234"/>
        <v>0</v>
      </c>
    </row>
    <row r="805" spans="1:12" x14ac:dyDescent="0.15">
      <c r="A805" s="1"/>
      <c r="B805" s="38" t="s">
        <v>25</v>
      </c>
      <c r="C805" s="16"/>
      <c r="D805" s="17">
        <v>1</v>
      </c>
      <c r="E805" s="18"/>
      <c r="F805" s="46">
        <f t="shared" si="232"/>
        <v>1</v>
      </c>
      <c r="G805" s="24">
        <v>45392</v>
      </c>
      <c r="H805" s="4"/>
      <c r="I805" s="9"/>
      <c r="J805" s="14"/>
      <c r="K805" s="13"/>
      <c r="L805" s="46">
        <f t="shared" si="234"/>
        <v>0</v>
      </c>
    </row>
    <row r="806" spans="1:12" x14ac:dyDescent="0.15">
      <c r="A806" s="1"/>
      <c r="B806" s="38" t="s">
        <v>25</v>
      </c>
      <c r="C806" s="16">
        <v>1</v>
      </c>
      <c r="D806" s="17"/>
      <c r="E806" s="18"/>
      <c r="F806" s="46">
        <f t="shared" ref="F806:F811" si="235">SUM(C806:E806)</f>
        <v>1</v>
      </c>
      <c r="G806" s="24">
        <v>45393</v>
      </c>
      <c r="H806" s="4"/>
      <c r="I806" s="9"/>
      <c r="J806" s="14"/>
      <c r="K806" s="13"/>
      <c r="L806" s="46">
        <f t="shared" si="234"/>
        <v>0</v>
      </c>
    </row>
    <row r="807" spans="1:12" x14ac:dyDescent="0.15">
      <c r="A807" s="1"/>
      <c r="B807" s="38" t="s">
        <v>25</v>
      </c>
      <c r="C807" s="16"/>
      <c r="D807" s="17">
        <v>1</v>
      </c>
      <c r="E807" s="18"/>
      <c r="F807" s="46">
        <f t="shared" si="235"/>
        <v>1</v>
      </c>
      <c r="G807" s="24">
        <v>45397</v>
      </c>
      <c r="H807" s="4"/>
      <c r="I807" s="9"/>
      <c r="J807" s="14"/>
      <c r="K807" s="13"/>
      <c r="L807" s="46">
        <f t="shared" si="234"/>
        <v>0</v>
      </c>
    </row>
    <row r="808" spans="1:12" x14ac:dyDescent="0.15">
      <c r="A808" s="1"/>
      <c r="B808" s="38" t="s">
        <v>25</v>
      </c>
      <c r="C808" s="16"/>
      <c r="D808" s="17"/>
      <c r="E808" s="18">
        <v>2</v>
      </c>
      <c r="F808" s="46">
        <f t="shared" si="235"/>
        <v>2</v>
      </c>
      <c r="G808" s="24">
        <v>45398</v>
      </c>
      <c r="H808" s="4"/>
      <c r="I808" s="9"/>
      <c r="J808" s="14"/>
      <c r="K808" s="13"/>
      <c r="L808" s="46">
        <f t="shared" si="234"/>
        <v>0</v>
      </c>
    </row>
    <row r="809" spans="1:12" ht="14.25" thickBot="1" x14ac:dyDescent="0.2">
      <c r="A809" s="1"/>
      <c r="B809" s="38" t="s">
        <v>25</v>
      </c>
      <c r="C809" s="16">
        <v>1</v>
      </c>
      <c r="D809" s="17"/>
      <c r="E809" s="18">
        <v>1</v>
      </c>
      <c r="F809" s="46">
        <f t="shared" si="235"/>
        <v>2</v>
      </c>
      <c r="G809" s="24">
        <v>45399</v>
      </c>
      <c r="H809" s="4"/>
      <c r="I809" s="9"/>
      <c r="J809" s="14"/>
      <c r="K809" s="13"/>
      <c r="L809" s="46">
        <f t="shared" si="234"/>
        <v>0</v>
      </c>
    </row>
    <row r="810" spans="1:12" ht="14.25" thickBot="1" x14ac:dyDescent="0.2">
      <c r="A810" s="1"/>
      <c r="B810" s="5" t="s">
        <v>9</v>
      </c>
      <c r="C810" s="10">
        <f>SUM(C786:C809)</f>
        <v>26</v>
      </c>
      <c r="D810" s="10">
        <f t="shared" ref="D810:E810" si="236">SUM(D786:D809)</f>
        <v>21</v>
      </c>
      <c r="E810" s="10">
        <f t="shared" si="236"/>
        <v>21</v>
      </c>
      <c r="F810" s="48">
        <f t="shared" si="235"/>
        <v>68</v>
      </c>
      <c r="G810" s="1"/>
      <c r="H810" s="5" t="s">
        <v>9</v>
      </c>
      <c r="I810" s="10">
        <f>SUM(I786:I809)</f>
        <v>28</v>
      </c>
      <c r="J810" s="10">
        <f t="shared" ref="J810:K810" si="237">SUM(J786:J809)</f>
        <v>23</v>
      </c>
      <c r="K810" s="10">
        <f t="shared" si="237"/>
        <v>20</v>
      </c>
      <c r="L810" s="48">
        <f t="shared" si="234"/>
        <v>71</v>
      </c>
    </row>
    <row r="811" spans="1:12" ht="14.25" thickBot="1" x14ac:dyDescent="0.2">
      <c r="A811" s="1"/>
      <c r="B811" s="8" t="s">
        <v>10</v>
      </c>
      <c r="C811" s="11">
        <f>C785-C810</f>
        <v>10</v>
      </c>
      <c r="D811" s="11">
        <f t="shared" ref="D811:E811" si="238">D785-D810</f>
        <v>9</v>
      </c>
      <c r="E811" s="11">
        <f t="shared" si="238"/>
        <v>7</v>
      </c>
      <c r="F811" s="37">
        <f t="shared" si="235"/>
        <v>26</v>
      </c>
      <c r="G811" s="1"/>
      <c r="H811" s="8" t="s">
        <v>10</v>
      </c>
      <c r="I811" s="11">
        <f>I785-I810</f>
        <v>950</v>
      </c>
      <c r="J811" s="11">
        <f t="shared" ref="J811:K811" si="239">J785-J810</f>
        <v>607</v>
      </c>
      <c r="K811" s="11">
        <f t="shared" si="239"/>
        <v>155</v>
      </c>
      <c r="L811" s="37">
        <f t="shared" si="234"/>
        <v>1712</v>
      </c>
    </row>
    <row r="814" spans="1:12" ht="18.75" x14ac:dyDescent="0.2">
      <c r="A814" s="41" t="s">
        <v>12</v>
      </c>
      <c r="B814" s="42"/>
      <c r="C814" s="41"/>
      <c r="D814" s="43"/>
      <c r="E814" s="43"/>
      <c r="F814" s="2"/>
      <c r="G814" s="1"/>
      <c r="H814" s="41" t="s">
        <v>12</v>
      </c>
      <c r="I814" s="41"/>
      <c r="J814" s="43"/>
      <c r="K814" s="43"/>
      <c r="L814" s="2"/>
    </row>
    <row r="815" spans="1:12" ht="19.5" thickBot="1" x14ac:dyDescent="0.25">
      <c r="A815" s="7"/>
      <c r="B815" s="7" t="s">
        <v>0</v>
      </c>
      <c r="C815" s="7"/>
      <c r="D815" s="7" t="s">
        <v>15</v>
      </c>
      <c r="E815" s="2"/>
      <c r="F815" s="2"/>
      <c r="G815" s="1"/>
      <c r="H815" s="7" t="s">
        <v>1</v>
      </c>
      <c r="I815" s="1"/>
      <c r="J815" s="7" t="s">
        <v>15</v>
      </c>
      <c r="K815" s="2"/>
      <c r="L815" s="2"/>
    </row>
    <row r="816" spans="1:12" ht="14.25" thickBot="1" x14ac:dyDescent="0.2">
      <c r="A816" s="1"/>
      <c r="B816" s="3"/>
      <c r="C816" s="5" t="s">
        <v>2</v>
      </c>
      <c r="D816" s="3" t="s">
        <v>3</v>
      </c>
      <c r="E816" s="12" t="s">
        <v>4</v>
      </c>
      <c r="F816" s="3" t="s">
        <v>5</v>
      </c>
      <c r="G816" s="1"/>
      <c r="H816" s="3"/>
      <c r="I816" s="5" t="s">
        <v>2</v>
      </c>
      <c r="J816" s="3" t="s">
        <v>3</v>
      </c>
      <c r="K816" s="12" t="s">
        <v>4</v>
      </c>
      <c r="L816" s="3" t="s">
        <v>5</v>
      </c>
    </row>
    <row r="817" spans="1:13" ht="14.25" thickBot="1" x14ac:dyDescent="0.2">
      <c r="A817" s="1"/>
      <c r="B817" s="34" t="s">
        <v>11</v>
      </c>
      <c r="C817" s="35">
        <f>C811</f>
        <v>10</v>
      </c>
      <c r="D817" s="36">
        <f>D811</f>
        <v>9</v>
      </c>
      <c r="E817" s="35">
        <f>E811</f>
        <v>7</v>
      </c>
      <c r="F817" s="37">
        <f>SUM(C817:E817)</f>
        <v>26</v>
      </c>
      <c r="G817" s="28"/>
      <c r="H817" s="34"/>
      <c r="I817" s="35">
        <f>I811</f>
        <v>950</v>
      </c>
      <c r="J817" s="36">
        <f>J811</f>
        <v>607</v>
      </c>
      <c r="K817" s="35">
        <f>K811</f>
        <v>155</v>
      </c>
      <c r="L817" s="37">
        <f>SUM(I817:K817)</f>
        <v>1712</v>
      </c>
    </row>
    <row r="818" spans="1:13" x14ac:dyDescent="0.15">
      <c r="A818" s="1"/>
      <c r="B818" s="29" t="s">
        <v>7</v>
      </c>
      <c r="C818" s="20">
        <v>5</v>
      </c>
      <c r="D818" s="21"/>
      <c r="E818" s="20">
        <v>5</v>
      </c>
      <c r="F818" s="46">
        <f t="shared" ref="F818:F824" si="240">SUM(C818:E818)</f>
        <v>10</v>
      </c>
      <c r="G818" s="24">
        <v>45412</v>
      </c>
      <c r="H818" s="29"/>
      <c r="I818" s="20"/>
      <c r="J818" s="21"/>
      <c r="K818" s="20"/>
      <c r="L818" s="46">
        <f t="shared" ref="L818:L827" si="241">SUM(I818:K818)</f>
        <v>0</v>
      </c>
    </row>
    <row r="819" spans="1:13" x14ac:dyDescent="0.15">
      <c r="A819" s="1"/>
      <c r="B819" s="29" t="s">
        <v>7</v>
      </c>
      <c r="C819" s="20">
        <v>5</v>
      </c>
      <c r="D819" s="21">
        <v>5</v>
      </c>
      <c r="E819" s="20"/>
      <c r="F819" s="46">
        <f t="shared" si="240"/>
        <v>10</v>
      </c>
      <c r="G819" s="24">
        <v>45427</v>
      </c>
      <c r="H819" s="29"/>
      <c r="I819" s="20"/>
      <c r="J819" s="21"/>
      <c r="K819" s="20"/>
      <c r="L819" s="46">
        <f t="shared" si="241"/>
        <v>0</v>
      </c>
    </row>
    <row r="820" spans="1:13" x14ac:dyDescent="0.15">
      <c r="A820" s="1"/>
      <c r="B820" s="29" t="s">
        <v>7</v>
      </c>
      <c r="C820" s="20">
        <v>10</v>
      </c>
      <c r="D820" s="21">
        <v>10</v>
      </c>
      <c r="E820" s="20"/>
      <c r="F820" s="46">
        <f t="shared" si="240"/>
        <v>20</v>
      </c>
      <c r="G820" s="24">
        <v>45447</v>
      </c>
      <c r="H820" s="29"/>
      <c r="I820" s="20"/>
      <c r="J820" s="21"/>
      <c r="K820" s="20"/>
      <c r="L820" s="46">
        <f t="shared" si="241"/>
        <v>0</v>
      </c>
    </row>
    <row r="821" spans="1:13" x14ac:dyDescent="0.15">
      <c r="A821" s="1"/>
      <c r="B821" s="29" t="s">
        <v>7</v>
      </c>
      <c r="C821" s="20">
        <v>5</v>
      </c>
      <c r="D821" s="21">
        <v>5</v>
      </c>
      <c r="E821" s="20">
        <v>5</v>
      </c>
      <c r="F821" s="46">
        <f t="shared" si="240"/>
        <v>15</v>
      </c>
      <c r="G821" s="24">
        <v>45453</v>
      </c>
      <c r="H821" s="29"/>
      <c r="I821" s="20"/>
      <c r="J821" s="21"/>
      <c r="K821" s="20"/>
      <c r="L821" s="46">
        <f t="shared" si="241"/>
        <v>0</v>
      </c>
    </row>
    <row r="822" spans="1:13" x14ac:dyDescent="0.15">
      <c r="A822" s="1"/>
      <c r="B822" s="29" t="s">
        <v>7</v>
      </c>
      <c r="C822" s="20"/>
      <c r="D822" s="21"/>
      <c r="E822" s="20"/>
      <c r="F822" s="46">
        <f t="shared" si="240"/>
        <v>0</v>
      </c>
      <c r="G822" s="24"/>
      <c r="H822" s="29"/>
      <c r="I822" s="20"/>
      <c r="J822" s="21"/>
      <c r="K822" s="20"/>
      <c r="L822" s="46">
        <f t="shared" si="241"/>
        <v>0</v>
      </c>
    </row>
    <row r="823" spans="1:13" x14ac:dyDescent="0.15">
      <c r="A823" s="1"/>
      <c r="B823" s="29" t="s">
        <v>7</v>
      </c>
      <c r="C823" s="20"/>
      <c r="D823" s="21"/>
      <c r="E823" s="20"/>
      <c r="F823" s="46">
        <f t="shared" si="240"/>
        <v>0</v>
      </c>
      <c r="G823" s="24"/>
      <c r="H823" s="29"/>
      <c r="I823" s="20"/>
      <c r="J823" s="21"/>
      <c r="K823" s="20"/>
      <c r="L823" s="46">
        <f t="shared" si="241"/>
        <v>0</v>
      </c>
    </row>
    <row r="824" spans="1:13" x14ac:dyDescent="0.15">
      <c r="A824" s="1"/>
      <c r="B824" s="29" t="s">
        <v>7</v>
      </c>
      <c r="C824" s="20"/>
      <c r="D824" s="21"/>
      <c r="E824" s="20"/>
      <c r="F824" s="46">
        <f t="shared" si="240"/>
        <v>0</v>
      </c>
      <c r="G824" s="24"/>
      <c r="H824" s="29"/>
      <c r="I824" s="20"/>
      <c r="J824" s="21"/>
      <c r="K824" s="20"/>
      <c r="L824" s="46">
        <f t="shared" si="241"/>
        <v>0</v>
      </c>
    </row>
    <row r="825" spans="1:13" x14ac:dyDescent="0.15">
      <c r="A825" s="1"/>
      <c r="B825" s="29" t="s">
        <v>7</v>
      </c>
      <c r="C825" s="20"/>
      <c r="D825" s="21"/>
      <c r="E825" s="20"/>
      <c r="F825" s="46">
        <f t="shared" ref="F825:F827" si="242">SUM(C825:E825)</f>
        <v>0</v>
      </c>
      <c r="G825" s="24"/>
      <c r="H825" s="29"/>
      <c r="I825" s="20"/>
      <c r="J825" s="21"/>
      <c r="K825" s="20"/>
      <c r="L825" s="46">
        <f t="shared" si="241"/>
        <v>0</v>
      </c>
    </row>
    <row r="826" spans="1:13" x14ac:dyDescent="0.15">
      <c r="A826" s="1"/>
      <c r="B826" s="29" t="s">
        <v>7</v>
      </c>
      <c r="C826" s="20"/>
      <c r="D826" s="21"/>
      <c r="E826" s="20"/>
      <c r="F826" s="46">
        <f t="shared" si="242"/>
        <v>0</v>
      </c>
      <c r="G826" s="24"/>
      <c r="H826" s="29"/>
      <c r="I826" s="20"/>
      <c r="J826" s="21"/>
      <c r="K826" s="20"/>
      <c r="L826" s="46">
        <f t="shared" si="241"/>
        <v>0</v>
      </c>
    </row>
    <row r="827" spans="1:13" ht="14.25" thickBot="1" x14ac:dyDescent="0.2">
      <c r="A827" s="1"/>
      <c r="B827" s="29" t="s">
        <v>76</v>
      </c>
      <c r="C827" s="19">
        <v>-4</v>
      </c>
      <c r="D827" s="4">
        <v>1</v>
      </c>
      <c r="E827" s="19">
        <v>5</v>
      </c>
      <c r="F827" s="46">
        <f t="shared" si="242"/>
        <v>2</v>
      </c>
      <c r="G827" s="27">
        <v>45485</v>
      </c>
      <c r="H827" s="29"/>
      <c r="I827" s="19"/>
      <c r="J827" s="4"/>
      <c r="K827" s="19"/>
      <c r="L827" s="46">
        <f t="shared" si="241"/>
        <v>0</v>
      </c>
    </row>
    <row r="828" spans="1:13" ht="14.25" thickBot="1" x14ac:dyDescent="0.2">
      <c r="A828" s="1"/>
      <c r="B828" s="6" t="s">
        <v>8</v>
      </c>
      <c r="C828" s="44">
        <f>SUM(C817:C827)</f>
        <v>31</v>
      </c>
      <c r="D828" s="44">
        <f t="shared" ref="D828:F828" si="243">SUM(D817:D827)</f>
        <v>30</v>
      </c>
      <c r="E828" s="44">
        <f t="shared" si="243"/>
        <v>22</v>
      </c>
      <c r="F828" s="45">
        <f t="shared" si="243"/>
        <v>83</v>
      </c>
      <c r="G828" s="1"/>
      <c r="H828" s="6"/>
      <c r="I828" s="44">
        <f>SUM(I817:I827)</f>
        <v>950</v>
      </c>
      <c r="J828" s="44">
        <f t="shared" ref="J828:L828" si="244">SUM(J817:J827)</f>
        <v>607</v>
      </c>
      <c r="K828" s="44">
        <f t="shared" si="244"/>
        <v>155</v>
      </c>
      <c r="L828" s="45">
        <f t="shared" si="244"/>
        <v>1712</v>
      </c>
    </row>
    <row r="829" spans="1:13" x14ac:dyDescent="0.15">
      <c r="A829" s="1"/>
      <c r="B829" s="38" t="s">
        <v>25</v>
      </c>
      <c r="C829" s="16">
        <v>2</v>
      </c>
      <c r="D829" s="17"/>
      <c r="E829" s="18"/>
      <c r="F829" s="46">
        <f t="shared" ref="F829:F850" si="245">SUM(C829:E829)</f>
        <v>2</v>
      </c>
      <c r="G829" s="24">
        <v>45407</v>
      </c>
      <c r="H829" s="4" t="s">
        <v>24</v>
      </c>
      <c r="I829" s="9">
        <v>5</v>
      </c>
      <c r="J829" s="14"/>
      <c r="K829" s="13">
        <v>5</v>
      </c>
      <c r="L829" s="46">
        <f t="shared" ref="L829:L832" si="246">SUM(I829:K829)</f>
        <v>10</v>
      </c>
      <c r="M829" s="73">
        <v>45412</v>
      </c>
    </row>
    <row r="830" spans="1:13" x14ac:dyDescent="0.15">
      <c r="B830" s="38" t="s">
        <v>25</v>
      </c>
      <c r="C830" s="16">
        <v>2</v>
      </c>
      <c r="D830" s="17"/>
      <c r="E830" s="18">
        <v>1</v>
      </c>
      <c r="F830" s="46">
        <f t="shared" si="245"/>
        <v>3</v>
      </c>
      <c r="G830" s="24">
        <v>45408</v>
      </c>
      <c r="H830" s="4" t="s">
        <v>24</v>
      </c>
      <c r="I830" s="9">
        <v>5</v>
      </c>
      <c r="J830" s="14">
        <v>5</v>
      </c>
      <c r="K830" s="13"/>
      <c r="L830" s="46">
        <f t="shared" si="246"/>
        <v>10</v>
      </c>
      <c r="M830" s="73">
        <v>45427</v>
      </c>
    </row>
    <row r="831" spans="1:13" x14ac:dyDescent="0.15">
      <c r="B831" s="38" t="s">
        <v>25</v>
      </c>
      <c r="C831" s="16">
        <v>1</v>
      </c>
      <c r="D831" s="17"/>
      <c r="E831" s="18"/>
      <c r="F831" s="46">
        <f t="shared" si="245"/>
        <v>1</v>
      </c>
      <c r="G831" s="24">
        <v>45412</v>
      </c>
      <c r="H831" s="4" t="s">
        <v>24</v>
      </c>
      <c r="I831" s="9">
        <v>10</v>
      </c>
      <c r="J831" s="14">
        <v>10</v>
      </c>
      <c r="K831" s="13"/>
      <c r="L831" s="46">
        <f t="shared" si="246"/>
        <v>20</v>
      </c>
      <c r="M831" s="73">
        <v>45447</v>
      </c>
    </row>
    <row r="832" spans="1:13" x14ac:dyDescent="0.15">
      <c r="B832" s="38" t="s">
        <v>25</v>
      </c>
      <c r="C832" s="16">
        <v>1</v>
      </c>
      <c r="D832" s="17"/>
      <c r="E832" s="18"/>
      <c r="F832" s="46">
        <f t="shared" si="245"/>
        <v>1</v>
      </c>
      <c r="G832" s="24">
        <v>45413</v>
      </c>
      <c r="H832" s="4" t="s">
        <v>24</v>
      </c>
      <c r="I832" s="9">
        <v>5</v>
      </c>
      <c r="J832" s="14">
        <v>5</v>
      </c>
      <c r="K832" s="13">
        <v>5</v>
      </c>
      <c r="L832" s="46">
        <f t="shared" si="246"/>
        <v>15</v>
      </c>
      <c r="M832" s="73">
        <v>45453</v>
      </c>
    </row>
    <row r="833" spans="1:12" x14ac:dyDescent="0.15">
      <c r="B833" s="38" t="s">
        <v>25</v>
      </c>
      <c r="C833" s="16">
        <v>1</v>
      </c>
      <c r="D833" s="17">
        <v>1</v>
      </c>
      <c r="E833" s="18">
        <v>1</v>
      </c>
      <c r="F833" s="46">
        <f t="shared" si="245"/>
        <v>3</v>
      </c>
      <c r="G833" s="24">
        <v>45414</v>
      </c>
      <c r="H833" s="4"/>
      <c r="I833" s="9"/>
      <c r="J833" s="14"/>
      <c r="K833" s="13"/>
      <c r="L833" s="46">
        <f t="shared" ref="L833:L850" si="247">SUM(I833:K833)</f>
        <v>0</v>
      </c>
    </row>
    <row r="834" spans="1:12" x14ac:dyDescent="0.15">
      <c r="B834" s="38" t="s">
        <v>25</v>
      </c>
      <c r="C834" s="16">
        <v>2</v>
      </c>
      <c r="D834" s="17">
        <v>2</v>
      </c>
      <c r="E834" s="18"/>
      <c r="F834" s="46">
        <f t="shared" si="245"/>
        <v>4</v>
      </c>
      <c r="G834" s="24">
        <v>45419</v>
      </c>
      <c r="H834" s="4"/>
      <c r="I834" s="9"/>
      <c r="J834" s="14"/>
      <c r="K834" s="13"/>
      <c r="L834" s="46">
        <f t="shared" si="247"/>
        <v>0</v>
      </c>
    </row>
    <row r="835" spans="1:12" x14ac:dyDescent="0.15">
      <c r="B835" s="38" t="s">
        <v>25</v>
      </c>
      <c r="C835" s="16"/>
      <c r="D835" s="17">
        <v>1</v>
      </c>
      <c r="E835" s="18"/>
      <c r="F835" s="46">
        <f t="shared" si="245"/>
        <v>1</v>
      </c>
      <c r="G835" s="24">
        <v>45420</v>
      </c>
      <c r="H835" s="4"/>
      <c r="I835" s="9"/>
      <c r="J835" s="14"/>
      <c r="K835" s="13"/>
      <c r="L835" s="46">
        <f t="shared" si="247"/>
        <v>0</v>
      </c>
    </row>
    <row r="836" spans="1:12" x14ac:dyDescent="0.15">
      <c r="B836" s="38" t="s">
        <v>25</v>
      </c>
      <c r="C836" s="16"/>
      <c r="D836" s="17">
        <v>1</v>
      </c>
      <c r="E836" s="18"/>
      <c r="F836" s="46">
        <f t="shared" si="245"/>
        <v>1</v>
      </c>
      <c r="G836" s="24">
        <v>45421</v>
      </c>
      <c r="H836" s="4"/>
      <c r="I836" s="9"/>
      <c r="J836" s="14"/>
      <c r="K836" s="13"/>
      <c r="L836" s="46">
        <f t="shared" si="247"/>
        <v>0</v>
      </c>
    </row>
    <row r="837" spans="1:12" x14ac:dyDescent="0.15">
      <c r="B837" s="38" t="s">
        <v>25</v>
      </c>
      <c r="C837" s="16">
        <v>1</v>
      </c>
      <c r="D837" s="17"/>
      <c r="E837" s="18"/>
      <c r="F837" s="46">
        <f t="shared" si="245"/>
        <v>1</v>
      </c>
      <c r="G837" s="24">
        <v>45425</v>
      </c>
      <c r="H837" s="4"/>
      <c r="I837" s="9"/>
      <c r="J837" s="14"/>
      <c r="K837" s="13"/>
      <c r="L837" s="46">
        <f t="shared" si="247"/>
        <v>0</v>
      </c>
    </row>
    <row r="838" spans="1:12" x14ac:dyDescent="0.15">
      <c r="B838" s="38" t="s">
        <v>25</v>
      </c>
      <c r="C838" s="16">
        <v>1</v>
      </c>
      <c r="D838" s="17">
        <v>1</v>
      </c>
      <c r="E838" s="18"/>
      <c r="F838" s="46">
        <f t="shared" si="245"/>
        <v>2</v>
      </c>
      <c r="G838" s="24">
        <v>45432</v>
      </c>
      <c r="H838" s="4"/>
      <c r="I838" s="9"/>
      <c r="J838" s="14"/>
      <c r="K838" s="13"/>
      <c r="L838" s="46">
        <f t="shared" si="247"/>
        <v>0</v>
      </c>
    </row>
    <row r="839" spans="1:12" x14ac:dyDescent="0.15">
      <c r="B839" s="38" t="s">
        <v>25</v>
      </c>
      <c r="C839" s="16">
        <v>1</v>
      </c>
      <c r="D839" s="17"/>
      <c r="E839" s="18"/>
      <c r="F839" s="46">
        <f t="shared" si="245"/>
        <v>1</v>
      </c>
      <c r="G839" s="24">
        <v>45433</v>
      </c>
      <c r="H839" s="4"/>
      <c r="I839" s="9"/>
      <c r="J839" s="14"/>
      <c r="K839" s="13"/>
      <c r="L839" s="46">
        <f t="shared" si="247"/>
        <v>0</v>
      </c>
    </row>
    <row r="840" spans="1:12" x14ac:dyDescent="0.15">
      <c r="B840" s="38" t="s">
        <v>25</v>
      </c>
      <c r="C840" s="16">
        <v>1</v>
      </c>
      <c r="D840" s="17"/>
      <c r="E840" s="18"/>
      <c r="F840" s="46">
        <f t="shared" si="245"/>
        <v>1</v>
      </c>
      <c r="G840" s="24">
        <v>45436</v>
      </c>
      <c r="H840" s="4"/>
      <c r="I840" s="9"/>
      <c r="J840" s="14"/>
      <c r="K840" s="13"/>
      <c r="L840" s="46">
        <f t="shared" si="247"/>
        <v>0</v>
      </c>
    </row>
    <row r="841" spans="1:12" x14ac:dyDescent="0.15">
      <c r="B841" s="38" t="s">
        <v>25</v>
      </c>
      <c r="C841" s="16">
        <v>2</v>
      </c>
      <c r="D841" s="17"/>
      <c r="E841" s="18"/>
      <c r="F841" s="46">
        <f t="shared" si="245"/>
        <v>2</v>
      </c>
      <c r="G841" s="24">
        <v>45439</v>
      </c>
      <c r="H841" s="4"/>
      <c r="I841" s="9"/>
      <c r="J841" s="14"/>
      <c r="K841" s="13"/>
      <c r="L841" s="46">
        <f t="shared" si="247"/>
        <v>0</v>
      </c>
    </row>
    <row r="842" spans="1:12" x14ac:dyDescent="0.15">
      <c r="B842" s="38" t="s">
        <v>25</v>
      </c>
      <c r="C842" s="16"/>
      <c r="D842" s="17">
        <v>1</v>
      </c>
      <c r="E842" s="18"/>
      <c r="F842" s="46">
        <f t="shared" si="245"/>
        <v>1</v>
      </c>
      <c r="G842" s="24">
        <v>45443</v>
      </c>
      <c r="H842" s="4"/>
      <c r="I842" s="9"/>
      <c r="J842" s="14"/>
      <c r="K842" s="13"/>
      <c r="L842" s="46">
        <f t="shared" si="247"/>
        <v>0</v>
      </c>
    </row>
    <row r="843" spans="1:12" x14ac:dyDescent="0.15">
      <c r="B843" s="38" t="s">
        <v>25</v>
      </c>
      <c r="C843" s="16">
        <f>2+3</f>
        <v>5</v>
      </c>
      <c r="D843" s="17">
        <f>1+4</f>
        <v>5</v>
      </c>
      <c r="E843" s="18">
        <v>4</v>
      </c>
      <c r="F843" s="46">
        <f t="shared" si="245"/>
        <v>14</v>
      </c>
      <c r="G843" s="24">
        <v>45446</v>
      </c>
      <c r="H843" s="4"/>
      <c r="I843" s="9"/>
      <c r="J843" s="14"/>
      <c r="K843" s="13"/>
      <c r="L843" s="46">
        <f t="shared" si="247"/>
        <v>0</v>
      </c>
    </row>
    <row r="844" spans="1:12" x14ac:dyDescent="0.15">
      <c r="B844" s="38" t="s">
        <v>108</v>
      </c>
      <c r="C844" s="16">
        <v>1</v>
      </c>
      <c r="D844" s="17"/>
      <c r="E844" s="18"/>
      <c r="F844" s="46">
        <f t="shared" si="245"/>
        <v>1</v>
      </c>
      <c r="G844" s="24">
        <v>45448</v>
      </c>
      <c r="H844" s="4"/>
      <c r="I844" s="9"/>
      <c r="J844" s="14"/>
      <c r="K844" s="13"/>
      <c r="L844" s="46">
        <f t="shared" si="247"/>
        <v>0</v>
      </c>
    </row>
    <row r="845" spans="1:12" x14ac:dyDescent="0.15">
      <c r="B845" s="38" t="s">
        <v>25</v>
      </c>
      <c r="C845" s="16"/>
      <c r="D845" s="17">
        <v>1</v>
      </c>
      <c r="E845" s="18"/>
      <c r="F845" s="46">
        <f t="shared" si="245"/>
        <v>1</v>
      </c>
      <c r="G845" s="24">
        <v>45447</v>
      </c>
      <c r="H845" s="4"/>
      <c r="I845" s="9"/>
      <c r="J845" s="14"/>
      <c r="K845" s="13"/>
      <c r="L845" s="46">
        <f t="shared" si="247"/>
        <v>0</v>
      </c>
    </row>
    <row r="846" spans="1:12" x14ac:dyDescent="0.15">
      <c r="A846" s="1"/>
      <c r="B846" s="38" t="s">
        <v>25</v>
      </c>
      <c r="C846" s="16">
        <v>1</v>
      </c>
      <c r="D846" s="17">
        <f>1+1</f>
        <v>2</v>
      </c>
      <c r="E846" s="18"/>
      <c r="F846" s="46">
        <f t="shared" si="245"/>
        <v>3</v>
      </c>
      <c r="G846" s="24">
        <v>45448</v>
      </c>
      <c r="H846" s="4"/>
      <c r="I846" s="9"/>
      <c r="J846" s="14"/>
      <c r="K846" s="13"/>
      <c r="L846" s="46">
        <f t="shared" si="247"/>
        <v>0</v>
      </c>
    </row>
    <row r="847" spans="1:12" x14ac:dyDescent="0.15">
      <c r="A847" s="1"/>
      <c r="B847" s="38" t="s">
        <v>25</v>
      </c>
      <c r="C847" s="16">
        <v>2</v>
      </c>
      <c r="D847" s="17">
        <v>1</v>
      </c>
      <c r="E847" s="18"/>
      <c r="F847" s="46">
        <f t="shared" si="245"/>
        <v>3</v>
      </c>
      <c r="G847" s="24">
        <v>45449</v>
      </c>
      <c r="H847" s="4"/>
      <c r="I847" s="9"/>
      <c r="J847" s="14"/>
      <c r="K847" s="13"/>
      <c r="L847" s="46">
        <f t="shared" si="247"/>
        <v>0</v>
      </c>
    </row>
    <row r="848" spans="1:12" x14ac:dyDescent="0.15">
      <c r="A848" s="1"/>
      <c r="B848" s="38" t="s">
        <v>25</v>
      </c>
      <c r="C848" s="16">
        <v>1</v>
      </c>
      <c r="D848" s="17"/>
      <c r="E848" s="18">
        <v>1</v>
      </c>
      <c r="F848" s="46">
        <f t="shared" si="245"/>
        <v>2</v>
      </c>
      <c r="G848" s="24">
        <v>45450</v>
      </c>
      <c r="H848" s="4"/>
      <c r="I848" s="9"/>
      <c r="J848" s="14"/>
      <c r="K848" s="13"/>
      <c r="L848" s="46">
        <f t="shared" si="247"/>
        <v>0</v>
      </c>
    </row>
    <row r="849" spans="1:12" x14ac:dyDescent="0.15">
      <c r="A849" s="1"/>
      <c r="B849" s="38" t="s">
        <v>25</v>
      </c>
      <c r="C849" s="16">
        <f>1+1</f>
        <v>2</v>
      </c>
      <c r="D849" s="17">
        <v>1</v>
      </c>
      <c r="E849" s="18">
        <v>1</v>
      </c>
      <c r="F849" s="46">
        <f t="shared" si="245"/>
        <v>4</v>
      </c>
      <c r="G849" s="24">
        <v>45453</v>
      </c>
      <c r="H849" s="4"/>
      <c r="I849" s="9"/>
      <c r="J849" s="14"/>
      <c r="K849" s="13"/>
      <c r="L849" s="46">
        <f t="shared" si="247"/>
        <v>0</v>
      </c>
    </row>
    <row r="850" spans="1:12" x14ac:dyDescent="0.15">
      <c r="A850" s="1"/>
      <c r="B850" s="38" t="s">
        <v>25</v>
      </c>
      <c r="C850" s="16">
        <v>1</v>
      </c>
      <c r="D850" s="17"/>
      <c r="E850" s="18">
        <v>3</v>
      </c>
      <c r="F850" s="46">
        <f t="shared" si="245"/>
        <v>4</v>
      </c>
      <c r="G850" s="24">
        <v>45454</v>
      </c>
      <c r="H850" s="4"/>
      <c r="I850" s="9"/>
      <c r="J850" s="14"/>
      <c r="K850" s="13"/>
      <c r="L850" s="46">
        <f t="shared" si="247"/>
        <v>0</v>
      </c>
    </row>
    <row r="851" spans="1:12" x14ac:dyDescent="0.15">
      <c r="A851" s="1"/>
      <c r="B851" s="38" t="s">
        <v>25</v>
      </c>
      <c r="C851" s="16"/>
      <c r="D851" s="17">
        <v>2</v>
      </c>
      <c r="E851" s="18"/>
      <c r="F851" s="46">
        <f t="shared" ref="F851:F854" si="248">SUM(C851:E851)</f>
        <v>2</v>
      </c>
      <c r="G851" s="24">
        <v>45458</v>
      </c>
      <c r="H851" s="4"/>
      <c r="I851" s="9"/>
      <c r="J851" s="14"/>
      <c r="K851" s="13"/>
      <c r="L851" s="46">
        <f t="shared" ref="L851:L854" si="249">SUM(I851:K851)</f>
        <v>0</v>
      </c>
    </row>
    <row r="852" spans="1:12" ht="14.25" thickBot="1" x14ac:dyDescent="0.2">
      <c r="A852" s="1"/>
      <c r="B852" s="38" t="s">
        <v>25</v>
      </c>
      <c r="C852" s="16">
        <v>1</v>
      </c>
      <c r="D852" s="17"/>
      <c r="E852" s="18"/>
      <c r="F852" s="46">
        <f t="shared" si="248"/>
        <v>1</v>
      </c>
      <c r="G852" s="24">
        <v>45461</v>
      </c>
      <c r="H852" s="4"/>
      <c r="I852" s="9"/>
      <c r="J852" s="14"/>
      <c r="K852" s="13"/>
      <c r="L852" s="46">
        <f t="shared" si="249"/>
        <v>0</v>
      </c>
    </row>
    <row r="853" spans="1:12" ht="14.25" thickBot="1" x14ac:dyDescent="0.2">
      <c r="A853" s="1"/>
      <c r="B853" s="5" t="s">
        <v>9</v>
      </c>
      <c r="C853" s="10">
        <f>SUM(C829:C852)</f>
        <v>29</v>
      </c>
      <c r="D853" s="10">
        <f t="shared" ref="D853:E853" si="250">SUM(D829:D852)</f>
        <v>19</v>
      </c>
      <c r="E853" s="10">
        <f t="shared" si="250"/>
        <v>11</v>
      </c>
      <c r="F853" s="48">
        <f t="shared" si="248"/>
        <v>59</v>
      </c>
      <c r="G853" s="1"/>
      <c r="H853" s="5" t="s">
        <v>9</v>
      </c>
      <c r="I853" s="10">
        <f>SUM(I829:I852)</f>
        <v>25</v>
      </c>
      <c r="J853" s="10">
        <f t="shared" ref="J853:K853" si="251">SUM(J829:J852)</f>
        <v>20</v>
      </c>
      <c r="K853" s="10">
        <f t="shared" si="251"/>
        <v>10</v>
      </c>
      <c r="L853" s="48">
        <f t="shared" si="249"/>
        <v>55</v>
      </c>
    </row>
    <row r="854" spans="1:12" ht="14.25" thickBot="1" x14ac:dyDescent="0.2">
      <c r="A854" s="1"/>
      <c r="B854" s="8" t="s">
        <v>10</v>
      </c>
      <c r="C854" s="11">
        <f>C828-C853</f>
        <v>2</v>
      </c>
      <c r="D854" s="11">
        <f t="shared" ref="D854:E854" si="252">D828-D853</f>
        <v>11</v>
      </c>
      <c r="E854" s="11">
        <f t="shared" si="252"/>
        <v>11</v>
      </c>
      <c r="F854" s="37">
        <f t="shared" si="248"/>
        <v>24</v>
      </c>
      <c r="G854" s="1"/>
      <c r="H854" s="8" t="s">
        <v>10</v>
      </c>
      <c r="I854" s="11">
        <f>I828-I853</f>
        <v>925</v>
      </c>
      <c r="J854" s="11">
        <f t="shared" ref="J854:K854" si="253">J828-J853</f>
        <v>587</v>
      </c>
      <c r="K854" s="11">
        <f t="shared" si="253"/>
        <v>145</v>
      </c>
      <c r="L854" s="37">
        <f t="shared" si="249"/>
        <v>1657</v>
      </c>
    </row>
    <row r="857" spans="1:12" ht="18.75" x14ac:dyDescent="0.2">
      <c r="A857" s="41" t="s">
        <v>12</v>
      </c>
      <c r="B857" s="42"/>
      <c r="C857" s="41"/>
      <c r="D857" s="43"/>
      <c r="E857" s="43"/>
      <c r="F857" s="2"/>
      <c r="G857" s="1"/>
      <c r="H857" s="41" t="s">
        <v>12</v>
      </c>
      <c r="I857" s="41"/>
      <c r="J857" s="43"/>
      <c r="K857" s="43"/>
      <c r="L857" s="2"/>
    </row>
    <row r="858" spans="1:12" ht="19.5" thickBot="1" x14ac:dyDescent="0.25">
      <c r="A858" s="7"/>
      <c r="B858" s="7" t="s">
        <v>0</v>
      </c>
      <c r="C858" s="7"/>
      <c r="D858" s="7" t="s">
        <v>15</v>
      </c>
      <c r="E858" s="2"/>
      <c r="F858" s="2"/>
      <c r="G858" s="1"/>
      <c r="H858" s="7" t="s">
        <v>1</v>
      </c>
      <c r="I858" s="1"/>
      <c r="J858" s="7" t="s">
        <v>15</v>
      </c>
      <c r="K858" s="2"/>
      <c r="L858" s="2"/>
    </row>
    <row r="859" spans="1:12" ht="14.25" thickBot="1" x14ac:dyDescent="0.2">
      <c r="A859" s="1"/>
      <c r="B859" s="3"/>
      <c r="C859" s="5" t="s">
        <v>2</v>
      </c>
      <c r="D859" s="3" t="s">
        <v>3</v>
      </c>
      <c r="E859" s="12" t="s">
        <v>4</v>
      </c>
      <c r="F859" s="3" t="s">
        <v>5</v>
      </c>
      <c r="G859" s="1"/>
      <c r="H859" s="3"/>
      <c r="I859" s="5" t="s">
        <v>2</v>
      </c>
      <c r="J859" s="3" t="s">
        <v>3</v>
      </c>
      <c r="K859" s="12" t="s">
        <v>4</v>
      </c>
      <c r="L859" s="3" t="s">
        <v>5</v>
      </c>
    </row>
    <row r="860" spans="1:12" ht="14.25" thickBot="1" x14ac:dyDescent="0.2">
      <c r="A860" s="1"/>
      <c r="B860" s="34" t="s">
        <v>11</v>
      </c>
      <c r="C860" s="35">
        <f>C854</f>
        <v>2</v>
      </c>
      <c r="D860" s="36">
        <f>D854</f>
        <v>11</v>
      </c>
      <c r="E860" s="35">
        <f>E854</f>
        <v>11</v>
      </c>
      <c r="F860" s="37">
        <f>SUM(C860:E860)</f>
        <v>24</v>
      </c>
      <c r="G860" s="28"/>
      <c r="H860" s="34"/>
      <c r="I860" s="35">
        <f>I854</f>
        <v>925</v>
      </c>
      <c r="J860" s="36">
        <f>J854</f>
        <v>587</v>
      </c>
      <c r="K860" s="35">
        <f>K854</f>
        <v>145</v>
      </c>
      <c r="L860" s="37">
        <f>SUM(I860:K860)</f>
        <v>1657</v>
      </c>
    </row>
    <row r="861" spans="1:12" x14ac:dyDescent="0.15">
      <c r="A861" s="1"/>
      <c r="B861" s="29" t="s">
        <v>7</v>
      </c>
      <c r="C861" s="20">
        <v>6</v>
      </c>
      <c r="D861" s="21"/>
      <c r="E861" s="20">
        <v>5</v>
      </c>
      <c r="F861" s="46">
        <f t="shared" ref="F861:F866" si="254">SUM(C861:E861)</f>
        <v>11</v>
      </c>
      <c r="G861" s="24">
        <v>45467</v>
      </c>
      <c r="H861" s="29"/>
      <c r="I861" s="20"/>
      <c r="J861" s="21"/>
      <c r="K861" s="20"/>
      <c r="L861" s="46">
        <f t="shared" ref="L861:L870" si="255">SUM(I861:K861)</f>
        <v>0</v>
      </c>
    </row>
    <row r="862" spans="1:12" x14ac:dyDescent="0.15">
      <c r="A862" s="1"/>
      <c r="B862" s="29" t="s">
        <v>7</v>
      </c>
      <c r="C862" s="20">
        <v>5</v>
      </c>
      <c r="D862" s="21">
        <v>5</v>
      </c>
      <c r="E862" s="20"/>
      <c r="F862" s="46">
        <f t="shared" si="254"/>
        <v>10</v>
      </c>
      <c r="G862" s="24">
        <v>45477</v>
      </c>
      <c r="H862" s="29"/>
      <c r="I862" s="20"/>
      <c r="J862" s="21"/>
      <c r="K862" s="20"/>
      <c r="L862" s="46">
        <f t="shared" si="255"/>
        <v>0</v>
      </c>
    </row>
    <row r="863" spans="1:12" x14ac:dyDescent="0.15">
      <c r="A863" s="26"/>
      <c r="B863" s="29" t="s">
        <v>7</v>
      </c>
      <c r="C863" s="20">
        <v>5</v>
      </c>
      <c r="D863" s="21">
        <v>5</v>
      </c>
      <c r="E863" s="20">
        <v>5</v>
      </c>
      <c r="F863" s="46">
        <f t="shared" si="254"/>
        <v>15</v>
      </c>
      <c r="G863" s="24">
        <v>45483</v>
      </c>
      <c r="H863" s="29"/>
      <c r="I863" s="20"/>
      <c r="J863" s="21"/>
      <c r="K863" s="20"/>
      <c r="L863" s="46">
        <f t="shared" si="255"/>
        <v>0</v>
      </c>
    </row>
    <row r="864" spans="1:12" x14ac:dyDescent="0.15">
      <c r="A864" s="1"/>
      <c r="B864" s="29" t="s">
        <v>7</v>
      </c>
      <c r="C864" s="20">
        <v>10</v>
      </c>
      <c r="D864" s="21">
        <v>5</v>
      </c>
      <c r="E864" s="20"/>
      <c r="F864" s="46">
        <f t="shared" si="254"/>
        <v>15</v>
      </c>
      <c r="G864" s="24">
        <v>45489</v>
      </c>
      <c r="H864" s="29"/>
      <c r="I864" s="20"/>
      <c r="J864" s="21"/>
      <c r="K864" s="20"/>
      <c r="L864" s="46">
        <f t="shared" si="255"/>
        <v>0</v>
      </c>
    </row>
    <row r="865" spans="1:14" x14ac:dyDescent="0.15">
      <c r="A865" s="1"/>
      <c r="B865" s="29" t="s">
        <v>7</v>
      </c>
      <c r="C865" s="20">
        <v>10</v>
      </c>
      <c r="D865" s="21">
        <v>5</v>
      </c>
      <c r="E865" s="20">
        <v>5</v>
      </c>
      <c r="F865" s="46">
        <f t="shared" si="254"/>
        <v>20</v>
      </c>
      <c r="G865" s="24">
        <v>45512</v>
      </c>
      <c r="H865" s="29"/>
      <c r="I865" s="20"/>
      <c r="J865" s="21"/>
      <c r="K865" s="20"/>
      <c r="L865" s="46">
        <f t="shared" si="255"/>
        <v>0</v>
      </c>
    </row>
    <row r="866" spans="1:14" x14ac:dyDescent="0.15">
      <c r="A866" s="1"/>
      <c r="B866" s="29" t="s">
        <v>7</v>
      </c>
      <c r="C866" s="20"/>
      <c r="D866" s="21"/>
      <c r="E866" s="20"/>
      <c r="F866" s="46">
        <f t="shared" si="254"/>
        <v>0</v>
      </c>
      <c r="G866" s="24"/>
      <c r="H866" s="29"/>
      <c r="I866" s="20"/>
      <c r="J866" s="21"/>
      <c r="K866" s="20"/>
      <c r="L866" s="46">
        <f t="shared" si="255"/>
        <v>0</v>
      </c>
    </row>
    <row r="867" spans="1:14" x14ac:dyDescent="0.15">
      <c r="A867" s="1"/>
      <c r="B867" s="29" t="s">
        <v>7</v>
      </c>
      <c r="C867" s="20"/>
      <c r="D867" s="21"/>
      <c r="E867" s="20"/>
      <c r="F867" s="46">
        <f t="shared" ref="F867:F869" si="256">SUM(C867:E867)</f>
        <v>0</v>
      </c>
      <c r="G867" s="24"/>
      <c r="H867" s="29"/>
      <c r="I867" s="20"/>
      <c r="J867" s="21"/>
      <c r="K867" s="20"/>
      <c r="L867" s="46">
        <f t="shared" si="255"/>
        <v>0</v>
      </c>
    </row>
    <row r="868" spans="1:14" x14ac:dyDescent="0.15">
      <c r="A868" s="1"/>
      <c r="B868" s="29" t="s">
        <v>7</v>
      </c>
      <c r="C868" s="20"/>
      <c r="D868" s="21"/>
      <c r="E868" s="20"/>
      <c r="F868" s="46">
        <f t="shared" si="256"/>
        <v>0</v>
      </c>
      <c r="G868" s="24"/>
      <c r="H868" s="29"/>
      <c r="I868" s="20"/>
      <c r="J868" s="21"/>
      <c r="K868" s="20"/>
      <c r="L868" s="46">
        <f t="shared" si="255"/>
        <v>0</v>
      </c>
    </row>
    <row r="869" spans="1:14" x14ac:dyDescent="0.15">
      <c r="A869" s="1"/>
      <c r="B869" s="29" t="s">
        <v>7</v>
      </c>
      <c r="C869" s="20"/>
      <c r="D869" s="21"/>
      <c r="E869" s="20"/>
      <c r="F869" s="46">
        <f t="shared" si="256"/>
        <v>0</v>
      </c>
      <c r="G869" s="24"/>
      <c r="H869" s="29"/>
      <c r="I869" s="20"/>
      <c r="J869" s="21"/>
      <c r="K869" s="20"/>
      <c r="L869" s="46">
        <f t="shared" si="255"/>
        <v>0</v>
      </c>
    </row>
    <row r="870" spans="1:14" ht="14.25" thickBot="1" x14ac:dyDescent="0.2">
      <c r="A870" s="1"/>
      <c r="B870" s="29" t="s">
        <v>7</v>
      </c>
      <c r="C870" s="20"/>
      <c r="D870" s="21"/>
      <c r="E870" s="20"/>
      <c r="F870" s="46">
        <f t="shared" ref="F870" si="257">SUM(C870:E870)</f>
        <v>0</v>
      </c>
      <c r="G870" s="24"/>
      <c r="H870" s="29"/>
      <c r="I870" s="19"/>
      <c r="J870" s="4"/>
      <c r="K870" s="19"/>
      <c r="L870" s="46">
        <f t="shared" si="255"/>
        <v>0</v>
      </c>
    </row>
    <row r="871" spans="1:14" ht="14.25" thickBot="1" x14ac:dyDescent="0.2">
      <c r="A871" s="1"/>
      <c r="B871" s="6" t="s">
        <v>8</v>
      </c>
      <c r="C871" s="44">
        <f>SUM(C860:C870)</f>
        <v>38</v>
      </c>
      <c r="D871" s="44">
        <f t="shared" ref="D871:F871" si="258">SUM(D860:D870)</f>
        <v>31</v>
      </c>
      <c r="E871" s="44">
        <f t="shared" si="258"/>
        <v>26</v>
      </c>
      <c r="F871" s="45">
        <f t="shared" si="258"/>
        <v>95</v>
      </c>
      <c r="G871" s="1"/>
      <c r="H871" s="6"/>
      <c r="I871" s="44">
        <f>SUM(I860:I870)</f>
        <v>925</v>
      </c>
      <c r="J871" s="44">
        <f t="shared" ref="J871:L871" si="259">SUM(J860:J870)</f>
        <v>587</v>
      </c>
      <c r="K871" s="44">
        <f t="shared" si="259"/>
        <v>145</v>
      </c>
      <c r="L871" s="45">
        <f t="shared" si="259"/>
        <v>1657</v>
      </c>
    </row>
    <row r="872" spans="1:14" x14ac:dyDescent="0.15">
      <c r="A872" s="1"/>
      <c r="B872" s="38" t="s">
        <v>25</v>
      </c>
      <c r="C872" s="16">
        <v>1</v>
      </c>
      <c r="D872" s="17"/>
      <c r="E872" s="18"/>
      <c r="F872" s="46">
        <f t="shared" ref="F872:F891" si="260">SUM(C872:E872)</f>
        <v>1</v>
      </c>
      <c r="G872" s="24">
        <v>45462</v>
      </c>
      <c r="H872" s="4" t="s">
        <v>24</v>
      </c>
      <c r="I872" s="9">
        <v>6</v>
      </c>
      <c r="J872" s="14"/>
      <c r="K872" s="13">
        <v>5</v>
      </c>
      <c r="L872" s="46">
        <f t="shared" ref="L872:L876" si="261">SUM(I872:K872)</f>
        <v>11</v>
      </c>
      <c r="M872" s="73">
        <v>45467</v>
      </c>
      <c r="N872" s="54"/>
    </row>
    <row r="873" spans="1:14" x14ac:dyDescent="0.15">
      <c r="B873" s="38" t="s">
        <v>25</v>
      </c>
      <c r="C873" s="16">
        <f>2+2</f>
        <v>4</v>
      </c>
      <c r="D873" s="17">
        <f>1+1</f>
        <v>2</v>
      </c>
      <c r="E873" s="18">
        <f>2+1</f>
        <v>3</v>
      </c>
      <c r="F873" s="46">
        <f t="shared" si="260"/>
        <v>9</v>
      </c>
      <c r="G873" s="24">
        <v>45467</v>
      </c>
      <c r="H873" s="4" t="s">
        <v>24</v>
      </c>
      <c r="I873" s="9">
        <v>5</v>
      </c>
      <c r="J873" s="14">
        <v>5</v>
      </c>
      <c r="K873" s="13"/>
      <c r="L873" s="46">
        <f t="shared" si="261"/>
        <v>10</v>
      </c>
      <c r="M873" s="73">
        <v>45477</v>
      </c>
      <c r="N873" s="54"/>
    </row>
    <row r="874" spans="1:14" x14ac:dyDescent="0.15">
      <c r="B874" s="38" t="s">
        <v>25</v>
      </c>
      <c r="C874" s="16"/>
      <c r="D874" s="17">
        <v>1</v>
      </c>
      <c r="E874" s="18"/>
      <c r="F874" s="46">
        <f t="shared" si="260"/>
        <v>1</v>
      </c>
      <c r="G874" s="24">
        <v>45469</v>
      </c>
      <c r="H874" s="4" t="s">
        <v>24</v>
      </c>
      <c r="I874" s="9">
        <v>5</v>
      </c>
      <c r="J874" s="14">
        <v>5</v>
      </c>
      <c r="K874" s="13">
        <v>5</v>
      </c>
      <c r="L874" s="46">
        <f t="shared" si="261"/>
        <v>15</v>
      </c>
      <c r="M874" s="73">
        <v>45483</v>
      </c>
      <c r="N874" s="54"/>
    </row>
    <row r="875" spans="1:14" x14ac:dyDescent="0.15">
      <c r="B875" s="38" t="s">
        <v>25</v>
      </c>
      <c r="C875" s="16"/>
      <c r="D875" s="17">
        <v>2</v>
      </c>
      <c r="E875" s="18"/>
      <c r="F875" s="46">
        <f t="shared" si="260"/>
        <v>2</v>
      </c>
      <c r="G875" s="24">
        <v>45474</v>
      </c>
      <c r="H875" s="4" t="s">
        <v>24</v>
      </c>
      <c r="I875" s="9">
        <v>10</v>
      </c>
      <c r="J875" s="14">
        <v>5</v>
      </c>
      <c r="K875" s="13"/>
      <c r="L875" s="46">
        <f t="shared" si="261"/>
        <v>15</v>
      </c>
      <c r="M875" s="73">
        <v>45489</v>
      </c>
    </row>
    <row r="876" spans="1:14" x14ac:dyDescent="0.15">
      <c r="B876" s="38" t="s">
        <v>25</v>
      </c>
      <c r="C876" s="16">
        <v>3</v>
      </c>
      <c r="D876" s="17">
        <v>2</v>
      </c>
      <c r="E876" s="18"/>
      <c r="F876" s="46">
        <f t="shared" si="260"/>
        <v>5</v>
      </c>
      <c r="G876" s="24">
        <v>45475</v>
      </c>
      <c r="H876" s="4" t="s">
        <v>24</v>
      </c>
      <c r="I876" s="9">
        <v>10</v>
      </c>
      <c r="J876" s="14">
        <v>5</v>
      </c>
      <c r="K876" s="13">
        <v>5</v>
      </c>
      <c r="L876" s="46">
        <f t="shared" si="261"/>
        <v>20</v>
      </c>
      <c r="M876" s="73">
        <v>45512</v>
      </c>
    </row>
    <row r="877" spans="1:14" x14ac:dyDescent="0.15">
      <c r="B877" s="38" t="s">
        <v>25</v>
      </c>
      <c r="C877" s="16"/>
      <c r="D877" s="17"/>
      <c r="E877" s="18">
        <v>1</v>
      </c>
      <c r="F877" s="46">
        <f t="shared" si="260"/>
        <v>1</v>
      </c>
      <c r="G877" s="24">
        <v>45476</v>
      </c>
      <c r="H877" s="4"/>
      <c r="I877" s="9"/>
      <c r="J877" s="14"/>
      <c r="K877" s="13"/>
      <c r="L877" s="46">
        <f t="shared" ref="L877:L888" si="262">SUM(I877:K877)</f>
        <v>0</v>
      </c>
      <c r="M877" s="54"/>
    </row>
    <row r="878" spans="1:14" x14ac:dyDescent="0.15">
      <c r="B878" s="38" t="s">
        <v>25</v>
      </c>
      <c r="C878" s="16">
        <v>2</v>
      </c>
      <c r="D878" s="17">
        <v>1</v>
      </c>
      <c r="E878" s="18"/>
      <c r="F878" s="46">
        <f t="shared" si="260"/>
        <v>3</v>
      </c>
      <c r="G878" s="24">
        <v>45478</v>
      </c>
      <c r="H878" s="4"/>
      <c r="I878" s="9"/>
      <c r="J878" s="14"/>
      <c r="K878" s="13"/>
      <c r="L878" s="46">
        <f t="shared" si="262"/>
        <v>0</v>
      </c>
    </row>
    <row r="879" spans="1:14" x14ac:dyDescent="0.15">
      <c r="B879" s="38" t="s">
        <v>25</v>
      </c>
      <c r="C879" s="16">
        <v>1</v>
      </c>
      <c r="D879" s="17">
        <v>2</v>
      </c>
      <c r="E879" s="18"/>
      <c r="F879" s="46">
        <f t="shared" si="260"/>
        <v>3</v>
      </c>
      <c r="G879" s="24">
        <v>45479</v>
      </c>
      <c r="H879" s="4"/>
      <c r="I879" s="9"/>
      <c r="J879" s="14"/>
      <c r="K879" s="13"/>
      <c r="L879" s="46">
        <f t="shared" si="262"/>
        <v>0</v>
      </c>
    </row>
    <row r="880" spans="1:14" x14ac:dyDescent="0.15">
      <c r="B880" s="38" t="s">
        <v>25</v>
      </c>
      <c r="C880" s="16"/>
      <c r="D880" s="17">
        <v>1</v>
      </c>
      <c r="E880" s="18">
        <f>1+1</f>
        <v>2</v>
      </c>
      <c r="F880" s="46">
        <f t="shared" si="260"/>
        <v>3</v>
      </c>
      <c r="G880" s="24">
        <v>45481</v>
      </c>
      <c r="H880" s="4"/>
      <c r="I880" s="9"/>
      <c r="J880" s="14"/>
      <c r="K880" s="13"/>
      <c r="L880" s="46">
        <f t="shared" si="262"/>
        <v>0</v>
      </c>
    </row>
    <row r="881" spans="1:12" x14ac:dyDescent="0.15">
      <c r="B881" s="38" t="s">
        <v>25</v>
      </c>
      <c r="C881" s="16">
        <v>1</v>
      </c>
      <c r="D881" s="17">
        <v>2</v>
      </c>
      <c r="E881" s="18"/>
      <c r="F881" s="46">
        <f t="shared" si="260"/>
        <v>3</v>
      </c>
      <c r="G881" s="24">
        <v>45482</v>
      </c>
      <c r="H881" s="4"/>
      <c r="I881" s="9"/>
      <c r="J881" s="14"/>
      <c r="K881" s="13"/>
      <c r="L881" s="46">
        <f t="shared" si="262"/>
        <v>0</v>
      </c>
    </row>
    <row r="882" spans="1:12" x14ac:dyDescent="0.15">
      <c r="B882" s="38" t="s">
        <v>25</v>
      </c>
      <c r="C882" s="16">
        <v>1</v>
      </c>
      <c r="D882" s="17">
        <v>1</v>
      </c>
      <c r="E882" s="18">
        <v>1</v>
      </c>
      <c r="F882" s="46">
        <f t="shared" si="260"/>
        <v>3</v>
      </c>
      <c r="G882" s="24">
        <v>45483</v>
      </c>
      <c r="H882" s="4"/>
      <c r="I882" s="9"/>
      <c r="J882" s="14"/>
      <c r="K882" s="13"/>
      <c r="L882" s="46">
        <f t="shared" si="262"/>
        <v>0</v>
      </c>
    </row>
    <row r="883" spans="1:12" x14ac:dyDescent="0.15">
      <c r="B883" s="38" t="s">
        <v>25</v>
      </c>
      <c r="C883" s="16">
        <v>2</v>
      </c>
      <c r="D883" s="17">
        <v>1</v>
      </c>
      <c r="E883" s="18">
        <v>1</v>
      </c>
      <c r="F883" s="46">
        <f t="shared" si="260"/>
        <v>4</v>
      </c>
      <c r="G883" s="24">
        <v>45484</v>
      </c>
      <c r="H883" s="4"/>
      <c r="I883" s="9"/>
      <c r="J883" s="14"/>
      <c r="K883" s="13"/>
      <c r="L883" s="46">
        <f t="shared" si="262"/>
        <v>0</v>
      </c>
    </row>
    <row r="884" spans="1:12" x14ac:dyDescent="0.15">
      <c r="B884" s="38" t="s">
        <v>25</v>
      </c>
      <c r="C884" s="16">
        <v>1</v>
      </c>
      <c r="D884" s="17"/>
      <c r="E884" s="18"/>
      <c r="F884" s="46">
        <f t="shared" si="260"/>
        <v>1</v>
      </c>
      <c r="G884" s="24">
        <v>45489</v>
      </c>
      <c r="H884" s="4"/>
      <c r="I884" s="9"/>
      <c r="J884" s="14"/>
      <c r="K884" s="13"/>
      <c r="L884" s="46">
        <f t="shared" si="262"/>
        <v>0</v>
      </c>
    </row>
    <row r="885" spans="1:12" x14ac:dyDescent="0.15">
      <c r="B885" s="38" t="s">
        <v>109</v>
      </c>
      <c r="C885" s="16"/>
      <c r="D885" s="17"/>
      <c r="E885" s="18">
        <v>1</v>
      </c>
      <c r="F885" s="46">
        <f t="shared" si="260"/>
        <v>1</v>
      </c>
      <c r="G885" s="24">
        <v>45490</v>
      </c>
      <c r="H885" s="4"/>
      <c r="I885" s="9"/>
      <c r="J885" s="14"/>
      <c r="K885" s="13"/>
      <c r="L885" s="46">
        <f t="shared" si="262"/>
        <v>0</v>
      </c>
    </row>
    <row r="886" spans="1:12" x14ac:dyDescent="0.15">
      <c r="B886" s="38" t="s">
        <v>25</v>
      </c>
      <c r="C886" s="16">
        <v>1</v>
      </c>
      <c r="D886" s="17"/>
      <c r="E886" s="18"/>
      <c r="F886" s="46">
        <f t="shared" si="260"/>
        <v>1</v>
      </c>
      <c r="G886" s="24">
        <v>45496</v>
      </c>
      <c r="H886" s="4"/>
      <c r="I886" s="9"/>
      <c r="J886" s="14"/>
      <c r="K886" s="13"/>
      <c r="L886" s="46">
        <f t="shared" si="262"/>
        <v>0</v>
      </c>
    </row>
    <row r="887" spans="1:12" x14ac:dyDescent="0.15">
      <c r="B887" s="38" t="s">
        <v>25</v>
      </c>
      <c r="C887" s="16">
        <v>4</v>
      </c>
      <c r="D887" s="17">
        <v>1</v>
      </c>
      <c r="E887" s="18"/>
      <c r="F887" s="46">
        <f t="shared" si="260"/>
        <v>5</v>
      </c>
      <c r="G887" s="24">
        <v>45499</v>
      </c>
      <c r="H887" s="4"/>
      <c r="I887" s="9"/>
      <c r="J887" s="14"/>
      <c r="K887" s="13"/>
      <c r="L887" s="46">
        <f t="shared" si="262"/>
        <v>0</v>
      </c>
    </row>
    <row r="888" spans="1:12" x14ac:dyDescent="0.15">
      <c r="B888" s="38" t="s">
        <v>25</v>
      </c>
      <c r="C888" s="16"/>
      <c r="D888" s="17">
        <v>2</v>
      </c>
      <c r="E888" s="18"/>
      <c r="F888" s="46">
        <f t="shared" si="260"/>
        <v>2</v>
      </c>
      <c r="G888" s="24">
        <v>45502</v>
      </c>
      <c r="H888" s="4"/>
      <c r="I888" s="9"/>
      <c r="J888" s="14"/>
      <c r="K888" s="13"/>
      <c r="L888" s="46">
        <f t="shared" si="262"/>
        <v>0</v>
      </c>
    </row>
    <row r="889" spans="1:12" x14ac:dyDescent="0.15">
      <c r="A889" s="1"/>
      <c r="B889" s="38" t="s">
        <v>25</v>
      </c>
      <c r="C889" s="16"/>
      <c r="D889" s="17"/>
      <c r="E889" s="18">
        <v>2</v>
      </c>
      <c r="F889" s="46">
        <f t="shared" si="260"/>
        <v>2</v>
      </c>
      <c r="G889" s="24">
        <v>45503</v>
      </c>
      <c r="H889" s="4"/>
      <c r="I889" s="9"/>
      <c r="J889" s="14"/>
      <c r="K889" s="13"/>
      <c r="L889" s="46">
        <f t="shared" ref="L889:L895" si="263">SUM(I889:K889)</f>
        <v>0</v>
      </c>
    </row>
    <row r="890" spans="1:12" x14ac:dyDescent="0.15">
      <c r="A890" s="1"/>
      <c r="B890" s="38" t="s">
        <v>25</v>
      </c>
      <c r="C890" s="16">
        <v>1</v>
      </c>
      <c r="D890" s="17"/>
      <c r="E890" s="18"/>
      <c r="F890" s="46">
        <f t="shared" si="260"/>
        <v>1</v>
      </c>
      <c r="G890" s="24">
        <v>45504</v>
      </c>
      <c r="H890" s="4"/>
      <c r="I890" s="9"/>
      <c r="J890" s="14"/>
      <c r="K890" s="13"/>
      <c r="L890" s="46">
        <f t="shared" si="263"/>
        <v>0</v>
      </c>
    </row>
    <row r="891" spans="1:12" x14ac:dyDescent="0.15">
      <c r="A891" s="1"/>
      <c r="B891" s="38" t="s">
        <v>25</v>
      </c>
      <c r="C891" s="16"/>
      <c r="D891" s="17">
        <v>1</v>
      </c>
      <c r="E891" s="18"/>
      <c r="F891" s="46">
        <f t="shared" si="260"/>
        <v>1</v>
      </c>
      <c r="G891" s="24">
        <v>45505</v>
      </c>
      <c r="H891" s="4"/>
      <c r="I891" s="9"/>
      <c r="J891" s="14"/>
      <c r="K891" s="13"/>
      <c r="L891" s="46">
        <f t="shared" si="263"/>
        <v>0</v>
      </c>
    </row>
    <row r="892" spans="1:12" x14ac:dyDescent="0.15">
      <c r="A892" s="1"/>
      <c r="B892" s="38" t="s">
        <v>25</v>
      </c>
      <c r="C892" s="16">
        <v>2</v>
      </c>
      <c r="D892" s="17"/>
      <c r="E892" s="18">
        <v>1</v>
      </c>
      <c r="F892" s="46">
        <f t="shared" ref="F892:F897" si="264">SUM(C892:E892)</f>
        <v>3</v>
      </c>
      <c r="G892" s="24">
        <v>45507</v>
      </c>
      <c r="H892" s="4"/>
      <c r="I892" s="9"/>
      <c r="J892" s="14"/>
      <c r="K892" s="13"/>
      <c r="L892" s="46">
        <f t="shared" si="263"/>
        <v>0</v>
      </c>
    </row>
    <row r="893" spans="1:12" x14ac:dyDescent="0.15">
      <c r="A893" s="26"/>
      <c r="B893" s="38" t="s">
        <v>25</v>
      </c>
      <c r="C893" s="16">
        <v>1</v>
      </c>
      <c r="D893" s="17"/>
      <c r="E893" s="18">
        <f>1+1</f>
        <v>2</v>
      </c>
      <c r="F893" s="46">
        <f t="shared" si="264"/>
        <v>3</v>
      </c>
      <c r="G893" s="24">
        <v>45509</v>
      </c>
      <c r="H893" s="4"/>
      <c r="I893" s="9"/>
      <c r="J893" s="14"/>
      <c r="K893" s="13"/>
      <c r="L893" s="46">
        <f t="shared" si="263"/>
        <v>0</v>
      </c>
    </row>
    <row r="894" spans="1:12" x14ac:dyDescent="0.15">
      <c r="A894" s="26"/>
      <c r="B894" s="38" t="s">
        <v>89</v>
      </c>
      <c r="C894" s="16"/>
      <c r="D894" s="17"/>
      <c r="E894" s="18">
        <v>1</v>
      </c>
      <c r="F894" s="46">
        <f t="shared" si="264"/>
        <v>1</v>
      </c>
      <c r="G894" s="24">
        <v>45511</v>
      </c>
      <c r="H894" s="4"/>
      <c r="I894" s="9"/>
      <c r="J894" s="14"/>
      <c r="K894" s="13"/>
      <c r="L894" s="46">
        <f t="shared" si="263"/>
        <v>0</v>
      </c>
    </row>
    <row r="895" spans="1:12" ht="14.25" thickBot="1" x14ac:dyDescent="0.2">
      <c r="A895" s="1"/>
      <c r="B895" s="38" t="s">
        <v>25</v>
      </c>
      <c r="C895" s="16">
        <v>1</v>
      </c>
      <c r="D895" s="17">
        <v>1</v>
      </c>
      <c r="E895" s="18">
        <v>1</v>
      </c>
      <c r="F895" s="46">
        <f t="shared" si="264"/>
        <v>3</v>
      </c>
      <c r="G895" s="24">
        <v>45511</v>
      </c>
      <c r="H895" s="4"/>
      <c r="I895" s="9"/>
      <c r="J895" s="14"/>
      <c r="K895" s="13"/>
      <c r="L895" s="46">
        <f t="shared" si="263"/>
        <v>0</v>
      </c>
    </row>
    <row r="896" spans="1:12" ht="14.25" thickBot="1" x14ac:dyDescent="0.2">
      <c r="A896" s="1"/>
      <c r="B896" s="5" t="s">
        <v>9</v>
      </c>
      <c r="C896" s="10">
        <f>SUM(C872:C895)</f>
        <v>26</v>
      </c>
      <c r="D896" s="10">
        <f t="shared" ref="D896:E896" si="265">SUM(D872:D895)</f>
        <v>20</v>
      </c>
      <c r="E896" s="10">
        <f t="shared" si="265"/>
        <v>16</v>
      </c>
      <c r="F896" s="48">
        <f t="shared" si="264"/>
        <v>62</v>
      </c>
      <c r="G896" s="1"/>
      <c r="H896" s="5" t="s">
        <v>9</v>
      </c>
      <c r="I896" s="10">
        <f>SUM(I872:I895)</f>
        <v>36</v>
      </c>
      <c r="J896" s="10">
        <f t="shared" ref="J896:K896" si="266">SUM(J872:J895)</f>
        <v>20</v>
      </c>
      <c r="K896" s="10">
        <f t="shared" si="266"/>
        <v>15</v>
      </c>
      <c r="L896" s="48">
        <f t="shared" ref="L896:L897" si="267">SUM(I896:K896)</f>
        <v>71</v>
      </c>
    </row>
    <row r="897" spans="1:13" ht="14.25" thickBot="1" x14ac:dyDescent="0.2">
      <c r="A897" s="1"/>
      <c r="B897" s="8" t="s">
        <v>10</v>
      </c>
      <c r="C897" s="11">
        <f>C871-C896</f>
        <v>12</v>
      </c>
      <c r="D897" s="11">
        <f t="shared" ref="D897:E897" si="268">D871-D896</f>
        <v>11</v>
      </c>
      <c r="E897" s="11">
        <f t="shared" si="268"/>
        <v>10</v>
      </c>
      <c r="F897" s="37">
        <f t="shared" si="264"/>
        <v>33</v>
      </c>
      <c r="G897" s="1"/>
      <c r="H897" s="8" t="s">
        <v>10</v>
      </c>
      <c r="I897" s="11">
        <f>I871-I896</f>
        <v>889</v>
      </c>
      <c r="J897" s="11">
        <f t="shared" ref="J897:K897" si="269">J871-J896</f>
        <v>567</v>
      </c>
      <c r="K897" s="11">
        <f t="shared" si="269"/>
        <v>130</v>
      </c>
      <c r="L897" s="37">
        <f t="shared" si="267"/>
        <v>1586</v>
      </c>
    </row>
    <row r="900" spans="1:13" ht="18.75" x14ac:dyDescent="0.2">
      <c r="A900" s="41" t="s">
        <v>12</v>
      </c>
      <c r="B900" s="42"/>
      <c r="C900" s="41"/>
      <c r="D900" s="43"/>
      <c r="E900" s="43"/>
      <c r="F900" s="2"/>
      <c r="G900" s="1"/>
      <c r="H900" s="41" t="s">
        <v>12</v>
      </c>
      <c r="I900" s="41"/>
      <c r="J900" s="43"/>
      <c r="K900" s="43"/>
      <c r="L900" s="2"/>
    </row>
    <row r="901" spans="1:13" ht="19.5" thickBot="1" x14ac:dyDescent="0.25">
      <c r="A901" s="7"/>
      <c r="B901" s="7" t="s">
        <v>0</v>
      </c>
      <c r="C901" s="7"/>
      <c r="D901" s="7" t="s">
        <v>15</v>
      </c>
      <c r="E901" s="2"/>
      <c r="F901" s="2"/>
      <c r="G901" s="1"/>
      <c r="H901" s="7" t="s">
        <v>1</v>
      </c>
      <c r="I901" s="1"/>
      <c r="J901" s="7" t="s">
        <v>15</v>
      </c>
      <c r="K901" s="2"/>
      <c r="L901" s="2"/>
    </row>
    <row r="902" spans="1:13" ht="14.25" thickBot="1" x14ac:dyDescent="0.2">
      <c r="A902" s="1"/>
      <c r="B902" s="3"/>
      <c r="C902" s="5" t="s">
        <v>2</v>
      </c>
      <c r="D902" s="3" t="s">
        <v>3</v>
      </c>
      <c r="E902" s="12" t="s">
        <v>4</v>
      </c>
      <c r="F902" s="3" t="s">
        <v>5</v>
      </c>
      <c r="G902" s="1"/>
      <c r="H902" s="3"/>
      <c r="I902" s="5" t="s">
        <v>2</v>
      </c>
      <c r="J902" s="3" t="s">
        <v>3</v>
      </c>
      <c r="K902" s="12" t="s">
        <v>4</v>
      </c>
      <c r="L902" s="3" t="s">
        <v>5</v>
      </c>
    </row>
    <row r="903" spans="1:13" ht="14.25" thickBot="1" x14ac:dyDescent="0.2">
      <c r="A903" s="1"/>
      <c r="B903" s="34" t="s">
        <v>11</v>
      </c>
      <c r="C903" s="35">
        <f>C897</f>
        <v>12</v>
      </c>
      <c r="D903" s="36">
        <f>D897</f>
        <v>11</v>
      </c>
      <c r="E903" s="35">
        <f>E897</f>
        <v>10</v>
      </c>
      <c r="F903" s="37">
        <f>SUM(C903:E903)</f>
        <v>33</v>
      </c>
      <c r="G903" s="28"/>
      <c r="H903" s="34"/>
      <c r="I903" s="35">
        <f>I897</f>
        <v>889</v>
      </c>
      <c r="J903" s="36">
        <f>J897</f>
        <v>567</v>
      </c>
      <c r="K903" s="35">
        <f>K897</f>
        <v>130</v>
      </c>
      <c r="L903" s="37">
        <f>SUM(I903:K903)</f>
        <v>1586</v>
      </c>
    </row>
    <row r="904" spans="1:13" x14ac:dyDescent="0.15">
      <c r="A904" s="1"/>
      <c r="B904" s="29" t="s">
        <v>76</v>
      </c>
      <c r="C904" s="20">
        <v>0</v>
      </c>
      <c r="D904" s="21">
        <v>0</v>
      </c>
      <c r="E904" s="20">
        <v>0</v>
      </c>
      <c r="F904" s="46">
        <f t="shared" ref="F904:F909" si="270">SUM(C904:E904)</f>
        <v>0</v>
      </c>
      <c r="G904" s="24">
        <v>45526</v>
      </c>
      <c r="H904" s="29" t="s">
        <v>114</v>
      </c>
      <c r="I904" s="20"/>
      <c r="J904" s="21"/>
      <c r="K904" s="20">
        <v>-6</v>
      </c>
      <c r="L904" s="46">
        <f t="shared" ref="L904:L913" si="271">SUM(I904:K904)</f>
        <v>-6</v>
      </c>
      <c r="M904" s="74">
        <v>45542</v>
      </c>
    </row>
    <row r="905" spans="1:13" x14ac:dyDescent="0.15">
      <c r="A905" s="1"/>
      <c r="B905" s="29" t="s">
        <v>113</v>
      </c>
      <c r="C905" s="20"/>
      <c r="D905" s="21">
        <v>1</v>
      </c>
      <c r="E905" s="20">
        <v>1</v>
      </c>
      <c r="F905" s="46">
        <f t="shared" si="270"/>
        <v>2</v>
      </c>
      <c r="G905" s="24">
        <v>45527</v>
      </c>
      <c r="H905" s="29"/>
      <c r="I905" s="20"/>
      <c r="J905" s="21"/>
      <c r="K905" s="20"/>
      <c r="L905" s="46">
        <f t="shared" si="271"/>
        <v>0</v>
      </c>
    </row>
    <row r="906" spans="1:13" x14ac:dyDescent="0.15">
      <c r="A906" s="26"/>
      <c r="B906" s="29" t="s">
        <v>7</v>
      </c>
      <c r="C906" s="20">
        <v>10</v>
      </c>
      <c r="D906" s="21">
        <v>11</v>
      </c>
      <c r="E906" s="20">
        <v>10</v>
      </c>
      <c r="F906" s="46">
        <f t="shared" si="270"/>
        <v>31</v>
      </c>
      <c r="G906" s="24">
        <v>45538</v>
      </c>
      <c r="H906" s="29"/>
      <c r="I906" s="20"/>
      <c r="J906" s="21"/>
      <c r="K906" s="20"/>
      <c r="L906" s="46">
        <f t="shared" si="271"/>
        <v>0</v>
      </c>
    </row>
    <row r="907" spans="1:13" x14ac:dyDescent="0.15">
      <c r="A907" s="1"/>
      <c r="B907" s="29" t="s">
        <v>7</v>
      </c>
      <c r="C907" s="20">
        <v>10</v>
      </c>
      <c r="D907" s="21">
        <v>10</v>
      </c>
      <c r="E907" s="20">
        <v>10</v>
      </c>
      <c r="F907" s="46">
        <f t="shared" si="270"/>
        <v>30</v>
      </c>
      <c r="G907" s="24">
        <v>45540</v>
      </c>
      <c r="H907" s="29"/>
      <c r="I907" s="20"/>
      <c r="J907" s="21"/>
      <c r="K907" s="20"/>
      <c r="L907" s="46">
        <f t="shared" si="271"/>
        <v>0</v>
      </c>
    </row>
    <row r="908" spans="1:13" x14ac:dyDescent="0.15">
      <c r="A908" s="1"/>
      <c r="B908" s="29" t="s">
        <v>7</v>
      </c>
      <c r="C908" s="20">
        <v>10</v>
      </c>
      <c r="D908" s="21">
        <v>10</v>
      </c>
      <c r="E908" s="20">
        <v>10</v>
      </c>
      <c r="F908" s="46">
        <f t="shared" si="270"/>
        <v>30</v>
      </c>
      <c r="G908" s="24">
        <v>45541</v>
      </c>
      <c r="H908" s="29"/>
      <c r="I908" s="20"/>
      <c r="J908" s="21"/>
      <c r="K908" s="20"/>
      <c r="L908" s="46">
        <f t="shared" si="271"/>
        <v>0</v>
      </c>
    </row>
    <row r="909" spans="1:13" x14ac:dyDescent="0.15">
      <c r="A909" s="1"/>
      <c r="B909" s="29" t="s">
        <v>7</v>
      </c>
      <c r="C909" s="20">
        <v>20</v>
      </c>
      <c r="D909" s="21">
        <v>20</v>
      </c>
      <c r="E909" s="20"/>
      <c r="F909" s="46">
        <f t="shared" si="270"/>
        <v>40</v>
      </c>
      <c r="G909" s="24">
        <v>45542</v>
      </c>
      <c r="H909" s="29"/>
      <c r="I909" s="20"/>
      <c r="J909" s="21"/>
      <c r="K909" s="20"/>
      <c r="L909" s="46">
        <f t="shared" si="271"/>
        <v>0</v>
      </c>
    </row>
    <row r="910" spans="1:13" x14ac:dyDescent="0.15">
      <c r="A910" s="1"/>
      <c r="B910" s="29" t="s">
        <v>7</v>
      </c>
      <c r="C910" s="20">
        <v>30</v>
      </c>
      <c r="D910" s="21">
        <v>30</v>
      </c>
      <c r="E910" s="20"/>
      <c r="F910" s="46">
        <f t="shared" ref="F910:F913" si="272">SUM(C910:E910)</f>
        <v>60</v>
      </c>
      <c r="G910" s="24">
        <v>45545</v>
      </c>
      <c r="H910" s="29"/>
      <c r="I910" s="20"/>
      <c r="J910" s="21"/>
      <c r="K910" s="20"/>
      <c r="L910" s="46">
        <f t="shared" si="271"/>
        <v>0</v>
      </c>
    </row>
    <row r="911" spans="1:13" x14ac:dyDescent="0.15">
      <c r="A911" s="1"/>
      <c r="B911" s="29" t="s">
        <v>7</v>
      </c>
      <c r="C911" s="20">
        <v>30</v>
      </c>
      <c r="D911" s="21">
        <v>30</v>
      </c>
      <c r="E911" s="20"/>
      <c r="F911" s="46">
        <f t="shared" si="272"/>
        <v>60</v>
      </c>
      <c r="G911" s="24">
        <v>45547</v>
      </c>
      <c r="H911" s="29"/>
      <c r="I911" s="20"/>
      <c r="J911" s="21"/>
      <c r="K911" s="20"/>
      <c r="L911" s="46">
        <f t="shared" si="271"/>
        <v>0</v>
      </c>
    </row>
    <row r="912" spans="1:13" x14ac:dyDescent="0.15">
      <c r="A912" s="1"/>
      <c r="B912" s="29" t="s">
        <v>7</v>
      </c>
      <c r="C912" s="20"/>
      <c r="D912" s="21"/>
      <c r="E912" s="20"/>
      <c r="F912" s="46">
        <f t="shared" si="272"/>
        <v>0</v>
      </c>
      <c r="G912" s="24"/>
      <c r="H912" s="29"/>
      <c r="I912" s="20"/>
      <c r="J912" s="21"/>
      <c r="K912" s="20"/>
      <c r="L912" s="46">
        <f t="shared" si="271"/>
        <v>0</v>
      </c>
    </row>
    <row r="913" spans="1:14" ht="14.25" thickBot="1" x14ac:dyDescent="0.2">
      <c r="A913" s="1"/>
      <c r="B913" s="29" t="s">
        <v>7</v>
      </c>
      <c r="C913" s="20"/>
      <c r="D913" s="21"/>
      <c r="E913" s="20"/>
      <c r="F913" s="46">
        <f t="shared" si="272"/>
        <v>0</v>
      </c>
      <c r="G913" s="24"/>
      <c r="H913" s="29"/>
      <c r="I913" s="19"/>
      <c r="J913" s="4"/>
      <c r="K913" s="19"/>
      <c r="L913" s="46">
        <f t="shared" si="271"/>
        <v>0</v>
      </c>
    </row>
    <row r="914" spans="1:14" ht="14.25" thickBot="1" x14ac:dyDescent="0.2">
      <c r="A914" s="1"/>
      <c r="B914" s="6" t="s">
        <v>8</v>
      </c>
      <c r="C914" s="44">
        <f>SUM(C903:C913)</f>
        <v>122</v>
      </c>
      <c r="D914" s="44">
        <f t="shared" ref="D914:F914" si="273">SUM(D903:D913)</f>
        <v>123</v>
      </c>
      <c r="E914" s="44">
        <f t="shared" si="273"/>
        <v>41</v>
      </c>
      <c r="F914" s="45">
        <f t="shared" si="273"/>
        <v>286</v>
      </c>
      <c r="G914" s="1"/>
      <c r="H914" s="6"/>
      <c r="I914" s="44">
        <f>SUM(I903:I913)</f>
        <v>889</v>
      </c>
      <c r="J914" s="44">
        <f t="shared" ref="J914:L914" si="274">SUM(J903:J913)</f>
        <v>567</v>
      </c>
      <c r="K914" s="44">
        <f t="shared" si="274"/>
        <v>124</v>
      </c>
      <c r="L914" s="45">
        <f t="shared" si="274"/>
        <v>1580</v>
      </c>
    </row>
    <row r="915" spans="1:14" x14ac:dyDescent="0.15">
      <c r="A915" s="1"/>
      <c r="B915" s="38" t="s">
        <v>25</v>
      </c>
      <c r="C915" s="9"/>
      <c r="D915" s="14">
        <v>1</v>
      </c>
      <c r="E915" s="13"/>
      <c r="F915" s="46">
        <f t="shared" ref="F915:F930" si="275">SUM(C915:E915)</f>
        <v>1</v>
      </c>
      <c r="G915" s="73">
        <v>45511</v>
      </c>
      <c r="H915" s="4" t="s">
        <v>24</v>
      </c>
      <c r="I915" s="9">
        <v>10</v>
      </c>
      <c r="J915" s="14">
        <v>11</v>
      </c>
      <c r="K915" s="13">
        <v>10</v>
      </c>
      <c r="L915" s="46">
        <f t="shared" ref="L915:L920" si="276">SUM(I915:K915)</f>
        <v>31</v>
      </c>
      <c r="M915" s="73">
        <v>45538</v>
      </c>
      <c r="N915" s="54"/>
    </row>
    <row r="916" spans="1:14" x14ac:dyDescent="0.15">
      <c r="B916" s="38" t="s">
        <v>25</v>
      </c>
      <c r="C916" s="9">
        <v>1</v>
      </c>
      <c r="D916" s="14">
        <v>1</v>
      </c>
      <c r="E916" s="13"/>
      <c r="F916" s="46">
        <f t="shared" si="275"/>
        <v>2</v>
      </c>
      <c r="G916" s="73">
        <v>45512</v>
      </c>
      <c r="H916" s="4" t="s">
        <v>24</v>
      </c>
      <c r="I916" s="9">
        <v>10</v>
      </c>
      <c r="J916" s="14">
        <v>10</v>
      </c>
      <c r="K916" s="13">
        <v>10</v>
      </c>
      <c r="L916" s="46">
        <f t="shared" si="276"/>
        <v>30</v>
      </c>
      <c r="M916" s="73">
        <v>45540</v>
      </c>
      <c r="N916" s="54"/>
    </row>
    <row r="917" spans="1:14" x14ac:dyDescent="0.15">
      <c r="B917" s="38" t="s">
        <v>25</v>
      </c>
      <c r="C917" s="9">
        <v>1</v>
      </c>
      <c r="D917" s="14"/>
      <c r="E917" s="13"/>
      <c r="F917" s="46">
        <f t="shared" si="275"/>
        <v>1</v>
      </c>
      <c r="G917" s="73">
        <v>45513</v>
      </c>
      <c r="H917" s="4" t="s">
        <v>24</v>
      </c>
      <c r="I917" s="9">
        <v>10</v>
      </c>
      <c r="J917" s="14">
        <v>10</v>
      </c>
      <c r="K917" s="13">
        <v>10</v>
      </c>
      <c r="L917" s="46">
        <f t="shared" si="276"/>
        <v>30</v>
      </c>
      <c r="M917" s="73">
        <v>45541</v>
      </c>
      <c r="N917" s="54"/>
    </row>
    <row r="918" spans="1:14" x14ac:dyDescent="0.15">
      <c r="B918" s="38" t="s">
        <v>25</v>
      </c>
      <c r="C918" s="9"/>
      <c r="D918" s="14">
        <v>1</v>
      </c>
      <c r="E918" s="13"/>
      <c r="F918" s="46">
        <f t="shared" si="275"/>
        <v>1</v>
      </c>
      <c r="G918" s="73">
        <v>45515</v>
      </c>
      <c r="H918" s="4" t="s">
        <v>24</v>
      </c>
      <c r="I918" s="9">
        <v>20</v>
      </c>
      <c r="J918" s="14">
        <v>20</v>
      </c>
      <c r="K918" s="13"/>
      <c r="L918" s="46">
        <f t="shared" si="276"/>
        <v>40</v>
      </c>
      <c r="M918" s="73">
        <v>45542</v>
      </c>
    </row>
    <row r="919" spans="1:14" x14ac:dyDescent="0.15">
      <c r="B919" s="38" t="s">
        <v>25</v>
      </c>
      <c r="C919" s="9">
        <v>1</v>
      </c>
      <c r="D919" s="14"/>
      <c r="E919" s="13">
        <v>1</v>
      </c>
      <c r="F919" s="46">
        <f t="shared" si="275"/>
        <v>2</v>
      </c>
      <c r="G919" s="73">
        <v>45520</v>
      </c>
      <c r="H919" s="4" t="s">
        <v>24</v>
      </c>
      <c r="I919" s="9">
        <v>30</v>
      </c>
      <c r="J919" s="14">
        <v>30</v>
      </c>
      <c r="K919" s="13"/>
      <c r="L919" s="46">
        <f t="shared" si="276"/>
        <v>60</v>
      </c>
      <c r="M919" s="73">
        <v>45545</v>
      </c>
    </row>
    <row r="920" spans="1:14" x14ac:dyDescent="0.15">
      <c r="B920" s="4" t="s">
        <v>112</v>
      </c>
      <c r="C920" s="9">
        <v>1</v>
      </c>
      <c r="D920" s="14"/>
      <c r="E920" s="13"/>
      <c r="F920" s="46">
        <f t="shared" si="275"/>
        <v>1</v>
      </c>
      <c r="G920" s="73">
        <v>45524</v>
      </c>
      <c r="H920" s="4" t="s">
        <v>24</v>
      </c>
      <c r="I920" s="9">
        <v>30</v>
      </c>
      <c r="J920" s="14">
        <v>30</v>
      </c>
      <c r="K920" s="13"/>
      <c r="L920" s="46">
        <f t="shared" si="276"/>
        <v>60</v>
      </c>
      <c r="M920" s="73">
        <v>45547</v>
      </c>
    </row>
    <row r="921" spans="1:14" x14ac:dyDescent="0.15">
      <c r="B921" s="38" t="s">
        <v>25</v>
      </c>
      <c r="C921" s="9">
        <v>1</v>
      </c>
      <c r="D921" s="14">
        <v>1</v>
      </c>
      <c r="E921" s="13"/>
      <c r="F921" s="46">
        <f t="shared" si="275"/>
        <v>2</v>
      </c>
      <c r="G921" s="73">
        <v>45523</v>
      </c>
      <c r="H921" s="4"/>
      <c r="I921" s="9"/>
      <c r="J921" s="14"/>
      <c r="K921" s="13"/>
      <c r="L921" s="46">
        <f t="shared" ref="L921:L940" si="277">SUM(I921:K921)</f>
        <v>0</v>
      </c>
    </row>
    <row r="922" spans="1:14" x14ac:dyDescent="0.15">
      <c r="B922" s="38" t="s">
        <v>25</v>
      </c>
      <c r="C922" s="9">
        <v>1</v>
      </c>
      <c r="D922" s="14"/>
      <c r="E922" s="13">
        <v>1</v>
      </c>
      <c r="F922" s="46">
        <f t="shared" si="275"/>
        <v>2</v>
      </c>
      <c r="G922" s="74">
        <v>45531</v>
      </c>
      <c r="H922" s="4"/>
      <c r="I922" s="9"/>
      <c r="J922" s="14"/>
      <c r="K922" s="13"/>
      <c r="L922" s="46">
        <f t="shared" si="277"/>
        <v>0</v>
      </c>
    </row>
    <row r="923" spans="1:14" x14ac:dyDescent="0.15">
      <c r="B923" s="38" t="s">
        <v>25</v>
      </c>
      <c r="C923" s="9">
        <v>1</v>
      </c>
      <c r="D923" s="14">
        <v>1</v>
      </c>
      <c r="E923" s="13">
        <f>1+2</f>
        <v>3</v>
      </c>
      <c r="F923" s="46">
        <f t="shared" si="275"/>
        <v>5</v>
      </c>
      <c r="G923" s="74">
        <v>45533</v>
      </c>
      <c r="H923" s="4"/>
      <c r="I923" s="9"/>
      <c r="J923" s="14"/>
      <c r="K923" s="13"/>
      <c r="L923" s="46">
        <f t="shared" si="277"/>
        <v>0</v>
      </c>
    </row>
    <row r="924" spans="1:14" x14ac:dyDescent="0.15">
      <c r="B924" s="38" t="s">
        <v>25</v>
      </c>
      <c r="C924" s="9">
        <v>1</v>
      </c>
      <c r="D924" s="14">
        <v>2</v>
      </c>
      <c r="E924" s="13">
        <v>1</v>
      </c>
      <c r="F924" s="46">
        <f t="shared" si="275"/>
        <v>4</v>
      </c>
      <c r="G924" s="74">
        <v>45535</v>
      </c>
      <c r="H924" s="4"/>
      <c r="I924" s="9"/>
      <c r="J924" s="14"/>
      <c r="K924" s="13"/>
      <c r="L924" s="46">
        <f t="shared" si="277"/>
        <v>0</v>
      </c>
    </row>
    <row r="925" spans="1:14" x14ac:dyDescent="0.15">
      <c r="B925" s="38" t="s">
        <v>25</v>
      </c>
      <c r="C925" s="9">
        <v>2</v>
      </c>
      <c r="D925" s="14">
        <f>1+3</f>
        <v>4</v>
      </c>
      <c r="E925" s="13">
        <f>1+1+1</f>
        <v>3</v>
      </c>
      <c r="F925" s="46">
        <f t="shared" si="275"/>
        <v>9</v>
      </c>
      <c r="G925" s="74">
        <v>45537</v>
      </c>
      <c r="H925" s="4"/>
      <c r="I925" s="9"/>
      <c r="J925" s="14"/>
      <c r="K925" s="13"/>
      <c r="L925" s="46">
        <f t="shared" si="277"/>
        <v>0</v>
      </c>
    </row>
    <row r="926" spans="1:14" x14ac:dyDescent="0.15">
      <c r="B926" s="38" t="s">
        <v>25</v>
      </c>
      <c r="C926" s="9">
        <v>1</v>
      </c>
      <c r="D926" s="14"/>
      <c r="E926" s="13">
        <f>1+2</f>
        <v>3</v>
      </c>
      <c r="F926" s="46">
        <f t="shared" si="275"/>
        <v>4</v>
      </c>
      <c r="G926" s="74">
        <v>45538</v>
      </c>
      <c r="H926" s="4"/>
      <c r="I926" s="9"/>
      <c r="J926" s="14"/>
      <c r="K926" s="13"/>
      <c r="L926" s="46">
        <f t="shared" si="277"/>
        <v>0</v>
      </c>
    </row>
    <row r="927" spans="1:14" x14ac:dyDescent="0.15">
      <c r="B927" s="38" t="s">
        <v>25</v>
      </c>
      <c r="C927" s="9">
        <v>1</v>
      </c>
      <c r="D927" s="14">
        <v>2</v>
      </c>
      <c r="E927" s="13">
        <f>2+1</f>
        <v>3</v>
      </c>
      <c r="F927" s="46">
        <f t="shared" si="275"/>
        <v>6</v>
      </c>
      <c r="G927" s="73">
        <v>45539</v>
      </c>
      <c r="H927" s="4"/>
      <c r="I927" s="9"/>
      <c r="J927" s="14"/>
      <c r="K927" s="13"/>
      <c r="L927" s="46">
        <f t="shared" si="277"/>
        <v>0</v>
      </c>
    </row>
    <row r="928" spans="1:14" x14ac:dyDescent="0.15">
      <c r="B928" s="4" t="s">
        <v>98</v>
      </c>
      <c r="C928" s="9"/>
      <c r="D928" s="14">
        <v>1</v>
      </c>
      <c r="E928" s="13"/>
      <c r="F928" s="46">
        <f t="shared" si="275"/>
        <v>1</v>
      </c>
      <c r="G928" s="73">
        <v>45542</v>
      </c>
      <c r="H928" s="4"/>
      <c r="I928" s="9"/>
      <c r="J928" s="14"/>
      <c r="K928" s="13"/>
      <c r="L928" s="46">
        <f t="shared" si="277"/>
        <v>0</v>
      </c>
    </row>
    <row r="929" spans="1:12" x14ac:dyDescent="0.15">
      <c r="B929" s="38" t="s">
        <v>25</v>
      </c>
      <c r="C929" s="9">
        <f>4+5</f>
        <v>9</v>
      </c>
      <c r="D929" s="14">
        <f>2+8</f>
        <v>10</v>
      </c>
      <c r="E929" s="13">
        <f>4+4</f>
        <v>8</v>
      </c>
      <c r="F929" s="46">
        <f t="shared" si="275"/>
        <v>27</v>
      </c>
      <c r="G929" s="74">
        <v>45540</v>
      </c>
      <c r="H929" s="4"/>
      <c r="I929" s="9"/>
      <c r="J929" s="14"/>
      <c r="K929" s="13"/>
      <c r="L929" s="46">
        <f t="shared" si="277"/>
        <v>0</v>
      </c>
    </row>
    <row r="930" spans="1:12" x14ac:dyDescent="0.15">
      <c r="B930" s="38" t="s">
        <v>25</v>
      </c>
      <c r="C930" s="9">
        <f>2+13</f>
        <v>15</v>
      </c>
      <c r="D930" s="14">
        <f>1+14</f>
        <v>15</v>
      </c>
      <c r="E930" s="13">
        <f>1+13</f>
        <v>14</v>
      </c>
      <c r="F930" s="46">
        <f t="shared" si="275"/>
        <v>44</v>
      </c>
      <c r="G930" s="74">
        <v>45541</v>
      </c>
      <c r="H930" s="4"/>
      <c r="I930" s="9"/>
      <c r="J930" s="14"/>
      <c r="K930" s="13"/>
      <c r="L930" s="46">
        <f t="shared" si="277"/>
        <v>0</v>
      </c>
    </row>
    <row r="931" spans="1:12" x14ac:dyDescent="0.15">
      <c r="B931" s="38" t="s">
        <v>25</v>
      </c>
      <c r="C931" s="9">
        <v>5</v>
      </c>
      <c r="D931" s="14">
        <v>2</v>
      </c>
      <c r="E931" s="13">
        <v>4</v>
      </c>
      <c r="F931" s="46">
        <f t="shared" ref="F931:F938" si="278">SUM(C931:E931)</f>
        <v>11</v>
      </c>
      <c r="G931" s="74">
        <v>45542</v>
      </c>
      <c r="H931" s="4"/>
      <c r="I931" s="9"/>
      <c r="J931" s="14"/>
      <c r="K931" s="13"/>
      <c r="L931" s="46">
        <f t="shared" si="277"/>
        <v>0</v>
      </c>
    </row>
    <row r="932" spans="1:12" x14ac:dyDescent="0.15">
      <c r="A932" s="1"/>
      <c r="B932" s="38" t="s">
        <v>25</v>
      </c>
      <c r="C932" s="9">
        <v>10</v>
      </c>
      <c r="D932" s="14">
        <f>2+19</f>
        <v>21</v>
      </c>
      <c r="E932" s="13"/>
      <c r="F932" s="46">
        <f t="shared" si="278"/>
        <v>31</v>
      </c>
      <c r="G932" s="74">
        <v>45544</v>
      </c>
      <c r="H932" s="4"/>
      <c r="I932" s="9"/>
      <c r="J932" s="14"/>
      <c r="K932" s="13"/>
      <c r="L932" s="46">
        <f t="shared" si="277"/>
        <v>0</v>
      </c>
    </row>
    <row r="933" spans="1:12" x14ac:dyDescent="0.15">
      <c r="A933" s="1"/>
      <c r="B933" s="38" t="s">
        <v>25</v>
      </c>
      <c r="C933" s="9">
        <v>2</v>
      </c>
      <c r="D933" s="14">
        <f>1+2</f>
        <v>3</v>
      </c>
      <c r="E933" s="13"/>
      <c r="F933" s="46">
        <f t="shared" si="278"/>
        <v>5</v>
      </c>
      <c r="G933" s="74">
        <v>45545</v>
      </c>
      <c r="H933" s="4"/>
      <c r="I933" s="9"/>
      <c r="J933" s="14"/>
      <c r="K933" s="13"/>
      <c r="L933" s="46">
        <f t="shared" si="277"/>
        <v>0</v>
      </c>
    </row>
    <row r="934" spans="1:12" x14ac:dyDescent="0.15">
      <c r="A934" s="1"/>
      <c r="B934" s="38" t="s">
        <v>25</v>
      </c>
      <c r="C934" s="9">
        <v>1</v>
      </c>
      <c r="D934" s="14">
        <v>4</v>
      </c>
      <c r="E934" s="13"/>
      <c r="F934" s="46">
        <f t="shared" si="278"/>
        <v>5</v>
      </c>
      <c r="G934" s="74">
        <v>45546</v>
      </c>
      <c r="H934" s="4"/>
      <c r="I934" s="9"/>
      <c r="J934" s="14"/>
      <c r="K934" s="13"/>
      <c r="L934" s="46">
        <f t="shared" si="277"/>
        <v>0</v>
      </c>
    </row>
    <row r="935" spans="1:12" x14ac:dyDescent="0.15">
      <c r="A935" s="1"/>
      <c r="B935" s="38" t="s">
        <v>25</v>
      </c>
      <c r="C935" s="9"/>
      <c r="D935" s="14">
        <v>1</v>
      </c>
      <c r="E935" s="13"/>
      <c r="F935" s="46">
        <f t="shared" si="278"/>
        <v>1</v>
      </c>
      <c r="G935" s="74">
        <v>45547</v>
      </c>
      <c r="H935" s="4"/>
      <c r="I935" s="9"/>
      <c r="J935" s="14"/>
      <c r="K935" s="13"/>
      <c r="L935" s="46">
        <f t="shared" ref="L935:L938" si="279">SUM(I935:K935)</f>
        <v>0</v>
      </c>
    </row>
    <row r="936" spans="1:12" x14ac:dyDescent="0.15">
      <c r="A936" s="26"/>
      <c r="B936" s="38" t="s">
        <v>25</v>
      </c>
      <c r="C936" s="9">
        <v>3</v>
      </c>
      <c r="D936" s="14">
        <v>3</v>
      </c>
      <c r="E936" s="13"/>
      <c r="F936" s="46">
        <f t="shared" si="278"/>
        <v>6</v>
      </c>
      <c r="G936" s="74">
        <v>45542</v>
      </c>
      <c r="H936" s="4"/>
      <c r="I936" s="9"/>
      <c r="J936" s="14"/>
      <c r="K936" s="13"/>
      <c r="L936" s="46">
        <f t="shared" si="279"/>
        <v>0</v>
      </c>
    </row>
    <row r="937" spans="1:12" x14ac:dyDescent="0.15">
      <c r="A937" s="26"/>
      <c r="B937" s="38" t="s">
        <v>25</v>
      </c>
      <c r="C937" s="9">
        <v>1</v>
      </c>
      <c r="D937" s="14">
        <v>1</v>
      </c>
      <c r="E937" s="13"/>
      <c r="F937" s="46">
        <f t="shared" si="278"/>
        <v>2</v>
      </c>
      <c r="G937" s="74">
        <v>45556</v>
      </c>
      <c r="H937" s="4"/>
      <c r="I937" s="9"/>
      <c r="J937" s="14"/>
      <c r="K937" s="13"/>
      <c r="L937" s="46">
        <f t="shared" si="279"/>
        <v>0</v>
      </c>
    </row>
    <row r="938" spans="1:12" ht="14.25" thickBot="1" x14ac:dyDescent="0.2">
      <c r="A938" s="1"/>
      <c r="B938" s="38" t="s">
        <v>25</v>
      </c>
      <c r="C938" s="9">
        <v>1</v>
      </c>
      <c r="D938" s="14"/>
      <c r="E938" s="13"/>
      <c r="F938" s="46">
        <f t="shared" si="278"/>
        <v>1</v>
      </c>
      <c r="G938" s="74">
        <v>45559</v>
      </c>
      <c r="H938" s="4"/>
      <c r="I938" s="9"/>
      <c r="J938" s="14"/>
      <c r="K938" s="13"/>
      <c r="L938" s="46">
        <f t="shared" si="279"/>
        <v>0</v>
      </c>
    </row>
    <row r="939" spans="1:12" ht="14.25" thickBot="1" x14ac:dyDescent="0.2">
      <c r="A939" s="1"/>
      <c r="B939" s="5" t="s">
        <v>9</v>
      </c>
      <c r="C939" s="10">
        <f>SUM(C915:C938)</f>
        <v>59</v>
      </c>
      <c r="D939" s="10">
        <f t="shared" ref="D939:E939" si="280">SUM(D915:D938)</f>
        <v>74</v>
      </c>
      <c r="E939" s="10">
        <f t="shared" si="280"/>
        <v>41</v>
      </c>
      <c r="F939" s="48">
        <f t="shared" ref="F939:F940" si="281">SUM(C939:E939)</f>
        <v>174</v>
      </c>
      <c r="G939" s="1"/>
      <c r="H939" s="5" t="s">
        <v>9</v>
      </c>
      <c r="I939" s="10">
        <f>SUM(I915:I938)</f>
        <v>110</v>
      </c>
      <c r="J939" s="10">
        <f t="shared" ref="J939:K939" si="282">SUM(J915:J938)</f>
        <v>111</v>
      </c>
      <c r="K939" s="10">
        <f t="shared" si="282"/>
        <v>30</v>
      </c>
      <c r="L939" s="48">
        <f t="shared" si="277"/>
        <v>251</v>
      </c>
    </row>
    <row r="940" spans="1:12" ht="14.25" thickBot="1" x14ac:dyDescent="0.2">
      <c r="A940" s="1"/>
      <c r="B940" s="8" t="s">
        <v>10</v>
      </c>
      <c r="C940" s="11">
        <f>C914-C939</f>
        <v>63</v>
      </c>
      <c r="D940" s="11">
        <f t="shared" ref="D940:E940" si="283">D914-D939</f>
        <v>49</v>
      </c>
      <c r="E940" s="11">
        <f t="shared" si="283"/>
        <v>0</v>
      </c>
      <c r="F940" s="37">
        <f t="shared" si="281"/>
        <v>112</v>
      </c>
      <c r="G940" s="1"/>
      <c r="H940" s="8" t="s">
        <v>10</v>
      </c>
      <c r="I940" s="11">
        <f>I914-I939</f>
        <v>779</v>
      </c>
      <c r="J940" s="11">
        <f t="shared" ref="J940:K940" si="284">J914-J939</f>
        <v>456</v>
      </c>
      <c r="K940" s="11">
        <f t="shared" si="284"/>
        <v>94</v>
      </c>
      <c r="L940" s="37">
        <f t="shared" si="277"/>
        <v>1329</v>
      </c>
    </row>
    <row r="943" spans="1:12" ht="18.75" x14ac:dyDescent="0.2">
      <c r="A943" s="41" t="s">
        <v>12</v>
      </c>
      <c r="B943" s="42"/>
      <c r="C943" s="41"/>
      <c r="D943" s="43"/>
      <c r="E943" s="43"/>
      <c r="F943" s="2"/>
      <c r="G943" s="1"/>
      <c r="H943" s="41" t="s">
        <v>12</v>
      </c>
      <c r="I943" s="41"/>
      <c r="J943" s="43"/>
      <c r="K943" s="43"/>
      <c r="L943" s="2"/>
    </row>
    <row r="944" spans="1:12" ht="19.5" thickBot="1" x14ac:dyDescent="0.25">
      <c r="A944" s="7"/>
      <c r="B944" s="7" t="s">
        <v>0</v>
      </c>
      <c r="C944" s="7"/>
      <c r="D944" s="7" t="s">
        <v>15</v>
      </c>
      <c r="E944" s="2"/>
      <c r="F944" s="2"/>
      <c r="G944" s="1"/>
      <c r="H944" s="7" t="s">
        <v>1</v>
      </c>
      <c r="I944" s="1"/>
      <c r="J944" s="7" t="s">
        <v>15</v>
      </c>
      <c r="K944" s="2"/>
      <c r="L944" s="2"/>
    </row>
    <row r="945" spans="1:14" ht="14.25" thickBot="1" x14ac:dyDescent="0.2">
      <c r="A945" s="1"/>
      <c r="B945" s="3"/>
      <c r="C945" s="5" t="s">
        <v>2</v>
      </c>
      <c r="D945" s="3" t="s">
        <v>3</v>
      </c>
      <c r="E945" s="12" t="s">
        <v>4</v>
      </c>
      <c r="F945" s="3" t="s">
        <v>5</v>
      </c>
      <c r="G945" s="1"/>
      <c r="H945" s="3"/>
      <c r="I945" s="5" t="s">
        <v>2</v>
      </c>
      <c r="J945" s="3" t="s">
        <v>3</v>
      </c>
      <c r="K945" s="12" t="s">
        <v>4</v>
      </c>
      <c r="L945" s="3" t="s">
        <v>5</v>
      </c>
    </row>
    <row r="946" spans="1:14" ht="14.25" thickBot="1" x14ac:dyDescent="0.2">
      <c r="A946" s="1"/>
      <c r="B946" s="34" t="s">
        <v>11</v>
      </c>
      <c r="C946" s="35">
        <f>C940</f>
        <v>63</v>
      </c>
      <c r="D946" s="36">
        <f>D940</f>
        <v>49</v>
      </c>
      <c r="E946" s="35">
        <f>E940</f>
        <v>0</v>
      </c>
      <c r="F946" s="37">
        <f>SUM(C946:E946)</f>
        <v>112</v>
      </c>
      <c r="G946" s="28"/>
      <c r="H946" s="34"/>
      <c r="I946" s="35">
        <f>I940</f>
        <v>779</v>
      </c>
      <c r="J946" s="36">
        <f>J940</f>
        <v>456</v>
      </c>
      <c r="K946" s="35">
        <f>K940</f>
        <v>94</v>
      </c>
      <c r="L946" s="37">
        <f>SUM(I946:K946)</f>
        <v>1329</v>
      </c>
    </row>
    <row r="947" spans="1:14" x14ac:dyDescent="0.15">
      <c r="A947" s="1"/>
      <c r="B947" s="29" t="s">
        <v>7</v>
      </c>
      <c r="C947" s="20"/>
      <c r="D947" s="21"/>
      <c r="E947" s="20">
        <v>15</v>
      </c>
      <c r="F947" s="46">
        <f t="shared" ref="F947:F954" si="285">SUM(C947:E947)</f>
        <v>15</v>
      </c>
      <c r="G947" s="24">
        <v>45581</v>
      </c>
      <c r="H947" s="29" t="s">
        <v>116</v>
      </c>
      <c r="I947" s="20">
        <v>30</v>
      </c>
      <c r="J947" s="21"/>
      <c r="K947" s="20"/>
      <c r="L947" s="46">
        <f t="shared" ref="L947" si="286">SUM(I947:K947)</f>
        <v>30</v>
      </c>
      <c r="M947" s="74">
        <v>45570</v>
      </c>
    </row>
    <row r="948" spans="1:14" x14ac:dyDescent="0.15">
      <c r="A948" s="1"/>
      <c r="B948" s="29" t="s">
        <v>7</v>
      </c>
      <c r="C948" s="20"/>
      <c r="D948" s="21"/>
      <c r="E948" s="20">
        <v>3</v>
      </c>
      <c r="F948" s="46">
        <f t="shared" si="285"/>
        <v>3</v>
      </c>
      <c r="G948" s="24">
        <v>45584</v>
      </c>
      <c r="H948" s="29"/>
      <c r="I948" s="20"/>
      <c r="J948" s="21"/>
      <c r="K948" s="20"/>
      <c r="L948" s="46">
        <f t="shared" ref="L948:L950" si="287">SUM(I948:K948)</f>
        <v>0</v>
      </c>
    </row>
    <row r="949" spans="1:14" x14ac:dyDescent="0.15">
      <c r="A949" s="26"/>
      <c r="B949" s="29" t="s">
        <v>7</v>
      </c>
      <c r="C949" s="20">
        <v>20</v>
      </c>
      <c r="D949" s="21">
        <v>10</v>
      </c>
      <c r="E949" s="20"/>
      <c r="F949" s="46">
        <f t="shared" ref="F949" si="288">SUM(C949:E949)</f>
        <v>30</v>
      </c>
      <c r="G949" s="24">
        <v>45603</v>
      </c>
      <c r="H949" s="29"/>
      <c r="I949" s="20"/>
      <c r="J949" s="21"/>
      <c r="K949" s="20"/>
      <c r="L949" s="46">
        <f t="shared" si="287"/>
        <v>0</v>
      </c>
    </row>
    <row r="950" spans="1:14" x14ac:dyDescent="0.15">
      <c r="A950" s="1"/>
      <c r="B950" s="29" t="s">
        <v>7</v>
      </c>
      <c r="C950" s="20">
        <v>10</v>
      </c>
      <c r="D950" s="21">
        <v>10</v>
      </c>
      <c r="E950" s="20"/>
      <c r="F950" s="46">
        <f t="shared" si="285"/>
        <v>20</v>
      </c>
      <c r="G950" s="24">
        <v>45609</v>
      </c>
      <c r="H950" s="29"/>
      <c r="I950" s="20"/>
      <c r="J950" s="21"/>
      <c r="K950" s="20"/>
      <c r="L950" s="46">
        <f t="shared" si="287"/>
        <v>0</v>
      </c>
    </row>
    <row r="951" spans="1:14" x14ac:dyDescent="0.15">
      <c r="A951" s="1"/>
      <c r="B951" s="29" t="s">
        <v>7</v>
      </c>
      <c r="C951" s="20"/>
      <c r="D951" s="21"/>
      <c r="E951" s="20"/>
      <c r="F951" s="46">
        <f t="shared" si="285"/>
        <v>0</v>
      </c>
      <c r="G951" s="24"/>
      <c r="H951" s="29"/>
      <c r="I951" s="20"/>
      <c r="J951" s="21"/>
      <c r="K951" s="20"/>
      <c r="L951" s="46">
        <f t="shared" ref="L951:L956" si="289">SUM(I951:K951)</f>
        <v>0</v>
      </c>
    </row>
    <row r="952" spans="1:14" x14ac:dyDescent="0.15">
      <c r="A952" s="1"/>
      <c r="B952" s="29" t="s">
        <v>7</v>
      </c>
      <c r="C952" s="20"/>
      <c r="D952" s="21"/>
      <c r="E952" s="20"/>
      <c r="F952" s="46">
        <f t="shared" si="285"/>
        <v>0</v>
      </c>
      <c r="G952" s="24"/>
      <c r="H952" s="29"/>
      <c r="I952" s="20"/>
      <c r="J952" s="21"/>
      <c r="K952" s="20"/>
      <c r="L952" s="46">
        <f t="shared" si="289"/>
        <v>0</v>
      </c>
    </row>
    <row r="953" spans="1:14" x14ac:dyDescent="0.15">
      <c r="A953" s="1"/>
      <c r="B953" s="29" t="s">
        <v>7</v>
      </c>
      <c r="C953" s="20"/>
      <c r="D953" s="21"/>
      <c r="E953" s="20"/>
      <c r="F953" s="46">
        <f t="shared" si="285"/>
        <v>0</v>
      </c>
      <c r="G953" s="24"/>
      <c r="H953" s="29"/>
      <c r="I953" s="20"/>
      <c r="J953" s="21"/>
      <c r="K953" s="20"/>
      <c r="L953" s="46">
        <f t="shared" si="289"/>
        <v>0</v>
      </c>
    </row>
    <row r="954" spans="1:14" x14ac:dyDescent="0.15">
      <c r="A954" s="1"/>
      <c r="B954" s="29" t="s">
        <v>7</v>
      </c>
      <c r="C954" s="20"/>
      <c r="D954" s="21"/>
      <c r="E954" s="20"/>
      <c r="F954" s="46">
        <f t="shared" si="285"/>
        <v>0</v>
      </c>
      <c r="G954" s="24"/>
      <c r="H954" s="29"/>
      <c r="I954" s="20"/>
      <c r="J954" s="21"/>
      <c r="K954" s="20"/>
      <c r="L954" s="46">
        <f t="shared" si="289"/>
        <v>0</v>
      </c>
    </row>
    <row r="955" spans="1:14" x14ac:dyDescent="0.15">
      <c r="A955" s="1"/>
      <c r="B955" s="29" t="s">
        <v>7</v>
      </c>
      <c r="C955" s="20"/>
      <c r="D955" s="21"/>
      <c r="E955" s="20"/>
      <c r="F955" s="46">
        <f t="shared" ref="F955:F956" si="290">SUM(C955:E955)</f>
        <v>0</v>
      </c>
      <c r="G955" s="24"/>
      <c r="H955" s="29"/>
      <c r="I955" s="20"/>
      <c r="J955" s="21"/>
      <c r="K955" s="20"/>
      <c r="L955" s="46">
        <f t="shared" si="289"/>
        <v>0</v>
      </c>
    </row>
    <row r="956" spans="1:14" ht="14.25" thickBot="1" x14ac:dyDescent="0.2">
      <c r="A956" s="1"/>
      <c r="B956" s="29" t="s">
        <v>7</v>
      </c>
      <c r="C956" s="20"/>
      <c r="D956" s="21"/>
      <c r="E956" s="20"/>
      <c r="F956" s="46">
        <f t="shared" si="290"/>
        <v>0</v>
      </c>
      <c r="G956" s="24"/>
      <c r="H956" s="29"/>
      <c r="I956" s="19"/>
      <c r="J956" s="4"/>
      <c r="K956" s="19"/>
      <c r="L956" s="46">
        <f t="shared" si="289"/>
        <v>0</v>
      </c>
    </row>
    <row r="957" spans="1:14" ht="14.25" thickBot="1" x14ac:dyDescent="0.2">
      <c r="A957" s="1"/>
      <c r="B957" s="6" t="s">
        <v>8</v>
      </c>
      <c r="C957" s="44">
        <f>SUM(C946:C956)</f>
        <v>93</v>
      </c>
      <c r="D957" s="44">
        <f t="shared" ref="D957:F957" si="291">SUM(D946:D956)</f>
        <v>69</v>
      </c>
      <c r="E957" s="44">
        <f t="shared" si="291"/>
        <v>18</v>
      </c>
      <c r="F957" s="45">
        <f t="shared" si="291"/>
        <v>180</v>
      </c>
      <c r="G957" s="1"/>
      <c r="H957" s="6"/>
      <c r="I957" s="44">
        <f>SUM(I946:I956)</f>
        <v>809</v>
      </c>
      <c r="J957" s="44">
        <f t="shared" ref="J957:L957" si="292">SUM(J946:J956)</f>
        <v>456</v>
      </c>
      <c r="K957" s="44">
        <f t="shared" si="292"/>
        <v>94</v>
      </c>
      <c r="L957" s="45">
        <f t="shared" si="292"/>
        <v>1359</v>
      </c>
    </row>
    <row r="958" spans="1:14" x14ac:dyDescent="0.15">
      <c r="A958" s="1"/>
      <c r="B958" s="38" t="s">
        <v>25</v>
      </c>
      <c r="C958" s="9">
        <v>3</v>
      </c>
      <c r="D958" s="14">
        <v>5</v>
      </c>
      <c r="E958" s="13"/>
      <c r="F958" s="46">
        <f t="shared" ref="F958:F983" si="293">SUM(C958:E958)</f>
        <v>8</v>
      </c>
      <c r="G958" s="73">
        <v>45565</v>
      </c>
      <c r="H958" s="4" t="s">
        <v>117</v>
      </c>
      <c r="I958" s="9">
        <v>25</v>
      </c>
      <c r="J958" s="14">
        <v>20</v>
      </c>
      <c r="K958" s="13">
        <v>36</v>
      </c>
      <c r="L958" s="46">
        <f t="shared" ref="L958:L966" si="294">SUM(I958:K958)</f>
        <v>81</v>
      </c>
      <c r="M958" s="73">
        <v>45576</v>
      </c>
      <c r="N958" s="54"/>
    </row>
    <row r="959" spans="1:14" x14ac:dyDescent="0.15">
      <c r="B959" s="38" t="s">
        <v>25</v>
      </c>
      <c r="C959" s="9">
        <v>1</v>
      </c>
      <c r="D959" s="14">
        <v>1</v>
      </c>
      <c r="E959" s="13"/>
      <c r="F959" s="46">
        <f t="shared" si="293"/>
        <v>2</v>
      </c>
      <c r="G959" s="73">
        <v>45566</v>
      </c>
      <c r="H959" s="4" t="s">
        <v>24</v>
      </c>
      <c r="I959" s="9"/>
      <c r="J959" s="14"/>
      <c r="K959" s="13">
        <v>15</v>
      </c>
      <c r="L959" s="46">
        <f t="shared" si="294"/>
        <v>15</v>
      </c>
      <c r="M959" s="73">
        <v>45581</v>
      </c>
      <c r="N959" s="54"/>
    </row>
    <row r="960" spans="1:14" x14ac:dyDescent="0.15">
      <c r="B960" s="38" t="s">
        <v>25</v>
      </c>
      <c r="C960" s="9">
        <v>2</v>
      </c>
      <c r="D960" s="14"/>
      <c r="E960" s="13"/>
      <c r="F960" s="46">
        <f t="shared" si="293"/>
        <v>2</v>
      </c>
      <c r="G960" s="73">
        <v>45567</v>
      </c>
      <c r="H960" s="4" t="s">
        <v>24</v>
      </c>
      <c r="I960" s="9"/>
      <c r="J960" s="14"/>
      <c r="K960" s="13">
        <v>3</v>
      </c>
      <c r="L960" s="46">
        <f t="shared" si="294"/>
        <v>3</v>
      </c>
      <c r="M960" s="73">
        <v>45584</v>
      </c>
      <c r="N960" s="54"/>
    </row>
    <row r="961" spans="1:15" x14ac:dyDescent="0.15">
      <c r="B961" s="38" t="s">
        <v>115</v>
      </c>
      <c r="C961" s="9">
        <v>30</v>
      </c>
      <c r="D961" s="14"/>
      <c r="E961" s="13"/>
      <c r="F961" s="46">
        <f t="shared" si="293"/>
        <v>30</v>
      </c>
      <c r="G961" s="73">
        <v>45570</v>
      </c>
      <c r="H961" s="4" t="s">
        <v>24</v>
      </c>
      <c r="I961" s="9">
        <v>20</v>
      </c>
      <c r="J961" s="14">
        <v>10</v>
      </c>
      <c r="K961" s="13"/>
      <c r="L961" s="46">
        <f t="shared" si="294"/>
        <v>30</v>
      </c>
      <c r="M961" s="73">
        <v>45603</v>
      </c>
      <c r="N961" s="54"/>
      <c r="O961" s="54"/>
    </row>
    <row r="962" spans="1:15" x14ac:dyDescent="0.15">
      <c r="B962" s="38" t="s">
        <v>25</v>
      </c>
      <c r="C962" s="9"/>
      <c r="D962" s="14">
        <v>1</v>
      </c>
      <c r="E962" s="13"/>
      <c r="F962" s="46">
        <f t="shared" si="293"/>
        <v>1</v>
      </c>
      <c r="G962" s="73">
        <v>45570</v>
      </c>
      <c r="H962" s="4" t="s">
        <v>24</v>
      </c>
      <c r="I962" s="9">
        <v>10</v>
      </c>
      <c r="J962" s="14">
        <v>10</v>
      </c>
      <c r="K962" s="13"/>
      <c r="L962" s="46">
        <f t="shared" si="294"/>
        <v>20</v>
      </c>
      <c r="M962" s="73">
        <v>45609</v>
      </c>
    </row>
    <row r="963" spans="1:15" x14ac:dyDescent="0.15">
      <c r="B963" s="38" t="s">
        <v>25</v>
      </c>
      <c r="C963" s="9">
        <f>1+2</f>
        <v>3</v>
      </c>
      <c r="D963" s="14">
        <v>2</v>
      </c>
      <c r="E963" s="13"/>
      <c r="F963" s="46">
        <f t="shared" si="293"/>
        <v>5</v>
      </c>
      <c r="G963" s="73">
        <v>45572</v>
      </c>
      <c r="H963" s="4"/>
      <c r="I963" s="9"/>
      <c r="J963" s="14"/>
      <c r="K963" s="13"/>
      <c r="L963" s="46">
        <f t="shared" si="294"/>
        <v>0</v>
      </c>
    </row>
    <row r="964" spans="1:15" x14ac:dyDescent="0.15">
      <c r="B964" s="38" t="s">
        <v>25</v>
      </c>
      <c r="C964" s="9">
        <v>2</v>
      </c>
      <c r="D964" s="14"/>
      <c r="E964" s="13"/>
      <c r="F964" s="46">
        <f t="shared" si="293"/>
        <v>2</v>
      </c>
      <c r="G964" s="73">
        <v>45574</v>
      </c>
      <c r="H964" s="4"/>
      <c r="I964" s="9"/>
      <c r="J964" s="14"/>
      <c r="K964" s="13"/>
      <c r="L964" s="46">
        <f t="shared" si="294"/>
        <v>0</v>
      </c>
    </row>
    <row r="965" spans="1:15" x14ac:dyDescent="0.15">
      <c r="B965" s="38" t="s">
        <v>118</v>
      </c>
      <c r="C965" s="9"/>
      <c r="D965" s="14">
        <v>1</v>
      </c>
      <c r="E965" s="13"/>
      <c r="F965" s="46">
        <f t="shared" si="293"/>
        <v>1</v>
      </c>
      <c r="G965" s="73">
        <v>45580</v>
      </c>
      <c r="H965" s="4"/>
      <c r="I965" s="9"/>
      <c r="J965" s="14"/>
      <c r="K965" s="13"/>
      <c r="L965" s="46">
        <f t="shared" si="294"/>
        <v>0</v>
      </c>
    </row>
    <row r="966" spans="1:15" x14ac:dyDescent="0.15">
      <c r="B966" s="4" t="s">
        <v>119</v>
      </c>
      <c r="C966" s="9"/>
      <c r="D966" s="14">
        <v>3</v>
      </c>
      <c r="E966" s="13"/>
      <c r="F966" s="46">
        <f t="shared" si="293"/>
        <v>3</v>
      </c>
      <c r="G966" s="73">
        <v>45581</v>
      </c>
      <c r="H966" s="4"/>
      <c r="I966" s="9"/>
      <c r="J966" s="14"/>
      <c r="K966" s="13"/>
      <c r="L966" s="46">
        <f t="shared" si="294"/>
        <v>0</v>
      </c>
    </row>
    <row r="967" spans="1:15" x14ac:dyDescent="0.15">
      <c r="B967" s="38" t="s">
        <v>25</v>
      </c>
      <c r="C967" s="9"/>
      <c r="D967" s="14">
        <v>1</v>
      </c>
      <c r="E967" s="13"/>
      <c r="F967" s="46">
        <f t="shared" si="293"/>
        <v>1</v>
      </c>
      <c r="G967" s="74">
        <v>45580</v>
      </c>
      <c r="H967" s="4"/>
      <c r="I967" s="9"/>
      <c r="J967" s="14"/>
      <c r="K967" s="13"/>
      <c r="L967" s="46">
        <f t="shared" ref="L967:L983" si="295">SUM(I967:K967)</f>
        <v>0</v>
      </c>
    </row>
    <row r="968" spans="1:15" x14ac:dyDescent="0.15">
      <c r="B968" s="38" t="s">
        <v>25</v>
      </c>
      <c r="C968" s="9">
        <v>1</v>
      </c>
      <c r="D968" s="14">
        <v>2</v>
      </c>
      <c r="E968" s="13"/>
      <c r="F968" s="46">
        <f t="shared" si="293"/>
        <v>3</v>
      </c>
      <c r="G968" s="74">
        <v>45580</v>
      </c>
      <c r="H968" s="4"/>
      <c r="I968" s="9"/>
      <c r="J968" s="14"/>
      <c r="K968" s="13"/>
      <c r="L968" s="46">
        <f t="shared" si="295"/>
        <v>0</v>
      </c>
    </row>
    <row r="969" spans="1:15" x14ac:dyDescent="0.15">
      <c r="B969" s="38" t="s">
        <v>25</v>
      </c>
      <c r="C969" s="9"/>
      <c r="D969" s="14"/>
      <c r="E969" s="13">
        <v>2</v>
      </c>
      <c r="F969" s="46">
        <f t="shared" si="293"/>
        <v>2</v>
      </c>
      <c r="G969" s="74">
        <v>45581</v>
      </c>
      <c r="H969" s="4"/>
      <c r="I969" s="9"/>
      <c r="J969" s="14"/>
      <c r="K969" s="13"/>
      <c r="L969" s="46">
        <f t="shared" si="295"/>
        <v>0</v>
      </c>
    </row>
    <row r="970" spans="1:15" x14ac:dyDescent="0.15">
      <c r="B970" s="38" t="s">
        <v>25</v>
      </c>
      <c r="C970" s="9"/>
      <c r="D970" s="14"/>
      <c r="E970" s="13">
        <v>1</v>
      </c>
      <c r="F970" s="46">
        <f t="shared" si="293"/>
        <v>1</v>
      </c>
      <c r="G970" s="73">
        <v>45586</v>
      </c>
      <c r="H970" s="4"/>
      <c r="I970" s="9"/>
      <c r="J970" s="14"/>
      <c r="K970" s="13"/>
      <c r="L970" s="46">
        <f t="shared" si="295"/>
        <v>0</v>
      </c>
    </row>
    <row r="971" spans="1:15" x14ac:dyDescent="0.15">
      <c r="B971" s="38" t="s">
        <v>25</v>
      </c>
      <c r="C971" s="9"/>
      <c r="D971" s="14">
        <v>1</v>
      </c>
      <c r="E971" s="13">
        <v>1</v>
      </c>
      <c r="F971" s="46">
        <f t="shared" si="293"/>
        <v>2</v>
      </c>
      <c r="G971" s="73">
        <v>45590</v>
      </c>
      <c r="H971" s="4"/>
      <c r="I971" s="9"/>
      <c r="J971" s="14"/>
      <c r="K971" s="13"/>
      <c r="L971" s="46">
        <f t="shared" si="295"/>
        <v>0</v>
      </c>
    </row>
    <row r="972" spans="1:15" x14ac:dyDescent="0.15">
      <c r="B972" s="38" t="s">
        <v>25</v>
      </c>
      <c r="C972" s="9">
        <v>1</v>
      </c>
      <c r="D972" s="14"/>
      <c r="E972" s="13">
        <v>1</v>
      </c>
      <c r="F972" s="46">
        <f t="shared" si="293"/>
        <v>2</v>
      </c>
      <c r="G972" s="73">
        <v>45593</v>
      </c>
      <c r="H972" s="4"/>
      <c r="I972" s="9"/>
      <c r="J972" s="14"/>
      <c r="K972" s="13"/>
      <c r="L972" s="46">
        <f t="shared" si="295"/>
        <v>0</v>
      </c>
    </row>
    <row r="973" spans="1:15" x14ac:dyDescent="0.15">
      <c r="B973" s="4" t="s">
        <v>120</v>
      </c>
      <c r="C973" s="9"/>
      <c r="D973" s="14">
        <v>1</v>
      </c>
      <c r="E973" s="13"/>
      <c r="F973" s="46">
        <f t="shared" si="293"/>
        <v>1</v>
      </c>
      <c r="G973" s="73">
        <v>45595</v>
      </c>
      <c r="H973" s="4"/>
      <c r="I973" s="9"/>
      <c r="J973" s="14"/>
      <c r="K973" s="13"/>
      <c r="L973" s="46">
        <f t="shared" si="295"/>
        <v>0</v>
      </c>
    </row>
    <row r="974" spans="1:15" x14ac:dyDescent="0.15">
      <c r="B974" s="38" t="s">
        <v>25</v>
      </c>
      <c r="C974" s="9"/>
      <c r="D974" s="14">
        <v>1</v>
      </c>
      <c r="E974" s="13"/>
      <c r="F974" s="46">
        <f t="shared" si="293"/>
        <v>1</v>
      </c>
      <c r="G974" s="73">
        <v>45594</v>
      </c>
      <c r="H974" s="4"/>
      <c r="I974" s="9"/>
      <c r="J974" s="14"/>
      <c r="K974" s="13"/>
      <c r="L974" s="46">
        <f t="shared" si="295"/>
        <v>0</v>
      </c>
    </row>
    <row r="975" spans="1:15" x14ac:dyDescent="0.15">
      <c r="A975" s="1"/>
      <c r="B975" s="38" t="s">
        <v>25</v>
      </c>
      <c r="C975" s="9">
        <v>9</v>
      </c>
      <c r="D975" s="14">
        <v>11</v>
      </c>
      <c r="E975" s="13">
        <v>4</v>
      </c>
      <c r="F975" s="46">
        <f t="shared" si="293"/>
        <v>24</v>
      </c>
      <c r="G975" s="73">
        <v>45598</v>
      </c>
      <c r="H975" s="4"/>
      <c r="I975" s="9"/>
      <c r="J975" s="14"/>
      <c r="K975" s="13"/>
      <c r="L975" s="46">
        <f t="shared" si="295"/>
        <v>0</v>
      </c>
    </row>
    <row r="976" spans="1:15" x14ac:dyDescent="0.15">
      <c r="A976" s="1"/>
      <c r="B976" s="38" t="s">
        <v>25</v>
      </c>
      <c r="C976" s="9">
        <v>9</v>
      </c>
      <c r="D976" s="14">
        <v>8</v>
      </c>
      <c r="E976" s="13"/>
      <c r="F976" s="46">
        <f t="shared" si="293"/>
        <v>17</v>
      </c>
      <c r="G976" s="74">
        <v>45601</v>
      </c>
      <c r="H976" s="4"/>
      <c r="I976" s="9"/>
      <c r="J976" s="14"/>
      <c r="K976" s="13"/>
      <c r="L976" s="46">
        <f t="shared" si="295"/>
        <v>0</v>
      </c>
    </row>
    <row r="977" spans="1:13" x14ac:dyDescent="0.15">
      <c r="A977" s="1"/>
      <c r="B977" s="38" t="s">
        <v>25</v>
      </c>
      <c r="C977" s="9">
        <v>2</v>
      </c>
      <c r="D977" s="14">
        <v>2</v>
      </c>
      <c r="E977" s="13"/>
      <c r="F977" s="46">
        <f t="shared" si="293"/>
        <v>4</v>
      </c>
      <c r="G977" s="74">
        <v>45603</v>
      </c>
      <c r="H977" s="4"/>
      <c r="I977" s="9"/>
      <c r="J977" s="14"/>
      <c r="K977" s="13"/>
      <c r="L977" s="46">
        <f t="shared" si="295"/>
        <v>0</v>
      </c>
    </row>
    <row r="978" spans="1:13" x14ac:dyDescent="0.15">
      <c r="A978" s="1"/>
      <c r="B978" s="38" t="s">
        <v>25</v>
      </c>
      <c r="C978" s="9">
        <v>3</v>
      </c>
      <c r="D978" s="14">
        <f>1+2</f>
        <v>3</v>
      </c>
      <c r="E978" s="13">
        <v>3</v>
      </c>
      <c r="F978" s="46">
        <f t="shared" si="293"/>
        <v>9</v>
      </c>
      <c r="G978" s="74">
        <v>45604</v>
      </c>
      <c r="H978" s="4"/>
      <c r="I978" s="9"/>
      <c r="J978" s="14"/>
      <c r="K978" s="13"/>
      <c r="L978" s="46">
        <f t="shared" si="295"/>
        <v>0</v>
      </c>
    </row>
    <row r="979" spans="1:13" x14ac:dyDescent="0.15">
      <c r="A979" s="26"/>
      <c r="B979" s="38" t="s">
        <v>25</v>
      </c>
      <c r="C979" s="9">
        <f>1+1</f>
        <v>2</v>
      </c>
      <c r="D979" s="14">
        <v>4</v>
      </c>
      <c r="E979" s="13">
        <v>1</v>
      </c>
      <c r="F979" s="46">
        <f t="shared" si="293"/>
        <v>7</v>
      </c>
      <c r="G979" s="74">
        <v>45607</v>
      </c>
      <c r="H979" s="4"/>
      <c r="I979" s="9"/>
      <c r="J979" s="14"/>
      <c r="K979" s="13"/>
      <c r="L979" s="46">
        <f t="shared" si="295"/>
        <v>0</v>
      </c>
    </row>
    <row r="980" spans="1:13" x14ac:dyDescent="0.15">
      <c r="A980" s="26"/>
      <c r="B980" s="38" t="s">
        <v>25</v>
      </c>
      <c r="C980" s="9">
        <v>1</v>
      </c>
      <c r="D980" s="14">
        <v>1</v>
      </c>
      <c r="E980" s="13">
        <v>1</v>
      </c>
      <c r="F980" s="46">
        <f t="shared" si="293"/>
        <v>3</v>
      </c>
      <c r="G980" s="74">
        <v>45612</v>
      </c>
      <c r="H980" s="4"/>
      <c r="I980" s="9"/>
      <c r="J980" s="14"/>
      <c r="K980" s="13"/>
      <c r="L980" s="46">
        <f t="shared" si="295"/>
        <v>0</v>
      </c>
    </row>
    <row r="981" spans="1:13" ht="14.25" thickBot="1" x14ac:dyDescent="0.2">
      <c r="A981" s="1"/>
      <c r="B981" s="38" t="s">
        <v>25</v>
      </c>
      <c r="C981" s="9">
        <v>1</v>
      </c>
      <c r="D981" s="14"/>
      <c r="E981" s="13"/>
      <c r="F981" s="46">
        <f t="shared" si="293"/>
        <v>1</v>
      </c>
      <c r="G981" s="74">
        <v>45621</v>
      </c>
      <c r="H981" s="4" t="s">
        <v>110</v>
      </c>
      <c r="I981" s="9"/>
      <c r="J981" s="14"/>
      <c r="K981" s="13"/>
      <c r="L981" s="46">
        <f t="shared" si="295"/>
        <v>0</v>
      </c>
      <c r="M981" s="54" t="s">
        <v>111</v>
      </c>
    </row>
    <row r="982" spans="1:13" ht="14.25" thickBot="1" x14ac:dyDescent="0.2">
      <c r="A982" s="1"/>
      <c r="B982" s="5" t="s">
        <v>9</v>
      </c>
      <c r="C982" s="10">
        <f>SUM(C958:C981)</f>
        <v>70</v>
      </c>
      <c r="D982" s="10">
        <f t="shared" ref="D982:E982" si="296">SUM(D958:D981)</f>
        <v>48</v>
      </c>
      <c r="E982" s="10">
        <f t="shared" si="296"/>
        <v>14</v>
      </c>
      <c r="F982" s="48">
        <f t="shared" si="293"/>
        <v>132</v>
      </c>
      <c r="G982" s="1"/>
      <c r="H982" s="5" t="s">
        <v>9</v>
      </c>
      <c r="I982" s="10">
        <f>SUM(I958:I981)</f>
        <v>55</v>
      </c>
      <c r="J982" s="10">
        <f t="shared" ref="J982:K982" si="297">SUM(J958:J981)</f>
        <v>40</v>
      </c>
      <c r="K982" s="10">
        <f t="shared" si="297"/>
        <v>54</v>
      </c>
      <c r="L982" s="48">
        <f t="shared" si="295"/>
        <v>149</v>
      </c>
    </row>
    <row r="983" spans="1:13" ht="14.25" thickBot="1" x14ac:dyDescent="0.2">
      <c r="A983" s="1"/>
      <c r="B983" s="8" t="s">
        <v>10</v>
      </c>
      <c r="C983" s="11">
        <f>C957-C982</f>
        <v>23</v>
      </c>
      <c r="D983" s="11">
        <f t="shared" ref="D983:E983" si="298">D957-D982</f>
        <v>21</v>
      </c>
      <c r="E983" s="11">
        <f t="shared" si="298"/>
        <v>4</v>
      </c>
      <c r="F983" s="37">
        <f t="shared" si="293"/>
        <v>48</v>
      </c>
      <c r="G983" s="1"/>
      <c r="H983" s="8" t="s">
        <v>10</v>
      </c>
      <c r="I983" s="11">
        <f>I957-I982</f>
        <v>754</v>
      </c>
      <c r="J983" s="11">
        <f t="shared" ref="J983:K983" si="299">J957-J982</f>
        <v>416</v>
      </c>
      <c r="K983" s="11">
        <f t="shared" si="299"/>
        <v>40</v>
      </c>
      <c r="L983" s="37">
        <f t="shared" si="295"/>
        <v>1210</v>
      </c>
    </row>
    <row r="986" spans="1:13" ht="18.75" x14ac:dyDescent="0.2">
      <c r="A986" s="41" t="s">
        <v>12</v>
      </c>
      <c r="B986" s="42"/>
      <c r="C986" s="41"/>
      <c r="D986" s="43"/>
      <c r="E986" s="43"/>
      <c r="F986" s="2"/>
      <c r="G986" s="1"/>
      <c r="H986" s="41" t="s">
        <v>12</v>
      </c>
      <c r="I986" s="41"/>
      <c r="J986" s="43"/>
      <c r="K986" s="43"/>
      <c r="L986" s="2"/>
    </row>
    <row r="987" spans="1:13" ht="19.5" thickBot="1" x14ac:dyDescent="0.25">
      <c r="A987" s="7"/>
      <c r="B987" s="7" t="s">
        <v>0</v>
      </c>
      <c r="C987" s="7"/>
      <c r="D987" s="7" t="s">
        <v>15</v>
      </c>
      <c r="E987" s="2"/>
      <c r="F987" s="2"/>
      <c r="G987" s="1"/>
      <c r="H987" s="7" t="s">
        <v>1</v>
      </c>
      <c r="I987" s="1"/>
      <c r="J987" s="7" t="s">
        <v>15</v>
      </c>
      <c r="K987" s="2"/>
      <c r="L987" s="2"/>
    </row>
    <row r="988" spans="1:13" ht="14.25" thickBot="1" x14ac:dyDescent="0.2">
      <c r="A988" s="1"/>
      <c r="B988" s="3"/>
      <c r="C988" s="5" t="s">
        <v>2</v>
      </c>
      <c r="D988" s="3" t="s">
        <v>3</v>
      </c>
      <c r="E988" s="12" t="s">
        <v>4</v>
      </c>
      <c r="F988" s="3" t="s">
        <v>5</v>
      </c>
      <c r="G988" s="1"/>
      <c r="H988" s="3"/>
      <c r="I988" s="5" t="s">
        <v>2</v>
      </c>
      <c r="J988" s="3" t="s">
        <v>3</v>
      </c>
      <c r="K988" s="12" t="s">
        <v>4</v>
      </c>
      <c r="L988" s="3" t="s">
        <v>5</v>
      </c>
    </row>
    <row r="989" spans="1:13" ht="14.25" thickBot="1" x14ac:dyDescent="0.2">
      <c r="A989" s="1"/>
      <c r="B989" s="34" t="s">
        <v>11</v>
      </c>
      <c r="C989" s="35">
        <f>C983</f>
        <v>23</v>
      </c>
      <c r="D989" s="36">
        <f>D983</f>
        <v>21</v>
      </c>
      <c r="E989" s="35">
        <f>E983</f>
        <v>4</v>
      </c>
      <c r="F989" s="37">
        <f>SUM(C989:E989)</f>
        <v>48</v>
      </c>
      <c r="G989" s="28"/>
      <c r="H989" s="34"/>
      <c r="I989" s="35">
        <f>I983</f>
        <v>754</v>
      </c>
      <c r="J989" s="36">
        <f t="shared" ref="J989:L989" si="300">J983</f>
        <v>416</v>
      </c>
      <c r="K989" s="35">
        <f t="shared" si="300"/>
        <v>40</v>
      </c>
      <c r="L989" s="37">
        <f t="shared" si="300"/>
        <v>1210</v>
      </c>
    </row>
    <row r="990" spans="1:13" x14ac:dyDescent="0.15">
      <c r="A990" s="1"/>
      <c r="B990" s="29" t="s">
        <v>7</v>
      </c>
      <c r="C990" s="20"/>
      <c r="D990" s="21"/>
      <c r="E990" s="20">
        <v>40</v>
      </c>
      <c r="F990" s="46">
        <f t="shared" ref="F990:F994" si="301">SUM(C990:E990)</f>
        <v>40</v>
      </c>
      <c r="G990" s="24">
        <v>45633</v>
      </c>
      <c r="H990" s="29"/>
      <c r="I990" s="20"/>
      <c r="J990" s="21"/>
      <c r="K990" s="20"/>
      <c r="L990" s="46">
        <f t="shared" ref="L990:L991" si="302">SUM(I990:K990)</f>
        <v>0</v>
      </c>
    </row>
    <row r="991" spans="1:13" x14ac:dyDescent="0.15">
      <c r="A991" s="1"/>
      <c r="B991" s="29" t="s">
        <v>121</v>
      </c>
      <c r="C991" s="20">
        <v>7</v>
      </c>
      <c r="D991" s="21"/>
      <c r="E991" s="20"/>
      <c r="F991" s="46">
        <f t="shared" si="301"/>
        <v>7</v>
      </c>
      <c r="G991" s="24">
        <v>45649</v>
      </c>
      <c r="H991" s="29"/>
      <c r="I991" s="20"/>
      <c r="J991" s="21"/>
      <c r="K991" s="20"/>
      <c r="L991" s="46">
        <f t="shared" si="302"/>
        <v>0</v>
      </c>
    </row>
    <row r="992" spans="1:13" x14ac:dyDescent="0.15">
      <c r="A992" s="26"/>
      <c r="B992" s="29" t="s">
        <v>7</v>
      </c>
      <c r="C992" s="20">
        <v>5</v>
      </c>
      <c r="D992" s="21">
        <v>5</v>
      </c>
      <c r="E992" s="20"/>
      <c r="F992" s="46">
        <f t="shared" si="301"/>
        <v>10</v>
      </c>
      <c r="G992" s="24">
        <v>45681</v>
      </c>
      <c r="H992" s="29"/>
      <c r="I992" s="20"/>
      <c r="J992" s="21"/>
      <c r="K992" s="20"/>
      <c r="L992" s="46">
        <f t="shared" ref="L992:L999" si="303">SUM(I992:K992)</f>
        <v>0</v>
      </c>
    </row>
    <row r="993" spans="1:13" x14ac:dyDescent="0.15">
      <c r="A993" s="1"/>
      <c r="B993" s="29" t="s">
        <v>7</v>
      </c>
      <c r="C993" s="20"/>
      <c r="D993" s="21"/>
      <c r="E993" s="20"/>
      <c r="F993" s="46">
        <f t="shared" si="301"/>
        <v>0</v>
      </c>
      <c r="G993" s="24"/>
      <c r="H993" s="29"/>
      <c r="I993" s="20"/>
      <c r="J993" s="21"/>
      <c r="K993" s="20"/>
      <c r="L993" s="46">
        <f t="shared" si="303"/>
        <v>0</v>
      </c>
    </row>
    <row r="994" spans="1:13" x14ac:dyDescent="0.15">
      <c r="A994" s="1"/>
      <c r="B994" s="29" t="s">
        <v>7</v>
      </c>
      <c r="C994" s="20"/>
      <c r="D994" s="21"/>
      <c r="E994" s="20"/>
      <c r="F994" s="46">
        <f t="shared" si="301"/>
        <v>0</v>
      </c>
      <c r="G994" s="24"/>
      <c r="H994" s="29"/>
      <c r="I994" s="20"/>
      <c r="J994" s="21"/>
      <c r="K994" s="20"/>
      <c r="L994" s="46">
        <f t="shared" si="303"/>
        <v>0</v>
      </c>
    </row>
    <row r="995" spans="1:13" x14ac:dyDescent="0.15">
      <c r="A995" s="1"/>
      <c r="B995" s="29" t="s">
        <v>7</v>
      </c>
      <c r="C995" s="20"/>
      <c r="D995" s="21"/>
      <c r="E995" s="20"/>
      <c r="F995" s="46">
        <f t="shared" ref="F995:F999" si="304">SUM(C995:E995)</f>
        <v>0</v>
      </c>
      <c r="G995" s="24"/>
      <c r="H995" s="29"/>
      <c r="I995" s="20"/>
      <c r="J995" s="21"/>
      <c r="K995" s="20"/>
      <c r="L995" s="46">
        <f t="shared" si="303"/>
        <v>0</v>
      </c>
    </row>
    <row r="996" spans="1:13" x14ac:dyDescent="0.15">
      <c r="A996" s="1"/>
      <c r="B996" s="29" t="s">
        <v>7</v>
      </c>
      <c r="C996" s="20"/>
      <c r="D996" s="21"/>
      <c r="E996" s="20"/>
      <c r="F996" s="46">
        <f t="shared" si="304"/>
        <v>0</v>
      </c>
      <c r="G996" s="24"/>
      <c r="H996" s="29"/>
      <c r="I996" s="20"/>
      <c r="J996" s="21"/>
      <c r="K996" s="20"/>
      <c r="L996" s="46">
        <f t="shared" si="303"/>
        <v>0</v>
      </c>
    </row>
    <row r="997" spans="1:13" x14ac:dyDescent="0.15">
      <c r="A997" s="1"/>
      <c r="B997" s="29" t="s">
        <v>7</v>
      </c>
      <c r="C997" s="20"/>
      <c r="D997" s="21"/>
      <c r="E997" s="20"/>
      <c r="F997" s="46">
        <f t="shared" si="304"/>
        <v>0</v>
      </c>
      <c r="G997" s="24"/>
      <c r="H997" s="29"/>
      <c r="I997" s="20"/>
      <c r="J997" s="21"/>
      <c r="K997" s="20"/>
      <c r="L997" s="46">
        <f t="shared" si="303"/>
        <v>0</v>
      </c>
    </row>
    <row r="998" spans="1:13" x14ac:dyDescent="0.15">
      <c r="A998" s="1"/>
      <c r="B998" s="29" t="s">
        <v>7</v>
      </c>
      <c r="C998" s="20"/>
      <c r="D998" s="21"/>
      <c r="E998" s="20"/>
      <c r="F998" s="46">
        <f t="shared" si="304"/>
        <v>0</v>
      </c>
      <c r="G998" s="24"/>
      <c r="H998" s="29"/>
      <c r="I998" s="20"/>
      <c r="J998" s="21"/>
      <c r="K998" s="20"/>
      <c r="L998" s="46">
        <f t="shared" si="303"/>
        <v>0</v>
      </c>
    </row>
    <row r="999" spans="1:13" ht="14.25" thickBot="1" x14ac:dyDescent="0.2">
      <c r="A999" s="1"/>
      <c r="B999" s="29" t="s">
        <v>7</v>
      </c>
      <c r="C999" s="20"/>
      <c r="D999" s="21"/>
      <c r="E999" s="20"/>
      <c r="F999" s="46">
        <f t="shared" si="304"/>
        <v>0</v>
      </c>
      <c r="G999" s="24"/>
      <c r="H999" s="29"/>
      <c r="I999" s="19"/>
      <c r="J999" s="4"/>
      <c r="K999" s="19"/>
      <c r="L999" s="46">
        <f t="shared" si="303"/>
        <v>0</v>
      </c>
    </row>
    <row r="1000" spans="1:13" ht="14.25" thickBot="1" x14ac:dyDescent="0.2">
      <c r="A1000" s="1"/>
      <c r="B1000" s="6" t="s">
        <v>8</v>
      </c>
      <c r="C1000" s="44">
        <f>SUM(C989:C999)</f>
        <v>35</v>
      </c>
      <c r="D1000" s="44">
        <f t="shared" ref="D1000:F1000" si="305">SUM(D989:D999)</f>
        <v>26</v>
      </c>
      <c r="E1000" s="44">
        <f t="shared" si="305"/>
        <v>44</v>
      </c>
      <c r="F1000" s="45">
        <f t="shared" si="305"/>
        <v>105</v>
      </c>
      <c r="G1000" s="1"/>
      <c r="H1000" s="6"/>
      <c r="I1000" s="44">
        <f>SUM(I989:I999)</f>
        <v>754</v>
      </c>
      <c r="J1000" s="44">
        <f t="shared" ref="J1000" si="306">SUM(J989:J999)</f>
        <v>416</v>
      </c>
      <c r="K1000" s="44">
        <f t="shared" ref="K1000" si="307">SUM(K989:K999)</f>
        <v>40</v>
      </c>
      <c r="L1000" s="45">
        <f t="shared" ref="L1000" si="308">SUM(L989:L999)</f>
        <v>1210</v>
      </c>
    </row>
    <row r="1001" spans="1:13" x14ac:dyDescent="0.15">
      <c r="A1001" s="1"/>
      <c r="B1001" s="38" t="s">
        <v>25</v>
      </c>
      <c r="C1001" s="9"/>
      <c r="D1001" s="14">
        <v>1</v>
      </c>
      <c r="E1001" s="13"/>
      <c r="F1001" s="46">
        <f t="shared" ref="F1001:F1021" si="309">SUM(C1001:E1001)</f>
        <v>1</v>
      </c>
      <c r="G1001" s="74">
        <v>45624</v>
      </c>
      <c r="H1001" s="4" t="s">
        <v>24</v>
      </c>
      <c r="I1001" s="9"/>
      <c r="J1001" s="14"/>
      <c r="K1001" s="13">
        <v>40</v>
      </c>
      <c r="L1001" s="46">
        <f t="shared" ref="L1001:L1002" si="310">SUM(I1001:K1001)</f>
        <v>40</v>
      </c>
      <c r="M1001" s="73">
        <v>45633</v>
      </c>
    </row>
    <row r="1002" spans="1:13" x14ac:dyDescent="0.15">
      <c r="B1002" s="38" t="s">
        <v>25</v>
      </c>
      <c r="C1002" s="9">
        <v>1</v>
      </c>
      <c r="D1002" s="14"/>
      <c r="E1002" s="13"/>
      <c r="F1002" s="46">
        <f t="shared" si="309"/>
        <v>1</v>
      </c>
      <c r="G1002" s="74">
        <v>45629</v>
      </c>
      <c r="H1002" s="4" t="s">
        <v>24</v>
      </c>
      <c r="I1002" s="9">
        <v>5</v>
      </c>
      <c r="J1002" s="14">
        <v>5</v>
      </c>
      <c r="K1002" s="13"/>
      <c r="L1002" s="46">
        <f t="shared" si="310"/>
        <v>10</v>
      </c>
      <c r="M1002" s="73">
        <v>45681</v>
      </c>
    </row>
    <row r="1003" spans="1:13" x14ac:dyDescent="0.15">
      <c r="B1003" s="38" t="s">
        <v>25</v>
      </c>
      <c r="C1003" s="9"/>
      <c r="D1003" s="14">
        <f>1+1</f>
        <v>2</v>
      </c>
      <c r="E1003" s="13">
        <v>2</v>
      </c>
      <c r="F1003" s="46">
        <f t="shared" si="309"/>
        <v>4</v>
      </c>
      <c r="G1003" s="74">
        <v>45631</v>
      </c>
      <c r="H1003" s="4"/>
      <c r="I1003" s="9"/>
      <c r="J1003" s="14"/>
      <c r="K1003" s="13"/>
      <c r="L1003" s="46">
        <f t="shared" ref="L1003:L1007" si="311">SUM(I1003:K1003)</f>
        <v>0</v>
      </c>
      <c r="M1003" s="54"/>
    </row>
    <row r="1004" spans="1:13" x14ac:dyDescent="0.15">
      <c r="B1004" s="38" t="s">
        <v>25</v>
      </c>
      <c r="C1004" s="9">
        <v>1</v>
      </c>
      <c r="D1004" s="14"/>
      <c r="E1004" s="13"/>
      <c r="F1004" s="46">
        <f t="shared" si="309"/>
        <v>1</v>
      </c>
      <c r="G1004" s="74">
        <v>45632</v>
      </c>
      <c r="H1004" s="4"/>
      <c r="I1004" s="9"/>
      <c r="J1004" s="14"/>
      <c r="K1004" s="13"/>
      <c r="L1004" s="46">
        <f t="shared" si="311"/>
        <v>0</v>
      </c>
    </row>
    <row r="1005" spans="1:13" x14ac:dyDescent="0.15">
      <c r="B1005" s="38" t="s">
        <v>25</v>
      </c>
      <c r="C1005" s="9">
        <v>1</v>
      </c>
      <c r="D1005" s="14"/>
      <c r="E1005" s="13">
        <v>1</v>
      </c>
      <c r="F1005" s="46">
        <f t="shared" si="309"/>
        <v>2</v>
      </c>
      <c r="G1005" s="74">
        <v>45633</v>
      </c>
      <c r="H1005" s="4"/>
      <c r="I1005" s="9"/>
      <c r="J1005" s="14"/>
      <c r="K1005" s="13"/>
      <c r="L1005" s="46">
        <f t="shared" si="311"/>
        <v>0</v>
      </c>
    </row>
    <row r="1006" spans="1:13" x14ac:dyDescent="0.15">
      <c r="B1006" s="38" t="s">
        <v>25</v>
      </c>
      <c r="C1006" s="9">
        <f>1+1</f>
        <v>2</v>
      </c>
      <c r="D1006" s="14">
        <v>2</v>
      </c>
      <c r="E1006" s="13">
        <v>1</v>
      </c>
      <c r="F1006" s="46">
        <f t="shared" si="309"/>
        <v>5</v>
      </c>
      <c r="G1006" s="74">
        <v>45635</v>
      </c>
      <c r="H1006" s="4"/>
      <c r="I1006" s="9"/>
      <c r="J1006" s="14"/>
      <c r="K1006" s="13"/>
      <c r="L1006" s="46">
        <f t="shared" si="311"/>
        <v>0</v>
      </c>
    </row>
    <row r="1007" spans="1:13" x14ac:dyDescent="0.15">
      <c r="B1007" s="38" t="s">
        <v>25</v>
      </c>
      <c r="C1007" s="9">
        <v>1</v>
      </c>
      <c r="D1007" s="14"/>
      <c r="E1007" s="13"/>
      <c r="F1007" s="46">
        <f t="shared" si="309"/>
        <v>1</v>
      </c>
      <c r="G1007" s="74">
        <v>45636</v>
      </c>
      <c r="H1007" s="4"/>
      <c r="I1007" s="9"/>
      <c r="J1007" s="14"/>
      <c r="K1007" s="13"/>
      <c r="L1007" s="46">
        <f t="shared" si="311"/>
        <v>0</v>
      </c>
    </row>
    <row r="1008" spans="1:13" x14ac:dyDescent="0.15">
      <c r="B1008" s="38" t="s">
        <v>25</v>
      </c>
      <c r="C1008" s="9">
        <v>1</v>
      </c>
      <c r="D1008" s="14">
        <v>1</v>
      </c>
      <c r="E1008" s="13"/>
      <c r="F1008" s="46">
        <f t="shared" si="309"/>
        <v>2</v>
      </c>
      <c r="G1008" s="74">
        <v>45637</v>
      </c>
      <c r="H1008" s="4"/>
      <c r="I1008" s="9"/>
      <c r="J1008" s="14"/>
      <c r="K1008" s="13"/>
      <c r="L1008" s="46">
        <f t="shared" ref="L1008:L1022" si="312">SUM(I1008:K1008)</f>
        <v>0</v>
      </c>
    </row>
    <row r="1009" spans="1:12" x14ac:dyDescent="0.15">
      <c r="B1009" s="38" t="s">
        <v>25</v>
      </c>
      <c r="C1009" s="9">
        <v>1</v>
      </c>
      <c r="D1009" s="14"/>
      <c r="E1009" s="13"/>
      <c r="F1009" s="46">
        <f t="shared" si="309"/>
        <v>1</v>
      </c>
      <c r="G1009" s="74">
        <v>45638</v>
      </c>
      <c r="H1009" s="4"/>
      <c r="I1009" s="9"/>
      <c r="J1009" s="14"/>
      <c r="K1009" s="13"/>
      <c r="L1009" s="46">
        <f t="shared" si="312"/>
        <v>0</v>
      </c>
    </row>
    <row r="1010" spans="1:12" x14ac:dyDescent="0.15">
      <c r="B1010" s="38" t="s">
        <v>25</v>
      </c>
      <c r="C1010" s="9">
        <v>1</v>
      </c>
      <c r="D1010" s="14"/>
      <c r="E1010" s="13">
        <v>1</v>
      </c>
      <c r="F1010" s="46">
        <f t="shared" si="309"/>
        <v>2</v>
      </c>
      <c r="G1010" s="74">
        <v>45642</v>
      </c>
      <c r="H1010" s="4"/>
      <c r="I1010" s="9"/>
      <c r="J1010" s="14"/>
      <c r="K1010" s="13"/>
      <c r="L1010" s="46">
        <f t="shared" si="312"/>
        <v>0</v>
      </c>
    </row>
    <row r="1011" spans="1:12" x14ac:dyDescent="0.15">
      <c r="B1011" s="38" t="s">
        <v>25</v>
      </c>
      <c r="C1011" s="9">
        <v>2</v>
      </c>
      <c r="D1011" s="14"/>
      <c r="E1011" s="13"/>
      <c r="F1011" s="46">
        <f t="shared" si="309"/>
        <v>2</v>
      </c>
      <c r="G1011" s="74">
        <v>45643</v>
      </c>
      <c r="H1011" s="4"/>
      <c r="I1011" s="9"/>
      <c r="J1011" s="14"/>
      <c r="K1011" s="13"/>
      <c r="L1011" s="46">
        <f t="shared" si="312"/>
        <v>0</v>
      </c>
    </row>
    <row r="1012" spans="1:12" x14ac:dyDescent="0.15">
      <c r="B1012" s="38" t="s">
        <v>25</v>
      </c>
      <c r="C1012" s="9">
        <v>1</v>
      </c>
      <c r="D1012" s="14"/>
      <c r="E1012" s="13">
        <v>2</v>
      </c>
      <c r="F1012" s="46">
        <f t="shared" si="309"/>
        <v>3</v>
      </c>
      <c r="G1012" s="74">
        <v>45644</v>
      </c>
      <c r="H1012" s="4"/>
      <c r="I1012" s="9"/>
      <c r="J1012" s="14"/>
      <c r="K1012" s="13"/>
      <c r="L1012" s="46">
        <f t="shared" si="312"/>
        <v>0</v>
      </c>
    </row>
    <row r="1013" spans="1:12" x14ac:dyDescent="0.15">
      <c r="B1013" s="38" t="s">
        <v>25</v>
      </c>
      <c r="C1013" s="9">
        <v>1</v>
      </c>
      <c r="D1013" s="14"/>
      <c r="E1013" s="13"/>
      <c r="F1013" s="46">
        <f t="shared" si="309"/>
        <v>1</v>
      </c>
      <c r="G1013" s="74">
        <v>45647</v>
      </c>
      <c r="H1013" s="4"/>
      <c r="I1013" s="9"/>
      <c r="J1013" s="14"/>
      <c r="K1013" s="13"/>
      <c r="L1013" s="46">
        <f t="shared" si="312"/>
        <v>0</v>
      </c>
    </row>
    <row r="1014" spans="1:12" x14ac:dyDescent="0.15">
      <c r="B1014" s="38" t="s">
        <v>25</v>
      </c>
      <c r="C1014" s="9"/>
      <c r="D1014" s="14">
        <f>1+1</f>
        <v>2</v>
      </c>
      <c r="E1014" s="13"/>
      <c r="F1014" s="46">
        <f t="shared" si="309"/>
        <v>2</v>
      </c>
      <c r="G1014" s="74">
        <v>45649</v>
      </c>
      <c r="H1014" s="4"/>
      <c r="I1014" s="9"/>
      <c r="J1014" s="14"/>
      <c r="K1014" s="13"/>
      <c r="L1014" s="46">
        <f t="shared" si="312"/>
        <v>0</v>
      </c>
    </row>
    <row r="1015" spans="1:12" x14ac:dyDescent="0.15">
      <c r="B1015" s="38" t="s">
        <v>25</v>
      </c>
      <c r="C1015" s="9"/>
      <c r="D1015" s="14"/>
      <c r="E1015" s="13">
        <v>1</v>
      </c>
      <c r="F1015" s="46">
        <f t="shared" si="309"/>
        <v>1</v>
      </c>
      <c r="G1015" s="74">
        <v>45628</v>
      </c>
      <c r="H1015" s="4"/>
      <c r="I1015" s="9"/>
      <c r="J1015" s="14"/>
      <c r="K1015" s="13"/>
      <c r="L1015" s="46">
        <f t="shared" si="312"/>
        <v>0</v>
      </c>
    </row>
    <row r="1016" spans="1:12" x14ac:dyDescent="0.15">
      <c r="B1016" s="38" t="s">
        <v>25</v>
      </c>
      <c r="C1016" s="9">
        <v>1</v>
      </c>
      <c r="D1016" s="14"/>
      <c r="E1016" s="13"/>
      <c r="F1016" s="46">
        <f t="shared" si="309"/>
        <v>1</v>
      </c>
      <c r="G1016" s="74">
        <v>45663</v>
      </c>
      <c r="H1016" s="4"/>
      <c r="I1016" s="9"/>
      <c r="J1016" s="14"/>
      <c r="K1016" s="13"/>
      <c r="L1016" s="46">
        <f t="shared" si="312"/>
        <v>0</v>
      </c>
    </row>
    <row r="1017" spans="1:12" x14ac:dyDescent="0.15">
      <c r="B1017" s="38" t="s">
        <v>25</v>
      </c>
      <c r="C1017" s="9"/>
      <c r="D1017" s="14"/>
      <c r="E1017" s="13">
        <v>2</v>
      </c>
      <c r="F1017" s="46">
        <f t="shared" si="309"/>
        <v>2</v>
      </c>
      <c r="G1017" s="74">
        <v>45664</v>
      </c>
      <c r="H1017" s="4"/>
      <c r="I1017" s="9"/>
      <c r="J1017" s="14"/>
      <c r="K1017" s="13"/>
      <c r="L1017" s="46">
        <f t="shared" si="312"/>
        <v>0</v>
      </c>
    </row>
    <row r="1018" spans="1:12" x14ac:dyDescent="0.15">
      <c r="A1018" s="1"/>
      <c r="B1018" s="38" t="s">
        <v>25</v>
      </c>
      <c r="C1018" s="9">
        <f>1+2</f>
        <v>3</v>
      </c>
      <c r="D1018" s="14"/>
      <c r="E1018" s="13">
        <v>1</v>
      </c>
      <c r="F1018" s="46">
        <f t="shared" si="309"/>
        <v>4</v>
      </c>
      <c r="G1018" s="74">
        <v>45666</v>
      </c>
      <c r="H1018" s="4"/>
      <c r="I1018" s="9"/>
      <c r="J1018" s="14"/>
      <c r="K1018" s="13"/>
      <c r="L1018" s="46">
        <f t="shared" si="312"/>
        <v>0</v>
      </c>
    </row>
    <row r="1019" spans="1:12" x14ac:dyDescent="0.15">
      <c r="A1019" s="1"/>
      <c r="B1019" s="38" t="s">
        <v>25</v>
      </c>
      <c r="C1019" s="9">
        <v>3</v>
      </c>
      <c r="D1019" s="14">
        <f>3+1</f>
        <v>4</v>
      </c>
      <c r="E1019" s="13">
        <f>1+1+1</f>
        <v>3</v>
      </c>
      <c r="F1019" s="46">
        <f t="shared" si="309"/>
        <v>10</v>
      </c>
      <c r="G1019" s="74">
        <v>45671</v>
      </c>
      <c r="H1019" s="4"/>
      <c r="I1019" s="9"/>
      <c r="J1019" s="14"/>
      <c r="K1019" s="13"/>
      <c r="L1019" s="46">
        <f t="shared" si="312"/>
        <v>0</v>
      </c>
    </row>
    <row r="1020" spans="1:12" x14ac:dyDescent="0.15">
      <c r="A1020" s="1"/>
      <c r="B1020" s="38" t="s">
        <v>25</v>
      </c>
      <c r="C1020" s="9">
        <f>1+1</f>
        <v>2</v>
      </c>
      <c r="D1020" s="14"/>
      <c r="E1020" s="13"/>
      <c r="F1020" s="46">
        <f t="shared" si="309"/>
        <v>2</v>
      </c>
      <c r="G1020" s="74">
        <v>45659</v>
      </c>
      <c r="H1020" s="4"/>
      <c r="I1020" s="9"/>
      <c r="J1020" s="14"/>
      <c r="K1020" s="13"/>
      <c r="L1020" s="46">
        <f t="shared" si="312"/>
        <v>0</v>
      </c>
    </row>
    <row r="1021" spans="1:12" x14ac:dyDescent="0.15">
      <c r="A1021" s="1"/>
      <c r="B1021" s="38" t="s">
        <v>25</v>
      </c>
      <c r="C1021" s="9"/>
      <c r="D1021" s="14"/>
      <c r="E1021" s="13">
        <v>1</v>
      </c>
      <c r="F1021" s="46">
        <f t="shared" si="309"/>
        <v>1</v>
      </c>
      <c r="G1021" s="74">
        <v>45679</v>
      </c>
      <c r="H1021" s="4"/>
      <c r="I1021" s="9"/>
      <c r="J1021" s="14"/>
      <c r="K1021" s="13"/>
      <c r="L1021" s="46">
        <f t="shared" si="312"/>
        <v>0</v>
      </c>
    </row>
    <row r="1022" spans="1:12" x14ac:dyDescent="0.15">
      <c r="A1022" s="26"/>
      <c r="B1022" s="38" t="s">
        <v>25</v>
      </c>
      <c r="C1022" s="9">
        <v>3</v>
      </c>
      <c r="D1022" s="14">
        <v>1</v>
      </c>
      <c r="E1022" s="13">
        <v>2</v>
      </c>
      <c r="F1022" s="46">
        <f t="shared" ref="F1022:F1026" si="313">SUM(C1022:E1022)</f>
        <v>6</v>
      </c>
      <c r="G1022" s="74">
        <v>45680</v>
      </c>
      <c r="H1022" s="4"/>
      <c r="I1022" s="9"/>
      <c r="J1022" s="14"/>
      <c r="K1022" s="13"/>
      <c r="L1022" s="46">
        <f t="shared" si="312"/>
        <v>0</v>
      </c>
    </row>
    <row r="1023" spans="1:12" x14ac:dyDescent="0.15">
      <c r="A1023" s="26"/>
      <c r="B1023" s="38" t="s">
        <v>25</v>
      </c>
      <c r="C1023" s="9"/>
      <c r="D1023" s="14">
        <v>1</v>
      </c>
      <c r="E1023" s="13">
        <v>1</v>
      </c>
      <c r="F1023" s="46">
        <f t="shared" si="313"/>
        <v>2</v>
      </c>
      <c r="G1023" s="74">
        <v>45681</v>
      </c>
      <c r="H1023" s="4"/>
      <c r="I1023" s="9"/>
      <c r="J1023" s="14"/>
      <c r="K1023" s="13"/>
      <c r="L1023" s="46">
        <f t="shared" ref="L1023" si="314">SUM(I1023:K1023)</f>
        <v>0</v>
      </c>
    </row>
    <row r="1024" spans="1:12" ht="14.25" thickBot="1" x14ac:dyDescent="0.2">
      <c r="A1024" s="1"/>
      <c r="B1024" s="38" t="s">
        <v>25</v>
      </c>
      <c r="C1024" s="9">
        <v>1</v>
      </c>
      <c r="D1024" s="14">
        <v>1</v>
      </c>
      <c r="E1024" s="13"/>
      <c r="F1024" s="46">
        <f t="shared" si="313"/>
        <v>2</v>
      </c>
      <c r="G1024" s="74">
        <v>45684</v>
      </c>
      <c r="H1024" s="4"/>
      <c r="I1024" s="9"/>
      <c r="J1024" s="14"/>
      <c r="K1024" s="13"/>
      <c r="L1024" s="46">
        <f t="shared" ref="L1024" si="315">SUM(I1024:K1024)</f>
        <v>0</v>
      </c>
    </row>
    <row r="1025" spans="1:12" ht="14.25" thickBot="1" x14ac:dyDescent="0.2">
      <c r="A1025" s="1"/>
      <c r="B1025" s="5" t="s">
        <v>9</v>
      </c>
      <c r="C1025" s="10">
        <f>SUM(C1001:C1024)</f>
        <v>26</v>
      </c>
      <c r="D1025" s="10">
        <f t="shared" ref="D1025:E1025" si="316">SUM(D1001:D1024)</f>
        <v>15</v>
      </c>
      <c r="E1025" s="10">
        <f t="shared" si="316"/>
        <v>18</v>
      </c>
      <c r="F1025" s="48">
        <f t="shared" si="313"/>
        <v>59</v>
      </c>
      <c r="G1025" s="1"/>
      <c r="H1025" s="5" t="s">
        <v>9</v>
      </c>
      <c r="I1025" s="10">
        <f>SUM(I1001:I1024)</f>
        <v>5</v>
      </c>
      <c r="J1025" s="10">
        <f t="shared" ref="J1025" si="317">SUM(J1001:J1024)</f>
        <v>5</v>
      </c>
      <c r="K1025" s="76">
        <f t="shared" ref="K1025" si="318">SUM(K1001:K1024)</f>
        <v>40</v>
      </c>
      <c r="L1025" s="48">
        <f t="shared" ref="L1025" si="319">SUM(L1001:L1024)</f>
        <v>50</v>
      </c>
    </row>
    <row r="1026" spans="1:12" ht="14.25" thickBot="1" x14ac:dyDescent="0.2">
      <c r="A1026" s="1"/>
      <c r="B1026" s="8" t="s">
        <v>10</v>
      </c>
      <c r="C1026" s="11">
        <f>C1000-C1025</f>
        <v>9</v>
      </c>
      <c r="D1026" s="11">
        <f t="shared" ref="D1026:E1026" si="320">D1000-D1025</f>
        <v>11</v>
      </c>
      <c r="E1026" s="11">
        <f t="shared" si="320"/>
        <v>26</v>
      </c>
      <c r="F1026" s="37">
        <f t="shared" si="313"/>
        <v>46</v>
      </c>
      <c r="G1026" s="1"/>
      <c r="H1026" s="8" t="s">
        <v>10</v>
      </c>
      <c r="I1026" s="11">
        <f>I1000-I1025</f>
        <v>749</v>
      </c>
      <c r="J1026" s="11">
        <f t="shared" ref="J1026" si="321">J1000-J1025</f>
        <v>411</v>
      </c>
      <c r="K1026" s="77">
        <f t="shared" ref="K1026" si="322">K1000-K1025</f>
        <v>0</v>
      </c>
      <c r="L1026" s="37">
        <f t="shared" ref="L1026" si="323">L1000-L1025</f>
        <v>1160</v>
      </c>
    </row>
    <row r="1029" spans="1:12" ht="18.75" x14ac:dyDescent="0.2">
      <c r="A1029" s="41" t="s">
        <v>12</v>
      </c>
      <c r="B1029" s="42"/>
      <c r="C1029" s="41"/>
      <c r="D1029" s="43"/>
      <c r="E1029" s="43"/>
      <c r="F1029" s="2"/>
      <c r="G1029" s="1"/>
      <c r="H1029" s="41" t="s">
        <v>12</v>
      </c>
      <c r="I1029" s="41"/>
      <c r="J1029" s="43"/>
      <c r="K1029" s="43"/>
      <c r="L1029" s="2"/>
    </row>
    <row r="1030" spans="1:12" ht="19.5" thickBot="1" x14ac:dyDescent="0.25">
      <c r="A1030" s="7"/>
      <c r="B1030" s="7" t="s">
        <v>0</v>
      </c>
      <c r="C1030" s="7"/>
      <c r="D1030" s="7" t="s">
        <v>15</v>
      </c>
      <c r="E1030" s="2"/>
      <c r="F1030" s="2"/>
      <c r="G1030" s="1"/>
      <c r="H1030" s="7" t="s">
        <v>1</v>
      </c>
      <c r="I1030" s="1"/>
      <c r="J1030" s="7" t="s">
        <v>15</v>
      </c>
      <c r="K1030" s="2"/>
      <c r="L1030" s="2"/>
    </row>
    <row r="1031" spans="1:12" ht="14.25" thickBot="1" x14ac:dyDescent="0.2">
      <c r="A1031" s="1"/>
      <c r="B1031" s="3"/>
      <c r="C1031" s="5" t="s">
        <v>2</v>
      </c>
      <c r="D1031" s="3" t="s">
        <v>3</v>
      </c>
      <c r="E1031" s="12" t="s">
        <v>4</v>
      </c>
      <c r="F1031" s="3" t="s">
        <v>5</v>
      </c>
      <c r="G1031" s="1"/>
      <c r="H1031" s="3"/>
      <c r="I1031" s="5" t="s">
        <v>2</v>
      </c>
      <c r="J1031" s="3" t="s">
        <v>3</v>
      </c>
      <c r="K1031" s="12" t="s">
        <v>4</v>
      </c>
      <c r="L1031" s="3" t="s">
        <v>5</v>
      </c>
    </row>
    <row r="1032" spans="1:12" ht="14.25" thickBot="1" x14ac:dyDescent="0.2">
      <c r="A1032" s="1"/>
      <c r="B1032" s="34" t="s">
        <v>11</v>
      </c>
      <c r="C1032" s="35">
        <f>C1026</f>
        <v>9</v>
      </c>
      <c r="D1032" s="36">
        <f>D1026</f>
        <v>11</v>
      </c>
      <c r="E1032" s="35">
        <f>E1026</f>
        <v>26</v>
      </c>
      <c r="F1032" s="37">
        <f>SUM(C1032:E1032)</f>
        <v>46</v>
      </c>
      <c r="G1032" s="28"/>
      <c r="H1032" s="34"/>
      <c r="I1032" s="35">
        <f>I1026</f>
        <v>749</v>
      </c>
      <c r="J1032" s="36">
        <f t="shared" ref="J1032:L1032" si="324">J1026</f>
        <v>411</v>
      </c>
      <c r="K1032" s="35">
        <f t="shared" si="324"/>
        <v>0</v>
      </c>
      <c r="L1032" s="37">
        <f t="shared" si="324"/>
        <v>1160</v>
      </c>
    </row>
    <row r="1033" spans="1:12" x14ac:dyDescent="0.15">
      <c r="A1033" s="1"/>
      <c r="B1033" s="29" t="s">
        <v>7</v>
      </c>
      <c r="C1033" s="20"/>
      <c r="D1033" s="21"/>
      <c r="E1033" s="20">
        <v>1</v>
      </c>
      <c r="F1033" s="46">
        <f t="shared" ref="F1033:F1035" si="325">SUM(C1033:E1033)</f>
        <v>1</v>
      </c>
      <c r="G1033" s="24">
        <v>45693</v>
      </c>
      <c r="H1033" s="29"/>
      <c r="I1033" s="20"/>
      <c r="J1033" s="21"/>
      <c r="K1033" s="20"/>
      <c r="L1033" s="46">
        <f t="shared" ref="L1033:L1042" si="326">SUM(I1033:K1033)</f>
        <v>0</v>
      </c>
    </row>
    <row r="1034" spans="1:12" x14ac:dyDescent="0.15">
      <c r="A1034" s="1"/>
      <c r="B1034" s="29" t="s">
        <v>7</v>
      </c>
      <c r="C1034" s="20">
        <v>100</v>
      </c>
      <c r="D1034" s="21">
        <v>100</v>
      </c>
      <c r="E1034" s="20"/>
      <c r="F1034" s="46">
        <f t="shared" si="325"/>
        <v>200</v>
      </c>
      <c r="G1034" s="24">
        <v>45716</v>
      </c>
      <c r="H1034" s="29"/>
      <c r="I1034" s="20"/>
      <c r="J1034" s="21"/>
      <c r="K1034" s="20"/>
      <c r="L1034" s="46">
        <f t="shared" si="326"/>
        <v>0</v>
      </c>
    </row>
    <row r="1035" spans="1:12" x14ac:dyDescent="0.15">
      <c r="A1035" s="26"/>
      <c r="B1035" s="29" t="s">
        <v>7</v>
      </c>
      <c r="C1035" s="20">
        <v>10</v>
      </c>
      <c r="D1035" s="21">
        <v>10</v>
      </c>
      <c r="E1035" s="20"/>
      <c r="F1035" s="46">
        <f t="shared" si="325"/>
        <v>20</v>
      </c>
      <c r="G1035" s="24">
        <v>45734</v>
      </c>
      <c r="H1035" s="29"/>
      <c r="I1035" s="20"/>
      <c r="J1035" s="21"/>
      <c r="K1035" s="20"/>
      <c r="L1035" s="46">
        <f t="shared" si="326"/>
        <v>0</v>
      </c>
    </row>
    <row r="1036" spans="1:12" x14ac:dyDescent="0.15">
      <c r="A1036" s="1"/>
      <c r="B1036" s="29" t="s">
        <v>7</v>
      </c>
      <c r="C1036" s="20"/>
      <c r="D1036" s="21"/>
      <c r="E1036" s="20"/>
      <c r="F1036" s="46">
        <f t="shared" ref="F1036:F1042" si="327">SUM(C1036:E1036)</f>
        <v>0</v>
      </c>
      <c r="G1036" s="24"/>
      <c r="H1036" s="29"/>
      <c r="I1036" s="20"/>
      <c r="J1036" s="21"/>
      <c r="K1036" s="20"/>
      <c r="L1036" s="46">
        <f t="shared" si="326"/>
        <v>0</v>
      </c>
    </row>
    <row r="1037" spans="1:12" x14ac:dyDescent="0.15">
      <c r="A1037" s="1"/>
      <c r="B1037" s="29" t="s">
        <v>7</v>
      </c>
      <c r="C1037" s="20"/>
      <c r="D1037" s="21"/>
      <c r="E1037" s="20"/>
      <c r="F1037" s="46">
        <f t="shared" si="327"/>
        <v>0</v>
      </c>
      <c r="G1037" s="24"/>
      <c r="H1037" s="29"/>
      <c r="I1037" s="20"/>
      <c r="J1037" s="21"/>
      <c r="K1037" s="20"/>
      <c r="L1037" s="46">
        <f t="shared" si="326"/>
        <v>0</v>
      </c>
    </row>
    <row r="1038" spans="1:12" x14ac:dyDescent="0.15">
      <c r="A1038" s="1"/>
      <c r="B1038" s="29" t="s">
        <v>7</v>
      </c>
      <c r="C1038" s="20"/>
      <c r="D1038" s="21"/>
      <c r="E1038" s="20"/>
      <c r="F1038" s="46">
        <f t="shared" si="327"/>
        <v>0</v>
      </c>
      <c r="G1038" s="24"/>
      <c r="H1038" s="29"/>
      <c r="I1038" s="20"/>
      <c r="J1038" s="21"/>
      <c r="K1038" s="20"/>
      <c r="L1038" s="46">
        <f t="shared" si="326"/>
        <v>0</v>
      </c>
    </row>
    <row r="1039" spans="1:12" x14ac:dyDescent="0.15">
      <c r="A1039" s="1"/>
      <c r="B1039" s="29" t="s">
        <v>7</v>
      </c>
      <c r="C1039" s="20"/>
      <c r="D1039" s="21"/>
      <c r="E1039" s="20"/>
      <c r="F1039" s="46">
        <f t="shared" si="327"/>
        <v>0</v>
      </c>
      <c r="G1039" s="24"/>
      <c r="H1039" s="29"/>
      <c r="I1039" s="20"/>
      <c r="J1039" s="21"/>
      <c r="K1039" s="20"/>
      <c r="L1039" s="46">
        <f t="shared" si="326"/>
        <v>0</v>
      </c>
    </row>
    <row r="1040" spans="1:12" x14ac:dyDescent="0.15">
      <c r="A1040" s="1"/>
      <c r="B1040" s="29" t="s">
        <v>7</v>
      </c>
      <c r="C1040" s="20"/>
      <c r="D1040" s="21"/>
      <c r="E1040" s="20"/>
      <c r="F1040" s="46">
        <f t="shared" si="327"/>
        <v>0</v>
      </c>
      <c r="G1040" s="24"/>
      <c r="H1040" s="29"/>
      <c r="I1040" s="20"/>
      <c r="J1040" s="21"/>
      <c r="K1040" s="20"/>
      <c r="L1040" s="46">
        <f t="shared" si="326"/>
        <v>0</v>
      </c>
    </row>
    <row r="1041" spans="1:13" x14ac:dyDescent="0.15">
      <c r="A1041" s="1"/>
      <c r="B1041" s="29" t="s">
        <v>7</v>
      </c>
      <c r="C1041" s="20"/>
      <c r="D1041" s="21"/>
      <c r="E1041" s="20"/>
      <c r="F1041" s="46">
        <f t="shared" si="327"/>
        <v>0</v>
      </c>
      <c r="G1041" s="24"/>
      <c r="H1041" s="29"/>
      <c r="I1041" s="20"/>
      <c r="J1041" s="21"/>
      <c r="K1041" s="20"/>
      <c r="L1041" s="46">
        <f t="shared" si="326"/>
        <v>0</v>
      </c>
    </row>
    <row r="1042" spans="1:13" ht="14.25" thickBot="1" x14ac:dyDescent="0.2">
      <c r="A1042" s="1"/>
      <c r="B1042" s="29" t="s">
        <v>76</v>
      </c>
      <c r="C1042" s="20">
        <v>2</v>
      </c>
      <c r="D1042" s="21">
        <v>2</v>
      </c>
      <c r="E1042" s="20"/>
      <c r="F1042" s="46">
        <f t="shared" si="327"/>
        <v>4</v>
      </c>
      <c r="G1042" s="24"/>
      <c r="H1042" s="29"/>
      <c r="I1042" s="19"/>
      <c r="J1042" s="4"/>
      <c r="K1042" s="19"/>
      <c r="L1042" s="46">
        <f t="shared" si="326"/>
        <v>0</v>
      </c>
    </row>
    <row r="1043" spans="1:13" ht="14.25" thickBot="1" x14ac:dyDescent="0.2">
      <c r="A1043" s="1"/>
      <c r="B1043" s="6" t="s">
        <v>8</v>
      </c>
      <c r="C1043" s="44">
        <f>SUM(C1032:C1042)</f>
        <v>121</v>
      </c>
      <c r="D1043" s="44">
        <f t="shared" ref="D1043:F1043" si="328">SUM(D1032:D1042)</f>
        <v>123</v>
      </c>
      <c r="E1043" s="44">
        <f t="shared" si="328"/>
        <v>27</v>
      </c>
      <c r="F1043" s="45">
        <f t="shared" si="328"/>
        <v>271</v>
      </c>
      <c r="G1043" s="1"/>
      <c r="H1043" s="6"/>
      <c r="I1043" s="44">
        <f>SUM(I1032:I1042)</f>
        <v>749</v>
      </c>
      <c r="J1043" s="44">
        <f t="shared" ref="J1043" si="329">SUM(J1032:J1042)</f>
        <v>411</v>
      </c>
      <c r="K1043" s="44">
        <f t="shared" ref="K1043" si="330">SUM(K1032:K1042)</f>
        <v>0</v>
      </c>
      <c r="L1043" s="45">
        <f t="shared" ref="L1043" si="331">SUM(L1032:L1042)</f>
        <v>1160</v>
      </c>
    </row>
    <row r="1044" spans="1:13" x14ac:dyDescent="0.15">
      <c r="A1044" s="1"/>
      <c r="B1044" s="38" t="s">
        <v>25</v>
      </c>
      <c r="C1044" s="9"/>
      <c r="D1044" s="14"/>
      <c r="E1044" s="13">
        <v>1</v>
      </c>
      <c r="F1044" s="46">
        <f t="shared" ref="F1044:F1065" si="332">SUM(C1044:E1044)</f>
        <v>1</v>
      </c>
      <c r="G1044" s="74">
        <v>45693</v>
      </c>
      <c r="H1044" s="4" t="s">
        <v>24</v>
      </c>
      <c r="I1044" s="9">
        <v>100</v>
      </c>
      <c r="J1044" s="14">
        <v>100</v>
      </c>
      <c r="K1044" s="13"/>
      <c r="L1044" s="46">
        <f t="shared" ref="L1044:L1045" si="333">SUM(I1044:K1044)</f>
        <v>200</v>
      </c>
      <c r="M1044" s="73">
        <v>45716</v>
      </c>
    </row>
    <row r="1045" spans="1:13" x14ac:dyDescent="0.15">
      <c r="B1045" s="38" t="s">
        <v>25</v>
      </c>
      <c r="C1045" s="9"/>
      <c r="D1045" s="14"/>
      <c r="E1045" s="13">
        <v>1</v>
      </c>
      <c r="F1045" s="46">
        <f t="shared" si="332"/>
        <v>1</v>
      </c>
      <c r="G1045" s="74">
        <v>45700</v>
      </c>
      <c r="H1045" s="4" t="s">
        <v>24</v>
      </c>
      <c r="I1045" s="9">
        <v>10</v>
      </c>
      <c r="J1045" s="14">
        <v>10</v>
      </c>
      <c r="K1045" s="13"/>
      <c r="L1045" s="46">
        <f t="shared" si="333"/>
        <v>20</v>
      </c>
      <c r="M1045" s="73">
        <v>45734</v>
      </c>
    </row>
    <row r="1046" spans="1:13" x14ac:dyDescent="0.15">
      <c r="B1046" s="38" t="s">
        <v>25</v>
      </c>
      <c r="C1046" s="9">
        <v>1</v>
      </c>
      <c r="D1046" s="14"/>
      <c r="E1046" s="13"/>
      <c r="F1046" s="46">
        <f t="shared" si="332"/>
        <v>1</v>
      </c>
      <c r="G1046" s="74">
        <v>45705</v>
      </c>
      <c r="H1046" s="4"/>
      <c r="I1046" s="9"/>
      <c r="J1046" s="14"/>
      <c r="K1046" s="13"/>
      <c r="L1046" s="46">
        <f t="shared" ref="L1046:L1067" si="334">SUM(I1046:K1046)</f>
        <v>0</v>
      </c>
      <c r="M1046" s="54"/>
    </row>
    <row r="1047" spans="1:13" x14ac:dyDescent="0.15">
      <c r="B1047" s="38" t="s">
        <v>122</v>
      </c>
      <c r="C1047" s="9">
        <v>1</v>
      </c>
      <c r="D1047" s="14"/>
      <c r="E1047" s="13"/>
      <c r="F1047" s="46">
        <f t="shared" si="332"/>
        <v>1</v>
      </c>
      <c r="G1047" s="73">
        <v>45708</v>
      </c>
      <c r="H1047" s="4"/>
      <c r="I1047" s="9"/>
      <c r="J1047" s="14"/>
      <c r="K1047" s="13"/>
      <c r="L1047" s="46">
        <f t="shared" si="334"/>
        <v>0</v>
      </c>
      <c r="M1047" s="54"/>
    </row>
    <row r="1048" spans="1:13" x14ac:dyDescent="0.15">
      <c r="B1048" s="38" t="s">
        <v>25</v>
      </c>
      <c r="C1048" s="9"/>
      <c r="D1048" s="14">
        <v>1</v>
      </c>
      <c r="E1048" s="13"/>
      <c r="F1048" s="46">
        <f t="shared" si="332"/>
        <v>1</v>
      </c>
      <c r="G1048" s="73">
        <v>45708</v>
      </c>
      <c r="H1048" s="4"/>
      <c r="I1048" s="9"/>
      <c r="J1048" s="14"/>
      <c r="K1048" s="13"/>
      <c r="L1048" s="46">
        <f t="shared" si="334"/>
        <v>0</v>
      </c>
    </row>
    <row r="1049" spans="1:13" x14ac:dyDescent="0.15">
      <c r="B1049" s="38" t="s">
        <v>25</v>
      </c>
      <c r="C1049" s="9">
        <v>1</v>
      </c>
      <c r="D1049" s="14"/>
      <c r="E1049" s="13">
        <f>1</f>
        <v>1</v>
      </c>
      <c r="F1049" s="46">
        <f t="shared" si="332"/>
        <v>2</v>
      </c>
      <c r="G1049" s="74">
        <v>45713</v>
      </c>
      <c r="H1049" s="4"/>
      <c r="I1049" s="9"/>
      <c r="J1049" s="14"/>
      <c r="K1049" s="13"/>
      <c r="L1049" s="46">
        <f t="shared" si="334"/>
        <v>0</v>
      </c>
    </row>
    <row r="1050" spans="1:13" x14ac:dyDescent="0.15">
      <c r="B1050" s="38" t="s">
        <v>25</v>
      </c>
      <c r="C1050" s="9"/>
      <c r="D1050" s="14"/>
      <c r="E1050" s="13">
        <v>1</v>
      </c>
      <c r="F1050" s="46">
        <f t="shared" si="332"/>
        <v>1</v>
      </c>
      <c r="G1050" s="74">
        <v>45714</v>
      </c>
      <c r="H1050" s="4"/>
      <c r="I1050" s="9"/>
      <c r="J1050" s="14"/>
      <c r="K1050" s="13"/>
      <c r="L1050" s="46">
        <f t="shared" si="334"/>
        <v>0</v>
      </c>
    </row>
    <row r="1051" spans="1:13" x14ac:dyDescent="0.15">
      <c r="B1051" s="38" t="s">
        <v>25</v>
      </c>
      <c r="C1051" s="9">
        <v>8</v>
      </c>
      <c r="D1051" s="14">
        <f>1+6</f>
        <v>7</v>
      </c>
      <c r="E1051" s="13">
        <f>3+2</f>
        <v>5</v>
      </c>
      <c r="F1051" s="46">
        <f t="shared" si="332"/>
        <v>20</v>
      </c>
      <c r="G1051" s="74">
        <v>45715</v>
      </c>
      <c r="H1051" s="4"/>
      <c r="I1051" s="9"/>
      <c r="J1051" s="14"/>
      <c r="K1051" s="13"/>
      <c r="L1051" s="46">
        <f t="shared" si="334"/>
        <v>0</v>
      </c>
    </row>
    <row r="1052" spans="1:13" x14ac:dyDescent="0.15">
      <c r="B1052" s="38" t="s">
        <v>25</v>
      </c>
      <c r="C1052" s="9">
        <f>2+11</f>
        <v>13</v>
      </c>
      <c r="D1052" s="14">
        <f>2+4</f>
        <v>6</v>
      </c>
      <c r="E1052" s="13">
        <v>3</v>
      </c>
      <c r="F1052" s="46">
        <f t="shared" si="332"/>
        <v>22</v>
      </c>
      <c r="G1052" s="74">
        <v>45716</v>
      </c>
      <c r="H1052" s="4"/>
      <c r="I1052" s="9"/>
      <c r="J1052" s="14"/>
      <c r="K1052" s="13"/>
      <c r="L1052" s="46">
        <f t="shared" si="334"/>
        <v>0</v>
      </c>
    </row>
    <row r="1053" spans="1:13" x14ac:dyDescent="0.15">
      <c r="B1053" s="38" t="s">
        <v>25</v>
      </c>
      <c r="C1053" s="9">
        <v>12</v>
      </c>
      <c r="D1053" s="14">
        <v>5</v>
      </c>
      <c r="E1053" s="13">
        <v>6</v>
      </c>
      <c r="F1053" s="46">
        <f t="shared" si="332"/>
        <v>23</v>
      </c>
      <c r="G1053" s="74">
        <v>45717</v>
      </c>
      <c r="H1053" s="4"/>
      <c r="I1053" s="9"/>
      <c r="J1053" s="14"/>
      <c r="K1053" s="13"/>
      <c r="L1053" s="46">
        <f t="shared" si="334"/>
        <v>0</v>
      </c>
    </row>
    <row r="1054" spans="1:13" x14ac:dyDescent="0.15">
      <c r="B1054" s="38" t="s">
        <v>25</v>
      </c>
      <c r="C1054" s="9">
        <v>11</v>
      </c>
      <c r="D1054" s="14">
        <f>1+8</f>
        <v>9</v>
      </c>
      <c r="E1054" s="13">
        <f>1+6</f>
        <v>7</v>
      </c>
      <c r="F1054" s="46">
        <f t="shared" si="332"/>
        <v>27</v>
      </c>
      <c r="G1054" s="74">
        <v>45719</v>
      </c>
      <c r="H1054" s="4"/>
      <c r="I1054" s="9"/>
      <c r="J1054" s="14"/>
      <c r="K1054" s="13"/>
      <c r="L1054" s="46">
        <f t="shared" si="334"/>
        <v>0</v>
      </c>
    </row>
    <row r="1055" spans="1:13" x14ac:dyDescent="0.15">
      <c r="B1055" s="38" t="s">
        <v>25</v>
      </c>
      <c r="C1055" s="9">
        <v>1</v>
      </c>
      <c r="D1055" s="14">
        <f>2+4</f>
        <v>6</v>
      </c>
      <c r="E1055" s="13">
        <f>1+1</f>
        <v>2</v>
      </c>
      <c r="F1055" s="46">
        <f t="shared" si="332"/>
        <v>9</v>
      </c>
      <c r="G1055" s="74">
        <v>45720</v>
      </c>
      <c r="H1055" s="4"/>
      <c r="I1055" s="9"/>
      <c r="J1055" s="14"/>
      <c r="K1055" s="13"/>
      <c r="L1055" s="46">
        <f t="shared" si="334"/>
        <v>0</v>
      </c>
    </row>
    <row r="1056" spans="1:13" x14ac:dyDescent="0.15">
      <c r="B1056" s="38" t="s">
        <v>25</v>
      </c>
      <c r="C1056" s="9">
        <v>6</v>
      </c>
      <c r="D1056" s="14">
        <f>5+1+1</f>
        <v>7</v>
      </c>
      <c r="E1056" s="13"/>
      <c r="F1056" s="46">
        <f t="shared" si="332"/>
        <v>13</v>
      </c>
      <c r="G1056" s="74">
        <v>45721</v>
      </c>
      <c r="H1056" s="4"/>
      <c r="I1056" s="9"/>
      <c r="J1056" s="14"/>
      <c r="K1056" s="13"/>
      <c r="L1056" s="46">
        <f t="shared" si="334"/>
        <v>0</v>
      </c>
    </row>
    <row r="1057" spans="1:12" x14ac:dyDescent="0.15">
      <c r="B1057" s="38" t="s">
        <v>25</v>
      </c>
      <c r="C1057" s="9">
        <v>7</v>
      </c>
      <c r="D1057" s="14">
        <f>10+1</f>
        <v>11</v>
      </c>
      <c r="E1057" s="13"/>
      <c r="F1057" s="46">
        <f t="shared" si="332"/>
        <v>18</v>
      </c>
      <c r="G1057" s="74">
        <v>45722</v>
      </c>
      <c r="H1057" s="4"/>
      <c r="I1057" s="9"/>
      <c r="J1057" s="14"/>
      <c r="K1057" s="13"/>
      <c r="L1057" s="46">
        <f t="shared" si="334"/>
        <v>0</v>
      </c>
    </row>
    <row r="1058" spans="1:12" x14ac:dyDescent="0.15">
      <c r="B1058" s="38" t="s">
        <v>25</v>
      </c>
      <c r="C1058" s="9">
        <f>1+1</f>
        <v>2</v>
      </c>
      <c r="D1058" s="14">
        <v>4</v>
      </c>
      <c r="E1058" s="13"/>
      <c r="F1058" s="46">
        <f t="shared" si="332"/>
        <v>6</v>
      </c>
      <c r="G1058" s="74">
        <v>45723</v>
      </c>
      <c r="H1058" s="4"/>
      <c r="I1058" s="9"/>
      <c r="J1058" s="14"/>
      <c r="K1058" s="13"/>
      <c r="L1058" s="46">
        <f t="shared" si="334"/>
        <v>0</v>
      </c>
    </row>
    <row r="1059" spans="1:12" x14ac:dyDescent="0.15">
      <c r="B1059" s="38" t="s">
        <v>25</v>
      </c>
      <c r="C1059" s="9">
        <v>14</v>
      </c>
      <c r="D1059" s="14">
        <f>2+1+9</f>
        <v>12</v>
      </c>
      <c r="E1059" s="13"/>
      <c r="F1059" s="46">
        <f t="shared" si="332"/>
        <v>26</v>
      </c>
      <c r="G1059" s="74">
        <v>45726</v>
      </c>
      <c r="H1059" s="4"/>
      <c r="I1059" s="9"/>
      <c r="J1059" s="14"/>
      <c r="K1059" s="13"/>
      <c r="L1059" s="46">
        <f t="shared" si="334"/>
        <v>0</v>
      </c>
    </row>
    <row r="1060" spans="1:12" x14ac:dyDescent="0.15">
      <c r="B1060" s="38" t="s">
        <v>25</v>
      </c>
      <c r="C1060" s="9">
        <f>1+2</f>
        <v>3</v>
      </c>
      <c r="D1060" s="14">
        <v>5</v>
      </c>
      <c r="E1060" s="13"/>
      <c r="F1060" s="46">
        <f t="shared" si="332"/>
        <v>8</v>
      </c>
      <c r="G1060" s="74">
        <v>45727</v>
      </c>
      <c r="H1060" s="4"/>
      <c r="I1060" s="9"/>
      <c r="J1060" s="14"/>
      <c r="K1060" s="13"/>
      <c r="L1060" s="46">
        <f t="shared" si="334"/>
        <v>0</v>
      </c>
    </row>
    <row r="1061" spans="1:12" x14ac:dyDescent="0.15">
      <c r="A1061" s="1"/>
      <c r="B1061" s="38" t="s">
        <v>25</v>
      </c>
      <c r="C1061" s="9">
        <v>1</v>
      </c>
      <c r="D1061" s="14">
        <f>1+4</f>
        <v>5</v>
      </c>
      <c r="E1061" s="13"/>
      <c r="F1061" s="46">
        <f t="shared" si="332"/>
        <v>6</v>
      </c>
      <c r="G1061" s="74">
        <v>45728</v>
      </c>
      <c r="H1061" s="4"/>
      <c r="I1061" s="9"/>
      <c r="J1061" s="14"/>
      <c r="K1061" s="13"/>
      <c r="L1061" s="46">
        <f t="shared" si="334"/>
        <v>0</v>
      </c>
    </row>
    <row r="1062" spans="1:12" x14ac:dyDescent="0.15">
      <c r="A1062" s="1"/>
      <c r="B1062" s="38" t="s">
        <v>25</v>
      </c>
      <c r="C1062" s="9">
        <v>2</v>
      </c>
      <c r="D1062" s="14">
        <v>2</v>
      </c>
      <c r="E1062" s="13"/>
      <c r="F1062" s="46">
        <f t="shared" si="332"/>
        <v>4</v>
      </c>
      <c r="G1062" s="74">
        <v>45729</v>
      </c>
      <c r="H1062" s="4"/>
      <c r="I1062" s="9"/>
      <c r="J1062" s="14"/>
      <c r="K1062" s="13"/>
      <c r="L1062" s="46">
        <f t="shared" si="334"/>
        <v>0</v>
      </c>
    </row>
    <row r="1063" spans="1:12" x14ac:dyDescent="0.15">
      <c r="A1063" s="1"/>
      <c r="B1063" s="38" t="s">
        <v>25</v>
      </c>
      <c r="C1063" s="9">
        <v>3</v>
      </c>
      <c r="D1063" s="14"/>
      <c r="E1063" s="13"/>
      <c r="F1063" s="46">
        <f t="shared" si="332"/>
        <v>3</v>
      </c>
      <c r="G1063" s="74">
        <v>45730</v>
      </c>
      <c r="H1063" s="4"/>
      <c r="I1063" s="9"/>
      <c r="J1063" s="14"/>
      <c r="K1063" s="13"/>
      <c r="L1063" s="46">
        <f t="shared" si="334"/>
        <v>0</v>
      </c>
    </row>
    <row r="1064" spans="1:12" x14ac:dyDescent="0.15">
      <c r="A1064" s="1"/>
      <c r="B1064" s="38" t="s">
        <v>25</v>
      </c>
      <c r="C1064" s="9">
        <v>1</v>
      </c>
      <c r="D1064" s="14">
        <v>2</v>
      </c>
      <c r="E1064" s="13"/>
      <c r="F1064" s="46">
        <f t="shared" si="332"/>
        <v>3</v>
      </c>
      <c r="G1064" s="74">
        <v>45731</v>
      </c>
      <c r="H1064" s="4"/>
      <c r="I1064" s="9"/>
      <c r="J1064" s="14"/>
      <c r="K1064" s="13"/>
      <c r="L1064" s="46">
        <f t="shared" si="334"/>
        <v>0</v>
      </c>
    </row>
    <row r="1065" spans="1:12" x14ac:dyDescent="0.15">
      <c r="A1065" s="26"/>
      <c r="B1065" s="38" t="s">
        <v>25</v>
      </c>
      <c r="C1065" s="9">
        <f>1+8</f>
        <v>9</v>
      </c>
      <c r="D1065" s="14">
        <v>3</v>
      </c>
      <c r="E1065" s="13"/>
      <c r="F1065" s="46">
        <f t="shared" si="332"/>
        <v>12</v>
      </c>
      <c r="G1065" s="74">
        <v>45733</v>
      </c>
      <c r="H1065" s="4"/>
      <c r="I1065" s="9"/>
      <c r="J1065" s="14"/>
      <c r="K1065" s="13"/>
      <c r="L1065" s="46">
        <f t="shared" si="334"/>
        <v>0</v>
      </c>
    </row>
    <row r="1066" spans="1:12" x14ac:dyDescent="0.15">
      <c r="A1066" s="26"/>
      <c r="B1066" s="38" t="s">
        <v>25</v>
      </c>
      <c r="C1066" s="9">
        <v>4</v>
      </c>
      <c r="D1066" s="14">
        <v>2</v>
      </c>
      <c r="E1066" s="13"/>
      <c r="F1066" s="46">
        <f t="shared" ref="F1066:F1069" si="335">SUM(C1066:E1066)</f>
        <v>6</v>
      </c>
      <c r="G1066" s="74">
        <v>45734</v>
      </c>
      <c r="H1066" s="4"/>
      <c r="I1066" s="9"/>
      <c r="J1066" s="14"/>
      <c r="K1066" s="13"/>
      <c r="L1066" s="46">
        <f t="shared" si="334"/>
        <v>0</v>
      </c>
    </row>
    <row r="1067" spans="1:12" ht="14.25" thickBot="1" x14ac:dyDescent="0.2">
      <c r="A1067" s="1"/>
      <c r="B1067" s="38" t="s">
        <v>25</v>
      </c>
      <c r="C1067" s="9">
        <v>2</v>
      </c>
      <c r="D1067" s="14">
        <v>3</v>
      </c>
      <c r="E1067" s="13"/>
      <c r="F1067" s="46">
        <f t="shared" si="335"/>
        <v>5</v>
      </c>
      <c r="G1067" s="74">
        <v>45735</v>
      </c>
      <c r="H1067" s="4"/>
      <c r="I1067" s="9"/>
      <c r="J1067" s="14"/>
      <c r="K1067" s="13"/>
      <c r="L1067" s="46">
        <f t="shared" si="334"/>
        <v>0</v>
      </c>
    </row>
    <row r="1068" spans="1:12" ht="14.25" thickBot="1" x14ac:dyDescent="0.2">
      <c r="A1068" s="1"/>
      <c r="B1068" s="5" t="s">
        <v>9</v>
      </c>
      <c r="C1068" s="10">
        <f>SUM(C1044:C1067)</f>
        <v>102</v>
      </c>
      <c r="D1068" s="10">
        <f t="shared" ref="D1068:E1068" si="336">SUM(D1044:D1067)</f>
        <v>90</v>
      </c>
      <c r="E1068" s="76">
        <f t="shared" si="336"/>
        <v>27</v>
      </c>
      <c r="F1068" s="48">
        <f t="shared" si="335"/>
        <v>219</v>
      </c>
      <c r="G1068" s="1"/>
      <c r="H1068" s="5" t="s">
        <v>9</v>
      </c>
      <c r="I1068" s="10">
        <f>SUM(I1044:I1067)</f>
        <v>110</v>
      </c>
      <c r="J1068" s="10">
        <f t="shared" ref="J1068" si="337">SUM(J1044:J1067)</f>
        <v>110</v>
      </c>
      <c r="K1068" s="76">
        <f t="shared" ref="K1068" si="338">SUM(K1044:K1067)</f>
        <v>0</v>
      </c>
      <c r="L1068" s="48">
        <f t="shared" ref="L1068" si="339">SUM(L1044:L1067)</f>
        <v>220</v>
      </c>
    </row>
    <row r="1069" spans="1:12" ht="14.25" thickBot="1" x14ac:dyDescent="0.2">
      <c r="A1069" s="1"/>
      <c r="B1069" s="8" t="s">
        <v>10</v>
      </c>
      <c r="C1069" s="11">
        <f>C1043-C1068</f>
        <v>19</v>
      </c>
      <c r="D1069" s="11">
        <f t="shared" ref="D1069:E1069" si="340">D1043-D1068</f>
        <v>33</v>
      </c>
      <c r="E1069" s="77">
        <f t="shared" si="340"/>
        <v>0</v>
      </c>
      <c r="F1069" s="37">
        <f t="shared" si="335"/>
        <v>52</v>
      </c>
      <c r="G1069" s="1"/>
      <c r="H1069" s="8" t="s">
        <v>10</v>
      </c>
      <c r="I1069" s="11">
        <f>I1043-I1068</f>
        <v>639</v>
      </c>
      <c r="J1069" s="11">
        <f t="shared" ref="J1069" si="341">J1043-J1068</f>
        <v>301</v>
      </c>
      <c r="K1069" s="77">
        <f t="shared" ref="K1069" si="342">K1043-K1068</f>
        <v>0</v>
      </c>
      <c r="L1069" s="37">
        <f t="shared" ref="L1069" si="343">L1043-L1068</f>
        <v>940</v>
      </c>
    </row>
    <row r="1072" spans="1:12" ht="18.75" x14ac:dyDescent="0.2">
      <c r="A1072" s="41" t="s">
        <v>12</v>
      </c>
      <c r="B1072" s="42"/>
      <c r="C1072" s="41"/>
      <c r="D1072" s="43"/>
      <c r="E1072" s="43"/>
      <c r="F1072" s="2"/>
      <c r="G1072" s="1"/>
      <c r="H1072" s="41" t="s">
        <v>12</v>
      </c>
      <c r="I1072" s="41"/>
      <c r="J1072" s="43"/>
      <c r="K1072" s="43"/>
      <c r="L1072" s="2"/>
    </row>
    <row r="1073" spans="1:14" ht="19.5" thickBot="1" x14ac:dyDescent="0.25">
      <c r="A1073" s="7"/>
      <c r="B1073" s="7" t="s">
        <v>0</v>
      </c>
      <c r="C1073" s="7"/>
      <c r="D1073" s="7" t="s">
        <v>15</v>
      </c>
      <c r="E1073" s="2"/>
      <c r="F1073" s="2"/>
      <c r="G1073" s="1"/>
      <c r="H1073" s="7" t="s">
        <v>1</v>
      </c>
      <c r="I1073" s="1"/>
      <c r="J1073" s="7" t="s">
        <v>15</v>
      </c>
      <c r="K1073" s="2"/>
      <c r="L1073" s="2"/>
    </row>
    <row r="1074" spans="1:14" ht="14.25" thickBot="1" x14ac:dyDescent="0.2">
      <c r="A1074" s="1"/>
      <c r="B1074" s="3"/>
      <c r="C1074" s="5" t="s">
        <v>2</v>
      </c>
      <c r="D1074" s="3" t="s">
        <v>3</v>
      </c>
      <c r="E1074" s="12" t="s">
        <v>4</v>
      </c>
      <c r="F1074" s="3" t="s">
        <v>5</v>
      </c>
      <c r="G1074" s="1"/>
      <c r="H1074" s="3"/>
      <c r="I1074" s="5" t="s">
        <v>2</v>
      </c>
      <c r="J1074" s="3" t="s">
        <v>3</v>
      </c>
      <c r="K1074" s="12" t="s">
        <v>4</v>
      </c>
      <c r="L1074" s="3" t="s">
        <v>5</v>
      </c>
    </row>
    <row r="1075" spans="1:14" ht="14.25" thickBot="1" x14ac:dyDescent="0.2">
      <c r="A1075" s="1"/>
      <c r="B1075" s="34" t="s">
        <v>11</v>
      </c>
      <c r="C1075" s="35">
        <f>C1069</f>
        <v>19</v>
      </c>
      <c r="D1075" s="36">
        <f>D1069</f>
        <v>33</v>
      </c>
      <c r="E1075" s="35">
        <f>E1069</f>
        <v>0</v>
      </c>
      <c r="F1075" s="37">
        <f>SUM(C1075:E1075)</f>
        <v>52</v>
      </c>
      <c r="G1075" s="28"/>
      <c r="H1075" s="34"/>
      <c r="I1075" s="35">
        <f>I1069</f>
        <v>639</v>
      </c>
      <c r="J1075" s="36">
        <f t="shared" ref="J1075:L1075" si="344">J1069</f>
        <v>301</v>
      </c>
      <c r="K1075" s="35">
        <f t="shared" si="344"/>
        <v>0</v>
      </c>
      <c r="L1075" s="37">
        <f t="shared" si="344"/>
        <v>940</v>
      </c>
    </row>
    <row r="1076" spans="1:14" x14ac:dyDescent="0.15">
      <c r="A1076" s="1"/>
      <c r="B1076" s="29" t="s">
        <v>7</v>
      </c>
      <c r="C1076" s="20">
        <v>10</v>
      </c>
      <c r="D1076" s="21"/>
      <c r="E1076" s="20"/>
      <c r="F1076" s="46">
        <f t="shared" ref="F1076:F1078" si="345">SUM(C1076:E1076)</f>
        <v>10</v>
      </c>
      <c r="G1076" s="24">
        <v>45741</v>
      </c>
      <c r="H1076" s="29"/>
      <c r="I1076" s="20"/>
      <c r="J1076" s="21"/>
      <c r="K1076" s="20"/>
      <c r="L1076" s="46">
        <f t="shared" ref="L1076:L1085" si="346">SUM(I1076:K1076)</f>
        <v>0</v>
      </c>
    </row>
    <row r="1077" spans="1:14" x14ac:dyDescent="0.15">
      <c r="A1077" s="1"/>
      <c r="B1077" s="29" t="s">
        <v>7</v>
      </c>
      <c r="C1077" s="20">
        <v>30</v>
      </c>
      <c r="D1077" s="21">
        <v>20</v>
      </c>
      <c r="E1077" s="20"/>
      <c r="F1077" s="46">
        <f t="shared" si="345"/>
        <v>50</v>
      </c>
      <c r="G1077" s="24">
        <v>45748</v>
      </c>
      <c r="H1077" s="29"/>
      <c r="I1077" s="20"/>
      <c r="J1077" s="21"/>
      <c r="K1077" s="20"/>
      <c r="L1077" s="46">
        <f t="shared" si="346"/>
        <v>0</v>
      </c>
    </row>
    <row r="1078" spans="1:14" x14ac:dyDescent="0.15">
      <c r="A1078" s="26"/>
      <c r="B1078" s="29" t="s">
        <v>7</v>
      </c>
      <c r="C1078" s="20"/>
      <c r="D1078" s="21">
        <v>15</v>
      </c>
      <c r="E1078" s="20"/>
      <c r="F1078" s="46">
        <f t="shared" si="345"/>
        <v>15</v>
      </c>
      <c r="G1078" s="24">
        <v>45762</v>
      </c>
      <c r="H1078" s="29"/>
      <c r="I1078" s="20"/>
      <c r="J1078" s="21"/>
      <c r="K1078" s="20"/>
      <c r="L1078" s="46">
        <f t="shared" si="346"/>
        <v>0</v>
      </c>
    </row>
    <row r="1079" spans="1:14" x14ac:dyDescent="0.15">
      <c r="A1079" s="1"/>
      <c r="B1079" s="29" t="s">
        <v>7</v>
      </c>
      <c r="C1079" s="20"/>
      <c r="D1079" s="21">
        <v>20</v>
      </c>
      <c r="E1079" s="20"/>
      <c r="F1079" s="46">
        <f t="shared" ref="F1079:F1082" si="347">SUM(C1079:E1079)</f>
        <v>20</v>
      </c>
      <c r="G1079" s="24">
        <v>45786</v>
      </c>
      <c r="H1079" s="29"/>
      <c r="I1079" s="20"/>
      <c r="J1079" s="21"/>
      <c r="K1079" s="20"/>
      <c r="L1079" s="46">
        <f t="shared" si="346"/>
        <v>0</v>
      </c>
    </row>
    <row r="1080" spans="1:14" x14ac:dyDescent="0.15">
      <c r="A1080" s="1"/>
      <c r="B1080" s="29" t="s">
        <v>7</v>
      </c>
      <c r="C1080" s="20">
        <v>30</v>
      </c>
      <c r="D1080" s="21">
        <v>20</v>
      </c>
      <c r="E1080" s="20"/>
      <c r="F1080" s="46">
        <f t="shared" si="347"/>
        <v>50</v>
      </c>
      <c r="G1080" s="24">
        <v>45787</v>
      </c>
      <c r="H1080" s="29"/>
      <c r="I1080" s="20"/>
      <c r="J1080" s="21"/>
      <c r="K1080" s="20"/>
      <c r="L1080" s="46">
        <f t="shared" si="346"/>
        <v>0</v>
      </c>
    </row>
    <row r="1081" spans="1:14" x14ac:dyDescent="0.15">
      <c r="A1081" s="1"/>
      <c r="B1081" s="29" t="s">
        <v>7</v>
      </c>
      <c r="C1081" s="20"/>
      <c r="D1081" s="21"/>
      <c r="E1081" s="20"/>
      <c r="F1081" s="46">
        <f t="shared" si="347"/>
        <v>0</v>
      </c>
      <c r="G1081" s="24"/>
      <c r="H1081" s="29"/>
      <c r="I1081" s="20"/>
      <c r="J1081" s="21"/>
      <c r="K1081" s="20"/>
      <c r="L1081" s="46">
        <f t="shared" si="346"/>
        <v>0</v>
      </c>
    </row>
    <row r="1082" spans="1:14" x14ac:dyDescent="0.15">
      <c r="A1082" s="1"/>
      <c r="B1082" s="29" t="s">
        <v>7</v>
      </c>
      <c r="C1082" s="20"/>
      <c r="D1082" s="21"/>
      <c r="E1082" s="20"/>
      <c r="F1082" s="46">
        <f t="shared" si="347"/>
        <v>0</v>
      </c>
      <c r="G1082" s="24"/>
      <c r="H1082" s="29"/>
      <c r="I1082" s="20"/>
      <c r="J1082" s="21"/>
      <c r="K1082" s="20"/>
      <c r="L1082" s="46">
        <f t="shared" si="346"/>
        <v>0</v>
      </c>
    </row>
    <row r="1083" spans="1:14" x14ac:dyDescent="0.15">
      <c r="A1083" s="1"/>
      <c r="B1083" s="29" t="s">
        <v>7</v>
      </c>
      <c r="C1083" s="20"/>
      <c r="D1083" s="21"/>
      <c r="E1083" s="20"/>
      <c r="F1083" s="46">
        <f t="shared" ref="F1083:F1085" si="348">SUM(C1083:E1083)</f>
        <v>0</v>
      </c>
      <c r="G1083" s="24"/>
      <c r="H1083" s="29"/>
      <c r="I1083" s="20"/>
      <c r="J1083" s="21"/>
      <c r="K1083" s="20"/>
      <c r="L1083" s="46">
        <f t="shared" si="346"/>
        <v>0</v>
      </c>
    </row>
    <row r="1084" spans="1:14" x14ac:dyDescent="0.15">
      <c r="A1084" s="1"/>
      <c r="B1084" s="29" t="s">
        <v>7</v>
      </c>
      <c r="C1084" s="20"/>
      <c r="D1084" s="21"/>
      <c r="E1084" s="20"/>
      <c r="F1084" s="46">
        <f t="shared" si="348"/>
        <v>0</v>
      </c>
      <c r="G1084" s="24"/>
      <c r="H1084" s="29"/>
      <c r="I1084" s="20"/>
      <c r="J1084" s="21"/>
      <c r="K1084" s="20"/>
      <c r="L1084" s="46">
        <f t="shared" si="346"/>
        <v>0</v>
      </c>
    </row>
    <row r="1085" spans="1:14" ht="14.25" thickBot="1" x14ac:dyDescent="0.2">
      <c r="A1085" s="1"/>
      <c r="B1085" s="29" t="s">
        <v>7</v>
      </c>
      <c r="C1085" s="20"/>
      <c r="D1085" s="21"/>
      <c r="E1085" s="20"/>
      <c r="F1085" s="46">
        <f t="shared" si="348"/>
        <v>0</v>
      </c>
      <c r="G1085" s="24"/>
      <c r="H1085" s="29"/>
      <c r="I1085" s="19"/>
      <c r="J1085" s="4"/>
      <c r="K1085" s="19"/>
      <c r="L1085" s="46">
        <f t="shared" si="346"/>
        <v>0</v>
      </c>
    </row>
    <row r="1086" spans="1:14" ht="14.25" thickBot="1" x14ac:dyDescent="0.2">
      <c r="A1086" s="1"/>
      <c r="B1086" s="6" t="s">
        <v>8</v>
      </c>
      <c r="C1086" s="44">
        <f>SUM(C1075:C1085)</f>
        <v>89</v>
      </c>
      <c r="D1086" s="44">
        <f t="shared" ref="D1086:F1086" si="349">SUM(D1075:D1085)</f>
        <v>108</v>
      </c>
      <c r="E1086" s="44">
        <f t="shared" si="349"/>
        <v>0</v>
      </c>
      <c r="F1086" s="45">
        <f t="shared" si="349"/>
        <v>197</v>
      </c>
      <c r="G1086" s="1"/>
      <c r="H1086" s="6"/>
      <c r="I1086" s="44">
        <f>SUM(I1075:I1085)</f>
        <v>639</v>
      </c>
      <c r="J1086" s="44">
        <f t="shared" ref="J1086" si="350">SUM(J1075:J1085)</f>
        <v>301</v>
      </c>
      <c r="K1086" s="44">
        <f t="shared" ref="K1086" si="351">SUM(K1075:K1085)</f>
        <v>0</v>
      </c>
      <c r="L1086" s="45">
        <f t="shared" ref="L1086" si="352">SUM(L1075:L1085)</f>
        <v>940</v>
      </c>
    </row>
    <row r="1087" spans="1:14" x14ac:dyDescent="0.15">
      <c r="A1087" s="1"/>
      <c r="B1087" s="38" t="s">
        <v>25</v>
      </c>
      <c r="C1087" s="9">
        <v>1</v>
      </c>
      <c r="D1087" s="14">
        <v>1</v>
      </c>
      <c r="E1087" s="13"/>
      <c r="F1087" s="46">
        <f t="shared" ref="F1087:F1110" si="353">SUM(C1087:E1087)</f>
        <v>2</v>
      </c>
      <c r="G1087" s="73">
        <v>45737</v>
      </c>
      <c r="H1087" s="4" t="s">
        <v>123</v>
      </c>
      <c r="I1087" s="9">
        <v>10</v>
      </c>
      <c r="J1087" s="14"/>
      <c r="K1087" s="13"/>
      <c r="L1087" s="46">
        <f t="shared" ref="L1087:L1092" si="354">SUM(I1087:K1087)</f>
        <v>10</v>
      </c>
      <c r="M1087" s="73">
        <v>45741</v>
      </c>
      <c r="N1087" s="54"/>
    </row>
    <row r="1088" spans="1:14" x14ac:dyDescent="0.15">
      <c r="B1088" s="38" t="s">
        <v>25</v>
      </c>
      <c r="C1088" s="9">
        <v>7</v>
      </c>
      <c r="D1088" s="14">
        <f>7+2</f>
        <v>9</v>
      </c>
      <c r="E1088" s="13"/>
      <c r="F1088" s="46">
        <f t="shared" si="353"/>
        <v>16</v>
      </c>
      <c r="G1088" s="73">
        <v>45740</v>
      </c>
      <c r="H1088" s="4" t="s">
        <v>24</v>
      </c>
      <c r="I1088" s="9">
        <v>30</v>
      </c>
      <c r="J1088" s="14">
        <v>20</v>
      </c>
      <c r="K1088" s="13"/>
      <c r="L1088" s="46">
        <f t="shared" si="354"/>
        <v>50</v>
      </c>
      <c r="M1088" s="73">
        <v>45748</v>
      </c>
      <c r="N1088" s="54"/>
    </row>
    <row r="1089" spans="1:14" x14ac:dyDescent="0.15">
      <c r="B1089" s="38" t="s">
        <v>25</v>
      </c>
      <c r="C1089" s="9">
        <v>1</v>
      </c>
      <c r="D1089" s="14"/>
      <c r="E1089" s="13"/>
      <c r="F1089" s="46">
        <f t="shared" si="353"/>
        <v>1</v>
      </c>
      <c r="G1089" s="73">
        <v>45742</v>
      </c>
      <c r="H1089" s="4" t="s">
        <v>24</v>
      </c>
      <c r="I1089" s="9"/>
      <c r="J1089" s="14">
        <v>15</v>
      </c>
      <c r="K1089" s="13"/>
      <c r="L1089" s="46">
        <f t="shared" si="354"/>
        <v>15</v>
      </c>
      <c r="M1089" s="73">
        <v>45762</v>
      </c>
      <c r="N1089" s="54"/>
    </row>
    <row r="1090" spans="1:14" x14ac:dyDescent="0.15">
      <c r="B1090" s="4" t="s">
        <v>124</v>
      </c>
      <c r="C1090" s="9">
        <v>1</v>
      </c>
      <c r="D1090" s="14"/>
      <c r="E1090" s="13"/>
      <c r="F1090" s="46">
        <f t="shared" si="353"/>
        <v>1</v>
      </c>
      <c r="G1090" s="73">
        <v>45745</v>
      </c>
      <c r="H1090" s="4" t="s">
        <v>24</v>
      </c>
      <c r="I1090" s="9"/>
      <c r="J1090" s="14">
        <v>20</v>
      </c>
      <c r="K1090" s="13"/>
      <c r="L1090" s="46">
        <f t="shared" si="354"/>
        <v>20</v>
      </c>
      <c r="M1090" s="73">
        <v>45786</v>
      </c>
      <c r="N1090" s="54"/>
    </row>
    <row r="1091" spans="1:14" x14ac:dyDescent="0.15">
      <c r="B1091" s="38" t="s">
        <v>25</v>
      </c>
      <c r="C1091" s="9">
        <v>1</v>
      </c>
      <c r="D1091" s="14">
        <v>2</v>
      </c>
      <c r="E1091" s="13"/>
      <c r="F1091" s="46">
        <f t="shared" si="353"/>
        <v>3</v>
      </c>
      <c r="G1091" s="73">
        <v>45745</v>
      </c>
      <c r="H1091" s="4" t="s">
        <v>24</v>
      </c>
      <c r="I1091" s="9">
        <v>30</v>
      </c>
      <c r="J1091" s="14">
        <v>20</v>
      </c>
      <c r="K1091" s="13"/>
      <c r="L1091" s="46">
        <f t="shared" si="354"/>
        <v>50</v>
      </c>
      <c r="M1091" s="73">
        <v>45787</v>
      </c>
    </row>
    <row r="1092" spans="1:14" x14ac:dyDescent="0.15">
      <c r="B1092" s="38" t="s">
        <v>25</v>
      </c>
      <c r="C1092" s="9">
        <f>8+1</f>
        <v>9</v>
      </c>
      <c r="D1092" s="14">
        <v>4</v>
      </c>
      <c r="E1092" s="13"/>
      <c r="F1092" s="46">
        <f t="shared" si="353"/>
        <v>13</v>
      </c>
      <c r="G1092" s="73">
        <v>45747</v>
      </c>
      <c r="H1092" s="4" t="s">
        <v>24</v>
      </c>
      <c r="I1092" s="9">
        <v>20</v>
      </c>
      <c r="J1092" s="14">
        <v>20</v>
      </c>
      <c r="K1092" s="13"/>
      <c r="L1092" s="46">
        <f t="shared" si="354"/>
        <v>40</v>
      </c>
      <c r="M1092" s="73">
        <v>45808</v>
      </c>
    </row>
    <row r="1093" spans="1:14" x14ac:dyDescent="0.15">
      <c r="B1093" s="38" t="s">
        <v>25</v>
      </c>
      <c r="C1093" s="9">
        <v>1</v>
      </c>
      <c r="D1093" s="14">
        <v>3</v>
      </c>
      <c r="E1093" s="13"/>
      <c r="F1093" s="46">
        <f t="shared" si="353"/>
        <v>4</v>
      </c>
      <c r="G1093" s="74">
        <v>45748</v>
      </c>
      <c r="H1093" s="4"/>
      <c r="I1093" s="9"/>
      <c r="J1093" s="14"/>
      <c r="K1093" s="13"/>
      <c r="L1093" s="46">
        <f t="shared" ref="L1093:L1110" si="355">SUM(I1093:K1093)</f>
        <v>0</v>
      </c>
      <c r="M1093" s="54"/>
    </row>
    <row r="1094" spans="1:14" x14ac:dyDescent="0.15">
      <c r="B1094" s="38" t="s">
        <v>25</v>
      </c>
      <c r="C1094" s="9">
        <v>2</v>
      </c>
      <c r="D1094" s="14">
        <v>5</v>
      </c>
      <c r="E1094" s="13"/>
      <c r="F1094" s="46">
        <f t="shared" si="353"/>
        <v>7</v>
      </c>
      <c r="G1094" s="74">
        <v>45749</v>
      </c>
      <c r="H1094" s="4"/>
      <c r="I1094" s="9"/>
      <c r="J1094" s="14"/>
      <c r="K1094" s="13"/>
      <c r="L1094" s="46">
        <f t="shared" si="355"/>
        <v>0</v>
      </c>
      <c r="M1094" s="54"/>
    </row>
    <row r="1095" spans="1:14" x14ac:dyDescent="0.15">
      <c r="B1095" s="38" t="s">
        <v>25</v>
      </c>
      <c r="C1095" s="9"/>
      <c r="D1095" s="14">
        <v>1</v>
      </c>
      <c r="E1095" s="13"/>
      <c r="F1095" s="46">
        <f t="shared" si="353"/>
        <v>1</v>
      </c>
      <c r="G1095" s="74">
        <v>45750</v>
      </c>
      <c r="H1095" s="4"/>
      <c r="I1095" s="9"/>
      <c r="J1095" s="14"/>
      <c r="K1095" s="13"/>
      <c r="L1095" s="46">
        <f t="shared" si="355"/>
        <v>0</v>
      </c>
      <c r="M1095" s="54"/>
    </row>
    <row r="1096" spans="1:14" x14ac:dyDescent="0.15">
      <c r="B1096" s="38" t="s">
        <v>25</v>
      </c>
      <c r="C1096" s="9">
        <v>2</v>
      </c>
      <c r="D1096" s="14">
        <v>1</v>
      </c>
      <c r="E1096" s="13"/>
      <c r="F1096" s="46">
        <f t="shared" si="353"/>
        <v>3</v>
      </c>
      <c r="G1096" s="74">
        <v>45751</v>
      </c>
      <c r="H1096" s="4"/>
      <c r="I1096" s="9"/>
      <c r="J1096" s="14"/>
      <c r="K1096" s="13"/>
      <c r="L1096" s="46">
        <f t="shared" si="355"/>
        <v>0</v>
      </c>
    </row>
    <row r="1097" spans="1:14" x14ac:dyDescent="0.15">
      <c r="B1097" s="38" t="s">
        <v>25</v>
      </c>
      <c r="C1097" s="9">
        <v>1</v>
      </c>
      <c r="D1097" s="14"/>
      <c r="E1097" s="13"/>
      <c r="F1097" s="46">
        <f t="shared" si="353"/>
        <v>1</v>
      </c>
      <c r="G1097" s="74">
        <v>45752</v>
      </c>
      <c r="H1097" s="4"/>
      <c r="I1097" s="9"/>
      <c r="J1097" s="14"/>
      <c r="K1097" s="13"/>
      <c r="L1097" s="46">
        <f t="shared" si="355"/>
        <v>0</v>
      </c>
    </row>
    <row r="1098" spans="1:14" x14ac:dyDescent="0.15">
      <c r="B1098" s="38" t="s">
        <v>25</v>
      </c>
      <c r="C1098" s="9"/>
      <c r="D1098" s="14">
        <f>1+1</f>
        <v>2</v>
      </c>
      <c r="E1098" s="13"/>
      <c r="F1098" s="46">
        <f t="shared" si="353"/>
        <v>2</v>
      </c>
      <c r="G1098" s="74">
        <v>45754</v>
      </c>
      <c r="H1098" s="4"/>
      <c r="I1098" s="9"/>
      <c r="J1098" s="14"/>
      <c r="K1098" s="13"/>
      <c r="L1098" s="46">
        <f t="shared" si="355"/>
        <v>0</v>
      </c>
    </row>
    <row r="1099" spans="1:14" x14ac:dyDescent="0.15">
      <c r="B1099" s="38" t="s">
        <v>25</v>
      </c>
      <c r="C1099" s="9">
        <v>2</v>
      </c>
      <c r="D1099" s="14">
        <v>3</v>
      </c>
      <c r="E1099" s="13"/>
      <c r="F1099" s="46">
        <f t="shared" si="353"/>
        <v>5</v>
      </c>
      <c r="G1099" s="74">
        <v>45755</v>
      </c>
      <c r="H1099" s="4"/>
      <c r="I1099" s="9"/>
      <c r="J1099" s="14"/>
      <c r="K1099" s="13"/>
      <c r="L1099" s="46">
        <f t="shared" si="355"/>
        <v>0</v>
      </c>
    </row>
    <row r="1100" spans="1:14" x14ac:dyDescent="0.15">
      <c r="B1100" s="38" t="s">
        <v>25</v>
      </c>
      <c r="C1100" s="9">
        <v>1</v>
      </c>
      <c r="D1100" s="14">
        <v>2</v>
      </c>
      <c r="E1100" s="13"/>
      <c r="F1100" s="46">
        <f t="shared" si="353"/>
        <v>3</v>
      </c>
      <c r="G1100" s="74">
        <v>45756</v>
      </c>
      <c r="H1100" s="4"/>
      <c r="I1100" s="9"/>
      <c r="J1100" s="14"/>
      <c r="K1100" s="13"/>
      <c r="L1100" s="46">
        <f t="shared" si="355"/>
        <v>0</v>
      </c>
    </row>
    <row r="1101" spans="1:14" x14ac:dyDescent="0.15">
      <c r="B1101" s="38" t="s">
        <v>25</v>
      </c>
      <c r="C1101" s="9">
        <v>2</v>
      </c>
      <c r="D1101" s="14">
        <v>1</v>
      </c>
      <c r="E1101" s="13"/>
      <c r="F1101" s="46">
        <f t="shared" si="353"/>
        <v>3</v>
      </c>
      <c r="G1101" s="74">
        <v>45757</v>
      </c>
      <c r="H1101" s="4"/>
      <c r="I1101" s="9"/>
      <c r="J1101" s="14"/>
      <c r="K1101" s="13"/>
      <c r="L1101" s="46">
        <f t="shared" si="355"/>
        <v>0</v>
      </c>
    </row>
    <row r="1102" spans="1:14" x14ac:dyDescent="0.15">
      <c r="B1102" s="38" t="s">
        <v>25</v>
      </c>
      <c r="C1102" s="9">
        <v>1</v>
      </c>
      <c r="D1102" s="14">
        <v>5</v>
      </c>
      <c r="E1102" s="13"/>
      <c r="F1102" s="46">
        <f t="shared" si="353"/>
        <v>6</v>
      </c>
      <c r="G1102" s="74">
        <v>45761</v>
      </c>
      <c r="H1102" s="4"/>
      <c r="I1102" s="9"/>
      <c r="J1102" s="14"/>
      <c r="K1102" s="13"/>
      <c r="L1102" s="46">
        <f t="shared" si="355"/>
        <v>0</v>
      </c>
    </row>
    <row r="1103" spans="1:14" x14ac:dyDescent="0.15">
      <c r="B1103" s="38" t="s">
        <v>25</v>
      </c>
      <c r="C1103" s="9">
        <v>1</v>
      </c>
      <c r="D1103" s="14">
        <v>1</v>
      </c>
      <c r="E1103" s="13"/>
      <c r="F1103" s="46">
        <f t="shared" si="353"/>
        <v>2</v>
      </c>
      <c r="G1103" s="74">
        <v>45763</v>
      </c>
      <c r="H1103" s="4"/>
      <c r="I1103" s="9"/>
      <c r="J1103" s="14"/>
      <c r="K1103" s="13"/>
      <c r="L1103" s="46">
        <f t="shared" si="355"/>
        <v>0</v>
      </c>
    </row>
    <row r="1104" spans="1:14" x14ac:dyDescent="0.15">
      <c r="A1104" s="1"/>
      <c r="B1104" s="38" t="s">
        <v>25</v>
      </c>
      <c r="C1104" s="9">
        <v>1</v>
      </c>
      <c r="D1104" s="14">
        <f>1+1</f>
        <v>2</v>
      </c>
      <c r="E1104" s="13"/>
      <c r="F1104" s="46">
        <f t="shared" si="353"/>
        <v>3</v>
      </c>
      <c r="G1104" s="74">
        <v>45775</v>
      </c>
      <c r="H1104" s="4"/>
      <c r="I1104" s="9"/>
      <c r="J1104" s="14"/>
      <c r="K1104" s="13"/>
      <c r="L1104" s="46">
        <f t="shared" si="355"/>
        <v>0</v>
      </c>
    </row>
    <row r="1105" spans="1:12" x14ac:dyDescent="0.15">
      <c r="A1105" s="1"/>
      <c r="B1105" s="38" t="s">
        <v>25</v>
      </c>
      <c r="C1105" s="9"/>
      <c r="D1105" s="14">
        <v>1</v>
      </c>
      <c r="E1105" s="13"/>
      <c r="F1105" s="46">
        <f t="shared" si="353"/>
        <v>1</v>
      </c>
      <c r="G1105" s="74">
        <v>45777</v>
      </c>
      <c r="H1105" s="4"/>
      <c r="I1105" s="9"/>
      <c r="J1105" s="14"/>
      <c r="K1105" s="13"/>
      <c r="L1105" s="46">
        <f t="shared" si="355"/>
        <v>0</v>
      </c>
    </row>
    <row r="1106" spans="1:12" x14ac:dyDescent="0.15">
      <c r="A1106" s="1"/>
      <c r="B1106" s="38" t="s">
        <v>25</v>
      </c>
      <c r="C1106" s="9"/>
      <c r="D1106" s="14">
        <v>3</v>
      </c>
      <c r="E1106" s="13"/>
      <c r="F1106" s="46">
        <f t="shared" si="353"/>
        <v>3</v>
      </c>
      <c r="G1106" s="74">
        <v>45778</v>
      </c>
      <c r="H1106" s="4"/>
      <c r="I1106" s="9"/>
      <c r="J1106" s="14"/>
      <c r="K1106" s="13"/>
      <c r="L1106" s="46">
        <f t="shared" si="355"/>
        <v>0</v>
      </c>
    </row>
    <row r="1107" spans="1:12" x14ac:dyDescent="0.15">
      <c r="A1107" s="1"/>
      <c r="B1107" s="38" t="s">
        <v>25</v>
      </c>
      <c r="C1107" s="9">
        <f>1+2</f>
        <v>3</v>
      </c>
      <c r="D1107" s="14">
        <f>1+3+1</f>
        <v>5</v>
      </c>
      <c r="E1107" s="13"/>
      <c r="F1107" s="46">
        <f t="shared" si="353"/>
        <v>8</v>
      </c>
      <c r="G1107" s="74">
        <v>45779</v>
      </c>
      <c r="H1107" s="4"/>
      <c r="I1107" s="9"/>
      <c r="J1107" s="14"/>
      <c r="K1107" s="13"/>
      <c r="L1107" s="46">
        <f t="shared" si="355"/>
        <v>0</v>
      </c>
    </row>
    <row r="1108" spans="1:12" x14ac:dyDescent="0.15">
      <c r="A1108" s="26"/>
      <c r="B1108" s="38" t="s">
        <v>25</v>
      </c>
      <c r="C1108" s="9">
        <f>7+1</f>
        <v>8</v>
      </c>
      <c r="D1108" s="14">
        <f>6+1</f>
        <v>7</v>
      </c>
      <c r="E1108" s="13"/>
      <c r="F1108" s="46">
        <f t="shared" si="353"/>
        <v>15</v>
      </c>
      <c r="G1108" s="74">
        <v>45784</v>
      </c>
      <c r="H1108" s="4"/>
      <c r="I1108" s="9"/>
      <c r="J1108" s="14"/>
      <c r="K1108" s="13"/>
      <c r="L1108" s="46">
        <f t="shared" si="355"/>
        <v>0</v>
      </c>
    </row>
    <row r="1109" spans="1:12" x14ac:dyDescent="0.15">
      <c r="A1109" s="26"/>
      <c r="B1109" s="38" t="s">
        <v>25</v>
      </c>
      <c r="C1109" s="9">
        <v>1</v>
      </c>
      <c r="D1109" s="14">
        <f>2+2</f>
        <v>4</v>
      </c>
      <c r="E1109" s="13"/>
      <c r="F1109" s="46">
        <f t="shared" si="353"/>
        <v>5</v>
      </c>
      <c r="G1109" s="74">
        <v>45785</v>
      </c>
      <c r="H1109" s="4"/>
      <c r="I1109" s="9"/>
      <c r="J1109" s="14"/>
      <c r="K1109" s="13"/>
      <c r="L1109" s="46">
        <f t="shared" si="355"/>
        <v>0</v>
      </c>
    </row>
    <row r="1110" spans="1:12" ht="14.25" thickBot="1" x14ac:dyDescent="0.2">
      <c r="A1110" s="1"/>
      <c r="B1110" s="38" t="s">
        <v>25</v>
      </c>
      <c r="C1110" s="9">
        <v>3</v>
      </c>
      <c r="D1110" s="14">
        <v>4</v>
      </c>
      <c r="E1110" s="13"/>
      <c r="F1110" s="46">
        <f t="shared" si="353"/>
        <v>7</v>
      </c>
      <c r="G1110" s="74">
        <v>45786</v>
      </c>
      <c r="H1110" s="4"/>
      <c r="I1110" s="9"/>
      <c r="J1110" s="14"/>
      <c r="K1110" s="13"/>
      <c r="L1110" s="46">
        <f t="shared" si="355"/>
        <v>0</v>
      </c>
    </row>
    <row r="1111" spans="1:12" ht="14.25" thickBot="1" x14ac:dyDescent="0.2">
      <c r="A1111" s="1"/>
      <c r="B1111" s="5" t="s">
        <v>9</v>
      </c>
      <c r="C1111" s="10">
        <f>SUM(C1087:C1110)</f>
        <v>49</v>
      </c>
      <c r="D1111" s="10">
        <f t="shared" ref="D1111:E1111" si="356">SUM(D1087:D1110)</f>
        <v>66</v>
      </c>
      <c r="E1111" s="76">
        <f t="shared" si="356"/>
        <v>0</v>
      </c>
      <c r="F1111" s="48">
        <f t="shared" ref="F1111:F1112" si="357">SUM(C1111:E1111)</f>
        <v>115</v>
      </c>
      <c r="G1111" s="1"/>
      <c r="H1111" s="5" t="s">
        <v>9</v>
      </c>
      <c r="I1111" s="10">
        <f>SUM(I1087:I1110)</f>
        <v>90</v>
      </c>
      <c r="J1111" s="10">
        <f t="shared" ref="J1111" si="358">SUM(J1087:J1110)</f>
        <v>95</v>
      </c>
      <c r="K1111" s="76">
        <f t="shared" ref="K1111" si="359">SUM(K1087:K1110)</f>
        <v>0</v>
      </c>
      <c r="L1111" s="48">
        <f t="shared" ref="L1111" si="360">SUM(L1087:L1110)</f>
        <v>185</v>
      </c>
    </row>
    <row r="1112" spans="1:12" ht="14.25" thickBot="1" x14ac:dyDescent="0.2">
      <c r="A1112" s="1"/>
      <c r="B1112" s="8" t="s">
        <v>10</v>
      </c>
      <c r="C1112" s="11">
        <f>C1086-C1111</f>
        <v>40</v>
      </c>
      <c r="D1112" s="11">
        <f t="shared" ref="D1112:E1112" si="361">D1086-D1111</f>
        <v>42</v>
      </c>
      <c r="E1112" s="77">
        <f t="shared" si="361"/>
        <v>0</v>
      </c>
      <c r="F1112" s="37">
        <f t="shared" si="357"/>
        <v>82</v>
      </c>
      <c r="G1112" s="1"/>
      <c r="H1112" s="8" t="s">
        <v>10</v>
      </c>
      <c r="I1112" s="11">
        <f>I1086-I1111</f>
        <v>549</v>
      </c>
      <c r="J1112" s="11">
        <f t="shared" ref="J1112" si="362">J1086-J1111</f>
        <v>206</v>
      </c>
      <c r="K1112" s="77">
        <f t="shared" ref="K1112" si="363">K1086-K1111</f>
        <v>0</v>
      </c>
      <c r="L1112" s="37">
        <f t="shared" ref="L1112" si="364">L1086-L1111</f>
        <v>755</v>
      </c>
    </row>
    <row r="1115" spans="1:12" ht="18.75" x14ac:dyDescent="0.2">
      <c r="A1115" s="41" t="s">
        <v>12</v>
      </c>
      <c r="B1115" s="42"/>
      <c r="C1115" s="41"/>
      <c r="D1115" s="43"/>
      <c r="E1115" s="43"/>
      <c r="F1115" s="2"/>
      <c r="G1115" s="1"/>
      <c r="H1115" s="41" t="s">
        <v>12</v>
      </c>
      <c r="I1115" s="41"/>
      <c r="J1115" s="43"/>
      <c r="K1115" s="43"/>
      <c r="L1115" s="2"/>
    </row>
    <row r="1116" spans="1:12" ht="19.5" thickBot="1" x14ac:dyDescent="0.25">
      <c r="A1116" s="7"/>
      <c r="B1116" s="7" t="s">
        <v>0</v>
      </c>
      <c r="C1116" s="7"/>
      <c r="D1116" s="7" t="s">
        <v>15</v>
      </c>
      <c r="E1116" s="2"/>
      <c r="F1116" s="2"/>
      <c r="G1116" s="1"/>
      <c r="H1116" s="7" t="s">
        <v>1</v>
      </c>
      <c r="I1116" s="1"/>
      <c r="J1116" s="7" t="s">
        <v>15</v>
      </c>
      <c r="K1116" s="2"/>
      <c r="L1116" s="2"/>
    </row>
    <row r="1117" spans="1:12" ht="14.25" thickBot="1" x14ac:dyDescent="0.2">
      <c r="A1117" s="1"/>
      <c r="B1117" s="3"/>
      <c r="C1117" s="5" t="s">
        <v>2</v>
      </c>
      <c r="D1117" s="3" t="s">
        <v>3</v>
      </c>
      <c r="E1117" s="12" t="s">
        <v>4</v>
      </c>
      <c r="F1117" s="3" t="s">
        <v>5</v>
      </c>
      <c r="G1117" s="1"/>
      <c r="H1117" s="3"/>
      <c r="I1117" s="5" t="s">
        <v>2</v>
      </c>
      <c r="J1117" s="3" t="s">
        <v>3</v>
      </c>
      <c r="K1117" s="12" t="s">
        <v>4</v>
      </c>
      <c r="L1117" s="3" t="s">
        <v>5</v>
      </c>
    </row>
    <row r="1118" spans="1:12" ht="14.25" thickBot="1" x14ac:dyDescent="0.2">
      <c r="A1118" s="1"/>
      <c r="B1118" s="34" t="s">
        <v>11</v>
      </c>
      <c r="C1118" s="35">
        <f>C1112</f>
        <v>40</v>
      </c>
      <c r="D1118" s="36">
        <f>D1112</f>
        <v>42</v>
      </c>
      <c r="E1118" s="35">
        <f>E1112</f>
        <v>0</v>
      </c>
      <c r="F1118" s="37">
        <f>SUM(C1118:E1118)</f>
        <v>82</v>
      </c>
      <c r="G1118" s="28"/>
      <c r="H1118" s="34"/>
      <c r="I1118" s="35">
        <f>I1112</f>
        <v>549</v>
      </c>
      <c r="J1118" s="36">
        <f t="shared" ref="J1118:L1118" si="365">J1112</f>
        <v>206</v>
      </c>
      <c r="K1118" s="35">
        <f t="shared" si="365"/>
        <v>0</v>
      </c>
      <c r="L1118" s="37">
        <f t="shared" si="365"/>
        <v>755</v>
      </c>
    </row>
    <row r="1119" spans="1:12" x14ac:dyDescent="0.15">
      <c r="A1119" s="1"/>
      <c r="B1119" s="29" t="s">
        <v>7</v>
      </c>
      <c r="C1119" s="20">
        <v>20</v>
      </c>
      <c r="D1119" s="21">
        <v>20</v>
      </c>
      <c r="E1119" s="20"/>
      <c r="F1119" s="46">
        <f t="shared" ref="F1119:F1122" si="366">SUM(C1119:E1119)</f>
        <v>40</v>
      </c>
      <c r="G1119" s="24">
        <v>45808</v>
      </c>
      <c r="H1119" s="29"/>
      <c r="I1119" s="20"/>
      <c r="J1119" s="21"/>
      <c r="K1119" s="20"/>
      <c r="L1119" s="46">
        <f t="shared" ref="L1119:L1128" si="367">SUM(I1119:K1119)</f>
        <v>0</v>
      </c>
    </row>
    <row r="1120" spans="1:12" x14ac:dyDescent="0.15">
      <c r="A1120" s="1"/>
      <c r="B1120" s="29" t="s">
        <v>7</v>
      </c>
      <c r="C1120" s="20">
        <v>20</v>
      </c>
      <c r="D1120" s="21">
        <v>20</v>
      </c>
      <c r="E1120" s="20"/>
      <c r="F1120" s="46">
        <f t="shared" si="366"/>
        <v>40</v>
      </c>
      <c r="G1120" s="24">
        <v>45811</v>
      </c>
      <c r="H1120" s="29"/>
      <c r="I1120" s="20"/>
      <c r="J1120" s="21"/>
      <c r="K1120" s="20"/>
      <c r="L1120" s="46">
        <f t="shared" si="367"/>
        <v>0</v>
      </c>
    </row>
    <row r="1121" spans="1:13" x14ac:dyDescent="0.15">
      <c r="A1121" s="26"/>
      <c r="B1121" s="29" t="s">
        <v>7</v>
      </c>
      <c r="C1121" s="20">
        <v>20</v>
      </c>
      <c r="D1121" s="21">
        <v>20</v>
      </c>
      <c r="E1121" s="20"/>
      <c r="F1121" s="46">
        <f t="shared" si="366"/>
        <v>40</v>
      </c>
      <c r="G1121" s="24">
        <v>45815</v>
      </c>
      <c r="H1121" s="29"/>
      <c r="I1121" s="20"/>
      <c r="J1121" s="21"/>
      <c r="K1121" s="20"/>
      <c r="L1121" s="46">
        <f t="shared" si="367"/>
        <v>0</v>
      </c>
    </row>
    <row r="1122" spans="1:13" x14ac:dyDescent="0.15">
      <c r="A1122" s="1"/>
      <c r="B1122" s="29" t="s">
        <v>7</v>
      </c>
      <c r="C1122" s="20">
        <v>10</v>
      </c>
      <c r="D1122" s="21">
        <v>10</v>
      </c>
      <c r="E1122" s="20"/>
      <c r="F1122" s="46">
        <f t="shared" si="366"/>
        <v>20</v>
      </c>
      <c r="G1122" s="24">
        <v>45821</v>
      </c>
      <c r="H1122" s="29"/>
      <c r="I1122" s="20"/>
      <c r="J1122" s="21"/>
      <c r="K1122" s="20"/>
      <c r="L1122" s="46">
        <f t="shared" si="367"/>
        <v>0</v>
      </c>
    </row>
    <row r="1123" spans="1:13" x14ac:dyDescent="0.15">
      <c r="A1123" s="1"/>
      <c r="B1123" s="29" t="s">
        <v>7</v>
      </c>
      <c r="C1123" s="20">
        <v>10</v>
      </c>
      <c r="D1123" s="21">
        <v>10</v>
      </c>
      <c r="E1123" s="20"/>
      <c r="F1123" s="46">
        <f t="shared" ref="F1123:F1128" si="368">SUM(C1123:E1123)</f>
        <v>20</v>
      </c>
      <c r="G1123" s="24">
        <v>45825</v>
      </c>
      <c r="H1123" s="29"/>
      <c r="I1123" s="20"/>
      <c r="J1123" s="21"/>
      <c r="K1123" s="20"/>
      <c r="L1123" s="46">
        <f t="shared" si="367"/>
        <v>0</v>
      </c>
    </row>
    <row r="1124" spans="1:13" x14ac:dyDescent="0.15">
      <c r="A1124" s="1"/>
      <c r="B1124" s="29" t="s">
        <v>7</v>
      </c>
      <c r="C1124" s="20">
        <v>20</v>
      </c>
      <c r="D1124" s="21">
        <v>21</v>
      </c>
      <c r="E1124" s="20"/>
      <c r="F1124" s="46">
        <f t="shared" si="368"/>
        <v>41</v>
      </c>
      <c r="G1124" s="24">
        <v>45829</v>
      </c>
      <c r="H1124" s="29"/>
      <c r="I1124" s="20"/>
      <c r="J1124" s="21"/>
      <c r="K1124" s="20"/>
      <c r="L1124" s="46">
        <f t="shared" si="367"/>
        <v>0</v>
      </c>
    </row>
    <row r="1125" spans="1:13" x14ac:dyDescent="0.15">
      <c r="A1125" s="1"/>
      <c r="B1125" s="29" t="s">
        <v>7</v>
      </c>
      <c r="C1125" s="20"/>
      <c r="D1125" s="21"/>
      <c r="E1125" s="20"/>
      <c r="F1125" s="46">
        <f t="shared" si="368"/>
        <v>0</v>
      </c>
      <c r="G1125" s="24"/>
      <c r="H1125" s="29"/>
      <c r="I1125" s="20"/>
      <c r="J1125" s="21"/>
      <c r="K1125" s="20"/>
      <c r="L1125" s="46">
        <f t="shared" si="367"/>
        <v>0</v>
      </c>
    </row>
    <row r="1126" spans="1:13" x14ac:dyDescent="0.15">
      <c r="A1126" s="1"/>
      <c r="B1126" s="29" t="s">
        <v>7</v>
      </c>
      <c r="C1126" s="20"/>
      <c r="D1126" s="21"/>
      <c r="E1126" s="20"/>
      <c r="F1126" s="46">
        <f t="shared" si="368"/>
        <v>0</v>
      </c>
      <c r="G1126" s="24"/>
      <c r="H1126" s="29"/>
      <c r="I1126" s="20"/>
      <c r="J1126" s="21"/>
      <c r="K1126" s="20"/>
      <c r="L1126" s="46">
        <f t="shared" si="367"/>
        <v>0</v>
      </c>
    </row>
    <row r="1127" spans="1:13" x14ac:dyDescent="0.15">
      <c r="A1127" s="1"/>
      <c r="B1127" s="29" t="s">
        <v>7</v>
      </c>
      <c r="C1127" s="20"/>
      <c r="D1127" s="21"/>
      <c r="E1127" s="20"/>
      <c r="F1127" s="46">
        <f t="shared" si="368"/>
        <v>0</v>
      </c>
      <c r="G1127" s="24"/>
      <c r="H1127" s="29"/>
      <c r="I1127" s="20"/>
      <c r="J1127" s="21"/>
      <c r="K1127" s="20"/>
      <c r="L1127" s="46">
        <f t="shared" si="367"/>
        <v>0</v>
      </c>
    </row>
    <row r="1128" spans="1:13" ht="14.25" thickBot="1" x14ac:dyDescent="0.2">
      <c r="A1128" s="1"/>
      <c r="B1128" s="29" t="s">
        <v>7</v>
      </c>
      <c r="C1128" s="20"/>
      <c r="D1128" s="21"/>
      <c r="E1128" s="20"/>
      <c r="F1128" s="46">
        <f t="shared" si="368"/>
        <v>0</v>
      </c>
      <c r="G1128" s="24"/>
      <c r="H1128" s="29"/>
      <c r="I1128" s="19"/>
      <c r="J1128" s="4"/>
      <c r="K1128" s="19"/>
      <c r="L1128" s="46">
        <f t="shared" si="367"/>
        <v>0</v>
      </c>
    </row>
    <row r="1129" spans="1:13" ht="14.25" thickBot="1" x14ac:dyDescent="0.2">
      <c r="A1129" s="1"/>
      <c r="B1129" s="6" t="s">
        <v>8</v>
      </c>
      <c r="C1129" s="44">
        <f>SUM(C1118:C1128)</f>
        <v>140</v>
      </c>
      <c r="D1129" s="44">
        <f t="shared" ref="D1129:F1129" si="369">SUM(D1118:D1128)</f>
        <v>143</v>
      </c>
      <c r="E1129" s="44">
        <f t="shared" si="369"/>
        <v>0</v>
      </c>
      <c r="F1129" s="45">
        <f t="shared" si="369"/>
        <v>283</v>
      </c>
      <c r="G1129" s="1"/>
      <c r="H1129" s="6"/>
      <c r="I1129" s="44">
        <f>SUM(I1118:I1128)</f>
        <v>549</v>
      </c>
      <c r="J1129" s="44">
        <f t="shared" ref="J1129" si="370">SUM(J1118:J1128)</f>
        <v>206</v>
      </c>
      <c r="K1129" s="44">
        <f t="shared" ref="K1129" si="371">SUM(K1118:K1128)</f>
        <v>0</v>
      </c>
      <c r="L1129" s="45">
        <f t="shared" ref="L1129" si="372">SUM(L1118:L1128)</f>
        <v>755</v>
      </c>
    </row>
    <row r="1130" spans="1:13" x14ac:dyDescent="0.15">
      <c r="A1130" s="1"/>
      <c r="B1130" s="38" t="s">
        <v>25</v>
      </c>
      <c r="C1130" s="9">
        <v>1</v>
      </c>
      <c r="D1130" s="14">
        <v>1</v>
      </c>
      <c r="E1130" s="13"/>
      <c r="F1130" s="46">
        <f t="shared" ref="F1130:F1153" si="373">SUM(C1130:E1130)</f>
        <v>2</v>
      </c>
      <c r="G1130" s="73">
        <v>45789</v>
      </c>
      <c r="H1130" s="4" t="s">
        <v>24</v>
      </c>
      <c r="I1130" s="9">
        <v>20</v>
      </c>
      <c r="J1130" s="14">
        <v>20</v>
      </c>
      <c r="K1130" s="13"/>
      <c r="L1130" s="46">
        <f t="shared" ref="L1130:L1134" si="374">SUM(I1130:K1130)</f>
        <v>40</v>
      </c>
      <c r="M1130" s="73">
        <v>45811</v>
      </c>
    </row>
    <row r="1131" spans="1:13" x14ac:dyDescent="0.15">
      <c r="B1131" s="38" t="s">
        <v>25</v>
      </c>
      <c r="C1131" s="9">
        <v>1</v>
      </c>
      <c r="D1131" s="14"/>
      <c r="E1131" s="13"/>
      <c r="F1131" s="46">
        <f t="shared" si="373"/>
        <v>1</v>
      </c>
      <c r="G1131" s="73">
        <v>45791</v>
      </c>
      <c r="H1131" s="4" t="s">
        <v>24</v>
      </c>
      <c r="I1131" s="9">
        <v>20</v>
      </c>
      <c r="J1131" s="14">
        <v>20</v>
      </c>
      <c r="K1131" s="13"/>
      <c r="L1131" s="46">
        <f t="shared" si="374"/>
        <v>40</v>
      </c>
      <c r="M1131" s="73">
        <v>45815</v>
      </c>
    </row>
    <row r="1132" spans="1:13" x14ac:dyDescent="0.15">
      <c r="B1132" s="38" t="s">
        <v>25</v>
      </c>
      <c r="C1132" s="9"/>
      <c r="D1132" s="14">
        <v>1</v>
      </c>
      <c r="E1132" s="13"/>
      <c r="F1132" s="46">
        <f t="shared" si="373"/>
        <v>1</v>
      </c>
      <c r="G1132" s="73">
        <v>45792</v>
      </c>
      <c r="H1132" s="4" t="s">
        <v>24</v>
      </c>
      <c r="I1132" s="9">
        <v>10</v>
      </c>
      <c r="J1132" s="14">
        <v>10</v>
      </c>
      <c r="K1132" s="13"/>
      <c r="L1132" s="46">
        <f t="shared" si="374"/>
        <v>20</v>
      </c>
      <c r="M1132" s="73">
        <v>45821</v>
      </c>
    </row>
    <row r="1133" spans="1:13" x14ac:dyDescent="0.15">
      <c r="B1133" s="38" t="s">
        <v>25</v>
      </c>
      <c r="C1133" s="9">
        <f>5+6</f>
        <v>11</v>
      </c>
      <c r="D1133" s="14">
        <f>2+3</f>
        <v>5</v>
      </c>
      <c r="E1133" s="13"/>
      <c r="F1133" s="46">
        <f t="shared" si="373"/>
        <v>16</v>
      </c>
      <c r="G1133" s="73">
        <v>45797</v>
      </c>
      <c r="H1133" s="4" t="s">
        <v>24</v>
      </c>
      <c r="I1133" s="9">
        <v>10</v>
      </c>
      <c r="J1133" s="14">
        <v>10</v>
      </c>
      <c r="K1133" s="13"/>
      <c r="L1133" s="46">
        <f t="shared" si="374"/>
        <v>20</v>
      </c>
      <c r="M1133" s="73">
        <v>45825</v>
      </c>
    </row>
    <row r="1134" spans="1:13" x14ac:dyDescent="0.15">
      <c r="B1134" s="38" t="s">
        <v>25</v>
      </c>
      <c r="C1134" s="9">
        <v>5</v>
      </c>
      <c r="D1134" s="14">
        <v>5</v>
      </c>
      <c r="E1134" s="13"/>
      <c r="F1134" s="46">
        <f t="shared" si="373"/>
        <v>10</v>
      </c>
      <c r="G1134" s="74">
        <v>45798</v>
      </c>
      <c r="H1134" s="4" t="s">
        <v>24</v>
      </c>
      <c r="I1134" s="9">
        <v>20</v>
      </c>
      <c r="J1134" s="14">
        <v>21</v>
      </c>
      <c r="K1134" s="13"/>
      <c r="L1134" s="46">
        <f t="shared" si="374"/>
        <v>41</v>
      </c>
      <c r="M1134" s="73">
        <v>45829</v>
      </c>
    </row>
    <row r="1135" spans="1:13" x14ac:dyDescent="0.15">
      <c r="B1135" s="38" t="s">
        <v>25</v>
      </c>
      <c r="C1135" s="9">
        <v>1</v>
      </c>
      <c r="D1135" s="14"/>
      <c r="E1135" s="13"/>
      <c r="F1135" s="46">
        <f t="shared" si="373"/>
        <v>1</v>
      </c>
      <c r="G1135" s="74">
        <v>45803</v>
      </c>
      <c r="H1135" s="4"/>
      <c r="I1135" s="9"/>
      <c r="J1135" s="14"/>
      <c r="K1135" s="13"/>
      <c r="L1135" s="46">
        <f t="shared" ref="L1135:L1151" si="375">SUM(I1135:K1135)</f>
        <v>0</v>
      </c>
    </row>
    <row r="1136" spans="1:13" x14ac:dyDescent="0.15">
      <c r="B1136" s="4" t="s">
        <v>125</v>
      </c>
      <c r="C1136" s="9">
        <v>1</v>
      </c>
      <c r="D1136" s="14"/>
      <c r="E1136" s="13"/>
      <c r="F1136" s="46">
        <f t="shared" si="373"/>
        <v>1</v>
      </c>
      <c r="G1136" s="73">
        <v>45804</v>
      </c>
      <c r="H1136" s="4"/>
      <c r="I1136" s="9"/>
      <c r="J1136" s="14"/>
      <c r="K1136" s="13"/>
      <c r="L1136" s="46">
        <f t="shared" si="375"/>
        <v>0</v>
      </c>
    </row>
    <row r="1137" spans="1:12" x14ac:dyDescent="0.15">
      <c r="B1137" s="38" t="s">
        <v>25</v>
      </c>
      <c r="C1137" s="9">
        <v>2</v>
      </c>
      <c r="D1137" s="14">
        <v>2</v>
      </c>
      <c r="E1137" s="13"/>
      <c r="F1137" s="46">
        <f t="shared" si="373"/>
        <v>4</v>
      </c>
      <c r="G1137" s="74">
        <v>45806</v>
      </c>
      <c r="H1137" s="4"/>
      <c r="I1137" s="9"/>
      <c r="J1137" s="14"/>
      <c r="K1137" s="13"/>
      <c r="L1137" s="46">
        <f t="shared" si="375"/>
        <v>0</v>
      </c>
    </row>
    <row r="1138" spans="1:12" x14ac:dyDescent="0.15">
      <c r="B1138" s="38" t="s">
        <v>25</v>
      </c>
      <c r="C1138" s="9">
        <v>6</v>
      </c>
      <c r="D1138" s="14">
        <v>10</v>
      </c>
      <c r="E1138" s="13"/>
      <c r="F1138" s="46">
        <f t="shared" si="373"/>
        <v>16</v>
      </c>
      <c r="G1138" s="74">
        <v>45807</v>
      </c>
      <c r="H1138" s="4"/>
      <c r="I1138" s="9"/>
      <c r="J1138" s="14"/>
      <c r="K1138" s="13"/>
      <c r="L1138" s="46">
        <f t="shared" si="375"/>
        <v>0</v>
      </c>
    </row>
    <row r="1139" spans="1:12" x14ac:dyDescent="0.15">
      <c r="B1139" s="38" t="s">
        <v>25</v>
      </c>
      <c r="C1139" s="9">
        <v>5</v>
      </c>
      <c r="D1139" s="14">
        <v>10</v>
      </c>
      <c r="E1139" s="13"/>
      <c r="F1139" s="46">
        <f t="shared" si="373"/>
        <v>15</v>
      </c>
      <c r="G1139" s="74">
        <v>45808</v>
      </c>
      <c r="H1139" s="4"/>
      <c r="I1139" s="9"/>
      <c r="J1139" s="14"/>
      <c r="K1139" s="13"/>
      <c r="L1139" s="46">
        <f t="shared" si="375"/>
        <v>0</v>
      </c>
    </row>
    <row r="1140" spans="1:12" x14ac:dyDescent="0.15">
      <c r="B1140" s="38" t="s">
        <v>25</v>
      </c>
      <c r="C1140" s="9">
        <v>16</v>
      </c>
      <c r="D1140" s="14">
        <v>22</v>
      </c>
      <c r="E1140" s="13"/>
      <c r="F1140" s="46">
        <f t="shared" si="373"/>
        <v>38</v>
      </c>
      <c r="G1140" s="74">
        <v>45810</v>
      </c>
      <c r="H1140" s="4"/>
      <c r="I1140" s="9"/>
      <c r="J1140" s="14"/>
      <c r="K1140" s="13"/>
      <c r="L1140" s="46">
        <f t="shared" si="375"/>
        <v>0</v>
      </c>
    </row>
    <row r="1141" spans="1:12" x14ac:dyDescent="0.15">
      <c r="B1141" s="38" t="s">
        <v>25</v>
      </c>
      <c r="C1141" s="9">
        <f>2+3</f>
        <v>5</v>
      </c>
      <c r="D1141" s="14">
        <f>1+2</f>
        <v>3</v>
      </c>
      <c r="E1141" s="13"/>
      <c r="F1141" s="46">
        <f t="shared" si="373"/>
        <v>8</v>
      </c>
      <c r="G1141" s="74">
        <v>45812</v>
      </c>
      <c r="H1141" s="4"/>
      <c r="I1141" s="9"/>
      <c r="J1141" s="14"/>
      <c r="K1141" s="13"/>
      <c r="L1141" s="46">
        <f t="shared" si="375"/>
        <v>0</v>
      </c>
    </row>
    <row r="1142" spans="1:12" x14ac:dyDescent="0.15">
      <c r="B1142" s="38" t="s">
        <v>25</v>
      </c>
      <c r="C1142" s="9">
        <v>4</v>
      </c>
      <c r="D1142" s="14">
        <v>5</v>
      </c>
      <c r="E1142" s="13"/>
      <c r="F1142" s="46">
        <f t="shared" si="373"/>
        <v>9</v>
      </c>
      <c r="G1142" s="74">
        <v>45813</v>
      </c>
      <c r="H1142" s="4"/>
      <c r="I1142" s="9"/>
      <c r="J1142" s="14"/>
      <c r="K1142" s="13"/>
      <c r="L1142" s="46">
        <f t="shared" si="375"/>
        <v>0</v>
      </c>
    </row>
    <row r="1143" spans="1:12" x14ac:dyDescent="0.15">
      <c r="B1143" s="38" t="s">
        <v>25</v>
      </c>
      <c r="C1143" s="9">
        <f>4+4</f>
        <v>8</v>
      </c>
      <c r="D1143" s="14">
        <f>2+1+1</f>
        <v>4</v>
      </c>
      <c r="E1143" s="13"/>
      <c r="F1143" s="46">
        <f t="shared" si="373"/>
        <v>12</v>
      </c>
      <c r="G1143" s="74">
        <v>45814</v>
      </c>
      <c r="H1143" s="4"/>
      <c r="I1143" s="9"/>
      <c r="J1143" s="14"/>
      <c r="K1143" s="13"/>
      <c r="L1143" s="46">
        <f t="shared" si="375"/>
        <v>0</v>
      </c>
    </row>
    <row r="1144" spans="1:12" x14ac:dyDescent="0.15">
      <c r="B1144" s="38" t="s">
        <v>25</v>
      </c>
      <c r="C1144" s="9">
        <f>1+7+4</f>
        <v>12</v>
      </c>
      <c r="D1144" s="14">
        <f>5+5</f>
        <v>10</v>
      </c>
      <c r="E1144" s="13"/>
      <c r="F1144" s="46">
        <f t="shared" si="373"/>
        <v>22</v>
      </c>
      <c r="G1144" s="74">
        <v>45817</v>
      </c>
      <c r="H1144" s="4"/>
      <c r="I1144" s="9"/>
      <c r="J1144" s="14"/>
      <c r="K1144" s="13"/>
      <c r="L1144" s="46">
        <f t="shared" si="375"/>
        <v>0</v>
      </c>
    </row>
    <row r="1145" spans="1:12" x14ac:dyDescent="0.15">
      <c r="B1145" s="38" t="s">
        <v>25</v>
      </c>
      <c r="C1145" s="9">
        <f>3+1</f>
        <v>4</v>
      </c>
      <c r="D1145" s="14">
        <v>1</v>
      </c>
      <c r="E1145" s="13"/>
      <c r="F1145" s="46">
        <f t="shared" si="373"/>
        <v>5</v>
      </c>
      <c r="G1145" s="74">
        <v>45819</v>
      </c>
      <c r="H1145" s="4"/>
      <c r="I1145" s="9"/>
      <c r="J1145" s="14"/>
      <c r="K1145" s="13"/>
      <c r="L1145" s="46">
        <f t="shared" si="375"/>
        <v>0</v>
      </c>
    </row>
    <row r="1146" spans="1:12" x14ac:dyDescent="0.15">
      <c r="B1146" s="38" t="s">
        <v>25</v>
      </c>
      <c r="C1146" s="9">
        <v>3</v>
      </c>
      <c r="D1146" s="14">
        <v>3</v>
      </c>
      <c r="E1146" s="13"/>
      <c r="F1146" s="46">
        <f t="shared" si="373"/>
        <v>6</v>
      </c>
      <c r="G1146" s="74">
        <v>45820</v>
      </c>
      <c r="H1146" s="4"/>
      <c r="I1146" s="9"/>
      <c r="J1146" s="14"/>
      <c r="K1146" s="13"/>
      <c r="L1146" s="46">
        <f t="shared" si="375"/>
        <v>0</v>
      </c>
    </row>
    <row r="1147" spans="1:12" x14ac:dyDescent="0.15">
      <c r="A1147" s="1"/>
      <c r="B1147" s="38" t="s">
        <v>25</v>
      </c>
      <c r="C1147" s="9">
        <f>4+1</f>
        <v>5</v>
      </c>
      <c r="D1147" s="14">
        <f>2+2</f>
        <v>4</v>
      </c>
      <c r="E1147" s="13"/>
      <c r="F1147" s="46">
        <f t="shared" si="373"/>
        <v>9</v>
      </c>
      <c r="G1147" s="74">
        <v>45821</v>
      </c>
      <c r="H1147" s="4"/>
      <c r="I1147" s="9"/>
      <c r="J1147" s="14"/>
      <c r="K1147" s="13"/>
      <c r="L1147" s="46">
        <f t="shared" si="375"/>
        <v>0</v>
      </c>
    </row>
    <row r="1148" spans="1:12" x14ac:dyDescent="0.15">
      <c r="A1148" s="1"/>
      <c r="B1148" s="38" t="s">
        <v>25</v>
      </c>
      <c r="C1148" s="9">
        <v>8</v>
      </c>
      <c r="D1148" s="14">
        <v>11</v>
      </c>
      <c r="E1148" s="13"/>
      <c r="F1148" s="46">
        <f t="shared" si="373"/>
        <v>19</v>
      </c>
      <c r="G1148" s="74">
        <v>45824</v>
      </c>
      <c r="H1148" s="4"/>
      <c r="I1148" s="9"/>
      <c r="J1148" s="14"/>
      <c r="K1148" s="13"/>
      <c r="L1148" s="46">
        <f t="shared" si="375"/>
        <v>0</v>
      </c>
    </row>
    <row r="1149" spans="1:12" x14ac:dyDescent="0.15">
      <c r="A1149" s="1"/>
      <c r="B1149" s="38" t="s">
        <v>25</v>
      </c>
      <c r="C1149" s="9">
        <v>2</v>
      </c>
      <c r="D1149" s="14">
        <v>5</v>
      </c>
      <c r="E1149" s="13"/>
      <c r="F1149" s="46">
        <f t="shared" si="373"/>
        <v>7</v>
      </c>
      <c r="G1149" s="74">
        <v>45825</v>
      </c>
      <c r="H1149" s="4"/>
      <c r="I1149" s="9"/>
      <c r="J1149" s="14"/>
      <c r="K1149" s="13"/>
      <c r="L1149" s="46">
        <f t="shared" si="375"/>
        <v>0</v>
      </c>
    </row>
    <row r="1150" spans="1:12" x14ac:dyDescent="0.15">
      <c r="A1150" s="1"/>
      <c r="B1150" s="38" t="s">
        <v>25</v>
      </c>
      <c r="C1150" s="9">
        <f>1+1</f>
        <v>2</v>
      </c>
      <c r="D1150" s="14">
        <v>2</v>
      </c>
      <c r="E1150" s="13"/>
      <c r="F1150" s="46">
        <f t="shared" si="373"/>
        <v>4</v>
      </c>
      <c r="G1150" s="74">
        <v>45826</v>
      </c>
      <c r="H1150" s="4"/>
      <c r="I1150" s="9"/>
      <c r="J1150" s="14"/>
      <c r="K1150" s="13"/>
      <c r="L1150" s="46">
        <f t="shared" si="375"/>
        <v>0</v>
      </c>
    </row>
    <row r="1151" spans="1:12" x14ac:dyDescent="0.15">
      <c r="A1151" s="26"/>
      <c r="B1151" s="38" t="s">
        <v>25</v>
      </c>
      <c r="C1151" s="9">
        <v>1</v>
      </c>
      <c r="D1151" s="14">
        <v>1</v>
      </c>
      <c r="E1151" s="13"/>
      <c r="F1151" s="46">
        <f t="shared" si="373"/>
        <v>2</v>
      </c>
      <c r="G1151" s="74">
        <v>45829</v>
      </c>
      <c r="H1151" s="4"/>
      <c r="I1151" s="9"/>
      <c r="J1151" s="14"/>
      <c r="K1151" s="13"/>
      <c r="L1151" s="46">
        <f t="shared" si="375"/>
        <v>0</v>
      </c>
    </row>
    <row r="1152" spans="1:12" x14ac:dyDescent="0.15">
      <c r="A1152" s="26"/>
      <c r="B1152" s="38" t="s">
        <v>25</v>
      </c>
      <c r="C1152" s="9">
        <v>1</v>
      </c>
      <c r="D1152" s="14"/>
      <c r="E1152" s="13"/>
      <c r="F1152" s="46">
        <f t="shared" si="373"/>
        <v>1</v>
      </c>
      <c r="G1152" s="74">
        <v>45831</v>
      </c>
      <c r="H1152" s="4"/>
      <c r="I1152" s="9"/>
      <c r="J1152" s="14"/>
      <c r="K1152" s="13"/>
      <c r="L1152" s="46">
        <f t="shared" ref="L1152:L1153" si="376">SUM(I1152:K1152)</f>
        <v>0</v>
      </c>
    </row>
    <row r="1153" spans="1:12" ht="14.25" thickBot="1" x14ac:dyDescent="0.2">
      <c r="A1153" s="1"/>
      <c r="B1153" s="38" t="s">
        <v>25</v>
      </c>
      <c r="C1153" s="9">
        <v>2</v>
      </c>
      <c r="D1153" s="14"/>
      <c r="E1153" s="13"/>
      <c r="F1153" s="46">
        <f t="shared" si="373"/>
        <v>2</v>
      </c>
      <c r="G1153" s="74">
        <v>45840</v>
      </c>
      <c r="H1153" s="4"/>
      <c r="I1153" s="9"/>
      <c r="J1153" s="14"/>
      <c r="K1153" s="13"/>
      <c r="L1153" s="46">
        <f t="shared" si="376"/>
        <v>0</v>
      </c>
    </row>
    <row r="1154" spans="1:12" ht="14.25" thickBot="1" x14ac:dyDescent="0.2">
      <c r="A1154" s="1"/>
      <c r="B1154" s="5" t="s">
        <v>9</v>
      </c>
      <c r="C1154" s="10">
        <f>SUM(C1130:C1153)</f>
        <v>106</v>
      </c>
      <c r="D1154" s="10">
        <f t="shared" ref="D1154:E1154" si="377">SUM(D1130:D1153)</f>
        <v>105</v>
      </c>
      <c r="E1154" s="76">
        <f t="shared" si="377"/>
        <v>0</v>
      </c>
      <c r="F1154" s="48">
        <f t="shared" ref="F1154:F1155" si="378">SUM(C1154:E1154)</f>
        <v>211</v>
      </c>
      <c r="G1154" s="1"/>
      <c r="H1154" s="5" t="s">
        <v>9</v>
      </c>
      <c r="I1154" s="10">
        <f>SUM(I1130:I1153)</f>
        <v>80</v>
      </c>
      <c r="J1154" s="10">
        <f t="shared" ref="J1154" si="379">SUM(J1130:J1153)</f>
        <v>81</v>
      </c>
      <c r="K1154" s="76">
        <f t="shared" ref="K1154" si="380">SUM(K1130:K1153)</f>
        <v>0</v>
      </c>
      <c r="L1154" s="48">
        <f t="shared" ref="L1154" si="381">SUM(L1130:L1153)</f>
        <v>161</v>
      </c>
    </row>
    <row r="1155" spans="1:12" ht="14.25" thickBot="1" x14ac:dyDescent="0.2">
      <c r="A1155" s="1"/>
      <c r="B1155" s="8" t="s">
        <v>10</v>
      </c>
      <c r="C1155" s="11">
        <f>C1129-C1154</f>
        <v>34</v>
      </c>
      <c r="D1155" s="11">
        <f t="shared" ref="D1155:E1155" si="382">D1129-D1154</f>
        <v>38</v>
      </c>
      <c r="E1155" s="77">
        <f t="shared" si="382"/>
        <v>0</v>
      </c>
      <c r="F1155" s="37">
        <f t="shared" si="378"/>
        <v>72</v>
      </c>
      <c r="G1155" s="1"/>
      <c r="H1155" s="8" t="s">
        <v>10</v>
      </c>
      <c r="I1155" s="11">
        <f>I1129-I1154</f>
        <v>469</v>
      </c>
      <c r="J1155" s="11">
        <f t="shared" ref="J1155" si="383">J1129-J1154</f>
        <v>125</v>
      </c>
      <c r="K1155" s="77">
        <f t="shared" ref="K1155" si="384">K1129-K1154</f>
        <v>0</v>
      </c>
      <c r="L1155" s="37">
        <f t="shared" ref="L1155" si="385">L1129-L1154</f>
        <v>594</v>
      </c>
    </row>
    <row r="1158" spans="1:12" ht="18.75" x14ac:dyDescent="0.2">
      <c r="A1158" s="41" t="s">
        <v>12</v>
      </c>
      <c r="B1158" s="42"/>
      <c r="C1158" s="41"/>
      <c r="D1158" s="43"/>
      <c r="E1158" s="43"/>
      <c r="F1158" s="2"/>
      <c r="G1158" s="1"/>
      <c r="H1158" s="41" t="s">
        <v>12</v>
      </c>
      <c r="I1158" s="41"/>
      <c r="J1158" s="43"/>
      <c r="K1158" s="43"/>
      <c r="L1158" s="2"/>
    </row>
    <row r="1159" spans="1:12" ht="19.5" thickBot="1" x14ac:dyDescent="0.25">
      <c r="A1159" s="7"/>
      <c r="B1159" s="7" t="s">
        <v>0</v>
      </c>
      <c r="C1159" s="7"/>
      <c r="D1159" s="7" t="s">
        <v>15</v>
      </c>
      <c r="E1159" s="2"/>
      <c r="F1159" s="2"/>
      <c r="G1159" s="1"/>
      <c r="H1159" s="7" t="s">
        <v>1</v>
      </c>
      <c r="I1159" s="1"/>
      <c r="J1159" s="7" t="s">
        <v>15</v>
      </c>
      <c r="K1159" s="2"/>
      <c r="L1159" s="2"/>
    </row>
    <row r="1160" spans="1:12" ht="14.25" thickBot="1" x14ac:dyDescent="0.2">
      <c r="A1160" s="1"/>
      <c r="B1160" s="3"/>
      <c r="C1160" s="5" t="s">
        <v>2</v>
      </c>
      <c r="D1160" s="3" t="s">
        <v>3</v>
      </c>
      <c r="E1160" s="12" t="s">
        <v>4</v>
      </c>
      <c r="F1160" s="3" t="s">
        <v>5</v>
      </c>
      <c r="G1160" s="1"/>
      <c r="H1160" s="3"/>
      <c r="I1160" s="5" t="s">
        <v>2</v>
      </c>
      <c r="J1160" s="3" t="s">
        <v>3</v>
      </c>
      <c r="K1160" s="12" t="s">
        <v>4</v>
      </c>
      <c r="L1160" s="3" t="s">
        <v>5</v>
      </c>
    </row>
    <row r="1161" spans="1:12" ht="14.25" thickBot="1" x14ac:dyDescent="0.2">
      <c r="A1161" s="1"/>
      <c r="B1161" s="34" t="s">
        <v>11</v>
      </c>
      <c r="C1161" s="35">
        <f>C1155</f>
        <v>34</v>
      </c>
      <c r="D1161" s="36">
        <f>D1155</f>
        <v>38</v>
      </c>
      <c r="E1161" s="35">
        <f>E1155</f>
        <v>0</v>
      </c>
      <c r="F1161" s="37">
        <f>SUM(C1161:E1161)</f>
        <v>72</v>
      </c>
      <c r="G1161" s="28"/>
      <c r="H1161" s="34"/>
      <c r="I1161" s="35">
        <f>I1155</f>
        <v>469</v>
      </c>
      <c r="J1161" s="36">
        <f t="shared" ref="J1161:L1161" si="386">J1155</f>
        <v>125</v>
      </c>
      <c r="K1161" s="35">
        <f t="shared" si="386"/>
        <v>0</v>
      </c>
      <c r="L1161" s="37">
        <f t="shared" si="386"/>
        <v>594</v>
      </c>
    </row>
    <row r="1162" spans="1:12" x14ac:dyDescent="0.15">
      <c r="A1162" s="1"/>
      <c r="B1162" s="29" t="s">
        <v>76</v>
      </c>
      <c r="C1162" s="20">
        <v>0</v>
      </c>
      <c r="D1162" s="21">
        <v>0</v>
      </c>
      <c r="E1162" s="20"/>
      <c r="F1162" s="46">
        <f t="shared" ref="F1162:F1171" si="387">SUM(C1162:E1162)</f>
        <v>0</v>
      </c>
      <c r="G1162" s="74">
        <v>45888</v>
      </c>
      <c r="H1162" s="29"/>
      <c r="I1162" s="20"/>
      <c r="J1162" s="21"/>
      <c r="K1162" s="20"/>
      <c r="L1162" s="46">
        <f t="shared" ref="L1162:L1171" si="388">SUM(I1162:K1162)</f>
        <v>0</v>
      </c>
    </row>
    <row r="1163" spans="1:12" x14ac:dyDescent="0.15">
      <c r="A1163" s="1"/>
      <c r="B1163" s="29" t="s">
        <v>7</v>
      </c>
      <c r="C1163" s="20"/>
      <c r="D1163" s="21">
        <v>10</v>
      </c>
      <c r="E1163" s="20"/>
      <c r="F1163" s="46">
        <f t="shared" si="387"/>
        <v>10</v>
      </c>
      <c r="G1163" s="73">
        <v>45920</v>
      </c>
      <c r="H1163" s="29"/>
      <c r="I1163" s="20"/>
      <c r="J1163" s="21"/>
      <c r="K1163" s="20"/>
      <c r="L1163" s="46">
        <f t="shared" si="388"/>
        <v>0</v>
      </c>
    </row>
    <row r="1164" spans="1:12" x14ac:dyDescent="0.15">
      <c r="A1164" s="26"/>
      <c r="B1164" s="29" t="s">
        <v>7</v>
      </c>
      <c r="C1164" s="20"/>
      <c r="D1164" s="21"/>
      <c r="E1164" s="20"/>
      <c r="F1164" s="46">
        <f t="shared" si="387"/>
        <v>0</v>
      </c>
      <c r="G1164" s="54"/>
      <c r="H1164" s="29"/>
      <c r="I1164" s="20"/>
      <c r="J1164" s="21"/>
      <c r="K1164" s="20"/>
      <c r="L1164" s="46">
        <f t="shared" si="388"/>
        <v>0</v>
      </c>
    </row>
    <row r="1165" spans="1:12" x14ac:dyDescent="0.15">
      <c r="A1165" s="1"/>
      <c r="B1165" s="29" t="s">
        <v>7</v>
      </c>
      <c r="C1165" s="20"/>
      <c r="D1165" s="21"/>
      <c r="E1165" s="20"/>
      <c r="F1165" s="46">
        <f t="shared" si="387"/>
        <v>0</v>
      </c>
      <c r="G1165" s="54"/>
      <c r="H1165" s="29"/>
      <c r="I1165" s="20"/>
      <c r="J1165" s="21"/>
      <c r="K1165" s="20"/>
      <c r="L1165" s="46">
        <f t="shared" si="388"/>
        <v>0</v>
      </c>
    </row>
    <row r="1166" spans="1:12" x14ac:dyDescent="0.15">
      <c r="A1166" s="1"/>
      <c r="B1166" s="29" t="s">
        <v>7</v>
      </c>
      <c r="C1166" s="20"/>
      <c r="D1166" s="21"/>
      <c r="E1166" s="20"/>
      <c r="F1166" s="46">
        <f t="shared" si="387"/>
        <v>0</v>
      </c>
      <c r="H1166" s="29"/>
      <c r="I1166" s="20"/>
      <c r="J1166" s="21"/>
      <c r="K1166" s="20"/>
      <c r="L1166" s="46">
        <f t="shared" si="388"/>
        <v>0</v>
      </c>
    </row>
    <row r="1167" spans="1:12" x14ac:dyDescent="0.15">
      <c r="A1167" s="1"/>
      <c r="B1167" s="29" t="s">
        <v>7</v>
      </c>
      <c r="C1167" s="20"/>
      <c r="D1167" s="21"/>
      <c r="E1167" s="20"/>
      <c r="F1167" s="46">
        <f t="shared" si="387"/>
        <v>0</v>
      </c>
      <c r="H1167" s="29"/>
      <c r="I1167" s="20"/>
      <c r="J1167" s="21"/>
      <c r="K1167" s="20"/>
      <c r="L1167" s="46">
        <f t="shared" si="388"/>
        <v>0</v>
      </c>
    </row>
    <row r="1168" spans="1:12" x14ac:dyDescent="0.15">
      <c r="A1168" s="1"/>
      <c r="B1168" s="29" t="s">
        <v>7</v>
      </c>
      <c r="C1168" s="20"/>
      <c r="D1168" s="21"/>
      <c r="E1168" s="20"/>
      <c r="F1168" s="46">
        <f t="shared" si="387"/>
        <v>0</v>
      </c>
      <c r="H1168" s="29"/>
      <c r="I1168" s="20"/>
      <c r="J1168" s="21"/>
      <c r="K1168" s="20"/>
      <c r="L1168" s="46">
        <f t="shared" si="388"/>
        <v>0</v>
      </c>
    </row>
    <row r="1169" spans="1:13" x14ac:dyDescent="0.15">
      <c r="A1169" s="1"/>
      <c r="B1169" s="29" t="s">
        <v>7</v>
      </c>
      <c r="C1169" s="20"/>
      <c r="D1169" s="21"/>
      <c r="E1169" s="20"/>
      <c r="F1169" s="46">
        <f t="shared" si="387"/>
        <v>0</v>
      </c>
      <c r="H1169" s="29"/>
      <c r="I1169" s="20"/>
      <c r="J1169" s="21"/>
      <c r="K1169" s="20"/>
      <c r="L1169" s="46">
        <f t="shared" si="388"/>
        <v>0</v>
      </c>
    </row>
    <row r="1170" spans="1:13" x14ac:dyDescent="0.15">
      <c r="A1170" s="1"/>
      <c r="B1170" s="29" t="s">
        <v>7</v>
      </c>
      <c r="C1170" s="20"/>
      <c r="D1170" s="21"/>
      <c r="E1170" s="20"/>
      <c r="F1170" s="46">
        <f t="shared" si="387"/>
        <v>0</v>
      </c>
      <c r="H1170" s="29"/>
      <c r="I1170" s="20"/>
      <c r="J1170" s="21"/>
      <c r="K1170" s="20"/>
      <c r="L1170" s="46">
        <f t="shared" si="388"/>
        <v>0</v>
      </c>
    </row>
    <row r="1171" spans="1:13" ht="14.25" thickBot="1" x14ac:dyDescent="0.2">
      <c r="A1171" s="1"/>
      <c r="B1171" s="29" t="s">
        <v>7</v>
      </c>
      <c r="C1171" s="19"/>
      <c r="D1171" s="4"/>
      <c r="E1171" s="19"/>
      <c r="F1171" s="46">
        <f t="shared" si="387"/>
        <v>0</v>
      </c>
      <c r="H1171" s="29"/>
      <c r="I1171" s="19"/>
      <c r="J1171" s="4"/>
      <c r="K1171" s="19"/>
      <c r="L1171" s="46">
        <f t="shared" si="388"/>
        <v>0</v>
      </c>
    </row>
    <row r="1172" spans="1:13" ht="14.25" thickBot="1" x14ac:dyDescent="0.2">
      <c r="A1172" s="1"/>
      <c r="B1172" s="6" t="s">
        <v>8</v>
      </c>
      <c r="C1172" s="44">
        <f>SUM(C1161:C1171)</f>
        <v>34</v>
      </c>
      <c r="D1172" s="44">
        <f t="shared" ref="D1172:F1172" si="389">SUM(D1161:D1171)</f>
        <v>48</v>
      </c>
      <c r="E1172" s="44">
        <f t="shared" si="389"/>
        <v>0</v>
      </c>
      <c r="F1172" s="45">
        <f t="shared" si="389"/>
        <v>82</v>
      </c>
      <c r="G1172" s="1"/>
      <c r="H1172" s="6"/>
      <c r="I1172" s="44">
        <f>SUM(I1161:I1171)</f>
        <v>469</v>
      </c>
      <c r="J1172" s="44">
        <f t="shared" ref="J1172:L1172" si="390">SUM(J1161:J1171)</f>
        <v>125</v>
      </c>
      <c r="K1172" s="44">
        <f t="shared" si="390"/>
        <v>0</v>
      </c>
      <c r="L1172" s="45">
        <f t="shared" si="390"/>
        <v>594</v>
      </c>
    </row>
    <row r="1173" spans="1:13" x14ac:dyDescent="0.15">
      <c r="A1173" s="1"/>
      <c r="B1173" s="38" t="s">
        <v>25</v>
      </c>
      <c r="C1173" s="9"/>
      <c r="D1173" s="14">
        <v>1</v>
      </c>
      <c r="E1173" s="13"/>
      <c r="F1173" s="46">
        <f t="shared" ref="F1173:F1195" si="391">SUM(C1173:E1173)</f>
        <v>1</v>
      </c>
      <c r="G1173" s="74">
        <v>45843</v>
      </c>
      <c r="H1173" s="4" t="s">
        <v>24</v>
      </c>
      <c r="I1173" s="9"/>
      <c r="J1173" s="14">
        <v>10</v>
      </c>
      <c r="K1173" s="13"/>
      <c r="L1173" s="46">
        <f t="shared" ref="L1173" si="392">SUM(I1173:K1173)</f>
        <v>10</v>
      </c>
      <c r="M1173" s="73">
        <v>45920</v>
      </c>
    </row>
    <row r="1174" spans="1:13" x14ac:dyDescent="0.15">
      <c r="B1174" s="38" t="s">
        <v>25</v>
      </c>
      <c r="C1174" s="9">
        <v>1</v>
      </c>
      <c r="D1174" s="14">
        <f>1+1+1</f>
        <v>3</v>
      </c>
      <c r="E1174" s="13"/>
      <c r="F1174" s="46">
        <f t="shared" si="391"/>
        <v>4</v>
      </c>
      <c r="G1174" s="74">
        <v>45845</v>
      </c>
      <c r="H1174" s="4"/>
      <c r="I1174" s="9"/>
      <c r="J1174" s="14"/>
      <c r="K1174" s="13"/>
      <c r="L1174" s="46">
        <f t="shared" ref="L1174:L1179" si="393">SUM(I1174:K1174)</f>
        <v>0</v>
      </c>
    </row>
    <row r="1175" spans="1:13" x14ac:dyDescent="0.15">
      <c r="B1175" s="38" t="s">
        <v>25</v>
      </c>
      <c r="C1175" s="9"/>
      <c r="D1175" s="14">
        <v>1</v>
      </c>
      <c r="E1175" s="13"/>
      <c r="F1175" s="46">
        <f t="shared" si="391"/>
        <v>1</v>
      </c>
      <c r="G1175" s="74">
        <v>45853</v>
      </c>
      <c r="H1175" s="4"/>
      <c r="I1175" s="9"/>
      <c r="J1175" s="14"/>
      <c r="K1175" s="13"/>
      <c r="L1175" s="46">
        <f t="shared" si="393"/>
        <v>0</v>
      </c>
    </row>
    <row r="1176" spans="1:13" x14ac:dyDescent="0.15">
      <c r="B1176" s="38" t="s">
        <v>25</v>
      </c>
      <c r="C1176" s="9">
        <v>1</v>
      </c>
      <c r="D1176" s="14"/>
      <c r="E1176" s="13"/>
      <c r="F1176" s="46">
        <f t="shared" si="391"/>
        <v>1</v>
      </c>
      <c r="G1176" s="74">
        <v>45854</v>
      </c>
      <c r="H1176" s="4"/>
      <c r="I1176" s="9"/>
      <c r="J1176" s="14"/>
      <c r="K1176" s="13"/>
      <c r="L1176" s="46">
        <f t="shared" si="393"/>
        <v>0</v>
      </c>
    </row>
    <row r="1177" spans="1:13" x14ac:dyDescent="0.15">
      <c r="B1177" s="38" t="s">
        <v>25</v>
      </c>
      <c r="C1177" s="9">
        <v>2</v>
      </c>
      <c r="D1177" s="14"/>
      <c r="E1177" s="13"/>
      <c r="F1177" s="46">
        <f t="shared" si="391"/>
        <v>2</v>
      </c>
      <c r="G1177" s="74">
        <v>45856</v>
      </c>
      <c r="H1177" s="4"/>
      <c r="I1177" s="9"/>
      <c r="J1177" s="14"/>
      <c r="K1177" s="13"/>
      <c r="L1177" s="46">
        <f t="shared" si="393"/>
        <v>0</v>
      </c>
    </row>
    <row r="1178" spans="1:13" x14ac:dyDescent="0.15">
      <c r="B1178" s="38" t="s">
        <v>25</v>
      </c>
      <c r="C1178" s="9">
        <v>1</v>
      </c>
      <c r="D1178" s="14">
        <v>1</v>
      </c>
      <c r="E1178" s="13"/>
      <c r="F1178" s="46">
        <f t="shared" si="391"/>
        <v>2</v>
      </c>
      <c r="G1178" s="74">
        <v>45860</v>
      </c>
      <c r="H1178" s="4"/>
      <c r="I1178" s="9"/>
      <c r="J1178" s="14"/>
      <c r="K1178" s="13"/>
      <c r="L1178" s="46">
        <f t="shared" si="393"/>
        <v>0</v>
      </c>
    </row>
    <row r="1179" spans="1:13" x14ac:dyDescent="0.15">
      <c r="B1179" s="4" t="s">
        <v>125</v>
      </c>
      <c r="C1179" s="9">
        <v>1</v>
      </c>
      <c r="D1179" s="14">
        <v>1</v>
      </c>
      <c r="E1179" s="13"/>
      <c r="F1179" s="46">
        <f t="shared" si="391"/>
        <v>2</v>
      </c>
      <c r="G1179" s="73">
        <v>45863</v>
      </c>
      <c r="H1179" s="4"/>
      <c r="I1179" s="9"/>
      <c r="J1179" s="14"/>
      <c r="K1179" s="13"/>
      <c r="L1179" s="46">
        <f t="shared" si="393"/>
        <v>0</v>
      </c>
    </row>
    <row r="1180" spans="1:13" x14ac:dyDescent="0.15">
      <c r="B1180" s="38" t="s">
        <v>25</v>
      </c>
      <c r="C1180" s="9">
        <v>1</v>
      </c>
      <c r="D1180" s="14"/>
      <c r="E1180" s="13"/>
      <c r="F1180" s="46">
        <f t="shared" si="391"/>
        <v>1</v>
      </c>
      <c r="G1180" s="74">
        <v>45866</v>
      </c>
      <c r="H1180" s="4"/>
      <c r="I1180" s="9"/>
      <c r="J1180" s="14"/>
      <c r="K1180" s="13"/>
      <c r="L1180" s="46">
        <f t="shared" ref="L1180:L1196" si="394">SUM(I1180:K1180)</f>
        <v>0</v>
      </c>
    </row>
    <row r="1181" spans="1:13" x14ac:dyDescent="0.15">
      <c r="B1181" s="38" t="s">
        <v>25</v>
      </c>
      <c r="C1181" s="9"/>
      <c r="D1181" s="14">
        <v>5</v>
      </c>
      <c r="E1181" s="13"/>
      <c r="F1181" s="46">
        <f t="shared" si="391"/>
        <v>5</v>
      </c>
      <c r="G1181" s="73">
        <v>45873</v>
      </c>
      <c r="H1181" s="4"/>
      <c r="I1181" s="9"/>
      <c r="J1181" s="14"/>
      <c r="K1181" s="13"/>
      <c r="L1181" s="46">
        <f t="shared" si="394"/>
        <v>0</v>
      </c>
    </row>
    <row r="1182" spans="1:13" x14ac:dyDescent="0.15">
      <c r="B1182" s="38" t="s">
        <v>25</v>
      </c>
      <c r="C1182" s="9"/>
      <c r="D1182" s="14">
        <f>1+1</f>
        <v>2</v>
      </c>
      <c r="E1182" s="13"/>
      <c r="F1182" s="46">
        <f t="shared" si="391"/>
        <v>2</v>
      </c>
      <c r="G1182" s="73">
        <v>45875</v>
      </c>
      <c r="H1182" s="4"/>
      <c r="I1182" s="9"/>
      <c r="J1182" s="14"/>
      <c r="K1182" s="13"/>
      <c r="L1182" s="46">
        <f t="shared" si="394"/>
        <v>0</v>
      </c>
    </row>
    <row r="1183" spans="1:13" x14ac:dyDescent="0.15">
      <c r="B1183" s="4" t="s">
        <v>128</v>
      </c>
      <c r="C1183" s="9">
        <v>1</v>
      </c>
      <c r="D1183" s="14"/>
      <c r="E1183" s="13"/>
      <c r="F1183" s="46">
        <f t="shared" si="391"/>
        <v>1</v>
      </c>
      <c r="G1183" s="73">
        <v>45877</v>
      </c>
      <c r="H1183" s="4"/>
      <c r="I1183" s="9"/>
      <c r="J1183" s="14"/>
      <c r="K1183" s="13"/>
      <c r="L1183" s="46">
        <f t="shared" si="394"/>
        <v>0</v>
      </c>
    </row>
    <row r="1184" spans="1:13" x14ac:dyDescent="0.15">
      <c r="B1184" s="38" t="s">
        <v>25</v>
      </c>
      <c r="C1184" s="9">
        <v>1</v>
      </c>
      <c r="D1184" s="14">
        <v>1</v>
      </c>
      <c r="E1184" s="13"/>
      <c r="F1184" s="46">
        <f t="shared" si="391"/>
        <v>2</v>
      </c>
      <c r="G1184" s="73">
        <v>45877</v>
      </c>
      <c r="H1184" s="4"/>
      <c r="I1184" s="9"/>
      <c r="J1184" s="14"/>
      <c r="K1184" s="13"/>
      <c r="L1184" s="46">
        <f t="shared" si="394"/>
        <v>0</v>
      </c>
    </row>
    <row r="1185" spans="1:14" x14ac:dyDescent="0.15">
      <c r="B1185" s="4" t="s">
        <v>128</v>
      </c>
      <c r="C1185" s="9"/>
      <c r="D1185" s="14">
        <v>1</v>
      </c>
      <c r="E1185" s="13"/>
      <c r="F1185" s="46">
        <f t="shared" si="391"/>
        <v>1</v>
      </c>
      <c r="G1185" s="73">
        <v>45889</v>
      </c>
      <c r="H1185" s="4"/>
      <c r="I1185" s="9"/>
      <c r="J1185" s="14"/>
      <c r="K1185" s="13"/>
      <c r="L1185" s="46">
        <f t="shared" si="394"/>
        <v>0</v>
      </c>
    </row>
    <row r="1186" spans="1:14" x14ac:dyDescent="0.15">
      <c r="B1186" s="38" t="s">
        <v>25</v>
      </c>
      <c r="C1186" s="9">
        <v>1</v>
      </c>
      <c r="D1186" s="14">
        <v>1</v>
      </c>
      <c r="E1186" s="13"/>
      <c r="F1186" s="46">
        <f t="shared" si="391"/>
        <v>2</v>
      </c>
      <c r="G1186" s="73">
        <v>45887</v>
      </c>
      <c r="H1186" s="4"/>
      <c r="I1186" s="9"/>
      <c r="J1186" s="14"/>
      <c r="K1186" s="13"/>
      <c r="L1186" s="46">
        <f t="shared" si="394"/>
        <v>0</v>
      </c>
    </row>
    <row r="1187" spans="1:14" x14ac:dyDescent="0.15">
      <c r="B1187" s="4" t="s">
        <v>128</v>
      </c>
      <c r="C1187" s="9"/>
      <c r="D1187" s="14">
        <v>1</v>
      </c>
      <c r="E1187" s="13"/>
      <c r="F1187" s="46">
        <f t="shared" si="391"/>
        <v>1</v>
      </c>
      <c r="G1187" s="73">
        <v>45890</v>
      </c>
      <c r="H1187" s="4"/>
      <c r="I1187" s="9"/>
      <c r="J1187" s="14"/>
      <c r="K1187" s="13"/>
      <c r="L1187" s="46">
        <f t="shared" si="394"/>
        <v>0</v>
      </c>
    </row>
    <row r="1188" spans="1:14" x14ac:dyDescent="0.15">
      <c r="B1188" s="38" t="s">
        <v>25</v>
      </c>
      <c r="C1188" s="9"/>
      <c r="D1188" s="14">
        <v>2</v>
      </c>
      <c r="E1188" s="13"/>
      <c r="F1188" s="46">
        <f t="shared" si="391"/>
        <v>2</v>
      </c>
      <c r="G1188" s="73">
        <v>45891</v>
      </c>
      <c r="H1188" s="4"/>
      <c r="I1188" s="9"/>
      <c r="J1188" s="14"/>
      <c r="K1188" s="13"/>
      <c r="L1188" s="46">
        <f t="shared" ref="L1188:L1194" si="395">SUM(I1188:K1188)</f>
        <v>0</v>
      </c>
    </row>
    <row r="1189" spans="1:14" x14ac:dyDescent="0.15">
      <c r="B1189" s="4" t="s">
        <v>128</v>
      </c>
      <c r="C1189" s="9"/>
      <c r="D1189" s="14">
        <v>1</v>
      </c>
      <c r="E1189" s="13"/>
      <c r="F1189" s="46">
        <f t="shared" si="391"/>
        <v>1</v>
      </c>
      <c r="G1189" s="73">
        <v>45901</v>
      </c>
      <c r="H1189" s="4"/>
      <c r="I1189" s="9"/>
      <c r="J1189" s="14"/>
      <c r="K1189" s="13"/>
      <c r="L1189" s="46">
        <f t="shared" si="395"/>
        <v>0</v>
      </c>
    </row>
    <row r="1190" spans="1:14" x14ac:dyDescent="0.15">
      <c r="A1190" s="1"/>
      <c r="B1190" s="38" t="s">
        <v>25</v>
      </c>
      <c r="C1190" s="9">
        <v>1</v>
      </c>
      <c r="D1190" s="14"/>
      <c r="E1190" s="13"/>
      <c r="F1190" s="46">
        <f t="shared" si="391"/>
        <v>1</v>
      </c>
      <c r="G1190" s="73">
        <v>45901</v>
      </c>
      <c r="H1190" s="4"/>
      <c r="I1190" s="9"/>
      <c r="J1190" s="14"/>
      <c r="K1190" s="13"/>
      <c r="L1190" s="46">
        <f t="shared" si="395"/>
        <v>0</v>
      </c>
    </row>
    <row r="1191" spans="1:14" x14ac:dyDescent="0.15">
      <c r="A1191" s="1"/>
      <c r="B1191" s="38" t="s">
        <v>25</v>
      </c>
      <c r="C1191" s="9">
        <v>1</v>
      </c>
      <c r="D1191" s="14"/>
      <c r="E1191" s="13"/>
      <c r="F1191" s="46">
        <f t="shared" si="391"/>
        <v>1</v>
      </c>
      <c r="G1191" s="74">
        <v>45902</v>
      </c>
      <c r="H1191" s="4"/>
      <c r="I1191" s="9"/>
      <c r="J1191" s="14"/>
      <c r="K1191" s="13"/>
      <c r="L1191" s="46">
        <f t="shared" si="395"/>
        <v>0</v>
      </c>
    </row>
    <row r="1192" spans="1:14" x14ac:dyDescent="0.15">
      <c r="A1192" s="1"/>
      <c r="B1192" s="38" t="s">
        <v>25</v>
      </c>
      <c r="C1192" s="9">
        <f>1+1</f>
        <v>2</v>
      </c>
      <c r="D1192" s="14">
        <v>2</v>
      </c>
      <c r="E1192" s="13"/>
      <c r="F1192" s="46">
        <f t="shared" si="391"/>
        <v>4</v>
      </c>
      <c r="G1192" s="74">
        <v>45905</v>
      </c>
      <c r="H1192" s="4"/>
      <c r="I1192" s="9"/>
      <c r="J1192" s="14"/>
      <c r="K1192" s="13"/>
      <c r="L1192" s="46">
        <f t="shared" si="395"/>
        <v>0</v>
      </c>
    </row>
    <row r="1193" spans="1:14" x14ac:dyDescent="0.15">
      <c r="A1193" s="1"/>
      <c r="B1193" s="38" t="s">
        <v>25</v>
      </c>
      <c r="C1193" s="9">
        <v>2</v>
      </c>
      <c r="D1193" s="14"/>
      <c r="E1193" s="13"/>
      <c r="F1193" s="46">
        <f t="shared" si="391"/>
        <v>2</v>
      </c>
      <c r="G1193" s="74">
        <v>45906</v>
      </c>
      <c r="H1193" s="4"/>
      <c r="I1193" s="9"/>
      <c r="J1193" s="14"/>
      <c r="K1193" s="13"/>
      <c r="L1193" s="46">
        <f t="shared" si="395"/>
        <v>0</v>
      </c>
    </row>
    <row r="1194" spans="1:14" x14ac:dyDescent="0.15">
      <c r="A1194" s="26"/>
      <c r="B1194" s="38" t="s">
        <v>25</v>
      </c>
      <c r="C1194" s="9">
        <f>1+1</f>
        <v>2</v>
      </c>
      <c r="D1194" s="14">
        <v>2</v>
      </c>
      <c r="E1194" s="13"/>
      <c r="F1194" s="46">
        <f t="shared" si="391"/>
        <v>4</v>
      </c>
      <c r="G1194" s="74">
        <v>45908</v>
      </c>
      <c r="H1194" s="4"/>
      <c r="I1194" s="9"/>
      <c r="J1194" s="14"/>
      <c r="K1194" s="13"/>
      <c r="L1194" s="46">
        <f t="shared" si="395"/>
        <v>0</v>
      </c>
    </row>
    <row r="1195" spans="1:14" x14ac:dyDescent="0.15">
      <c r="A1195" s="26"/>
      <c r="B1195" s="38" t="s">
        <v>25</v>
      </c>
      <c r="C1195" s="9">
        <f>3+1</f>
        <v>4</v>
      </c>
      <c r="D1195" s="14">
        <v>9</v>
      </c>
      <c r="E1195" s="13"/>
      <c r="F1195" s="46">
        <f t="shared" si="391"/>
        <v>13</v>
      </c>
      <c r="G1195" s="74">
        <v>45916</v>
      </c>
      <c r="H1195" s="4"/>
      <c r="I1195" s="9"/>
      <c r="J1195" s="14"/>
      <c r="K1195" s="13"/>
      <c r="L1195" s="46">
        <f t="shared" si="394"/>
        <v>0</v>
      </c>
    </row>
    <row r="1196" spans="1:14" ht="14.25" thickBot="1" x14ac:dyDescent="0.2">
      <c r="A1196" s="1"/>
      <c r="B1196" s="38" t="s">
        <v>25</v>
      </c>
      <c r="C1196" s="9">
        <v>2</v>
      </c>
      <c r="D1196" s="14">
        <f>1+1</f>
        <v>2</v>
      </c>
      <c r="E1196" s="13"/>
      <c r="F1196" s="46">
        <f t="shared" ref="F1196:F1198" si="396">SUM(C1196:E1196)</f>
        <v>4</v>
      </c>
      <c r="G1196" s="74">
        <v>45922</v>
      </c>
      <c r="H1196" s="4" t="s">
        <v>127</v>
      </c>
      <c r="I1196" s="9"/>
      <c r="J1196" s="14"/>
      <c r="K1196" s="13"/>
      <c r="L1196" s="46">
        <f t="shared" si="394"/>
        <v>0</v>
      </c>
      <c r="M1196" s="54" t="s">
        <v>126</v>
      </c>
    </row>
    <row r="1197" spans="1:14" ht="14.25" thickBot="1" x14ac:dyDescent="0.2">
      <c r="A1197" s="1"/>
      <c r="B1197" s="5" t="s">
        <v>9</v>
      </c>
      <c r="C1197" s="10">
        <f>SUM(C1173:C1196)</f>
        <v>24</v>
      </c>
      <c r="D1197" s="10">
        <f t="shared" ref="D1197:E1197" si="397">SUM(D1173:D1196)</f>
        <v>36</v>
      </c>
      <c r="E1197" s="76">
        <f t="shared" si="397"/>
        <v>0</v>
      </c>
      <c r="F1197" s="48">
        <f t="shared" si="396"/>
        <v>60</v>
      </c>
      <c r="G1197" s="1"/>
      <c r="H1197" s="5" t="s">
        <v>9</v>
      </c>
      <c r="I1197" s="10">
        <f>SUM(I1173:I1196)</f>
        <v>0</v>
      </c>
      <c r="J1197" s="10">
        <f t="shared" ref="J1197:L1197" si="398">SUM(J1173:J1196)</f>
        <v>10</v>
      </c>
      <c r="K1197" s="76">
        <f t="shared" si="398"/>
        <v>0</v>
      </c>
      <c r="L1197" s="48">
        <f t="shared" si="398"/>
        <v>10</v>
      </c>
      <c r="N1197" t="s">
        <v>129</v>
      </c>
    </row>
    <row r="1198" spans="1:14" ht="14.25" thickBot="1" x14ac:dyDescent="0.2">
      <c r="A1198" s="1"/>
      <c r="B1198" s="8" t="s">
        <v>10</v>
      </c>
      <c r="C1198" s="11">
        <f>C1172-C1197</f>
        <v>10</v>
      </c>
      <c r="D1198" s="11">
        <f t="shared" ref="D1198:E1198" si="399">D1172-D1197</f>
        <v>12</v>
      </c>
      <c r="E1198" s="77">
        <f t="shared" si="399"/>
        <v>0</v>
      </c>
      <c r="F1198" s="37">
        <f t="shared" si="396"/>
        <v>22</v>
      </c>
      <c r="G1198" s="1"/>
      <c r="H1198" s="8" t="s">
        <v>10</v>
      </c>
      <c r="I1198" s="11">
        <f>I1172-I1197</f>
        <v>469</v>
      </c>
      <c r="J1198" s="11">
        <f t="shared" ref="J1198:L1198" si="400">J1172-J1197</f>
        <v>115</v>
      </c>
      <c r="K1198" s="77">
        <f t="shared" si="400"/>
        <v>0</v>
      </c>
      <c r="L1198" s="37">
        <f t="shared" si="400"/>
        <v>584</v>
      </c>
    </row>
    <row r="1201" spans="1:13" ht="18.75" x14ac:dyDescent="0.2">
      <c r="A1201" s="41" t="s">
        <v>12</v>
      </c>
      <c r="B1201" s="42"/>
      <c r="C1201" s="41"/>
      <c r="D1201" s="43"/>
      <c r="E1201" s="43"/>
      <c r="F1201" s="2"/>
      <c r="G1201" s="1"/>
      <c r="H1201" s="41" t="s">
        <v>12</v>
      </c>
      <c r="I1201" s="41"/>
      <c r="J1201" s="43"/>
      <c r="K1201" s="43"/>
      <c r="L1201" s="2"/>
    </row>
    <row r="1202" spans="1:13" ht="19.5" thickBot="1" x14ac:dyDescent="0.25">
      <c r="A1202" s="7"/>
      <c r="B1202" s="7" t="s">
        <v>0</v>
      </c>
      <c r="C1202" s="7"/>
      <c r="D1202" s="7" t="s">
        <v>15</v>
      </c>
      <c r="E1202" s="2"/>
      <c r="F1202" s="2"/>
      <c r="G1202" s="1"/>
      <c r="H1202" s="7" t="s">
        <v>1</v>
      </c>
      <c r="I1202" s="1"/>
      <c r="J1202" s="7" t="s">
        <v>15</v>
      </c>
      <c r="K1202" s="2"/>
      <c r="L1202" s="2"/>
    </row>
    <row r="1203" spans="1:13" ht="14.25" thickBot="1" x14ac:dyDescent="0.2">
      <c r="A1203" s="1"/>
      <c r="B1203" s="3"/>
      <c r="C1203" s="5" t="s">
        <v>2</v>
      </c>
      <c r="D1203" s="3" t="s">
        <v>3</v>
      </c>
      <c r="E1203" s="12" t="s">
        <v>4</v>
      </c>
      <c r="F1203" s="3" t="s">
        <v>5</v>
      </c>
      <c r="G1203" s="1"/>
      <c r="H1203" s="3"/>
      <c r="I1203" s="5" t="s">
        <v>2</v>
      </c>
      <c r="J1203" s="3" t="s">
        <v>3</v>
      </c>
      <c r="K1203" s="12" t="s">
        <v>4</v>
      </c>
      <c r="L1203" s="3" t="s">
        <v>5</v>
      </c>
    </row>
    <row r="1204" spans="1:13" ht="14.25" thickBot="1" x14ac:dyDescent="0.2">
      <c r="A1204" s="1"/>
      <c r="B1204" s="34" t="s">
        <v>11</v>
      </c>
      <c r="C1204" s="35">
        <f>C1198</f>
        <v>10</v>
      </c>
      <c r="D1204" s="36">
        <f>D1198</f>
        <v>12</v>
      </c>
      <c r="E1204" s="35">
        <f>E1198</f>
        <v>0</v>
      </c>
      <c r="F1204" s="37">
        <f>SUM(C1204:E1204)</f>
        <v>22</v>
      </c>
      <c r="G1204" s="28"/>
      <c r="H1204" s="34"/>
      <c r="I1204" s="35">
        <f>I1198</f>
        <v>469</v>
      </c>
      <c r="J1204" s="36">
        <f t="shared" ref="J1204:L1204" si="401">J1198</f>
        <v>115</v>
      </c>
      <c r="K1204" s="35">
        <f t="shared" si="401"/>
        <v>0</v>
      </c>
      <c r="L1204" s="37">
        <f t="shared" si="401"/>
        <v>584</v>
      </c>
    </row>
    <row r="1205" spans="1:13" x14ac:dyDescent="0.15">
      <c r="A1205" s="1"/>
      <c r="B1205" s="29" t="s">
        <v>7</v>
      </c>
      <c r="C1205" s="20">
        <v>10</v>
      </c>
      <c r="D1205" s="21">
        <v>5</v>
      </c>
      <c r="E1205" s="20"/>
      <c r="F1205" s="46">
        <f t="shared" ref="F1205:F1206" si="402">SUM(C1205:E1205)</f>
        <v>15</v>
      </c>
      <c r="G1205" s="73">
        <v>45952</v>
      </c>
      <c r="H1205" s="29"/>
      <c r="I1205" s="20"/>
      <c r="J1205" s="21"/>
      <c r="K1205" s="20"/>
      <c r="L1205" s="46">
        <f t="shared" ref="L1205:L1214" si="403">SUM(I1205:K1205)</f>
        <v>0</v>
      </c>
    </row>
    <row r="1206" spans="1:13" x14ac:dyDescent="0.15">
      <c r="A1206" s="1"/>
      <c r="B1206" s="78" t="s">
        <v>7</v>
      </c>
      <c r="C1206" s="79">
        <v>10</v>
      </c>
      <c r="D1206" s="80">
        <v>10</v>
      </c>
      <c r="E1206" s="79"/>
      <c r="F1206" s="81">
        <f t="shared" si="402"/>
        <v>20</v>
      </c>
      <c r="G1206" s="82">
        <v>45995</v>
      </c>
      <c r="H1206" s="29"/>
      <c r="I1206" s="20"/>
      <c r="J1206" s="21"/>
      <c r="K1206" s="20"/>
      <c r="L1206" s="46">
        <f t="shared" si="403"/>
        <v>0</v>
      </c>
    </row>
    <row r="1207" spans="1:13" x14ac:dyDescent="0.15">
      <c r="A1207" s="26"/>
      <c r="B1207" s="78" t="s">
        <v>7</v>
      </c>
      <c r="C1207" s="79"/>
      <c r="D1207" s="80">
        <v>10</v>
      </c>
      <c r="E1207" s="79"/>
      <c r="F1207" s="81">
        <f t="shared" ref="F1207:F1214" si="404">SUM(C1207:E1207)</f>
        <v>10</v>
      </c>
      <c r="G1207" s="82">
        <v>46049</v>
      </c>
      <c r="H1207" s="29"/>
      <c r="I1207" s="20"/>
      <c r="J1207" s="21"/>
      <c r="K1207" s="20"/>
      <c r="L1207" s="46">
        <f t="shared" si="403"/>
        <v>0</v>
      </c>
    </row>
    <row r="1208" spans="1:13" x14ac:dyDescent="0.15">
      <c r="A1208" s="1"/>
      <c r="B1208" s="29" t="s">
        <v>7</v>
      </c>
      <c r="C1208" s="20"/>
      <c r="D1208" s="21"/>
      <c r="E1208" s="20"/>
      <c r="F1208" s="46">
        <f t="shared" si="404"/>
        <v>0</v>
      </c>
      <c r="H1208" s="29"/>
      <c r="I1208" s="20"/>
      <c r="J1208" s="21"/>
      <c r="K1208" s="20"/>
      <c r="L1208" s="46">
        <f t="shared" si="403"/>
        <v>0</v>
      </c>
    </row>
    <row r="1209" spans="1:13" x14ac:dyDescent="0.15">
      <c r="A1209" s="1"/>
      <c r="B1209" s="29" t="s">
        <v>7</v>
      </c>
      <c r="C1209" s="20"/>
      <c r="D1209" s="21"/>
      <c r="E1209" s="20"/>
      <c r="F1209" s="46">
        <f t="shared" si="404"/>
        <v>0</v>
      </c>
      <c r="H1209" s="29"/>
      <c r="I1209" s="20"/>
      <c r="J1209" s="21"/>
      <c r="K1209" s="20"/>
      <c r="L1209" s="46">
        <f t="shared" si="403"/>
        <v>0</v>
      </c>
    </row>
    <row r="1210" spans="1:13" x14ac:dyDescent="0.15">
      <c r="A1210" s="1"/>
      <c r="B1210" s="29" t="s">
        <v>7</v>
      </c>
      <c r="C1210" s="20"/>
      <c r="D1210" s="21"/>
      <c r="E1210" s="20"/>
      <c r="F1210" s="46">
        <f t="shared" si="404"/>
        <v>0</v>
      </c>
      <c r="H1210" s="29"/>
      <c r="I1210" s="20"/>
      <c r="J1210" s="21"/>
      <c r="K1210" s="20"/>
      <c r="L1210" s="46">
        <f t="shared" si="403"/>
        <v>0</v>
      </c>
    </row>
    <row r="1211" spans="1:13" x14ac:dyDescent="0.15">
      <c r="A1211" s="1"/>
      <c r="B1211" s="29" t="s">
        <v>7</v>
      </c>
      <c r="C1211" s="20"/>
      <c r="D1211" s="21"/>
      <c r="E1211" s="20"/>
      <c r="F1211" s="46">
        <f t="shared" si="404"/>
        <v>0</v>
      </c>
      <c r="H1211" s="29"/>
      <c r="I1211" s="20"/>
      <c r="J1211" s="21"/>
      <c r="K1211" s="20"/>
      <c r="L1211" s="46">
        <f t="shared" si="403"/>
        <v>0</v>
      </c>
    </row>
    <row r="1212" spans="1:13" x14ac:dyDescent="0.15">
      <c r="A1212" s="1"/>
      <c r="B1212" s="29" t="s">
        <v>7</v>
      </c>
      <c r="C1212" s="20"/>
      <c r="D1212" s="21"/>
      <c r="E1212" s="20"/>
      <c r="F1212" s="46">
        <f t="shared" si="404"/>
        <v>0</v>
      </c>
      <c r="H1212" s="29"/>
      <c r="I1212" s="20"/>
      <c r="J1212" s="21"/>
      <c r="K1212" s="20"/>
      <c r="L1212" s="46">
        <f t="shared" si="403"/>
        <v>0</v>
      </c>
    </row>
    <row r="1213" spans="1:13" x14ac:dyDescent="0.15">
      <c r="A1213" s="1"/>
      <c r="B1213" s="29" t="s">
        <v>7</v>
      </c>
      <c r="C1213" s="20"/>
      <c r="D1213" s="21"/>
      <c r="E1213" s="20"/>
      <c r="F1213" s="46">
        <f t="shared" si="404"/>
        <v>0</v>
      </c>
      <c r="H1213" s="29"/>
      <c r="I1213" s="20"/>
      <c r="J1213" s="21"/>
      <c r="K1213" s="20"/>
      <c r="L1213" s="46">
        <f t="shared" si="403"/>
        <v>0</v>
      </c>
    </row>
    <row r="1214" spans="1:13" ht="14.25" thickBot="1" x14ac:dyDescent="0.2">
      <c r="A1214" s="1"/>
      <c r="B1214" s="29" t="s">
        <v>7</v>
      </c>
      <c r="C1214" s="19"/>
      <c r="D1214" s="4"/>
      <c r="E1214" s="19"/>
      <c r="F1214" s="46">
        <f t="shared" si="404"/>
        <v>0</v>
      </c>
      <c r="H1214" s="29"/>
      <c r="I1214" s="19"/>
      <c r="J1214" s="4"/>
      <c r="K1214" s="19"/>
      <c r="L1214" s="46">
        <f t="shared" si="403"/>
        <v>0</v>
      </c>
    </row>
    <row r="1215" spans="1:13" ht="14.25" thickBot="1" x14ac:dyDescent="0.2">
      <c r="A1215" s="1"/>
      <c r="B1215" s="6" t="s">
        <v>8</v>
      </c>
      <c r="C1215" s="44">
        <f>SUM(C1204:C1214)</f>
        <v>30</v>
      </c>
      <c r="D1215" s="44">
        <f t="shared" ref="D1215:F1215" si="405">SUM(D1204:D1214)</f>
        <v>37</v>
      </c>
      <c r="E1215" s="44">
        <f t="shared" si="405"/>
        <v>0</v>
      </c>
      <c r="F1215" s="45">
        <f t="shared" si="405"/>
        <v>67</v>
      </c>
      <c r="G1215" s="1"/>
      <c r="H1215" s="6"/>
      <c r="I1215" s="44">
        <f>SUM(I1204:I1214)</f>
        <v>469</v>
      </c>
      <c r="J1215" s="44">
        <f t="shared" ref="J1215" si="406">SUM(J1204:J1214)</f>
        <v>115</v>
      </c>
      <c r="K1215" s="44">
        <f t="shared" ref="K1215" si="407">SUM(K1204:K1214)</f>
        <v>0</v>
      </c>
      <c r="L1215" s="45">
        <f t="shared" ref="L1215" si="408">SUM(L1204:L1214)</f>
        <v>584</v>
      </c>
    </row>
    <row r="1216" spans="1:13" x14ac:dyDescent="0.15">
      <c r="A1216" s="1"/>
      <c r="B1216" s="38" t="s">
        <v>25</v>
      </c>
      <c r="C1216" s="9">
        <v>1</v>
      </c>
      <c r="D1216" s="14"/>
      <c r="E1216" s="13"/>
      <c r="F1216" s="46">
        <f t="shared" ref="F1216" si="409">SUM(C1216:E1216)</f>
        <v>1</v>
      </c>
      <c r="G1216" s="73">
        <v>45924</v>
      </c>
      <c r="H1216" s="4" t="s">
        <v>130</v>
      </c>
      <c r="I1216" s="9">
        <v>10</v>
      </c>
      <c r="J1216" s="14">
        <v>5</v>
      </c>
      <c r="K1216" s="13"/>
      <c r="L1216" s="46">
        <f t="shared" ref="L1216:L1232" si="410">SUM(I1216:K1216)</f>
        <v>15</v>
      </c>
      <c r="M1216" s="73">
        <v>45952</v>
      </c>
    </row>
    <row r="1217" spans="2:13" x14ac:dyDescent="0.15">
      <c r="B1217" s="38" t="s">
        <v>25</v>
      </c>
      <c r="C1217" s="9"/>
      <c r="D1217" s="14">
        <v>1</v>
      </c>
      <c r="E1217" s="13"/>
      <c r="F1217" s="46">
        <f t="shared" ref="F1217:F1231" si="411">SUM(C1217:E1217)</f>
        <v>1</v>
      </c>
      <c r="G1217" s="73">
        <v>45929</v>
      </c>
      <c r="H1217" s="83" t="s">
        <v>24</v>
      </c>
      <c r="I1217" s="84">
        <v>10</v>
      </c>
      <c r="J1217" s="85">
        <v>10</v>
      </c>
      <c r="K1217" s="86"/>
      <c r="L1217" s="81">
        <f t="shared" ref="L1217" si="412">SUM(I1217:K1217)</f>
        <v>20</v>
      </c>
      <c r="M1217" s="82">
        <v>45995</v>
      </c>
    </row>
    <row r="1218" spans="2:13" x14ac:dyDescent="0.15">
      <c r="B1218" s="38" t="s">
        <v>25</v>
      </c>
      <c r="C1218" s="9"/>
      <c r="D1218" s="14">
        <v>1</v>
      </c>
      <c r="E1218" s="13"/>
      <c r="F1218" s="46">
        <f t="shared" si="411"/>
        <v>1</v>
      </c>
      <c r="G1218" s="73">
        <v>45946</v>
      </c>
      <c r="H1218" s="83" t="s">
        <v>24</v>
      </c>
      <c r="I1218" s="84"/>
      <c r="J1218" s="85">
        <v>10</v>
      </c>
      <c r="K1218" s="86"/>
      <c r="L1218" s="81">
        <f t="shared" si="410"/>
        <v>10</v>
      </c>
      <c r="M1218" s="82">
        <v>46049</v>
      </c>
    </row>
    <row r="1219" spans="2:13" x14ac:dyDescent="0.15">
      <c r="B1219" s="38" t="s">
        <v>25</v>
      </c>
      <c r="C1219" s="9">
        <v>1</v>
      </c>
      <c r="D1219" s="14">
        <v>1</v>
      </c>
      <c r="E1219" s="13"/>
      <c r="F1219" s="46">
        <f t="shared" si="411"/>
        <v>2</v>
      </c>
      <c r="G1219" s="73">
        <v>45947</v>
      </c>
      <c r="H1219" s="4"/>
      <c r="I1219" s="9"/>
      <c r="J1219" s="14"/>
      <c r="K1219" s="13"/>
      <c r="L1219" s="46">
        <f t="shared" si="410"/>
        <v>0</v>
      </c>
    </row>
    <row r="1220" spans="2:13" x14ac:dyDescent="0.15">
      <c r="B1220" s="38" t="s">
        <v>25</v>
      </c>
      <c r="C1220" s="9">
        <v>3</v>
      </c>
      <c r="D1220" s="14"/>
      <c r="E1220" s="13"/>
      <c r="F1220" s="46">
        <f t="shared" si="411"/>
        <v>3</v>
      </c>
      <c r="G1220" s="73">
        <v>45950</v>
      </c>
      <c r="H1220" s="4"/>
      <c r="I1220" s="9"/>
      <c r="J1220" s="14"/>
      <c r="K1220" s="13"/>
      <c r="L1220" s="46">
        <f t="shared" si="410"/>
        <v>0</v>
      </c>
    </row>
    <row r="1221" spans="2:13" x14ac:dyDescent="0.15">
      <c r="B1221" s="38" t="s">
        <v>25</v>
      </c>
      <c r="C1221" s="9"/>
      <c r="D1221" s="14">
        <v>1</v>
      </c>
      <c r="E1221" s="13"/>
      <c r="F1221" s="46">
        <f t="shared" si="411"/>
        <v>1</v>
      </c>
      <c r="G1221" s="73">
        <v>45986</v>
      </c>
      <c r="H1221" s="4"/>
      <c r="I1221" s="9"/>
      <c r="J1221" s="14"/>
      <c r="K1221" s="13"/>
      <c r="L1221" s="46">
        <f t="shared" si="410"/>
        <v>0</v>
      </c>
    </row>
    <row r="1222" spans="2:13" x14ac:dyDescent="0.15">
      <c r="B1222" s="38" t="s">
        <v>25</v>
      </c>
      <c r="C1222" s="9">
        <v>1</v>
      </c>
      <c r="D1222" s="14"/>
      <c r="E1222" s="13"/>
      <c r="F1222" s="46">
        <f t="shared" si="411"/>
        <v>1</v>
      </c>
      <c r="G1222" s="73">
        <v>45987</v>
      </c>
      <c r="H1222" s="4"/>
      <c r="I1222" s="9"/>
      <c r="J1222" s="14"/>
      <c r="K1222" s="13"/>
      <c r="L1222" s="46">
        <f t="shared" si="410"/>
        <v>0</v>
      </c>
    </row>
    <row r="1223" spans="2:13" x14ac:dyDescent="0.15">
      <c r="B1223" s="38" t="s">
        <v>25</v>
      </c>
      <c r="C1223" s="9">
        <v>3</v>
      </c>
      <c r="D1223" s="14"/>
      <c r="E1223" s="13"/>
      <c r="F1223" s="46">
        <f t="shared" si="411"/>
        <v>3</v>
      </c>
      <c r="G1223" s="73">
        <v>45989</v>
      </c>
      <c r="H1223" s="4"/>
      <c r="I1223" s="9"/>
      <c r="J1223" s="14"/>
      <c r="K1223" s="13"/>
      <c r="L1223" s="46">
        <f t="shared" si="410"/>
        <v>0</v>
      </c>
    </row>
    <row r="1224" spans="2:13" x14ac:dyDescent="0.15">
      <c r="B1224" s="38" t="s">
        <v>25</v>
      </c>
      <c r="C1224" s="9">
        <v>1</v>
      </c>
      <c r="D1224" s="14">
        <v>2</v>
      </c>
      <c r="E1224" s="13"/>
      <c r="F1224" s="46">
        <f t="shared" si="411"/>
        <v>3</v>
      </c>
      <c r="G1224" s="73">
        <v>45992</v>
      </c>
      <c r="H1224" s="4"/>
      <c r="I1224" s="9"/>
      <c r="J1224" s="14"/>
      <c r="K1224" s="13"/>
      <c r="L1224" s="46">
        <f t="shared" si="410"/>
        <v>0</v>
      </c>
    </row>
    <row r="1225" spans="2:13" x14ac:dyDescent="0.15">
      <c r="B1225" s="38" t="s">
        <v>25</v>
      </c>
      <c r="C1225" s="9"/>
      <c r="D1225" s="14">
        <v>2</v>
      </c>
      <c r="E1225" s="13"/>
      <c r="F1225" s="46">
        <f t="shared" si="411"/>
        <v>2</v>
      </c>
      <c r="G1225" s="73">
        <v>45993</v>
      </c>
      <c r="H1225" s="4"/>
      <c r="I1225" s="9"/>
      <c r="J1225" s="14"/>
      <c r="K1225" s="13"/>
      <c r="L1225" s="46">
        <f t="shared" si="410"/>
        <v>0</v>
      </c>
    </row>
    <row r="1226" spans="2:13" x14ac:dyDescent="0.15">
      <c r="B1226" s="38" t="s">
        <v>25</v>
      </c>
      <c r="C1226" s="9">
        <v>1</v>
      </c>
      <c r="D1226" s="14">
        <v>1</v>
      </c>
      <c r="E1226" s="13"/>
      <c r="F1226" s="46">
        <f t="shared" si="411"/>
        <v>2</v>
      </c>
      <c r="G1226" s="73">
        <v>45994</v>
      </c>
      <c r="H1226" s="4"/>
      <c r="I1226" s="9"/>
      <c r="J1226" s="14"/>
      <c r="K1226" s="13"/>
      <c r="L1226" s="46">
        <f t="shared" si="410"/>
        <v>0</v>
      </c>
    </row>
    <row r="1227" spans="2:13" x14ac:dyDescent="0.15">
      <c r="B1227" s="38" t="s">
        <v>25</v>
      </c>
      <c r="C1227" s="9">
        <v>1</v>
      </c>
      <c r="D1227" s="14"/>
      <c r="E1227" s="13"/>
      <c r="F1227" s="46">
        <f t="shared" si="411"/>
        <v>1</v>
      </c>
      <c r="G1227" s="73">
        <v>45997</v>
      </c>
      <c r="H1227" s="4"/>
      <c r="I1227" s="9"/>
      <c r="J1227" s="14"/>
      <c r="K1227" s="13"/>
      <c r="L1227" s="46">
        <f t="shared" si="410"/>
        <v>0</v>
      </c>
    </row>
    <row r="1228" spans="2:13" x14ac:dyDescent="0.15">
      <c r="B1228" s="38" t="s">
        <v>25</v>
      </c>
      <c r="C1228" s="9">
        <v>2</v>
      </c>
      <c r="D1228" s="14"/>
      <c r="E1228" s="13"/>
      <c r="F1228" s="46">
        <f t="shared" si="411"/>
        <v>2</v>
      </c>
      <c r="G1228" s="73">
        <v>45999</v>
      </c>
      <c r="H1228" s="4"/>
      <c r="I1228" s="9"/>
      <c r="J1228" s="14"/>
      <c r="K1228" s="13"/>
      <c r="L1228" s="46">
        <f t="shared" si="410"/>
        <v>0</v>
      </c>
    </row>
    <row r="1229" spans="2:13" x14ac:dyDescent="0.15">
      <c r="B1229" s="4" t="s">
        <v>131</v>
      </c>
      <c r="C1229" s="9"/>
      <c r="D1229" s="14">
        <v>1</v>
      </c>
      <c r="E1229" s="13"/>
      <c r="F1229" s="46">
        <f t="shared" si="411"/>
        <v>1</v>
      </c>
      <c r="G1229" s="73">
        <v>46001</v>
      </c>
      <c r="H1229" s="4"/>
      <c r="I1229" s="9"/>
      <c r="J1229" s="14"/>
      <c r="K1229" s="13"/>
      <c r="L1229" s="46">
        <f t="shared" si="410"/>
        <v>0</v>
      </c>
    </row>
    <row r="1230" spans="2:13" x14ac:dyDescent="0.15">
      <c r="B1230" s="4" t="s">
        <v>25</v>
      </c>
      <c r="C1230" s="9"/>
      <c r="D1230" s="14">
        <v>2</v>
      </c>
      <c r="E1230" s="13"/>
      <c r="F1230" s="46">
        <f t="shared" si="411"/>
        <v>2</v>
      </c>
      <c r="G1230" s="73">
        <v>46006</v>
      </c>
      <c r="H1230" s="4"/>
      <c r="I1230" s="9"/>
      <c r="J1230" s="14"/>
      <c r="K1230" s="13"/>
      <c r="L1230" s="46">
        <f t="shared" si="410"/>
        <v>0</v>
      </c>
    </row>
    <row r="1231" spans="2:13" x14ac:dyDescent="0.15">
      <c r="B1231" s="4" t="s">
        <v>25</v>
      </c>
      <c r="C1231" s="9">
        <v>1</v>
      </c>
      <c r="D1231" s="14"/>
      <c r="E1231" s="13"/>
      <c r="F1231" s="46">
        <f t="shared" si="411"/>
        <v>1</v>
      </c>
      <c r="G1231" s="73">
        <v>46008</v>
      </c>
      <c r="H1231" s="4"/>
      <c r="I1231" s="9"/>
      <c r="J1231" s="14"/>
      <c r="K1231" s="13"/>
      <c r="L1231" s="46">
        <f t="shared" si="410"/>
        <v>0</v>
      </c>
    </row>
    <row r="1232" spans="2:13" x14ac:dyDescent="0.15">
      <c r="B1232" s="4" t="s">
        <v>25</v>
      </c>
      <c r="C1232" s="9">
        <v>1</v>
      </c>
      <c r="D1232" s="14">
        <v>2</v>
      </c>
      <c r="E1232" s="13"/>
      <c r="F1232" s="46">
        <f t="shared" ref="F1232:F1241" si="413">SUM(C1232:E1232)</f>
        <v>3</v>
      </c>
      <c r="G1232" s="73">
        <v>46013</v>
      </c>
      <c r="H1232" s="4"/>
      <c r="I1232" s="9"/>
      <c r="J1232" s="14"/>
      <c r="K1232" s="13"/>
      <c r="L1232" s="46">
        <f t="shared" si="410"/>
        <v>0</v>
      </c>
    </row>
    <row r="1233" spans="1:12" x14ac:dyDescent="0.15">
      <c r="A1233" s="1"/>
      <c r="B1233" s="4" t="s">
        <v>132</v>
      </c>
      <c r="C1233" s="9"/>
      <c r="D1233" s="14">
        <v>1</v>
      </c>
      <c r="E1233" s="13"/>
      <c r="F1233" s="46">
        <f t="shared" si="413"/>
        <v>1</v>
      </c>
      <c r="G1233" s="73">
        <v>46028</v>
      </c>
      <c r="H1233" s="4"/>
      <c r="I1233" s="9"/>
      <c r="J1233" s="14"/>
      <c r="K1233" s="13"/>
      <c r="L1233" s="46">
        <f t="shared" ref="L1233:L1239" si="414">SUM(I1233:K1233)</f>
        <v>0</v>
      </c>
    </row>
    <row r="1234" spans="1:12" x14ac:dyDescent="0.15">
      <c r="A1234" s="1"/>
      <c r="B1234" s="4" t="s">
        <v>25</v>
      </c>
      <c r="C1234" s="9">
        <v>1</v>
      </c>
      <c r="D1234" s="14">
        <v>1</v>
      </c>
      <c r="E1234" s="13"/>
      <c r="F1234" s="46">
        <f t="shared" si="413"/>
        <v>2</v>
      </c>
      <c r="G1234" s="73">
        <v>46041</v>
      </c>
      <c r="H1234" s="4"/>
      <c r="I1234" s="9"/>
      <c r="J1234" s="14"/>
      <c r="K1234" s="13"/>
      <c r="L1234" s="46">
        <f t="shared" si="414"/>
        <v>0</v>
      </c>
    </row>
    <row r="1235" spans="1:12" x14ac:dyDescent="0.15">
      <c r="A1235" s="1"/>
      <c r="B1235" s="4" t="s">
        <v>133</v>
      </c>
      <c r="C1235" s="9"/>
      <c r="D1235" s="14">
        <v>1</v>
      </c>
      <c r="E1235" s="13"/>
      <c r="F1235" s="46">
        <f t="shared" si="413"/>
        <v>1</v>
      </c>
      <c r="G1235" s="73">
        <v>46050</v>
      </c>
      <c r="H1235" s="4"/>
      <c r="I1235" s="9"/>
      <c r="J1235" s="14"/>
      <c r="K1235" s="13"/>
      <c r="L1235" s="46">
        <f t="shared" si="414"/>
        <v>0</v>
      </c>
    </row>
    <row r="1236" spans="1:12" x14ac:dyDescent="0.15">
      <c r="A1236" s="1"/>
      <c r="B1236" s="4" t="s">
        <v>25</v>
      </c>
      <c r="C1236" s="9"/>
      <c r="D1236" s="14">
        <v>3</v>
      </c>
      <c r="E1236" s="13"/>
      <c r="F1236" s="46">
        <f t="shared" si="413"/>
        <v>3</v>
      </c>
      <c r="G1236" s="73">
        <v>46048</v>
      </c>
      <c r="H1236" s="4"/>
      <c r="I1236" s="9"/>
      <c r="J1236" s="14"/>
      <c r="K1236" s="13"/>
      <c r="L1236" s="46">
        <f t="shared" si="414"/>
        <v>0</v>
      </c>
    </row>
    <row r="1237" spans="1:12" x14ac:dyDescent="0.15">
      <c r="A1237" s="26"/>
      <c r="B1237" s="4" t="s">
        <v>25</v>
      </c>
      <c r="C1237" s="9"/>
      <c r="D1237" s="14">
        <v>1</v>
      </c>
      <c r="E1237" s="13"/>
      <c r="F1237" s="46">
        <f t="shared" si="413"/>
        <v>1</v>
      </c>
      <c r="G1237" s="74">
        <v>46058</v>
      </c>
      <c r="H1237" s="4"/>
      <c r="I1237" s="9"/>
      <c r="J1237" s="14"/>
      <c r="K1237" s="13"/>
      <c r="L1237" s="46">
        <f t="shared" si="414"/>
        <v>0</v>
      </c>
    </row>
    <row r="1238" spans="1:12" x14ac:dyDescent="0.15">
      <c r="A1238" s="26"/>
      <c r="B1238" s="4" t="s">
        <v>25</v>
      </c>
      <c r="C1238" s="9">
        <v>1</v>
      </c>
      <c r="D1238" s="14"/>
      <c r="E1238" s="13"/>
      <c r="F1238" s="46">
        <f t="shared" si="413"/>
        <v>1</v>
      </c>
      <c r="G1238" s="74">
        <v>46059</v>
      </c>
      <c r="H1238" s="4"/>
      <c r="I1238" s="9"/>
      <c r="J1238" s="14"/>
      <c r="K1238" s="13"/>
      <c r="L1238" s="46">
        <f t="shared" si="414"/>
        <v>0</v>
      </c>
    </row>
    <row r="1239" spans="1:12" ht="14.25" thickBot="1" x14ac:dyDescent="0.2">
      <c r="A1239" s="1"/>
      <c r="B1239" s="4" t="s">
        <v>25</v>
      </c>
      <c r="C1239" s="9">
        <v>1</v>
      </c>
      <c r="D1239" s="14">
        <v>1</v>
      </c>
      <c r="E1239" s="13"/>
      <c r="F1239" s="46">
        <f t="shared" si="413"/>
        <v>2</v>
      </c>
      <c r="G1239" s="74">
        <v>46062</v>
      </c>
      <c r="H1239" s="4"/>
      <c r="I1239" s="9"/>
      <c r="J1239" s="14"/>
      <c r="K1239" s="13"/>
      <c r="L1239" s="46">
        <f t="shared" si="414"/>
        <v>0</v>
      </c>
    </row>
    <row r="1240" spans="1:12" ht="14.25" thickBot="1" x14ac:dyDescent="0.2">
      <c r="A1240" s="1"/>
      <c r="B1240" s="5" t="s">
        <v>9</v>
      </c>
      <c r="C1240" s="10">
        <f>SUM(C1216:C1239)</f>
        <v>19</v>
      </c>
      <c r="D1240" s="10">
        <f t="shared" ref="D1240:E1240" si="415">SUM(D1216:D1239)</f>
        <v>22</v>
      </c>
      <c r="E1240" s="76">
        <f t="shared" si="415"/>
        <v>0</v>
      </c>
      <c r="F1240" s="48">
        <f t="shared" si="413"/>
        <v>41</v>
      </c>
      <c r="G1240" s="1"/>
      <c r="H1240" s="5" t="s">
        <v>9</v>
      </c>
      <c r="I1240" s="10">
        <f>SUM(I1216:I1239)</f>
        <v>20</v>
      </c>
      <c r="J1240" s="10">
        <f t="shared" ref="J1240" si="416">SUM(J1216:J1239)</f>
        <v>25</v>
      </c>
      <c r="K1240" s="76">
        <f t="shared" ref="K1240" si="417">SUM(K1216:K1239)</f>
        <v>0</v>
      </c>
      <c r="L1240" s="48">
        <f t="shared" ref="L1240" si="418">SUM(L1216:L1239)</f>
        <v>45</v>
      </c>
    </row>
    <row r="1241" spans="1:12" ht="14.25" thickBot="1" x14ac:dyDescent="0.2">
      <c r="A1241" s="1"/>
      <c r="B1241" s="8" t="s">
        <v>10</v>
      </c>
      <c r="C1241" s="11">
        <f>C1215-C1240</f>
        <v>11</v>
      </c>
      <c r="D1241" s="11">
        <f t="shared" ref="D1241:E1241" si="419">D1215-D1240</f>
        <v>15</v>
      </c>
      <c r="E1241" s="77">
        <f t="shared" si="419"/>
        <v>0</v>
      </c>
      <c r="F1241" s="37">
        <f t="shared" si="413"/>
        <v>26</v>
      </c>
      <c r="G1241" s="1"/>
      <c r="H1241" s="8" t="s">
        <v>10</v>
      </c>
      <c r="I1241" s="11">
        <f>I1215-I1240</f>
        <v>449</v>
      </c>
      <c r="J1241" s="11">
        <f t="shared" ref="J1241" si="420">J1215-J1240</f>
        <v>90</v>
      </c>
      <c r="K1241" s="77">
        <f t="shared" ref="K1241" si="421">K1215-K1240</f>
        <v>0</v>
      </c>
      <c r="L1241" s="37">
        <f t="shared" ref="L1241" si="422">L1215-L1240</f>
        <v>539</v>
      </c>
    </row>
    <row r="1244" spans="1:12" ht="18.75" x14ac:dyDescent="0.2">
      <c r="A1244" s="41" t="s">
        <v>12</v>
      </c>
      <c r="B1244" s="42"/>
      <c r="C1244" s="41"/>
      <c r="D1244" s="43"/>
      <c r="E1244" s="43"/>
      <c r="F1244" s="2"/>
      <c r="G1244" s="1"/>
      <c r="H1244" s="41" t="s">
        <v>12</v>
      </c>
      <c r="I1244" s="41"/>
      <c r="J1244" s="43"/>
      <c r="K1244" s="43"/>
      <c r="L1244" s="2"/>
    </row>
    <row r="1245" spans="1:12" ht="19.5" thickBot="1" x14ac:dyDescent="0.25">
      <c r="A1245" s="7"/>
      <c r="B1245" s="7" t="s">
        <v>0</v>
      </c>
      <c r="C1245" s="7"/>
      <c r="D1245" s="7" t="s">
        <v>15</v>
      </c>
      <c r="E1245" s="2"/>
      <c r="F1245" s="2"/>
      <c r="G1245" s="1"/>
      <c r="H1245" s="7" t="s">
        <v>1</v>
      </c>
      <c r="I1245" s="1"/>
      <c r="J1245" s="7" t="s">
        <v>15</v>
      </c>
      <c r="K1245" s="2"/>
      <c r="L1245" s="2"/>
    </row>
    <row r="1246" spans="1:12" ht="14.25" thickBot="1" x14ac:dyDescent="0.2">
      <c r="A1246" s="1"/>
      <c r="B1246" s="3"/>
      <c r="C1246" s="5" t="s">
        <v>2</v>
      </c>
      <c r="D1246" s="3" t="s">
        <v>3</v>
      </c>
      <c r="E1246" s="12" t="s">
        <v>4</v>
      </c>
      <c r="F1246" s="3" t="s">
        <v>5</v>
      </c>
      <c r="G1246" s="1"/>
      <c r="H1246" s="3"/>
      <c r="I1246" s="5" t="s">
        <v>2</v>
      </c>
      <c r="J1246" s="3" t="s">
        <v>3</v>
      </c>
      <c r="K1246" s="12" t="s">
        <v>4</v>
      </c>
      <c r="L1246" s="3" t="s">
        <v>5</v>
      </c>
    </row>
    <row r="1247" spans="1:12" ht="14.25" thickBot="1" x14ac:dyDescent="0.2">
      <c r="A1247" s="1"/>
      <c r="B1247" s="34" t="s">
        <v>11</v>
      </c>
      <c r="C1247" s="35">
        <f>C1241</f>
        <v>11</v>
      </c>
      <c r="D1247" s="36">
        <f>D1241</f>
        <v>15</v>
      </c>
      <c r="E1247" s="35">
        <f>E1241</f>
        <v>0</v>
      </c>
      <c r="F1247" s="37">
        <f>SUM(C1247:E1247)</f>
        <v>26</v>
      </c>
      <c r="G1247" s="28"/>
      <c r="H1247" s="34"/>
      <c r="I1247" s="35">
        <f>I1241</f>
        <v>449</v>
      </c>
      <c r="J1247" s="36">
        <f t="shared" ref="J1247:L1247" si="423">J1241</f>
        <v>90</v>
      </c>
      <c r="K1247" s="35">
        <f t="shared" si="423"/>
        <v>0</v>
      </c>
      <c r="L1247" s="37">
        <f t="shared" si="423"/>
        <v>539</v>
      </c>
    </row>
    <row r="1248" spans="1:12" x14ac:dyDescent="0.15">
      <c r="A1248" s="1"/>
      <c r="B1248" s="29" t="s">
        <v>7</v>
      </c>
      <c r="C1248" s="20">
        <v>10</v>
      </c>
      <c r="D1248" s="21">
        <v>15</v>
      </c>
      <c r="E1248" s="20"/>
      <c r="F1248" s="46">
        <f t="shared" ref="F1248:F1252" si="424">SUM(C1248:E1248)</f>
        <v>25</v>
      </c>
      <c r="G1248" s="74">
        <v>46088</v>
      </c>
      <c r="H1248" s="29"/>
      <c r="I1248" s="20"/>
      <c r="J1248" s="21"/>
      <c r="K1248" s="20"/>
      <c r="L1248" s="46">
        <f t="shared" ref="L1248:L1257" si="425">SUM(I1248:K1248)</f>
        <v>0</v>
      </c>
    </row>
    <row r="1249" spans="1:13" x14ac:dyDescent="0.15">
      <c r="A1249" s="1"/>
      <c r="B1249" s="29" t="s">
        <v>7</v>
      </c>
      <c r="C1249" s="20">
        <v>10</v>
      </c>
      <c r="D1249" s="21">
        <v>15</v>
      </c>
      <c r="E1249" s="20"/>
      <c r="F1249" s="46">
        <f t="shared" si="424"/>
        <v>25</v>
      </c>
      <c r="G1249" s="73">
        <v>46107</v>
      </c>
      <c r="H1249" s="29"/>
      <c r="I1249" s="20"/>
      <c r="J1249" s="21"/>
      <c r="K1249" s="20"/>
      <c r="L1249" s="46">
        <f t="shared" si="425"/>
        <v>0</v>
      </c>
    </row>
    <row r="1250" spans="1:13" x14ac:dyDescent="0.15">
      <c r="A1250" s="26"/>
      <c r="B1250" s="78" t="s">
        <v>7</v>
      </c>
      <c r="C1250" s="79">
        <v>20</v>
      </c>
      <c r="D1250" s="80">
        <v>20</v>
      </c>
      <c r="E1250" s="79"/>
      <c r="F1250" s="81">
        <f t="shared" si="424"/>
        <v>40</v>
      </c>
      <c r="G1250" s="82">
        <v>46168</v>
      </c>
      <c r="H1250" s="29"/>
      <c r="I1250" s="20"/>
      <c r="J1250" s="21"/>
      <c r="K1250" s="20"/>
      <c r="L1250" s="46">
        <f t="shared" si="425"/>
        <v>0</v>
      </c>
    </row>
    <row r="1251" spans="1:13" x14ac:dyDescent="0.15">
      <c r="A1251" s="1"/>
      <c r="B1251" s="29" t="s">
        <v>7</v>
      </c>
      <c r="C1251" s="20"/>
      <c r="D1251" s="21"/>
      <c r="E1251" s="20"/>
      <c r="F1251" s="46">
        <f t="shared" si="424"/>
        <v>0</v>
      </c>
      <c r="H1251" s="29"/>
      <c r="I1251" s="20"/>
      <c r="J1251" s="21"/>
      <c r="K1251" s="20"/>
      <c r="L1251" s="46">
        <f t="shared" si="425"/>
        <v>0</v>
      </c>
    </row>
    <row r="1252" spans="1:13" x14ac:dyDescent="0.15">
      <c r="A1252" s="1"/>
      <c r="B1252" s="29" t="s">
        <v>7</v>
      </c>
      <c r="C1252" s="20"/>
      <c r="D1252" s="21"/>
      <c r="E1252" s="20"/>
      <c r="F1252" s="46">
        <f t="shared" si="424"/>
        <v>0</v>
      </c>
      <c r="H1252" s="29"/>
      <c r="I1252" s="20"/>
      <c r="J1252" s="21"/>
      <c r="K1252" s="20"/>
      <c r="L1252" s="46">
        <f t="shared" si="425"/>
        <v>0</v>
      </c>
    </row>
    <row r="1253" spans="1:13" x14ac:dyDescent="0.15">
      <c r="A1253" s="1"/>
      <c r="B1253" s="29" t="s">
        <v>7</v>
      </c>
      <c r="C1253" s="20"/>
      <c r="D1253" s="21"/>
      <c r="E1253" s="20"/>
      <c r="F1253" s="46">
        <f t="shared" ref="F1253:F1257" si="426">SUM(C1253:E1253)</f>
        <v>0</v>
      </c>
      <c r="H1253" s="29"/>
      <c r="I1253" s="20"/>
      <c r="J1253" s="21"/>
      <c r="K1253" s="20"/>
      <c r="L1253" s="46">
        <f t="shared" si="425"/>
        <v>0</v>
      </c>
    </row>
    <row r="1254" spans="1:13" x14ac:dyDescent="0.15">
      <c r="A1254" s="1"/>
      <c r="B1254" s="29" t="s">
        <v>7</v>
      </c>
      <c r="C1254" s="20"/>
      <c r="D1254" s="21"/>
      <c r="E1254" s="20"/>
      <c r="F1254" s="46">
        <f t="shared" si="426"/>
        <v>0</v>
      </c>
      <c r="H1254" s="29"/>
      <c r="I1254" s="20"/>
      <c r="J1254" s="21"/>
      <c r="K1254" s="20"/>
      <c r="L1254" s="46">
        <f t="shared" si="425"/>
        <v>0</v>
      </c>
    </row>
    <row r="1255" spans="1:13" x14ac:dyDescent="0.15">
      <c r="A1255" s="1"/>
      <c r="B1255" s="29" t="s">
        <v>7</v>
      </c>
      <c r="C1255" s="20"/>
      <c r="D1255" s="21"/>
      <c r="E1255" s="20"/>
      <c r="F1255" s="46">
        <f t="shared" si="426"/>
        <v>0</v>
      </c>
      <c r="H1255" s="29"/>
      <c r="I1255" s="20"/>
      <c r="J1255" s="21"/>
      <c r="K1255" s="20"/>
      <c r="L1255" s="46">
        <f t="shared" si="425"/>
        <v>0</v>
      </c>
    </row>
    <row r="1256" spans="1:13" x14ac:dyDescent="0.15">
      <c r="A1256" s="1"/>
      <c r="B1256" s="29" t="s">
        <v>7</v>
      </c>
      <c r="C1256" s="20"/>
      <c r="D1256" s="21"/>
      <c r="E1256" s="20"/>
      <c r="F1256" s="46">
        <f t="shared" si="426"/>
        <v>0</v>
      </c>
      <c r="H1256" s="29"/>
      <c r="I1256" s="20"/>
      <c r="J1256" s="21"/>
      <c r="K1256" s="20"/>
      <c r="L1256" s="46">
        <f t="shared" si="425"/>
        <v>0</v>
      </c>
    </row>
    <row r="1257" spans="1:13" ht="14.25" thickBot="1" x14ac:dyDescent="0.2">
      <c r="A1257" s="1"/>
      <c r="B1257" s="29" t="s">
        <v>7</v>
      </c>
      <c r="C1257" s="19"/>
      <c r="D1257" s="4"/>
      <c r="E1257" s="19"/>
      <c r="F1257" s="46">
        <f t="shared" si="426"/>
        <v>0</v>
      </c>
      <c r="H1257" s="29"/>
      <c r="I1257" s="19"/>
      <c r="J1257" s="4"/>
      <c r="K1257" s="19"/>
      <c r="L1257" s="46">
        <f t="shared" si="425"/>
        <v>0</v>
      </c>
    </row>
    <row r="1258" spans="1:13" ht="14.25" thickBot="1" x14ac:dyDescent="0.2">
      <c r="A1258" s="1"/>
      <c r="B1258" s="6" t="s">
        <v>8</v>
      </c>
      <c r="C1258" s="44">
        <f>SUM(C1247:C1257)</f>
        <v>51</v>
      </c>
      <c r="D1258" s="44">
        <f t="shared" ref="D1258:F1258" si="427">SUM(D1247:D1257)</f>
        <v>65</v>
      </c>
      <c r="E1258" s="44">
        <f t="shared" si="427"/>
        <v>0</v>
      </c>
      <c r="F1258" s="45">
        <f t="shared" si="427"/>
        <v>116</v>
      </c>
      <c r="G1258" s="1"/>
      <c r="H1258" s="6"/>
      <c r="I1258" s="44">
        <f>SUM(I1247:I1257)</f>
        <v>449</v>
      </c>
      <c r="J1258" s="44">
        <f t="shared" ref="J1258:L1258" si="428">SUM(J1247:J1257)</f>
        <v>90</v>
      </c>
      <c r="K1258" s="44">
        <f t="shared" si="428"/>
        <v>0</v>
      </c>
      <c r="L1258" s="45">
        <f t="shared" si="428"/>
        <v>539</v>
      </c>
    </row>
    <row r="1259" spans="1:13" x14ac:dyDescent="0.15">
      <c r="A1259" s="1"/>
      <c r="B1259" s="4" t="s">
        <v>25</v>
      </c>
      <c r="C1259" s="9"/>
      <c r="D1259" s="14">
        <v>2</v>
      </c>
      <c r="E1259" s="13"/>
      <c r="F1259" s="46">
        <f t="shared" ref="F1259:F1279" si="429">SUM(C1259:E1259)</f>
        <v>2</v>
      </c>
      <c r="G1259" s="74">
        <v>46065</v>
      </c>
      <c r="H1259" s="4" t="s">
        <v>135</v>
      </c>
      <c r="I1259" s="9">
        <v>10</v>
      </c>
      <c r="J1259" s="14">
        <v>15</v>
      </c>
      <c r="K1259" s="13"/>
      <c r="L1259" s="46">
        <f t="shared" ref="L1259:L1261" si="430">SUM(I1259:K1259)</f>
        <v>25</v>
      </c>
      <c r="M1259" s="74">
        <v>46088</v>
      </c>
    </row>
    <row r="1260" spans="1:13" x14ac:dyDescent="0.15">
      <c r="B1260" s="4" t="s">
        <v>25</v>
      </c>
      <c r="C1260" s="9">
        <v>1</v>
      </c>
      <c r="D1260" s="14">
        <v>1</v>
      </c>
      <c r="E1260" s="13"/>
      <c r="F1260" s="46">
        <f t="shared" si="429"/>
        <v>2</v>
      </c>
      <c r="G1260" s="74">
        <v>46069</v>
      </c>
      <c r="H1260" s="4" t="s">
        <v>135</v>
      </c>
      <c r="I1260" s="9">
        <v>10</v>
      </c>
      <c r="J1260" s="14">
        <v>15</v>
      </c>
      <c r="K1260" s="13"/>
      <c r="L1260" s="46">
        <f t="shared" si="430"/>
        <v>25</v>
      </c>
      <c r="M1260" s="73">
        <v>46107</v>
      </c>
    </row>
    <row r="1261" spans="1:13" x14ac:dyDescent="0.15">
      <c r="B1261" s="4" t="s">
        <v>25</v>
      </c>
      <c r="C1261" s="9"/>
      <c r="D1261" s="14">
        <v>1</v>
      </c>
      <c r="E1261" s="13"/>
      <c r="F1261" s="46">
        <f t="shared" si="429"/>
        <v>1</v>
      </c>
      <c r="G1261" s="74">
        <v>46071</v>
      </c>
      <c r="H1261" s="83" t="s">
        <v>136</v>
      </c>
      <c r="I1261" s="84">
        <v>20</v>
      </c>
      <c r="J1261" s="85">
        <v>20</v>
      </c>
      <c r="K1261" s="86"/>
      <c r="L1261" s="81">
        <f t="shared" si="430"/>
        <v>40</v>
      </c>
      <c r="M1261" s="82">
        <v>46168</v>
      </c>
    </row>
    <row r="1262" spans="1:13" x14ac:dyDescent="0.15">
      <c r="B1262" s="4" t="s">
        <v>25</v>
      </c>
      <c r="C1262" s="9"/>
      <c r="D1262" s="14">
        <v>1</v>
      </c>
      <c r="E1262" s="13"/>
      <c r="F1262" s="46">
        <f t="shared" si="429"/>
        <v>1</v>
      </c>
      <c r="G1262" s="74">
        <v>46073</v>
      </c>
      <c r="H1262" s="83" t="s">
        <v>136</v>
      </c>
      <c r="I1262" s="84">
        <v>5</v>
      </c>
      <c r="J1262" s="85">
        <v>10</v>
      </c>
      <c r="K1262" s="86"/>
      <c r="L1262" s="81">
        <f t="shared" ref="L1262:L1282" si="431">SUM(I1262:K1262)</f>
        <v>15</v>
      </c>
      <c r="M1262" s="82">
        <v>46182</v>
      </c>
    </row>
    <row r="1263" spans="1:13" x14ac:dyDescent="0.15">
      <c r="B1263" s="4" t="s">
        <v>25</v>
      </c>
      <c r="C1263" s="9">
        <v>3</v>
      </c>
      <c r="D1263" s="14">
        <v>2</v>
      </c>
      <c r="E1263" s="13"/>
      <c r="F1263" s="46">
        <f t="shared" si="429"/>
        <v>5</v>
      </c>
      <c r="G1263" s="73">
        <v>46077</v>
      </c>
      <c r="H1263" s="83" t="s">
        <v>136</v>
      </c>
      <c r="I1263" s="84">
        <v>15</v>
      </c>
      <c r="J1263" s="85">
        <v>20</v>
      </c>
      <c r="K1263" s="86"/>
      <c r="L1263" s="81">
        <f t="shared" si="431"/>
        <v>35</v>
      </c>
      <c r="M1263" s="82">
        <v>46184</v>
      </c>
    </row>
    <row r="1264" spans="1:13" x14ac:dyDescent="0.15">
      <c r="B1264" s="4" t="s">
        <v>25</v>
      </c>
      <c r="C1264" s="9">
        <v>1</v>
      </c>
      <c r="D1264" s="14">
        <v>2</v>
      </c>
      <c r="E1264" s="13"/>
      <c r="F1264" s="46">
        <f t="shared" si="429"/>
        <v>3</v>
      </c>
      <c r="G1264" s="73">
        <v>46083</v>
      </c>
      <c r="H1264" s="4"/>
      <c r="I1264" s="9"/>
      <c r="J1264" s="14"/>
      <c r="K1264" s="13"/>
      <c r="L1264" s="46">
        <f t="shared" si="431"/>
        <v>0</v>
      </c>
    </row>
    <row r="1265" spans="1:12" x14ac:dyDescent="0.15">
      <c r="B1265" s="4" t="s">
        <v>134</v>
      </c>
      <c r="C1265" s="9"/>
      <c r="D1265" s="14">
        <v>1</v>
      </c>
      <c r="E1265" s="13"/>
      <c r="F1265" s="46">
        <f t="shared" si="429"/>
        <v>1</v>
      </c>
      <c r="G1265" s="73">
        <v>46085</v>
      </c>
      <c r="H1265" s="4"/>
      <c r="I1265" s="9"/>
      <c r="J1265" s="14"/>
      <c r="K1265" s="13"/>
      <c r="L1265" s="46">
        <f t="shared" si="431"/>
        <v>0</v>
      </c>
    </row>
    <row r="1266" spans="1:12" x14ac:dyDescent="0.15">
      <c r="B1266" s="4" t="s">
        <v>25</v>
      </c>
      <c r="C1266" s="9"/>
      <c r="D1266" s="14">
        <v>1</v>
      </c>
      <c r="E1266" s="13"/>
      <c r="F1266" s="46">
        <f t="shared" si="429"/>
        <v>1</v>
      </c>
      <c r="G1266" s="73">
        <v>46086</v>
      </c>
      <c r="H1266" s="4"/>
      <c r="I1266" s="9"/>
      <c r="J1266" s="14"/>
      <c r="K1266" s="13"/>
      <c r="L1266" s="46">
        <f t="shared" si="431"/>
        <v>0</v>
      </c>
    </row>
    <row r="1267" spans="1:12" x14ac:dyDescent="0.15">
      <c r="B1267" s="4" t="s">
        <v>25</v>
      </c>
      <c r="C1267" s="9">
        <v>1</v>
      </c>
      <c r="D1267" s="14">
        <v>2</v>
      </c>
      <c r="E1267" s="13"/>
      <c r="F1267" s="46">
        <f t="shared" si="429"/>
        <v>3</v>
      </c>
      <c r="G1267" s="74">
        <v>46087</v>
      </c>
      <c r="H1267" s="4"/>
      <c r="I1267" s="9"/>
      <c r="J1267" s="14"/>
      <c r="K1267" s="13"/>
      <c r="L1267" s="46">
        <f t="shared" si="431"/>
        <v>0</v>
      </c>
    </row>
    <row r="1268" spans="1:12" x14ac:dyDescent="0.15">
      <c r="B1268" s="4" t="s">
        <v>25</v>
      </c>
      <c r="C1268" s="9">
        <v>2</v>
      </c>
      <c r="D1268" s="14">
        <v>4</v>
      </c>
      <c r="E1268" s="13"/>
      <c r="F1268" s="46">
        <f t="shared" si="429"/>
        <v>6</v>
      </c>
      <c r="G1268" s="74">
        <v>46090</v>
      </c>
      <c r="H1268" s="4"/>
      <c r="I1268" s="9"/>
      <c r="J1268" s="14"/>
      <c r="K1268" s="13"/>
      <c r="L1268" s="46">
        <f t="shared" si="431"/>
        <v>0</v>
      </c>
    </row>
    <row r="1269" spans="1:12" x14ac:dyDescent="0.15">
      <c r="B1269" s="4" t="s">
        <v>25</v>
      </c>
      <c r="C1269" s="9">
        <v>1</v>
      </c>
      <c r="D1269" s="14"/>
      <c r="E1269" s="13"/>
      <c r="F1269" s="46">
        <f t="shared" si="429"/>
        <v>1</v>
      </c>
      <c r="G1269" s="74">
        <v>46097</v>
      </c>
      <c r="H1269" s="4"/>
      <c r="I1269" s="9"/>
      <c r="J1269" s="14"/>
      <c r="K1269" s="13"/>
      <c r="L1269" s="46">
        <f t="shared" si="431"/>
        <v>0</v>
      </c>
    </row>
    <row r="1270" spans="1:12" x14ac:dyDescent="0.15">
      <c r="B1270" s="4" t="s">
        <v>25</v>
      </c>
      <c r="C1270" s="9"/>
      <c r="D1270" s="14">
        <v>5</v>
      </c>
      <c r="E1270" s="13"/>
      <c r="F1270" s="46">
        <f t="shared" si="429"/>
        <v>5</v>
      </c>
      <c r="G1270" s="74">
        <v>46104</v>
      </c>
      <c r="H1270" s="4"/>
      <c r="I1270" s="9"/>
      <c r="J1270" s="14"/>
      <c r="K1270" s="13"/>
      <c r="L1270" s="46">
        <f t="shared" si="431"/>
        <v>0</v>
      </c>
    </row>
    <row r="1271" spans="1:12" x14ac:dyDescent="0.15">
      <c r="B1271" s="4" t="s">
        <v>25</v>
      </c>
      <c r="C1271" s="9"/>
      <c r="D1271" s="14">
        <v>1</v>
      </c>
      <c r="E1271" s="13"/>
      <c r="F1271" s="46">
        <f t="shared" si="429"/>
        <v>1</v>
      </c>
      <c r="G1271" s="74">
        <v>46105</v>
      </c>
      <c r="H1271" s="4"/>
      <c r="I1271" s="9"/>
      <c r="J1271" s="14"/>
      <c r="K1271" s="13"/>
      <c r="L1271" s="46">
        <f t="shared" si="431"/>
        <v>0</v>
      </c>
    </row>
    <row r="1272" spans="1:12" x14ac:dyDescent="0.15">
      <c r="B1272" s="4" t="s">
        <v>25</v>
      </c>
      <c r="C1272" s="9">
        <v>1</v>
      </c>
      <c r="D1272" s="14"/>
      <c r="E1272" s="13"/>
      <c r="F1272" s="46">
        <f t="shared" si="429"/>
        <v>1</v>
      </c>
      <c r="G1272" s="74">
        <v>46112</v>
      </c>
      <c r="H1272" s="4"/>
      <c r="I1272" s="9"/>
      <c r="J1272" s="14"/>
      <c r="K1272" s="13"/>
      <c r="L1272" s="46">
        <f t="shared" si="431"/>
        <v>0</v>
      </c>
    </row>
    <row r="1273" spans="1:12" x14ac:dyDescent="0.15">
      <c r="B1273" s="4" t="s">
        <v>25</v>
      </c>
      <c r="C1273" s="9"/>
      <c r="D1273" s="14">
        <v>1</v>
      </c>
      <c r="E1273" s="13"/>
      <c r="F1273" s="46">
        <f t="shared" si="429"/>
        <v>1</v>
      </c>
      <c r="G1273" s="74">
        <v>46122</v>
      </c>
      <c r="H1273" s="4"/>
      <c r="I1273" s="9"/>
      <c r="J1273" s="14"/>
      <c r="K1273" s="13"/>
      <c r="L1273" s="46">
        <f t="shared" si="431"/>
        <v>0</v>
      </c>
    </row>
    <row r="1274" spans="1:12" x14ac:dyDescent="0.15">
      <c r="B1274" s="4" t="s">
        <v>25</v>
      </c>
      <c r="C1274" s="9"/>
      <c r="D1274" s="14">
        <v>1</v>
      </c>
      <c r="E1274" s="13"/>
      <c r="F1274" s="46">
        <f t="shared" si="429"/>
        <v>1</v>
      </c>
      <c r="G1274" s="74">
        <v>46125</v>
      </c>
      <c r="H1274" s="4"/>
      <c r="I1274" s="9"/>
      <c r="J1274" s="14"/>
      <c r="K1274" s="13"/>
      <c r="L1274" s="46">
        <f t="shared" si="431"/>
        <v>0</v>
      </c>
    </row>
    <row r="1275" spans="1:12" x14ac:dyDescent="0.15">
      <c r="B1275" s="4" t="s">
        <v>25</v>
      </c>
      <c r="C1275" s="9">
        <v>2</v>
      </c>
      <c r="D1275" s="14"/>
      <c r="E1275" s="13"/>
      <c r="F1275" s="46">
        <f t="shared" si="429"/>
        <v>2</v>
      </c>
      <c r="G1275" s="74">
        <v>46128</v>
      </c>
      <c r="H1275" s="4"/>
      <c r="I1275" s="9"/>
      <c r="J1275" s="14"/>
      <c r="K1275" s="13"/>
      <c r="L1275" s="46">
        <f t="shared" si="431"/>
        <v>0</v>
      </c>
    </row>
    <row r="1276" spans="1:12" x14ac:dyDescent="0.15">
      <c r="A1276" s="1"/>
      <c r="B1276" s="4" t="s">
        <v>25</v>
      </c>
      <c r="C1276" s="9"/>
      <c r="D1276" s="14">
        <v>1</v>
      </c>
      <c r="E1276" s="13"/>
      <c r="F1276" s="46">
        <f t="shared" si="429"/>
        <v>1</v>
      </c>
      <c r="G1276" s="74">
        <v>46132</v>
      </c>
      <c r="H1276" s="4"/>
      <c r="I1276" s="9"/>
      <c r="J1276" s="14"/>
      <c r="K1276" s="13"/>
      <c r="L1276" s="46">
        <f t="shared" si="431"/>
        <v>0</v>
      </c>
    </row>
    <row r="1277" spans="1:12" x14ac:dyDescent="0.15">
      <c r="A1277" s="1"/>
      <c r="B1277" s="4" t="s">
        <v>25</v>
      </c>
      <c r="C1277" s="9"/>
      <c r="D1277" s="14">
        <v>2</v>
      </c>
      <c r="E1277" s="13"/>
      <c r="F1277" s="46">
        <f t="shared" si="429"/>
        <v>2</v>
      </c>
      <c r="G1277" s="74">
        <v>46139</v>
      </c>
      <c r="H1277" s="4"/>
      <c r="I1277" s="9"/>
      <c r="J1277" s="14"/>
      <c r="K1277" s="13"/>
      <c r="L1277" s="46">
        <f t="shared" si="431"/>
        <v>0</v>
      </c>
    </row>
    <row r="1278" spans="1:12" x14ac:dyDescent="0.15">
      <c r="A1278" s="1"/>
      <c r="B1278" s="4" t="s">
        <v>25</v>
      </c>
      <c r="C1278" s="9">
        <v>2</v>
      </c>
      <c r="D1278" s="14"/>
      <c r="E1278" s="13"/>
      <c r="F1278" s="46">
        <f t="shared" si="429"/>
        <v>2</v>
      </c>
      <c r="G1278" s="74">
        <v>46153</v>
      </c>
      <c r="H1278" s="4"/>
      <c r="I1278" s="9"/>
      <c r="J1278" s="14"/>
      <c r="K1278" s="13"/>
      <c r="L1278" s="46">
        <f t="shared" si="431"/>
        <v>0</v>
      </c>
    </row>
    <row r="1279" spans="1:12" x14ac:dyDescent="0.15">
      <c r="A1279" s="1"/>
      <c r="B1279" s="4" t="s">
        <v>25</v>
      </c>
      <c r="C1279" s="9"/>
      <c r="D1279" s="14">
        <v>1</v>
      </c>
      <c r="E1279" s="13"/>
      <c r="F1279" s="46">
        <f t="shared" si="429"/>
        <v>1</v>
      </c>
      <c r="G1279" s="74">
        <v>46154</v>
      </c>
      <c r="H1279" s="4"/>
      <c r="I1279" s="9"/>
      <c r="J1279" s="14"/>
      <c r="K1279" s="13"/>
      <c r="L1279" s="46">
        <f t="shared" si="431"/>
        <v>0</v>
      </c>
    </row>
    <row r="1280" spans="1:12" x14ac:dyDescent="0.15">
      <c r="A1280" s="26"/>
      <c r="B1280" s="4" t="s">
        <v>25</v>
      </c>
      <c r="C1280" s="9">
        <v>1</v>
      </c>
      <c r="D1280" s="14"/>
      <c r="E1280" s="13"/>
      <c r="F1280" s="46">
        <f t="shared" ref="F1280:F1284" si="432">SUM(C1280:E1280)</f>
        <v>1</v>
      </c>
      <c r="G1280" s="74">
        <v>46160</v>
      </c>
      <c r="H1280" s="4"/>
      <c r="I1280" s="9"/>
      <c r="J1280" s="14"/>
      <c r="K1280" s="13"/>
      <c r="L1280" s="46">
        <f t="shared" si="431"/>
        <v>0</v>
      </c>
    </row>
    <row r="1281" spans="1:12" x14ac:dyDescent="0.15">
      <c r="A1281" s="26"/>
      <c r="B1281" s="4" t="s">
        <v>25</v>
      </c>
      <c r="C1281" s="9">
        <v>10</v>
      </c>
      <c r="D1281" s="14">
        <v>16</v>
      </c>
      <c r="E1281" s="13"/>
      <c r="F1281" s="46">
        <f t="shared" si="432"/>
        <v>26</v>
      </c>
      <c r="G1281" s="74">
        <v>46167</v>
      </c>
      <c r="H1281" s="4"/>
      <c r="I1281" s="9"/>
      <c r="J1281" s="14"/>
      <c r="K1281" s="13"/>
      <c r="L1281" s="46">
        <f t="shared" si="431"/>
        <v>0</v>
      </c>
    </row>
    <row r="1282" spans="1:12" ht="14.25" thickBot="1" x14ac:dyDescent="0.2">
      <c r="A1282" s="1"/>
      <c r="B1282" s="4" t="s">
        <v>25</v>
      </c>
      <c r="C1282" s="9"/>
      <c r="D1282" s="14">
        <v>3</v>
      </c>
      <c r="E1282" s="13"/>
      <c r="F1282" s="46">
        <f t="shared" si="432"/>
        <v>3</v>
      </c>
      <c r="G1282" s="74">
        <v>46168</v>
      </c>
      <c r="H1282" s="4"/>
      <c r="I1282" s="9"/>
      <c r="J1282" s="14"/>
      <c r="K1282" s="13"/>
      <c r="L1282" s="46">
        <f t="shared" si="431"/>
        <v>0</v>
      </c>
    </row>
    <row r="1283" spans="1:12" ht="14.25" thickBot="1" x14ac:dyDescent="0.2">
      <c r="A1283" s="1"/>
      <c r="B1283" s="5" t="s">
        <v>9</v>
      </c>
      <c r="C1283" s="10">
        <f>SUM(C1259:C1282)</f>
        <v>25</v>
      </c>
      <c r="D1283" s="10">
        <f t="shared" ref="D1283:E1283" si="433">SUM(D1259:D1282)</f>
        <v>48</v>
      </c>
      <c r="E1283" s="76">
        <f t="shared" si="433"/>
        <v>0</v>
      </c>
      <c r="F1283" s="48">
        <f t="shared" si="432"/>
        <v>73</v>
      </c>
      <c r="G1283" s="1"/>
      <c r="H1283" s="5" t="s">
        <v>9</v>
      </c>
      <c r="I1283" s="10">
        <f>SUM(I1259:I1282)</f>
        <v>60</v>
      </c>
      <c r="J1283" s="10">
        <f t="shared" ref="J1283:L1283" si="434">SUM(J1259:J1282)</f>
        <v>80</v>
      </c>
      <c r="K1283" s="76">
        <f t="shared" si="434"/>
        <v>0</v>
      </c>
      <c r="L1283" s="48">
        <f t="shared" si="434"/>
        <v>140</v>
      </c>
    </row>
    <row r="1284" spans="1:12" ht="14.25" thickBot="1" x14ac:dyDescent="0.2">
      <c r="A1284" s="1"/>
      <c r="B1284" s="8" t="s">
        <v>10</v>
      </c>
      <c r="C1284" s="11">
        <f>C1258-C1283</f>
        <v>26</v>
      </c>
      <c r="D1284" s="11">
        <f t="shared" ref="D1284:E1284" si="435">D1258-D1283</f>
        <v>17</v>
      </c>
      <c r="E1284" s="77">
        <f t="shared" si="435"/>
        <v>0</v>
      </c>
      <c r="F1284" s="37">
        <f t="shared" si="432"/>
        <v>43</v>
      </c>
      <c r="G1284" s="1"/>
      <c r="H1284" s="8" t="s">
        <v>10</v>
      </c>
      <c r="I1284" s="11">
        <f>I1258-I1283</f>
        <v>389</v>
      </c>
      <c r="J1284" s="11">
        <f t="shared" ref="J1284:L1284" si="436">J1258-J1283</f>
        <v>10</v>
      </c>
      <c r="K1284" s="77">
        <f t="shared" si="436"/>
        <v>0</v>
      </c>
      <c r="L1284" s="37">
        <f t="shared" si="436"/>
        <v>399</v>
      </c>
    </row>
    <row r="1287" spans="1:12" ht="18.75" x14ac:dyDescent="0.2">
      <c r="A1287" s="41" t="s">
        <v>12</v>
      </c>
      <c r="B1287" s="42"/>
      <c r="C1287" s="41"/>
      <c r="D1287" s="43"/>
      <c r="E1287" s="43"/>
      <c r="F1287" s="2"/>
      <c r="G1287" s="1"/>
      <c r="H1287" s="41" t="s">
        <v>12</v>
      </c>
      <c r="I1287" s="41"/>
      <c r="J1287" s="43"/>
      <c r="K1287" s="43"/>
      <c r="L1287" s="2"/>
    </row>
    <row r="1288" spans="1:12" ht="19.5" thickBot="1" x14ac:dyDescent="0.25">
      <c r="A1288" s="7"/>
      <c r="B1288" s="7" t="s">
        <v>0</v>
      </c>
      <c r="C1288" s="7"/>
      <c r="D1288" s="7" t="s">
        <v>15</v>
      </c>
      <c r="E1288" s="2"/>
      <c r="F1288" s="2"/>
      <c r="G1288" s="1"/>
      <c r="H1288" s="7" t="s">
        <v>1</v>
      </c>
      <c r="I1288" s="1"/>
      <c r="J1288" s="7" t="s">
        <v>15</v>
      </c>
      <c r="K1288" s="2"/>
      <c r="L1288" s="2"/>
    </row>
    <row r="1289" spans="1:12" ht="14.25" thickBot="1" x14ac:dyDescent="0.2">
      <c r="A1289" s="1"/>
      <c r="B1289" s="3"/>
      <c r="C1289" s="5" t="s">
        <v>2</v>
      </c>
      <c r="D1289" s="3" t="s">
        <v>3</v>
      </c>
      <c r="E1289" s="12" t="s">
        <v>4</v>
      </c>
      <c r="F1289" s="3" t="s">
        <v>5</v>
      </c>
      <c r="G1289" s="1"/>
      <c r="H1289" s="3"/>
      <c r="I1289" s="5" t="s">
        <v>2</v>
      </c>
      <c r="J1289" s="3" t="s">
        <v>3</v>
      </c>
      <c r="K1289" s="12" t="s">
        <v>4</v>
      </c>
      <c r="L1289" s="3" t="s">
        <v>5</v>
      </c>
    </row>
    <row r="1290" spans="1:12" ht="14.25" thickBot="1" x14ac:dyDescent="0.2">
      <c r="A1290" s="1"/>
      <c r="B1290" s="34" t="s">
        <v>11</v>
      </c>
      <c r="C1290" s="35">
        <f>C1284</f>
        <v>26</v>
      </c>
      <c r="D1290" s="36">
        <f>D1284</f>
        <v>17</v>
      </c>
      <c r="E1290" s="35">
        <f>E1284</f>
        <v>0</v>
      </c>
      <c r="F1290" s="37">
        <f>SUM(C1290:E1290)</f>
        <v>43</v>
      </c>
      <c r="G1290" s="28"/>
      <c r="H1290" s="34"/>
      <c r="I1290" s="35">
        <f>I1284</f>
        <v>389</v>
      </c>
      <c r="J1290" s="36">
        <f t="shared" ref="J1290:L1290" si="437">J1284</f>
        <v>10</v>
      </c>
      <c r="K1290" s="35">
        <f t="shared" si="437"/>
        <v>0</v>
      </c>
      <c r="L1290" s="37">
        <f t="shared" si="437"/>
        <v>399</v>
      </c>
    </row>
    <row r="1291" spans="1:12" x14ac:dyDescent="0.15">
      <c r="A1291" s="1"/>
      <c r="B1291" s="78" t="s">
        <v>7</v>
      </c>
      <c r="C1291" s="79">
        <v>5</v>
      </c>
      <c r="D1291" s="80">
        <v>10</v>
      </c>
      <c r="E1291" s="79"/>
      <c r="F1291" s="81">
        <f t="shared" ref="F1291:F1293" si="438">SUM(C1291:E1291)</f>
        <v>15</v>
      </c>
      <c r="G1291" s="82">
        <v>46182</v>
      </c>
      <c r="H1291" s="29"/>
      <c r="I1291" s="20"/>
      <c r="J1291" s="21"/>
      <c r="K1291" s="20"/>
      <c r="L1291" s="46">
        <f t="shared" ref="L1291:L1300" si="439">SUM(I1291:K1291)</f>
        <v>0</v>
      </c>
    </row>
    <row r="1292" spans="1:12" x14ac:dyDescent="0.15">
      <c r="A1292" s="1"/>
      <c r="B1292" s="78" t="s">
        <v>7</v>
      </c>
      <c r="C1292" s="79">
        <v>15</v>
      </c>
      <c r="D1292" s="80">
        <v>20</v>
      </c>
      <c r="E1292" s="79"/>
      <c r="F1292" s="81">
        <f t="shared" si="438"/>
        <v>35</v>
      </c>
      <c r="G1292" s="82">
        <v>46184</v>
      </c>
      <c r="H1292" s="29"/>
      <c r="I1292" s="20"/>
      <c r="J1292" s="21"/>
      <c r="K1292" s="20"/>
      <c r="L1292" s="46">
        <f t="shared" si="439"/>
        <v>0</v>
      </c>
    </row>
    <row r="1293" spans="1:12" x14ac:dyDescent="0.15">
      <c r="A1293" s="26"/>
      <c r="B1293" s="29" t="s">
        <v>7</v>
      </c>
      <c r="C1293" s="20"/>
      <c r="D1293" s="21"/>
      <c r="E1293" s="20"/>
      <c r="F1293" s="46">
        <f t="shared" si="438"/>
        <v>0</v>
      </c>
      <c r="H1293" s="29"/>
      <c r="I1293" s="20"/>
      <c r="J1293" s="21"/>
      <c r="K1293" s="20"/>
      <c r="L1293" s="46">
        <f t="shared" si="439"/>
        <v>0</v>
      </c>
    </row>
    <row r="1294" spans="1:12" x14ac:dyDescent="0.15">
      <c r="A1294" s="1"/>
      <c r="B1294" s="29" t="s">
        <v>7</v>
      </c>
      <c r="C1294" s="20"/>
      <c r="D1294" s="21"/>
      <c r="E1294" s="20"/>
      <c r="F1294" s="46">
        <f t="shared" ref="F1294:F1300" si="440">SUM(C1294:E1294)</f>
        <v>0</v>
      </c>
      <c r="H1294" s="29"/>
      <c r="I1294" s="20"/>
      <c r="J1294" s="21"/>
      <c r="K1294" s="20"/>
      <c r="L1294" s="46">
        <f t="shared" si="439"/>
        <v>0</v>
      </c>
    </row>
    <row r="1295" spans="1:12" x14ac:dyDescent="0.15">
      <c r="A1295" s="1"/>
      <c r="B1295" s="29" t="s">
        <v>7</v>
      </c>
      <c r="C1295" s="20"/>
      <c r="D1295" s="21"/>
      <c r="E1295" s="20"/>
      <c r="F1295" s="46">
        <f t="shared" si="440"/>
        <v>0</v>
      </c>
      <c r="H1295" s="29"/>
      <c r="I1295" s="20"/>
      <c r="J1295" s="21"/>
      <c r="K1295" s="20"/>
      <c r="L1295" s="46">
        <f t="shared" si="439"/>
        <v>0</v>
      </c>
    </row>
    <row r="1296" spans="1:12" x14ac:dyDescent="0.15">
      <c r="A1296" s="1"/>
      <c r="B1296" s="29" t="s">
        <v>7</v>
      </c>
      <c r="C1296" s="20"/>
      <c r="D1296" s="21"/>
      <c r="E1296" s="20"/>
      <c r="F1296" s="46">
        <f t="shared" si="440"/>
        <v>0</v>
      </c>
      <c r="H1296" s="29"/>
      <c r="I1296" s="20"/>
      <c r="J1296" s="21"/>
      <c r="K1296" s="20"/>
      <c r="L1296" s="46">
        <f t="shared" si="439"/>
        <v>0</v>
      </c>
    </row>
    <row r="1297" spans="1:12" x14ac:dyDescent="0.15">
      <c r="A1297" s="1"/>
      <c r="B1297" s="29" t="s">
        <v>7</v>
      </c>
      <c r="C1297" s="20"/>
      <c r="D1297" s="21"/>
      <c r="E1297" s="20"/>
      <c r="F1297" s="46">
        <f t="shared" si="440"/>
        <v>0</v>
      </c>
      <c r="H1297" s="29"/>
      <c r="I1297" s="20"/>
      <c r="J1297" s="21"/>
      <c r="K1297" s="20"/>
      <c r="L1297" s="46">
        <f t="shared" si="439"/>
        <v>0</v>
      </c>
    </row>
    <row r="1298" spans="1:12" x14ac:dyDescent="0.15">
      <c r="A1298" s="1"/>
      <c r="B1298" s="29" t="s">
        <v>7</v>
      </c>
      <c r="C1298" s="20"/>
      <c r="D1298" s="21"/>
      <c r="E1298" s="20"/>
      <c r="F1298" s="46">
        <f t="shared" si="440"/>
        <v>0</v>
      </c>
      <c r="H1298" s="29"/>
      <c r="I1298" s="20"/>
      <c r="J1298" s="21"/>
      <c r="K1298" s="20"/>
      <c r="L1298" s="46">
        <f t="shared" si="439"/>
        <v>0</v>
      </c>
    </row>
    <row r="1299" spans="1:12" x14ac:dyDescent="0.15">
      <c r="A1299" s="1"/>
      <c r="B1299" s="29" t="s">
        <v>7</v>
      </c>
      <c r="C1299" s="20"/>
      <c r="D1299" s="21"/>
      <c r="E1299" s="20"/>
      <c r="F1299" s="46">
        <f t="shared" si="440"/>
        <v>0</v>
      </c>
      <c r="H1299" s="29"/>
      <c r="I1299" s="20"/>
      <c r="J1299" s="21"/>
      <c r="K1299" s="20"/>
      <c r="L1299" s="46">
        <f t="shared" si="439"/>
        <v>0</v>
      </c>
    </row>
    <row r="1300" spans="1:12" ht="14.25" thickBot="1" x14ac:dyDescent="0.2">
      <c r="A1300" s="1"/>
      <c r="B1300" s="29" t="s">
        <v>7</v>
      </c>
      <c r="C1300" s="19"/>
      <c r="D1300" s="4"/>
      <c r="E1300" s="19"/>
      <c r="F1300" s="46">
        <f t="shared" si="440"/>
        <v>0</v>
      </c>
      <c r="H1300" s="29"/>
      <c r="I1300" s="19"/>
      <c r="J1300" s="4"/>
      <c r="K1300" s="19"/>
      <c r="L1300" s="46">
        <f t="shared" si="439"/>
        <v>0</v>
      </c>
    </row>
    <row r="1301" spans="1:12" ht="14.25" thickBot="1" x14ac:dyDescent="0.2">
      <c r="A1301" s="1"/>
      <c r="B1301" s="6" t="s">
        <v>8</v>
      </c>
      <c r="C1301" s="44">
        <f>SUM(C1290:C1300)</f>
        <v>46</v>
      </c>
      <c r="D1301" s="44">
        <f t="shared" ref="D1301:F1301" si="441">SUM(D1290:D1300)</f>
        <v>47</v>
      </c>
      <c r="E1301" s="44">
        <f t="shared" si="441"/>
        <v>0</v>
      </c>
      <c r="F1301" s="45">
        <f t="shared" si="441"/>
        <v>93</v>
      </c>
      <c r="G1301" s="1"/>
      <c r="H1301" s="6"/>
      <c r="I1301" s="44">
        <f>SUM(I1290:I1300)</f>
        <v>389</v>
      </c>
      <c r="J1301" s="44">
        <f t="shared" ref="J1301:L1301" si="442">SUM(J1290:J1300)</f>
        <v>10</v>
      </c>
      <c r="K1301" s="44">
        <f t="shared" si="442"/>
        <v>0</v>
      </c>
      <c r="L1301" s="45">
        <f t="shared" si="442"/>
        <v>399</v>
      </c>
    </row>
    <row r="1302" spans="1:12" x14ac:dyDescent="0.15">
      <c r="A1302" s="1"/>
      <c r="B1302" s="4" t="s">
        <v>25</v>
      </c>
      <c r="C1302" s="9">
        <v>1</v>
      </c>
      <c r="D1302" s="14">
        <v>2</v>
      </c>
      <c r="E1302" s="13"/>
      <c r="F1302" s="46">
        <f t="shared" ref="F1302:F1327" si="443">SUM(C1302:E1302)</f>
        <v>3</v>
      </c>
      <c r="G1302" s="74">
        <v>46170</v>
      </c>
      <c r="H1302" s="4"/>
      <c r="I1302" s="9"/>
      <c r="J1302" s="14"/>
      <c r="K1302" s="13"/>
      <c r="L1302" s="46">
        <f t="shared" ref="L1302:L1304" si="444">SUM(I1302:K1302)</f>
        <v>0</v>
      </c>
    </row>
    <row r="1303" spans="1:12" x14ac:dyDescent="0.15">
      <c r="B1303" s="4" t="s">
        <v>25</v>
      </c>
      <c r="C1303" s="9">
        <v>2</v>
      </c>
      <c r="D1303" s="14"/>
      <c r="E1303" s="13"/>
      <c r="F1303" s="46">
        <f t="shared" si="443"/>
        <v>2</v>
      </c>
      <c r="G1303" s="74">
        <v>46171</v>
      </c>
      <c r="H1303" s="4"/>
      <c r="I1303" s="9"/>
      <c r="J1303" s="14"/>
      <c r="K1303" s="13"/>
      <c r="L1303" s="46">
        <f t="shared" si="444"/>
        <v>0</v>
      </c>
    </row>
    <row r="1304" spans="1:12" x14ac:dyDescent="0.15">
      <c r="B1304" s="4" t="s">
        <v>25</v>
      </c>
      <c r="C1304" s="9">
        <v>3</v>
      </c>
      <c r="D1304" s="14">
        <v>4</v>
      </c>
      <c r="E1304" s="13"/>
      <c r="F1304" s="46">
        <f t="shared" si="443"/>
        <v>7</v>
      </c>
      <c r="G1304" s="74">
        <v>46174</v>
      </c>
      <c r="H1304" s="4"/>
      <c r="I1304" s="9"/>
      <c r="J1304" s="14"/>
      <c r="K1304" s="13"/>
      <c r="L1304" s="46">
        <f t="shared" si="444"/>
        <v>0</v>
      </c>
    </row>
    <row r="1305" spans="1:12" x14ac:dyDescent="0.15">
      <c r="B1305" s="4" t="s">
        <v>25</v>
      </c>
      <c r="C1305" s="9">
        <v>1</v>
      </c>
      <c r="D1305" s="14">
        <v>1</v>
      </c>
      <c r="E1305" s="13"/>
      <c r="F1305" s="46">
        <f t="shared" si="443"/>
        <v>2</v>
      </c>
      <c r="G1305" s="74">
        <v>46175</v>
      </c>
      <c r="H1305" s="4"/>
      <c r="I1305" s="9"/>
      <c r="J1305" s="14"/>
      <c r="K1305" s="13"/>
      <c r="L1305" s="46">
        <f t="shared" ref="L1305:L1325" si="445">SUM(I1305:K1305)</f>
        <v>0</v>
      </c>
    </row>
    <row r="1306" spans="1:12" x14ac:dyDescent="0.15">
      <c r="B1306" s="4" t="s">
        <v>25</v>
      </c>
      <c r="C1306" s="9">
        <v>2</v>
      </c>
      <c r="D1306" s="14"/>
      <c r="E1306" s="13"/>
      <c r="F1306" s="46">
        <f t="shared" si="443"/>
        <v>2</v>
      </c>
      <c r="G1306" s="73">
        <v>46177</v>
      </c>
      <c r="H1306" s="4"/>
      <c r="I1306" s="9"/>
      <c r="J1306" s="14"/>
      <c r="K1306" s="13"/>
      <c r="L1306" s="46">
        <f t="shared" si="445"/>
        <v>0</v>
      </c>
    </row>
    <row r="1307" spans="1:12" x14ac:dyDescent="0.15">
      <c r="B1307" s="4" t="s">
        <v>25</v>
      </c>
      <c r="C1307" s="9"/>
      <c r="D1307" s="14">
        <v>2</v>
      </c>
      <c r="E1307" s="13"/>
      <c r="F1307" s="46">
        <f t="shared" si="443"/>
        <v>2</v>
      </c>
      <c r="G1307" s="73">
        <v>46178</v>
      </c>
      <c r="H1307" s="4"/>
      <c r="I1307" s="9"/>
      <c r="J1307" s="14"/>
      <c r="K1307" s="13"/>
      <c r="L1307" s="46">
        <f t="shared" si="445"/>
        <v>0</v>
      </c>
    </row>
    <row r="1308" spans="1:12" x14ac:dyDescent="0.15">
      <c r="B1308" s="4" t="s">
        <v>25</v>
      </c>
      <c r="C1308" s="9">
        <v>7</v>
      </c>
      <c r="D1308" s="14">
        <v>6</v>
      </c>
      <c r="E1308" s="13"/>
      <c r="F1308" s="46">
        <f t="shared" si="443"/>
        <v>13</v>
      </c>
      <c r="G1308" s="73">
        <v>46181</v>
      </c>
      <c r="H1308" s="4"/>
      <c r="I1308" s="9"/>
      <c r="J1308" s="14"/>
      <c r="K1308" s="13"/>
      <c r="L1308" s="46">
        <f t="shared" si="445"/>
        <v>0</v>
      </c>
    </row>
    <row r="1309" spans="1:12" x14ac:dyDescent="0.15">
      <c r="B1309" s="4" t="s">
        <v>25</v>
      </c>
      <c r="C1309" s="9">
        <v>1</v>
      </c>
      <c r="D1309" s="14"/>
      <c r="E1309" s="13"/>
      <c r="F1309" s="46">
        <f t="shared" si="443"/>
        <v>1</v>
      </c>
      <c r="G1309" s="73">
        <v>46182</v>
      </c>
      <c r="H1309" s="4"/>
      <c r="I1309" s="9"/>
      <c r="J1309" s="14"/>
      <c r="K1309" s="13"/>
      <c r="L1309" s="46">
        <f t="shared" si="445"/>
        <v>0</v>
      </c>
    </row>
    <row r="1310" spans="1:12" x14ac:dyDescent="0.15">
      <c r="B1310" s="4" t="s">
        <v>25</v>
      </c>
      <c r="C1310" s="9"/>
      <c r="D1310" s="14">
        <v>3</v>
      </c>
      <c r="E1310" s="13"/>
      <c r="F1310" s="46">
        <f t="shared" si="443"/>
        <v>3</v>
      </c>
      <c r="G1310" s="73">
        <v>46183</v>
      </c>
      <c r="H1310" s="4"/>
      <c r="I1310" s="9"/>
      <c r="J1310" s="14"/>
      <c r="K1310" s="13"/>
      <c r="L1310" s="46">
        <f t="shared" si="445"/>
        <v>0</v>
      </c>
    </row>
    <row r="1311" spans="1:12" x14ac:dyDescent="0.15">
      <c r="B1311" s="4" t="s">
        <v>25</v>
      </c>
      <c r="C1311" s="9">
        <v>1</v>
      </c>
      <c r="D1311" s="14">
        <v>2</v>
      </c>
      <c r="E1311" s="13"/>
      <c r="F1311" s="46">
        <f t="shared" si="443"/>
        <v>3</v>
      </c>
      <c r="G1311" s="73">
        <v>46184</v>
      </c>
      <c r="H1311" s="4"/>
      <c r="I1311" s="9"/>
      <c r="J1311" s="14"/>
      <c r="K1311" s="13"/>
      <c r="L1311" s="46">
        <f t="shared" si="445"/>
        <v>0</v>
      </c>
    </row>
    <row r="1312" spans="1:12" x14ac:dyDescent="0.15">
      <c r="B1312" s="4" t="s">
        <v>25</v>
      </c>
      <c r="C1312" s="9">
        <v>5</v>
      </c>
      <c r="D1312" s="14">
        <v>3</v>
      </c>
      <c r="E1312" s="13"/>
      <c r="F1312" s="46">
        <f t="shared" si="443"/>
        <v>8</v>
      </c>
      <c r="G1312" s="74">
        <v>46188</v>
      </c>
      <c r="H1312" s="4"/>
      <c r="I1312" s="9"/>
      <c r="J1312" s="14"/>
      <c r="K1312" s="13"/>
      <c r="L1312" s="46">
        <f t="shared" si="445"/>
        <v>0</v>
      </c>
    </row>
    <row r="1313" spans="1:12" x14ac:dyDescent="0.15">
      <c r="B1313" s="4" t="s">
        <v>25</v>
      </c>
      <c r="C1313" s="9">
        <v>2</v>
      </c>
      <c r="D1313" s="14">
        <v>3</v>
      </c>
      <c r="E1313" s="13"/>
      <c r="F1313" s="46">
        <f t="shared" si="443"/>
        <v>5</v>
      </c>
      <c r="G1313" s="74">
        <v>46189</v>
      </c>
      <c r="H1313" s="4"/>
      <c r="I1313" s="9"/>
      <c r="J1313" s="14"/>
      <c r="K1313" s="13"/>
      <c r="L1313" s="46">
        <f t="shared" si="445"/>
        <v>0</v>
      </c>
    </row>
    <row r="1314" spans="1:12" x14ac:dyDescent="0.15">
      <c r="B1314" s="4" t="s">
        <v>25</v>
      </c>
      <c r="C1314" s="9">
        <v>1</v>
      </c>
      <c r="D1314" s="14">
        <v>1</v>
      </c>
      <c r="E1314" s="13"/>
      <c r="F1314" s="46">
        <f t="shared" si="443"/>
        <v>2</v>
      </c>
      <c r="G1314" s="74">
        <v>46190</v>
      </c>
      <c r="H1314" s="4"/>
      <c r="I1314" s="9"/>
      <c r="J1314" s="14"/>
      <c r="K1314" s="13"/>
      <c r="L1314" s="46">
        <f t="shared" si="445"/>
        <v>0</v>
      </c>
    </row>
    <row r="1315" spans="1:12" x14ac:dyDescent="0.15">
      <c r="B1315" s="4" t="s">
        <v>25</v>
      </c>
      <c r="C1315" s="9">
        <v>1</v>
      </c>
      <c r="D1315" s="14"/>
      <c r="E1315" s="13"/>
      <c r="F1315" s="46">
        <f t="shared" si="443"/>
        <v>1</v>
      </c>
      <c r="G1315" s="74">
        <v>46191</v>
      </c>
      <c r="H1315" s="4"/>
      <c r="I1315" s="9"/>
      <c r="J1315" s="14"/>
      <c r="K1315" s="13"/>
      <c r="L1315" s="46">
        <f t="shared" si="445"/>
        <v>0</v>
      </c>
    </row>
    <row r="1316" spans="1:12" x14ac:dyDescent="0.15">
      <c r="B1316" s="4"/>
      <c r="C1316" s="9"/>
      <c r="D1316" s="14"/>
      <c r="E1316" s="13"/>
      <c r="F1316" s="46">
        <f t="shared" si="443"/>
        <v>0</v>
      </c>
      <c r="G1316" s="74"/>
      <c r="H1316" s="4"/>
      <c r="I1316" s="9"/>
      <c r="J1316" s="14"/>
      <c r="K1316" s="13"/>
      <c r="L1316" s="46">
        <f t="shared" si="445"/>
        <v>0</v>
      </c>
    </row>
    <row r="1317" spans="1:12" x14ac:dyDescent="0.15">
      <c r="B1317" s="4"/>
      <c r="C1317" s="9"/>
      <c r="D1317" s="14"/>
      <c r="E1317" s="13"/>
      <c r="F1317" s="46">
        <f t="shared" si="443"/>
        <v>0</v>
      </c>
      <c r="G1317" s="74"/>
      <c r="H1317" s="4"/>
      <c r="I1317" s="9"/>
      <c r="J1317" s="14"/>
      <c r="K1317" s="13"/>
      <c r="L1317" s="46">
        <f t="shared" si="445"/>
        <v>0</v>
      </c>
    </row>
    <row r="1318" spans="1:12" x14ac:dyDescent="0.15">
      <c r="B1318" s="4"/>
      <c r="C1318" s="9"/>
      <c r="D1318" s="14"/>
      <c r="E1318" s="13"/>
      <c r="F1318" s="46">
        <f t="shared" si="443"/>
        <v>0</v>
      </c>
      <c r="G1318" s="74"/>
      <c r="H1318" s="4"/>
      <c r="I1318" s="9"/>
      <c r="J1318" s="14"/>
      <c r="K1318" s="13"/>
      <c r="L1318" s="46">
        <f t="shared" si="445"/>
        <v>0</v>
      </c>
    </row>
    <row r="1319" spans="1:12" x14ac:dyDescent="0.15">
      <c r="A1319" s="1"/>
      <c r="B1319" s="4"/>
      <c r="C1319" s="9"/>
      <c r="D1319" s="14"/>
      <c r="E1319" s="13"/>
      <c r="F1319" s="46">
        <f t="shared" si="443"/>
        <v>0</v>
      </c>
      <c r="G1319" s="74"/>
      <c r="H1319" s="4"/>
      <c r="I1319" s="9"/>
      <c r="J1319" s="14"/>
      <c r="K1319" s="13"/>
      <c r="L1319" s="46">
        <f t="shared" si="445"/>
        <v>0</v>
      </c>
    </row>
    <row r="1320" spans="1:12" x14ac:dyDescent="0.15">
      <c r="A1320" s="1"/>
      <c r="B1320" s="4"/>
      <c r="C1320" s="9"/>
      <c r="D1320" s="14"/>
      <c r="E1320" s="13"/>
      <c r="F1320" s="46">
        <f t="shared" si="443"/>
        <v>0</v>
      </c>
      <c r="G1320" s="74"/>
      <c r="H1320" s="4"/>
      <c r="I1320" s="9"/>
      <c r="J1320" s="14"/>
      <c r="K1320" s="13"/>
      <c r="L1320" s="46">
        <f t="shared" si="445"/>
        <v>0</v>
      </c>
    </row>
    <row r="1321" spans="1:12" x14ac:dyDescent="0.15">
      <c r="A1321" s="1"/>
      <c r="B1321" s="4"/>
      <c r="C1321" s="9"/>
      <c r="D1321" s="14"/>
      <c r="E1321" s="13"/>
      <c r="F1321" s="46">
        <f t="shared" si="443"/>
        <v>0</v>
      </c>
      <c r="G1321" s="74"/>
      <c r="H1321" s="4"/>
      <c r="I1321" s="9"/>
      <c r="J1321" s="14"/>
      <c r="K1321" s="13"/>
      <c r="L1321" s="46">
        <f t="shared" si="445"/>
        <v>0</v>
      </c>
    </row>
    <row r="1322" spans="1:12" x14ac:dyDescent="0.15">
      <c r="A1322" s="1"/>
      <c r="B1322" s="4"/>
      <c r="C1322" s="9"/>
      <c r="D1322" s="14"/>
      <c r="E1322" s="13"/>
      <c r="F1322" s="46">
        <f t="shared" si="443"/>
        <v>0</v>
      </c>
      <c r="G1322" s="74"/>
      <c r="H1322" s="4"/>
      <c r="I1322" s="9"/>
      <c r="J1322" s="14"/>
      <c r="K1322" s="13"/>
      <c r="L1322" s="46">
        <f t="shared" si="445"/>
        <v>0</v>
      </c>
    </row>
    <row r="1323" spans="1:12" x14ac:dyDescent="0.15">
      <c r="A1323" s="26"/>
      <c r="B1323" s="4"/>
      <c r="C1323" s="9"/>
      <c r="D1323" s="14"/>
      <c r="E1323" s="13"/>
      <c r="F1323" s="46">
        <f t="shared" si="443"/>
        <v>0</v>
      </c>
      <c r="G1323" s="74"/>
      <c r="H1323" s="4"/>
      <c r="I1323" s="9"/>
      <c r="J1323" s="14"/>
      <c r="K1323" s="13"/>
      <c r="L1323" s="46">
        <f t="shared" si="445"/>
        <v>0</v>
      </c>
    </row>
    <row r="1324" spans="1:12" x14ac:dyDescent="0.15">
      <c r="A1324" s="26"/>
      <c r="B1324" s="4"/>
      <c r="C1324" s="9"/>
      <c r="D1324" s="14"/>
      <c r="E1324" s="13"/>
      <c r="F1324" s="46">
        <f t="shared" si="443"/>
        <v>0</v>
      </c>
      <c r="G1324" s="74"/>
      <c r="H1324" s="4"/>
      <c r="I1324" s="9"/>
      <c r="J1324" s="14"/>
      <c r="K1324" s="13"/>
      <c r="L1324" s="46">
        <f t="shared" si="445"/>
        <v>0</v>
      </c>
    </row>
    <row r="1325" spans="1:12" ht="14.25" thickBot="1" x14ac:dyDescent="0.2">
      <c r="A1325" s="1"/>
      <c r="B1325" s="4"/>
      <c r="C1325" s="9"/>
      <c r="D1325" s="14"/>
      <c r="E1325" s="13"/>
      <c r="F1325" s="46">
        <f t="shared" si="443"/>
        <v>0</v>
      </c>
      <c r="G1325" s="74"/>
      <c r="H1325" s="4"/>
      <c r="I1325" s="9"/>
      <c r="J1325" s="14"/>
      <c r="K1325" s="13"/>
      <c r="L1325" s="46">
        <f t="shared" si="445"/>
        <v>0</v>
      </c>
    </row>
    <row r="1326" spans="1:12" ht="14.25" thickBot="1" x14ac:dyDescent="0.2">
      <c r="A1326" s="1"/>
      <c r="B1326" s="5" t="s">
        <v>9</v>
      </c>
      <c r="C1326" s="10">
        <f>SUM(C1302:C1325)</f>
        <v>27</v>
      </c>
      <c r="D1326" s="10">
        <f t="shared" ref="D1326:E1326" si="446">SUM(D1302:D1325)</f>
        <v>27</v>
      </c>
      <c r="E1326" s="76">
        <f t="shared" si="446"/>
        <v>0</v>
      </c>
      <c r="F1326" s="48">
        <f t="shared" si="443"/>
        <v>54</v>
      </c>
      <c r="G1326" s="1"/>
      <c r="H1326" s="5" t="s">
        <v>9</v>
      </c>
      <c r="I1326" s="10">
        <f>SUM(I1302:I1325)</f>
        <v>0</v>
      </c>
      <c r="J1326" s="10">
        <f t="shared" ref="J1326:L1326" si="447">SUM(J1302:J1325)</f>
        <v>0</v>
      </c>
      <c r="K1326" s="76">
        <f t="shared" si="447"/>
        <v>0</v>
      </c>
      <c r="L1326" s="48">
        <f t="shared" si="447"/>
        <v>0</v>
      </c>
    </row>
    <row r="1327" spans="1:12" ht="14.25" thickBot="1" x14ac:dyDescent="0.2">
      <c r="A1327" s="1"/>
      <c r="B1327" s="8" t="s">
        <v>10</v>
      </c>
      <c r="C1327" s="11">
        <f>C1301-C1326</f>
        <v>19</v>
      </c>
      <c r="D1327" s="11">
        <f t="shared" ref="D1327:E1327" si="448">D1301-D1326</f>
        <v>20</v>
      </c>
      <c r="E1327" s="77">
        <f t="shared" si="448"/>
        <v>0</v>
      </c>
      <c r="F1327" s="37">
        <f t="shared" si="443"/>
        <v>39</v>
      </c>
      <c r="G1327" s="1"/>
      <c r="H1327" s="8" t="s">
        <v>10</v>
      </c>
      <c r="I1327" s="11">
        <f>I1301-I1326</f>
        <v>389</v>
      </c>
      <c r="J1327" s="11">
        <f t="shared" ref="J1327:L1327" si="449">J1301-J1326</f>
        <v>10</v>
      </c>
      <c r="K1327" s="77">
        <f t="shared" si="449"/>
        <v>0</v>
      </c>
      <c r="L1327" s="37">
        <f t="shared" si="449"/>
        <v>399</v>
      </c>
    </row>
  </sheetData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yumehan2</dc:creator>
  <cp:lastModifiedBy>AT MR</cp:lastModifiedBy>
  <dcterms:created xsi:type="dcterms:W3CDTF">2019-10-23T02:44:32Z</dcterms:created>
  <dcterms:modified xsi:type="dcterms:W3CDTF">2026-06-18T05:36:24Z</dcterms:modified>
</cp:coreProperties>
</file>