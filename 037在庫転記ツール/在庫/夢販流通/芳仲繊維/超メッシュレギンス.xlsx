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Yhds220p\10_発注管理\夢販流通\芳仲繊維\"/>
    </mc:Choice>
  </mc:AlternateContent>
  <xr:revisionPtr revIDLastSave="0" documentId="13_ncr:1_{0433B5E1-BE57-4A4E-B0D1-3B3AD63ED04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ﾒｯｼｭﾚｷﾞﾝｽ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1223" i="1" l="1"/>
  <c r="W1309" i="1"/>
  <c r="T1309" i="1"/>
  <c r="Q1309" i="1"/>
  <c r="W1278" i="1"/>
  <c r="T1278" i="1"/>
  <c r="Q1278" i="1"/>
  <c r="X1260" i="1"/>
  <c r="W1260" i="1"/>
  <c r="T1260" i="1"/>
  <c r="Q1260" i="1"/>
  <c r="W1267" i="1"/>
  <c r="T1267" i="1"/>
  <c r="Q1267" i="1"/>
  <c r="O1223" i="1"/>
  <c r="T1218" i="1"/>
  <c r="R1223" i="1"/>
  <c r="S1223" i="1"/>
  <c r="S1224" i="1" s="1"/>
  <c r="T1301" i="1"/>
  <c r="U1223" i="1"/>
  <c r="V1223" i="1"/>
  <c r="Q1202" i="1"/>
  <c r="E1305" i="1"/>
  <c r="H1305" i="1"/>
  <c r="K1305" i="1"/>
  <c r="L1305" i="1"/>
  <c r="E1264" i="1"/>
  <c r="H1264" i="1"/>
  <c r="K1264" i="1"/>
  <c r="L1264" i="1"/>
  <c r="W1308" i="1"/>
  <c r="T1308" i="1"/>
  <c r="Q1308" i="1"/>
  <c r="K1306" i="1"/>
  <c r="J1306" i="1"/>
  <c r="I1306" i="1"/>
  <c r="G1306" i="1"/>
  <c r="F1306" i="1"/>
  <c r="H1306" i="1" s="1"/>
  <c r="D1306" i="1"/>
  <c r="C1306" i="1"/>
  <c r="K1304" i="1"/>
  <c r="H1304" i="1"/>
  <c r="E1304" i="1"/>
  <c r="L1304" i="1" s="1"/>
  <c r="K1303" i="1"/>
  <c r="H1303" i="1"/>
  <c r="E1303" i="1"/>
  <c r="L1303" i="1" s="1"/>
  <c r="K1302" i="1"/>
  <c r="H1302" i="1"/>
  <c r="E1302" i="1"/>
  <c r="L1302" i="1" s="1"/>
  <c r="K1301" i="1"/>
  <c r="H1301" i="1"/>
  <c r="E1301" i="1"/>
  <c r="L1301" i="1" s="1"/>
  <c r="K1300" i="1"/>
  <c r="H1300" i="1"/>
  <c r="E1300" i="1"/>
  <c r="L1300" i="1" s="1"/>
  <c r="K1299" i="1"/>
  <c r="H1299" i="1"/>
  <c r="E1299" i="1"/>
  <c r="L1299" i="1" s="1"/>
  <c r="K1298" i="1"/>
  <c r="H1298" i="1"/>
  <c r="E1298" i="1"/>
  <c r="L1298" i="1" s="1"/>
  <c r="K1297" i="1"/>
  <c r="H1297" i="1"/>
  <c r="E1297" i="1"/>
  <c r="L1297" i="1" s="1"/>
  <c r="K1296" i="1"/>
  <c r="H1296" i="1"/>
  <c r="E1296" i="1"/>
  <c r="L1296" i="1" s="1"/>
  <c r="K1295" i="1"/>
  <c r="H1295" i="1"/>
  <c r="E1295" i="1"/>
  <c r="L1295" i="1" s="1"/>
  <c r="K1294" i="1"/>
  <c r="H1294" i="1"/>
  <c r="E1294" i="1"/>
  <c r="L1294" i="1" s="1"/>
  <c r="K1293" i="1"/>
  <c r="H1293" i="1"/>
  <c r="E1293" i="1"/>
  <c r="L1293" i="1" s="1"/>
  <c r="K1292" i="1"/>
  <c r="H1292" i="1"/>
  <c r="E1292" i="1"/>
  <c r="L1292" i="1" s="1"/>
  <c r="K1291" i="1"/>
  <c r="H1291" i="1"/>
  <c r="E1291" i="1"/>
  <c r="L1291" i="1" s="1"/>
  <c r="K1290" i="1"/>
  <c r="H1290" i="1"/>
  <c r="E1290" i="1"/>
  <c r="L1290" i="1" s="1"/>
  <c r="K1289" i="1"/>
  <c r="H1289" i="1"/>
  <c r="E1289" i="1"/>
  <c r="L1289" i="1" s="1"/>
  <c r="K1288" i="1"/>
  <c r="H1288" i="1"/>
  <c r="E1288" i="1"/>
  <c r="L1288" i="1" s="1"/>
  <c r="K1287" i="1"/>
  <c r="H1287" i="1"/>
  <c r="E1287" i="1"/>
  <c r="L1287" i="1" s="1"/>
  <c r="K1286" i="1"/>
  <c r="H1286" i="1"/>
  <c r="E1286" i="1"/>
  <c r="L1286" i="1" s="1"/>
  <c r="K1285" i="1"/>
  <c r="H1285" i="1"/>
  <c r="E1285" i="1"/>
  <c r="L1285" i="1" s="1"/>
  <c r="K1284" i="1"/>
  <c r="H1284" i="1"/>
  <c r="E1284" i="1"/>
  <c r="L1284" i="1" s="1"/>
  <c r="K1283" i="1"/>
  <c r="H1283" i="1"/>
  <c r="E1283" i="1"/>
  <c r="L1283" i="1" s="1"/>
  <c r="K1282" i="1"/>
  <c r="H1282" i="1"/>
  <c r="E1282" i="1"/>
  <c r="L1282" i="1" s="1"/>
  <c r="K1281" i="1"/>
  <c r="H1281" i="1"/>
  <c r="E1281" i="1"/>
  <c r="L1281" i="1" s="1"/>
  <c r="K1279" i="1"/>
  <c r="L1279" i="1" s="1"/>
  <c r="H1279" i="1"/>
  <c r="E1279" i="1"/>
  <c r="K1278" i="1"/>
  <c r="L1278" i="1" s="1"/>
  <c r="H1278" i="1"/>
  <c r="E1278" i="1"/>
  <c r="K1277" i="1"/>
  <c r="L1277" i="1" s="1"/>
  <c r="H1277" i="1"/>
  <c r="E1277" i="1"/>
  <c r="K1276" i="1"/>
  <c r="L1276" i="1" s="1"/>
  <c r="H1276" i="1"/>
  <c r="E1276" i="1"/>
  <c r="K1275" i="1"/>
  <c r="L1275" i="1" s="1"/>
  <c r="H1275" i="1"/>
  <c r="E1275" i="1"/>
  <c r="Q1276" i="1"/>
  <c r="T1276" i="1"/>
  <c r="W1276" i="1"/>
  <c r="X1276" i="1"/>
  <c r="Q1277" i="1"/>
  <c r="T1277" i="1"/>
  <c r="W1277" i="1"/>
  <c r="X1277" i="1" s="1"/>
  <c r="Q1259" i="1"/>
  <c r="T1259" i="1"/>
  <c r="W1259" i="1"/>
  <c r="X1259" i="1"/>
  <c r="Q1261" i="1"/>
  <c r="T1261" i="1"/>
  <c r="W1261" i="1"/>
  <c r="X1261" i="1"/>
  <c r="Q1262" i="1"/>
  <c r="T1262" i="1"/>
  <c r="W1262" i="1"/>
  <c r="X1262" i="1"/>
  <c r="Q1263" i="1"/>
  <c r="T1263" i="1"/>
  <c r="W1263" i="1"/>
  <c r="X1263" i="1"/>
  <c r="Q1264" i="1"/>
  <c r="T1264" i="1"/>
  <c r="W1264" i="1"/>
  <c r="X1264" i="1"/>
  <c r="Q1300" i="1"/>
  <c r="T1300" i="1"/>
  <c r="W1300" i="1"/>
  <c r="Q1301" i="1"/>
  <c r="W1301" i="1"/>
  <c r="X1301" i="1"/>
  <c r="Q1302" i="1"/>
  <c r="T1302" i="1"/>
  <c r="W1302" i="1"/>
  <c r="Q1303" i="1"/>
  <c r="T1303" i="1"/>
  <c r="W1303" i="1"/>
  <c r="V1306" i="1"/>
  <c r="U1306" i="1"/>
  <c r="S1306" i="1"/>
  <c r="R1306" i="1"/>
  <c r="P1306" i="1"/>
  <c r="O1306" i="1"/>
  <c r="W1305" i="1"/>
  <c r="T1305" i="1"/>
  <c r="Q1305" i="1"/>
  <c r="X1305" i="1" s="1"/>
  <c r="W1304" i="1"/>
  <c r="T1304" i="1"/>
  <c r="Q1304" i="1"/>
  <c r="X1304" i="1" s="1"/>
  <c r="W1299" i="1"/>
  <c r="T1299" i="1"/>
  <c r="Q1299" i="1"/>
  <c r="X1299" i="1" s="1"/>
  <c r="W1298" i="1"/>
  <c r="T1298" i="1"/>
  <c r="Q1298" i="1"/>
  <c r="X1298" i="1" s="1"/>
  <c r="W1297" i="1"/>
  <c r="T1297" i="1"/>
  <c r="Q1297" i="1"/>
  <c r="X1297" i="1" s="1"/>
  <c r="W1296" i="1"/>
  <c r="T1296" i="1"/>
  <c r="Q1296" i="1"/>
  <c r="X1296" i="1" s="1"/>
  <c r="W1295" i="1"/>
  <c r="T1295" i="1"/>
  <c r="Q1295" i="1"/>
  <c r="X1295" i="1" s="1"/>
  <c r="W1294" i="1"/>
  <c r="T1294" i="1"/>
  <c r="Q1294" i="1"/>
  <c r="X1294" i="1" s="1"/>
  <c r="W1293" i="1"/>
  <c r="T1293" i="1"/>
  <c r="Q1293" i="1"/>
  <c r="X1293" i="1" s="1"/>
  <c r="W1292" i="1"/>
  <c r="T1292" i="1"/>
  <c r="Q1292" i="1"/>
  <c r="X1292" i="1" s="1"/>
  <c r="W1291" i="1"/>
  <c r="T1291" i="1"/>
  <c r="Q1291" i="1"/>
  <c r="X1291" i="1" s="1"/>
  <c r="W1290" i="1"/>
  <c r="T1290" i="1"/>
  <c r="Q1290" i="1"/>
  <c r="X1290" i="1" s="1"/>
  <c r="W1289" i="1"/>
  <c r="T1289" i="1"/>
  <c r="Q1289" i="1"/>
  <c r="X1289" i="1" s="1"/>
  <c r="W1288" i="1"/>
  <c r="T1288" i="1"/>
  <c r="Q1288" i="1"/>
  <c r="X1288" i="1" s="1"/>
  <c r="W1287" i="1"/>
  <c r="T1287" i="1"/>
  <c r="Q1287" i="1"/>
  <c r="X1287" i="1" s="1"/>
  <c r="W1286" i="1"/>
  <c r="T1286" i="1"/>
  <c r="Q1286" i="1"/>
  <c r="X1286" i="1" s="1"/>
  <c r="W1285" i="1"/>
  <c r="T1285" i="1"/>
  <c r="Q1285" i="1"/>
  <c r="X1285" i="1" s="1"/>
  <c r="W1284" i="1"/>
  <c r="T1284" i="1"/>
  <c r="Q1284" i="1"/>
  <c r="X1284" i="1" s="1"/>
  <c r="W1283" i="1"/>
  <c r="T1283" i="1"/>
  <c r="Q1283" i="1"/>
  <c r="X1283" i="1" s="1"/>
  <c r="W1282" i="1"/>
  <c r="T1282" i="1"/>
  <c r="Q1282" i="1"/>
  <c r="X1282" i="1" s="1"/>
  <c r="W1281" i="1"/>
  <c r="T1281" i="1"/>
  <c r="Q1281" i="1"/>
  <c r="X1281" i="1" s="1"/>
  <c r="W1279" i="1"/>
  <c r="T1279" i="1"/>
  <c r="Q1279" i="1"/>
  <c r="W1275" i="1"/>
  <c r="X1275" i="1" s="1"/>
  <c r="T1275" i="1"/>
  <c r="Q1275" i="1"/>
  <c r="Q1214" i="1"/>
  <c r="T1214" i="1"/>
  <c r="W1214" i="1"/>
  <c r="X1214" i="1"/>
  <c r="Q1215" i="1"/>
  <c r="T1215" i="1"/>
  <c r="W1215" i="1"/>
  <c r="X1215" i="1"/>
  <c r="Q1216" i="1"/>
  <c r="T1216" i="1"/>
  <c r="W1216" i="1"/>
  <c r="W1221" i="1"/>
  <c r="T1221" i="1"/>
  <c r="Q1221" i="1"/>
  <c r="W1220" i="1"/>
  <c r="T1220" i="1"/>
  <c r="Q1220" i="1"/>
  <c r="W1219" i="1"/>
  <c r="T1219" i="1"/>
  <c r="Q1219" i="1"/>
  <c r="Q1173" i="1"/>
  <c r="T1173" i="1"/>
  <c r="W1173" i="1"/>
  <c r="Q1174" i="1"/>
  <c r="T1174" i="1"/>
  <c r="W1174" i="1"/>
  <c r="X1174" i="1"/>
  <c r="Q1175" i="1"/>
  <c r="T1175" i="1"/>
  <c r="W1175" i="1"/>
  <c r="X1175" i="1"/>
  <c r="Q1176" i="1"/>
  <c r="T1176" i="1"/>
  <c r="W1176" i="1"/>
  <c r="X1176" i="1"/>
  <c r="W1182" i="1"/>
  <c r="T1182" i="1"/>
  <c r="Q1182" i="1"/>
  <c r="W1181" i="1"/>
  <c r="X1181" i="1" s="1"/>
  <c r="T1181" i="1"/>
  <c r="Q1181" i="1"/>
  <c r="W1218" i="1"/>
  <c r="Q1218" i="1"/>
  <c r="W1217" i="1"/>
  <c r="T1217" i="1"/>
  <c r="Q1217" i="1"/>
  <c r="T1168" i="1"/>
  <c r="Q1168" i="1"/>
  <c r="E1159" i="1"/>
  <c r="H1159" i="1"/>
  <c r="K1159" i="1"/>
  <c r="L1159" i="1" s="1"/>
  <c r="S1183" i="1"/>
  <c r="T1139" i="1"/>
  <c r="P1142" i="1"/>
  <c r="Q1091" i="1"/>
  <c r="X1091" i="1" s="1"/>
  <c r="T1091" i="1"/>
  <c r="W1091" i="1"/>
  <c r="W1130" i="1"/>
  <c r="X1130" i="1" s="1"/>
  <c r="T1130" i="1"/>
  <c r="Q1130" i="1"/>
  <c r="V1142" i="1"/>
  <c r="W1141" i="1"/>
  <c r="Q1125" i="1"/>
  <c r="W1137" i="1"/>
  <c r="T1137" i="1"/>
  <c r="Q1137" i="1"/>
  <c r="Q1056" i="1"/>
  <c r="X1056" i="1" s="1"/>
  <c r="T1056" i="1"/>
  <c r="W1056" i="1"/>
  <c r="Q1093" i="1"/>
  <c r="T1093" i="1"/>
  <c r="W1093" i="1"/>
  <c r="Q1092" i="1"/>
  <c r="T1092" i="1"/>
  <c r="X1092" i="1" s="1"/>
  <c r="W1092" i="1"/>
  <c r="Q1054" i="1"/>
  <c r="T1054" i="1"/>
  <c r="W1054" i="1"/>
  <c r="Q1055" i="1"/>
  <c r="T1055" i="1"/>
  <c r="W1055" i="1"/>
  <c r="X1055" i="1" s="1"/>
  <c r="W1077" i="1"/>
  <c r="T1077" i="1"/>
  <c r="Q1077" i="1"/>
  <c r="W1078" i="1"/>
  <c r="T1078" i="1"/>
  <c r="Q1078" i="1"/>
  <c r="Q1136" i="1"/>
  <c r="T1136" i="1"/>
  <c r="W1136" i="1"/>
  <c r="J1265" i="1"/>
  <c r="I1265" i="1"/>
  <c r="G1265" i="1"/>
  <c r="F1265" i="1"/>
  <c r="D1265" i="1"/>
  <c r="C1265" i="1"/>
  <c r="K1263" i="1"/>
  <c r="H1263" i="1"/>
  <c r="E1263" i="1"/>
  <c r="K1262" i="1"/>
  <c r="H1262" i="1"/>
  <c r="E1262" i="1"/>
  <c r="K1261" i="1"/>
  <c r="H1261" i="1"/>
  <c r="E1261" i="1"/>
  <c r="K1260" i="1"/>
  <c r="H1260" i="1"/>
  <c r="E1260" i="1"/>
  <c r="L1260" i="1" s="1"/>
  <c r="K1259" i="1"/>
  <c r="H1259" i="1"/>
  <c r="E1259" i="1"/>
  <c r="L1259" i="1" s="1"/>
  <c r="K1258" i="1"/>
  <c r="H1258" i="1"/>
  <c r="E1258" i="1"/>
  <c r="K1257" i="1"/>
  <c r="H1257" i="1"/>
  <c r="E1257" i="1"/>
  <c r="K1256" i="1"/>
  <c r="H1256" i="1"/>
  <c r="E1256" i="1"/>
  <c r="K1255" i="1"/>
  <c r="H1255" i="1"/>
  <c r="E1255" i="1"/>
  <c r="K1254" i="1"/>
  <c r="H1254" i="1"/>
  <c r="E1254" i="1"/>
  <c r="K1253" i="1"/>
  <c r="H1253" i="1"/>
  <c r="E1253" i="1"/>
  <c r="K1252" i="1"/>
  <c r="H1252" i="1"/>
  <c r="E1252" i="1"/>
  <c r="L1252" i="1" s="1"/>
  <c r="K1251" i="1"/>
  <c r="H1251" i="1"/>
  <c r="E1251" i="1"/>
  <c r="L1251" i="1" s="1"/>
  <c r="K1250" i="1"/>
  <c r="H1250" i="1"/>
  <c r="E1250" i="1"/>
  <c r="K1249" i="1"/>
  <c r="H1249" i="1"/>
  <c r="E1249" i="1"/>
  <c r="K1248" i="1"/>
  <c r="H1248" i="1"/>
  <c r="E1248" i="1"/>
  <c r="K1247" i="1"/>
  <c r="H1247" i="1"/>
  <c r="E1247" i="1"/>
  <c r="L1247" i="1" s="1"/>
  <c r="K1246" i="1"/>
  <c r="H1246" i="1"/>
  <c r="E1246" i="1"/>
  <c r="K1245" i="1"/>
  <c r="H1245" i="1"/>
  <c r="E1245" i="1"/>
  <c r="K1244" i="1"/>
  <c r="H1244" i="1"/>
  <c r="E1244" i="1"/>
  <c r="L1244" i="1" s="1"/>
  <c r="K1243" i="1"/>
  <c r="H1243" i="1"/>
  <c r="E1243" i="1"/>
  <c r="L1243" i="1" s="1"/>
  <c r="K1242" i="1"/>
  <c r="H1242" i="1"/>
  <c r="E1242" i="1"/>
  <c r="K1241" i="1"/>
  <c r="H1241" i="1"/>
  <c r="E1241" i="1"/>
  <c r="K1240" i="1"/>
  <c r="H1240" i="1"/>
  <c r="E1240" i="1"/>
  <c r="K1238" i="1"/>
  <c r="H1238" i="1"/>
  <c r="E1238" i="1"/>
  <c r="K1237" i="1"/>
  <c r="H1237" i="1"/>
  <c r="E1237" i="1"/>
  <c r="K1236" i="1"/>
  <c r="H1236" i="1"/>
  <c r="E1236" i="1"/>
  <c r="K1235" i="1"/>
  <c r="H1235" i="1"/>
  <c r="E1235" i="1"/>
  <c r="K1234" i="1"/>
  <c r="H1234" i="1"/>
  <c r="E1234" i="1"/>
  <c r="W1235" i="1"/>
  <c r="T1235" i="1"/>
  <c r="Q1235" i="1"/>
  <c r="W1223" i="1"/>
  <c r="Q1223" i="1"/>
  <c r="W1222" i="1"/>
  <c r="T1222" i="1"/>
  <c r="Q1222" i="1"/>
  <c r="Q1258" i="1"/>
  <c r="X1258" i="1" s="1"/>
  <c r="T1258" i="1"/>
  <c r="W1258" i="1"/>
  <c r="Q1236" i="1"/>
  <c r="T1236" i="1"/>
  <c r="W1236" i="1"/>
  <c r="V1265" i="1"/>
  <c r="S1265" i="1"/>
  <c r="R1265" i="1"/>
  <c r="P1265" i="1"/>
  <c r="O1265" i="1"/>
  <c r="U1265" i="1"/>
  <c r="W1257" i="1"/>
  <c r="T1257" i="1"/>
  <c r="Q1257" i="1"/>
  <c r="W1256" i="1"/>
  <c r="X1256" i="1" s="1"/>
  <c r="T1256" i="1"/>
  <c r="Q1256" i="1"/>
  <c r="W1255" i="1"/>
  <c r="T1255" i="1"/>
  <c r="Q1255" i="1"/>
  <c r="W1254" i="1"/>
  <c r="T1254" i="1"/>
  <c r="Q1254" i="1"/>
  <c r="W1253" i="1"/>
  <c r="T1253" i="1"/>
  <c r="Q1253" i="1"/>
  <c r="W1252" i="1"/>
  <c r="T1252" i="1"/>
  <c r="Q1252" i="1"/>
  <c r="W1251" i="1"/>
  <c r="T1251" i="1"/>
  <c r="Q1251" i="1"/>
  <c r="W1250" i="1"/>
  <c r="T1250" i="1"/>
  <c r="Q1250" i="1"/>
  <c r="W1249" i="1"/>
  <c r="T1249" i="1"/>
  <c r="Q1249" i="1"/>
  <c r="W1248" i="1"/>
  <c r="X1248" i="1" s="1"/>
  <c r="T1248" i="1"/>
  <c r="Q1248" i="1"/>
  <c r="W1247" i="1"/>
  <c r="T1247" i="1"/>
  <c r="Q1247" i="1"/>
  <c r="W1246" i="1"/>
  <c r="T1246" i="1"/>
  <c r="Q1246" i="1"/>
  <c r="W1245" i="1"/>
  <c r="T1245" i="1"/>
  <c r="Q1245" i="1"/>
  <c r="W1244" i="1"/>
  <c r="T1244" i="1"/>
  <c r="Q1244" i="1"/>
  <c r="W1243" i="1"/>
  <c r="T1243" i="1"/>
  <c r="Q1243" i="1"/>
  <c r="W1242" i="1"/>
  <c r="T1242" i="1"/>
  <c r="Q1242" i="1"/>
  <c r="W1241" i="1"/>
  <c r="T1241" i="1"/>
  <c r="Q1241" i="1"/>
  <c r="W1240" i="1"/>
  <c r="X1240" i="1" s="1"/>
  <c r="T1240" i="1"/>
  <c r="Q1240" i="1"/>
  <c r="W1238" i="1"/>
  <c r="T1238" i="1"/>
  <c r="Q1238" i="1"/>
  <c r="W1237" i="1"/>
  <c r="T1237" i="1"/>
  <c r="Q1237" i="1"/>
  <c r="W1234" i="1"/>
  <c r="T1234" i="1"/>
  <c r="Q1234" i="1"/>
  <c r="Q1071" i="1"/>
  <c r="T1071" i="1"/>
  <c r="W1071" i="1"/>
  <c r="W1112" i="1"/>
  <c r="T1112" i="1"/>
  <c r="Q1112" i="1"/>
  <c r="W1097" i="1"/>
  <c r="W1100" i="1"/>
  <c r="W1226" i="1"/>
  <c r="T1226" i="1"/>
  <c r="Q1226" i="1"/>
  <c r="Q1059" i="1"/>
  <c r="W1178" i="1"/>
  <c r="T1178" i="1"/>
  <c r="Q1178" i="1"/>
  <c r="W1177" i="1"/>
  <c r="T1177" i="1"/>
  <c r="Q1177" i="1"/>
  <c r="Q1094" i="1"/>
  <c r="T1094" i="1"/>
  <c r="W1094" i="1"/>
  <c r="Q1095" i="1"/>
  <c r="T1095" i="1"/>
  <c r="W1095" i="1"/>
  <c r="J1224" i="1"/>
  <c r="I1224" i="1"/>
  <c r="G1224" i="1"/>
  <c r="F1224" i="1"/>
  <c r="D1224" i="1"/>
  <c r="C1224" i="1"/>
  <c r="K1223" i="1"/>
  <c r="H1223" i="1"/>
  <c r="E1223" i="1"/>
  <c r="K1222" i="1"/>
  <c r="H1222" i="1"/>
  <c r="E1222" i="1"/>
  <c r="K1221" i="1"/>
  <c r="H1221" i="1"/>
  <c r="E1221" i="1"/>
  <c r="K1220" i="1"/>
  <c r="H1220" i="1"/>
  <c r="E1220" i="1"/>
  <c r="K1219" i="1"/>
  <c r="H1219" i="1"/>
  <c r="E1219" i="1"/>
  <c r="K1218" i="1"/>
  <c r="H1218" i="1"/>
  <c r="E1218" i="1"/>
  <c r="K1217" i="1"/>
  <c r="H1217" i="1"/>
  <c r="E1217" i="1"/>
  <c r="K1216" i="1"/>
  <c r="H1216" i="1"/>
  <c r="E1216" i="1"/>
  <c r="K1215" i="1"/>
  <c r="H1215" i="1"/>
  <c r="E1215" i="1"/>
  <c r="K1214" i="1"/>
  <c r="H1214" i="1"/>
  <c r="E1214" i="1"/>
  <c r="K1213" i="1"/>
  <c r="H1213" i="1"/>
  <c r="E1213" i="1"/>
  <c r="K1212" i="1"/>
  <c r="H1212" i="1"/>
  <c r="E1212" i="1"/>
  <c r="K1211" i="1"/>
  <c r="H1211" i="1"/>
  <c r="E1211" i="1"/>
  <c r="K1210" i="1"/>
  <c r="H1210" i="1"/>
  <c r="E1210" i="1"/>
  <c r="K1209" i="1"/>
  <c r="H1209" i="1"/>
  <c r="E1209" i="1"/>
  <c r="K1208" i="1"/>
  <c r="H1208" i="1"/>
  <c r="E1208" i="1"/>
  <c r="K1207" i="1"/>
  <c r="H1207" i="1"/>
  <c r="E1207" i="1"/>
  <c r="K1206" i="1"/>
  <c r="H1206" i="1"/>
  <c r="E1206" i="1"/>
  <c r="K1205" i="1"/>
  <c r="H1205" i="1"/>
  <c r="E1205" i="1"/>
  <c r="K1204" i="1"/>
  <c r="H1204" i="1"/>
  <c r="E1204" i="1"/>
  <c r="K1203" i="1"/>
  <c r="H1203" i="1"/>
  <c r="E1203" i="1"/>
  <c r="K1202" i="1"/>
  <c r="H1202" i="1"/>
  <c r="E1202" i="1"/>
  <c r="K1201" i="1"/>
  <c r="H1201" i="1"/>
  <c r="E1201" i="1"/>
  <c r="K1200" i="1"/>
  <c r="H1200" i="1"/>
  <c r="E1200" i="1"/>
  <c r="K1199" i="1"/>
  <c r="H1199" i="1"/>
  <c r="E1199" i="1"/>
  <c r="K1197" i="1"/>
  <c r="H1197" i="1"/>
  <c r="E1197" i="1"/>
  <c r="K1196" i="1"/>
  <c r="H1196" i="1"/>
  <c r="E1196" i="1"/>
  <c r="K1195" i="1"/>
  <c r="H1195" i="1"/>
  <c r="E1195" i="1"/>
  <c r="K1194" i="1"/>
  <c r="H1194" i="1"/>
  <c r="E1194" i="1"/>
  <c r="K1193" i="1"/>
  <c r="H1193" i="1"/>
  <c r="E1193" i="1"/>
  <c r="Q1134" i="1"/>
  <c r="T1134" i="1"/>
  <c r="W1134" i="1"/>
  <c r="Q1135" i="1"/>
  <c r="T1135" i="1"/>
  <c r="W1135" i="1"/>
  <c r="T1141" i="1"/>
  <c r="Q1141" i="1"/>
  <c r="W1140" i="1"/>
  <c r="T1140" i="1"/>
  <c r="Q1140" i="1"/>
  <c r="W1139" i="1"/>
  <c r="Q1139" i="1"/>
  <c r="W1138" i="1"/>
  <c r="T1138" i="1"/>
  <c r="Q1138" i="1"/>
  <c r="W1180" i="1"/>
  <c r="T1180" i="1"/>
  <c r="Q1180" i="1"/>
  <c r="W1179" i="1"/>
  <c r="T1179" i="1"/>
  <c r="Q1179" i="1"/>
  <c r="Q1154" i="1"/>
  <c r="T1154" i="1"/>
  <c r="W1154" i="1"/>
  <c r="Q1155" i="1"/>
  <c r="T1155" i="1"/>
  <c r="W1155" i="1"/>
  <c r="X1155" i="1" s="1"/>
  <c r="V1224" i="1"/>
  <c r="U1224" i="1"/>
  <c r="R1224" i="1"/>
  <c r="P1224" i="1"/>
  <c r="O1224" i="1"/>
  <c r="W1213" i="1"/>
  <c r="T1213" i="1"/>
  <c r="Q1213" i="1"/>
  <c r="W1212" i="1"/>
  <c r="T1212" i="1"/>
  <c r="Q1212" i="1"/>
  <c r="W1211" i="1"/>
  <c r="T1211" i="1"/>
  <c r="Q1211" i="1"/>
  <c r="W1210" i="1"/>
  <c r="T1210" i="1"/>
  <c r="Q1210" i="1"/>
  <c r="W1209" i="1"/>
  <c r="T1209" i="1"/>
  <c r="Q1209" i="1"/>
  <c r="W1208" i="1"/>
  <c r="T1208" i="1"/>
  <c r="Q1208" i="1"/>
  <c r="W1207" i="1"/>
  <c r="T1207" i="1"/>
  <c r="Q1207" i="1"/>
  <c r="W1206" i="1"/>
  <c r="T1206" i="1"/>
  <c r="Q1206" i="1"/>
  <c r="W1205" i="1"/>
  <c r="T1205" i="1"/>
  <c r="Q1205" i="1"/>
  <c r="W1204" i="1"/>
  <c r="T1204" i="1"/>
  <c r="Q1204" i="1"/>
  <c r="W1203" i="1"/>
  <c r="T1203" i="1"/>
  <c r="Q1203" i="1"/>
  <c r="W1202" i="1"/>
  <c r="T1202" i="1"/>
  <c r="W1201" i="1"/>
  <c r="T1201" i="1"/>
  <c r="Q1201" i="1"/>
  <c r="W1200" i="1"/>
  <c r="T1200" i="1"/>
  <c r="Q1200" i="1"/>
  <c r="W1199" i="1"/>
  <c r="T1199" i="1"/>
  <c r="Q1199" i="1"/>
  <c r="W1197" i="1"/>
  <c r="T1197" i="1"/>
  <c r="Q1197" i="1"/>
  <c r="W1196" i="1"/>
  <c r="T1196" i="1"/>
  <c r="Q1196" i="1"/>
  <c r="W1195" i="1"/>
  <c r="T1195" i="1"/>
  <c r="Q1195" i="1"/>
  <c r="W1194" i="1"/>
  <c r="T1194" i="1"/>
  <c r="Q1194" i="1"/>
  <c r="W1193" i="1"/>
  <c r="T1193" i="1"/>
  <c r="Q1193" i="1"/>
  <c r="W1059" i="1"/>
  <c r="W1058" i="1"/>
  <c r="T1058" i="1"/>
  <c r="Q1058" i="1"/>
  <c r="W1057" i="1"/>
  <c r="T1057" i="1"/>
  <c r="Q1057" i="1"/>
  <c r="W1098" i="1"/>
  <c r="T1098" i="1"/>
  <c r="Q1098" i="1"/>
  <c r="T1097" i="1"/>
  <c r="Q1097" i="1"/>
  <c r="W1096" i="1"/>
  <c r="T1096" i="1"/>
  <c r="Q1096" i="1"/>
  <c r="Q1050" i="1"/>
  <c r="T1050" i="1"/>
  <c r="W1050" i="1"/>
  <c r="Q1051" i="1"/>
  <c r="T1051" i="1"/>
  <c r="W1051" i="1"/>
  <c r="Q1052" i="1"/>
  <c r="T1052" i="1"/>
  <c r="W1052" i="1"/>
  <c r="Q1053" i="1"/>
  <c r="T1053" i="1"/>
  <c r="W1053" i="1"/>
  <c r="T1100" i="1"/>
  <c r="Q1100" i="1"/>
  <c r="W1099" i="1"/>
  <c r="T1099" i="1"/>
  <c r="Q1099" i="1"/>
  <c r="J1183" i="1"/>
  <c r="I1183" i="1"/>
  <c r="G1183" i="1"/>
  <c r="F1183" i="1"/>
  <c r="D1183" i="1"/>
  <c r="C1183" i="1"/>
  <c r="K1182" i="1"/>
  <c r="H1182" i="1"/>
  <c r="E1182" i="1"/>
  <c r="K1181" i="1"/>
  <c r="H1181" i="1"/>
  <c r="E1181" i="1"/>
  <c r="K1180" i="1"/>
  <c r="H1180" i="1"/>
  <c r="E1180" i="1"/>
  <c r="K1179" i="1"/>
  <c r="H1179" i="1"/>
  <c r="E1179" i="1"/>
  <c r="K1178" i="1"/>
  <c r="H1178" i="1"/>
  <c r="E1178" i="1"/>
  <c r="K1177" i="1"/>
  <c r="H1177" i="1"/>
  <c r="E1177" i="1"/>
  <c r="K1176" i="1"/>
  <c r="H1176" i="1"/>
  <c r="E1176" i="1"/>
  <c r="K1175" i="1"/>
  <c r="H1175" i="1"/>
  <c r="E1175" i="1"/>
  <c r="K1174" i="1"/>
  <c r="H1174" i="1"/>
  <c r="E1174" i="1"/>
  <c r="K1173" i="1"/>
  <c r="H1173" i="1"/>
  <c r="E1173" i="1"/>
  <c r="K1172" i="1"/>
  <c r="H1172" i="1"/>
  <c r="E1172" i="1"/>
  <c r="K1171" i="1"/>
  <c r="H1171" i="1"/>
  <c r="E1171" i="1"/>
  <c r="K1170" i="1"/>
  <c r="H1170" i="1"/>
  <c r="E1170" i="1"/>
  <c r="K1169" i="1"/>
  <c r="H1169" i="1"/>
  <c r="E1169" i="1"/>
  <c r="K1168" i="1"/>
  <c r="H1168" i="1"/>
  <c r="E1168" i="1"/>
  <c r="K1167" i="1"/>
  <c r="H1167" i="1"/>
  <c r="E1167" i="1"/>
  <c r="K1166" i="1"/>
  <c r="H1166" i="1"/>
  <c r="E1166" i="1"/>
  <c r="K1165" i="1"/>
  <c r="H1165" i="1"/>
  <c r="E1165" i="1"/>
  <c r="K1164" i="1"/>
  <c r="H1164" i="1"/>
  <c r="E1164" i="1"/>
  <c r="K1163" i="1"/>
  <c r="H1163" i="1"/>
  <c r="E1163" i="1"/>
  <c r="K1162" i="1"/>
  <c r="H1162" i="1"/>
  <c r="E1162" i="1"/>
  <c r="K1161" i="1"/>
  <c r="H1161" i="1"/>
  <c r="E1161" i="1"/>
  <c r="K1160" i="1"/>
  <c r="H1160" i="1"/>
  <c r="E1160" i="1"/>
  <c r="K1158" i="1"/>
  <c r="H1158" i="1"/>
  <c r="E1158" i="1"/>
  <c r="K1156" i="1"/>
  <c r="H1156" i="1"/>
  <c r="E1156" i="1"/>
  <c r="K1155" i="1"/>
  <c r="H1155" i="1"/>
  <c r="E1155" i="1"/>
  <c r="K1154" i="1"/>
  <c r="H1154" i="1"/>
  <c r="E1154" i="1"/>
  <c r="K1153" i="1"/>
  <c r="H1153" i="1"/>
  <c r="E1153" i="1"/>
  <c r="K1152" i="1"/>
  <c r="H1152" i="1"/>
  <c r="E1152" i="1"/>
  <c r="W1113" i="1"/>
  <c r="T1113" i="1"/>
  <c r="Q1113" i="1"/>
  <c r="V1183" i="1"/>
  <c r="U1183" i="1"/>
  <c r="R1183" i="1"/>
  <c r="P1183" i="1"/>
  <c r="O1183" i="1"/>
  <c r="W1172" i="1"/>
  <c r="T1172" i="1"/>
  <c r="Q1172" i="1"/>
  <c r="W1171" i="1"/>
  <c r="T1171" i="1"/>
  <c r="Q1171" i="1"/>
  <c r="W1170" i="1"/>
  <c r="T1170" i="1"/>
  <c r="Q1170" i="1"/>
  <c r="W1169" i="1"/>
  <c r="T1169" i="1"/>
  <c r="Q1169" i="1"/>
  <c r="W1168" i="1"/>
  <c r="W1167" i="1"/>
  <c r="T1167" i="1"/>
  <c r="Q1167" i="1"/>
  <c r="W1166" i="1"/>
  <c r="T1166" i="1"/>
  <c r="Q1166" i="1"/>
  <c r="W1165" i="1"/>
  <c r="T1165" i="1"/>
  <c r="Q1165" i="1"/>
  <c r="W1164" i="1"/>
  <c r="T1164" i="1"/>
  <c r="Q1164" i="1"/>
  <c r="W1163" i="1"/>
  <c r="T1163" i="1"/>
  <c r="Q1163" i="1"/>
  <c r="W1162" i="1"/>
  <c r="T1162" i="1"/>
  <c r="Q1162" i="1"/>
  <c r="W1161" i="1"/>
  <c r="T1161" i="1"/>
  <c r="Q1161" i="1"/>
  <c r="W1160" i="1"/>
  <c r="T1160" i="1"/>
  <c r="Q1160" i="1"/>
  <c r="W1159" i="1"/>
  <c r="T1159" i="1"/>
  <c r="Q1159" i="1"/>
  <c r="W1158" i="1"/>
  <c r="T1158" i="1"/>
  <c r="Q1158" i="1"/>
  <c r="W1156" i="1"/>
  <c r="T1156" i="1"/>
  <c r="Q1156" i="1"/>
  <c r="W1153" i="1"/>
  <c r="T1153" i="1"/>
  <c r="Q1153" i="1"/>
  <c r="W1152" i="1"/>
  <c r="T1152" i="1"/>
  <c r="Q1152" i="1"/>
  <c r="J1142" i="1"/>
  <c r="I1142" i="1"/>
  <c r="K1142" i="1" s="1"/>
  <c r="G1142" i="1"/>
  <c r="F1142" i="1"/>
  <c r="D1142" i="1"/>
  <c r="C1142" i="1"/>
  <c r="K1141" i="1"/>
  <c r="H1141" i="1"/>
  <c r="E1141" i="1"/>
  <c r="K1140" i="1"/>
  <c r="H1140" i="1"/>
  <c r="E1140" i="1"/>
  <c r="K1139" i="1"/>
  <c r="H1139" i="1"/>
  <c r="E1139" i="1"/>
  <c r="K1138" i="1"/>
  <c r="H1138" i="1"/>
  <c r="E1138" i="1"/>
  <c r="K1137" i="1"/>
  <c r="H1137" i="1"/>
  <c r="E1137" i="1"/>
  <c r="K1136" i="1"/>
  <c r="H1136" i="1"/>
  <c r="E1136" i="1"/>
  <c r="K1135" i="1"/>
  <c r="H1135" i="1"/>
  <c r="E1135" i="1"/>
  <c r="K1134" i="1"/>
  <c r="H1134" i="1"/>
  <c r="E1134" i="1"/>
  <c r="K1133" i="1"/>
  <c r="H1133" i="1"/>
  <c r="E1133" i="1"/>
  <c r="K1132" i="1"/>
  <c r="H1132" i="1"/>
  <c r="E1132" i="1"/>
  <c r="K1131" i="1"/>
  <c r="H1131" i="1"/>
  <c r="E1131" i="1"/>
  <c r="K1130" i="1"/>
  <c r="H1130" i="1"/>
  <c r="E1130" i="1"/>
  <c r="K1129" i="1"/>
  <c r="H1129" i="1"/>
  <c r="E1129" i="1"/>
  <c r="K1128" i="1"/>
  <c r="H1128" i="1"/>
  <c r="E1128" i="1"/>
  <c r="K1127" i="1"/>
  <c r="H1127" i="1"/>
  <c r="E1127" i="1"/>
  <c r="K1126" i="1"/>
  <c r="H1126" i="1"/>
  <c r="E1126" i="1"/>
  <c r="K1125" i="1"/>
  <c r="H1125" i="1"/>
  <c r="E1125" i="1"/>
  <c r="K1124" i="1"/>
  <c r="H1124" i="1"/>
  <c r="E1124" i="1"/>
  <c r="K1123" i="1"/>
  <c r="H1123" i="1"/>
  <c r="E1123" i="1"/>
  <c r="K1122" i="1"/>
  <c r="H1122" i="1"/>
  <c r="E1122" i="1"/>
  <c r="K1121" i="1"/>
  <c r="H1121" i="1"/>
  <c r="E1121" i="1"/>
  <c r="K1120" i="1"/>
  <c r="H1120" i="1"/>
  <c r="E1120" i="1"/>
  <c r="K1119" i="1"/>
  <c r="H1119" i="1"/>
  <c r="E1119" i="1"/>
  <c r="K1118" i="1"/>
  <c r="H1118" i="1"/>
  <c r="E1118" i="1"/>
  <c r="K1117" i="1"/>
  <c r="H1117" i="1"/>
  <c r="E1117" i="1"/>
  <c r="K1115" i="1"/>
  <c r="H1115" i="1"/>
  <c r="E1115" i="1"/>
  <c r="K1114" i="1"/>
  <c r="H1114" i="1"/>
  <c r="E1114" i="1"/>
  <c r="K1113" i="1"/>
  <c r="H1113" i="1"/>
  <c r="E1113" i="1"/>
  <c r="K1112" i="1"/>
  <c r="H1112" i="1"/>
  <c r="E1112" i="1"/>
  <c r="K1111" i="1"/>
  <c r="H1111" i="1"/>
  <c r="E1111" i="1"/>
  <c r="Q1072" i="1"/>
  <c r="T1072" i="1"/>
  <c r="W1072" i="1"/>
  <c r="S1142" i="1"/>
  <c r="O1142" i="1"/>
  <c r="W1133" i="1"/>
  <c r="T1133" i="1"/>
  <c r="Q1133" i="1"/>
  <c r="W1132" i="1"/>
  <c r="T1132" i="1"/>
  <c r="Q1132" i="1"/>
  <c r="W1131" i="1"/>
  <c r="T1131" i="1"/>
  <c r="Q1131" i="1"/>
  <c r="W1129" i="1"/>
  <c r="T1129" i="1"/>
  <c r="Q1129" i="1"/>
  <c r="W1128" i="1"/>
  <c r="T1128" i="1"/>
  <c r="Q1128" i="1"/>
  <c r="W1127" i="1"/>
  <c r="T1127" i="1"/>
  <c r="Q1127" i="1"/>
  <c r="W1126" i="1"/>
  <c r="T1126" i="1"/>
  <c r="Q1126" i="1"/>
  <c r="W1125" i="1"/>
  <c r="T1125" i="1"/>
  <c r="W1124" i="1"/>
  <c r="T1124" i="1"/>
  <c r="Q1124" i="1"/>
  <c r="W1123" i="1"/>
  <c r="T1123" i="1"/>
  <c r="Q1123" i="1"/>
  <c r="W1122" i="1"/>
  <c r="T1122" i="1"/>
  <c r="Q1122" i="1"/>
  <c r="W1121" i="1"/>
  <c r="T1121" i="1"/>
  <c r="Q1121" i="1"/>
  <c r="W1120" i="1"/>
  <c r="T1120" i="1"/>
  <c r="Q1120" i="1"/>
  <c r="W1119" i="1"/>
  <c r="T1119" i="1"/>
  <c r="Q1119" i="1"/>
  <c r="W1118" i="1"/>
  <c r="T1118" i="1"/>
  <c r="Q1118" i="1"/>
  <c r="W1117" i="1"/>
  <c r="T1117" i="1"/>
  <c r="Q1117" i="1"/>
  <c r="W1115" i="1"/>
  <c r="T1115" i="1"/>
  <c r="Q1115" i="1"/>
  <c r="W1114" i="1"/>
  <c r="T1114" i="1"/>
  <c r="Q1114" i="1"/>
  <c r="W1111" i="1"/>
  <c r="T1111" i="1"/>
  <c r="Q1111" i="1"/>
  <c r="J1101" i="1"/>
  <c r="I1101" i="1"/>
  <c r="G1101" i="1"/>
  <c r="F1101" i="1"/>
  <c r="D1101" i="1"/>
  <c r="C1101" i="1"/>
  <c r="K1100" i="1"/>
  <c r="H1100" i="1"/>
  <c r="E1100" i="1"/>
  <c r="K1099" i="1"/>
  <c r="H1099" i="1"/>
  <c r="E1099" i="1"/>
  <c r="K1098" i="1"/>
  <c r="H1098" i="1"/>
  <c r="E1098" i="1"/>
  <c r="K1097" i="1"/>
  <c r="H1097" i="1"/>
  <c r="E1097" i="1"/>
  <c r="K1096" i="1"/>
  <c r="H1096" i="1"/>
  <c r="E1096" i="1"/>
  <c r="K1095" i="1"/>
  <c r="H1095" i="1"/>
  <c r="E1095" i="1"/>
  <c r="K1094" i="1"/>
  <c r="H1094" i="1"/>
  <c r="E1094" i="1"/>
  <c r="K1093" i="1"/>
  <c r="H1093" i="1"/>
  <c r="E1093" i="1"/>
  <c r="K1092" i="1"/>
  <c r="H1092" i="1"/>
  <c r="E1092" i="1"/>
  <c r="K1091" i="1"/>
  <c r="H1091" i="1"/>
  <c r="E1091" i="1"/>
  <c r="K1090" i="1"/>
  <c r="H1090" i="1"/>
  <c r="E1090" i="1"/>
  <c r="K1089" i="1"/>
  <c r="H1089" i="1"/>
  <c r="E1089" i="1"/>
  <c r="K1088" i="1"/>
  <c r="H1088" i="1"/>
  <c r="E1088" i="1"/>
  <c r="K1087" i="1"/>
  <c r="H1087" i="1"/>
  <c r="E1087" i="1"/>
  <c r="K1086" i="1"/>
  <c r="H1086" i="1"/>
  <c r="E1086" i="1"/>
  <c r="K1085" i="1"/>
  <c r="H1085" i="1"/>
  <c r="E1085" i="1"/>
  <c r="K1084" i="1"/>
  <c r="H1084" i="1"/>
  <c r="E1084" i="1"/>
  <c r="K1083" i="1"/>
  <c r="H1083" i="1"/>
  <c r="E1083" i="1"/>
  <c r="K1082" i="1"/>
  <c r="H1082" i="1"/>
  <c r="E1082" i="1"/>
  <c r="K1081" i="1"/>
  <c r="H1081" i="1"/>
  <c r="E1081" i="1"/>
  <c r="K1080" i="1"/>
  <c r="H1080" i="1"/>
  <c r="E1080" i="1"/>
  <c r="K1079" i="1"/>
  <c r="H1079" i="1"/>
  <c r="E1079" i="1"/>
  <c r="K1078" i="1"/>
  <c r="H1078" i="1"/>
  <c r="E1078" i="1"/>
  <c r="K1077" i="1"/>
  <c r="H1077" i="1"/>
  <c r="E1077" i="1"/>
  <c r="K1076" i="1"/>
  <c r="H1076" i="1"/>
  <c r="E1076" i="1"/>
  <c r="K1074" i="1"/>
  <c r="H1074" i="1"/>
  <c r="E1074" i="1"/>
  <c r="K1073" i="1"/>
  <c r="H1073" i="1"/>
  <c r="E1073" i="1"/>
  <c r="K1072" i="1"/>
  <c r="H1072" i="1"/>
  <c r="E1072" i="1"/>
  <c r="K1071" i="1"/>
  <c r="H1071" i="1"/>
  <c r="E1071" i="1"/>
  <c r="K1070" i="1"/>
  <c r="H1070" i="1"/>
  <c r="E1070" i="1"/>
  <c r="Q1030" i="1"/>
  <c r="T1030" i="1"/>
  <c r="W1030" i="1"/>
  <c r="Q1031" i="1"/>
  <c r="T1031" i="1"/>
  <c r="W1031" i="1"/>
  <c r="Q1032" i="1"/>
  <c r="T1032" i="1"/>
  <c r="W1032" i="1"/>
  <c r="V1101" i="1"/>
  <c r="S1101" i="1"/>
  <c r="R1101" i="1"/>
  <c r="P1101" i="1"/>
  <c r="O1101" i="1"/>
  <c r="W1090" i="1"/>
  <c r="T1090" i="1"/>
  <c r="Q1090" i="1"/>
  <c r="W1089" i="1"/>
  <c r="T1089" i="1"/>
  <c r="Q1089" i="1"/>
  <c r="W1088" i="1"/>
  <c r="T1088" i="1"/>
  <c r="Q1088" i="1"/>
  <c r="W1087" i="1"/>
  <c r="T1087" i="1"/>
  <c r="Q1087" i="1"/>
  <c r="W1086" i="1"/>
  <c r="T1086" i="1"/>
  <c r="Q1086" i="1"/>
  <c r="W1085" i="1"/>
  <c r="T1085" i="1"/>
  <c r="Q1085" i="1"/>
  <c r="W1084" i="1"/>
  <c r="T1084" i="1"/>
  <c r="Q1084" i="1"/>
  <c r="W1083" i="1"/>
  <c r="T1083" i="1"/>
  <c r="Q1083" i="1"/>
  <c r="W1082" i="1"/>
  <c r="T1082" i="1"/>
  <c r="Q1082" i="1"/>
  <c r="W1081" i="1"/>
  <c r="T1081" i="1"/>
  <c r="Q1081" i="1"/>
  <c r="W1080" i="1"/>
  <c r="X1080" i="1" s="1"/>
  <c r="T1080" i="1"/>
  <c r="Q1080" i="1"/>
  <c r="W1079" i="1"/>
  <c r="T1079" i="1"/>
  <c r="Q1079" i="1"/>
  <c r="W1076" i="1"/>
  <c r="T1076" i="1"/>
  <c r="Q1076" i="1"/>
  <c r="W1074" i="1"/>
  <c r="T1074" i="1"/>
  <c r="Q1074" i="1"/>
  <c r="W1073" i="1"/>
  <c r="T1073" i="1"/>
  <c r="Q1073" i="1"/>
  <c r="W1070" i="1"/>
  <c r="T1070" i="1"/>
  <c r="Q1070" i="1"/>
  <c r="AI1076" i="1"/>
  <c r="AB1063" i="1"/>
  <c r="AE1063" i="1"/>
  <c r="AE1065" i="1" s="1"/>
  <c r="AH1063" i="1"/>
  <c r="AB1064" i="1"/>
  <c r="AE1064" i="1"/>
  <c r="AH1064" i="1"/>
  <c r="Z1065" i="1"/>
  <c r="AA1065" i="1"/>
  <c r="AC1065" i="1"/>
  <c r="AD1065" i="1"/>
  <c r="AF1065" i="1"/>
  <c r="AG1065" i="1"/>
  <c r="AB1068" i="1"/>
  <c r="AE1068" i="1"/>
  <c r="AH1068" i="1"/>
  <c r="AB1069" i="1"/>
  <c r="AE1069" i="1"/>
  <c r="AH1069" i="1"/>
  <c r="Z1070" i="1"/>
  <c r="AA1070" i="1"/>
  <c r="AC1070" i="1"/>
  <c r="AD1070" i="1"/>
  <c r="AF1070" i="1"/>
  <c r="AG1070" i="1"/>
  <c r="AB1072" i="1"/>
  <c r="AE1072" i="1"/>
  <c r="AH1072" i="1"/>
  <c r="AB1074" i="1"/>
  <c r="AE1074" i="1"/>
  <c r="AH1074" i="1"/>
  <c r="E1029" i="1"/>
  <c r="H1029" i="1"/>
  <c r="K1029" i="1"/>
  <c r="E1030" i="1"/>
  <c r="H1030" i="1"/>
  <c r="K1030" i="1"/>
  <c r="E1035" i="1"/>
  <c r="H1035" i="1"/>
  <c r="K1035" i="1"/>
  <c r="E1036" i="1"/>
  <c r="H1036" i="1"/>
  <c r="K1036" i="1"/>
  <c r="E1037" i="1"/>
  <c r="H1037" i="1"/>
  <c r="K1037" i="1"/>
  <c r="E1038" i="1"/>
  <c r="H1038" i="1"/>
  <c r="K1038" i="1"/>
  <c r="E1039" i="1"/>
  <c r="H1039" i="1"/>
  <c r="K1039" i="1"/>
  <c r="E1040" i="1"/>
  <c r="H1040" i="1"/>
  <c r="K1040" i="1"/>
  <c r="E1041" i="1"/>
  <c r="H1041" i="1"/>
  <c r="K1041" i="1"/>
  <c r="E1042" i="1"/>
  <c r="H1042" i="1"/>
  <c r="K1042" i="1"/>
  <c r="E1043" i="1"/>
  <c r="H1043" i="1"/>
  <c r="K1043" i="1"/>
  <c r="Q1029" i="1"/>
  <c r="T1029" i="1"/>
  <c r="W1029" i="1"/>
  <c r="V1060" i="1"/>
  <c r="U1060" i="1"/>
  <c r="R1060" i="1"/>
  <c r="P1060" i="1"/>
  <c r="J1060" i="1"/>
  <c r="I1060" i="1"/>
  <c r="G1060" i="1"/>
  <c r="F1060" i="1"/>
  <c r="D1060" i="1"/>
  <c r="C1060" i="1"/>
  <c r="K1059" i="1"/>
  <c r="H1059" i="1"/>
  <c r="E1059" i="1"/>
  <c r="K1058" i="1"/>
  <c r="H1058" i="1"/>
  <c r="E1058" i="1"/>
  <c r="K1057" i="1"/>
  <c r="H1057" i="1"/>
  <c r="E1057" i="1"/>
  <c r="K1056" i="1"/>
  <c r="H1056" i="1"/>
  <c r="E1056" i="1"/>
  <c r="K1055" i="1"/>
  <c r="H1055" i="1"/>
  <c r="E1055" i="1"/>
  <c r="K1054" i="1"/>
  <c r="H1054" i="1"/>
  <c r="E1054" i="1"/>
  <c r="K1053" i="1"/>
  <c r="H1053" i="1"/>
  <c r="E1053" i="1"/>
  <c r="K1052" i="1"/>
  <c r="H1052" i="1"/>
  <c r="E1052" i="1"/>
  <c r="K1051" i="1"/>
  <c r="H1051" i="1"/>
  <c r="E1051" i="1"/>
  <c r="K1050" i="1"/>
  <c r="H1050" i="1"/>
  <c r="E1050" i="1"/>
  <c r="W1049" i="1"/>
  <c r="T1049" i="1"/>
  <c r="Q1049" i="1"/>
  <c r="K1049" i="1"/>
  <c r="H1049" i="1"/>
  <c r="E1049" i="1"/>
  <c r="W1048" i="1"/>
  <c r="T1048" i="1"/>
  <c r="Q1048" i="1"/>
  <c r="K1048" i="1"/>
  <c r="H1048" i="1"/>
  <c r="E1048" i="1"/>
  <c r="W1047" i="1"/>
  <c r="T1047" i="1"/>
  <c r="Q1047" i="1"/>
  <c r="K1047" i="1"/>
  <c r="H1047" i="1"/>
  <c r="E1047" i="1"/>
  <c r="W1046" i="1"/>
  <c r="T1046" i="1"/>
  <c r="Q1046" i="1"/>
  <c r="K1046" i="1"/>
  <c r="H1046" i="1"/>
  <c r="E1046" i="1"/>
  <c r="W1045" i="1"/>
  <c r="T1045" i="1"/>
  <c r="Q1045" i="1"/>
  <c r="K1045" i="1"/>
  <c r="H1045" i="1"/>
  <c r="E1045" i="1"/>
  <c r="W1044" i="1"/>
  <c r="T1044" i="1"/>
  <c r="Q1044" i="1"/>
  <c r="K1044" i="1"/>
  <c r="H1044" i="1"/>
  <c r="E1044" i="1"/>
  <c r="W1043" i="1"/>
  <c r="T1043" i="1"/>
  <c r="Q1043" i="1"/>
  <c r="W1042" i="1"/>
  <c r="T1042" i="1"/>
  <c r="Q1042" i="1"/>
  <c r="W1041" i="1"/>
  <c r="T1041" i="1"/>
  <c r="Q1041" i="1"/>
  <c r="W1040" i="1"/>
  <c r="T1040" i="1"/>
  <c r="Q1040" i="1"/>
  <c r="W1039" i="1"/>
  <c r="T1039" i="1"/>
  <c r="Q1039" i="1"/>
  <c r="W1038" i="1"/>
  <c r="T1038" i="1"/>
  <c r="Q1038" i="1"/>
  <c r="W1037" i="1"/>
  <c r="T1037" i="1"/>
  <c r="Q1037" i="1"/>
  <c r="W1036" i="1"/>
  <c r="T1036" i="1"/>
  <c r="Q1036" i="1"/>
  <c r="W1035" i="1"/>
  <c r="T1035" i="1"/>
  <c r="Q1035" i="1"/>
  <c r="W1033" i="1"/>
  <c r="T1033" i="1"/>
  <c r="Q1033" i="1"/>
  <c r="K1033" i="1"/>
  <c r="H1033" i="1"/>
  <c r="E1033" i="1"/>
  <c r="K1032" i="1"/>
  <c r="H1032" i="1"/>
  <c r="E1032" i="1"/>
  <c r="K1031" i="1"/>
  <c r="H1031" i="1"/>
  <c r="E1031" i="1"/>
  <c r="Q949" i="1"/>
  <c r="T949" i="1"/>
  <c r="W949" i="1"/>
  <c r="Q950" i="1"/>
  <c r="T950" i="1"/>
  <c r="W950" i="1"/>
  <c r="Q951" i="1"/>
  <c r="T951" i="1"/>
  <c r="W951" i="1"/>
  <c r="Q990" i="1"/>
  <c r="T990" i="1"/>
  <c r="W990" i="1"/>
  <c r="Q991" i="1"/>
  <c r="T991" i="1"/>
  <c r="W991" i="1"/>
  <c r="Q992" i="1"/>
  <c r="T992" i="1"/>
  <c r="W992" i="1"/>
  <c r="Q994" i="1"/>
  <c r="T994" i="1"/>
  <c r="W994" i="1"/>
  <c r="Q995" i="1"/>
  <c r="T995" i="1"/>
  <c r="W995" i="1"/>
  <c r="V1019" i="1"/>
  <c r="U1019" i="1"/>
  <c r="S1019" i="1"/>
  <c r="R1019" i="1"/>
  <c r="P1019" i="1"/>
  <c r="O1019" i="1"/>
  <c r="J1019" i="1"/>
  <c r="I1019" i="1"/>
  <c r="G1019" i="1"/>
  <c r="F1019" i="1"/>
  <c r="D1019" i="1"/>
  <c r="C1019" i="1"/>
  <c r="W1018" i="1"/>
  <c r="T1018" i="1"/>
  <c r="Q1018" i="1"/>
  <c r="K1018" i="1"/>
  <c r="H1018" i="1"/>
  <c r="E1018" i="1"/>
  <c r="W1017" i="1"/>
  <c r="T1017" i="1"/>
  <c r="Q1017" i="1"/>
  <c r="K1017" i="1"/>
  <c r="H1017" i="1"/>
  <c r="E1017" i="1"/>
  <c r="W1016" i="1"/>
  <c r="T1016" i="1"/>
  <c r="Q1016" i="1"/>
  <c r="K1016" i="1"/>
  <c r="H1016" i="1"/>
  <c r="E1016" i="1"/>
  <c r="W1015" i="1"/>
  <c r="T1015" i="1"/>
  <c r="Q1015" i="1"/>
  <c r="K1015" i="1"/>
  <c r="H1015" i="1"/>
  <c r="E1015" i="1"/>
  <c r="W1014" i="1"/>
  <c r="T1014" i="1"/>
  <c r="Q1014" i="1"/>
  <c r="K1014" i="1"/>
  <c r="H1014" i="1"/>
  <c r="E1014" i="1"/>
  <c r="W1013" i="1"/>
  <c r="T1013" i="1"/>
  <c r="Q1013" i="1"/>
  <c r="K1013" i="1"/>
  <c r="H1013" i="1"/>
  <c r="E1013" i="1"/>
  <c r="W1012" i="1"/>
  <c r="T1012" i="1"/>
  <c r="Q1012" i="1"/>
  <c r="K1012" i="1"/>
  <c r="H1012" i="1"/>
  <c r="E1012" i="1"/>
  <c r="W1011" i="1"/>
  <c r="T1011" i="1"/>
  <c r="Q1011" i="1"/>
  <c r="K1011" i="1"/>
  <c r="H1011" i="1"/>
  <c r="E1011" i="1"/>
  <c r="W1010" i="1"/>
  <c r="T1010" i="1"/>
  <c r="Q1010" i="1"/>
  <c r="K1010" i="1"/>
  <c r="H1010" i="1"/>
  <c r="E1010" i="1"/>
  <c r="W1009" i="1"/>
  <c r="T1009" i="1"/>
  <c r="Q1009" i="1"/>
  <c r="K1009" i="1"/>
  <c r="H1009" i="1"/>
  <c r="E1009" i="1"/>
  <c r="W1008" i="1"/>
  <c r="T1008" i="1"/>
  <c r="Q1008" i="1"/>
  <c r="K1008" i="1"/>
  <c r="H1008" i="1"/>
  <c r="E1008" i="1"/>
  <c r="W1007" i="1"/>
  <c r="T1007" i="1"/>
  <c r="Q1007" i="1"/>
  <c r="K1007" i="1"/>
  <c r="H1007" i="1"/>
  <c r="E1007" i="1"/>
  <c r="W1006" i="1"/>
  <c r="T1006" i="1"/>
  <c r="Q1006" i="1"/>
  <c r="K1006" i="1"/>
  <c r="H1006" i="1"/>
  <c r="E1006" i="1"/>
  <c r="W1005" i="1"/>
  <c r="T1005" i="1"/>
  <c r="Q1005" i="1"/>
  <c r="K1005" i="1"/>
  <c r="H1005" i="1"/>
  <c r="E1005" i="1"/>
  <c r="W1004" i="1"/>
  <c r="T1004" i="1"/>
  <c r="Q1004" i="1"/>
  <c r="K1004" i="1"/>
  <c r="H1004" i="1"/>
  <c r="E1004" i="1"/>
  <c r="W1003" i="1"/>
  <c r="T1003" i="1"/>
  <c r="Q1003" i="1"/>
  <c r="K1003" i="1"/>
  <c r="H1003" i="1"/>
  <c r="E1003" i="1"/>
  <c r="W1002" i="1"/>
  <c r="T1002" i="1"/>
  <c r="Q1002" i="1"/>
  <c r="K1002" i="1"/>
  <c r="H1002" i="1"/>
  <c r="E1002" i="1"/>
  <c r="W1001" i="1"/>
  <c r="T1001" i="1"/>
  <c r="Q1001" i="1"/>
  <c r="K1001" i="1"/>
  <c r="H1001" i="1"/>
  <c r="E1001" i="1"/>
  <c r="W1000" i="1"/>
  <c r="T1000" i="1"/>
  <c r="Q1000" i="1"/>
  <c r="K1000" i="1"/>
  <c r="H1000" i="1"/>
  <c r="E1000" i="1"/>
  <c r="W999" i="1"/>
  <c r="T999" i="1"/>
  <c r="Q999" i="1"/>
  <c r="K999" i="1"/>
  <c r="H999" i="1"/>
  <c r="E999" i="1"/>
  <c r="W998" i="1"/>
  <c r="T998" i="1"/>
  <c r="Q998" i="1"/>
  <c r="K998" i="1"/>
  <c r="H998" i="1"/>
  <c r="E998" i="1"/>
  <c r="W997" i="1"/>
  <c r="T997" i="1"/>
  <c r="Q997" i="1"/>
  <c r="K997" i="1"/>
  <c r="H997" i="1"/>
  <c r="E997" i="1"/>
  <c r="W996" i="1"/>
  <c r="T996" i="1"/>
  <c r="Q996" i="1"/>
  <c r="K996" i="1"/>
  <c r="H996" i="1"/>
  <c r="E996" i="1"/>
  <c r="K995" i="1"/>
  <c r="H995" i="1"/>
  <c r="E995" i="1"/>
  <c r="K994" i="1"/>
  <c r="H994" i="1"/>
  <c r="E994" i="1"/>
  <c r="K992" i="1"/>
  <c r="H992" i="1"/>
  <c r="E992" i="1"/>
  <c r="K991" i="1"/>
  <c r="H991" i="1"/>
  <c r="E991" i="1"/>
  <c r="K990" i="1"/>
  <c r="H990" i="1"/>
  <c r="E990" i="1"/>
  <c r="W989" i="1"/>
  <c r="T989" i="1"/>
  <c r="Q989" i="1"/>
  <c r="K989" i="1"/>
  <c r="H989" i="1"/>
  <c r="E989" i="1"/>
  <c r="W988" i="1"/>
  <c r="T988" i="1"/>
  <c r="Q988" i="1"/>
  <c r="K988" i="1"/>
  <c r="H988" i="1"/>
  <c r="E988" i="1"/>
  <c r="Q948" i="1"/>
  <c r="T948" i="1"/>
  <c r="W948" i="1"/>
  <c r="Q908" i="1"/>
  <c r="T908" i="1"/>
  <c r="W908" i="1"/>
  <c r="Q976" i="1"/>
  <c r="T976" i="1"/>
  <c r="W976" i="1"/>
  <c r="Q977" i="1"/>
  <c r="T977" i="1"/>
  <c r="W977" i="1"/>
  <c r="Q953" i="1"/>
  <c r="T953" i="1"/>
  <c r="W953" i="1"/>
  <c r="Q954" i="1"/>
  <c r="T954" i="1"/>
  <c r="W954" i="1"/>
  <c r="Q955" i="1"/>
  <c r="T955" i="1"/>
  <c r="W955" i="1"/>
  <c r="Q956" i="1"/>
  <c r="T956" i="1"/>
  <c r="W956" i="1"/>
  <c r="Q957" i="1"/>
  <c r="T957" i="1"/>
  <c r="W957" i="1"/>
  <c r="E953" i="1"/>
  <c r="H953" i="1"/>
  <c r="K953" i="1"/>
  <c r="E954" i="1"/>
  <c r="H954" i="1"/>
  <c r="K954" i="1"/>
  <c r="E955" i="1"/>
  <c r="H955" i="1"/>
  <c r="K955" i="1"/>
  <c r="E956" i="1"/>
  <c r="H956" i="1"/>
  <c r="K956" i="1"/>
  <c r="E957" i="1"/>
  <c r="H957" i="1"/>
  <c r="K957" i="1"/>
  <c r="E958" i="1"/>
  <c r="H958" i="1"/>
  <c r="K958" i="1"/>
  <c r="E959" i="1"/>
  <c r="H959" i="1"/>
  <c r="K959" i="1"/>
  <c r="E960" i="1"/>
  <c r="H960" i="1"/>
  <c r="K960" i="1"/>
  <c r="E961" i="1"/>
  <c r="H961" i="1"/>
  <c r="K961" i="1"/>
  <c r="E962" i="1"/>
  <c r="H962" i="1"/>
  <c r="K962" i="1"/>
  <c r="E963" i="1"/>
  <c r="H963" i="1"/>
  <c r="K963" i="1"/>
  <c r="E964" i="1"/>
  <c r="H964" i="1"/>
  <c r="K964" i="1"/>
  <c r="E965" i="1"/>
  <c r="H965" i="1"/>
  <c r="K965" i="1"/>
  <c r="E966" i="1"/>
  <c r="H966" i="1"/>
  <c r="K966" i="1"/>
  <c r="E967" i="1"/>
  <c r="H967" i="1"/>
  <c r="K967" i="1"/>
  <c r="E968" i="1"/>
  <c r="H968" i="1"/>
  <c r="K968" i="1"/>
  <c r="E969" i="1"/>
  <c r="H969" i="1"/>
  <c r="K969" i="1"/>
  <c r="E970" i="1"/>
  <c r="H970" i="1"/>
  <c r="K970" i="1"/>
  <c r="E971" i="1"/>
  <c r="H971" i="1"/>
  <c r="K971" i="1"/>
  <c r="E972" i="1"/>
  <c r="H972" i="1"/>
  <c r="K972" i="1"/>
  <c r="E973" i="1"/>
  <c r="H973" i="1"/>
  <c r="K973" i="1"/>
  <c r="E974" i="1"/>
  <c r="H974" i="1"/>
  <c r="K974" i="1"/>
  <c r="E975" i="1"/>
  <c r="H975" i="1"/>
  <c r="K975" i="1"/>
  <c r="U978" i="1"/>
  <c r="S978" i="1"/>
  <c r="O978" i="1"/>
  <c r="J978" i="1"/>
  <c r="I978" i="1"/>
  <c r="G978" i="1"/>
  <c r="F978" i="1"/>
  <c r="D978" i="1"/>
  <c r="C978" i="1"/>
  <c r="V978" i="1"/>
  <c r="R978" i="1"/>
  <c r="K977" i="1"/>
  <c r="H977" i="1"/>
  <c r="E977" i="1"/>
  <c r="K976" i="1"/>
  <c r="H976" i="1"/>
  <c r="E976" i="1"/>
  <c r="W975" i="1"/>
  <c r="T975" i="1"/>
  <c r="Q975" i="1"/>
  <c r="W974" i="1"/>
  <c r="T974" i="1"/>
  <c r="Q974" i="1"/>
  <c r="W973" i="1"/>
  <c r="T973" i="1"/>
  <c r="Q973" i="1"/>
  <c r="W972" i="1"/>
  <c r="T972" i="1"/>
  <c r="Q972" i="1"/>
  <c r="W971" i="1"/>
  <c r="T971" i="1"/>
  <c r="Q971" i="1"/>
  <c r="W970" i="1"/>
  <c r="T970" i="1"/>
  <c r="Q970" i="1"/>
  <c r="W969" i="1"/>
  <c r="T969" i="1"/>
  <c r="Q969" i="1"/>
  <c r="W968" i="1"/>
  <c r="T968" i="1"/>
  <c r="Q968" i="1"/>
  <c r="W967" i="1"/>
  <c r="T967" i="1"/>
  <c r="Q967" i="1"/>
  <c r="W966" i="1"/>
  <c r="T966" i="1"/>
  <c r="Q966" i="1"/>
  <c r="W965" i="1"/>
  <c r="T965" i="1"/>
  <c r="Q965" i="1"/>
  <c r="W964" i="1"/>
  <c r="T964" i="1"/>
  <c r="Q964" i="1"/>
  <c r="W963" i="1"/>
  <c r="T963" i="1"/>
  <c r="Q963" i="1"/>
  <c r="W962" i="1"/>
  <c r="T962" i="1"/>
  <c r="Q962" i="1"/>
  <c r="W961" i="1"/>
  <c r="T961" i="1"/>
  <c r="Q961" i="1"/>
  <c r="W960" i="1"/>
  <c r="T960" i="1"/>
  <c r="Q960" i="1"/>
  <c r="W959" i="1"/>
  <c r="T959" i="1"/>
  <c r="Q959" i="1"/>
  <c r="W958" i="1"/>
  <c r="T958" i="1"/>
  <c r="Q958" i="1"/>
  <c r="K951" i="1"/>
  <c r="H951" i="1"/>
  <c r="E951" i="1"/>
  <c r="K950" i="1"/>
  <c r="H950" i="1"/>
  <c r="E950" i="1"/>
  <c r="K949" i="1"/>
  <c r="H949" i="1"/>
  <c r="E949" i="1"/>
  <c r="K948" i="1"/>
  <c r="H948" i="1"/>
  <c r="E948" i="1"/>
  <c r="W947" i="1"/>
  <c r="T947" i="1"/>
  <c r="Q947" i="1"/>
  <c r="K947" i="1"/>
  <c r="H947" i="1"/>
  <c r="E947" i="1"/>
  <c r="W914" i="1"/>
  <c r="T914" i="1"/>
  <c r="Q914" i="1"/>
  <c r="W913" i="1"/>
  <c r="T913" i="1"/>
  <c r="Q913" i="1"/>
  <c r="W912" i="1"/>
  <c r="T912" i="1"/>
  <c r="Q912" i="1"/>
  <c r="E880" i="1"/>
  <c r="H880" i="1"/>
  <c r="K880" i="1"/>
  <c r="K913" i="1"/>
  <c r="H913" i="1"/>
  <c r="E913" i="1"/>
  <c r="K912" i="1"/>
  <c r="H912" i="1"/>
  <c r="E912" i="1"/>
  <c r="W907" i="1"/>
  <c r="T907" i="1"/>
  <c r="Q906" i="1"/>
  <c r="Q907" i="1"/>
  <c r="Q866" i="1"/>
  <c r="T866" i="1"/>
  <c r="W866" i="1"/>
  <c r="Q867" i="1"/>
  <c r="T867" i="1"/>
  <c r="W867" i="1"/>
  <c r="Q865" i="1"/>
  <c r="J875" i="1"/>
  <c r="K875" i="1" s="1"/>
  <c r="W834" i="1"/>
  <c r="T834" i="1"/>
  <c r="Q834" i="1"/>
  <c r="W833" i="1"/>
  <c r="T833" i="1"/>
  <c r="Q833" i="1"/>
  <c r="Q850" i="1"/>
  <c r="T850" i="1"/>
  <c r="W850" i="1"/>
  <c r="Q851" i="1"/>
  <c r="T851" i="1"/>
  <c r="W851" i="1"/>
  <c r="Q852" i="1"/>
  <c r="T852" i="1"/>
  <c r="W852" i="1"/>
  <c r="W935" i="1"/>
  <c r="T935" i="1"/>
  <c r="Q935" i="1"/>
  <c r="Q894" i="1"/>
  <c r="T894" i="1"/>
  <c r="W894" i="1"/>
  <c r="Q895" i="1"/>
  <c r="T895" i="1"/>
  <c r="W895" i="1"/>
  <c r="W936" i="1"/>
  <c r="T936" i="1"/>
  <c r="Q936" i="1"/>
  <c r="W831" i="1"/>
  <c r="T831" i="1"/>
  <c r="Q831" i="1"/>
  <c r="D844" i="1"/>
  <c r="E844" i="1" s="1"/>
  <c r="W801" i="1"/>
  <c r="T801" i="1"/>
  <c r="Q801" i="1"/>
  <c r="W800" i="1"/>
  <c r="T800" i="1"/>
  <c r="Q800" i="1"/>
  <c r="W799" i="1"/>
  <c r="T799" i="1"/>
  <c r="Q799" i="1"/>
  <c r="J835" i="1"/>
  <c r="K835" i="1" s="1"/>
  <c r="V255" i="1"/>
  <c r="U255" i="1"/>
  <c r="S255" i="1"/>
  <c r="R255" i="1"/>
  <c r="P255" i="1"/>
  <c r="O255" i="1"/>
  <c r="P12" i="1"/>
  <c r="R12" i="1"/>
  <c r="S12" i="1"/>
  <c r="U12" i="1"/>
  <c r="V12" i="1"/>
  <c r="O12" i="1"/>
  <c r="V38" i="1"/>
  <c r="U38" i="1"/>
  <c r="S38" i="1"/>
  <c r="R38" i="1"/>
  <c r="R39" i="1" s="1"/>
  <c r="R46" i="1" s="1"/>
  <c r="R52" i="1" s="1"/>
  <c r="P38" i="1"/>
  <c r="O38" i="1"/>
  <c r="V78" i="1"/>
  <c r="U78" i="1"/>
  <c r="S78" i="1"/>
  <c r="R78" i="1"/>
  <c r="P78" i="1"/>
  <c r="O78" i="1"/>
  <c r="V118" i="1"/>
  <c r="U118" i="1"/>
  <c r="S118" i="1"/>
  <c r="R118" i="1"/>
  <c r="P118" i="1"/>
  <c r="O118" i="1"/>
  <c r="V158" i="1"/>
  <c r="U158" i="1"/>
  <c r="S158" i="1"/>
  <c r="R158" i="1"/>
  <c r="P158" i="1"/>
  <c r="O158" i="1"/>
  <c r="V198" i="1"/>
  <c r="U198" i="1"/>
  <c r="S198" i="1"/>
  <c r="R198" i="1"/>
  <c r="P198" i="1"/>
  <c r="O198" i="1"/>
  <c r="V239" i="1"/>
  <c r="U239" i="1"/>
  <c r="S239" i="1"/>
  <c r="R239" i="1"/>
  <c r="P239" i="1"/>
  <c r="O239" i="1"/>
  <c r="V322" i="1"/>
  <c r="U322" i="1"/>
  <c r="S322" i="1"/>
  <c r="R322" i="1"/>
  <c r="P322" i="1"/>
  <c r="O322" i="1"/>
  <c r="V363" i="1"/>
  <c r="U363" i="1"/>
  <c r="S363" i="1"/>
  <c r="R363" i="1"/>
  <c r="P363" i="1"/>
  <c r="O363" i="1"/>
  <c r="V404" i="1"/>
  <c r="U404" i="1"/>
  <c r="S404" i="1"/>
  <c r="R404" i="1"/>
  <c r="P404" i="1"/>
  <c r="O404" i="1"/>
  <c r="V445" i="1"/>
  <c r="U445" i="1"/>
  <c r="S445" i="1"/>
  <c r="R445" i="1"/>
  <c r="P445" i="1"/>
  <c r="O445" i="1"/>
  <c r="V486" i="1"/>
  <c r="U486" i="1"/>
  <c r="S486" i="1"/>
  <c r="R486" i="1"/>
  <c r="P486" i="1"/>
  <c r="O486" i="1"/>
  <c r="V527" i="1"/>
  <c r="U527" i="1"/>
  <c r="S527" i="1"/>
  <c r="R527" i="1"/>
  <c r="P527" i="1"/>
  <c r="O527" i="1"/>
  <c r="V568" i="1"/>
  <c r="U568" i="1"/>
  <c r="S568" i="1"/>
  <c r="R568" i="1"/>
  <c r="P568" i="1"/>
  <c r="O568" i="1"/>
  <c r="V609" i="1"/>
  <c r="U609" i="1"/>
  <c r="S609" i="1"/>
  <c r="R609" i="1"/>
  <c r="P609" i="1"/>
  <c r="O609" i="1"/>
  <c r="V650" i="1"/>
  <c r="U650" i="1"/>
  <c r="S650" i="1"/>
  <c r="R650" i="1"/>
  <c r="P650" i="1"/>
  <c r="O650" i="1"/>
  <c r="V691" i="1"/>
  <c r="U691" i="1"/>
  <c r="S691" i="1"/>
  <c r="R691" i="1"/>
  <c r="V732" i="1"/>
  <c r="U732" i="1"/>
  <c r="S732" i="1"/>
  <c r="R732" i="1"/>
  <c r="P732" i="1"/>
  <c r="O732" i="1"/>
  <c r="V773" i="1"/>
  <c r="U773" i="1"/>
  <c r="S773" i="1"/>
  <c r="R773" i="1"/>
  <c r="P773" i="1"/>
  <c r="O773" i="1"/>
  <c r="U814" i="1"/>
  <c r="S814" i="1"/>
  <c r="R814" i="1"/>
  <c r="P814" i="1"/>
  <c r="O814" i="1"/>
  <c r="V855" i="1"/>
  <c r="U855" i="1"/>
  <c r="S855" i="1"/>
  <c r="R855" i="1"/>
  <c r="P855" i="1"/>
  <c r="O855" i="1"/>
  <c r="V896" i="1"/>
  <c r="U896" i="1"/>
  <c r="S896" i="1"/>
  <c r="R896" i="1"/>
  <c r="P896" i="1"/>
  <c r="O896" i="1"/>
  <c r="P937" i="1"/>
  <c r="R937" i="1"/>
  <c r="S937" i="1"/>
  <c r="U937" i="1"/>
  <c r="V937" i="1"/>
  <c r="O937" i="1"/>
  <c r="E809" i="1"/>
  <c r="Q891" i="1"/>
  <c r="T891" i="1"/>
  <c r="W891" i="1"/>
  <c r="Q892" i="1"/>
  <c r="T892" i="1"/>
  <c r="W892" i="1"/>
  <c r="Q893" i="1"/>
  <c r="T893" i="1"/>
  <c r="W893" i="1"/>
  <c r="W854" i="1"/>
  <c r="T854" i="1"/>
  <c r="Q854" i="1"/>
  <c r="W853" i="1"/>
  <c r="T853" i="1"/>
  <c r="Q853" i="1"/>
  <c r="W809" i="1"/>
  <c r="T809" i="1"/>
  <c r="Q809" i="1"/>
  <c r="W808" i="1"/>
  <c r="T808" i="1"/>
  <c r="Q808" i="1"/>
  <c r="W807" i="1"/>
  <c r="T807" i="1"/>
  <c r="Q807" i="1"/>
  <c r="W806" i="1"/>
  <c r="T806" i="1"/>
  <c r="Q806" i="1"/>
  <c r="Q932" i="1"/>
  <c r="T932" i="1"/>
  <c r="W932" i="1"/>
  <c r="Q933" i="1"/>
  <c r="T933" i="1"/>
  <c r="W933" i="1"/>
  <c r="Q934" i="1"/>
  <c r="T934" i="1"/>
  <c r="W934" i="1"/>
  <c r="J937" i="1"/>
  <c r="I937" i="1"/>
  <c r="G937" i="1"/>
  <c r="F937" i="1"/>
  <c r="D937" i="1"/>
  <c r="C937" i="1"/>
  <c r="K936" i="1"/>
  <c r="H936" i="1"/>
  <c r="E936" i="1"/>
  <c r="K935" i="1"/>
  <c r="H935" i="1"/>
  <c r="E935" i="1"/>
  <c r="K934" i="1"/>
  <c r="H934" i="1"/>
  <c r="E934" i="1"/>
  <c r="K933" i="1"/>
  <c r="H933" i="1"/>
  <c r="E933" i="1"/>
  <c r="K932" i="1"/>
  <c r="H932" i="1"/>
  <c r="E932" i="1"/>
  <c r="W931" i="1"/>
  <c r="T931" i="1"/>
  <c r="Q931" i="1"/>
  <c r="K931" i="1"/>
  <c r="H931" i="1"/>
  <c r="E931" i="1"/>
  <c r="W930" i="1"/>
  <c r="T930" i="1"/>
  <c r="Q930" i="1"/>
  <c r="K930" i="1"/>
  <c r="H930" i="1"/>
  <c r="E930" i="1"/>
  <c r="W929" i="1"/>
  <c r="T929" i="1"/>
  <c r="Q929" i="1"/>
  <c r="K929" i="1"/>
  <c r="H929" i="1"/>
  <c r="E929" i="1"/>
  <c r="W928" i="1"/>
  <c r="T928" i="1"/>
  <c r="Q928" i="1"/>
  <c r="K928" i="1"/>
  <c r="H928" i="1"/>
  <c r="E928" i="1"/>
  <c r="W927" i="1"/>
  <c r="T927" i="1"/>
  <c r="Q927" i="1"/>
  <c r="K927" i="1"/>
  <c r="H927" i="1"/>
  <c r="E927" i="1"/>
  <c r="W926" i="1"/>
  <c r="T926" i="1"/>
  <c r="Q926" i="1"/>
  <c r="K926" i="1"/>
  <c r="H926" i="1"/>
  <c r="E926" i="1"/>
  <c r="W925" i="1"/>
  <c r="T925" i="1"/>
  <c r="Q925" i="1"/>
  <c r="K925" i="1"/>
  <c r="H925" i="1"/>
  <c r="E925" i="1"/>
  <c r="W924" i="1"/>
  <c r="T924" i="1"/>
  <c r="Q924" i="1"/>
  <c r="K924" i="1"/>
  <c r="H924" i="1"/>
  <c r="E924" i="1"/>
  <c r="W923" i="1"/>
  <c r="T923" i="1"/>
  <c r="Q923" i="1"/>
  <c r="K923" i="1"/>
  <c r="H923" i="1"/>
  <c r="E923" i="1"/>
  <c r="W922" i="1"/>
  <c r="T922" i="1"/>
  <c r="Q922" i="1"/>
  <c r="K922" i="1"/>
  <c r="H922" i="1"/>
  <c r="E922" i="1"/>
  <c r="W921" i="1"/>
  <c r="T921" i="1"/>
  <c r="Q921" i="1"/>
  <c r="K921" i="1"/>
  <c r="H921" i="1"/>
  <c r="E921" i="1"/>
  <c r="W920" i="1"/>
  <c r="T920" i="1"/>
  <c r="Q920" i="1"/>
  <c r="K920" i="1"/>
  <c r="H920" i="1"/>
  <c r="E920" i="1"/>
  <c r="W919" i="1"/>
  <c r="T919" i="1"/>
  <c r="Q919" i="1"/>
  <c r="K919" i="1"/>
  <c r="H919" i="1"/>
  <c r="E919" i="1"/>
  <c r="W918" i="1"/>
  <c r="T918" i="1"/>
  <c r="Q918" i="1"/>
  <c r="K918" i="1"/>
  <c r="H918" i="1"/>
  <c r="E918" i="1"/>
  <c r="W917" i="1"/>
  <c r="T917" i="1"/>
  <c r="Q917" i="1"/>
  <c r="K917" i="1"/>
  <c r="H917" i="1"/>
  <c r="E917" i="1"/>
  <c r="W916" i="1"/>
  <c r="T916" i="1"/>
  <c r="Q916" i="1"/>
  <c r="K916" i="1"/>
  <c r="H916" i="1"/>
  <c r="E916" i="1"/>
  <c r="W915" i="1"/>
  <c r="T915" i="1"/>
  <c r="Q915" i="1"/>
  <c r="K915" i="1"/>
  <c r="H915" i="1"/>
  <c r="E915" i="1"/>
  <c r="K914" i="1"/>
  <c r="H914" i="1"/>
  <c r="E914" i="1"/>
  <c r="W910" i="1"/>
  <c r="T910" i="1"/>
  <c r="Q910" i="1"/>
  <c r="K910" i="1"/>
  <c r="H910" i="1"/>
  <c r="E910" i="1"/>
  <c r="W909" i="1"/>
  <c r="T909" i="1"/>
  <c r="Q909" i="1"/>
  <c r="K909" i="1"/>
  <c r="H909" i="1"/>
  <c r="E909" i="1"/>
  <c r="K908" i="1"/>
  <c r="H908" i="1"/>
  <c r="E908" i="1"/>
  <c r="K907" i="1"/>
  <c r="H907" i="1"/>
  <c r="E907" i="1"/>
  <c r="W906" i="1"/>
  <c r="T906" i="1"/>
  <c r="K906" i="1"/>
  <c r="H906" i="1"/>
  <c r="E906" i="1"/>
  <c r="W795" i="1"/>
  <c r="T795" i="1"/>
  <c r="Q795" i="1"/>
  <c r="W793" i="1"/>
  <c r="T793" i="1"/>
  <c r="Q793" i="1"/>
  <c r="W792" i="1"/>
  <c r="T792" i="1"/>
  <c r="Q792" i="1"/>
  <c r="W790" i="1"/>
  <c r="T790" i="1"/>
  <c r="Q790" i="1"/>
  <c r="T772" i="1"/>
  <c r="T813" i="1"/>
  <c r="W762" i="1"/>
  <c r="T762" i="1"/>
  <c r="Q762" i="1"/>
  <c r="E789" i="1"/>
  <c r="H789" i="1"/>
  <c r="K789" i="1"/>
  <c r="K772" i="1"/>
  <c r="H772" i="1"/>
  <c r="E772" i="1"/>
  <c r="K771" i="1"/>
  <c r="H771" i="1"/>
  <c r="E771" i="1"/>
  <c r="W758" i="1"/>
  <c r="T758" i="1"/>
  <c r="Q758" i="1"/>
  <c r="D770" i="1"/>
  <c r="W768" i="1"/>
  <c r="K767" i="1"/>
  <c r="H767" i="1"/>
  <c r="E767" i="1"/>
  <c r="W755" i="1"/>
  <c r="T755" i="1"/>
  <c r="Q755" i="1"/>
  <c r="T768" i="1"/>
  <c r="I896" i="1"/>
  <c r="G896" i="1"/>
  <c r="F896" i="1"/>
  <c r="D896" i="1"/>
  <c r="C896" i="1"/>
  <c r="K895" i="1"/>
  <c r="H895" i="1"/>
  <c r="E895" i="1"/>
  <c r="K894" i="1"/>
  <c r="H894" i="1"/>
  <c r="E894" i="1"/>
  <c r="K893" i="1"/>
  <c r="H893" i="1"/>
  <c r="E893" i="1"/>
  <c r="K892" i="1"/>
  <c r="H892" i="1"/>
  <c r="E892" i="1"/>
  <c r="K891" i="1"/>
  <c r="H891" i="1"/>
  <c r="E891" i="1"/>
  <c r="K890" i="1"/>
  <c r="H890" i="1"/>
  <c r="E890" i="1"/>
  <c r="K889" i="1"/>
  <c r="H889" i="1"/>
  <c r="E889" i="1"/>
  <c r="K888" i="1"/>
  <c r="H888" i="1"/>
  <c r="E888" i="1"/>
  <c r="K887" i="1"/>
  <c r="H887" i="1"/>
  <c r="E887" i="1"/>
  <c r="K886" i="1"/>
  <c r="H886" i="1"/>
  <c r="E886" i="1"/>
  <c r="K885" i="1"/>
  <c r="H885" i="1"/>
  <c r="E885" i="1"/>
  <c r="K884" i="1"/>
  <c r="H884" i="1"/>
  <c r="E884" i="1"/>
  <c r="K883" i="1"/>
  <c r="H883" i="1"/>
  <c r="E883" i="1"/>
  <c r="K882" i="1"/>
  <c r="H882" i="1"/>
  <c r="E882" i="1"/>
  <c r="K881" i="1"/>
  <c r="H881" i="1"/>
  <c r="E881" i="1"/>
  <c r="K879" i="1"/>
  <c r="H879" i="1"/>
  <c r="E879" i="1"/>
  <c r="K878" i="1"/>
  <c r="H878" i="1"/>
  <c r="E878" i="1"/>
  <c r="K877" i="1"/>
  <c r="H877" i="1"/>
  <c r="E877" i="1"/>
  <c r="K876" i="1"/>
  <c r="H876" i="1"/>
  <c r="E876" i="1"/>
  <c r="H875" i="1"/>
  <c r="E875" i="1"/>
  <c r="K874" i="1"/>
  <c r="H874" i="1"/>
  <c r="E874" i="1"/>
  <c r="K873" i="1"/>
  <c r="H873" i="1"/>
  <c r="E873" i="1"/>
  <c r="K872" i="1"/>
  <c r="H872" i="1"/>
  <c r="E872" i="1"/>
  <c r="K871" i="1"/>
  <c r="H871" i="1"/>
  <c r="E871" i="1"/>
  <c r="K869" i="1"/>
  <c r="H869" i="1"/>
  <c r="E869" i="1"/>
  <c r="K868" i="1"/>
  <c r="H868" i="1"/>
  <c r="E868" i="1"/>
  <c r="K867" i="1"/>
  <c r="H867" i="1"/>
  <c r="E867" i="1"/>
  <c r="K866" i="1"/>
  <c r="H866" i="1"/>
  <c r="E866" i="1"/>
  <c r="K865" i="1"/>
  <c r="H865" i="1"/>
  <c r="E865" i="1"/>
  <c r="W810" i="1"/>
  <c r="T810" i="1"/>
  <c r="Q810" i="1"/>
  <c r="W766" i="1"/>
  <c r="T766" i="1"/>
  <c r="Q766" i="1"/>
  <c r="W765" i="1"/>
  <c r="T765" i="1"/>
  <c r="Q765" i="1"/>
  <c r="Q759" i="1"/>
  <c r="T759" i="1"/>
  <c r="W759" i="1"/>
  <c r="Q811" i="1"/>
  <c r="T811" i="1"/>
  <c r="W811" i="1"/>
  <c r="Q768" i="1"/>
  <c r="W767" i="1"/>
  <c r="T767" i="1"/>
  <c r="Q767" i="1"/>
  <c r="Q772" i="1"/>
  <c r="W771" i="1"/>
  <c r="T771" i="1"/>
  <c r="Q771" i="1"/>
  <c r="W770" i="1"/>
  <c r="T770" i="1"/>
  <c r="W769" i="1"/>
  <c r="T769" i="1"/>
  <c r="Q769" i="1"/>
  <c r="W764" i="1"/>
  <c r="T764" i="1"/>
  <c r="Q764" i="1"/>
  <c r="Q812" i="1"/>
  <c r="T812" i="1"/>
  <c r="W812" i="1"/>
  <c r="Q813" i="1"/>
  <c r="W813" i="1"/>
  <c r="Q824" i="1"/>
  <c r="T824" i="1"/>
  <c r="W824" i="1"/>
  <c r="Q825" i="1"/>
  <c r="T825" i="1"/>
  <c r="W825" i="1"/>
  <c r="W890" i="1"/>
  <c r="T890" i="1"/>
  <c r="Q890" i="1"/>
  <c r="W889" i="1"/>
  <c r="T889" i="1"/>
  <c r="Q889" i="1"/>
  <c r="W888" i="1"/>
  <c r="T888" i="1"/>
  <c r="Q888" i="1"/>
  <c r="W887" i="1"/>
  <c r="T887" i="1"/>
  <c r="Q887" i="1"/>
  <c r="W886" i="1"/>
  <c r="T886" i="1"/>
  <c r="Q886" i="1"/>
  <c r="W885" i="1"/>
  <c r="T885" i="1"/>
  <c r="Q885" i="1"/>
  <c r="W884" i="1"/>
  <c r="T884" i="1"/>
  <c r="Q884" i="1"/>
  <c r="W883" i="1"/>
  <c r="T883" i="1"/>
  <c r="Q883" i="1"/>
  <c r="W882" i="1"/>
  <c r="T882" i="1"/>
  <c r="Q882" i="1"/>
  <c r="W881" i="1"/>
  <c r="T881" i="1"/>
  <c r="Q881" i="1"/>
  <c r="W880" i="1"/>
  <c r="T880" i="1"/>
  <c r="Q880" i="1"/>
  <c r="W879" i="1"/>
  <c r="T879" i="1"/>
  <c r="Q879" i="1"/>
  <c r="W878" i="1"/>
  <c r="T878" i="1"/>
  <c r="Q878" i="1"/>
  <c r="W877" i="1"/>
  <c r="T877" i="1"/>
  <c r="Q877" i="1"/>
  <c r="W876" i="1"/>
  <c r="T876" i="1"/>
  <c r="Q876" i="1"/>
  <c r="W875" i="1"/>
  <c r="T875" i="1"/>
  <c r="Q875" i="1"/>
  <c r="W874" i="1"/>
  <c r="T874" i="1"/>
  <c r="Q874" i="1"/>
  <c r="W873" i="1"/>
  <c r="T873" i="1"/>
  <c r="Q873" i="1"/>
  <c r="W872" i="1"/>
  <c r="T872" i="1"/>
  <c r="Q872" i="1"/>
  <c r="W871" i="1"/>
  <c r="T871" i="1"/>
  <c r="Q871" i="1"/>
  <c r="W869" i="1"/>
  <c r="T869" i="1"/>
  <c r="Q869" i="1"/>
  <c r="W868" i="1"/>
  <c r="T868" i="1"/>
  <c r="Q868" i="1"/>
  <c r="W865" i="1"/>
  <c r="T865" i="1"/>
  <c r="W724" i="1"/>
  <c r="T724" i="1"/>
  <c r="Q724" i="1"/>
  <c r="Q784" i="1"/>
  <c r="T784" i="1"/>
  <c r="W784" i="1"/>
  <c r="Q785" i="1"/>
  <c r="T785" i="1"/>
  <c r="W785" i="1"/>
  <c r="W746" i="1"/>
  <c r="T746" i="1"/>
  <c r="Q746" i="1"/>
  <c r="W745" i="1"/>
  <c r="T745" i="1"/>
  <c r="Q745" i="1"/>
  <c r="Q748" i="1"/>
  <c r="T748" i="1"/>
  <c r="W748" i="1"/>
  <c r="W722" i="1"/>
  <c r="T722" i="1"/>
  <c r="Q722" i="1"/>
  <c r="T731" i="1"/>
  <c r="W718" i="1"/>
  <c r="T718" i="1"/>
  <c r="Q718" i="1"/>
  <c r="Q763" i="1"/>
  <c r="T763" i="1"/>
  <c r="W763" i="1"/>
  <c r="I855" i="1"/>
  <c r="G855" i="1"/>
  <c r="F855" i="1"/>
  <c r="C855" i="1"/>
  <c r="K854" i="1"/>
  <c r="H854" i="1"/>
  <c r="E854" i="1"/>
  <c r="K853" i="1"/>
  <c r="H853" i="1"/>
  <c r="E853" i="1"/>
  <c r="K852" i="1"/>
  <c r="H852" i="1"/>
  <c r="E852" i="1"/>
  <c r="K851" i="1"/>
  <c r="H851" i="1"/>
  <c r="E851" i="1"/>
  <c r="K850" i="1"/>
  <c r="H850" i="1"/>
  <c r="E850" i="1"/>
  <c r="K849" i="1"/>
  <c r="H849" i="1"/>
  <c r="E849" i="1"/>
  <c r="K848" i="1"/>
  <c r="H848" i="1"/>
  <c r="E848" i="1"/>
  <c r="K847" i="1"/>
  <c r="H847" i="1"/>
  <c r="E847" i="1"/>
  <c r="K846" i="1"/>
  <c r="H846" i="1"/>
  <c r="E846" i="1"/>
  <c r="K845" i="1"/>
  <c r="H845" i="1"/>
  <c r="E845" i="1"/>
  <c r="K844" i="1"/>
  <c r="H844" i="1"/>
  <c r="K843" i="1"/>
  <c r="H843" i="1"/>
  <c r="E843" i="1"/>
  <c r="K842" i="1"/>
  <c r="H842" i="1"/>
  <c r="E842" i="1"/>
  <c r="K841" i="1"/>
  <c r="H841" i="1"/>
  <c r="E841" i="1"/>
  <c r="K840" i="1"/>
  <c r="H840" i="1"/>
  <c r="E840" i="1"/>
  <c r="K839" i="1"/>
  <c r="H839" i="1"/>
  <c r="E839" i="1"/>
  <c r="K838" i="1"/>
  <c r="H838" i="1"/>
  <c r="E838" i="1"/>
  <c r="K837" i="1"/>
  <c r="H837" i="1"/>
  <c r="E837" i="1"/>
  <c r="K836" i="1"/>
  <c r="H836" i="1"/>
  <c r="E836" i="1"/>
  <c r="H835" i="1"/>
  <c r="E835" i="1"/>
  <c r="K834" i="1"/>
  <c r="H834" i="1"/>
  <c r="E834" i="1"/>
  <c r="K833" i="1"/>
  <c r="H833" i="1"/>
  <c r="E833" i="1"/>
  <c r="K832" i="1"/>
  <c r="H832" i="1"/>
  <c r="E832" i="1"/>
  <c r="K831" i="1"/>
  <c r="H831" i="1"/>
  <c r="E831" i="1"/>
  <c r="K830" i="1"/>
  <c r="H830" i="1"/>
  <c r="E830" i="1"/>
  <c r="K828" i="1"/>
  <c r="H828" i="1"/>
  <c r="E828" i="1"/>
  <c r="K827" i="1"/>
  <c r="H827" i="1"/>
  <c r="E827" i="1"/>
  <c r="K826" i="1"/>
  <c r="H826" i="1"/>
  <c r="E826" i="1"/>
  <c r="K825" i="1"/>
  <c r="H825" i="1"/>
  <c r="E825" i="1"/>
  <c r="K824" i="1"/>
  <c r="H824" i="1"/>
  <c r="E824" i="1"/>
  <c r="W816" i="1"/>
  <c r="T816" i="1"/>
  <c r="Q816" i="1"/>
  <c r="Q826" i="1"/>
  <c r="T826" i="1"/>
  <c r="W826" i="1"/>
  <c r="Q827" i="1"/>
  <c r="T827" i="1"/>
  <c r="W827" i="1"/>
  <c r="Q828" i="1"/>
  <c r="T828" i="1"/>
  <c r="W828" i="1"/>
  <c r="Q830" i="1"/>
  <c r="T830" i="1"/>
  <c r="W830" i="1"/>
  <c r="Q832" i="1"/>
  <c r="T832" i="1"/>
  <c r="W832" i="1"/>
  <c r="Q835" i="1"/>
  <c r="T835" i="1"/>
  <c r="W835" i="1"/>
  <c r="Q836" i="1"/>
  <c r="T836" i="1"/>
  <c r="W836" i="1"/>
  <c r="Q837" i="1"/>
  <c r="T837" i="1"/>
  <c r="W837" i="1"/>
  <c r="Q838" i="1"/>
  <c r="T838" i="1"/>
  <c r="W838" i="1"/>
  <c r="Q839" i="1"/>
  <c r="T839" i="1"/>
  <c r="W839" i="1"/>
  <c r="Q840" i="1"/>
  <c r="T840" i="1"/>
  <c r="W840" i="1"/>
  <c r="Q841" i="1"/>
  <c r="T841" i="1"/>
  <c r="W841" i="1"/>
  <c r="Q842" i="1"/>
  <c r="T842" i="1"/>
  <c r="W842" i="1"/>
  <c r="Q843" i="1"/>
  <c r="T843" i="1"/>
  <c r="W843" i="1"/>
  <c r="Q844" i="1"/>
  <c r="T844" i="1"/>
  <c r="W844" i="1"/>
  <c r="Q845" i="1"/>
  <c r="T845" i="1"/>
  <c r="W845" i="1"/>
  <c r="Q846" i="1"/>
  <c r="T846" i="1"/>
  <c r="W846" i="1"/>
  <c r="Q847" i="1"/>
  <c r="T847" i="1"/>
  <c r="W847" i="1"/>
  <c r="Q848" i="1"/>
  <c r="T848" i="1"/>
  <c r="W848" i="1"/>
  <c r="Q849" i="1"/>
  <c r="T849" i="1"/>
  <c r="W849" i="1"/>
  <c r="Q761" i="1"/>
  <c r="T761" i="1"/>
  <c r="W761" i="1"/>
  <c r="Q714" i="1"/>
  <c r="T714" i="1"/>
  <c r="W714" i="1"/>
  <c r="Q715" i="1"/>
  <c r="T715" i="1"/>
  <c r="W715" i="1"/>
  <c r="T730" i="1"/>
  <c r="Q730" i="1"/>
  <c r="W701" i="1"/>
  <c r="T701" i="1"/>
  <c r="Q701" i="1"/>
  <c r="T708" i="1"/>
  <c r="Q708" i="1"/>
  <c r="O690" i="1"/>
  <c r="O691" i="1" s="1"/>
  <c r="E717" i="1"/>
  <c r="H717" i="1"/>
  <c r="K717" i="1"/>
  <c r="K716" i="1"/>
  <c r="H716" i="1"/>
  <c r="E716" i="1"/>
  <c r="W709" i="1"/>
  <c r="T709" i="1"/>
  <c r="Q709" i="1"/>
  <c r="P690" i="1"/>
  <c r="P691" i="1" s="1"/>
  <c r="C715" i="1"/>
  <c r="E715" i="1" s="1"/>
  <c r="W708" i="1"/>
  <c r="Q756" i="1"/>
  <c r="T756" i="1"/>
  <c r="W756" i="1"/>
  <c r="Q757" i="1"/>
  <c r="T757" i="1"/>
  <c r="W757" i="1"/>
  <c r="W731" i="1"/>
  <c r="Q731" i="1"/>
  <c r="W730" i="1"/>
  <c r="W671" i="1"/>
  <c r="T671" i="1"/>
  <c r="Q671" i="1"/>
  <c r="G686" i="1"/>
  <c r="K664" i="1"/>
  <c r="H664" i="1"/>
  <c r="E664" i="1"/>
  <c r="W669" i="1"/>
  <c r="T669" i="1"/>
  <c r="Q669" i="1"/>
  <c r="F682" i="1"/>
  <c r="H682" i="1" s="1"/>
  <c r="W668" i="1"/>
  <c r="T668" i="1"/>
  <c r="Q668" i="1"/>
  <c r="J682" i="1"/>
  <c r="W667" i="1"/>
  <c r="T667" i="1"/>
  <c r="Q667" i="1"/>
  <c r="J676" i="1"/>
  <c r="K676" i="1" s="1"/>
  <c r="T647" i="1"/>
  <c r="F669" i="1"/>
  <c r="G669" i="1"/>
  <c r="J649" i="1"/>
  <c r="K649" i="1" s="1"/>
  <c r="J814" i="1"/>
  <c r="I814" i="1"/>
  <c r="G814" i="1"/>
  <c r="F814" i="1"/>
  <c r="D814" i="1"/>
  <c r="C814" i="1"/>
  <c r="K813" i="1"/>
  <c r="H813" i="1"/>
  <c r="E813" i="1"/>
  <c r="K812" i="1"/>
  <c r="H812" i="1"/>
  <c r="E812" i="1"/>
  <c r="K811" i="1"/>
  <c r="H811" i="1"/>
  <c r="E811" i="1"/>
  <c r="K810" i="1"/>
  <c r="H810" i="1"/>
  <c r="E810" i="1"/>
  <c r="K809" i="1"/>
  <c r="H809" i="1"/>
  <c r="K808" i="1"/>
  <c r="H808" i="1"/>
  <c r="E808" i="1"/>
  <c r="K807" i="1"/>
  <c r="H807" i="1"/>
  <c r="E807" i="1"/>
  <c r="K806" i="1"/>
  <c r="H806" i="1"/>
  <c r="E806" i="1"/>
  <c r="K805" i="1"/>
  <c r="H805" i="1"/>
  <c r="E805" i="1"/>
  <c r="K804" i="1"/>
  <c r="H804" i="1"/>
  <c r="E804" i="1"/>
  <c r="K803" i="1"/>
  <c r="H803" i="1"/>
  <c r="E803" i="1"/>
  <c r="K802" i="1"/>
  <c r="H802" i="1"/>
  <c r="E802" i="1"/>
  <c r="K801" i="1"/>
  <c r="H801" i="1"/>
  <c r="E801" i="1"/>
  <c r="K800" i="1"/>
  <c r="H800" i="1"/>
  <c r="E800" i="1"/>
  <c r="K799" i="1"/>
  <c r="H799" i="1"/>
  <c r="E799" i="1"/>
  <c r="K798" i="1"/>
  <c r="H798" i="1"/>
  <c r="E798" i="1"/>
  <c r="K797" i="1"/>
  <c r="H797" i="1"/>
  <c r="E797" i="1"/>
  <c r="K796" i="1"/>
  <c r="H796" i="1"/>
  <c r="E796" i="1"/>
  <c r="K795" i="1"/>
  <c r="H795" i="1"/>
  <c r="E795" i="1"/>
  <c r="K794" i="1"/>
  <c r="H794" i="1"/>
  <c r="E794" i="1"/>
  <c r="K793" i="1"/>
  <c r="H793" i="1"/>
  <c r="E793" i="1"/>
  <c r="K792" i="1"/>
  <c r="H792" i="1"/>
  <c r="E792" i="1"/>
  <c r="K791" i="1"/>
  <c r="H791" i="1"/>
  <c r="E791" i="1"/>
  <c r="K790" i="1"/>
  <c r="H790" i="1"/>
  <c r="E790" i="1"/>
  <c r="K787" i="1"/>
  <c r="H787" i="1"/>
  <c r="E787" i="1"/>
  <c r="K786" i="1"/>
  <c r="H786" i="1"/>
  <c r="E786" i="1"/>
  <c r="K785" i="1"/>
  <c r="H785" i="1"/>
  <c r="E785" i="1"/>
  <c r="K784" i="1"/>
  <c r="H784" i="1"/>
  <c r="E784" i="1"/>
  <c r="K783" i="1"/>
  <c r="H783" i="1"/>
  <c r="E783" i="1"/>
  <c r="W805" i="1"/>
  <c r="T805" i="1"/>
  <c r="Q805" i="1"/>
  <c r="W804" i="1"/>
  <c r="T804" i="1"/>
  <c r="Q804" i="1"/>
  <c r="W803" i="1"/>
  <c r="T803" i="1"/>
  <c r="Q803" i="1"/>
  <c r="W802" i="1"/>
  <c r="T802" i="1"/>
  <c r="Q802" i="1"/>
  <c r="W798" i="1"/>
  <c r="Q798" i="1"/>
  <c r="W797" i="1"/>
  <c r="T797" i="1"/>
  <c r="Q797" i="1"/>
  <c r="W796" i="1"/>
  <c r="T796" i="1"/>
  <c r="Q796" i="1"/>
  <c r="W794" i="1"/>
  <c r="T794" i="1"/>
  <c r="Q794" i="1"/>
  <c r="W791" i="1"/>
  <c r="T791" i="1"/>
  <c r="Q791" i="1"/>
  <c r="W789" i="1"/>
  <c r="T789" i="1"/>
  <c r="Q789" i="1"/>
  <c r="W787" i="1"/>
  <c r="T787" i="1"/>
  <c r="Q787" i="1"/>
  <c r="W786" i="1"/>
  <c r="T786" i="1"/>
  <c r="Q786" i="1"/>
  <c r="W783" i="1"/>
  <c r="T783" i="1"/>
  <c r="Q783" i="1"/>
  <c r="W634" i="1"/>
  <c r="T634" i="1"/>
  <c r="Q634" i="1"/>
  <c r="W775" i="1"/>
  <c r="T775" i="1"/>
  <c r="Q775" i="1"/>
  <c r="T729" i="1"/>
  <c r="W644" i="1"/>
  <c r="T644" i="1"/>
  <c r="Q644" i="1"/>
  <c r="W726" i="1"/>
  <c r="T726" i="1"/>
  <c r="Q726" i="1"/>
  <c r="W727" i="1"/>
  <c r="T727" i="1"/>
  <c r="Q727" i="1"/>
  <c r="W633" i="1"/>
  <c r="T633" i="1"/>
  <c r="Q633" i="1"/>
  <c r="J634" i="1"/>
  <c r="K634" i="1" s="1"/>
  <c r="Q702" i="1"/>
  <c r="T702" i="1"/>
  <c r="W702" i="1"/>
  <c r="W661" i="1"/>
  <c r="T661" i="1"/>
  <c r="Q661" i="1"/>
  <c r="W627" i="1"/>
  <c r="T627" i="1"/>
  <c r="Q627" i="1"/>
  <c r="J773" i="1"/>
  <c r="I773" i="1"/>
  <c r="G773" i="1"/>
  <c r="F773" i="1"/>
  <c r="C773" i="1"/>
  <c r="K770" i="1"/>
  <c r="H770" i="1"/>
  <c r="K769" i="1"/>
  <c r="H769" i="1"/>
  <c r="E769" i="1"/>
  <c r="K768" i="1"/>
  <c r="H768" i="1"/>
  <c r="E768" i="1"/>
  <c r="K766" i="1"/>
  <c r="H766" i="1"/>
  <c r="E766" i="1"/>
  <c r="K765" i="1"/>
  <c r="H765" i="1"/>
  <c r="E765" i="1"/>
  <c r="K764" i="1"/>
  <c r="H764" i="1"/>
  <c r="E764" i="1"/>
  <c r="K763" i="1"/>
  <c r="H763" i="1"/>
  <c r="E763" i="1"/>
  <c r="K762" i="1"/>
  <c r="H762" i="1"/>
  <c r="E762" i="1"/>
  <c r="K761" i="1"/>
  <c r="H761" i="1"/>
  <c r="E761" i="1"/>
  <c r="K760" i="1"/>
  <c r="H760" i="1"/>
  <c r="E760" i="1"/>
  <c r="K759" i="1"/>
  <c r="H759" i="1"/>
  <c r="E759" i="1"/>
  <c r="K758" i="1"/>
  <c r="H758" i="1"/>
  <c r="E758" i="1"/>
  <c r="K757" i="1"/>
  <c r="H757" i="1"/>
  <c r="E757" i="1"/>
  <c r="K756" i="1"/>
  <c r="H756" i="1"/>
  <c r="E756" i="1"/>
  <c r="K755" i="1"/>
  <c r="H755" i="1"/>
  <c r="E755" i="1"/>
  <c r="K754" i="1"/>
  <c r="H754" i="1"/>
  <c r="E754" i="1"/>
  <c r="K753" i="1"/>
  <c r="H753" i="1"/>
  <c r="E753" i="1"/>
  <c r="K752" i="1"/>
  <c r="H752" i="1"/>
  <c r="E752" i="1"/>
  <c r="K751" i="1"/>
  <c r="H751" i="1"/>
  <c r="E751" i="1"/>
  <c r="K750" i="1"/>
  <c r="H750" i="1"/>
  <c r="E750" i="1"/>
  <c r="K749" i="1"/>
  <c r="H749" i="1"/>
  <c r="E749" i="1"/>
  <c r="K748" i="1"/>
  <c r="H748" i="1"/>
  <c r="E748" i="1"/>
  <c r="K746" i="1"/>
  <c r="H746" i="1"/>
  <c r="E746" i="1"/>
  <c r="K745" i="1"/>
  <c r="H745" i="1"/>
  <c r="E745" i="1"/>
  <c r="K744" i="1"/>
  <c r="H744" i="1"/>
  <c r="E744" i="1"/>
  <c r="K743" i="1"/>
  <c r="H743" i="1"/>
  <c r="E743" i="1"/>
  <c r="K742" i="1"/>
  <c r="H742" i="1"/>
  <c r="E742" i="1"/>
  <c r="Q645" i="1"/>
  <c r="T645" i="1"/>
  <c r="W645" i="1"/>
  <c r="Q646" i="1"/>
  <c r="T646" i="1"/>
  <c r="W646" i="1"/>
  <c r="Q643" i="1"/>
  <c r="T643" i="1"/>
  <c r="W643" i="1"/>
  <c r="W647" i="1"/>
  <c r="Q647" i="1"/>
  <c r="W649" i="1"/>
  <c r="T649" i="1"/>
  <c r="Q649" i="1"/>
  <c r="W648" i="1"/>
  <c r="T648" i="1"/>
  <c r="Q648" i="1"/>
  <c r="W690" i="1"/>
  <c r="T690" i="1"/>
  <c r="W689" i="1"/>
  <c r="T689" i="1"/>
  <c r="Q689" i="1"/>
  <c r="Q687" i="1"/>
  <c r="T687" i="1"/>
  <c r="W687" i="1"/>
  <c r="Q688" i="1"/>
  <c r="T688" i="1"/>
  <c r="W688" i="1"/>
  <c r="Q703" i="1"/>
  <c r="T703" i="1"/>
  <c r="W703" i="1"/>
  <c r="Q704" i="1"/>
  <c r="T704" i="1"/>
  <c r="W704" i="1"/>
  <c r="Q705" i="1"/>
  <c r="T705" i="1"/>
  <c r="W705" i="1"/>
  <c r="Q707" i="1"/>
  <c r="T707" i="1"/>
  <c r="W707" i="1"/>
  <c r="Q710" i="1"/>
  <c r="T710" i="1"/>
  <c r="W710" i="1"/>
  <c r="Q711" i="1"/>
  <c r="T711" i="1"/>
  <c r="W711" i="1"/>
  <c r="Q712" i="1"/>
  <c r="T712" i="1"/>
  <c r="W712" i="1"/>
  <c r="Q713" i="1"/>
  <c r="T713" i="1"/>
  <c r="W713" i="1"/>
  <c r="Q716" i="1"/>
  <c r="T716" i="1"/>
  <c r="W716" i="1"/>
  <c r="Q717" i="1"/>
  <c r="T717" i="1"/>
  <c r="W717" i="1"/>
  <c r="Q719" i="1"/>
  <c r="T719" i="1"/>
  <c r="W719" i="1"/>
  <c r="Q720" i="1"/>
  <c r="T720" i="1"/>
  <c r="W720" i="1"/>
  <c r="Q721" i="1"/>
  <c r="T721" i="1"/>
  <c r="W721" i="1"/>
  <c r="Q723" i="1"/>
  <c r="T723" i="1"/>
  <c r="W723" i="1"/>
  <c r="Q725" i="1"/>
  <c r="T725" i="1"/>
  <c r="W725" i="1"/>
  <c r="Q728" i="1"/>
  <c r="T728" i="1"/>
  <c r="W728" i="1"/>
  <c r="Q729" i="1"/>
  <c r="W729" i="1"/>
  <c r="Q742" i="1"/>
  <c r="T742" i="1"/>
  <c r="W742" i="1"/>
  <c r="Q743" i="1"/>
  <c r="T743" i="1"/>
  <c r="W743" i="1"/>
  <c r="Q744" i="1"/>
  <c r="T744" i="1"/>
  <c r="W744" i="1"/>
  <c r="Q749" i="1"/>
  <c r="T749" i="1"/>
  <c r="W749" i="1"/>
  <c r="Q750" i="1"/>
  <c r="T750" i="1"/>
  <c r="W750" i="1"/>
  <c r="Q751" i="1"/>
  <c r="T751" i="1"/>
  <c r="W751" i="1"/>
  <c r="Q752" i="1"/>
  <c r="T752" i="1"/>
  <c r="W752" i="1"/>
  <c r="Q753" i="1"/>
  <c r="T753" i="1"/>
  <c r="W753" i="1"/>
  <c r="Q754" i="1"/>
  <c r="T754" i="1"/>
  <c r="W754" i="1"/>
  <c r="Q760" i="1"/>
  <c r="T760" i="1"/>
  <c r="W760" i="1"/>
  <c r="Q685" i="1"/>
  <c r="T685" i="1"/>
  <c r="W685" i="1"/>
  <c r="Q686" i="1"/>
  <c r="T686" i="1"/>
  <c r="W686" i="1"/>
  <c r="Q662" i="1"/>
  <c r="T662" i="1"/>
  <c r="W662" i="1"/>
  <c r="Q684" i="1"/>
  <c r="T684" i="1"/>
  <c r="W684" i="1"/>
  <c r="Q664" i="1"/>
  <c r="T664" i="1"/>
  <c r="W664" i="1"/>
  <c r="Q608" i="1"/>
  <c r="T608" i="1"/>
  <c r="W608" i="1"/>
  <c r="J732" i="1"/>
  <c r="I732" i="1"/>
  <c r="G732" i="1"/>
  <c r="F732" i="1"/>
  <c r="D732" i="1"/>
  <c r="K731" i="1"/>
  <c r="H731" i="1"/>
  <c r="E731" i="1"/>
  <c r="K730" i="1"/>
  <c r="H730" i="1"/>
  <c r="E730" i="1"/>
  <c r="K729" i="1"/>
  <c r="H729" i="1"/>
  <c r="E729" i="1"/>
  <c r="K728" i="1"/>
  <c r="H728" i="1"/>
  <c r="E728" i="1"/>
  <c r="K727" i="1"/>
  <c r="H727" i="1"/>
  <c r="E727" i="1"/>
  <c r="K726" i="1"/>
  <c r="H726" i="1"/>
  <c r="E726" i="1"/>
  <c r="K725" i="1"/>
  <c r="H725" i="1"/>
  <c r="E725" i="1"/>
  <c r="K724" i="1"/>
  <c r="H724" i="1"/>
  <c r="E724" i="1"/>
  <c r="K723" i="1"/>
  <c r="H723" i="1"/>
  <c r="E723" i="1"/>
  <c r="K722" i="1"/>
  <c r="H722" i="1"/>
  <c r="E722" i="1"/>
  <c r="K721" i="1"/>
  <c r="H721" i="1"/>
  <c r="E721" i="1"/>
  <c r="K720" i="1"/>
  <c r="H720" i="1"/>
  <c r="E720" i="1"/>
  <c r="K719" i="1"/>
  <c r="H719" i="1"/>
  <c r="E719" i="1"/>
  <c r="K718" i="1"/>
  <c r="H718" i="1"/>
  <c r="E718" i="1"/>
  <c r="K715" i="1"/>
  <c r="H715" i="1"/>
  <c r="K714" i="1"/>
  <c r="H714" i="1"/>
  <c r="E714" i="1"/>
  <c r="K713" i="1"/>
  <c r="H713" i="1"/>
  <c r="E713" i="1"/>
  <c r="K712" i="1"/>
  <c r="H712" i="1"/>
  <c r="E712" i="1"/>
  <c r="K711" i="1"/>
  <c r="H711" i="1"/>
  <c r="E711" i="1"/>
  <c r="K710" i="1"/>
  <c r="H710" i="1"/>
  <c r="E710" i="1"/>
  <c r="K709" i="1"/>
  <c r="H709" i="1"/>
  <c r="E709" i="1"/>
  <c r="K708" i="1"/>
  <c r="H708" i="1"/>
  <c r="E708" i="1"/>
  <c r="K707" i="1"/>
  <c r="H707" i="1"/>
  <c r="E707" i="1"/>
  <c r="K705" i="1"/>
  <c r="H705" i="1"/>
  <c r="E705" i="1"/>
  <c r="K704" i="1"/>
  <c r="H704" i="1"/>
  <c r="E704" i="1"/>
  <c r="K703" i="1"/>
  <c r="H703" i="1"/>
  <c r="E703" i="1"/>
  <c r="K702" i="1"/>
  <c r="H702" i="1"/>
  <c r="E702" i="1"/>
  <c r="K701" i="1"/>
  <c r="H701" i="1"/>
  <c r="E701" i="1"/>
  <c r="I691" i="1"/>
  <c r="D691" i="1"/>
  <c r="C691" i="1"/>
  <c r="K690" i="1"/>
  <c r="H690" i="1"/>
  <c r="E690" i="1"/>
  <c r="K689" i="1"/>
  <c r="H689" i="1"/>
  <c r="E689" i="1"/>
  <c r="K688" i="1"/>
  <c r="H688" i="1"/>
  <c r="E688" i="1"/>
  <c r="K687" i="1"/>
  <c r="H687" i="1"/>
  <c r="E687" i="1"/>
  <c r="K686" i="1"/>
  <c r="E686" i="1"/>
  <c r="K685" i="1"/>
  <c r="H685" i="1"/>
  <c r="E685" i="1"/>
  <c r="K684" i="1"/>
  <c r="H684" i="1"/>
  <c r="E684" i="1"/>
  <c r="W683" i="1"/>
  <c r="T683" i="1"/>
  <c r="Q683" i="1"/>
  <c r="K683" i="1"/>
  <c r="H683" i="1"/>
  <c r="E683" i="1"/>
  <c r="W682" i="1"/>
  <c r="T682" i="1"/>
  <c r="Q682" i="1"/>
  <c r="E682" i="1"/>
  <c r="W681" i="1"/>
  <c r="T681" i="1"/>
  <c r="Q681" i="1"/>
  <c r="K681" i="1"/>
  <c r="H681" i="1"/>
  <c r="E681" i="1"/>
  <c r="W680" i="1"/>
  <c r="T680" i="1"/>
  <c r="Q680" i="1"/>
  <c r="K680" i="1"/>
  <c r="H680" i="1"/>
  <c r="E680" i="1"/>
  <c r="W679" i="1"/>
  <c r="T679" i="1"/>
  <c r="Q679" i="1"/>
  <c r="K679" i="1"/>
  <c r="H679" i="1"/>
  <c r="E679" i="1"/>
  <c r="W678" i="1"/>
  <c r="T678" i="1"/>
  <c r="Q678" i="1"/>
  <c r="K678" i="1"/>
  <c r="H678" i="1"/>
  <c r="E678" i="1"/>
  <c r="W677" i="1"/>
  <c r="T677" i="1"/>
  <c r="Q677" i="1"/>
  <c r="K677" i="1"/>
  <c r="H677" i="1"/>
  <c r="E677" i="1"/>
  <c r="W676" i="1"/>
  <c r="T676" i="1"/>
  <c r="Q676" i="1"/>
  <c r="H676" i="1"/>
  <c r="E676" i="1"/>
  <c r="W675" i="1"/>
  <c r="T675" i="1"/>
  <c r="Q675" i="1"/>
  <c r="K675" i="1"/>
  <c r="H675" i="1"/>
  <c r="E675" i="1"/>
  <c r="W674" i="1"/>
  <c r="T674" i="1"/>
  <c r="Q674" i="1"/>
  <c r="K674" i="1"/>
  <c r="H674" i="1"/>
  <c r="E674" i="1"/>
  <c r="W673" i="1"/>
  <c r="T673" i="1"/>
  <c r="Q673" i="1"/>
  <c r="K673" i="1"/>
  <c r="H673" i="1"/>
  <c r="E673" i="1"/>
  <c r="W672" i="1"/>
  <c r="T672" i="1"/>
  <c r="Q672" i="1"/>
  <c r="K672" i="1"/>
  <c r="H672" i="1"/>
  <c r="E672" i="1"/>
  <c r="K671" i="1"/>
  <c r="H671" i="1"/>
  <c r="E671" i="1"/>
  <c r="W670" i="1"/>
  <c r="T670" i="1"/>
  <c r="Q670" i="1"/>
  <c r="K670" i="1"/>
  <c r="H670" i="1"/>
  <c r="E670" i="1"/>
  <c r="K669" i="1"/>
  <c r="E669" i="1"/>
  <c r="K668" i="1"/>
  <c r="H668" i="1"/>
  <c r="E668" i="1"/>
  <c r="K667" i="1"/>
  <c r="H667" i="1"/>
  <c r="E667" i="1"/>
  <c r="W666" i="1"/>
  <c r="T666" i="1"/>
  <c r="Q666" i="1"/>
  <c r="K666" i="1"/>
  <c r="H666" i="1"/>
  <c r="E666" i="1"/>
  <c r="W663" i="1"/>
  <c r="T663" i="1"/>
  <c r="Q663" i="1"/>
  <c r="K663" i="1"/>
  <c r="H663" i="1"/>
  <c r="E663" i="1"/>
  <c r="K662" i="1"/>
  <c r="H662" i="1"/>
  <c r="E662" i="1"/>
  <c r="K661" i="1"/>
  <c r="H661" i="1"/>
  <c r="E661" i="1"/>
  <c r="W660" i="1"/>
  <c r="T660" i="1"/>
  <c r="Q660" i="1"/>
  <c r="K660" i="1"/>
  <c r="H660" i="1"/>
  <c r="E660" i="1"/>
  <c r="Q619" i="1"/>
  <c r="T619" i="1"/>
  <c r="W619" i="1"/>
  <c r="Q620" i="1"/>
  <c r="T620" i="1"/>
  <c r="W620" i="1"/>
  <c r="E625" i="1"/>
  <c r="H625" i="1"/>
  <c r="K625" i="1"/>
  <c r="E626" i="1"/>
  <c r="H626" i="1"/>
  <c r="K626" i="1"/>
  <c r="E627" i="1"/>
  <c r="H627" i="1"/>
  <c r="K627" i="1"/>
  <c r="E628" i="1"/>
  <c r="H628" i="1"/>
  <c r="K628" i="1"/>
  <c r="E629" i="1"/>
  <c r="H629" i="1"/>
  <c r="K629" i="1"/>
  <c r="E630" i="1"/>
  <c r="H630" i="1"/>
  <c r="K630" i="1"/>
  <c r="I650" i="1"/>
  <c r="G650" i="1"/>
  <c r="F650" i="1"/>
  <c r="D650" i="1"/>
  <c r="C650" i="1"/>
  <c r="H649" i="1"/>
  <c r="E649" i="1"/>
  <c r="K648" i="1"/>
  <c r="H648" i="1"/>
  <c r="E648" i="1"/>
  <c r="K647" i="1"/>
  <c r="H647" i="1"/>
  <c r="E647" i="1"/>
  <c r="K646" i="1"/>
  <c r="H646" i="1"/>
  <c r="E646" i="1"/>
  <c r="K645" i="1"/>
  <c r="H645" i="1"/>
  <c r="E645" i="1"/>
  <c r="K644" i="1"/>
  <c r="H644" i="1"/>
  <c r="E644" i="1"/>
  <c r="K643" i="1"/>
  <c r="H643" i="1"/>
  <c r="E643" i="1"/>
  <c r="W642" i="1"/>
  <c r="T642" i="1"/>
  <c r="Q642" i="1"/>
  <c r="K642" i="1"/>
  <c r="H642" i="1"/>
  <c r="E642" i="1"/>
  <c r="W641" i="1"/>
  <c r="T641" i="1"/>
  <c r="Q641" i="1"/>
  <c r="K641" i="1"/>
  <c r="H641" i="1"/>
  <c r="E641" i="1"/>
  <c r="W640" i="1"/>
  <c r="T640" i="1"/>
  <c r="Q640" i="1"/>
  <c r="K640" i="1"/>
  <c r="H640" i="1"/>
  <c r="E640" i="1"/>
  <c r="W639" i="1"/>
  <c r="T639" i="1"/>
  <c r="Q639" i="1"/>
  <c r="K639" i="1"/>
  <c r="H639" i="1"/>
  <c r="E639" i="1"/>
  <c r="W638" i="1"/>
  <c r="T638" i="1"/>
  <c r="Q638" i="1"/>
  <c r="K638" i="1"/>
  <c r="H638" i="1"/>
  <c r="E638" i="1"/>
  <c r="W637" i="1"/>
  <c r="T637" i="1"/>
  <c r="Q637" i="1"/>
  <c r="K637" i="1"/>
  <c r="H637" i="1"/>
  <c r="E637" i="1"/>
  <c r="W636" i="1"/>
  <c r="T636" i="1"/>
  <c r="Q636" i="1"/>
  <c r="K636" i="1"/>
  <c r="H636" i="1"/>
  <c r="E636" i="1"/>
  <c r="W635" i="1"/>
  <c r="T635" i="1"/>
  <c r="Q635" i="1"/>
  <c r="K635" i="1"/>
  <c r="H635" i="1"/>
  <c r="E635" i="1"/>
  <c r="H634" i="1"/>
  <c r="E634" i="1"/>
  <c r="K633" i="1"/>
  <c r="H633" i="1"/>
  <c r="E633" i="1"/>
  <c r="W632" i="1"/>
  <c r="T632" i="1"/>
  <c r="Q632" i="1"/>
  <c r="K632" i="1"/>
  <c r="H632" i="1"/>
  <c r="E632" i="1"/>
  <c r="W631" i="1"/>
  <c r="T631" i="1"/>
  <c r="Q631" i="1"/>
  <c r="K631" i="1"/>
  <c r="H631" i="1"/>
  <c r="E631" i="1"/>
  <c r="W630" i="1"/>
  <c r="T630" i="1"/>
  <c r="Q630" i="1"/>
  <c r="W629" i="1"/>
  <c r="T629" i="1"/>
  <c r="Q629" i="1"/>
  <c r="W628" i="1"/>
  <c r="T628" i="1"/>
  <c r="Q628" i="1"/>
  <c r="W626" i="1"/>
  <c r="T626" i="1"/>
  <c r="Q626" i="1"/>
  <c r="W625" i="1"/>
  <c r="T625" i="1"/>
  <c r="Q625" i="1"/>
  <c r="W623" i="1"/>
  <c r="T623" i="1"/>
  <c r="Q623" i="1"/>
  <c r="K623" i="1"/>
  <c r="H623" i="1"/>
  <c r="E623" i="1"/>
  <c r="W622" i="1"/>
  <c r="T622" i="1"/>
  <c r="Q622" i="1"/>
  <c r="K622" i="1"/>
  <c r="H622" i="1"/>
  <c r="E622" i="1"/>
  <c r="W621" i="1"/>
  <c r="T621" i="1"/>
  <c r="Q621" i="1"/>
  <c r="K621" i="1"/>
  <c r="H621" i="1"/>
  <c r="E621" i="1"/>
  <c r="K620" i="1"/>
  <c r="H620" i="1"/>
  <c r="E620" i="1"/>
  <c r="K619" i="1"/>
  <c r="H619" i="1"/>
  <c r="E619" i="1"/>
  <c r="Q580" i="1"/>
  <c r="T580" i="1"/>
  <c r="W580" i="1"/>
  <c r="K582" i="1"/>
  <c r="H582" i="1"/>
  <c r="E582" i="1"/>
  <c r="Q537" i="1"/>
  <c r="E549" i="1"/>
  <c r="H549" i="1"/>
  <c r="K549" i="1"/>
  <c r="W545" i="1"/>
  <c r="T545" i="1"/>
  <c r="Q545" i="1"/>
  <c r="E520" i="1"/>
  <c r="H520" i="1"/>
  <c r="K520" i="1"/>
  <c r="E521" i="1"/>
  <c r="H521" i="1"/>
  <c r="K521" i="1"/>
  <c r="K546" i="1"/>
  <c r="H546" i="1"/>
  <c r="E546" i="1"/>
  <c r="K545" i="1"/>
  <c r="H545" i="1"/>
  <c r="E545" i="1"/>
  <c r="V488" i="1"/>
  <c r="U488" i="1"/>
  <c r="S488" i="1"/>
  <c r="R488" i="1"/>
  <c r="P488" i="1"/>
  <c r="O488" i="1"/>
  <c r="Q584" i="1"/>
  <c r="T584" i="1"/>
  <c r="W584" i="1"/>
  <c r="E584" i="1"/>
  <c r="H584" i="1"/>
  <c r="K584" i="1"/>
  <c r="J609" i="1"/>
  <c r="I609" i="1"/>
  <c r="G609" i="1"/>
  <c r="F609" i="1"/>
  <c r="D609" i="1"/>
  <c r="C609" i="1"/>
  <c r="K608" i="1"/>
  <c r="H608" i="1"/>
  <c r="E608" i="1"/>
  <c r="W607" i="1"/>
  <c r="T607" i="1"/>
  <c r="Q607" i="1"/>
  <c r="K607" i="1"/>
  <c r="H607" i="1"/>
  <c r="E607" i="1"/>
  <c r="W606" i="1"/>
  <c r="T606" i="1"/>
  <c r="Q606" i="1"/>
  <c r="K606" i="1"/>
  <c r="H606" i="1"/>
  <c r="E606" i="1"/>
  <c r="W605" i="1"/>
  <c r="T605" i="1"/>
  <c r="Q605" i="1"/>
  <c r="K605" i="1"/>
  <c r="H605" i="1"/>
  <c r="E605" i="1"/>
  <c r="W604" i="1"/>
  <c r="T604" i="1"/>
  <c r="Q604" i="1"/>
  <c r="K604" i="1"/>
  <c r="H604" i="1"/>
  <c r="E604" i="1"/>
  <c r="W603" i="1"/>
  <c r="T603" i="1"/>
  <c r="Q603" i="1"/>
  <c r="K603" i="1"/>
  <c r="H603" i="1"/>
  <c r="E603" i="1"/>
  <c r="W602" i="1"/>
  <c r="T602" i="1"/>
  <c r="Q602" i="1"/>
  <c r="K602" i="1"/>
  <c r="H602" i="1"/>
  <c r="E602" i="1"/>
  <c r="W601" i="1"/>
  <c r="T601" i="1"/>
  <c r="Q601" i="1"/>
  <c r="K601" i="1"/>
  <c r="H601" i="1"/>
  <c r="E601" i="1"/>
  <c r="W600" i="1"/>
  <c r="T600" i="1"/>
  <c r="Q600" i="1"/>
  <c r="K600" i="1"/>
  <c r="H600" i="1"/>
  <c r="E600" i="1"/>
  <c r="W599" i="1"/>
  <c r="T599" i="1"/>
  <c r="Q599" i="1"/>
  <c r="K599" i="1"/>
  <c r="H599" i="1"/>
  <c r="E599" i="1"/>
  <c r="W598" i="1"/>
  <c r="T598" i="1"/>
  <c r="Q598" i="1"/>
  <c r="K598" i="1"/>
  <c r="H598" i="1"/>
  <c r="E598" i="1"/>
  <c r="W597" i="1"/>
  <c r="T597" i="1"/>
  <c r="Q597" i="1"/>
  <c r="K597" i="1"/>
  <c r="H597" i="1"/>
  <c r="E597" i="1"/>
  <c r="W596" i="1"/>
  <c r="T596" i="1"/>
  <c r="Q596" i="1"/>
  <c r="K596" i="1"/>
  <c r="H596" i="1"/>
  <c r="E596" i="1"/>
  <c r="W595" i="1"/>
  <c r="T595" i="1"/>
  <c r="Q595" i="1"/>
  <c r="K595" i="1"/>
  <c r="H595" i="1"/>
  <c r="E595" i="1"/>
  <c r="W594" i="1"/>
  <c r="T594" i="1"/>
  <c r="Q594" i="1"/>
  <c r="K594" i="1"/>
  <c r="H594" i="1"/>
  <c r="E594" i="1"/>
  <c r="W593" i="1"/>
  <c r="T593" i="1"/>
  <c r="Q593" i="1"/>
  <c r="K593" i="1"/>
  <c r="H593" i="1"/>
  <c r="E593" i="1"/>
  <c r="W592" i="1"/>
  <c r="T592" i="1"/>
  <c r="Q592" i="1"/>
  <c r="K592" i="1"/>
  <c r="H592" i="1"/>
  <c r="E592" i="1"/>
  <c r="W591" i="1"/>
  <c r="T591" i="1"/>
  <c r="Q591" i="1"/>
  <c r="K591" i="1"/>
  <c r="H591" i="1"/>
  <c r="E591" i="1"/>
  <c r="W590" i="1"/>
  <c r="T590" i="1"/>
  <c r="Q590" i="1"/>
  <c r="K590" i="1"/>
  <c r="H590" i="1"/>
  <c r="E590" i="1"/>
  <c r="W589" i="1"/>
  <c r="T589" i="1"/>
  <c r="Q589" i="1"/>
  <c r="K589" i="1"/>
  <c r="H589" i="1"/>
  <c r="E589" i="1"/>
  <c r="W588" i="1"/>
  <c r="T588" i="1"/>
  <c r="Q588" i="1"/>
  <c r="K588" i="1"/>
  <c r="H588" i="1"/>
  <c r="E588" i="1"/>
  <c r="W587" i="1"/>
  <c r="T587" i="1"/>
  <c r="Q587" i="1"/>
  <c r="K587" i="1"/>
  <c r="H587" i="1"/>
  <c r="E587" i="1"/>
  <c r="W586" i="1"/>
  <c r="T586" i="1"/>
  <c r="Q586" i="1"/>
  <c r="K586" i="1"/>
  <c r="H586" i="1"/>
  <c r="E586" i="1"/>
  <c r="W585" i="1"/>
  <c r="T585" i="1"/>
  <c r="Q585" i="1"/>
  <c r="K585" i="1"/>
  <c r="H585" i="1"/>
  <c r="E585" i="1"/>
  <c r="W582" i="1"/>
  <c r="T582" i="1"/>
  <c r="Q582" i="1"/>
  <c r="W581" i="1"/>
  <c r="T581" i="1"/>
  <c r="Q581" i="1"/>
  <c r="K581" i="1"/>
  <c r="H581" i="1"/>
  <c r="E581" i="1"/>
  <c r="K580" i="1"/>
  <c r="H580" i="1"/>
  <c r="E580" i="1"/>
  <c r="W579" i="1"/>
  <c r="T579" i="1"/>
  <c r="Q579" i="1"/>
  <c r="K579" i="1"/>
  <c r="H579" i="1"/>
  <c r="E579" i="1"/>
  <c r="W578" i="1"/>
  <c r="T578" i="1"/>
  <c r="Q578" i="1"/>
  <c r="K578" i="1"/>
  <c r="H578" i="1"/>
  <c r="E578" i="1"/>
  <c r="Q496" i="1"/>
  <c r="T496" i="1"/>
  <c r="W496" i="1"/>
  <c r="E519" i="1"/>
  <c r="H519" i="1"/>
  <c r="K519" i="1"/>
  <c r="K518" i="1"/>
  <c r="H518" i="1"/>
  <c r="E518" i="1"/>
  <c r="Q565" i="1"/>
  <c r="T565" i="1"/>
  <c r="W565" i="1"/>
  <c r="Q566" i="1"/>
  <c r="T566" i="1"/>
  <c r="W566" i="1"/>
  <c r="W524" i="1"/>
  <c r="T524" i="1"/>
  <c r="Q524" i="1"/>
  <c r="W523" i="1"/>
  <c r="T523" i="1"/>
  <c r="Q523" i="1"/>
  <c r="Q504" i="1"/>
  <c r="T504" i="1"/>
  <c r="W504" i="1"/>
  <c r="Q525" i="1"/>
  <c r="T525" i="1"/>
  <c r="W525" i="1"/>
  <c r="Q526" i="1"/>
  <c r="T526" i="1"/>
  <c r="W526" i="1"/>
  <c r="Q522" i="1"/>
  <c r="T522" i="1"/>
  <c r="W522" i="1"/>
  <c r="Q563" i="1"/>
  <c r="T563" i="1"/>
  <c r="W563" i="1"/>
  <c r="Q564" i="1"/>
  <c r="T564" i="1"/>
  <c r="W564" i="1"/>
  <c r="Q544" i="1"/>
  <c r="T544" i="1"/>
  <c r="W544" i="1"/>
  <c r="W543" i="1"/>
  <c r="T543" i="1"/>
  <c r="Q543" i="1"/>
  <c r="E537" i="1"/>
  <c r="H537" i="1"/>
  <c r="K537" i="1"/>
  <c r="E538" i="1"/>
  <c r="H538" i="1"/>
  <c r="K538" i="1"/>
  <c r="E543" i="1"/>
  <c r="H543" i="1"/>
  <c r="K543" i="1"/>
  <c r="E544" i="1"/>
  <c r="H544" i="1"/>
  <c r="K544" i="1"/>
  <c r="E547" i="1"/>
  <c r="H547" i="1"/>
  <c r="K547" i="1"/>
  <c r="E548" i="1"/>
  <c r="H548" i="1"/>
  <c r="K548" i="1"/>
  <c r="E550" i="1"/>
  <c r="H550" i="1"/>
  <c r="K550" i="1"/>
  <c r="E551" i="1"/>
  <c r="H551" i="1"/>
  <c r="K551" i="1"/>
  <c r="E552" i="1"/>
  <c r="H552" i="1"/>
  <c r="K552" i="1"/>
  <c r="E553" i="1"/>
  <c r="H553" i="1"/>
  <c r="K553" i="1"/>
  <c r="E554" i="1"/>
  <c r="H554" i="1"/>
  <c r="K554" i="1"/>
  <c r="J568" i="1"/>
  <c r="I568" i="1"/>
  <c r="G568" i="1"/>
  <c r="F568" i="1"/>
  <c r="D568" i="1"/>
  <c r="C568" i="1"/>
  <c r="W567" i="1"/>
  <c r="T567" i="1"/>
  <c r="Q567" i="1"/>
  <c r="K567" i="1"/>
  <c r="H567" i="1"/>
  <c r="E567" i="1"/>
  <c r="K566" i="1"/>
  <c r="H566" i="1"/>
  <c r="E566" i="1"/>
  <c r="K565" i="1"/>
  <c r="H565" i="1"/>
  <c r="E565" i="1"/>
  <c r="K564" i="1"/>
  <c r="H564" i="1"/>
  <c r="E564" i="1"/>
  <c r="K563" i="1"/>
  <c r="H563" i="1"/>
  <c r="E563" i="1"/>
  <c r="W562" i="1"/>
  <c r="T562" i="1"/>
  <c r="Q562" i="1"/>
  <c r="K562" i="1"/>
  <c r="H562" i="1"/>
  <c r="E562" i="1"/>
  <c r="W561" i="1"/>
  <c r="T561" i="1"/>
  <c r="Q561" i="1"/>
  <c r="K561" i="1"/>
  <c r="H561" i="1"/>
  <c r="E561" i="1"/>
  <c r="W560" i="1"/>
  <c r="T560" i="1"/>
  <c r="Q560" i="1"/>
  <c r="K560" i="1"/>
  <c r="H560" i="1"/>
  <c r="E560" i="1"/>
  <c r="W559" i="1"/>
  <c r="T559" i="1"/>
  <c r="Q559" i="1"/>
  <c r="K559" i="1"/>
  <c r="H559" i="1"/>
  <c r="E559" i="1"/>
  <c r="W558" i="1"/>
  <c r="T558" i="1"/>
  <c r="Q558" i="1"/>
  <c r="K558" i="1"/>
  <c r="H558" i="1"/>
  <c r="E558" i="1"/>
  <c r="W557" i="1"/>
  <c r="T557" i="1"/>
  <c r="Q557" i="1"/>
  <c r="K557" i="1"/>
  <c r="H557" i="1"/>
  <c r="E557" i="1"/>
  <c r="W556" i="1"/>
  <c r="T556" i="1"/>
  <c r="Q556" i="1"/>
  <c r="K556" i="1"/>
  <c r="H556" i="1"/>
  <c r="E556" i="1"/>
  <c r="W555" i="1"/>
  <c r="T555" i="1"/>
  <c r="Q555" i="1"/>
  <c r="K555" i="1"/>
  <c r="H555" i="1"/>
  <c r="E555" i="1"/>
  <c r="W554" i="1"/>
  <c r="T554" i="1"/>
  <c r="Q554" i="1"/>
  <c r="W553" i="1"/>
  <c r="T553" i="1"/>
  <c r="Q553" i="1"/>
  <c r="W552" i="1"/>
  <c r="T552" i="1"/>
  <c r="Q552" i="1"/>
  <c r="W551" i="1"/>
  <c r="T551" i="1"/>
  <c r="Q551" i="1"/>
  <c r="W550" i="1"/>
  <c r="T550" i="1"/>
  <c r="Q550" i="1"/>
  <c r="W549" i="1"/>
  <c r="T549" i="1"/>
  <c r="Q549" i="1"/>
  <c r="W548" i="1"/>
  <c r="T548" i="1"/>
  <c r="Q548" i="1"/>
  <c r="W547" i="1"/>
  <c r="T547" i="1"/>
  <c r="Q547" i="1"/>
  <c r="W546" i="1"/>
  <c r="T546" i="1"/>
  <c r="Q546" i="1"/>
  <c r="W541" i="1"/>
  <c r="T541" i="1"/>
  <c r="Q541" i="1"/>
  <c r="K541" i="1"/>
  <c r="H541" i="1"/>
  <c r="E541" i="1"/>
  <c r="W540" i="1"/>
  <c r="T540" i="1"/>
  <c r="Q540" i="1"/>
  <c r="K540" i="1"/>
  <c r="H540" i="1"/>
  <c r="E540" i="1"/>
  <c r="W539" i="1"/>
  <c r="T539" i="1"/>
  <c r="Q539" i="1"/>
  <c r="K539" i="1"/>
  <c r="H539" i="1"/>
  <c r="E539" i="1"/>
  <c r="W538" i="1"/>
  <c r="T538" i="1"/>
  <c r="Q538" i="1"/>
  <c r="W537" i="1"/>
  <c r="T537" i="1"/>
  <c r="W478" i="1"/>
  <c r="T478" i="1"/>
  <c r="Q478" i="1"/>
  <c r="J457" i="1"/>
  <c r="I457" i="1"/>
  <c r="G457" i="1"/>
  <c r="F457" i="1"/>
  <c r="D457" i="1"/>
  <c r="C457" i="1"/>
  <c r="Q467" i="1"/>
  <c r="T467" i="1"/>
  <c r="W467" i="1"/>
  <c r="Q468" i="1"/>
  <c r="T468" i="1"/>
  <c r="W468" i="1"/>
  <c r="Q469" i="1"/>
  <c r="T469" i="1"/>
  <c r="W469" i="1"/>
  <c r="W466" i="1"/>
  <c r="T466" i="1"/>
  <c r="Q466" i="1"/>
  <c r="W465" i="1"/>
  <c r="T465" i="1"/>
  <c r="Q465" i="1"/>
  <c r="W464" i="1"/>
  <c r="T464" i="1"/>
  <c r="Q464" i="1"/>
  <c r="W463" i="1"/>
  <c r="T463" i="1"/>
  <c r="Q463" i="1"/>
  <c r="W462" i="1"/>
  <c r="T462" i="1"/>
  <c r="Q462" i="1"/>
  <c r="W438" i="1"/>
  <c r="T438" i="1"/>
  <c r="Q438" i="1"/>
  <c r="W437" i="1"/>
  <c r="T437" i="1"/>
  <c r="Q437" i="1"/>
  <c r="W436" i="1"/>
  <c r="T436" i="1"/>
  <c r="Q436" i="1"/>
  <c r="Q439" i="1"/>
  <c r="T439" i="1"/>
  <c r="W439" i="1"/>
  <c r="W441" i="1"/>
  <c r="T441" i="1"/>
  <c r="Q441" i="1"/>
  <c r="W440" i="1"/>
  <c r="T440" i="1"/>
  <c r="Q440" i="1"/>
  <c r="W482" i="1"/>
  <c r="T482" i="1"/>
  <c r="Q482" i="1"/>
  <c r="W481" i="1"/>
  <c r="T481" i="1"/>
  <c r="Q481" i="1"/>
  <c r="E496" i="1"/>
  <c r="H496" i="1"/>
  <c r="K496" i="1"/>
  <c r="K455" i="1"/>
  <c r="H455" i="1"/>
  <c r="E455" i="1"/>
  <c r="Q521" i="1"/>
  <c r="T521" i="1"/>
  <c r="W521" i="1"/>
  <c r="W483" i="1"/>
  <c r="T483" i="1"/>
  <c r="Q483" i="1"/>
  <c r="W484" i="1"/>
  <c r="T484" i="1"/>
  <c r="Q484" i="1"/>
  <c r="J527" i="1"/>
  <c r="I527" i="1"/>
  <c r="G527" i="1"/>
  <c r="F527" i="1"/>
  <c r="D527" i="1"/>
  <c r="C527" i="1"/>
  <c r="K526" i="1"/>
  <c r="H526" i="1"/>
  <c r="E526" i="1"/>
  <c r="K525" i="1"/>
  <c r="H525" i="1"/>
  <c r="E525" i="1"/>
  <c r="K524" i="1"/>
  <c r="H524" i="1"/>
  <c r="E524" i="1"/>
  <c r="K523" i="1"/>
  <c r="H523" i="1"/>
  <c r="E523" i="1"/>
  <c r="K522" i="1"/>
  <c r="H522" i="1"/>
  <c r="E522" i="1"/>
  <c r="K517" i="1"/>
  <c r="H517" i="1"/>
  <c r="E517" i="1"/>
  <c r="K516" i="1"/>
  <c r="H516" i="1"/>
  <c r="E516" i="1"/>
  <c r="K515" i="1"/>
  <c r="H515" i="1"/>
  <c r="E515" i="1"/>
  <c r="K514" i="1"/>
  <c r="H514" i="1"/>
  <c r="E514" i="1"/>
  <c r="K513" i="1"/>
  <c r="H513" i="1"/>
  <c r="E513" i="1"/>
  <c r="K512" i="1"/>
  <c r="H512" i="1"/>
  <c r="E512" i="1"/>
  <c r="K511" i="1"/>
  <c r="H511" i="1"/>
  <c r="E511" i="1"/>
  <c r="K510" i="1"/>
  <c r="H510" i="1"/>
  <c r="E510" i="1"/>
  <c r="K509" i="1"/>
  <c r="H509" i="1"/>
  <c r="E509" i="1"/>
  <c r="K508" i="1"/>
  <c r="H508" i="1"/>
  <c r="E508" i="1"/>
  <c r="K507" i="1"/>
  <c r="H507" i="1"/>
  <c r="E507" i="1"/>
  <c r="K506" i="1"/>
  <c r="H506" i="1"/>
  <c r="E506" i="1"/>
  <c r="K505" i="1"/>
  <c r="H505" i="1"/>
  <c r="E505" i="1"/>
  <c r="K504" i="1"/>
  <c r="H504" i="1"/>
  <c r="E504" i="1"/>
  <c r="K503" i="1"/>
  <c r="H503" i="1"/>
  <c r="E503" i="1"/>
  <c r="K502" i="1"/>
  <c r="H502" i="1"/>
  <c r="E502" i="1"/>
  <c r="K500" i="1"/>
  <c r="H500" i="1"/>
  <c r="E500" i="1"/>
  <c r="K499" i="1"/>
  <c r="H499" i="1"/>
  <c r="E499" i="1"/>
  <c r="K498" i="1"/>
  <c r="H498" i="1"/>
  <c r="E498" i="1"/>
  <c r="K497" i="1"/>
  <c r="H497" i="1"/>
  <c r="E497" i="1"/>
  <c r="Q479" i="1"/>
  <c r="T479" i="1"/>
  <c r="W479" i="1"/>
  <c r="Q480" i="1"/>
  <c r="T480" i="1"/>
  <c r="W480" i="1"/>
  <c r="W485" i="1"/>
  <c r="T485" i="1"/>
  <c r="Q485" i="1"/>
  <c r="Q520" i="1"/>
  <c r="T520" i="1"/>
  <c r="W520" i="1"/>
  <c r="Q497" i="1"/>
  <c r="T497" i="1"/>
  <c r="W497" i="1"/>
  <c r="Q502" i="1"/>
  <c r="T502" i="1"/>
  <c r="W502" i="1"/>
  <c r="Q503" i="1"/>
  <c r="T503" i="1"/>
  <c r="W503" i="1"/>
  <c r="Q505" i="1"/>
  <c r="T505" i="1"/>
  <c r="W505" i="1"/>
  <c r="Q506" i="1"/>
  <c r="T506" i="1"/>
  <c r="W506" i="1"/>
  <c r="Q507" i="1"/>
  <c r="T507" i="1"/>
  <c r="W507" i="1"/>
  <c r="Q508" i="1"/>
  <c r="T508" i="1"/>
  <c r="W508" i="1"/>
  <c r="W519" i="1"/>
  <c r="T519" i="1"/>
  <c r="Q519" i="1"/>
  <c r="W518" i="1"/>
  <c r="T518" i="1"/>
  <c r="Q518" i="1"/>
  <c r="W517" i="1"/>
  <c r="T517" i="1"/>
  <c r="Q517" i="1"/>
  <c r="W516" i="1"/>
  <c r="T516" i="1"/>
  <c r="Q516" i="1"/>
  <c r="W515" i="1"/>
  <c r="T515" i="1"/>
  <c r="Q515" i="1"/>
  <c r="W514" i="1"/>
  <c r="T514" i="1"/>
  <c r="Q514" i="1"/>
  <c r="W513" i="1"/>
  <c r="T513" i="1"/>
  <c r="Q513" i="1"/>
  <c r="W512" i="1"/>
  <c r="T512" i="1"/>
  <c r="Q512" i="1"/>
  <c r="W511" i="1"/>
  <c r="T511" i="1"/>
  <c r="Q511" i="1"/>
  <c r="W510" i="1"/>
  <c r="T510" i="1"/>
  <c r="Q510" i="1"/>
  <c r="W509" i="1"/>
  <c r="T509" i="1"/>
  <c r="Q509" i="1"/>
  <c r="W500" i="1"/>
  <c r="T500" i="1"/>
  <c r="Q500" i="1"/>
  <c r="W499" i="1"/>
  <c r="T499" i="1"/>
  <c r="Q499" i="1"/>
  <c r="W498" i="1"/>
  <c r="T498" i="1"/>
  <c r="Q498" i="1"/>
  <c r="E431" i="1"/>
  <c r="E432" i="1"/>
  <c r="H431" i="1"/>
  <c r="K431" i="1"/>
  <c r="W432" i="1"/>
  <c r="T432" i="1"/>
  <c r="Q432" i="1"/>
  <c r="W431" i="1"/>
  <c r="T431" i="1"/>
  <c r="Q431" i="1"/>
  <c r="W442" i="1"/>
  <c r="T442" i="1"/>
  <c r="Q395" i="1"/>
  <c r="T395" i="1"/>
  <c r="W395" i="1"/>
  <c r="Q396" i="1"/>
  <c r="T396" i="1"/>
  <c r="W396" i="1"/>
  <c r="W394" i="1"/>
  <c r="T394" i="1"/>
  <c r="Q394" i="1"/>
  <c r="W393" i="1"/>
  <c r="T393" i="1"/>
  <c r="Q393" i="1"/>
  <c r="W392" i="1"/>
  <c r="T392" i="1"/>
  <c r="Q392" i="1"/>
  <c r="W391" i="1"/>
  <c r="T391" i="1"/>
  <c r="Q391" i="1"/>
  <c r="W390" i="1"/>
  <c r="T390" i="1"/>
  <c r="Q390" i="1"/>
  <c r="W389" i="1"/>
  <c r="T389" i="1"/>
  <c r="Q389" i="1"/>
  <c r="W388" i="1"/>
  <c r="T388" i="1"/>
  <c r="Q388" i="1"/>
  <c r="W387" i="1"/>
  <c r="T387" i="1"/>
  <c r="Q387" i="1"/>
  <c r="W386" i="1"/>
  <c r="T386" i="1"/>
  <c r="Q386" i="1"/>
  <c r="W385" i="1"/>
  <c r="T385" i="1"/>
  <c r="Q385" i="1"/>
  <c r="W384" i="1"/>
  <c r="T384" i="1"/>
  <c r="Q384" i="1"/>
  <c r="W383" i="1"/>
  <c r="T383" i="1"/>
  <c r="Q383" i="1"/>
  <c r="W382" i="1"/>
  <c r="T382" i="1"/>
  <c r="Q382" i="1"/>
  <c r="W381" i="1"/>
  <c r="T381" i="1"/>
  <c r="Q381" i="1"/>
  <c r="W380" i="1"/>
  <c r="T380" i="1"/>
  <c r="Q380" i="1"/>
  <c r="W379" i="1"/>
  <c r="T379" i="1"/>
  <c r="Q379" i="1"/>
  <c r="W357" i="1"/>
  <c r="T357" i="1"/>
  <c r="Q357" i="1"/>
  <c r="W356" i="1"/>
  <c r="T356" i="1"/>
  <c r="Q356" i="1"/>
  <c r="T403" i="1"/>
  <c r="W403" i="1"/>
  <c r="Q403" i="1"/>
  <c r="T400" i="1"/>
  <c r="W400" i="1"/>
  <c r="W355" i="1"/>
  <c r="T355" i="1"/>
  <c r="Q355" i="1"/>
  <c r="W354" i="1"/>
  <c r="T354" i="1"/>
  <c r="Q354" i="1"/>
  <c r="W353" i="1"/>
  <c r="T353" i="1"/>
  <c r="Q353" i="1"/>
  <c r="W352" i="1"/>
  <c r="T352" i="1"/>
  <c r="Q352" i="1"/>
  <c r="W351" i="1"/>
  <c r="T351" i="1"/>
  <c r="Q351" i="1"/>
  <c r="W350" i="1"/>
  <c r="T350" i="1"/>
  <c r="Q350" i="1"/>
  <c r="W358" i="1"/>
  <c r="T358" i="1"/>
  <c r="Q358" i="1"/>
  <c r="Q359" i="1"/>
  <c r="T359" i="1"/>
  <c r="W359" i="1"/>
  <c r="Q360" i="1"/>
  <c r="T360" i="1"/>
  <c r="W360" i="1"/>
  <c r="W362" i="1"/>
  <c r="T362" i="1"/>
  <c r="Q362" i="1"/>
  <c r="W361" i="1"/>
  <c r="T361" i="1"/>
  <c r="Q361" i="1"/>
  <c r="Q400" i="1"/>
  <c r="W399" i="1"/>
  <c r="T399" i="1"/>
  <c r="Q399" i="1"/>
  <c r="K379" i="1"/>
  <c r="H379" i="1"/>
  <c r="E379" i="1"/>
  <c r="I358" i="1"/>
  <c r="I363" i="1" s="1"/>
  <c r="W349" i="1"/>
  <c r="T349" i="1"/>
  <c r="Q349" i="1"/>
  <c r="W348" i="1"/>
  <c r="T348" i="1"/>
  <c r="Q348" i="1"/>
  <c r="W346" i="1"/>
  <c r="T346" i="1"/>
  <c r="Q346" i="1"/>
  <c r="W343" i="1"/>
  <c r="T343" i="1"/>
  <c r="Q343" i="1"/>
  <c r="W341" i="1"/>
  <c r="T341" i="1"/>
  <c r="Q341" i="1"/>
  <c r="Q340" i="1"/>
  <c r="T340" i="1"/>
  <c r="W340" i="1"/>
  <c r="W339" i="1"/>
  <c r="T339" i="1"/>
  <c r="Q339" i="1"/>
  <c r="W338" i="1"/>
  <c r="T338" i="1"/>
  <c r="Q338" i="1"/>
  <c r="W316" i="1"/>
  <c r="T316" i="1"/>
  <c r="Q316" i="1"/>
  <c r="W315" i="1"/>
  <c r="T315" i="1"/>
  <c r="Q315" i="1"/>
  <c r="W314" i="1"/>
  <c r="T314" i="1"/>
  <c r="Q314" i="1"/>
  <c r="W313" i="1"/>
  <c r="T313" i="1"/>
  <c r="Q313" i="1"/>
  <c r="W312" i="1"/>
  <c r="T312" i="1"/>
  <c r="Q312" i="1"/>
  <c r="W311" i="1"/>
  <c r="T311" i="1"/>
  <c r="Q311" i="1"/>
  <c r="W310" i="1"/>
  <c r="T310" i="1"/>
  <c r="Q310" i="1"/>
  <c r="W309" i="1"/>
  <c r="T309" i="1"/>
  <c r="Q309" i="1"/>
  <c r="W308" i="1"/>
  <c r="T308" i="1"/>
  <c r="Q308" i="1"/>
  <c r="W307" i="1"/>
  <c r="T307" i="1"/>
  <c r="Q307" i="1"/>
  <c r="W306" i="1"/>
  <c r="T306" i="1"/>
  <c r="Q306" i="1"/>
  <c r="W305" i="1"/>
  <c r="T305" i="1"/>
  <c r="Q305" i="1"/>
  <c r="J486" i="1"/>
  <c r="I486" i="1"/>
  <c r="G486" i="1"/>
  <c r="F486" i="1"/>
  <c r="D486" i="1"/>
  <c r="C486" i="1"/>
  <c r="K485" i="1"/>
  <c r="H485" i="1"/>
  <c r="E485" i="1"/>
  <c r="K484" i="1"/>
  <c r="H484" i="1"/>
  <c r="E484" i="1"/>
  <c r="K483" i="1"/>
  <c r="H483" i="1"/>
  <c r="E483" i="1"/>
  <c r="K482" i="1"/>
  <c r="H482" i="1"/>
  <c r="E482" i="1"/>
  <c r="K481" i="1"/>
  <c r="H481" i="1"/>
  <c r="E481" i="1"/>
  <c r="K480" i="1"/>
  <c r="H480" i="1"/>
  <c r="E480" i="1"/>
  <c r="K479" i="1"/>
  <c r="H479" i="1"/>
  <c r="E479" i="1"/>
  <c r="K478" i="1"/>
  <c r="H478" i="1"/>
  <c r="E478" i="1"/>
  <c r="K477" i="1"/>
  <c r="H477" i="1"/>
  <c r="E477" i="1"/>
  <c r="K476" i="1"/>
  <c r="H476" i="1"/>
  <c r="E476" i="1"/>
  <c r="K475" i="1"/>
  <c r="H475" i="1"/>
  <c r="E475" i="1"/>
  <c r="K474" i="1"/>
  <c r="H474" i="1"/>
  <c r="E474" i="1"/>
  <c r="K473" i="1"/>
  <c r="H473" i="1"/>
  <c r="E473" i="1"/>
  <c r="K472" i="1"/>
  <c r="H472" i="1"/>
  <c r="E472" i="1"/>
  <c r="K471" i="1"/>
  <c r="H471" i="1"/>
  <c r="E471" i="1"/>
  <c r="K470" i="1"/>
  <c r="H470" i="1"/>
  <c r="E470" i="1"/>
  <c r="K469" i="1"/>
  <c r="H469" i="1"/>
  <c r="E469" i="1"/>
  <c r="K468" i="1"/>
  <c r="H468" i="1"/>
  <c r="E468" i="1"/>
  <c r="K467" i="1"/>
  <c r="H467" i="1"/>
  <c r="E467" i="1"/>
  <c r="K466" i="1"/>
  <c r="H466" i="1"/>
  <c r="E466" i="1"/>
  <c r="K465" i="1"/>
  <c r="H465" i="1"/>
  <c r="E465" i="1"/>
  <c r="K464" i="1"/>
  <c r="H464" i="1"/>
  <c r="E464" i="1"/>
  <c r="K463" i="1"/>
  <c r="H463" i="1"/>
  <c r="E463" i="1"/>
  <c r="K462" i="1"/>
  <c r="H462" i="1"/>
  <c r="E462" i="1"/>
  <c r="K461" i="1"/>
  <c r="H461" i="1"/>
  <c r="E461" i="1"/>
  <c r="K459" i="1"/>
  <c r="H459" i="1"/>
  <c r="E459" i="1"/>
  <c r="K458" i="1"/>
  <c r="H458" i="1"/>
  <c r="E458" i="1"/>
  <c r="K456" i="1"/>
  <c r="H456" i="1"/>
  <c r="E456" i="1"/>
  <c r="Q342" i="1"/>
  <c r="T342" i="1"/>
  <c r="W342" i="1"/>
  <c r="W402" i="1"/>
  <c r="T402" i="1"/>
  <c r="Q402" i="1"/>
  <c r="W401" i="1"/>
  <c r="T401" i="1"/>
  <c r="Q401" i="1"/>
  <c r="Q374" i="1"/>
  <c r="T374" i="1"/>
  <c r="W374" i="1"/>
  <c r="Q375" i="1"/>
  <c r="T375" i="1"/>
  <c r="W375" i="1"/>
  <c r="Q414" i="1"/>
  <c r="T414" i="1"/>
  <c r="W414" i="1"/>
  <c r="Q415" i="1"/>
  <c r="T415" i="1"/>
  <c r="W415" i="1"/>
  <c r="Q416" i="1"/>
  <c r="T416" i="1"/>
  <c r="W416" i="1"/>
  <c r="Q417" i="1"/>
  <c r="T417" i="1"/>
  <c r="W417" i="1"/>
  <c r="Q418" i="1"/>
  <c r="T418" i="1"/>
  <c r="W418" i="1"/>
  <c r="Q420" i="1"/>
  <c r="T420" i="1"/>
  <c r="W420" i="1"/>
  <c r="Q421" i="1"/>
  <c r="T421" i="1"/>
  <c r="W421" i="1"/>
  <c r="Q422" i="1"/>
  <c r="T422" i="1"/>
  <c r="W422" i="1"/>
  <c r="Q423" i="1"/>
  <c r="T423" i="1"/>
  <c r="W423" i="1"/>
  <c r="Q424" i="1"/>
  <c r="T424" i="1"/>
  <c r="W424" i="1"/>
  <c r="Q425" i="1"/>
  <c r="T425" i="1"/>
  <c r="W425" i="1"/>
  <c r="Q426" i="1"/>
  <c r="T426" i="1"/>
  <c r="W426" i="1"/>
  <c r="Q427" i="1"/>
  <c r="T427" i="1"/>
  <c r="W427" i="1"/>
  <c r="Q428" i="1"/>
  <c r="T428" i="1"/>
  <c r="W428" i="1"/>
  <c r="Q429" i="1"/>
  <c r="T429" i="1"/>
  <c r="W429" i="1"/>
  <c r="Q430" i="1"/>
  <c r="T430" i="1"/>
  <c r="W430" i="1"/>
  <c r="Q433" i="1"/>
  <c r="T433" i="1"/>
  <c r="W433" i="1"/>
  <c r="Q434" i="1"/>
  <c r="T434" i="1"/>
  <c r="W434" i="1"/>
  <c r="Q435" i="1"/>
  <c r="T435" i="1"/>
  <c r="W435" i="1"/>
  <c r="Q442" i="1"/>
  <c r="Q443" i="1"/>
  <c r="T443" i="1"/>
  <c r="W443" i="1"/>
  <c r="Q444" i="1"/>
  <c r="T444" i="1"/>
  <c r="W444" i="1"/>
  <c r="Q455" i="1"/>
  <c r="T455" i="1"/>
  <c r="W455" i="1"/>
  <c r="Q456" i="1"/>
  <c r="T456" i="1"/>
  <c r="W456" i="1"/>
  <c r="Q457" i="1"/>
  <c r="T457" i="1"/>
  <c r="W457" i="1"/>
  <c r="Q458" i="1"/>
  <c r="T458" i="1"/>
  <c r="W458" i="1"/>
  <c r="Q459" i="1"/>
  <c r="T459" i="1"/>
  <c r="W459" i="1"/>
  <c r="Q461" i="1"/>
  <c r="T461" i="1"/>
  <c r="W461" i="1"/>
  <c r="Q470" i="1"/>
  <c r="T470" i="1"/>
  <c r="W470" i="1"/>
  <c r="Q471" i="1"/>
  <c r="T471" i="1"/>
  <c r="W471" i="1"/>
  <c r="Q472" i="1"/>
  <c r="T472" i="1"/>
  <c r="W472" i="1"/>
  <c r="Q473" i="1"/>
  <c r="T473" i="1"/>
  <c r="W473" i="1"/>
  <c r="Q474" i="1"/>
  <c r="T474" i="1"/>
  <c r="W474" i="1"/>
  <c r="Q475" i="1"/>
  <c r="T475" i="1"/>
  <c r="W475" i="1"/>
  <c r="Q476" i="1"/>
  <c r="T476" i="1"/>
  <c r="W476" i="1"/>
  <c r="Q477" i="1"/>
  <c r="T477" i="1"/>
  <c r="W477" i="1"/>
  <c r="Q317" i="1"/>
  <c r="T317" i="1"/>
  <c r="W317" i="1"/>
  <c r="V278" i="1"/>
  <c r="V281" i="1" s="1"/>
  <c r="U278" i="1"/>
  <c r="U281" i="1" s="1"/>
  <c r="S278" i="1"/>
  <c r="S281" i="1" s="1"/>
  <c r="R278" i="1"/>
  <c r="P278" i="1"/>
  <c r="O278" i="1"/>
  <c r="O281" i="1" s="1"/>
  <c r="W279" i="1"/>
  <c r="T279" i="1"/>
  <c r="Q279" i="1"/>
  <c r="J445" i="1"/>
  <c r="I445" i="1"/>
  <c r="G445" i="1"/>
  <c r="F445" i="1"/>
  <c r="D445" i="1"/>
  <c r="C445" i="1"/>
  <c r="K444" i="1"/>
  <c r="H444" i="1"/>
  <c r="E444" i="1"/>
  <c r="K443" i="1"/>
  <c r="H443" i="1"/>
  <c r="E443" i="1"/>
  <c r="K442" i="1"/>
  <c r="H442" i="1"/>
  <c r="E442" i="1"/>
  <c r="K441" i="1"/>
  <c r="H441" i="1"/>
  <c r="E441" i="1"/>
  <c r="K440" i="1"/>
  <c r="H440" i="1"/>
  <c r="E440" i="1"/>
  <c r="K439" i="1"/>
  <c r="H439" i="1"/>
  <c r="E439" i="1"/>
  <c r="K438" i="1"/>
  <c r="H438" i="1"/>
  <c r="E438" i="1"/>
  <c r="K437" i="1"/>
  <c r="H437" i="1"/>
  <c r="E437" i="1"/>
  <c r="K436" i="1"/>
  <c r="H436" i="1"/>
  <c r="E436" i="1"/>
  <c r="K435" i="1"/>
  <c r="H435" i="1"/>
  <c r="E435" i="1"/>
  <c r="K434" i="1"/>
  <c r="H434" i="1"/>
  <c r="E434" i="1"/>
  <c r="K433" i="1"/>
  <c r="H433" i="1"/>
  <c r="E433" i="1"/>
  <c r="K432" i="1"/>
  <c r="H432" i="1"/>
  <c r="K430" i="1"/>
  <c r="H430" i="1"/>
  <c r="E430" i="1"/>
  <c r="K429" i="1"/>
  <c r="H429" i="1"/>
  <c r="E429" i="1"/>
  <c r="K428" i="1"/>
  <c r="H428" i="1"/>
  <c r="E428" i="1"/>
  <c r="K427" i="1"/>
  <c r="H427" i="1"/>
  <c r="E427" i="1"/>
  <c r="K426" i="1"/>
  <c r="H426" i="1"/>
  <c r="E426" i="1"/>
  <c r="K425" i="1"/>
  <c r="H425" i="1"/>
  <c r="E425" i="1"/>
  <c r="K424" i="1"/>
  <c r="H424" i="1"/>
  <c r="E424" i="1"/>
  <c r="K423" i="1"/>
  <c r="H423" i="1"/>
  <c r="E423" i="1"/>
  <c r="K422" i="1"/>
  <c r="H422" i="1"/>
  <c r="E422" i="1"/>
  <c r="K421" i="1"/>
  <c r="H421" i="1"/>
  <c r="E421" i="1"/>
  <c r="K420" i="1"/>
  <c r="H420" i="1"/>
  <c r="E420" i="1"/>
  <c r="K418" i="1"/>
  <c r="H418" i="1"/>
  <c r="E418" i="1"/>
  <c r="K417" i="1"/>
  <c r="H417" i="1"/>
  <c r="E417" i="1"/>
  <c r="K416" i="1"/>
  <c r="H416" i="1"/>
  <c r="E416" i="1"/>
  <c r="K415" i="1"/>
  <c r="H415" i="1"/>
  <c r="E415" i="1"/>
  <c r="K414" i="1"/>
  <c r="H414" i="1"/>
  <c r="E414" i="1"/>
  <c r="Q334" i="1"/>
  <c r="T334" i="1"/>
  <c r="W334" i="1"/>
  <c r="W301" i="1"/>
  <c r="T301" i="1"/>
  <c r="Q301" i="1"/>
  <c r="Q318" i="1"/>
  <c r="T318" i="1"/>
  <c r="W318" i="1"/>
  <c r="Q319" i="1"/>
  <c r="T319" i="1"/>
  <c r="W319" i="1"/>
  <c r="Q320" i="1"/>
  <c r="T320" i="1"/>
  <c r="W320" i="1"/>
  <c r="Q321" i="1"/>
  <c r="T321" i="1"/>
  <c r="W321" i="1"/>
  <c r="Q376" i="1"/>
  <c r="T376" i="1"/>
  <c r="W376" i="1"/>
  <c r="Q333" i="1"/>
  <c r="T333" i="1"/>
  <c r="W333" i="1"/>
  <c r="Q335" i="1"/>
  <c r="T335" i="1"/>
  <c r="W335" i="1"/>
  <c r="J404" i="1"/>
  <c r="I404" i="1"/>
  <c r="G404" i="1"/>
  <c r="F404" i="1"/>
  <c r="D404" i="1"/>
  <c r="C404" i="1"/>
  <c r="K403" i="1"/>
  <c r="H403" i="1"/>
  <c r="E403" i="1"/>
  <c r="K402" i="1"/>
  <c r="H402" i="1"/>
  <c r="E402" i="1"/>
  <c r="K401" i="1"/>
  <c r="H401" i="1"/>
  <c r="E401" i="1"/>
  <c r="K400" i="1"/>
  <c r="H400" i="1"/>
  <c r="E400" i="1"/>
  <c r="K399" i="1"/>
  <c r="H399" i="1"/>
  <c r="E399" i="1"/>
  <c r="W398" i="1"/>
  <c r="T398" i="1"/>
  <c r="Q398" i="1"/>
  <c r="K398" i="1"/>
  <c r="H398" i="1"/>
  <c r="E398" i="1"/>
  <c r="W397" i="1"/>
  <c r="T397" i="1"/>
  <c r="Q397" i="1"/>
  <c r="K397" i="1"/>
  <c r="H397" i="1"/>
  <c r="E397" i="1"/>
  <c r="K396" i="1"/>
  <c r="H396" i="1"/>
  <c r="E396" i="1"/>
  <c r="K395" i="1"/>
  <c r="H395" i="1"/>
  <c r="E395" i="1"/>
  <c r="K394" i="1"/>
  <c r="H394" i="1"/>
  <c r="E394" i="1"/>
  <c r="K393" i="1"/>
  <c r="H393" i="1"/>
  <c r="E393" i="1"/>
  <c r="K392" i="1"/>
  <c r="H392" i="1"/>
  <c r="E392" i="1"/>
  <c r="K391" i="1"/>
  <c r="H391" i="1"/>
  <c r="E391" i="1"/>
  <c r="K390" i="1"/>
  <c r="H390" i="1"/>
  <c r="E390" i="1"/>
  <c r="K389" i="1"/>
  <c r="H389" i="1"/>
  <c r="E389" i="1"/>
  <c r="K388" i="1"/>
  <c r="H388" i="1"/>
  <c r="E388" i="1"/>
  <c r="K387" i="1"/>
  <c r="H387" i="1"/>
  <c r="E387" i="1"/>
  <c r="K386" i="1"/>
  <c r="H386" i="1"/>
  <c r="E386" i="1"/>
  <c r="K385" i="1"/>
  <c r="H385" i="1"/>
  <c r="E385" i="1"/>
  <c r="K384" i="1"/>
  <c r="H384" i="1"/>
  <c r="E384" i="1"/>
  <c r="K383" i="1"/>
  <c r="H383" i="1"/>
  <c r="E383" i="1"/>
  <c r="K382" i="1"/>
  <c r="H382" i="1"/>
  <c r="E382" i="1"/>
  <c r="K381" i="1"/>
  <c r="H381" i="1"/>
  <c r="E381" i="1"/>
  <c r="K380" i="1"/>
  <c r="H380" i="1"/>
  <c r="E380" i="1"/>
  <c r="W377" i="1"/>
  <c r="T377" i="1"/>
  <c r="Q377" i="1"/>
  <c r="K377" i="1"/>
  <c r="H377" i="1"/>
  <c r="E377" i="1"/>
  <c r="K376" i="1"/>
  <c r="H376" i="1"/>
  <c r="E376" i="1"/>
  <c r="K375" i="1"/>
  <c r="H375" i="1"/>
  <c r="E375" i="1"/>
  <c r="K374" i="1"/>
  <c r="H374" i="1"/>
  <c r="E374" i="1"/>
  <c r="W373" i="1"/>
  <c r="T373" i="1"/>
  <c r="Q373" i="1"/>
  <c r="K373" i="1"/>
  <c r="H373" i="1"/>
  <c r="E373" i="1"/>
  <c r="Q275" i="1"/>
  <c r="T275" i="1"/>
  <c r="W275" i="1"/>
  <c r="Q297" i="1"/>
  <c r="T297" i="1"/>
  <c r="W297" i="1"/>
  <c r="Q276" i="1"/>
  <c r="T276" i="1"/>
  <c r="W276" i="1"/>
  <c r="Q277" i="1"/>
  <c r="T277" i="1"/>
  <c r="W277" i="1"/>
  <c r="W280" i="1"/>
  <c r="T280" i="1"/>
  <c r="J276" i="1"/>
  <c r="W270" i="1"/>
  <c r="T270" i="1"/>
  <c r="Q270" i="1"/>
  <c r="K253" i="1"/>
  <c r="H253" i="1"/>
  <c r="J269" i="1"/>
  <c r="K291" i="1"/>
  <c r="H291" i="1"/>
  <c r="E291" i="1"/>
  <c r="Q253" i="1"/>
  <c r="T253" i="1"/>
  <c r="W253" i="1"/>
  <c r="Q254" i="1"/>
  <c r="T254" i="1"/>
  <c r="W254" i="1"/>
  <c r="E261" i="1"/>
  <c r="E262" i="1"/>
  <c r="E263" i="1"/>
  <c r="E264" i="1"/>
  <c r="E265" i="1"/>
  <c r="E266" i="1"/>
  <c r="E267" i="1"/>
  <c r="E268" i="1"/>
  <c r="E250" i="1"/>
  <c r="H250" i="1"/>
  <c r="K250" i="1"/>
  <c r="H263" i="1"/>
  <c r="K263" i="1"/>
  <c r="W263" i="1"/>
  <c r="T263" i="1"/>
  <c r="Q263" i="1"/>
  <c r="Q264" i="1"/>
  <c r="T264" i="1"/>
  <c r="W264" i="1"/>
  <c r="W251" i="1"/>
  <c r="T251" i="1"/>
  <c r="Q251" i="1"/>
  <c r="Q252" i="1"/>
  <c r="T252" i="1"/>
  <c r="W252" i="1"/>
  <c r="W208" i="1"/>
  <c r="T208" i="1"/>
  <c r="Q208" i="1"/>
  <c r="Q292" i="1"/>
  <c r="T292" i="1"/>
  <c r="W292" i="1"/>
  <c r="W185" i="1"/>
  <c r="T185" i="1"/>
  <c r="Q185" i="1"/>
  <c r="W184" i="1"/>
  <c r="T184" i="1"/>
  <c r="Q184" i="1"/>
  <c r="C363" i="1"/>
  <c r="J363" i="1"/>
  <c r="G363" i="1"/>
  <c r="F363" i="1"/>
  <c r="D363" i="1"/>
  <c r="K362" i="1"/>
  <c r="H362" i="1"/>
  <c r="E362" i="1"/>
  <c r="K361" i="1"/>
  <c r="H361" i="1"/>
  <c r="E361" i="1"/>
  <c r="K360" i="1"/>
  <c r="H360" i="1"/>
  <c r="E360" i="1"/>
  <c r="K359" i="1"/>
  <c r="H359" i="1"/>
  <c r="E359" i="1"/>
  <c r="H358" i="1"/>
  <c r="E358" i="1"/>
  <c r="K357" i="1"/>
  <c r="H357" i="1"/>
  <c r="E357" i="1"/>
  <c r="K356" i="1"/>
  <c r="H356" i="1"/>
  <c r="E356" i="1"/>
  <c r="K355" i="1"/>
  <c r="H355" i="1"/>
  <c r="E355" i="1"/>
  <c r="K354" i="1"/>
  <c r="H354" i="1"/>
  <c r="E354" i="1"/>
  <c r="K353" i="1"/>
  <c r="H353" i="1"/>
  <c r="E353" i="1"/>
  <c r="K352" i="1"/>
  <c r="H352" i="1"/>
  <c r="E352" i="1"/>
  <c r="K351" i="1"/>
  <c r="H351" i="1"/>
  <c r="E351" i="1"/>
  <c r="K350" i="1"/>
  <c r="H350" i="1"/>
  <c r="E350" i="1"/>
  <c r="K349" i="1"/>
  <c r="H349" i="1"/>
  <c r="E349" i="1"/>
  <c r="K348" i="1"/>
  <c r="H348" i="1"/>
  <c r="E348" i="1"/>
  <c r="W347" i="1"/>
  <c r="T347" i="1"/>
  <c r="Q347" i="1"/>
  <c r="K347" i="1"/>
  <c r="H347" i="1"/>
  <c r="E347" i="1"/>
  <c r="K346" i="1"/>
  <c r="H346" i="1"/>
  <c r="E346" i="1"/>
  <c r="W345" i="1"/>
  <c r="T345" i="1"/>
  <c r="Q345" i="1"/>
  <c r="K345" i="1"/>
  <c r="H345" i="1"/>
  <c r="E345" i="1"/>
  <c r="W344" i="1"/>
  <c r="T344" i="1"/>
  <c r="Q344" i="1"/>
  <c r="K344" i="1"/>
  <c r="H344" i="1"/>
  <c r="E344" i="1"/>
  <c r="K343" i="1"/>
  <c r="H343" i="1"/>
  <c r="E343" i="1"/>
  <c r="K342" i="1"/>
  <c r="H342" i="1"/>
  <c r="E342" i="1"/>
  <c r="K341" i="1"/>
  <c r="H341" i="1"/>
  <c r="E341" i="1"/>
  <c r="K340" i="1"/>
  <c r="H340" i="1"/>
  <c r="E340" i="1"/>
  <c r="K339" i="1"/>
  <c r="H339" i="1"/>
  <c r="E339" i="1"/>
  <c r="K338" i="1"/>
  <c r="H338" i="1"/>
  <c r="E338" i="1"/>
  <c r="W336" i="1"/>
  <c r="T336" i="1"/>
  <c r="Q336" i="1"/>
  <c r="K336" i="1"/>
  <c r="H336" i="1"/>
  <c r="E336" i="1"/>
  <c r="K335" i="1"/>
  <c r="H335" i="1"/>
  <c r="E335" i="1"/>
  <c r="K334" i="1"/>
  <c r="H334" i="1"/>
  <c r="E334" i="1"/>
  <c r="K333" i="1"/>
  <c r="H333" i="1"/>
  <c r="E333" i="1"/>
  <c r="W332" i="1"/>
  <c r="T332" i="1"/>
  <c r="Q332" i="1"/>
  <c r="K332" i="1"/>
  <c r="H332" i="1"/>
  <c r="E332" i="1"/>
  <c r="X1278" i="1" l="1"/>
  <c r="X1279" i="1"/>
  <c r="X1300" i="1"/>
  <c r="X1221" i="1"/>
  <c r="X1216" i="1"/>
  <c r="X1219" i="1"/>
  <c r="T1223" i="1"/>
  <c r="X1223" i="1" s="1"/>
  <c r="X1217" i="1"/>
  <c r="X1218" i="1"/>
  <c r="X1220" i="1"/>
  <c r="X1182" i="1"/>
  <c r="W1306" i="1"/>
  <c r="X1302" i="1"/>
  <c r="X1303" i="1"/>
  <c r="X1173" i="1"/>
  <c r="E1306" i="1"/>
  <c r="H1265" i="1"/>
  <c r="L1306" i="1"/>
  <c r="T1306" i="1"/>
  <c r="Q1306" i="1"/>
  <c r="U1142" i="1"/>
  <c r="L1236" i="1"/>
  <c r="L1182" i="1"/>
  <c r="X1093" i="1"/>
  <c r="X1079" i="1"/>
  <c r="X1087" i="1"/>
  <c r="L1081" i="1"/>
  <c r="L1097" i="1"/>
  <c r="X1124" i="1"/>
  <c r="R1142" i="1"/>
  <c r="X1072" i="1"/>
  <c r="X1071" i="1"/>
  <c r="L1263" i="1"/>
  <c r="X1136" i="1"/>
  <c r="X1054" i="1"/>
  <c r="K1183" i="1"/>
  <c r="H1183" i="1"/>
  <c r="L1183" i="1" s="1"/>
  <c r="L1089" i="1"/>
  <c r="AA1073" i="1"/>
  <c r="AA1075" i="1" s="1"/>
  <c r="L1077" i="1"/>
  <c r="L1085" i="1"/>
  <c r="L1093" i="1"/>
  <c r="E1101" i="1"/>
  <c r="X1120" i="1"/>
  <c r="X1128" i="1"/>
  <c r="E1183" i="1"/>
  <c r="X1234" i="1"/>
  <c r="X1236" i="1"/>
  <c r="L1240" i="1"/>
  <c r="L1248" i="1"/>
  <c r="L1256" i="1"/>
  <c r="X1137" i="1"/>
  <c r="X1134" i="1"/>
  <c r="X1077" i="1"/>
  <c r="K1224" i="1"/>
  <c r="X1237" i="1"/>
  <c r="E1265" i="1"/>
  <c r="L1265" i="1" s="1"/>
  <c r="X1083" i="1"/>
  <c r="X1095" i="1"/>
  <c r="X1244" i="1"/>
  <c r="X1252" i="1"/>
  <c r="L1255" i="1"/>
  <c r="L1261" i="1"/>
  <c r="K1265" i="1"/>
  <c r="X1078" i="1"/>
  <c r="X1238" i="1"/>
  <c r="H1101" i="1"/>
  <c r="K1101" i="1"/>
  <c r="X1053" i="1"/>
  <c r="X846" i="1"/>
  <c r="X1036" i="1"/>
  <c r="X1040" i="1"/>
  <c r="L1044" i="1"/>
  <c r="L1046" i="1"/>
  <c r="L1048" i="1"/>
  <c r="L1050" i="1"/>
  <c r="L1054" i="1"/>
  <c r="X1154" i="1"/>
  <c r="X1241" i="1"/>
  <c r="X1245" i="1"/>
  <c r="X1249" i="1"/>
  <c r="X1253" i="1"/>
  <c r="X1257" i="1"/>
  <c r="L1237" i="1"/>
  <c r="L1241" i="1"/>
  <c r="L1245" i="1"/>
  <c r="L1249" i="1"/>
  <c r="L1253" i="1"/>
  <c r="L1257" i="1"/>
  <c r="X1243" i="1"/>
  <c r="X1247" i="1"/>
  <c r="X1251" i="1"/>
  <c r="X1255" i="1"/>
  <c r="L1235" i="1"/>
  <c r="L1163" i="1"/>
  <c r="L1167" i="1"/>
  <c r="L1171" i="1"/>
  <c r="L1175" i="1"/>
  <c r="L1179" i="1"/>
  <c r="X1135" i="1"/>
  <c r="X1100" i="1"/>
  <c r="X1242" i="1"/>
  <c r="X1246" i="1"/>
  <c r="X1250" i="1"/>
  <c r="X1254" i="1"/>
  <c r="L1234" i="1"/>
  <c r="L1238" i="1"/>
  <c r="L1242" i="1"/>
  <c r="L1246" i="1"/>
  <c r="L1250" i="1"/>
  <c r="L1254" i="1"/>
  <c r="L1258" i="1"/>
  <c r="L1262" i="1"/>
  <c r="Q1265" i="1"/>
  <c r="X1098" i="1"/>
  <c r="X1222" i="1"/>
  <c r="T1265" i="1"/>
  <c r="X1235" i="1"/>
  <c r="X1070" i="1"/>
  <c r="L1070" i="1"/>
  <c r="L1074" i="1"/>
  <c r="L1111" i="1"/>
  <c r="L1115" i="1"/>
  <c r="L1194" i="1"/>
  <c r="E691" i="1"/>
  <c r="L960" i="1"/>
  <c r="X953" i="1"/>
  <c r="X948" i="1"/>
  <c r="X995" i="1"/>
  <c r="X990" i="1"/>
  <c r="L1057" i="1"/>
  <c r="AI1074" i="1"/>
  <c r="AI1064" i="1"/>
  <c r="U1101" i="1"/>
  <c r="X1030" i="1"/>
  <c r="L1117" i="1"/>
  <c r="L1121" i="1"/>
  <c r="L1125" i="1"/>
  <c r="L1129" i="1"/>
  <c r="L1133" i="1"/>
  <c r="L1137" i="1"/>
  <c r="L1141" i="1"/>
  <c r="H1142" i="1"/>
  <c r="X1153" i="1"/>
  <c r="X1158" i="1"/>
  <c r="X1162" i="1"/>
  <c r="X1166" i="1"/>
  <c r="X1170" i="1"/>
  <c r="L1155" i="1"/>
  <c r="X1200" i="1"/>
  <c r="X1202" i="1"/>
  <c r="X1204" i="1"/>
  <c r="X1206" i="1"/>
  <c r="X1208" i="1"/>
  <c r="X1210" i="1"/>
  <c r="X1212" i="1"/>
  <c r="X1180" i="1"/>
  <c r="X1140" i="1"/>
  <c r="L1202" i="1"/>
  <c r="L1206" i="1"/>
  <c r="L1210" i="1"/>
  <c r="L1214" i="1"/>
  <c r="L1218" i="1"/>
  <c r="E1224" i="1"/>
  <c r="H1224" i="1"/>
  <c r="X1094" i="1"/>
  <c r="X1112" i="1"/>
  <c r="X1050" i="1"/>
  <c r="K1060" i="1"/>
  <c r="X1096" i="1"/>
  <c r="O1060" i="1"/>
  <c r="AB1065" i="1"/>
  <c r="AI1063" i="1"/>
  <c r="S1060" i="1"/>
  <c r="T1059" i="1"/>
  <c r="X1059" i="1" s="1"/>
  <c r="X754" i="1"/>
  <c r="G691" i="1"/>
  <c r="X1031" i="1"/>
  <c r="X1051" i="1"/>
  <c r="X480" i="1"/>
  <c r="L548" i="1"/>
  <c r="X522" i="1"/>
  <c r="W488" i="1"/>
  <c r="X580" i="1"/>
  <c r="C732" i="1"/>
  <c r="X1032" i="1"/>
  <c r="X1052" i="1"/>
  <c r="X892" i="1"/>
  <c r="AI1069" i="1"/>
  <c r="AG1073" i="1"/>
  <c r="AG1075" i="1" s="1"/>
  <c r="AC1073" i="1"/>
  <c r="AC1075" i="1" s="1"/>
  <c r="X1082" i="1"/>
  <c r="X1086" i="1"/>
  <c r="X1090" i="1"/>
  <c r="L1073" i="1"/>
  <c r="L1076" i="1"/>
  <c r="L1080" i="1"/>
  <c r="L1084" i="1"/>
  <c r="L1088" i="1"/>
  <c r="L1092" i="1"/>
  <c r="L1096" i="1"/>
  <c r="L1100" i="1"/>
  <c r="X1111" i="1"/>
  <c r="X1119" i="1"/>
  <c r="X1123" i="1"/>
  <c r="X1127" i="1"/>
  <c r="X1131" i="1"/>
  <c r="X1133" i="1"/>
  <c r="L1114" i="1"/>
  <c r="L1120" i="1"/>
  <c r="L1124" i="1"/>
  <c r="L1128" i="1"/>
  <c r="L1132" i="1"/>
  <c r="L1136" i="1"/>
  <c r="L1140" i="1"/>
  <c r="E1142" i="1"/>
  <c r="X1152" i="1"/>
  <c r="X1161" i="1"/>
  <c r="X1165" i="1"/>
  <c r="X1169" i="1"/>
  <c r="X1113" i="1"/>
  <c r="L1154" i="1"/>
  <c r="L1158" i="1"/>
  <c r="L1162" i="1"/>
  <c r="L1166" i="1"/>
  <c r="L1170" i="1"/>
  <c r="L1174" i="1"/>
  <c r="L1178" i="1"/>
  <c r="X1099" i="1"/>
  <c r="X1097" i="1"/>
  <c r="X1058" i="1"/>
  <c r="X1193" i="1"/>
  <c r="X1197" i="1"/>
  <c r="X1201" i="1"/>
  <c r="X1205" i="1"/>
  <c r="X1209" i="1"/>
  <c r="X1213" i="1"/>
  <c r="X1179" i="1"/>
  <c r="X1139" i="1"/>
  <c r="L1193" i="1"/>
  <c r="L1197" i="1"/>
  <c r="L1201" i="1"/>
  <c r="L1205" i="1"/>
  <c r="L1209" i="1"/>
  <c r="L1213" i="1"/>
  <c r="L1217" i="1"/>
  <c r="L1223" i="1"/>
  <c r="L965" i="1"/>
  <c r="L961" i="1"/>
  <c r="L1052" i="1"/>
  <c r="L1042" i="1"/>
  <c r="L1038" i="1"/>
  <c r="Z1073" i="1"/>
  <c r="Z1075" i="1" s="1"/>
  <c r="X1074" i="1"/>
  <c r="X1081" i="1"/>
  <c r="X1085" i="1"/>
  <c r="X1089" i="1"/>
  <c r="L1072" i="1"/>
  <c r="L1079" i="1"/>
  <c r="L1083" i="1"/>
  <c r="L1087" i="1"/>
  <c r="L1091" i="1"/>
  <c r="L1095" i="1"/>
  <c r="L1099" i="1"/>
  <c r="X1115" i="1"/>
  <c r="X1118" i="1"/>
  <c r="X1122" i="1"/>
  <c r="X1126" i="1"/>
  <c r="X1132" i="1"/>
  <c r="L1113" i="1"/>
  <c r="L1119" i="1"/>
  <c r="L1123" i="1"/>
  <c r="L1127" i="1"/>
  <c r="L1131" i="1"/>
  <c r="L1135" i="1"/>
  <c r="L1139" i="1"/>
  <c r="X1160" i="1"/>
  <c r="X1164" i="1"/>
  <c r="X1168" i="1"/>
  <c r="X1172" i="1"/>
  <c r="L1153" i="1"/>
  <c r="L1161" i="1"/>
  <c r="L1165" i="1"/>
  <c r="L1169" i="1"/>
  <c r="L1173" i="1"/>
  <c r="L1177" i="1"/>
  <c r="L1181" i="1"/>
  <c r="X1057" i="1"/>
  <c r="X1196" i="1"/>
  <c r="X1138" i="1"/>
  <c r="L1196" i="1"/>
  <c r="L1200" i="1"/>
  <c r="L1204" i="1"/>
  <c r="L1208" i="1"/>
  <c r="L1212" i="1"/>
  <c r="L1216" i="1"/>
  <c r="L1220" i="1"/>
  <c r="L1222" i="1"/>
  <c r="L1029" i="1"/>
  <c r="AD1073" i="1"/>
  <c r="AD1075" i="1" s="1"/>
  <c r="AE1070" i="1"/>
  <c r="X1073" i="1"/>
  <c r="X1076" i="1"/>
  <c r="X1084" i="1"/>
  <c r="X1088" i="1"/>
  <c r="L1071" i="1"/>
  <c r="L1078" i="1"/>
  <c r="L1082" i="1"/>
  <c r="L1086" i="1"/>
  <c r="L1090" i="1"/>
  <c r="L1094" i="1"/>
  <c r="L1098" i="1"/>
  <c r="X1114" i="1"/>
  <c r="X1117" i="1"/>
  <c r="X1121" i="1"/>
  <c r="X1125" i="1"/>
  <c r="X1129" i="1"/>
  <c r="L1112" i="1"/>
  <c r="L1118" i="1"/>
  <c r="L1122" i="1"/>
  <c r="L1126" i="1"/>
  <c r="L1130" i="1"/>
  <c r="L1134" i="1"/>
  <c r="L1138" i="1"/>
  <c r="X1156" i="1"/>
  <c r="X1159" i="1"/>
  <c r="X1163" i="1"/>
  <c r="X1167" i="1"/>
  <c r="X1171" i="1"/>
  <c r="L1152" i="1"/>
  <c r="L1156" i="1"/>
  <c r="L1160" i="1"/>
  <c r="L1164" i="1"/>
  <c r="L1168" i="1"/>
  <c r="L1172" i="1"/>
  <c r="L1176" i="1"/>
  <c r="L1180" i="1"/>
  <c r="X1199" i="1"/>
  <c r="X1203" i="1"/>
  <c r="X1207" i="1"/>
  <c r="X1211" i="1"/>
  <c r="X1141" i="1"/>
  <c r="L1195" i="1"/>
  <c r="L1199" i="1"/>
  <c r="L1203" i="1"/>
  <c r="L1207" i="1"/>
  <c r="L1211" i="1"/>
  <c r="L1215" i="1"/>
  <c r="L1219" i="1"/>
  <c r="L1221" i="1"/>
  <c r="X1177" i="1"/>
  <c r="X1194" i="1"/>
  <c r="X1195" i="1"/>
  <c r="W1224" i="1"/>
  <c r="Q1224" i="1"/>
  <c r="W1183" i="1"/>
  <c r="X1178" i="1"/>
  <c r="T1224" i="1"/>
  <c r="Q1183" i="1"/>
  <c r="L1142" i="1"/>
  <c r="T1142" i="1"/>
  <c r="W1142" i="1"/>
  <c r="Q1142" i="1"/>
  <c r="T1101" i="1"/>
  <c r="W1101" i="1"/>
  <c r="Q1101" i="1"/>
  <c r="AH1070" i="1"/>
  <c r="AH1073" i="1" s="1"/>
  <c r="AH1075" i="1" s="1"/>
  <c r="J896" i="1"/>
  <c r="K896" i="1" s="1"/>
  <c r="X893" i="1"/>
  <c r="L972" i="1"/>
  <c r="AI1072" i="1"/>
  <c r="X934" i="1"/>
  <c r="X1029" i="1"/>
  <c r="L1040" i="1"/>
  <c r="L1036" i="1"/>
  <c r="L1030" i="1"/>
  <c r="X838" i="1"/>
  <c r="X850" i="1"/>
  <c r="L1043" i="1"/>
  <c r="L1039" i="1"/>
  <c r="L1035" i="1"/>
  <c r="H686" i="1"/>
  <c r="L686" i="1" s="1"/>
  <c r="X662" i="1"/>
  <c r="X787" i="1"/>
  <c r="F691" i="1"/>
  <c r="H691" i="1" s="1"/>
  <c r="X849" i="1"/>
  <c r="D855" i="1"/>
  <c r="E855" i="1" s="1"/>
  <c r="X891" i="1"/>
  <c r="L959" i="1"/>
  <c r="L1041" i="1"/>
  <c r="L1037" i="1"/>
  <c r="O282" i="1"/>
  <c r="O290" i="1" s="1"/>
  <c r="O296" i="1" s="1"/>
  <c r="U282" i="1"/>
  <c r="U290" i="1" s="1"/>
  <c r="U296" i="1" s="1"/>
  <c r="X563" i="1"/>
  <c r="X608" i="1"/>
  <c r="X955" i="1"/>
  <c r="AE1073" i="1"/>
  <c r="AE1075" i="1" s="1"/>
  <c r="AF1073" i="1"/>
  <c r="AF1075" i="1" s="1"/>
  <c r="AH1065" i="1"/>
  <c r="X544" i="1"/>
  <c r="X664" i="1"/>
  <c r="X843" i="1"/>
  <c r="X784" i="1"/>
  <c r="X873" i="1"/>
  <c r="X881" i="1"/>
  <c r="X889" i="1"/>
  <c r="X933" i="1"/>
  <c r="X800" i="1"/>
  <c r="L970" i="1"/>
  <c r="X957" i="1"/>
  <c r="X908" i="1"/>
  <c r="Q1019" i="1"/>
  <c r="X991" i="1"/>
  <c r="X949" i="1"/>
  <c r="X1035" i="1"/>
  <c r="X1043" i="1"/>
  <c r="X1047" i="1"/>
  <c r="L1056" i="1"/>
  <c r="X275" i="1"/>
  <c r="L396" i="1"/>
  <c r="X334" i="1"/>
  <c r="T278" i="1"/>
  <c r="L475" i="1"/>
  <c r="L483" i="1"/>
  <c r="X308" i="1"/>
  <c r="K457" i="1"/>
  <c r="L519" i="1"/>
  <c r="Q609" i="1"/>
  <c r="L520" i="1"/>
  <c r="Q650" i="1"/>
  <c r="T691" i="1"/>
  <c r="X844" i="1"/>
  <c r="L967" i="1"/>
  <c r="L966" i="1"/>
  <c r="L963" i="1"/>
  <c r="L957" i="1"/>
  <c r="X335" i="1"/>
  <c r="Q486" i="1"/>
  <c r="X382" i="1"/>
  <c r="X439" i="1"/>
  <c r="X466" i="1"/>
  <c r="T486" i="1"/>
  <c r="Q568" i="1"/>
  <c r="L544" i="1"/>
  <c r="H669" i="1"/>
  <c r="L669" i="1" s="1"/>
  <c r="X753" i="1"/>
  <c r="T773" i="1"/>
  <c r="X808" i="1"/>
  <c r="L912" i="1"/>
  <c r="L422" i="1"/>
  <c r="L434" i="1"/>
  <c r="X374" i="1"/>
  <c r="L461" i="1"/>
  <c r="L473" i="1"/>
  <c r="X306" i="1"/>
  <c r="X315" i="1"/>
  <c r="X348" i="1"/>
  <c r="Q404" i="1"/>
  <c r="T527" i="1"/>
  <c r="W609" i="1"/>
  <c r="W650" i="1"/>
  <c r="X682" i="1"/>
  <c r="W732" i="1"/>
  <c r="X707" i="1"/>
  <c r="J691" i="1"/>
  <c r="K691" i="1" s="1"/>
  <c r="X841" i="1"/>
  <c r="Q896" i="1"/>
  <c r="L869" i="1"/>
  <c r="L975" i="1"/>
  <c r="L964" i="1"/>
  <c r="L954" i="1"/>
  <c r="L953" i="1"/>
  <c r="T445" i="1"/>
  <c r="W404" i="1"/>
  <c r="T568" i="1"/>
  <c r="L418" i="1"/>
  <c r="Q445" i="1"/>
  <c r="X511" i="1"/>
  <c r="X497" i="1"/>
  <c r="X462" i="1"/>
  <c r="X543" i="1"/>
  <c r="L417" i="1"/>
  <c r="L438" i="1"/>
  <c r="X457" i="1"/>
  <c r="X418" i="1"/>
  <c r="X414" i="1"/>
  <c r="X310" i="1"/>
  <c r="X314" i="1"/>
  <c r="Q363" i="1"/>
  <c r="X346" i="1"/>
  <c r="T732" i="1"/>
  <c r="X837" i="1"/>
  <c r="X830" i="1"/>
  <c r="X826" i="1"/>
  <c r="X932" i="1"/>
  <c r="R281" i="1"/>
  <c r="R282" i="1" s="1"/>
  <c r="R290" i="1" s="1"/>
  <c r="R296" i="1" s="1"/>
  <c r="O39" i="1"/>
  <c r="O46" i="1" s="1"/>
  <c r="O52" i="1" s="1"/>
  <c r="X895" i="1"/>
  <c r="X852" i="1"/>
  <c r="L971" i="1"/>
  <c r="AB1070" i="1"/>
  <c r="AI1068" i="1"/>
  <c r="AI1070" i="1" s="1"/>
  <c r="L962" i="1"/>
  <c r="L955" i="1"/>
  <c r="X956" i="1"/>
  <c r="X976" i="1"/>
  <c r="X992" i="1"/>
  <c r="X950" i="1"/>
  <c r="X292" i="1"/>
  <c r="L373" i="1"/>
  <c r="L401" i="1"/>
  <c r="X333" i="1"/>
  <c r="V282" i="1"/>
  <c r="V290" i="1" s="1"/>
  <c r="V296" i="1" s="1"/>
  <c r="W486" i="1"/>
  <c r="X428" i="1"/>
  <c r="X420" i="1"/>
  <c r="T363" i="1"/>
  <c r="W363" i="1"/>
  <c r="T404" i="1"/>
  <c r="W527" i="1"/>
  <c r="T609" i="1"/>
  <c r="T488" i="1"/>
  <c r="T650" i="1"/>
  <c r="X619" i="1"/>
  <c r="L670" i="1"/>
  <c r="X672" i="1"/>
  <c r="X674" i="1"/>
  <c r="X676" i="1"/>
  <c r="X678" i="1"/>
  <c r="Q732" i="1"/>
  <c r="X704" i="1"/>
  <c r="X627" i="1"/>
  <c r="W691" i="1"/>
  <c r="X668" i="1"/>
  <c r="X714" i="1"/>
  <c r="X847" i="1"/>
  <c r="X845" i="1"/>
  <c r="X840" i="1"/>
  <c r="X839" i="1"/>
  <c r="W896" i="1"/>
  <c r="X874" i="1"/>
  <c r="X878" i="1"/>
  <c r="X882" i="1"/>
  <c r="X886" i="1"/>
  <c r="X890" i="1"/>
  <c r="X824" i="1"/>
  <c r="X764" i="1"/>
  <c r="L882" i="1"/>
  <c r="L886" i="1"/>
  <c r="L890" i="1"/>
  <c r="L894" i="1"/>
  <c r="L771" i="1"/>
  <c r="L789" i="1"/>
  <c r="X793" i="1"/>
  <c r="V39" i="1"/>
  <c r="V46" i="1" s="1"/>
  <c r="V52" i="1" s="1"/>
  <c r="L974" i="1"/>
  <c r="L973" i="1"/>
  <c r="L968" i="1"/>
  <c r="L956" i="1"/>
  <c r="X977" i="1"/>
  <c r="X994" i="1"/>
  <c r="X951" i="1"/>
  <c r="H1060" i="1"/>
  <c r="T896" i="1"/>
  <c r="X277" i="1"/>
  <c r="Q278" i="1"/>
  <c r="X502" i="1"/>
  <c r="X783" i="1"/>
  <c r="X807" i="1"/>
  <c r="X373" i="1"/>
  <c r="L382" i="1"/>
  <c r="E404" i="1"/>
  <c r="L427" i="1"/>
  <c r="X317" i="1"/>
  <c r="X519" i="1"/>
  <c r="X467" i="1"/>
  <c r="L547" i="1"/>
  <c r="X504" i="1"/>
  <c r="L549" i="1"/>
  <c r="L629" i="1"/>
  <c r="L626" i="1"/>
  <c r="X760" i="1"/>
  <c r="L754" i="1"/>
  <c r="L762" i="1"/>
  <c r="X671" i="1"/>
  <c r="X875" i="1"/>
  <c r="X883" i="1"/>
  <c r="X809" i="1"/>
  <c r="W568" i="1"/>
  <c r="S282" i="1"/>
  <c r="S290" i="1" s="1"/>
  <c r="S296" i="1" s="1"/>
  <c r="X913" i="1"/>
  <c r="X947" i="1"/>
  <c r="L1031" i="1"/>
  <c r="X1037" i="1"/>
  <c r="X1044" i="1"/>
  <c r="X1048" i="1"/>
  <c r="L1058" i="1"/>
  <c r="X395" i="1"/>
  <c r="L769" i="1"/>
  <c r="X842" i="1"/>
  <c r="T1019" i="1"/>
  <c r="L399" i="1"/>
  <c r="L420" i="1"/>
  <c r="X455" i="1"/>
  <c r="L459" i="1"/>
  <c r="L463" i="1"/>
  <c r="L471" i="1"/>
  <c r="X312" i="1"/>
  <c r="X361" i="1"/>
  <c r="X464" i="1"/>
  <c r="X565" i="1"/>
  <c r="L584" i="1"/>
  <c r="L625" i="1"/>
  <c r="X683" i="1"/>
  <c r="X684" i="1"/>
  <c r="X752" i="1"/>
  <c r="X728" i="1"/>
  <c r="X717" i="1"/>
  <c r="X828" i="1"/>
  <c r="X876" i="1"/>
  <c r="X884" i="1"/>
  <c r="L865" i="1"/>
  <c r="L888" i="1"/>
  <c r="X853" i="1"/>
  <c r="X801" i="1"/>
  <c r="X833" i="1"/>
  <c r="X1038" i="1"/>
  <c r="L1045" i="1"/>
  <c r="L1049" i="1"/>
  <c r="L1053" i="1"/>
  <c r="L1059" i="1"/>
  <c r="Q488" i="1"/>
  <c r="L716" i="1"/>
  <c r="X790" i="1"/>
  <c r="X867" i="1"/>
  <c r="L377" i="1"/>
  <c r="L394" i="1"/>
  <c r="X376" i="1"/>
  <c r="X375" i="1"/>
  <c r="L379" i="1"/>
  <c r="X351" i="1"/>
  <c r="X357" i="1"/>
  <c r="X386" i="1"/>
  <c r="X515" i="1"/>
  <c r="L552" i="1"/>
  <c r="L537" i="1"/>
  <c r="K682" i="1"/>
  <c r="L682" i="1" s="1"/>
  <c r="X725" i="1"/>
  <c r="X645" i="1"/>
  <c r="L750" i="1"/>
  <c r="L766" i="1"/>
  <c r="L717" i="1"/>
  <c r="X848" i="1"/>
  <c r="X871" i="1"/>
  <c r="X879" i="1"/>
  <c r="X887" i="1"/>
  <c r="E937" i="1"/>
  <c r="Q527" i="1"/>
  <c r="X799" i="1"/>
  <c r="X866" i="1"/>
  <c r="X914" i="1"/>
  <c r="L1033" i="1"/>
  <c r="X1041" i="1"/>
  <c r="X1046" i="1"/>
  <c r="X417" i="1"/>
  <c r="X702" i="1"/>
  <c r="L880" i="1"/>
  <c r="L416" i="1"/>
  <c r="X458" i="1"/>
  <c r="X353" i="1"/>
  <c r="K358" i="1"/>
  <c r="L358" i="1" s="1"/>
  <c r="L250" i="1"/>
  <c r="L392" i="1"/>
  <c r="X398" i="1"/>
  <c r="X424" i="1"/>
  <c r="X415" i="1"/>
  <c r="X384" i="1"/>
  <c r="X513" i="1"/>
  <c r="L500" i="1"/>
  <c r="L554" i="1"/>
  <c r="X496" i="1"/>
  <c r="L521" i="1"/>
  <c r="L748" i="1"/>
  <c r="L756" i="1"/>
  <c r="L764" i="1"/>
  <c r="X715" i="1"/>
  <c r="J855" i="1"/>
  <c r="K855" i="1" s="1"/>
  <c r="X877" i="1"/>
  <c r="X885" i="1"/>
  <c r="X762" i="1"/>
  <c r="W445" i="1"/>
  <c r="S39" i="1"/>
  <c r="S46" i="1" s="1"/>
  <c r="S52" i="1" s="1"/>
  <c r="X831" i="1"/>
  <c r="X834" i="1"/>
  <c r="X912" i="1"/>
  <c r="X954" i="1"/>
  <c r="L1032" i="1"/>
  <c r="X1039" i="1"/>
  <c r="X1045" i="1"/>
  <c r="X1049" i="1"/>
  <c r="X380" i="1"/>
  <c r="X517" i="1"/>
  <c r="L752" i="1"/>
  <c r="X377" i="1"/>
  <c r="L403" i="1"/>
  <c r="L415" i="1"/>
  <c r="L436" i="1"/>
  <c r="X459" i="1"/>
  <c r="X343" i="1"/>
  <c r="X360" i="1"/>
  <c r="X506" i="1"/>
  <c r="X437" i="1"/>
  <c r="L551" i="1"/>
  <c r="X660" i="1"/>
  <c r="L668" i="1"/>
  <c r="X673" i="1"/>
  <c r="X681" i="1"/>
  <c r="X763" i="1"/>
  <c r="X872" i="1"/>
  <c r="X880" i="1"/>
  <c r="X888" i="1"/>
  <c r="L884" i="1"/>
  <c r="L892" i="1"/>
  <c r="T814" i="1"/>
  <c r="P281" i="1"/>
  <c r="P282" i="1" s="1"/>
  <c r="P290" i="1" s="1"/>
  <c r="P296" i="1" s="1"/>
  <c r="X894" i="1"/>
  <c r="X907" i="1"/>
  <c r="X1033" i="1"/>
  <c r="X1042" i="1"/>
  <c r="L1047" i="1"/>
  <c r="L1051" i="1"/>
  <c r="L1055" i="1"/>
  <c r="W1060" i="1"/>
  <c r="T1060" i="1"/>
  <c r="E1060" i="1"/>
  <c r="Q1060" i="1"/>
  <c r="K1019" i="1"/>
  <c r="E1019" i="1"/>
  <c r="L988" i="1"/>
  <c r="L989" i="1"/>
  <c r="L990" i="1"/>
  <c r="L991" i="1"/>
  <c r="L992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X988" i="1"/>
  <c r="X989" i="1"/>
  <c r="X996" i="1"/>
  <c r="X997" i="1"/>
  <c r="X998" i="1"/>
  <c r="X999" i="1"/>
  <c r="X1000" i="1"/>
  <c r="X1001" i="1"/>
  <c r="X1002" i="1"/>
  <c r="X1003" i="1"/>
  <c r="X1004" i="1"/>
  <c r="X1005" i="1"/>
  <c r="X1006" i="1"/>
  <c r="X1007" i="1"/>
  <c r="X1008" i="1"/>
  <c r="X1009" i="1"/>
  <c r="X1010" i="1"/>
  <c r="X1011" i="1"/>
  <c r="X1012" i="1"/>
  <c r="X1013" i="1"/>
  <c r="X1014" i="1"/>
  <c r="X1015" i="1"/>
  <c r="X1016" i="1"/>
  <c r="X1017" i="1"/>
  <c r="X1018" i="1"/>
  <c r="H1019" i="1"/>
  <c r="W1019" i="1"/>
  <c r="L969" i="1"/>
  <c r="L958" i="1"/>
  <c r="L947" i="1"/>
  <c r="L948" i="1"/>
  <c r="E978" i="1"/>
  <c r="H978" i="1"/>
  <c r="K978" i="1"/>
  <c r="L949" i="1"/>
  <c r="L950" i="1"/>
  <c r="L951" i="1"/>
  <c r="L976" i="1"/>
  <c r="L977" i="1"/>
  <c r="T978" i="1"/>
  <c r="X958" i="1"/>
  <c r="X959" i="1"/>
  <c r="X960" i="1"/>
  <c r="X961" i="1"/>
  <c r="X962" i="1"/>
  <c r="X963" i="1"/>
  <c r="X964" i="1"/>
  <c r="X965" i="1"/>
  <c r="X966" i="1"/>
  <c r="X967" i="1"/>
  <c r="X968" i="1"/>
  <c r="X969" i="1"/>
  <c r="X970" i="1"/>
  <c r="X971" i="1"/>
  <c r="X972" i="1"/>
  <c r="X973" i="1"/>
  <c r="X974" i="1"/>
  <c r="X975" i="1"/>
  <c r="P978" i="1"/>
  <c r="Q978" i="1"/>
  <c r="W978" i="1"/>
  <c r="X935" i="1"/>
  <c r="T937" i="1"/>
  <c r="X936" i="1"/>
  <c r="Q937" i="1"/>
  <c r="W937" i="1"/>
  <c r="L913" i="1"/>
  <c r="K937" i="1"/>
  <c r="X851" i="1"/>
  <c r="X836" i="1"/>
  <c r="L878" i="1"/>
  <c r="X835" i="1"/>
  <c r="L876" i="1"/>
  <c r="E896" i="1"/>
  <c r="L868" i="1"/>
  <c r="L874" i="1"/>
  <c r="L867" i="1"/>
  <c r="Q814" i="1"/>
  <c r="X806" i="1"/>
  <c r="L866" i="1"/>
  <c r="W855" i="1"/>
  <c r="X854" i="1"/>
  <c r="Q855" i="1"/>
  <c r="X832" i="1"/>
  <c r="H896" i="1"/>
  <c r="L872" i="1"/>
  <c r="T855" i="1"/>
  <c r="W814" i="1"/>
  <c r="V814" i="1"/>
  <c r="P39" i="1"/>
  <c r="P46" i="1" s="1"/>
  <c r="P52" i="1" s="1"/>
  <c r="U39" i="1"/>
  <c r="U46" i="1" s="1"/>
  <c r="U52" i="1" s="1"/>
  <c r="H855" i="1"/>
  <c r="L906" i="1"/>
  <c r="L907" i="1"/>
  <c r="L908" i="1"/>
  <c r="L909" i="1"/>
  <c r="L910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X906" i="1"/>
  <c r="X909" i="1"/>
  <c r="X910" i="1"/>
  <c r="X915" i="1"/>
  <c r="X916" i="1"/>
  <c r="X917" i="1"/>
  <c r="X918" i="1"/>
  <c r="X919" i="1"/>
  <c r="X920" i="1"/>
  <c r="X921" i="1"/>
  <c r="X922" i="1"/>
  <c r="X923" i="1"/>
  <c r="X924" i="1"/>
  <c r="X925" i="1"/>
  <c r="X926" i="1"/>
  <c r="X927" i="1"/>
  <c r="X928" i="1"/>
  <c r="X929" i="1"/>
  <c r="X930" i="1"/>
  <c r="X931" i="1"/>
  <c r="H937" i="1"/>
  <c r="X795" i="1"/>
  <c r="L553" i="1"/>
  <c r="X359" i="1"/>
  <c r="X479" i="1"/>
  <c r="X521" i="1"/>
  <c r="X564" i="1"/>
  <c r="X584" i="1"/>
  <c r="Q690" i="1"/>
  <c r="Q691" i="1" s="1"/>
  <c r="X785" i="1"/>
  <c r="E770" i="1"/>
  <c r="D773" i="1"/>
  <c r="E773" i="1" s="1"/>
  <c r="L550" i="1"/>
  <c r="X620" i="1"/>
  <c r="X520" i="1"/>
  <c r="X468" i="1"/>
  <c r="E457" i="1"/>
  <c r="X685" i="1"/>
  <c r="X643" i="1"/>
  <c r="X264" i="1"/>
  <c r="X474" i="1"/>
  <c r="X472" i="1"/>
  <c r="X470" i="1"/>
  <c r="X416" i="1"/>
  <c r="L458" i="1"/>
  <c r="X316" i="1"/>
  <c r="X339" i="1"/>
  <c r="X349" i="1"/>
  <c r="X356" i="1"/>
  <c r="X379" i="1"/>
  <c r="X381" i="1"/>
  <c r="X383" i="1"/>
  <c r="X385" i="1"/>
  <c r="X387" i="1"/>
  <c r="X389" i="1"/>
  <c r="X391" i="1"/>
  <c r="X393" i="1"/>
  <c r="X432" i="1"/>
  <c r="X498" i="1"/>
  <c r="X500" i="1"/>
  <c r="L504" i="1"/>
  <c r="L510" i="1"/>
  <c r="L512" i="1"/>
  <c r="L514" i="1"/>
  <c r="L516" i="1"/>
  <c r="L522" i="1"/>
  <c r="L524" i="1"/>
  <c r="L526" i="1"/>
  <c r="X483" i="1"/>
  <c r="X441" i="1"/>
  <c r="L543" i="1"/>
  <c r="X525" i="1"/>
  <c r="L545" i="1"/>
  <c r="L630" i="1"/>
  <c r="L705" i="1"/>
  <c r="L708" i="1"/>
  <c r="L712" i="1"/>
  <c r="L714" i="1"/>
  <c r="L722" i="1"/>
  <c r="X723" i="1"/>
  <c r="L745" i="1"/>
  <c r="X794" i="1"/>
  <c r="X796" i="1"/>
  <c r="X798" i="1"/>
  <c r="X802" i="1"/>
  <c r="X804" i="1"/>
  <c r="L825" i="1"/>
  <c r="L827" i="1"/>
  <c r="L830" i="1"/>
  <c r="L832" i="1"/>
  <c r="L834" i="1"/>
  <c r="L836" i="1"/>
  <c r="L838" i="1"/>
  <c r="L840" i="1"/>
  <c r="L842" i="1"/>
  <c r="L844" i="1"/>
  <c r="L846" i="1"/>
  <c r="L848" i="1"/>
  <c r="L850" i="1"/>
  <c r="L852" i="1"/>
  <c r="L854" i="1"/>
  <c r="X748" i="1"/>
  <c r="L400" i="1"/>
  <c r="L402" i="1"/>
  <c r="L435" i="1"/>
  <c r="L437" i="1"/>
  <c r="L439" i="1"/>
  <c r="L441" i="1"/>
  <c r="L443" i="1"/>
  <c r="X279" i="1"/>
  <c r="X362" i="1"/>
  <c r="X510" i="1"/>
  <c r="X512" i="1"/>
  <c r="X514" i="1"/>
  <c r="X516" i="1"/>
  <c r="X518" i="1"/>
  <c r="X436" i="1"/>
  <c r="X438" i="1"/>
  <c r="X463" i="1"/>
  <c r="X465" i="1"/>
  <c r="X478" i="1"/>
  <c r="X686" i="1"/>
  <c r="X711" i="1"/>
  <c r="J650" i="1"/>
  <c r="K650" i="1" s="1"/>
  <c r="L790" i="1"/>
  <c r="L796" i="1"/>
  <c r="L798" i="1"/>
  <c r="L800" i="1"/>
  <c r="L802" i="1"/>
  <c r="L804" i="1"/>
  <c r="L806" i="1"/>
  <c r="L808" i="1"/>
  <c r="L810" i="1"/>
  <c r="L812" i="1"/>
  <c r="X667" i="1"/>
  <c r="L664" i="1"/>
  <c r="X724" i="1"/>
  <c r="X869" i="1"/>
  <c r="X792" i="1"/>
  <c r="L263" i="1"/>
  <c r="L381" i="1"/>
  <c r="L387" i="1"/>
  <c r="L393" i="1"/>
  <c r="L395" i="1"/>
  <c r="L397" i="1"/>
  <c r="L398" i="1"/>
  <c r="W278" i="1"/>
  <c r="X435" i="1"/>
  <c r="X433" i="1"/>
  <c r="X427" i="1"/>
  <c r="X423" i="1"/>
  <c r="X421" i="1"/>
  <c r="L462" i="1"/>
  <c r="L472" i="1"/>
  <c r="L476" i="1"/>
  <c r="L478" i="1"/>
  <c r="L480" i="1"/>
  <c r="X305" i="1"/>
  <c r="X307" i="1"/>
  <c r="X309" i="1"/>
  <c r="X311" i="1"/>
  <c r="X313" i="1"/>
  <c r="X338" i="1"/>
  <c r="X355" i="1"/>
  <c r="L497" i="1"/>
  <c r="H457" i="1"/>
  <c r="L538" i="1"/>
  <c r="K609" i="1"/>
  <c r="X545" i="1"/>
  <c r="L628" i="1"/>
  <c r="X751" i="1"/>
  <c r="X729" i="1"/>
  <c r="L749" i="1"/>
  <c r="L751" i="1"/>
  <c r="L753" i="1"/>
  <c r="L755" i="1"/>
  <c r="L757" i="1"/>
  <c r="L768" i="1"/>
  <c r="X661" i="1"/>
  <c r="X634" i="1"/>
  <c r="X786" i="1"/>
  <c r="X709" i="1"/>
  <c r="X701" i="1"/>
  <c r="L871" i="1"/>
  <c r="L873" i="1"/>
  <c r="L875" i="1"/>
  <c r="L877" i="1"/>
  <c r="L879" i="1"/>
  <c r="L881" i="1"/>
  <c r="L883" i="1"/>
  <c r="L885" i="1"/>
  <c r="L887" i="1"/>
  <c r="L889" i="1"/>
  <c r="L891" i="1"/>
  <c r="L893" i="1"/>
  <c r="L895" i="1"/>
  <c r="L772" i="1"/>
  <c r="X208" i="1"/>
  <c r="X263" i="1"/>
  <c r="X297" i="1"/>
  <c r="X301" i="1"/>
  <c r="X477" i="1"/>
  <c r="X475" i="1"/>
  <c r="X473" i="1"/>
  <c r="X471" i="1"/>
  <c r="X461" i="1"/>
  <c r="X388" i="1"/>
  <c r="X390" i="1"/>
  <c r="X392" i="1"/>
  <c r="X394" i="1"/>
  <c r="X431" i="1"/>
  <c r="X499" i="1"/>
  <c r="X505" i="1"/>
  <c r="L507" i="1"/>
  <c r="L513" i="1"/>
  <c r="L515" i="1"/>
  <c r="L517" i="1"/>
  <c r="L523" i="1"/>
  <c r="L525" i="1"/>
  <c r="L455" i="1"/>
  <c r="X440" i="1"/>
  <c r="L546" i="1"/>
  <c r="L702" i="1"/>
  <c r="L707" i="1"/>
  <c r="L713" i="1"/>
  <c r="L729" i="1"/>
  <c r="L731" i="1"/>
  <c r="L742" i="1"/>
  <c r="L746" i="1"/>
  <c r="X791" i="1"/>
  <c r="X797" i="1"/>
  <c r="X803" i="1"/>
  <c r="X805" i="1"/>
  <c r="X757" i="1"/>
  <c r="L824" i="1"/>
  <c r="L826" i="1"/>
  <c r="L828" i="1"/>
  <c r="L831" i="1"/>
  <c r="L833" i="1"/>
  <c r="L835" i="1"/>
  <c r="L837" i="1"/>
  <c r="L839" i="1"/>
  <c r="L841" i="1"/>
  <c r="L843" i="1"/>
  <c r="L845" i="1"/>
  <c r="L847" i="1"/>
  <c r="L849" i="1"/>
  <c r="L851" i="1"/>
  <c r="L853" i="1"/>
  <c r="X276" i="1"/>
  <c r="L440" i="1"/>
  <c r="L442" i="1"/>
  <c r="L444" i="1"/>
  <c r="X350" i="1"/>
  <c r="X352" i="1"/>
  <c r="X354" i="1"/>
  <c r="X508" i="1"/>
  <c r="X503" i="1"/>
  <c r="L518" i="1"/>
  <c r="L582" i="1"/>
  <c r="L627" i="1"/>
  <c r="L666" i="1"/>
  <c r="L667" i="1"/>
  <c r="X670" i="1"/>
  <c r="L672" i="1"/>
  <c r="L674" i="1"/>
  <c r="L675" i="1"/>
  <c r="L680" i="1"/>
  <c r="L681" i="1"/>
  <c r="L683" i="1"/>
  <c r="L684" i="1"/>
  <c r="L690" i="1"/>
  <c r="X716" i="1"/>
  <c r="X705" i="1"/>
  <c r="X703" i="1"/>
  <c r="X633" i="1"/>
  <c r="L785" i="1"/>
  <c r="L797" i="1"/>
  <c r="L799" i="1"/>
  <c r="L801" i="1"/>
  <c r="L803" i="1"/>
  <c r="L805" i="1"/>
  <c r="L807" i="1"/>
  <c r="L809" i="1"/>
  <c r="L811" i="1"/>
  <c r="L813" i="1"/>
  <c r="X669" i="1"/>
  <c r="X827" i="1"/>
  <c r="X722" i="1"/>
  <c r="X868" i="1"/>
  <c r="L787" i="1"/>
  <c r="X811" i="1"/>
  <c r="L795" i="1"/>
  <c r="L794" i="1"/>
  <c r="L786" i="1"/>
  <c r="L793" i="1"/>
  <c r="L792" i="1"/>
  <c r="X812" i="1"/>
  <c r="X813" i="1"/>
  <c r="X789" i="1"/>
  <c r="L791" i="1"/>
  <c r="L784" i="1"/>
  <c r="K814" i="1"/>
  <c r="E814" i="1"/>
  <c r="H814" i="1"/>
  <c r="L783" i="1"/>
  <c r="X771" i="1"/>
  <c r="X761" i="1"/>
  <c r="X767" i="1"/>
  <c r="X766" i="1"/>
  <c r="X765" i="1"/>
  <c r="X810" i="1"/>
  <c r="X759" i="1"/>
  <c r="X758" i="1"/>
  <c r="L770" i="1"/>
  <c r="X756" i="1"/>
  <c r="X755" i="1"/>
  <c r="L767" i="1"/>
  <c r="L765" i="1"/>
  <c r="X768" i="1"/>
  <c r="X750" i="1"/>
  <c r="L763" i="1"/>
  <c r="W772" i="1"/>
  <c r="X772" i="1" s="1"/>
  <c r="X746" i="1"/>
  <c r="X745" i="1"/>
  <c r="X749" i="1"/>
  <c r="L761" i="1"/>
  <c r="L760" i="1"/>
  <c r="X742" i="1"/>
  <c r="X865" i="1"/>
  <c r="X825" i="1"/>
  <c r="X769" i="1"/>
  <c r="Q770" i="1"/>
  <c r="X770" i="1" s="1"/>
  <c r="L759" i="1"/>
  <c r="X718" i="1"/>
  <c r="L758" i="1"/>
  <c r="X721" i="1"/>
  <c r="X720" i="1"/>
  <c r="X719" i="1"/>
  <c r="K773" i="1"/>
  <c r="H773" i="1"/>
  <c r="L744" i="1"/>
  <c r="L743" i="1"/>
  <c r="L730" i="1"/>
  <c r="L728" i="1"/>
  <c r="L727" i="1"/>
  <c r="X708" i="1"/>
  <c r="L726" i="1"/>
  <c r="X713" i="1"/>
  <c r="L725" i="1"/>
  <c r="L704" i="1"/>
  <c r="L724" i="1"/>
  <c r="L723" i="1"/>
  <c r="L721" i="1"/>
  <c r="X731" i="1"/>
  <c r="X712" i="1"/>
  <c r="L720" i="1"/>
  <c r="X710" i="1"/>
  <c r="L719" i="1"/>
  <c r="L718" i="1"/>
  <c r="X680" i="1"/>
  <c r="X679" i="1"/>
  <c r="E732" i="1"/>
  <c r="X730" i="1"/>
  <c r="L715" i="1"/>
  <c r="H732" i="1"/>
  <c r="X677" i="1"/>
  <c r="L703" i="1"/>
  <c r="X675" i="1"/>
  <c r="L711" i="1"/>
  <c r="L710" i="1"/>
  <c r="L709" i="1"/>
  <c r="K732" i="1"/>
  <c r="L689" i="1"/>
  <c r="L688" i="1"/>
  <c r="L701" i="1"/>
  <c r="L687" i="1"/>
  <c r="L685" i="1"/>
  <c r="L663" i="1"/>
  <c r="L662" i="1"/>
  <c r="L679" i="1"/>
  <c r="L678" i="1"/>
  <c r="L661" i="1"/>
  <c r="L677" i="1"/>
  <c r="L676" i="1"/>
  <c r="X666" i="1"/>
  <c r="L660" i="1"/>
  <c r="L673" i="1"/>
  <c r="L671" i="1"/>
  <c r="X647" i="1"/>
  <c r="X689" i="1"/>
  <c r="X744" i="1"/>
  <c r="X727" i="1"/>
  <c r="X687" i="1"/>
  <c r="X644" i="1"/>
  <c r="X726" i="1"/>
  <c r="X688" i="1"/>
  <c r="E650" i="1"/>
  <c r="X649" i="1"/>
  <c r="X646" i="1"/>
  <c r="X648" i="1"/>
  <c r="X743" i="1"/>
  <c r="X663" i="1"/>
  <c r="X566" i="1"/>
  <c r="L619" i="1"/>
  <c r="L620" i="1"/>
  <c r="L621" i="1"/>
  <c r="L622" i="1"/>
  <c r="L623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X621" i="1"/>
  <c r="X622" i="1"/>
  <c r="X623" i="1"/>
  <c r="X625" i="1"/>
  <c r="X626" i="1"/>
  <c r="X628" i="1"/>
  <c r="X629" i="1"/>
  <c r="X630" i="1"/>
  <c r="X631" i="1"/>
  <c r="X632" i="1"/>
  <c r="X635" i="1"/>
  <c r="X636" i="1"/>
  <c r="X637" i="1"/>
  <c r="X638" i="1"/>
  <c r="X639" i="1"/>
  <c r="X640" i="1"/>
  <c r="X641" i="1"/>
  <c r="X642" i="1"/>
  <c r="H650" i="1"/>
  <c r="E609" i="1"/>
  <c r="X537" i="1"/>
  <c r="H568" i="1"/>
  <c r="K568" i="1"/>
  <c r="E568" i="1"/>
  <c r="L578" i="1"/>
  <c r="L579" i="1"/>
  <c r="L580" i="1"/>
  <c r="L581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X578" i="1"/>
  <c r="X579" i="1"/>
  <c r="X581" i="1"/>
  <c r="X582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H609" i="1"/>
  <c r="X509" i="1"/>
  <c r="X523" i="1"/>
  <c r="X524" i="1"/>
  <c r="X507" i="1"/>
  <c r="L499" i="1"/>
  <c r="L498" i="1"/>
  <c r="X484" i="1"/>
  <c r="X526" i="1"/>
  <c r="L539" i="1"/>
  <c r="L540" i="1"/>
  <c r="L541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X567" i="1"/>
  <c r="X538" i="1"/>
  <c r="X539" i="1"/>
  <c r="X540" i="1"/>
  <c r="X541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L567" i="1"/>
  <c r="L511" i="1"/>
  <c r="H527" i="1"/>
  <c r="L509" i="1"/>
  <c r="L508" i="1"/>
  <c r="E527" i="1"/>
  <c r="L506" i="1"/>
  <c r="K527" i="1"/>
  <c r="L505" i="1"/>
  <c r="L503" i="1"/>
  <c r="L496" i="1"/>
  <c r="X476" i="1"/>
  <c r="L502" i="1"/>
  <c r="L485" i="1"/>
  <c r="L484" i="1"/>
  <c r="L482" i="1"/>
  <c r="L481" i="1"/>
  <c r="L479" i="1"/>
  <c r="L477" i="1"/>
  <c r="E486" i="1"/>
  <c r="L474" i="1"/>
  <c r="X481" i="1"/>
  <c r="L456" i="1"/>
  <c r="L470" i="1"/>
  <c r="X485" i="1"/>
  <c r="X469" i="1"/>
  <c r="L469" i="1"/>
  <c r="L468" i="1"/>
  <c r="X482" i="1"/>
  <c r="L467" i="1"/>
  <c r="K486" i="1"/>
  <c r="L466" i="1"/>
  <c r="L465" i="1"/>
  <c r="L464" i="1"/>
  <c r="X443" i="1"/>
  <c r="H486" i="1"/>
  <c r="L433" i="1"/>
  <c r="L432" i="1"/>
  <c r="L431" i="1"/>
  <c r="X434" i="1"/>
  <c r="L430" i="1"/>
  <c r="H445" i="1"/>
  <c r="X430" i="1"/>
  <c r="X456" i="1"/>
  <c r="L429" i="1"/>
  <c r="X442" i="1"/>
  <c r="X429" i="1"/>
  <c r="X426" i="1"/>
  <c r="L428" i="1"/>
  <c r="X425" i="1"/>
  <c r="L425" i="1"/>
  <c r="L426" i="1"/>
  <c r="K445" i="1"/>
  <c r="L424" i="1"/>
  <c r="L423" i="1"/>
  <c r="E445" i="1"/>
  <c r="L414" i="1"/>
  <c r="L421" i="1"/>
  <c r="L391" i="1"/>
  <c r="X422" i="1"/>
  <c r="X397" i="1"/>
  <c r="L390" i="1"/>
  <c r="X396" i="1"/>
  <c r="X444" i="1"/>
  <c r="L376" i="1"/>
  <c r="L389" i="1"/>
  <c r="L388" i="1"/>
  <c r="L386" i="1"/>
  <c r="L385" i="1"/>
  <c r="L384" i="1"/>
  <c r="L375" i="1"/>
  <c r="K404" i="1"/>
  <c r="L383" i="1"/>
  <c r="X402" i="1"/>
  <c r="X399" i="1"/>
  <c r="X400" i="1"/>
  <c r="H404" i="1"/>
  <c r="L374" i="1"/>
  <c r="X358" i="1"/>
  <c r="X321" i="1"/>
  <c r="L380" i="1"/>
  <c r="X401" i="1"/>
  <c r="X342" i="1"/>
  <c r="X341" i="1"/>
  <c r="X340" i="1"/>
  <c r="X403" i="1"/>
  <c r="X320" i="1"/>
  <c r="X318" i="1"/>
  <c r="X319" i="1"/>
  <c r="L291" i="1"/>
  <c r="X270" i="1"/>
  <c r="Q280" i="1"/>
  <c r="X280" i="1" s="1"/>
  <c r="X253" i="1"/>
  <c r="X254" i="1"/>
  <c r="X251" i="1"/>
  <c r="X252" i="1"/>
  <c r="X185" i="1"/>
  <c r="X184" i="1"/>
  <c r="K363" i="1"/>
  <c r="X332" i="1"/>
  <c r="L333" i="1"/>
  <c r="L336" i="1"/>
  <c r="L339" i="1"/>
  <c r="L340" i="1"/>
  <c r="L342" i="1"/>
  <c r="L343" i="1"/>
  <c r="L345" i="1"/>
  <c r="L346" i="1"/>
  <c r="L348" i="1"/>
  <c r="L349" i="1"/>
  <c r="L351" i="1"/>
  <c r="L352" i="1"/>
  <c r="L354" i="1"/>
  <c r="L355" i="1"/>
  <c r="L357" i="1"/>
  <c r="L360" i="1"/>
  <c r="L361" i="1"/>
  <c r="H363" i="1"/>
  <c r="L334" i="1"/>
  <c r="X336" i="1"/>
  <c r="X345" i="1"/>
  <c r="X344" i="1"/>
  <c r="X347" i="1"/>
  <c r="L332" i="1"/>
  <c r="L335" i="1"/>
  <c r="L338" i="1"/>
  <c r="L341" i="1"/>
  <c r="L344" i="1"/>
  <c r="L347" i="1"/>
  <c r="L350" i="1"/>
  <c r="L353" i="1"/>
  <c r="L356" i="1"/>
  <c r="L359" i="1"/>
  <c r="L362" i="1"/>
  <c r="E363" i="1"/>
  <c r="J322" i="1"/>
  <c r="I322" i="1"/>
  <c r="G322" i="1"/>
  <c r="F322" i="1"/>
  <c r="D322" i="1"/>
  <c r="C322" i="1"/>
  <c r="K321" i="1"/>
  <c r="H321" i="1"/>
  <c r="E321" i="1"/>
  <c r="K320" i="1"/>
  <c r="H320" i="1"/>
  <c r="E320" i="1"/>
  <c r="K319" i="1"/>
  <c r="H319" i="1"/>
  <c r="E319" i="1"/>
  <c r="K318" i="1"/>
  <c r="H318" i="1"/>
  <c r="E318" i="1"/>
  <c r="K317" i="1"/>
  <c r="H317" i="1"/>
  <c r="E317" i="1"/>
  <c r="K316" i="1"/>
  <c r="H316" i="1"/>
  <c r="E316" i="1"/>
  <c r="K315" i="1"/>
  <c r="H315" i="1"/>
  <c r="E315" i="1"/>
  <c r="K314" i="1"/>
  <c r="H314" i="1"/>
  <c r="E314" i="1"/>
  <c r="K313" i="1"/>
  <c r="H313" i="1"/>
  <c r="E313" i="1"/>
  <c r="K312" i="1"/>
  <c r="H312" i="1"/>
  <c r="E312" i="1"/>
  <c r="K311" i="1"/>
  <c r="H311" i="1"/>
  <c r="E311" i="1"/>
  <c r="K310" i="1"/>
  <c r="H310" i="1"/>
  <c r="E310" i="1"/>
  <c r="K309" i="1"/>
  <c r="H309" i="1"/>
  <c r="E309" i="1"/>
  <c r="K308" i="1"/>
  <c r="H308" i="1"/>
  <c r="E308" i="1"/>
  <c r="K307" i="1"/>
  <c r="H307" i="1"/>
  <c r="E307" i="1"/>
  <c r="K306" i="1"/>
  <c r="H306" i="1"/>
  <c r="E306" i="1"/>
  <c r="K305" i="1"/>
  <c r="H305" i="1"/>
  <c r="E305" i="1"/>
  <c r="W304" i="1"/>
  <c r="T304" i="1"/>
  <c r="Q304" i="1"/>
  <c r="K304" i="1"/>
  <c r="H304" i="1"/>
  <c r="E304" i="1"/>
  <c r="W303" i="1"/>
  <c r="T303" i="1"/>
  <c r="Q303" i="1"/>
  <c r="K303" i="1"/>
  <c r="H303" i="1"/>
  <c r="E303" i="1"/>
  <c r="W302" i="1"/>
  <c r="T302" i="1"/>
  <c r="Q302" i="1"/>
  <c r="K302" i="1"/>
  <c r="H302" i="1"/>
  <c r="E302" i="1"/>
  <c r="K301" i="1"/>
  <c r="H301" i="1"/>
  <c r="E301" i="1"/>
  <c r="W300" i="1"/>
  <c r="T300" i="1"/>
  <c r="Q300" i="1"/>
  <c r="K300" i="1"/>
  <c r="H300" i="1"/>
  <c r="E300" i="1"/>
  <c r="W299" i="1"/>
  <c r="T299" i="1"/>
  <c r="Q299" i="1"/>
  <c r="K299" i="1"/>
  <c r="H299" i="1"/>
  <c r="E299" i="1"/>
  <c r="W298" i="1"/>
  <c r="T298" i="1"/>
  <c r="Q298" i="1"/>
  <c r="K298" i="1"/>
  <c r="H298" i="1"/>
  <c r="E298" i="1"/>
  <c r="K297" i="1"/>
  <c r="H297" i="1"/>
  <c r="E297" i="1"/>
  <c r="W295" i="1"/>
  <c r="T295" i="1"/>
  <c r="Q295" i="1"/>
  <c r="K295" i="1"/>
  <c r="H295" i="1"/>
  <c r="E295" i="1"/>
  <c r="W294" i="1"/>
  <c r="T294" i="1"/>
  <c r="Q294" i="1"/>
  <c r="K294" i="1"/>
  <c r="H294" i="1"/>
  <c r="E294" i="1"/>
  <c r="W293" i="1"/>
  <c r="T293" i="1"/>
  <c r="Q293" i="1"/>
  <c r="K293" i="1"/>
  <c r="H293" i="1"/>
  <c r="E293" i="1"/>
  <c r="K292" i="1"/>
  <c r="H292" i="1"/>
  <c r="E292" i="1"/>
  <c r="W291" i="1"/>
  <c r="T291" i="1"/>
  <c r="Q291" i="1"/>
  <c r="K249" i="1"/>
  <c r="H249" i="1"/>
  <c r="E249" i="1"/>
  <c r="W250" i="1"/>
  <c r="T250" i="1"/>
  <c r="Q250" i="1"/>
  <c r="W249" i="1"/>
  <c r="T249" i="1"/>
  <c r="Q249" i="1"/>
  <c r="X1306" i="1" l="1"/>
  <c r="AB1073" i="1"/>
  <c r="AB1075" i="1" s="1"/>
  <c r="AA1076" i="1" s="1"/>
  <c r="T1183" i="1"/>
  <c r="L1101" i="1"/>
  <c r="L1224" i="1"/>
  <c r="AI1065" i="1"/>
  <c r="X278" i="1"/>
  <c r="X1265" i="1"/>
  <c r="W1265" i="1"/>
  <c r="X1183" i="1"/>
  <c r="AD1076" i="1"/>
  <c r="AC1076" i="1"/>
  <c r="AG1076" i="1"/>
  <c r="AF1076" i="1"/>
  <c r="Z1076" i="1"/>
  <c r="X1224" i="1"/>
  <c r="X1142" i="1"/>
  <c r="X1101" i="1"/>
  <c r="AI1073" i="1"/>
  <c r="AI1075" i="1" s="1"/>
  <c r="L457" i="1"/>
  <c r="L1060" i="1"/>
  <c r="X690" i="1"/>
  <c r="X691" i="1" s="1"/>
  <c r="X488" i="1"/>
  <c r="X445" i="1"/>
  <c r="W255" i="1"/>
  <c r="X568" i="1"/>
  <c r="X896" i="1"/>
  <c r="W322" i="1"/>
  <c r="Q322" i="1"/>
  <c r="X404" i="1"/>
  <c r="X650" i="1"/>
  <c r="X486" i="1"/>
  <c r="X773" i="1"/>
  <c r="X855" i="1"/>
  <c r="X527" i="1"/>
  <c r="Q773" i="1"/>
  <c r="W773" i="1"/>
  <c r="Q255" i="1"/>
  <c r="T322" i="1"/>
  <c r="T255" i="1"/>
  <c r="X732" i="1"/>
  <c r="X363" i="1"/>
  <c r="X609" i="1"/>
  <c r="X1060" i="1"/>
  <c r="X814" i="1"/>
  <c r="L1019" i="1"/>
  <c r="X1019" i="1"/>
  <c r="L978" i="1"/>
  <c r="X978" i="1"/>
  <c r="X937" i="1"/>
  <c r="L937" i="1"/>
  <c r="L896" i="1"/>
  <c r="L855" i="1"/>
  <c r="L814" i="1"/>
  <c r="L773" i="1"/>
  <c r="L732" i="1"/>
  <c r="L691" i="1"/>
  <c r="L650" i="1"/>
  <c r="L609" i="1"/>
  <c r="L568" i="1"/>
  <c r="L527" i="1"/>
  <c r="L486" i="1"/>
  <c r="L445" i="1"/>
  <c r="L404" i="1"/>
  <c r="L363" i="1"/>
  <c r="E322" i="1"/>
  <c r="K322" i="1"/>
  <c r="L295" i="1"/>
  <c r="L298" i="1"/>
  <c r="L302" i="1"/>
  <c r="L305" i="1"/>
  <c r="L310" i="1"/>
  <c r="L313" i="1"/>
  <c r="L317" i="1"/>
  <c r="L320" i="1"/>
  <c r="L299" i="1"/>
  <c r="L301" i="1"/>
  <c r="L304" i="1"/>
  <c r="L307" i="1"/>
  <c r="L308" i="1"/>
  <c r="L311" i="1"/>
  <c r="L314" i="1"/>
  <c r="L316" i="1"/>
  <c r="L319" i="1"/>
  <c r="X291" i="1"/>
  <c r="X293" i="1"/>
  <c r="X294" i="1"/>
  <c r="X295" i="1"/>
  <c r="X299" i="1"/>
  <c r="X303" i="1"/>
  <c r="L292" i="1"/>
  <c r="L293" i="1"/>
  <c r="X300" i="1"/>
  <c r="X302" i="1"/>
  <c r="H322" i="1"/>
  <c r="X298" i="1"/>
  <c r="L303" i="1"/>
  <c r="L312" i="1"/>
  <c r="L294" i="1"/>
  <c r="L315" i="1"/>
  <c r="L318" i="1"/>
  <c r="L321" i="1"/>
  <c r="L297" i="1"/>
  <c r="L306" i="1"/>
  <c r="L300" i="1"/>
  <c r="X304" i="1"/>
  <c r="L309" i="1"/>
  <c r="L249" i="1"/>
  <c r="X249" i="1"/>
  <c r="X250" i="1"/>
  <c r="X255" i="1" l="1"/>
  <c r="X322" i="1"/>
  <c r="L322" i="1"/>
  <c r="Q211" i="1"/>
  <c r="T211" i="1"/>
  <c r="W211" i="1"/>
  <c r="X211" i="1" l="1"/>
  <c r="W174" i="1"/>
  <c r="T174" i="1"/>
  <c r="Q174" i="1"/>
  <c r="K167" i="1"/>
  <c r="H167" i="1"/>
  <c r="E167" i="1"/>
  <c r="L167" i="1" l="1"/>
  <c r="X174" i="1"/>
  <c r="Q214" i="1"/>
  <c r="T214" i="1"/>
  <c r="W214" i="1"/>
  <c r="Q215" i="1"/>
  <c r="T215" i="1"/>
  <c r="W215" i="1"/>
  <c r="Q256" i="1"/>
  <c r="T256" i="1"/>
  <c r="W256" i="1"/>
  <c r="Q257" i="1"/>
  <c r="T257" i="1"/>
  <c r="W257" i="1"/>
  <c r="Q258" i="1"/>
  <c r="T258" i="1"/>
  <c r="W258" i="1"/>
  <c r="Q259" i="1"/>
  <c r="T259" i="1"/>
  <c r="W259" i="1"/>
  <c r="Q260" i="1"/>
  <c r="T260" i="1"/>
  <c r="W260" i="1"/>
  <c r="V570" i="1"/>
  <c r="U570" i="1"/>
  <c r="S570" i="1"/>
  <c r="R570" i="1"/>
  <c r="P570" i="1"/>
  <c r="O570" i="1"/>
  <c r="J281" i="1"/>
  <c r="I281" i="1"/>
  <c r="G281" i="1"/>
  <c r="F281" i="1"/>
  <c r="D281" i="1"/>
  <c r="C281" i="1"/>
  <c r="K280" i="1"/>
  <c r="H280" i="1"/>
  <c r="E280" i="1"/>
  <c r="K279" i="1"/>
  <c r="H279" i="1"/>
  <c r="E279" i="1"/>
  <c r="K278" i="1"/>
  <c r="H278" i="1"/>
  <c r="E278" i="1"/>
  <c r="K277" i="1"/>
  <c r="H277" i="1"/>
  <c r="E277" i="1"/>
  <c r="K276" i="1"/>
  <c r="H276" i="1"/>
  <c r="E276" i="1"/>
  <c r="K275" i="1"/>
  <c r="H275" i="1"/>
  <c r="E275" i="1"/>
  <c r="W274" i="1"/>
  <c r="T274" i="1"/>
  <c r="Q274" i="1"/>
  <c r="K274" i="1"/>
  <c r="H274" i="1"/>
  <c r="E274" i="1"/>
  <c r="W273" i="1"/>
  <c r="T273" i="1"/>
  <c r="Q273" i="1"/>
  <c r="K273" i="1"/>
  <c r="H273" i="1"/>
  <c r="E273" i="1"/>
  <c r="W272" i="1"/>
  <c r="T272" i="1"/>
  <c r="Q272" i="1"/>
  <c r="K272" i="1"/>
  <c r="H272" i="1"/>
  <c r="E272" i="1"/>
  <c r="W271" i="1"/>
  <c r="T271" i="1"/>
  <c r="Q271" i="1"/>
  <c r="K271" i="1"/>
  <c r="H271" i="1"/>
  <c r="E271" i="1"/>
  <c r="K270" i="1"/>
  <c r="H270" i="1"/>
  <c r="E270" i="1"/>
  <c r="W269" i="1"/>
  <c r="T269" i="1"/>
  <c r="Q269" i="1"/>
  <c r="K269" i="1"/>
  <c r="H269" i="1"/>
  <c r="E269" i="1"/>
  <c r="W268" i="1"/>
  <c r="T268" i="1"/>
  <c r="Q268" i="1"/>
  <c r="K268" i="1"/>
  <c r="H268" i="1"/>
  <c r="W267" i="1"/>
  <c r="T267" i="1"/>
  <c r="Q267" i="1"/>
  <c r="K267" i="1"/>
  <c r="H267" i="1"/>
  <c r="W266" i="1"/>
  <c r="T266" i="1"/>
  <c r="Q266" i="1"/>
  <c r="K266" i="1"/>
  <c r="H266" i="1"/>
  <c r="W265" i="1"/>
  <c r="T265" i="1"/>
  <c r="Q265" i="1"/>
  <c r="K265" i="1"/>
  <c r="H265" i="1"/>
  <c r="K264" i="1"/>
  <c r="H264" i="1"/>
  <c r="W262" i="1"/>
  <c r="T262" i="1"/>
  <c r="Q262" i="1"/>
  <c r="K262" i="1"/>
  <c r="H262" i="1"/>
  <c r="W261" i="1"/>
  <c r="T261" i="1"/>
  <c r="Q261" i="1"/>
  <c r="K261" i="1"/>
  <c r="H261" i="1"/>
  <c r="K260" i="1"/>
  <c r="H260" i="1"/>
  <c r="E260" i="1"/>
  <c r="K259" i="1"/>
  <c r="H259" i="1"/>
  <c r="E259" i="1"/>
  <c r="K258" i="1"/>
  <c r="H258" i="1"/>
  <c r="E258" i="1"/>
  <c r="K257" i="1"/>
  <c r="H257" i="1"/>
  <c r="E257" i="1"/>
  <c r="K256" i="1"/>
  <c r="H256" i="1"/>
  <c r="E256" i="1"/>
  <c r="K254" i="1"/>
  <c r="H254" i="1"/>
  <c r="E254" i="1"/>
  <c r="E253" i="1"/>
  <c r="L253" i="1" s="1"/>
  <c r="K252" i="1"/>
  <c r="H252" i="1"/>
  <c r="E252" i="1"/>
  <c r="K251" i="1"/>
  <c r="H251" i="1"/>
  <c r="E251" i="1"/>
  <c r="Q169" i="1"/>
  <c r="T169" i="1"/>
  <c r="W169" i="1"/>
  <c r="Q170" i="1"/>
  <c r="T170" i="1"/>
  <c r="W170" i="1"/>
  <c r="J239" i="1"/>
  <c r="I239" i="1"/>
  <c r="G239" i="1"/>
  <c r="F239" i="1"/>
  <c r="D239" i="1"/>
  <c r="C239" i="1"/>
  <c r="W238" i="1"/>
  <c r="T238" i="1"/>
  <c r="Q238" i="1"/>
  <c r="K238" i="1"/>
  <c r="H238" i="1"/>
  <c r="E238" i="1"/>
  <c r="W237" i="1"/>
  <c r="T237" i="1"/>
  <c r="Q237" i="1"/>
  <c r="K237" i="1"/>
  <c r="H237" i="1"/>
  <c r="E237" i="1"/>
  <c r="W236" i="1"/>
  <c r="T236" i="1"/>
  <c r="Q236" i="1"/>
  <c r="K236" i="1"/>
  <c r="H236" i="1"/>
  <c r="E236" i="1"/>
  <c r="W235" i="1"/>
  <c r="T235" i="1"/>
  <c r="Q235" i="1"/>
  <c r="K235" i="1"/>
  <c r="H235" i="1"/>
  <c r="E235" i="1"/>
  <c r="W234" i="1"/>
  <c r="T234" i="1"/>
  <c r="Q234" i="1"/>
  <c r="K234" i="1"/>
  <c r="H234" i="1"/>
  <c r="E234" i="1"/>
  <c r="W233" i="1"/>
  <c r="T233" i="1"/>
  <c r="Q233" i="1"/>
  <c r="K233" i="1"/>
  <c r="H233" i="1"/>
  <c r="E233" i="1"/>
  <c r="W232" i="1"/>
  <c r="T232" i="1"/>
  <c r="Q232" i="1"/>
  <c r="K232" i="1"/>
  <c r="H232" i="1"/>
  <c r="E232" i="1"/>
  <c r="W231" i="1"/>
  <c r="T231" i="1"/>
  <c r="Q231" i="1"/>
  <c r="K231" i="1"/>
  <c r="H231" i="1"/>
  <c r="E231" i="1"/>
  <c r="W230" i="1"/>
  <c r="T230" i="1"/>
  <c r="Q230" i="1"/>
  <c r="K230" i="1"/>
  <c r="H230" i="1"/>
  <c r="E230" i="1"/>
  <c r="W229" i="1"/>
  <c r="T229" i="1"/>
  <c r="Q229" i="1"/>
  <c r="K229" i="1"/>
  <c r="H229" i="1"/>
  <c r="E229" i="1"/>
  <c r="W228" i="1"/>
  <c r="T228" i="1"/>
  <c r="Q228" i="1"/>
  <c r="K228" i="1"/>
  <c r="H228" i="1"/>
  <c r="E228" i="1"/>
  <c r="W227" i="1"/>
  <c r="T227" i="1"/>
  <c r="Q227" i="1"/>
  <c r="K227" i="1"/>
  <c r="H227" i="1"/>
  <c r="E227" i="1"/>
  <c r="W226" i="1"/>
  <c r="T226" i="1"/>
  <c r="Q226" i="1"/>
  <c r="K226" i="1"/>
  <c r="H226" i="1"/>
  <c r="E226" i="1"/>
  <c r="W225" i="1"/>
  <c r="T225" i="1"/>
  <c r="Q225" i="1"/>
  <c r="K225" i="1"/>
  <c r="H225" i="1"/>
  <c r="E225" i="1"/>
  <c r="W224" i="1"/>
  <c r="T224" i="1"/>
  <c r="Q224" i="1"/>
  <c r="K224" i="1"/>
  <c r="H224" i="1"/>
  <c r="E224" i="1"/>
  <c r="W223" i="1"/>
  <c r="T223" i="1"/>
  <c r="Q223" i="1"/>
  <c r="K223" i="1"/>
  <c r="H223" i="1"/>
  <c r="E223" i="1"/>
  <c r="W222" i="1"/>
  <c r="T222" i="1"/>
  <c r="Q222" i="1"/>
  <c r="K222" i="1"/>
  <c r="H222" i="1"/>
  <c r="E222" i="1"/>
  <c r="W221" i="1"/>
  <c r="T221" i="1"/>
  <c r="Q221" i="1"/>
  <c r="K221" i="1"/>
  <c r="H221" i="1"/>
  <c r="E221" i="1"/>
  <c r="W220" i="1"/>
  <c r="T220" i="1"/>
  <c r="Q220" i="1"/>
  <c r="K220" i="1"/>
  <c r="H220" i="1"/>
  <c r="E220" i="1"/>
  <c r="W219" i="1"/>
  <c r="T219" i="1"/>
  <c r="Q219" i="1"/>
  <c r="K219" i="1"/>
  <c r="H219" i="1"/>
  <c r="E219" i="1"/>
  <c r="W218" i="1"/>
  <c r="T218" i="1"/>
  <c r="Q218" i="1"/>
  <c r="K218" i="1"/>
  <c r="H218" i="1"/>
  <c r="E218" i="1"/>
  <c r="W217" i="1"/>
  <c r="T217" i="1"/>
  <c r="Q217" i="1"/>
  <c r="K217" i="1"/>
  <c r="H217" i="1"/>
  <c r="E217" i="1"/>
  <c r="W216" i="1"/>
  <c r="T216" i="1"/>
  <c r="Q216" i="1"/>
  <c r="K216" i="1"/>
  <c r="H216" i="1"/>
  <c r="E216" i="1"/>
  <c r="K215" i="1"/>
  <c r="H215" i="1"/>
  <c r="E215" i="1"/>
  <c r="K214" i="1"/>
  <c r="H214" i="1"/>
  <c r="E214" i="1"/>
  <c r="W212" i="1"/>
  <c r="T212" i="1"/>
  <c r="Q212" i="1"/>
  <c r="K212" i="1"/>
  <c r="H212" i="1"/>
  <c r="E212" i="1"/>
  <c r="K211" i="1"/>
  <c r="H211" i="1"/>
  <c r="E211" i="1"/>
  <c r="W210" i="1"/>
  <c r="T210" i="1"/>
  <c r="Q210" i="1"/>
  <c r="K210" i="1"/>
  <c r="H210" i="1"/>
  <c r="E210" i="1"/>
  <c r="W209" i="1"/>
  <c r="T209" i="1"/>
  <c r="Q209" i="1"/>
  <c r="K209" i="1"/>
  <c r="H209" i="1"/>
  <c r="E209" i="1"/>
  <c r="K208" i="1"/>
  <c r="H208" i="1"/>
  <c r="E208" i="1"/>
  <c r="W173" i="1"/>
  <c r="T173" i="1"/>
  <c r="Q173" i="1"/>
  <c r="Q196" i="1"/>
  <c r="T196" i="1"/>
  <c r="W196" i="1"/>
  <c r="Q197" i="1"/>
  <c r="T197" i="1"/>
  <c r="W197" i="1"/>
  <c r="Q175" i="1"/>
  <c r="T175" i="1"/>
  <c r="W175" i="1"/>
  <c r="Q176" i="1"/>
  <c r="T176" i="1"/>
  <c r="W176" i="1"/>
  <c r="Q177" i="1"/>
  <c r="T177" i="1"/>
  <c r="W177" i="1"/>
  <c r="Q178" i="1"/>
  <c r="T178" i="1"/>
  <c r="W178" i="1"/>
  <c r="Q179" i="1"/>
  <c r="T179" i="1"/>
  <c r="W179" i="1"/>
  <c r="Q180" i="1"/>
  <c r="T180" i="1"/>
  <c r="W180" i="1"/>
  <c r="Q181" i="1"/>
  <c r="T181" i="1"/>
  <c r="W181" i="1"/>
  <c r="Q182" i="1"/>
  <c r="T182" i="1"/>
  <c r="W182" i="1"/>
  <c r="Q168" i="1"/>
  <c r="T168" i="1"/>
  <c r="W168" i="1"/>
  <c r="Q167" i="1"/>
  <c r="T167" i="1"/>
  <c r="W167" i="1"/>
  <c r="E173" i="1"/>
  <c r="H173" i="1"/>
  <c r="K173" i="1"/>
  <c r="E174" i="1"/>
  <c r="H174" i="1"/>
  <c r="K174" i="1"/>
  <c r="E175" i="1"/>
  <c r="H175" i="1"/>
  <c r="K175" i="1"/>
  <c r="E176" i="1"/>
  <c r="H176" i="1"/>
  <c r="K176" i="1"/>
  <c r="J198" i="1"/>
  <c r="I198" i="1"/>
  <c r="G198" i="1"/>
  <c r="F198" i="1"/>
  <c r="D198" i="1"/>
  <c r="C198" i="1"/>
  <c r="K197" i="1"/>
  <c r="H197" i="1"/>
  <c r="E197" i="1"/>
  <c r="K196" i="1"/>
  <c r="H196" i="1"/>
  <c r="E196" i="1"/>
  <c r="W195" i="1"/>
  <c r="T195" i="1"/>
  <c r="Q195" i="1"/>
  <c r="K195" i="1"/>
  <c r="H195" i="1"/>
  <c r="E195" i="1"/>
  <c r="W194" i="1"/>
  <c r="T194" i="1"/>
  <c r="Q194" i="1"/>
  <c r="K194" i="1"/>
  <c r="H194" i="1"/>
  <c r="E194" i="1"/>
  <c r="W193" i="1"/>
  <c r="T193" i="1"/>
  <c r="Q193" i="1"/>
  <c r="K193" i="1"/>
  <c r="H193" i="1"/>
  <c r="E193" i="1"/>
  <c r="W192" i="1"/>
  <c r="T192" i="1"/>
  <c r="Q192" i="1"/>
  <c r="K192" i="1"/>
  <c r="H192" i="1"/>
  <c r="E192" i="1"/>
  <c r="W191" i="1"/>
  <c r="T191" i="1"/>
  <c r="Q191" i="1"/>
  <c r="K191" i="1"/>
  <c r="H191" i="1"/>
  <c r="E191" i="1"/>
  <c r="W190" i="1"/>
  <c r="T190" i="1"/>
  <c r="Q190" i="1"/>
  <c r="K190" i="1"/>
  <c r="H190" i="1"/>
  <c r="E190" i="1"/>
  <c r="W189" i="1"/>
  <c r="T189" i="1"/>
  <c r="Q189" i="1"/>
  <c r="K189" i="1"/>
  <c r="H189" i="1"/>
  <c r="E189" i="1"/>
  <c r="W188" i="1"/>
  <c r="T188" i="1"/>
  <c r="Q188" i="1"/>
  <c r="K188" i="1"/>
  <c r="H188" i="1"/>
  <c r="E188" i="1"/>
  <c r="W187" i="1"/>
  <c r="T187" i="1"/>
  <c r="Q187" i="1"/>
  <c r="K187" i="1"/>
  <c r="H187" i="1"/>
  <c r="E187" i="1"/>
  <c r="W186" i="1"/>
  <c r="T186" i="1"/>
  <c r="Q186" i="1"/>
  <c r="K186" i="1"/>
  <c r="H186" i="1"/>
  <c r="E186" i="1"/>
  <c r="K185" i="1"/>
  <c r="H185" i="1"/>
  <c r="E185" i="1"/>
  <c r="K184" i="1"/>
  <c r="H184" i="1"/>
  <c r="E184" i="1"/>
  <c r="W183" i="1"/>
  <c r="T183" i="1"/>
  <c r="Q183" i="1"/>
  <c r="K183" i="1"/>
  <c r="H183" i="1"/>
  <c r="E183" i="1"/>
  <c r="K182" i="1"/>
  <c r="H182" i="1"/>
  <c r="E182" i="1"/>
  <c r="K181" i="1"/>
  <c r="H181" i="1"/>
  <c r="E181" i="1"/>
  <c r="K180" i="1"/>
  <c r="H180" i="1"/>
  <c r="E180" i="1"/>
  <c r="K179" i="1"/>
  <c r="H179" i="1"/>
  <c r="E179" i="1"/>
  <c r="K178" i="1"/>
  <c r="H178" i="1"/>
  <c r="E178" i="1"/>
  <c r="K177" i="1"/>
  <c r="H177" i="1"/>
  <c r="E177" i="1"/>
  <c r="W171" i="1"/>
  <c r="T171" i="1"/>
  <c r="Q171" i="1"/>
  <c r="K171" i="1"/>
  <c r="H171" i="1"/>
  <c r="E171" i="1"/>
  <c r="K170" i="1"/>
  <c r="H170" i="1"/>
  <c r="E170" i="1"/>
  <c r="K169" i="1"/>
  <c r="H169" i="1"/>
  <c r="E169" i="1"/>
  <c r="K168" i="1"/>
  <c r="H168" i="1"/>
  <c r="E168" i="1"/>
  <c r="Q198" i="1" l="1"/>
  <c r="T198" i="1"/>
  <c r="W239" i="1"/>
  <c r="W198" i="1"/>
  <c r="T239" i="1"/>
  <c r="W281" i="1"/>
  <c r="W282" i="1" s="1"/>
  <c r="W290" i="1" s="1"/>
  <c r="W296" i="1" s="1"/>
  <c r="Q239" i="1"/>
  <c r="T281" i="1"/>
  <c r="T282" i="1" s="1"/>
  <c r="T290" i="1" s="1"/>
  <c r="T296" i="1" s="1"/>
  <c r="Q281" i="1"/>
  <c r="Q282" i="1" s="1"/>
  <c r="Q290" i="1" s="1"/>
  <c r="Q296" i="1" s="1"/>
  <c r="L214" i="1"/>
  <c r="Q570" i="1"/>
  <c r="X257" i="1"/>
  <c r="L208" i="1"/>
  <c r="L211" i="1"/>
  <c r="X260" i="1"/>
  <c r="X214" i="1"/>
  <c r="X258" i="1"/>
  <c r="L252" i="1"/>
  <c r="L260" i="1"/>
  <c r="X262" i="1"/>
  <c r="X268" i="1"/>
  <c r="X273" i="1"/>
  <c r="X209" i="1"/>
  <c r="X218" i="1"/>
  <c r="X227" i="1"/>
  <c r="X230" i="1"/>
  <c r="X233" i="1"/>
  <c r="X169" i="1"/>
  <c r="L251" i="1"/>
  <c r="L254" i="1"/>
  <c r="L258" i="1"/>
  <c r="X261" i="1"/>
  <c r="X265" i="1"/>
  <c r="X267" i="1"/>
  <c r="X271" i="1"/>
  <c r="X274" i="1"/>
  <c r="X212" i="1"/>
  <c r="X221" i="1"/>
  <c r="L267" i="1"/>
  <c r="L272" i="1"/>
  <c r="L275" i="1"/>
  <c r="L279" i="1"/>
  <c r="L217" i="1"/>
  <c r="L220" i="1"/>
  <c r="L223" i="1"/>
  <c r="L226" i="1"/>
  <c r="L229" i="1"/>
  <c r="L232" i="1"/>
  <c r="L235" i="1"/>
  <c r="L238" i="1"/>
  <c r="X170" i="1"/>
  <c r="H281" i="1"/>
  <c r="X215" i="1"/>
  <c r="L261" i="1"/>
  <c r="L264" i="1"/>
  <c r="L269" i="1"/>
  <c r="L276" i="1"/>
  <c r="L256" i="1"/>
  <c r="X266" i="1"/>
  <c r="X269" i="1"/>
  <c r="X272" i="1"/>
  <c r="L257" i="1"/>
  <c r="L266" i="1"/>
  <c r="L270" i="1"/>
  <c r="L273" i="1"/>
  <c r="L278" i="1"/>
  <c r="H239" i="1"/>
  <c r="K281" i="1"/>
  <c r="X256" i="1"/>
  <c r="X222" i="1"/>
  <c r="X225" i="1"/>
  <c r="L259" i="1"/>
  <c r="L262" i="1"/>
  <c r="L265" i="1"/>
  <c r="L268" i="1"/>
  <c r="L271" i="1"/>
  <c r="L274" i="1"/>
  <c r="L277" i="1"/>
  <c r="L280" i="1"/>
  <c r="E281" i="1"/>
  <c r="X259" i="1"/>
  <c r="L212" i="1"/>
  <c r="L224" i="1"/>
  <c r="E239" i="1"/>
  <c r="L222" i="1"/>
  <c r="L225" i="1"/>
  <c r="L228" i="1"/>
  <c r="L234" i="1"/>
  <c r="L236" i="1"/>
  <c r="L237" i="1"/>
  <c r="X224" i="1"/>
  <c r="X236" i="1"/>
  <c r="L221" i="1"/>
  <c r="L227" i="1"/>
  <c r="L230" i="1"/>
  <c r="L210" i="1"/>
  <c r="L216" i="1"/>
  <c r="L219" i="1"/>
  <c r="L231" i="1"/>
  <c r="X210" i="1"/>
  <c r="X216" i="1"/>
  <c r="X219" i="1"/>
  <c r="X228" i="1"/>
  <c r="X231" i="1"/>
  <c r="L209" i="1"/>
  <c r="L215" i="1"/>
  <c r="L218" i="1"/>
  <c r="L233" i="1"/>
  <c r="X217" i="1"/>
  <c r="X220" i="1"/>
  <c r="X223" i="1"/>
  <c r="X226" i="1"/>
  <c r="X229" i="1"/>
  <c r="X232" i="1"/>
  <c r="X234" i="1"/>
  <c r="X235" i="1"/>
  <c r="X237" i="1"/>
  <c r="X238" i="1"/>
  <c r="K239" i="1"/>
  <c r="X173" i="1"/>
  <c r="E198" i="1"/>
  <c r="L187" i="1"/>
  <c r="X189" i="1"/>
  <c r="X191" i="1"/>
  <c r="X194" i="1"/>
  <c r="H198" i="1"/>
  <c r="X182" i="1"/>
  <c r="L196" i="1"/>
  <c r="L176" i="1"/>
  <c r="X168" i="1"/>
  <c r="X188" i="1"/>
  <c r="L173" i="1"/>
  <c r="L169" i="1"/>
  <c r="L184" i="1"/>
  <c r="L193" i="1"/>
  <c r="L188" i="1"/>
  <c r="L170" i="1"/>
  <c r="L182" i="1"/>
  <c r="X176" i="1"/>
  <c r="X171" i="1"/>
  <c r="L190" i="1"/>
  <c r="L181" i="1"/>
  <c r="L194" i="1"/>
  <c r="L178" i="1"/>
  <c r="X175" i="1"/>
  <c r="X197" i="1"/>
  <c r="X183" i="1"/>
  <c r="X167" i="1"/>
  <c r="L185" i="1"/>
  <c r="X192" i="1"/>
  <c r="X179" i="1"/>
  <c r="X196" i="1"/>
  <c r="X181" i="1"/>
  <c r="L180" i="1"/>
  <c r="L186" i="1"/>
  <c r="X190" i="1"/>
  <c r="L195" i="1"/>
  <c r="L177" i="1"/>
  <c r="L179" i="1"/>
  <c r="X186" i="1"/>
  <c r="L191" i="1"/>
  <c r="X195" i="1"/>
  <c r="L175" i="1"/>
  <c r="X178" i="1"/>
  <c r="L171" i="1"/>
  <c r="L189" i="1"/>
  <c r="X193" i="1"/>
  <c r="L174" i="1"/>
  <c r="X177" i="1"/>
  <c r="L168" i="1"/>
  <c r="L183" i="1"/>
  <c r="X187" i="1"/>
  <c r="L192" i="1"/>
  <c r="L197" i="1"/>
  <c r="X180" i="1"/>
  <c r="K198" i="1"/>
  <c r="E104" i="1"/>
  <c r="H104" i="1"/>
  <c r="K104" i="1"/>
  <c r="K133" i="1"/>
  <c r="H133" i="1"/>
  <c r="E133" i="1"/>
  <c r="X281" i="1" l="1"/>
  <c r="X282" i="1" s="1"/>
  <c r="X290" i="1" s="1"/>
  <c r="X296" i="1" s="1"/>
  <c r="W570" i="1"/>
  <c r="X239" i="1"/>
  <c r="X198" i="1"/>
  <c r="T570" i="1"/>
  <c r="R571" i="1" s="1"/>
  <c r="Q571" i="1"/>
  <c r="W571" i="1"/>
  <c r="U571" i="1"/>
  <c r="P571" i="1"/>
  <c r="O571" i="1"/>
  <c r="V571" i="1"/>
  <c r="X570" i="1"/>
  <c r="Q572" i="1" s="1"/>
  <c r="L281" i="1"/>
  <c r="L239" i="1"/>
  <c r="L198" i="1"/>
  <c r="L133" i="1"/>
  <c r="L104" i="1"/>
  <c r="E134" i="1"/>
  <c r="H134" i="1"/>
  <c r="K134" i="1"/>
  <c r="E135" i="1"/>
  <c r="H135" i="1"/>
  <c r="K135" i="1"/>
  <c r="E136" i="1"/>
  <c r="H136" i="1"/>
  <c r="K136" i="1"/>
  <c r="E137" i="1"/>
  <c r="H137" i="1"/>
  <c r="K137" i="1"/>
  <c r="E138" i="1"/>
  <c r="H138" i="1"/>
  <c r="K138" i="1"/>
  <c r="E139" i="1"/>
  <c r="H139" i="1"/>
  <c r="K139" i="1"/>
  <c r="E140" i="1"/>
  <c r="H140" i="1"/>
  <c r="K140" i="1"/>
  <c r="E127" i="1"/>
  <c r="H127" i="1"/>
  <c r="K127" i="1"/>
  <c r="E128" i="1"/>
  <c r="H128" i="1"/>
  <c r="K128" i="1"/>
  <c r="J158" i="1"/>
  <c r="I158" i="1"/>
  <c r="F158" i="1"/>
  <c r="D158" i="1"/>
  <c r="C158" i="1"/>
  <c r="K157" i="1"/>
  <c r="H157" i="1"/>
  <c r="E157" i="1"/>
  <c r="K156" i="1"/>
  <c r="H156" i="1"/>
  <c r="E156" i="1"/>
  <c r="K155" i="1"/>
  <c r="H155" i="1"/>
  <c r="E155" i="1"/>
  <c r="K154" i="1"/>
  <c r="H154" i="1"/>
  <c r="E154" i="1"/>
  <c r="K153" i="1"/>
  <c r="H153" i="1"/>
  <c r="E153" i="1"/>
  <c r="K152" i="1"/>
  <c r="H152" i="1"/>
  <c r="E152" i="1"/>
  <c r="K151" i="1"/>
  <c r="H151" i="1"/>
  <c r="E151" i="1"/>
  <c r="K150" i="1"/>
  <c r="H150" i="1"/>
  <c r="E150" i="1"/>
  <c r="K149" i="1"/>
  <c r="H149" i="1"/>
  <c r="E149" i="1"/>
  <c r="K148" i="1"/>
  <c r="H148" i="1"/>
  <c r="E148" i="1"/>
  <c r="K147" i="1"/>
  <c r="H147" i="1"/>
  <c r="E147" i="1"/>
  <c r="K146" i="1"/>
  <c r="H146" i="1"/>
  <c r="E146" i="1"/>
  <c r="K145" i="1"/>
  <c r="H145" i="1"/>
  <c r="E145" i="1"/>
  <c r="K144" i="1"/>
  <c r="H144" i="1"/>
  <c r="E144" i="1"/>
  <c r="K143" i="1"/>
  <c r="H143" i="1"/>
  <c r="E143" i="1"/>
  <c r="K142" i="1"/>
  <c r="H142" i="1"/>
  <c r="E142" i="1"/>
  <c r="K141" i="1"/>
  <c r="H141" i="1"/>
  <c r="E141" i="1"/>
  <c r="G158" i="1"/>
  <c r="K131" i="1"/>
  <c r="H131" i="1"/>
  <c r="E131" i="1"/>
  <c r="K130" i="1"/>
  <c r="H130" i="1"/>
  <c r="E130" i="1"/>
  <c r="K129" i="1"/>
  <c r="H129" i="1"/>
  <c r="E129" i="1"/>
  <c r="Q116" i="1"/>
  <c r="T116" i="1"/>
  <c r="W116" i="1"/>
  <c r="Q91" i="1"/>
  <c r="T91" i="1"/>
  <c r="W91" i="1"/>
  <c r="Q131" i="1"/>
  <c r="T131" i="1"/>
  <c r="W131" i="1"/>
  <c r="W128" i="1"/>
  <c r="T128" i="1"/>
  <c r="Q128" i="1"/>
  <c r="Q114" i="1"/>
  <c r="T114" i="1"/>
  <c r="W114" i="1"/>
  <c r="Q115" i="1"/>
  <c r="T115" i="1"/>
  <c r="W115" i="1"/>
  <c r="Q154" i="1"/>
  <c r="T154" i="1"/>
  <c r="W154" i="1"/>
  <c r="Q155" i="1"/>
  <c r="T155" i="1"/>
  <c r="W155" i="1"/>
  <c r="W157" i="1"/>
  <c r="T157" i="1"/>
  <c r="Q157" i="1"/>
  <c r="W156" i="1"/>
  <c r="T156" i="1"/>
  <c r="Q156" i="1"/>
  <c r="Q133" i="1"/>
  <c r="T133" i="1"/>
  <c r="W133" i="1"/>
  <c r="Q134" i="1"/>
  <c r="T134" i="1"/>
  <c r="W134" i="1"/>
  <c r="Q135" i="1"/>
  <c r="T135" i="1"/>
  <c r="W135" i="1"/>
  <c r="Q136" i="1"/>
  <c r="T136" i="1"/>
  <c r="W136" i="1"/>
  <c r="Q137" i="1"/>
  <c r="T137" i="1"/>
  <c r="W137" i="1"/>
  <c r="Q138" i="1"/>
  <c r="T138" i="1"/>
  <c r="W138" i="1"/>
  <c r="Q139" i="1"/>
  <c r="T139" i="1"/>
  <c r="W139" i="1"/>
  <c r="Q140" i="1"/>
  <c r="T140" i="1"/>
  <c r="W140" i="1"/>
  <c r="Q141" i="1"/>
  <c r="T141" i="1"/>
  <c r="W141" i="1"/>
  <c r="Q129" i="1"/>
  <c r="T129" i="1"/>
  <c r="W129" i="1"/>
  <c r="Q130" i="1"/>
  <c r="T130" i="1"/>
  <c r="W130" i="1"/>
  <c r="W153" i="1"/>
  <c r="T153" i="1"/>
  <c r="Q153" i="1"/>
  <c r="W152" i="1"/>
  <c r="T152" i="1"/>
  <c r="Q152" i="1"/>
  <c r="W151" i="1"/>
  <c r="T151" i="1"/>
  <c r="Q151" i="1"/>
  <c r="W150" i="1"/>
  <c r="T150" i="1"/>
  <c r="Q150" i="1"/>
  <c r="W149" i="1"/>
  <c r="T149" i="1"/>
  <c r="Q149" i="1"/>
  <c r="W148" i="1"/>
  <c r="T148" i="1"/>
  <c r="Q148" i="1"/>
  <c r="W147" i="1"/>
  <c r="T147" i="1"/>
  <c r="Q147" i="1"/>
  <c r="W146" i="1"/>
  <c r="T146" i="1"/>
  <c r="Q146" i="1"/>
  <c r="W145" i="1"/>
  <c r="T145" i="1"/>
  <c r="Q145" i="1"/>
  <c r="W144" i="1"/>
  <c r="T144" i="1"/>
  <c r="Q144" i="1"/>
  <c r="W143" i="1"/>
  <c r="T143" i="1"/>
  <c r="Q143" i="1"/>
  <c r="W142" i="1"/>
  <c r="T142" i="1"/>
  <c r="Q142" i="1"/>
  <c r="W127" i="1"/>
  <c r="T127" i="1"/>
  <c r="Q127" i="1"/>
  <c r="T158" i="1" l="1"/>
  <c r="Q158" i="1"/>
  <c r="W158" i="1"/>
  <c r="S571" i="1"/>
  <c r="T571" i="1"/>
  <c r="T572" i="1"/>
  <c r="W572" i="1"/>
  <c r="L130" i="1"/>
  <c r="H158" i="1"/>
  <c r="X154" i="1"/>
  <c r="X116" i="1"/>
  <c r="X139" i="1"/>
  <c r="E158" i="1"/>
  <c r="X143" i="1"/>
  <c r="X145" i="1"/>
  <c r="X149" i="1"/>
  <c r="X156" i="1"/>
  <c r="X152" i="1"/>
  <c r="X133" i="1"/>
  <c r="X136" i="1"/>
  <c r="X91" i="1"/>
  <c r="X146" i="1"/>
  <c r="X135" i="1"/>
  <c r="X114" i="1"/>
  <c r="L127" i="1"/>
  <c r="X131" i="1"/>
  <c r="L136" i="1"/>
  <c r="L134" i="1"/>
  <c r="X155" i="1"/>
  <c r="L139" i="1"/>
  <c r="L135" i="1"/>
  <c r="X115" i="1"/>
  <c r="X138" i="1"/>
  <c r="L138" i="1"/>
  <c r="X147" i="1"/>
  <c r="L145" i="1"/>
  <c r="L151" i="1"/>
  <c r="L155" i="1"/>
  <c r="X151" i="1"/>
  <c r="X153" i="1"/>
  <c r="X129" i="1"/>
  <c r="X128" i="1"/>
  <c r="L131" i="1"/>
  <c r="X148" i="1"/>
  <c r="X130" i="1"/>
  <c r="X141" i="1"/>
  <c r="X157" i="1"/>
  <c r="L142" i="1"/>
  <c r="L144" i="1"/>
  <c r="L146" i="1"/>
  <c r="L148" i="1"/>
  <c r="L150" i="1"/>
  <c r="L152" i="1"/>
  <c r="L154" i="1"/>
  <c r="L156" i="1"/>
  <c r="L140" i="1"/>
  <c r="X127" i="1"/>
  <c r="X150" i="1"/>
  <c r="X134" i="1"/>
  <c r="K158" i="1"/>
  <c r="X137" i="1"/>
  <c r="L141" i="1"/>
  <c r="L143" i="1"/>
  <c r="L147" i="1"/>
  <c r="L149" i="1"/>
  <c r="L153" i="1"/>
  <c r="L157" i="1"/>
  <c r="X142" i="1"/>
  <c r="L128" i="1"/>
  <c r="L137" i="1"/>
  <c r="X144" i="1"/>
  <c r="X140" i="1"/>
  <c r="L129" i="1"/>
  <c r="I99" i="1"/>
  <c r="Q90" i="1"/>
  <c r="T90" i="1"/>
  <c r="W90" i="1"/>
  <c r="W88" i="1"/>
  <c r="T88" i="1"/>
  <c r="Q88" i="1"/>
  <c r="X158" i="1" l="1"/>
  <c r="L158" i="1"/>
  <c r="X88" i="1"/>
  <c r="X90" i="1"/>
  <c r="G96" i="1"/>
  <c r="Q63" i="1"/>
  <c r="T63" i="1"/>
  <c r="W63" i="1"/>
  <c r="W94" i="1"/>
  <c r="T94" i="1"/>
  <c r="Q94" i="1"/>
  <c r="X94" i="1" l="1"/>
  <c r="X63" i="1"/>
  <c r="W93" i="1"/>
  <c r="T93" i="1"/>
  <c r="Q93" i="1"/>
  <c r="X93" i="1" l="1"/>
  <c r="W60" i="1"/>
  <c r="T60" i="1"/>
  <c r="Q60" i="1"/>
  <c r="X60" i="1" l="1"/>
  <c r="W48" i="1"/>
  <c r="T48" i="1"/>
  <c r="Q48" i="1"/>
  <c r="X48" i="1" l="1"/>
  <c r="Q56" i="1"/>
  <c r="T56" i="1"/>
  <c r="W56" i="1"/>
  <c r="X56" i="1" l="1"/>
  <c r="F118" i="1"/>
  <c r="D118" i="1"/>
  <c r="C118" i="1"/>
  <c r="K117" i="1"/>
  <c r="H117" i="1"/>
  <c r="E117" i="1"/>
  <c r="K116" i="1"/>
  <c r="H116" i="1"/>
  <c r="E116" i="1"/>
  <c r="K115" i="1"/>
  <c r="H115" i="1"/>
  <c r="E115" i="1"/>
  <c r="K114" i="1"/>
  <c r="H114" i="1"/>
  <c r="E114" i="1"/>
  <c r="K113" i="1"/>
  <c r="H113" i="1"/>
  <c r="E113" i="1"/>
  <c r="K112" i="1"/>
  <c r="H112" i="1"/>
  <c r="E112" i="1"/>
  <c r="K111" i="1"/>
  <c r="H111" i="1"/>
  <c r="E111" i="1"/>
  <c r="K110" i="1"/>
  <c r="H110" i="1"/>
  <c r="E110" i="1"/>
  <c r="K109" i="1"/>
  <c r="H109" i="1"/>
  <c r="E109" i="1"/>
  <c r="K108" i="1"/>
  <c r="H108" i="1"/>
  <c r="E108" i="1"/>
  <c r="K107" i="1"/>
  <c r="H107" i="1"/>
  <c r="E107" i="1"/>
  <c r="K106" i="1"/>
  <c r="H106" i="1"/>
  <c r="E106" i="1"/>
  <c r="K105" i="1"/>
  <c r="H105" i="1"/>
  <c r="E105" i="1"/>
  <c r="K103" i="1"/>
  <c r="H103" i="1"/>
  <c r="E103" i="1"/>
  <c r="K102" i="1"/>
  <c r="H102" i="1"/>
  <c r="E102" i="1"/>
  <c r="K101" i="1"/>
  <c r="H101" i="1"/>
  <c r="E101" i="1"/>
  <c r="K100" i="1"/>
  <c r="H100" i="1"/>
  <c r="E100" i="1"/>
  <c r="K99" i="1"/>
  <c r="H99" i="1"/>
  <c r="E99" i="1"/>
  <c r="K98" i="1"/>
  <c r="H98" i="1"/>
  <c r="E98" i="1"/>
  <c r="K97" i="1"/>
  <c r="H97" i="1"/>
  <c r="E97" i="1"/>
  <c r="K96" i="1"/>
  <c r="H96" i="1"/>
  <c r="E96" i="1"/>
  <c r="K95" i="1"/>
  <c r="H95" i="1"/>
  <c r="E95" i="1"/>
  <c r="K94" i="1"/>
  <c r="H94" i="1"/>
  <c r="E94" i="1"/>
  <c r="I118" i="1"/>
  <c r="G118" i="1"/>
  <c r="H93" i="1"/>
  <c r="E93" i="1"/>
  <c r="K91" i="1"/>
  <c r="H91" i="1"/>
  <c r="E91" i="1"/>
  <c r="K90" i="1"/>
  <c r="H90" i="1"/>
  <c r="E90" i="1"/>
  <c r="K89" i="1"/>
  <c r="H89" i="1"/>
  <c r="E89" i="1"/>
  <c r="K88" i="1"/>
  <c r="H88" i="1"/>
  <c r="E88" i="1"/>
  <c r="K87" i="1"/>
  <c r="H87" i="1"/>
  <c r="E87" i="1"/>
  <c r="Q77" i="1"/>
  <c r="T77" i="1"/>
  <c r="W77" i="1"/>
  <c r="Q95" i="1"/>
  <c r="T95" i="1"/>
  <c r="W95" i="1"/>
  <c r="W117" i="1"/>
  <c r="T117" i="1"/>
  <c r="Q117" i="1"/>
  <c r="W113" i="1"/>
  <c r="T113" i="1"/>
  <c r="Q113" i="1"/>
  <c r="W112" i="1"/>
  <c r="T112" i="1"/>
  <c r="Q112" i="1"/>
  <c r="W111" i="1"/>
  <c r="T111" i="1"/>
  <c r="Q111" i="1"/>
  <c r="W110" i="1"/>
  <c r="T110" i="1"/>
  <c r="Q110" i="1"/>
  <c r="W109" i="1"/>
  <c r="T109" i="1"/>
  <c r="Q109" i="1"/>
  <c r="W108" i="1"/>
  <c r="T108" i="1"/>
  <c r="Q108" i="1"/>
  <c r="W107" i="1"/>
  <c r="T107" i="1"/>
  <c r="Q107" i="1"/>
  <c r="W106" i="1"/>
  <c r="T106" i="1"/>
  <c r="Q106" i="1"/>
  <c r="W105" i="1"/>
  <c r="T105" i="1"/>
  <c r="Q105" i="1"/>
  <c r="W104" i="1"/>
  <c r="T104" i="1"/>
  <c r="Q104" i="1"/>
  <c r="W103" i="1"/>
  <c r="T103" i="1"/>
  <c r="Q103" i="1"/>
  <c r="W102" i="1"/>
  <c r="T102" i="1"/>
  <c r="Q102" i="1"/>
  <c r="W101" i="1"/>
  <c r="T101" i="1"/>
  <c r="Q101" i="1"/>
  <c r="W100" i="1"/>
  <c r="T100" i="1"/>
  <c r="Q100" i="1"/>
  <c r="W99" i="1"/>
  <c r="T99" i="1"/>
  <c r="Q99" i="1"/>
  <c r="W98" i="1"/>
  <c r="T98" i="1"/>
  <c r="Q98" i="1"/>
  <c r="W97" i="1"/>
  <c r="T97" i="1"/>
  <c r="Q97" i="1"/>
  <c r="W96" i="1"/>
  <c r="T96" i="1"/>
  <c r="Q96" i="1"/>
  <c r="W89" i="1"/>
  <c r="T89" i="1"/>
  <c r="Q89" i="1"/>
  <c r="W87" i="1"/>
  <c r="T87" i="1"/>
  <c r="Q87" i="1"/>
  <c r="Q118" i="1" l="1"/>
  <c r="W118" i="1"/>
  <c r="T118" i="1"/>
  <c r="E118" i="1"/>
  <c r="L97" i="1"/>
  <c r="L99" i="1"/>
  <c r="L103" i="1"/>
  <c r="L115" i="1"/>
  <c r="L106" i="1"/>
  <c r="L109" i="1"/>
  <c r="L117" i="1"/>
  <c r="L98" i="1"/>
  <c r="L100" i="1"/>
  <c r="L89" i="1"/>
  <c r="L108" i="1"/>
  <c r="L112" i="1"/>
  <c r="L107" i="1"/>
  <c r="L116" i="1"/>
  <c r="L94" i="1"/>
  <c r="X77" i="1"/>
  <c r="L88" i="1"/>
  <c r="L101" i="1"/>
  <c r="L110" i="1"/>
  <c r="X97" i="1"/>
  <c r="X99" i="1"/>
  <c r="X101" i="1"/>
  <c r="X103" i="1"/>
  <c r="X105" i="1"/>
  <c r="X107" i="1"/>
  <c r="X109" i="1"/>
  <c r="X111" i="1"/>
  <c r="X113" i="1"/>
  <c r="X117" i="1"/>
  <c r="X95" i="1"/>
  <c r="L90" i="1"/>
  <c r="L96" i="1"/>
  <c r="L105" i="1"/>
  <c r="L114" i="1"/>
  <c r="H118" i="1"/>
  <c r="L87" i="1"/>
  <c r="K93" i="1"/>
  <c r="L93" i="1" s="1"/>
  <c r="L102" i="1"/>
  <c r="L111" i="1"/>
  <c r="X87" i="1"/>
  <c r="X89" i="1"/>
  <c r="X98" i="1"/>
  <c r="X100" i="1"/>
  <c r="X102" i="1"/>
  <c r="X104" i="1"/>
  <c r="X106" i="1"/>
  <c r="X108" i="1"/>
  <c r="X110" i="1"/>
  <c r="X112" i="1"/>
  <c r="L91" i="1"/>
  <c r="L95" i="1"/>
  <c r="L113" i="1"/>
  <c r="J118" i="1"/>
  <c r="X96" i="1"/>
  <c r="Q20" i="1"/>
  <c r="T20" i="1"/>
  <c r="W20" i="1"/>
  <c r="W53" i="1"/>
  <c r="T53" i="1"/>
  <c r="Q53" i="1"/>
  <c r="X118" i="1" l="1"/>
  <c r="X20" i="1"/>
  <c r="K118" i="1"/>
  <c r="L118" i="1" s="1"/>
  <c r="X53" i="1"/>
  <c r="J53" i="1"/>
  <c r="I53" i="1"/>
  <c r="G53" i="1"/>
  <c r="F53" i="1"/>
  <c r="W9" i="1" l="1"/>
  <c r="T9" i="1"/>
  <c r="Q9" i="1"/>
  <c r="X9" i="1" l="1"/>
  <c r="K35" i="1"/>
  <c r="H35" i="1"/>
  <c r="E35" i="1"/>
  <c r="L35" i="1" l="1"/>
  <c r="E48" i="1"/>
  <c r="H48" i="1"/>
  <c r="K48" i="1"/>
  <c r="E49" i="1"/>
  <c r="H49" i="1"/>
  <c r="K49" i="1"/>
  <c r="E50" i="1"/>
  <c r="H50" i="1"/>
  <c r="K50" i="1"/>
  <c r="E76" i="1"/>
  <c r="H76" i="1"/>
  <c r="K76" i="1"/>
  <c r="E77" i="1"/>
  <c r="H77" i="1"/>
  <c r="K77" i="1"/>
  <c r="Q76" i="1"/>
  <c r="T76" i="1"/>
  <c r="W76" i="1"/>
  <c r="W37" i="1"/>
  <c r="T37" i="1"/>
  <c r="Q37" i="1"/>
  <c r="Q50" i="1"/>
  <c r="T50" i="1"/>
  <c r="W50" i="1"/>
  <c r="W6" i="1"/>
  <c r="T6" i="1"/>
  <c r="Q6" i="1"/>
  <c r="Q7" i="1"/>
  <c r="T7" i="1"/>
  <c r="W7" i="1"/>
  <c r="Q8" i="1"/>
  <c r="T8" i="1"/>
  <c r="W8" i="1"/>
  <c r="Q13" i="1"/>
  <c r="T13" i="1"/>
  <c r="W13" i="1"/>
  <c r="Q14" i="1"/>
  <c r="T14" i="1"/>
  <c r="W14" i="1"/>
  <c r="Q15" i="1"/>
  <c r="T15" i="1"/>
  <c r="W15" i="1"/>
  <c r="Q16" i="1"/>
  <c r="T16" i="1"/>
  <c r="W16" i="1"/>
  <c r="Q17" i="1"/>
  <c r="T17" i="1"/>
  <c r="W17" i="1"/>
  <c r="Q18" i="1"/>
  <c r="T18" i="1"/>
  <c r="W18" i="1"/>
  <c r="Q19" i="1"/>
  <c r="T19" i="1"/>
  <c r="W19" i="1"/>
  <c r="Q21" i="1"/>
  <c r="T21" i="1"/>
  <c r="W21" i="1"/>
  <c r="Q22" i="1"/>
  <c r="T22" i="1"/>
  <c r="W22" i="1"/>
  <c r="Q23" i="1"/>
  <c r="T23" i="1"/>
  <c r="W23" i="1"/>
  <c r="Q24" i="1"/>
  <c r="T24" i="1"/>
  <c r="W24" i="1"/>
  <c r="Q25" i="1"/>
  <c r="T25" i="1"/>
  <c r="W25" i="1"/>
  <c r="Q26" i="1"/>
  <c r="T26" i="1"/>
  <c r="W26" i="1"/>
  <c r="Q27" i="1"/>
  <c r="T27" i="1"/>
  <c r="W27" i="1"/>
  <c r="Q28" i="1"/>
  <c r="T28" i="1"/>
  <c r="W28" i="1"/>
  <c r="Q29" i="1"/>
  <c r="T29" i="1"/>
  <c r="W29" i="1"/>
  <c r="Q30" i="1"/>
  <c r="T30" i="1"/>
  <c r="W30" i="1"/>
  <c r="Q31" i="1"/>
  <c r="T31" i="1"/>
  <c r="W31" i="1"/>
  <c r="Q32" i="1"/>
  <c r="T32" i="1"/>
  <c r="W32" i="1"/>
  <c r="W75" i="1"/>
  <c r="T75" i="1"/>
  <c r="Q75" i="1"/>
  <c r="W74" i="1"/>
  <c r="T74" i="1"/>
  <c r="Q74" i="1"/>
  <c r="W73" i="1"/>
  <c r="T73" i="1"/>
  <c r="Q73" i="1"/>
  <c r="W72" i="1"/>
  <c r="T72" i="1"/>
  <c r="Q72" i="1"/>
  <c r="W71" i="1"/>
  <c r="T71" i="1"/>
  <c r="Q71" i="1"/>
  <c r="W70" i="1"/>
  <c r="T70" i="1"/>
  <c r="Q70" i="1"/>
  <c r="W69" i="1"/>
  <c r="T69" i="1"/>
  <c r="Q69" i="1"/>
  <c r="W68" i="1"/>
  <c r="T68" i="1"/>
  <c r="Q68" i="1"/>
  <c r="W67" i="1"/>
  <c r="T67" i="1"/>
  <c r="Q67" i="1"/>
  <c r="W66" i="1"/>
  <c r="T66" i="1"/>
  <c r="Q66" i="1"/>
  <c r="W65" i="1"/>
  <c r="T65" i="1"/>
  <c r="Q65" i="1"/>
  <c r="W64" i="1"/>
  <c r="T64" i="1"/>
  <c r="Q64" i="1"/>
  <c r="W62" i="1"/>
  <c r="T62" i="1"/>
  <c r="Q62" i="1"/>
  <c r="W61" i="1"/>
  <c r="T61" i="1"/>
  <c r="Q61" i="1"/>
  <c r="W59" i="1"/>
  <c r="T59" i="1"/>
  <c r="Q59" i="1"/>
  <c r="W58" i="1"/>
  <c r="T58" i="1"/>
  <c r="Q58" i="1"/>
  <c r="W57" i="1"/>
  <c r="T57" i="1"/>
  <c r="Q57" i="1"/>
  <c r="W55" i="1"/>
  <c r="T55" i="1"/>
  <c r="Q55" i="1"/>
  <c r="W54" i="1"/>
  <c r="T54" i="1"/>
  <c r="Q54" i="1"/>
  <c r="W51" i="1"/>
  <c r="T51" i="1"/>
  <c r="Q51" i="1"/>
  <c r="W49" i="1"/>
  <c r="T49" i="1"/>
  <c r="Q49" i="1"/>
  <c r="W47" i="1"/>
  <c r="T47" i="1"/>
  <c r="Q47" i="1"/>
  <c r="W36" i="1"/>
  <c r="T36" i="1"/>
  <c r="Q36" i="1"/>
  <c r="W35" i="1"/>
  <c r="T35" i="1"/>
  <c r="Q35" i="1"/>
  <c r="W34" i="1"/>
  <c r="T34" i="1"/>
  <c r="Q34" i="1"/>
  <c r="W33" i="1"/>
  <c r="T33" i="1"/>
  <c r="Q33" i="1"/>
  <c r="W11" i="1"/>
  <c r="T11" i="1"/>
  <c r="Q11" i="1"/>
  <c r="W10" i="1"/>
  <c r="T10" i="1"/>
  <c r="Q10" i="1"/>
  <c r="Q78" i="1" l="1"/>
  <c r="W38" i="1"/>
  <c r="T38" i="1"/>
  <c r="Q12" i="1"/>
  <c r="T78" i="1"/>
  <c r="Q38" i="1"/>
  <c r="T12" i="1"/>
  <c r="W78" i="1"/>
  <c r="W12" i="1"/>
  <c r="P160" i="1"/>
  <c r="P241" i="1" s="1"/>
  <c r="P283" i="1" s="1"/>
  <c r="S160" i="1"/>
  <c r="S241" i="1" s="1"/>
  <c r="S283" i="1" s="1"/>
  <c r="U160" i="1"/>
  <c r="U241" i="1" s="1"/>
  <c r="U283" i="1" s="1"/>
  <c r="R160" i="1"/>
  <c r="R241" i="1" s="1"/>
  <c r="R283" i="1" s="1"/>
  <c r="V160" i="1"/>
  <c r="V241" i="1" s="1"/>
  <c r="V283" i="1" s="1"/>
  <c r="O160" i="1"/>
  <c r="O241" i="1" s="1"/>
  <c r="O283" i="1" s="1"/>
  <c r="X16" i="1"/>
  <c r="X8" i="1"/>
  <c r="X50" i="1"/>
  <c r="X76" i="1"/>
  <c r="L76" i="1"/>
  <c r="L49" i="1"/>
  <c r="U79" i="1"/>
  <c r="U86" i="1" s="1"/>
  <c r="U92" i="1" s="1"/>
  <c r="X7" i="1"/>
  <c r="L48" i="1"/>
  <c r="X49" i="1"/>
  <c r="X55" i="1"/>
  <c r="X57" i="1"/>
  <c r="X59" i="1"/>
  <c r="X61" i="1"/>
  <c r="X65" i="1"/>
  <c r="X67" i="1"/>
  <c r="X69" i="1"/>
  <c r="X71" i="1"/>
  <c r="X73" i="1"/>
  <c r="X75" i="1"/>
  <c r="X10" i="1"/>
  <c r="X33" i="1"/>
  <c r="X35" i="1"/>
  <c r="X37" i="1"/>
  <c r="X36" i="1"/>
  <c r="X31" i="1"/>
  <c r="X29" i="1"/>
  <c r="X27" i="1"/>
  <c r="X25" i="1"/>
  <c r="X23" i="1"/>
  <c r="X21" i="1"/>
  <c r="X19" i="1"/>
  <c r="X17" i="1"/>
  <c r="X15" i="1"/>
  <c r="X11" i="1"/>
  <c r="X34" i="1"/>
  <c r="X47" i="1"/>
  <c r="X51" i="1"/>
  <c r="X54" i="1"/>
  <c r="X58" i="1"/>
  <c r="X62" i="1"/>
  <c r="X64" i="1"/>
  <c r="X66" i="1"/>
  <c r="X68" i="1"/>
  <c r="X70" i="1"/>
  <c r="X72" i="1"/>
  <c r="X74" i="1"/>
  <c r="X6" i="1"/>
  <c r="L77" i="1"/>
  <c r="L50" i="1"/>
  <c r="X32" i="1"/>
  <c r="X30" i="1"/>
  <c r="X28" i="1"/>
  <c r="X26" i="1"/>
  <c r="X24" i="1"/>
  <c r="X22" i="1"/>
  <c r="X18" i="1"/>
  <c r="X14" i="1"/>
  <c r="X13" i="1"/>
  <c r="R79" i="1"/>
  <c r="R86" i="1" s="1"/>
  <c r="R92" i="1" s="1"/>
  <c r="E47" i="1"/>
  <c r="E51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F78" i="1"/>
  <c r="G78" i="1"/>
  <c r="D20" i="1"/>
  <c r="D38" i="1" s="1"/>
  <c r="H47" i="1"/>
  <c r="K47" i="1"/>
  <c r="H51" i="1"/>
  <c r="K51" i="1"/>
  <c r="H53" i="1"/>
  <c r="K53" i="1"/>
  <c r="H54" i="1"/>
  <c r="K54" i="1"/>
  <c r="H55" i="1"/>
  <c r="K55" i="1"/>
  <c r="H56" i="1"/>
  <c r="K56" i="1"/>
  <c r="H57" i="1"/>
  <c r="K57" i="1"/>
  <c r="H58" i="1"/>
  <c r="K58" i="1"/>
  <c r="H59" i="1"/>
  <c r="K59" i="1"/>
  <c r="H60" i="1"/>
  <c r="K60" i="1"/>
  <c r="H61" i="1"/>
  <c r="K61" i="1"/>
  <c r="H62" i="1"/>
  <c r="K62" i="1"/>
  <c r="H63" i="1"/>
  <c r="K63" i="1"/>
  <c r="H64" i="1"/>
  <c r="K64" i="1"/>
  <c r="H65" i="1"/>
  <c r="K65" i="1"/>
  <c r="H66" i="1"/>
  <c r="K66" i="1"/>
  <c r="H67" i="1"/>
  <c r="K67" i="1"/>
  <c r="H68" i="1"/>
  <c r="K68" i="1"/>
  <c r="H69" i="1"/>
  <c r="K69" i="1"/>
  <c r="H70" i="1"/>
  <c r="K70" i="1"/>
  <c r="H71" i="1"/>
  <c r="K71" i="1"/>
  <c r="H72" i="1"/>
  <c r="K72" i="1"/>
  <c r="H73" i="1"/>
  <c r="K73" i="1"/>
  <c r="H74" i="1"/>
  <c r="K74" i="1"/>
  <c r="H75" i="1"/>
  <c r="K75" i="1"/>
  <c r="C78" i="1"/>
  <c r="D78" i="1"/>
  <c r="I78" i="1"/>
  <c r="J78" i="1"/>
  <c r="E6" i="1"/>
  <c r="H6" i="1"/>
  <c r="K6" i="1"/>
  <c r="E7" i="1"/>
  <c r="H7" i="1"/>
  <c r="K7" i="1"/>
  <c r="E8" i="1"/>
  <c r="H8" i="1"/>
  <c r="K8" i="1"/>
  <c r="E9" i="1"/>
  <c r="H9" i="1"/>
  <c r="K9" i="1"/>
  <c r="E10" i="1"/>
  <c r="H10" i="1"/>
  <c r="K10" i="1"/>
  <c r="E11" i="1"/>
  <c r="H11" i="1"/>
  <c r="K11" i="1"/>
  <c r="C12" i="1"/>
  <c r="D12" i="1"/>
  <c r="F12" i="1"/>
  <c r="G12" i="1"/>
  <c r="I12" i="1"/>
  <c r="J12" i="1"/>
  <c r="E13" i="1"/>
  <c r="H13" i="1"/>
  <c r="K13" i="1"/>
  <c r="E14" i="1"/>
  <c r="H14" i="1"/>
  <c r="K14" i="1"/>
  <c r="E15" i="1"/>
  <c r="H15" i="1"/>
  <c r="K15" i="1"/>
  <c r="E16" i="1"/>
  <c r="H16" i="1"/>
  <c r="K16" i="1"/>
  <c r="E17" i="1"/>
  <c r="H17" i="1"/>
  <c r="K17" i="1"/>
  <c r="E18" i="1"/>
  <c r="H18" i="1"/>
  <c r="K18" i="1"/>
  <c r="E19" i="1"/>
  <c r="H19" i="1"/>
  <c r="K19" i="1"/>
  <c r="H20" i="1"/>
  <c r="K20" i="1"/>
  <c r="E21" i="1"/>
  <c r="H21" i="1"/>
  <c r="K21" i="1"/>
  <c r="E22" i="1"/>
  <c r="H22" i="1"/>
  <c r="K22" i="1"/>
  <c r="E23" i="1"/>
  <c r="H23" i="1"/>
  <c r="K23" i="1"/>
  <c r="E24" i="1"/>
  <c r="H24" i="1"/>
  <c r="K24" i="1"/>
  <c r="E25" i="1"/>
  <c r="H25" i="1"/>
  <c r="K25" i="1"/>
  <c r="E26" i="1"/>
  <c r="H26" i="1"/>
  <c r="K26" i="1"/>
  <c r="E27" i="1"/>
  <c r="H27" i="1"/>
  <c r="K27" i="1"/>
  <c r="E28" i="1"/>
  <c r="H28" i="1"/>
  <c r="K28" i="1"/>
  <c r="E29" i="1"/>
  <c r="H29" i="1"/>
  <c r="K29" i="1"/>
  <c r="E30" i="1"/>
  <c r="H30" i="1"/>
  <c r="K30" i="1"/>
  <c r="E31" i="1"/>
  <c r="H31" i="1"/>
  <c r="K31" i="1"/>
  <c r="E32" i="1"/>
  <c r="H32" i="1"/>
  <c r="K32" i="1"/>
  <c r="E33" i="1"/>
  <c r="H33" i="1"/>
  <c r="K33" i="1"/>
  <c r="E34" i="1"/>
  <c r="H34" i="1"/>
  <c r="K34" i="1"/>
  <c r="E36" i="1"/>
  <c r="H36" i="1"/>
  <c r="K36" i="1"/>
  <c r="E37" i="1"/>
  <c r="H37" i="1"/>
  <c r="K37" i="1"/>
  <c r="C38" i="1"/>
  <c r="F38" i="1"/>
  <c r="G38" i="1"/>
  <c r="I38" i="1"/>
  <c r="J38" i="1"/>
  <c r="T39" i="1" l="1"/>
  <c r="T46" i="1" s="1"/>
  <c r="T52" i="1" s="1"/>
  <c r="X12" i="1"/>
  <c r="Q39" i="1"/>
  <c r="Q46" i="1" s="1"/>
  <c r="Q52" i="1" s="1"/>
  <c r="X78" i="1"/>
  <c r="X38" i="1"/>
  <c r="W39" i="1"/>
  <c r="W46" i="1" s="1"/>
  <c r="W52" i="1" s="1"/>
  <c r="W79" i="1" s="1"/>
  <c r="W86" i="1" s="1"/>
  <c r="W92" i="1" s="1"/>
  <c r="P79" i="1"/>
  <c r="V79" i="1"/>
  <c r="S79" i="1"/>
  <c r="W160" i="1"/>
  <c r="T160" i="1"/>
  <c r="Q160" i="1"/>
  <c r="Q241" i="1" s="1"/>
  <c r="E12" i="1"/>
  <c r="L14" i="1"/>
  <c r="E78" i="1"/>
  <c r="O79" i="1"/>
  <c r="O86" i="1" s="1"/>
  <c r="O92" i="1" s="1"/>
  <c r="T79" i="1"/>
  <c r="T86" i="1" s="1"/>
  <c r="T92" i="1" s="1"/>
  <c r="L28" i="1"/>
  <c r="L26" i="1"/>
  <c r="L31" i="1"/>
  <c r="E20" i="1"/>
  <c r="L20" i="1" s="1"/>
  <c r="L8" i="1"/>
  <c r="I39" i="1"/>
  <c r="I46" i="1" s="1"/>
  <c r="I52" i="1" s="1"/>
  <c r="I79" i="1" s="1"/>
  <c r="I86" i="1" s="1"/>
  <c r="I92" i="1" s="1"/>
  <c r="F39" i="1"/>
  <c r="F46" i="1" s="1"/>
  <c r="F52" i="1" s="1"/>
  <c r="F79" i="1" s="1"/>
  <c r="F86" i="1" s="1"/>
  <c r="F92" i="1" s="1"/>
  <c r="L51" i="1"/>
  <c r="L23" i="1"/>
  <c r="L17" i="1"/>
  <c r="L37" i="1"/>
  <c r="L60" i="1"/>
  <c r="L29" i="1"/>
  <c r="L6" i="1"/>
  <c r="L19" i="1"/>
  <c r="L18" i="1"/>
  <c r="K12" i="1"/>
  <c r="L11" i="1"/>
  <c r="L54" i="1"/>
  <c r="L30" i="1"/>
  <c r="H12" i="1"/>
  <c r="G39" i="1"/>
  <c r="G46" i="1" s="1"/>
  <c r="G52" i="1" s="1"/>
  <c r="G79" i="1" s="1"/>
  <c r="G86" i="1" s="1"/>
  <c r="G92" i="1" s="1"/>
  <c r="G119" i="1" s="1"/>
  <c r="G126" i="1" s="1"/>
  <c r="G132" i="1" s="1"/>
  <c r="G159" i="1" s="1"/>
  <c r="G166" i="1" s="1"/>
  <c r="G172" i="1" s="1"/>
  <c r="G199" i="1" s="1"/>
  <c r="G207" i="1" s="1"/>
  <c r="G213" i="1" s="1"/>
  <c r="G240" i="1" s="1"/>
  <c r="G255" i="1" s="1"/>
  <c r="G282" i="1" s="1"/>
  <c r="G290" i="1" s="1"/>
  <c r="G296" i="1" s="1"/>
  <c r="G323" i="1" s="1"/>
  <c r="G331" i="1" s="1"/>
  <c r="G337" i="1" s="1"/>
  <c r="G364" i="1" s="1"/>
  <c r="G372" i="1" s="1"/>
  <c r="G378" i="1" s="1"/>
  <c r="L34" i="1"/>
  <c r="L32" i="1"/>
  <c r="L25" i="1"/>
  <c r="L7" i="1"/>
  <c r="L69" i="1"/>
  <c r="L67" i="1"/>
  <c r="L57" i="1"/>
  <c r="L55" i="1"/>
  <c r="L33" i="1"/>
  <c r="C39" i="1"/>
  <c r="C46" i="1" s="1"/>
  <c r="C52" i="1" s="1"/>
  <c r="L36" i="1"/>
  <c r="L21" i="1"/>
  <c r="L63" i="1"/>
  <c r="L59" i="1"/>
  <c r="L66" i="1"/>
  <c r="L64" i="1"/>
  <c r="L16" i="1"/>
  <c r="H38" i="1"/>
  <c r="L24" i="1"/>
  <c r="L15" i="1"/>
  <c r="L9" i="1"/>
  <c r="L72" i="1"/>
  <c r="L68" i="1"/>
  <c r="L58" i="1"/>
  <c r="D39" i="1"/>
  <c r="D46" i="1" s="1"/>
  <c r="D52" i="1" s="1"/>
  <c r="D79" i="1" s="1"/>
  <c r="D86" i="1" s="1"/>
  <c r="D92" i="1" s="1"/>
  <c r="D119" i="1" s="1"/>
  <c r="D126" i="1" s="1"/>
  <c r="D132" i="1" s="1"/>
  <c r="D159" i="1" s="1"/>
  <c r="D166" i="1" s="1"/>
  <c r="D172" i="1" s="1"/>
  <c r="D199" i="1" s="1"/>
  <c r="D207" i="1" s="1"/>
  <c r="D213" i="1" s="1"/>
  <c r="D240" i="1" s="1"/>
  <c r="D255" i="1" s="1"/>
  <c r="D282" i="1" s="1"/>
  <c r="D290" i="1" s="1"/>
  <c r="D296" i="1" s="1"/>
  <c r="D323" i="1" s="1"/>
  <c r="D331" i="1" s="1"/>
  <c r="D337" i="1" s="1"/>
  <c r="D364" i="1" s="1"/>
  <c r="D372" i="1" s="1"/>
  <c r="D378" i="1" s="1"/>
  <c r="L10" i="1"/>
  <c r="J39" i="1"/>
  <c r="J46" i="1" s="1"/>
  <c r="J52" i="1" s="1"/>
  <c r="L27" i="1"/>
  <c r="L22" i="1"/>
  <c r="L13" i="1"/>
  <c r="L75" i="1"/>
  <c r="L73" i="1"/>
  <c r="H78" i="1"/>
  <c r="L62" i="1"/>
  <c r="L74" i="1"/>
  <c r="L70" i="1"/>
  <c r="L65" i="1"/>
  <c r="L61" i="1"/>
  <c r="L56" i="1"/>
  <c r="L47" i="1"/>
  <c r="L71" i="1"/>
  <c r="L53" i="1"/>
  <c r="K78" i="1"/>
  <c r="K38" i="1"/>
  <c r="E38" i="1"/>
  <c r="X39" i="1" l="1"/>
  <c r="X46" i="1" s="1"/>
  <c r="X52" i="1" s="1"/>
  <c r="P86" i="1"/>
  <c r="P92" i="1" s="1"/>
  <c r="P119" i="1" s="1"/>
  <c r="P126" i="1" s="1"/>
  <c r="P132" i="1" s="1"/>
  <c r="P159" i="1" s="1"/>
  <c r="S86" i="1"/>
  <c r="S92" i="1" s="1"/>
  <c r="S119" i="1" s="1"/>
  <c r="S126" i="1" s="1"/>
  <c r="S132" i="1" s="1"/>
  <c r="S159" i="1" s="1"/>
  <c r="V86" i="1"/>
  <c r="V92" i="1" s="1"/>
  <c r="V119" i="1" s="1"/>
  <c r="V126" i="1" s="1"/>
  <c r="V132" i="1" s="1"/>
  <c r="V159" i="1" s="1"/>
  <c r="P323" i="1"/>
  <c r="V323" i="1"/>
  <c r="S323" i="1"/>
  <c r="D405" i="1"/>
  <c r="G405" i="1"/>
  <c r="O242" i="1"/>
  <c r="Q283" i="1"/>
  <c r="Q242" i="1"/>
  <c r="P242" i="1"/>
  <c r="T161" i="1"/>
  <c r="T241" i="1"/>
  <c r="T283" i="1" s="1"/>
  <c r="W161" i="1"/>
  <c r="W241" i="1"/>
  <c r="W283" i="1" s="1"/>
  <c r="U161" i="1"/>
  <c r="V161" i="1"/>
  <c r="S161" i="1"/>
  <c r="R161" i="1"/>
  <c r="Q161" i="1"/>
  <c r="P161" i="1"/>
  <c r="X160" i="1"/>
  <c r="X241" i="1" s="1"/>
  <c r="X283" i="1" s="1"/>
  <c r="O161" i="1"/>
  <c r="I119" i="1"/>
  <c r="I126" i="1" s="1"/>
  <c r="I132" i="1" s="1"/>
  <c r="H92" i="1"/>
  <c r="F119" i="1"/>
  <c r="E52" i="1"/>
  <c r="K52" i="1"/>
  <c r="H39" i="1"/>
  <c r="H46" i="1" s="1"/>
  <c r="H79" i="1"/>
  <c r="H86" i="1" s="1"/>
  <c r="K39" i="1"/>
  <c r="K46" i="1" s="1"/>
  <c r="L12" i="1"/>
  <c r="H52" i="1"/>
  <c r="C79" i="1"/>
  <c r="J79" i="1"/>
  <c r="E39" i="1"/>
  <c r="E46" i="1" s="1"/>
  <c r="L78" i="1"/>
  <c r="L38" i="1"/>
  <c r="V166" i="1" l="1"/>
  <c r="V172" i="1" s="1"/>
  <c r="V199" i="1" s="1"/>
  <c r="V207" i="1" s="1"/>
  <c r="V213" i="1" s="1"/>
  <c r="V240" i="1" s="1"/>
  <c r="S166" i="1"/>
  <c r="S172" i="1" s="1"/>
  <c r="S199" i="1" s="1"/>
  <c r="S207" i="1" s="1"/>
  <c r="S213" i="1" s="1"/>
  <c r="S240" i="1" s="1"/>
  <c r="P166" i="1"/>
  <c r="P172" i="1" s="1"/>
  <c r="P199" i="1" s="1"/>
  <c r="P207" i="1" s="1"/>
  <c r="P213" i="1" s="1"/>
  <c r="P240" i="1" s="1"/>
  <c r="S331" i="1"/>
  <c r="S337" i="1" s="1"/>
  <c r="S364" i="1" s="1"/>
  <c r="S372" i="1" s="1"/>
  <c r="S378" i="1" s="1"/>
  <c r="S405" i="1" s="1"/>
  <c r="S413" i="1" s="1"/>
  <c r="S419" i="1" s="1"/>
  <c r="S446" i="1" s="1"/>
  <c r="S454" i="1" s="1"/>
  <c r="S460" i="1" s="1"/>
  <c r="S487" i="1" s="1"/>
  <c r="V331" i="1"/>
  <c r="V337" i="1" s="1"/>
  <c r="V364" i="1" s="1"/>
  <c r="V372" i="1" s="1"/>
  <c r="V378" i="1" s="1"/>
  <c r="V405" i="1" s="1"/>
  <c r="V413" i="1" s="1"/>
  <c r="V419" i="1" s="1"/>
  <c r="V446" i="1" s="1"/>
  <c r="V454" i="1" s="1"/>
  <c r="V460" i="1" s="1"/>
  <c r="V487" i="1" s="1"/>
  <c r="P331" i="1"/>
  <c r="P337" i="1" s="1"/>
  <c r="P364" i="1" s="1"/>
  <c r="P372" i="1" s="1"/>
  <c r="P378" i="1" s="1"/>
  <c r="P405" i="1" s="1"/>
  <c r="P413" i="1" s="1"/>
  <c r="P419" i="1" s="1"/>
  <c r="P446" i="1" s="1"/>
  <c r="P454" i="1" s="1"/>
  <c r="P460" i="1" s="1"/>
  <c r="P487" i="1" s="1"/>
  <c r="X79" i="1"/>
  <c r="X86" i="1" s="1"/>
  <c r="X92" i="1" s="1"/>
  <c r="Q79" i="1"/>
  <c r="Q86" i="1" s="1"/>
  <c r="Q92" i="1" s="1"/>
  <c r="R119" i="1"/>
  <c r="U119" i="1"/>
  <c r="D413" i="1"/>
  <c r="D419" i="1" s="1"/>
  <c r="G413" i="1"/>
  <c r="G419" i="1" s="1"/>
  <c r="Q285" i="1"/>
  <c r="T284" i="1"/>
  <c r="T285" i="1"/>
  <c r="R284" i="1"/>
  <c r="S284" i="1"/>
  <c r="W284" i="1"/>
  <c r="W285" i="1"/>
  <c r="V284" i="1"/>
  <c r="U284" i="1"/>
  <c r="Q284" i="1"/>
  <c r="P284" i="1"/>
  <c r="O284" i="1"/>
  <c r="T242" i="1"/>
  <c r="T243" i="1"/>
  <c r="S242" i="1"/>
  <c r="R242" i="1"/>
  <c r="X243" i="1"/>
  <c r="V243" i="1"/>
  <c r="S243" i="1"/>
  <c r="O243" i="1"/>
  <c r="U243" i="1"/>
  <c r="R243" i="1"/>
  <c r="P243" i="1"/>
  <c r="W243" i="1"/>
  <c r="W242" i="1"/>
  <c r="V242" i="1"/>
  <c r="U242" i="1"/>
  <c r="Q243" i="1"/>
  <c r="H119" i="1"/>
  <c r="H126" i="1" s="1"/>
  <c r="F126" i="1"/>
  <c r="F132" i="1" s="1"/>
  <c r="I159" i="1"/>
  <c r="I166" i="1" s="1"/>
  <c r="I172" i="1" s="1"/>
  <c r="K79" i="1"/>
  <c r="K86" i="1" s="1"/>
  <c r="J86" i="1"/>
  <c r="J92" i="1" s="1"/>
  <c r="E79" i="1"/>
  <c r="E86" i="1" s="1"/>
  <c r="C86" i="1"/>
  <c r="C92" i="1" s="1"/>
  <c r="W119" i="1"/>
  <c r="W126" i="1" s="1"/>
  <c r="W132" i="1" s="1"/>
  <c r="T119" i="1"/>
  <c r="T126" i="1" s="1"/>
  <c r="T132" i="1" s="1"/>
  <c r="L46" i="1"/>
  <c r="L39" i="1"/>
  <c r="L52" i="1"/>
  <c r="U126" i="1" l="1"/>
  <c r="U132" i="1" s="1"/>
  <c r="U159" i="1" s="1"/>
  <c r="U166" i="1" s="1"/>
  <c r="U172" i="1" s="1"/>
  <c r="R126" i="1"/>
  <c r="R132" i="1" s="1"/>
  <c r="R159" i="1" s="1"/>
  <c r="R166" i="1" s="1"/>
  <c r="R172" i="1" s="1"/>
  <c r="V495" i="1"/>
  <c r="V501" i="1" s="1"/>
  <c r="V528" i="1" s="1"/>
  <c r="V536" i="1" s="1"/>
  <c r="V542" i="1" s="1"/>
  <c r="V569" i="1" s="1"/>
  <c r="V577" i="1" s="1"/>
  <c r="V583" i="1" s="1"/>
  <c r="V610" i="1" s="1"/>
  <c r="V618" i="1" s="1"/>
  <c r="V624" i="1" s="1"/>
  <c r="V651" i="1" s="1"/>
  <c r="V659" i="1" s="1"/>
  <c r="V665" i="1" s="1"/>
  <c r="V692" i="1" s="1"/>
  <c r="V700" i="1" s="1"/>
  <c r="V706" i="1" s="1"/>
  <c r="V733" i="1" s="1"/>
  <c r="V741" i="1" s="1"/>
  <c r="V747" i="1" s="1"/>
  <c r="P495" i="1"/>
  <c r="P501" i="1" s="1"/>
  <c r="P528" i="1" s="1"/>
  <c r="P536" i="1" s="1"/>
  <c r="P542" i="1" s="1"/>
  <c r="P569" i="1" s="1"/>
  <c r="P577" i="1" s="1"/>
  <c r="P583" i="1" s="1"/>
  <c r="P610" i="1" s="1"/>
  <c r="P618" i="1" s="1"/>
  <c r="P624" i="1" s="1"/>
  <c r="P651" i="1" s="1"/>
  <c r="P659" i="1" s="1"/>
  <c r="P665" i="1" s="1"/>
  <c r="P692" i="1" s="1"/>
  <c r="P700" i="1" s="1"/>
  <c r="P706" i="1" s="1"/>
  <c r="P733" i="1" s="1"/>
  <c r="P741" i="1" s="1"/>
  <c r="P747" i="1" s="1"/>
  <c r="P774" i="1" s="1"/>
  <c r="S495" i="1"/>
  <c r="S501" i="1" s="1"/>
  <c r="S528" i="1" s="1"/>
  <c r="S536" i="1" s="1"/>
  <c r="S542" i="1" s="1"/>
  <c r="S569" i="1" s="1"/>
  <c r="S577" i="1" s="1"/>
  <c r="S583" i="1" s="1"/>
  <c r="S610" i="1" s="1"/>
  <c r="S618" i="1" s="1"/>
  <c r="S624" i="1" s="1"/>
  <c r="S651" i="1" s="1"/>
  <c r="S659" i="1" s="1"/>
  <c r="S665" i="1" s="1"/>
  <c r="S692" i="1" s="1"/>
  <c r="S700" i="1" s="1"/>
  <c r="S706" i="1" s="1"/>
  <c r="S733" i="1" s="1"/>
  <c r="S741" i="1" s="1"/>
  <c r="S747" i="1" s="1"/>
  <c r="S774" i="1" s="1"/>
  <c r="O119" i="1"/>
  <c r="D446" i="1"/>
  <c r="D454" i="1" s="1"/>
  <c r="D460" i="1" s="1"/>
  <c r="G446" i="1"/>
  <c r="G454" i="1" s="1"/>
  <c r="G460" i="1" s="1"/>
  <c r="I199" i="1"/>
  <c r="I207" i="1" s="1"/>
  <c r="I213" i="1" s="1"/>
  <c r="T159" i="1"/>
  <c r="T166" i="1" s="1"/>
  <c r="T172" i="1" s="1"/>
  <c r="W159" i="1"/>
  <c r="W166" i="1" s="1"/>
  <c r="W172" i="1" s="1"/>
  <c r="H132" i="1"/>
  <c r="F159" i="1"/>
  <c r="L79" i="1"/>
  <c r="C119" i="1"/>
  <c r="E92" i="1"/>
  <c r="J119" i="1"/>
  <c r="K92" i="1"/>
  <c r="L86" i="1"/>
  <c r="O126" i="1" l="1"/>
  <c r="O132" i="1" s="1"/>
  <c r="O159" i="1" s="1"/>
  <c r="O166" i="1" s="1"/>
  <c r="O172" i="1" s="1"/>
  <c r="P782" i="1"/>
  <c r="P788" i="1" s="1"/>
  <c r="P815" i="1" s="1"/>
  <c r="P823" i="1" s="1"/>
  <c r="P829" i="1" s="1"/>
  <c r="P856" i="1" s="1"/>
  <c r="P864" i="1" s="1"/>
  <c r="P870" i="1" s="1"/>
  <c r="P897" i="1" s="1"/>
  <c r="P905" i="1" s="1"/>
  <c r="P911" i="1" s="1"/>
  <c r="P938" i="1" s="1"/>
  <c r="P946" i="1" s="1"/>
  <c r="P952" i="1" s="1"/>
  <c r="P979" i="1" s="1"/>
  <c r="P987" i="1" s="1"/>
  <c r="P993" i="1" s="1"/>
  <c r="P1020" i="1" s="1"/>
  <c r="P1028" i="1" s="1"/>
  <c r="S782" i="1"/>
  <c r="S788" i="1" s="1"/>
  <c r="S815" i="1" s="1"/>
  <c r="S823" i="1" s="1"/>
  <c r="S829" i="1" s="1"/>
  <c r="S856" i="1" s="1"/>
  <c r="S864" i="1" s="1"/>
  <c r="S870" i="1" s="1"/>
  <c r="S897" i="1" s="1"/>
  <c r="S905" i="1" s="1"/>
  <c r="S911" i="1" s="1"/>
  <c r="S938" i="1" s="1"/>
  <c r="S946" i="1" s="1"/>
  <c r="S952" i="1" s="1"/>
  <c r="S979" i="1" s="1"/>
  <c r="S987" i="1" s="1"/>
  <c r="S993" i="1" s="1"/>
  <c r="S1020" i="1" s="1"/>
  <c r="S1028" i="1" s="1"/>
  <c r="S1034" i="1" s="1"/>
  <c r="S1061" i="1" s="1"/>
  <c r="S1069" i="1" s="1"/>
  <c r="S1075" i="1" s="1"/>
  <c r="S1102" i="1" s="1"/>
  <c r="S1110" i="1" s="1"/>
  <c r="S1116" i="1" s="1"/>
  <c r="S1143" i="1" s="1"/>
  <c r="S1151" i="1" s="1"/>
  <c r="S1157" i="1" s="1"/>
  <c r="S1184" i="1" s="1"/>
  <c r="S1192" i="1" s="1"/>
  <c r="S1198" i="1" s="1"/>
  <c r="S1225" i="1" s="1"/>
  <c r="S1233" i="1" s="1"/>
  <c r="S1239" i="1" s="1"/>
  <c r="S1266" i="1" s="1"/>
  <c r="S1274" i="1" s="1"/>
  <c r="S1280" i="1" s="1"/>
  <c r="S1307" i="1" s="1"/>
  <c r="X119" i="1"/>
  <c r="X126" i="1" s="1"/>
  <c r="X132" i="1" s="1"/>
  <c r="Q119" i="1"/>
  <c r="Q126" i="1" s="1"/>
  <c r="Q132" i="1" s="1"/>
  <c r="V774" i="1"/>
  <c r="G487" i="1"/>
  <c r="G495" i="1" s="1"/>
  <c r="G501" i="1" s="1"/>
  <c r="G528" i="1" s="1"/>
  <c r="G536" i="1" s="1"/>
  <c r="G542" i="1" s="1"/>
  <c r="D487" i="1"/>
  <c r="D495" i="1" s="1"/>
  <c r="D501" i="1" s="1"/>
  <c r="D528" i="1" s="1"/>
  <c r="D536" i="1" s="1"/>
  <c r="D542" i="1" s="1"/>
  <c r="D569" i="1" s="1"/>
  <c r="D577" i="1" s="1"/>
  <c r="D583" i="1" s="1"/>
  <c r="I240" i="1"/>
  <c r="I255" i="1" s="1"/>
  <c r="I282" i="1" s="1"/>
  <c r="I290" i="1" s="1"/>
  <c r="I296" i="1" s="1"/>
  <c r="H159" i="1"/>
  <c r="H166" i="1" s="1"/>
  <c r="F166" i="1"/>
  <c r="F172" i="1" s="1"/>
  <c r="R199" i="1"/>
  <c r="U199" i="1"/>
  <c r="E119" i="1"/>
  <c r="E126" i="1" s="1"/>
  <c r="C126" i="1"/>
  <c r="C132" i="1" s="1"/>
  <c r="K119" i="1"/>
  <c r="K126" i="1" s="1"/>
  <c r="J126" i="1"/>
  <c r="J132" i="1" s="1"/>
  <c r="L92" i="1"/>
  <c r="P1034" i="1" l="1"/>
  <c r="P1061" i="1" s="1"/>
  <c r="P1069" i="1" s="1"/>
  <c r="P1075" i="1" s="1"/>
  <c r="P1102" i="1" s="1"/>
  <c r="P1110" i="1" s="1"/>
  <c r="P1116" i="1" s="1"/>
  <c r="P1143" i="1" s="1"/>
  <c r="P1151" i="1" s="1"/>
  <c r="P1157" i="1" s="1"/>
  <c r="P1184" i="1" s="1"/>
  <c r="P1192" i="1" s="1"/>
  <c r="P1198" i="1" s="1"/>
  <c r="P1225" i="1" s="1"/>
  <c r="P1233" i="1" s="1"/>
  <c r="P1239" i="1" s="1"/>
  <c r="P1266" i="1" s="1"/>
  <c r="P1274" i="1" s="1"/>
  <c r="P1280" i="1" s="1"/>
  <c r="P1307" i="1" s="1"/>
  <c r="R207" i="1"/>
  <c r="R213" i="1" s="1"/>
  <c r="R240" i="1" s="1"/>
  <c r="U207" i="1"/>
  <c r="U213" i="1" s="1"/>
  <c r="U240" i="1" s="1"/>
  <c r="V782" i="1"/>
  <c r="V788" i="1" s="1"/>
  <c r="V815" i="1" s="1"/>
  <c r="V823" i="1" s="1"/>
  <c r="V829" i="1" s="1"/>
  <c r="V856" i="1" s="1"/>
  <c r="V864" i="1" s="1"/>
  <c r="V870" i="1" s="1"/>
  <c r="V897" i="1" s="1"/>
  <c r="V905" i="1" s="1"/>
  <c r="V911" i="1" s="1"/>
  <c r="V938" i="1" s="1"/>
  <c r="V946" i="1" s="1"/>
  <c r="V952" i="1" s="1"/>
  <c r="V979" i="1" s="1"/>
  <c r="V987" i="1" s="1"/>
  <c r="V993" i="1" s="1"/>
  <c r="V1020" i="1" s="1"/>
  <c r="V1028" i="1" s="1"/>
  <c r="V1034" i="1" s="1"/>
  <c r="V1061" i="1" s="1"/>
  <c r="V1069" i="1" s="1"/>
  <c r="V1075" i="1" s="1"/>
  <c r="V1102" i="1" s="1"/>
  <c r="V1110" i="1" s="1"/>
  <c r="V1116" i="1" s="1"/>
  <c r="V1143" i="1" s="1"/>
  <c r="V1151" i="1" s="1"/>
  <c r="V1157" i="1" s="1"/>
  <c r="V1184" i="1" s="1"/>
  <c r="V1192" i="1" s="1"/>
  <c r="V1198" i="1" s="1"/>
  <c r="V1225" i="1" s="1"/>
  <c r="V1233" i="1" s="1"/>
  <c r="V1239" i="1" s="1"/>
  <c r="V1266" i="1" s="1"/>
  <c r="V1274" i="1" s="1"/>
  <c r="V1280" i="1" s="1"/>
  <c r="V1307" i="1" s="1"/>
  <c r="X159" i="1"/>
  <c r="X166" i="1" s="1"/>
  <c r="X172" i="1" s="1"/>
  <c r="Q159" i="1"/>
  <c r="Q166" i="1" s="1"/>
  <c r="Q172" i="1" s="1"/>
  <c r="D610" i="1"/>
  <c r="D618" i="1" s="1"/>
  <c r="D624" i="1" s="1"/>
  <c r="G569" i="1"/>
  <c r="G577" i="1" s="1"/>
  <c r="G583" i="1" s="1"/>
  <c r="G610" i="1" s="1"/>
  <c r="G618" i="1" s="1"/>
  <c r="G624" i="1" s="1"/>
  <c r="G651" i="1" s="1"/>
  <c r="G659" i="1" s="1"/>
  <c r="G665" i="1" s="1"/>
  <c r="G692" i="1" s="1"/>
  <c r="G700" i="1" s="1"/>
  <c r="G706" i="1" s="1"/>
  <c r="G733" i="1" s="1"/>
  <c r="G741" i="1" s="1"/>
  <c r="G747" i="1" s="1"/>
  <c r="G774" i="1" s="1"/>
  <c r="G782" i="1" s="1"/>
  <c r="G788" i="1" s="1"/>
  <c r="I323" i="1"/>
  <c r="I331" i="1" s="1"/>
  <c r="I337" i="1" s="1"/>
  <c r="H172" i="1"/>
  <c r="F199" i="1"/>
  <c r="W199" i="1"/>
  <c r="T199" i="1"/>
  <c r="O199" i="1"/>
  <c r="L119" i="1"/>
  <c r="L126" i="1"/>
  <c r="J159" i="1"/>
  <c r="K132" i="1"/>
  <c r="C159" i="1"/>
  <c r="E132" i="1"/>
  <c r="O207" i="1" l="1"/>
  <c r="O213" i="1" s="1"/>
  <c r="O240" i="1" s="1"/>
  <c r="T207" i="1"/>
  <c r="T213" i="1" s="1"/>
  <c r="T240" i="1" s="1"/>
  <c r="W207" i="1"/>
  <c r="W213" i="1" s="1"/>
  <c r="W240" i="1" s="1"/>
  <c r="G815" i="1"/>
  <c r="G823" i="1" s="1"/>
  <c r="G829" i="1" s="1"/>
  <c r="G856" i="1" s="1"/>
  <c r="G864" i="1" s="1"/>
  <c r="G870" i="1" s="1"/>
  <c r="G897" i="1" s="1"/>
  <c r="G905" i="1" s="1"/>
  <c r="G911" i="1" s="1"/>
  <c r="G938" i="1" s="1"/>
  <c r="G946" i="1" s="1"/>
  <c r="G952" i="1" s="1"/>
  <c r="D651" i="1"/>
  <c r="D659" i="1" s="1"/>
  <c r="D665" i="1" s="1"/>
  <c r="D692" i="1" s="1"/>
  <c r="D700" i="1" s="1"/>
  <c r="D706" i="1" s="1"/>
  <c r="D733" i="1" s="1"/>
  <c r="D741" i="1" s="1"/>
  <c r="D747" i="1" s="1"/>
  <c r="I364" i="1"/>
  <c r="I372" i="1" s="1"/>
  <c r="I378" i="1" s="1"/>
  <c r="I405" i="1" s="1"/>
  <c r="I413" i="1" s="1"/>
  <c r="I419" i="1" s="1"/>
  <c r="H199" i="1"/>
  <c r="H207" i="1" s="1"/>
  <c r="F207" i="1"/>
  <c r="F213" i="1" s="1"/>
  <c r="K159" i="1"/>
  <c r="K166" i="1" s="1"/>
  <c r="J166" i="1"/>
  <c r="J172" i="1" s="1"/>
  <c r="E159" i="1"/>
  <c r="E166" i="1" s="1"/>
  <c r="C166" i="1"/>
  <c r="C172" i="1" s="1"/>
  <c r="L132" i="1"/>
  <c r="G979" i="1" l="1"/>
  <c r="X199" i="1"/>
  <c r="Q199" i="1"/>
  <c r="D774" i="1"/>
  <c r="D782" i="1" s="1"/>
  <c r="D788" i="1" s="1"/>
  <c r="I446" i="1"/>
  <c r="I454" i="1" s="1"/>
  <c r="I460" i="1" s="1"/>
  <c r="U200" i="1"/>
  <c r="F240" i="1"/>
  <c r="H213" i="1"/>
  <c r="R200" i="1"/>
  <c r="C199" i="1"/>
  <c r="E172" i="1"/>
  <c r="J199" i="1"/>
  <c r="K172" i="1"/>
  <c r="L159" i="1"/>
  <c r="W200" i="1"/>
  <c r="V200" i="1"/>
  <c r="L166" i="1"/>
  <c r="S200" i="1"/>
  <c r="G987" i="1" l="1"/>
  <c r="G993" i="1" s="1"/>
  <c r="G1020" i="1" s="1"/>
  <c r="G1028" i="1" s="1"/>
  <c r="G1034" i="1" s="1"/>
  <c r="G1061" i="1" s="1"/>
  <c r="G1069" i="1" s="1"/>
  <c r="G1075" i="1" s="1"/>
  <c r="G1102" i="1" s="1"/>
  <c r="G1110" i="1" s="1"/>
  <c r="G1116" i="1" s="1"/>
  <c r="G1143" i="1" s="1"/>
  <c r="G1151" i="1" s="1"/>
  <c r="G1157" i="1" s="1"/>
  <c r="Q207" i="1"/>
  <c r="Q213" i="1" s="1"/>
  <c r="X207" i="1"/>
  <c r="X213" i="1" s="1"/>
  <c r="D815" i="1"/>
  <c r="D823" i="1" s="1"/>
  <c r="D829" i="1" s="1"/>
  <c r="I487" i="1"/>
  <c r="I495" i="1" s="1"/>
  <c r="I501" i="1" s="1"/>
  <c r="H240" i="1"/>
  <c r="F255" i="1"/>
  <c r="R323" i="1"/>
  <c r="R331" i="1" s="1"/>
  <c r="R337" i="1" s="1"/>
  <c r="E199" i="1"/>
  <c r="E207" i="1" s="1"/>
  <c r="C207" i="1"/>
  <c r="C213" i="1" s="1"/>
  <c r="T200" i="1"/>
  <c r="O200" i="1"/>
  <c r="K199" i="1"/>
  <c r="K207" i="1" s="1"/>
  <c r="J207" i="1"/>
  <c r="J213" i="1" s="1"/>
  <c r="L172" i="1"/>
  <c r="Q200" i="1"/>
  <c r="P200" i="1"/>
  <c r="G1184" i="1" l="1"/>
  <c r="X240" i="1"/>
  <c r="Q240" i="1"/>
  <c r="D856" i="1"/>
  <c r="D864" i="1" s="1"/>
  <c r="D870" i="1" s="1"/>
  <c r="I528" i="1"/>
  <c r="I536" i="1" s="1"/>
  <c r="I542" i="1" s="1"/>
  <c r="U323" i="1"/>
  <c r="U331" i="1" s="1"/>
  <c r="U337" i="1" s="1"/>
  <c r="T323" i="1"/>
  <c r="T331" i="1" s="1"/>
  <c r="T337" i="1" s="1"/>
  <c r="L207" i="1"/>
  <c r="H255" i="1"/>
  <c r="F282" i="1"/>
  <c r="C240" i="1"/>
  <c r="E213" i="1"/>
  <c r="L199" i="1"/>
  <c r="J240" i="1"/>
  <c r="K213" i="1"/>
  <c r="Q201" i="1"/>
  <c r="W201" i="1"/>
  <c r="T201" i="1"/>
  <c r="G1192" i="1" l="1"/>
  <c r="G1198" i="1" s="1"/>
  <c r="D897" i="1"/>
  <c r="D905" i="1" s="1"/>
  <c r="D911" i="1" s="1"/>
  <c r="D938" i="1" s="1"/>
  <c r="D946" i="1" s="1"/>
  <c r="D952" i="1" s="1"/>
  <c r="D979" i="1" s="1"/>
  <c r="D987" i="1" s="1"/>
  <c r="D993" i="1" s="1"/>
  <c r="D1020" i="1" s="1"/>
  <c r="D1028" i="1" s="1"/>
  <c r="D1034" i="1" s="1"/>
  <c r="D1061" i="1" s="1"/>
  <c r="D1069" i="1" s="1"/>
  <c r="D1075" i="1" s="1"/>
  <c r="I569" i="1"/>
  <c r="I577" i="1" s="1"/>
  <c r="I583" i="1" s="1"/>
  <c r="I610" i="1" s="1"/>
  <c r="I618" i="1" s="1"/>
  <c r="I624" i="1" s="1"/>
  <c r="I651" i="1" s="1"/>
  <c r="I659" i="1" s="1"/>
  <c r="I665" i="1" s="1"/>
  <c r="R364" i="1"/>
  <c r="R372" i="1" s="1"/>
  <c r="R378" i="1" s="1"/>
  <c r="W323" i="1"/>
  <c r="W331" i="1" s="1"/>
  <c r="W337" i="1" s="1"/>
  <c r="H282" i="1"/>
  <c r="H290" i="1" s="1"/>
  <c r="F290" i="1"/>
  <c r="F296" i="1" s="1"/>
  <c r="L213" i="1"/>
  <c r="E240" i="1"/>
  <c r="C255" i="1"/>
  <c r="K240" i="1"/>
  <c r="J255" i="1"/>
  <c r="G1225" i="1" l="1"/>
  <c r="G1233" i="1" s="1"/>
  <c r="G1239" i="1" s="1"/>
  <c r="D1102" i="1"/>
  <c r="O323" i="1"/>
  <c r="O331" i="1" s="1"/>
  <c r="O337" i="1" s="1"/>
  <c r="I692" i="1"/>
  <c r="T364" i="1"/>
  <c r="T372" i="1" s="1"/>
  <c r="T378" i="1" s="1"/>
  <c r="R405" i="1"/>
  <c r="R413" i="1" s="1"/>
  <c r="R419" i="1" s="1"/>
  <c r="U364" i="1"/>
  <c r="U372" i="1" s="1"/>
  <c r="U378" i="1" s="1"/>
  <c r="H296" i="1"/>
  <c r="F323" i="1"/>
  <c r="C282" i="1"/>
  <c r="E255" i="1"/>
  <c r="J282" i="1"/>
  <c r="K255" i="1"/>
  <c r="L240" i="1"/>
  <c r="G1266" i="1" l="1"/>
  <c r="G1274" i="1" s="1"/>
  <c r="G1280" i="1" s="1"/>
  <c r="G1307" i="1" s="1"/>
  <c r="D1110" i="1"/>
  <c r="D1116" i="1" s="1"/>
  <c r="O364" i="1"/>
  <c r="X323" i="1"/>
  <c r="X331" i="1" s="1"/>
  <c r="X337" i="1" s="1"/>
  <c r="Q323" i="1"/>
  <c r="Q331" i="1" s="1"/>
  <c r="Q337" i="1" s="1"/>
  <c r="Q364" i="1" s="1"/>
  <c r="Q372" i="1" s="1"/>
  <c r="Q378" i="1" s="1"/>
  <c r="Q405" i="1" s="1"/>
  <c r="Q413" i="1" s="1"/>
  <c r="Q419" i="1" s="1"/>
  <c r="I700" i="1"/>
  <c r="I706" i="1" s="1"/>
  <c r="T405" i="1"/>
  <c r="T413" i="1" s="1"/>
  <c r="T419" i="1" s="1"/>
  <c r="R446" i="1"/>
  <c r="R454" i="1" s="1"/>
  <c r="R460" i="1" s="1"/>
  <c r="H323" i="1"/>
  <c r="H331" i="1" s="1"/>
  <c r="F331" i="1"/>
  <c r="F337" i="1" s="1"/>
  <c r="U405" i="1"/>
  <c r="U413" i="1" s="1"/>
  <c r="U419" i="1" s="1"/>
  <c r="K282" i="1"/>
  <c r="K290" i="1" s="1"/>
  <c r="J290" i="1"/>
  <c r="J296" i="1" s="1"/>
  <c r="E282" i="1"/>
  <c r="E290" i="1" s="1"/>
  <c r="C290" i="1"/>
  <c r="C296" i="1" s="1"/>
  <c r="L255" i="1"/>
  <c r="D1143" i="1" l="1"/>
  <c r="O372" i="1"/>
  <c r="O378" i="1" s="1"/>
  <c r="O405" i="1" s="1"/>
  <c r="O413" i="1" s="1"/>
  <c r="O419" i="1" s="1"/>
  <c r="O446" i="1" s="1"/>
  <c r="O454" i="1" s="1"/>
  <c r="O460" i="1" s="1"/>
  <c r="X364" i="1"/>
  <c r="X372" i="1" s="1"/>
  <c r="X378" i="1" s="1"/>
  <c r="W364" i="1"/>
  <c r="W372" i="1" s="1"/>
  <c r="W378" i="1" s="1"/>
  <c r="I733" i="1"/>
  <c r="I741" i="1" s="1"/>
  <c r="I747" i="1" s="1"/>
  <c r="I774" i="1" s="1"/>
  <c r="I782" i="1" s="1"/>
  <c r="I788" i="1" s="1"/>
  <c r="I815" i="1" s="1"/>
  <c r="I823" i="1" s="1"/>
  <c r="I829" i="1" s="1"/>
  <c r="I856" i="1" s="1"/>
  <c r="I864" i="1" s="1"/>
  <c r="I870" i="1" s="1"/>
  <c r="Q446" i="1"/>
  <c r="Q454" i="1" s="1"/>
  <c r="Q460" i="1" s="1"/>
  <c r="T446" i="1"/>
  <c r="T454" i="1" s="1"/>
  <c r="T460" i="1" s="1"/>
  <c r="U446" i="1"/>
  <c r="U454" i="1" s="1"/>
  <c r="U460" i="1" s="1"/>
  <c r="H337" i="1"/>
  <c r="F364" i="1"/>
  <c r="L290" i="1"/>
  <c r="J323" i="1"/>
  <c r="K296" i="1"/>
  <c r="C323" i="1"/>
  <c r="E296" i="1"/>
  <c r="L282" i="1"/>
  <c r="D1151" i="1" l="1"/>
  <c r="D1157" i="1" s="1"/>
  <c r="X405" i="1"/>
  <c r="X413" i="1" s="1"/>
  <c r="X419" i="1" s="1"/>
  <c r="W405" i="1"/>
  <c r="W413" i="1" s="1"/>
  <c r="W419" i="1" s="1"/>
  <c r="I897" i="1"/>
  <c r="I905" i="1" s="1"/>
  <c r="I911" i="1" s="1"/>
  <c r="P447" i="1"/>
  <c r="R487" i="1"/>
  <c r="R495" i="1" s="1"/>
  <c r="R501" i="1" s="1"/>
  <c r="R447" i="1"/>
  <c r="S447" i="1"/>
  <c r="O447" i="1"/>
  <c r="O487" i="1"/>
  <c r="O495" i="1" s="1"/>
  <c r="O501" i="1" s="1"/>
  <c r="H364" i="1"/>
  <c r="H372" i="1" s="1"/>
  <c r="F372" i="1"/>
  <c r="F378" i="1" s="1"/>
  <c r="Q406" i="1"/>
  <c r="O406" i="1"/>
  <c r="P406" i="1"/>
  <c r="S406" i="1"/>
  <c r="T406" i="1"/>
  <c r="R406" i="1"/>
  <c r="E323" i="1"/>
  <c r="E331" i="1" s="1"/>
  <c r="C331" i="1"/>
  <c r="C337" i="1" s="1"/>
  <c r="K323" i="1"/>
  <c r="K331" i="1" s="1"/>
  <c r="J331" i="1"/>
  <c r="J337" i="1" s="1"/>
  <c r="L296" i="1"/>
  <c r="D1184" i="1" l="1"/>
  <c r="X446" i="1"/>
  <c r="X454" i="1" s="1"/>
  <c r="X460" i="1" s="1"/>
  <c r="W446" i="1"/>
  <c r="W454" i="1" s="1"/>
  <c r="W460" i="1" s="1"/>
  <c r="I938" i="1"/>
  <c r="I946" i="1" s="1"/>
  <c r="I952" i="1" s="1"/>
  <c r="Q487" i="1"/>
  <c r="Q495" i="1" s="1"/>
  <c r="Q501" i="1" s="1"/>
  <c r="T487" i="1"/>
  <c r="T495" i="1" s="1"/>
  <c r="T501" i="1" s="1"/>
  <c r="Q447" i="1"/>
  <c r="T447" i="1"/>
  <c r="V447" i="1"/>
  <c r="U447" i="1"/>
  <c r="U487" i="1"/>
  <c r="U495" i="1" s="1"/>
  <c r="U501" i="1" s="1"/>
  <c r="F405" i="1"/>
  <c r="H378" i="1"/>
  <c r="V406" i="1"/>
  <c r="W406" i="1"/>
  <c r="U406" i="1"/>
  <c r="L323" i="1"/>
  <c r="L331" i="1"/>
  <c r="C364" i="1"/>
  <c r="E337" i="1"/>
  <c r="J364" i="1"/>
  <c r="K337" i="1"/>
  <c r="D1192" i="1" l="1"/>
  <c r="D1198" i="1" s="1"/>
  <c r="I979" i="1"/>
  <c r="R528" i="1"/>
  <c r="R536" i="1" s="1"/>
  <c r="R542" i="1" s="1"/>
  <c r="O528" i="1"/>
  <c r="O536" i="1" s="1"/>
  <c r="O542" i="1" s="1"/>
  <c r="W447" i="1"/>
  <c r="F413" i="1"/>
  <c r="F419" i="1" s="1"/>
  <c r="H405" i="1"/>
  <c r="H413" i="1" s="1"/>
  <c r="E364" i="1"/>
  <c r="E372" i="1" s="1"/>
  <c r="C372" i="1"/>
  <c r="C378" i="1" s="1"/>
  <c r="Q408" i="1"/>
  <c r="K364" i="1"/>
  <c r="K372" i="1" s="1"/>
  <c r="J372" i="1"/>
  <c r="J378" i="1" s="1"/>
  <c r="T408" i="1"/>
  <c r="W408" i="1"/>
  <c r="L337" i="1"/>
  <c r="D1225" i="1" l="1"/>
  <c r="D1233" i="1" s="1"/>
  <c r="D1239" i="1" s="1"/>
  <c r="D1266" i="1" s="1"/>
  <c r="D1274" i="1" s="1"/>
  <c r="D1280" i="1" s="1"/>
  <c r="D1307" i="1" s="1"/>
  <c r="I987" i="1"/>
  <c r="I993" i="1" s="1"/>
  <c r="X487" i="1"/>
  <c r="X495" i="1" s="1"/>
  <c r="X501" i="1" s="1"/>
  <c r="W487" i="1"/>
  <c r="W495" i="1" s="1"/>
  <c r="W501" i="1" s="1"/>
  <c r="Q528" i="1"/>
  <c r="Q536" i="1" s="1"/>
  <c r="Q542" i="1" s="1"/>
  <c r="T528" i="1"/>
  <c r="T536" i="1" s="1"/>
  <c r="T542" i="1" s="1"/>
  <c r="U528" i="1"/>
  <c r="U536" i="1" s="1"/>
  <c r="U542" i="1" s="1"/>
  <c r="W449" i="1"/>
  <c r="T449" i="1"/>
  <c r="Q449" i="1"/>
  <c r="L372" i="1"/>
  <c r="F446" i="1"/>
  <c r="H419" i="1"/>
  <c r="C405" i="1"/>
  <c r="E378" i="1"/>
  <c r="L364" i="1"/>
  <c r="J405" i="1"/>
  <c r="K378" i="1"/>
  <c r="I1020" i="1" l="1"/>
  <c r="R569" i="1"/>
  <c r="R577" i="1" s="1"/>
  <c r="R583" i="1" s="1"/>
  <c r="O569" i="1"/>
  <c r="O577" i="1" s="1"/>
  <c r="O583" i="1" s="1"/>
  <c r="H446" i="1"/>
  <c r="H454" i="1" s="1"/>
  <c r="F454" i="1"/>
  <c r="F460" i="1" s="1"/>
  <c r="L378" i="1"/>
  <c r="C413" i="1"/>
  <c r="C419" i="1" s="1"/>
  <c r="E405" i="1"/>
  <c r="E413" i="1" s="1"/>
  <c r="K405" i="1"/>
  <c r="K413" i="1" s="1"/>
  <c r="J413" i="1"/>
  <c r="J419" i="1" s="1"/>
  <c r="I1028" i="1" l="1"/>
  <c r="I1034" i="1" s="1"/>
  <c r="X528" i="1"/>
  <c r="X536" i="1" s="1"/>
  <c r="X542" i="1" s="1"/>
  <c r="W528" i="1"/>
  <c r="W536" i="1" s="1"/>
  <c r="W542" i="1" s="1"/>
  <c r="Q569" i="1"/>
  <c r="Q577" i="1" s="1"/>
  <c r="Q583" i="1" s="1"/>
  <c r="T569" i="1"/>
  <c r="T577" i="1" s="1"/>
  <c r="T583" i="1" s="1"/>
  <c r="U569" i="1"/>
  <c r="U577" i="1" s="1"/>
  <c r="U583" i="1" s="1"/>
  <c r="F487" i="1"/>
  <c r="H460" i="1"/>
  <c r="L405" i="1"/>
  <c r="L413" i="1"/>
  <c r="C446" i="1"/>
  <c r="E419" i="1"/>
  <c r="J446" i="1"/>
  <c r="K419" i="1"/>
  <c r="I1061" i="1" l="1"/>
  <c r="I1069" i="1" s="1"/>
  <c r="I1075" i="1" s="1"/>
  <c r="R610" i="1"/>
  <c r="R618" i="1" s="1"/>
  <c r="R624" i="1" s="1"/>
  <c r="O610" i="1"/>
  <c r="O618" i="1" s="1"/>
  <c r="O624" i="1" s="1"/>
  <c r="H487" i="1"/>
  <c r="H495" i="1" s="1"/>
  <c r="F495" i="1"/>
  <c r="F501" i="1" s="1"/>
  <c r="L419" i="1"/>
  <c r="K446" i="1"/>
  <c r="K454" i="1" s="1"/>
  <c r="J454" i="1"/>
  <c r="J460" i="1" s="1"/>
  <c r="E446" i="1"/>
  <c r="E454" i="1" s="1"/>
  <c r="C454" i="1"/>
  <c r="C460" i="1" s="1"/>
  <c r="I1102" i="1" l="1"/>
  <c r="I1110" i="1" s="1"/>
  <c r="I1116" i="1" s="1"/>
  <c r="I1143" i="1" s="1"/>
  <c r="I1151" i="1" s="1"/>
  <c r="I1157" i="1" s="1"/>
  <c r="I1184" i="1" s="1"/>
  <c r="I1192" i="1" s="1"/>
  <c r="I1198" i="1" s="1"/>
  <c r="I1225" i="1" s="1"/>
  <c r="I1233" i="1" s="1"/>
  <c r="I1239" i="1" s="1"/>
  <c r="X569" i="1"/>
  <c r="X577" i="1" s="1"/>
  <c r="X583" i="1" s="1"/>
  <c r="W569" i="1"/>
  <c r="W577" i="1" s="1"/>
  <c r="W583" i="1" s="1"/>
  <c r="U610" i="1"/>
  <c r="U618" i="1" s="1"/>
  <c r="U624" i="1" s="1"/>
  <c r="T610" i="1"/>
  <c r="T618" i="1" s="1"/>
  <c r="T624" i="1" s="1"/>
  <c r="Q610" i="1"/>
  <c r="Q618" i="1" s="1"/>
  <c r="Q624" i="1" s="1"/>
  <c r="H501" i="1"/>
  <c r="F528" i="1"/>
  <c r="L454" i="1"/>
  <c r="J487" i="1"/>
  <c r="K460" i="1"/>
  <c r="L446" i="1"/>
  <c r="C487" i="1"/>
  <c r="E460" i="1"/>
  <c r="I1266" i="1" l="1"/>
  <c r="I1274" i="1" s="1"/>
  <c r="I1280" i="1" s="1"/>
  <c r="O651" i="1"/>
  <c r="O659" i="1" s="1"/>
  <c r="O665" i="1" s="1"/>
  <c r="R651" i="1"/>
  <c r="R659" i="1" s="1"/>
  <c r="R665" i="1" s="1"/>
  <c r="H528" i="1"/>
  <c r="H536" i="1" s="1"/>
  <c r="F536" i="1"/>
  <c r="F542" i="1" s="1"/>
  <c r="K487" i="1"/>
  <c r="K495" i="1" s="1"/>
  <c r="J495" i="1"/>
  <c r="J501" i="1" s="1"/>
  <c r="E487" i="1"/>
  <c r="E495" i="1" s="1"/>
  <c r="C495" i="1"/>
  <c r="C501" i="1" s="1"/>
  <c r="L460" i="1"/>
  <c r="I1307" i="1" l="1"/>
  <c r="X610" i="1"/>
  <c r="X618" i="1" s="1"/>
  <c r="X624" i="1" s="1"/>
  <c r="W610" i="1"/>
  <c r="W618" i="1" s="1"/>
  <c r="W624" i="1" s="1"/>
  <c r="U651" i="1"/>
  <c r="U659" i="1" s="1"/>
  <c r="U665" i="1" s="1"/>
  <c r="T651" i="1"/>
  <c r="T659" i="1" s="1"/>
  <c r="T665" i="1" s="1"/>
  <c r="Q651" i="1"/>
  <c r="Q659" i="1" s="1"/>
  <c r="Q665" i="1" s="1"/>
  <c r="F569" i="1"/>
  <c r="H542" i="1"/>
  <c r="L487" i="1"/>
  <c r="E501" i="1"/>
  <c r="C528" i="1"/>
  <c r="J528" i="1"/>
  <c r="K501" i="1"/>
  <c r="L495" i="1"/>
  <c r="R692" i="1" l="1"/>
  <c r="R700" i="1" s="1"/>
  <c r="R706" i="1" s="1"/>
  <c r="O692" i="1"/>
  <c r="O700" i="1" s="1"/>
  <c r="O706" i="1" s="1"/>
  <c r="H569" i="1"/>
  <c r="H577" i="1" s="1"/>
  <c r="F577" i="1"/>
  <c r="F583" i="1" s="1"/>
  <c r="E528" i="1"/>
  <c r="E536" i="1" s="1"/>
  <c r="C536" i="1"/>
  <c r="C542" i="1" s="1"/>
  <c r="K528" i="1"/>
  <c r="K536" i="1" s="1"/>
  <c r="J536" i="1"/>
  <c r="J542" i="1" s="1"/>
  <c r="L501" i="1"/>
  <c r="X651" i="1" l="1"/>
  <c r="X659" i="1" s="1"/>
  <c r="X665" i="1" s="1"/>
  <c r="W651" i="1"/>
  <c r="W659" i="1" s="1"/>
  <c r="W665" i="1" s="1"/>
  <c r="U692" i="1"/>
  <c r="U700" i="1" s="1"/>
  <c r="U706" i="1" s="1"/>
  <c r="T692" i="1"/>
  <c r="T700" i="1" s="1"/>
  <c r="T706" i="1" s="1"/>
  <c r="R733" i="1"/>
  <c r="R741" i="1" s="1"/>
  <c r="R747" i="1" s="1"/>
  <c r="Q692" i="1"/>
  <c r="Q700" i="1" s="1"/>
  <c r="Q706" i="1" s="1"/>
  <c r="O733" i="1"/>
  <c r="O741" i="1" s="1"/>
  <c r="O747" i="1" s="1"/>
  <c r="F610" i="1"/>
  <c r="H583" i="1"/>
  <c r="L528" i="1"/>
  <c r="L536" i="1"/>
  <c r="E542" i="1"/>
  <c r="C569" i="1"/>
  <c r="J569" i="1"/>
  <c r="K542" i="1"/>
  <c r="T733" i="1" l="1"/>
  <c r="T741" i="1" s="1"/>
  <c r="T747" i="1" s="1"/>
  <c r="Q733" i="1"/>
  <c r="Q741" i="1" s="1"/>
  <c r="Q747" i="1" s="1"/>
  <c r="H610" i="1"/>
  <c r="H618" i="1" s="1"/>
  <c r="F618" i="1"/>
  <c r="F624" i="1" s="1"/>
  <c r="U733" i="1"/>
  <c r="U741" i="1" s="1"/>
  <c r="U747" i="1" s="1"/>
  <c r="E569" i="1"/>
  <c r="E577" i="1" s="1"/>
  <c r="C577" i="1"/>
  <c r="C583" i="1" s="1"/>
  <c r="K569" i="1"/>
  <c r="K577" i="1" s="1"/>
  <c r="J577" i="1"/>
  <c r="J583" i="1" s="1"/>
  <c r="L542" i="1"/>
  <c r="X692" i="1" l="1"/>
  <c r="X700" i="1" s="1"/>
  <c r="X706" i="1" s="1"/>
  <c r="W692" i="1"/>
  <c r="W700" i="1" s="1"/>
  <c r="W706" i="1" s="1"/>
  <c r="O774" i="1"/>
  <c r="O782" i="1" s="1"/>
  <c r="O788" i="1" s="1"/>
  <c r="R774" i="1"/>
  <c r="R782" i="1" s="1"/>
  <c r="R788" i="1" s="1"/>
  <c r="F651" i="1"/>
  <c r="H624" i="1"/>
  <c r="L577" i="1"/>
  <c r="L569" i="1"/>
  <c r="C610" i="1"/>
  <c r="E583" i="1"/>
  <c r="J610" i="1"/>
  <c r="K583" i="1"/>
  <c r="X733" i="1" l="1"/>
  <c r="X741" i="1" s="1"/>
  <c r="X747" i="1" s="1"/>
  <c r="W733" i="1"/>
  <c r="W741" i="1" s="1"/>
  <c r="W747" i="1" s="1"/>
  <c r="U774" i="1"/>
  <c r="U782" i="1" s="1"/>
  <c r="U788" i="1" s="1"/>
  <c r="T774" i="1"/>
  <c r="T782" i="1" s="1"/>
  <c r="T788" i="1" s="1"/>
  <c r="Q774" i="1"/>
  <c r="Q782" i="1" s="1"/>
  <c r="Q788" i="1" s="1"/>
  <c r="H651" i="1"/>
  <c r="H659" i="1" s="1"/>
  <c r="F659" i="1"/>
  <c r="F665" i="1" s="1"/>
  <c r="K610" i="1"/>
  <c r="K618" i="1" s="1"/>
  <c r="J618" i="1"/>
  <c r="J624" i="1" s="1"/>
  <c r="E610" i="1"/>
  <c r="E618" i="1" s="1"/>
  <c r="C618" i="1"/>
  <c r="C624" i="1" s="1"/>
  <c r="L583" i="1"/>
  <c r="O815" i="1" l="1"/>
  <c r="O823" i="1" s="1"/>
  <c r="O829" i="1" s="1"/>
  <c r="R815" i="1"/>
  <c r="R823" i="1" s="1"/>
  <c r="R829" i="1" s="1"/>
  <c r="L618" i="1"/>
  <c r="F692" i="1"/>
  <c r="H665" i="1"/>
  <c r="L610" i="1"/>
  <c r="J651" i="1"/>
  <c r="K624" i="1"/>
  <c r="C651" i="1"/>
  <c r="E624" i="1"/>
  <c r="X774" i="1" l="1"/>
  <c r="X782" i="1" s="1"/>
  <c r="X788" i="1" s="1"/>
  <c r="W774" i="1"/>
  <c r="W782" i="1" s="1"/>
  <c r="W788" i="1" s="1"/>
  <c r="T815" i="1"/>
  <c r="T823" i="1" s="1"/>
  <c r="T829" i="1" s="1"/>
  <c r="U815" i="1"/>
  <c r="U823" i="1" s="1"/>
  <c r="U829" i="1" s="1"/>
  <c r="Q815" i="1"/>
  <c r="Q823" i="1" s="1"/>
  <c r="Q829" i="1" s="1"/>
  <c r="L624" i="1"/>
  <c r="K651" i="1"/>
  <c r="K659" i="1" s="1"/>
  <c r="J659" i="1"/>
  <c r="J665" i="1" s="1"/>
  <c r="H692" i="1"/>
  <c r="H700" i="1" s="1"/>
  <c r="F700" i="1"/>
  <c r="F706" i="1" s="1"/>
  <c r="E651" i="1"/>
  <c r="C659" i="1"/>
  <c r="C665" i="1" s="1"/>
  <c r="O856" i="1" l="1"/>
  <c r="O864" i="1" s="1"/>
  <c r="O870" i="1" s="1"/>
  <c r="R856" i="1"/>
  <c r="R864" i="1" s="1"/>
  <c r="R870" i="1" s="1"/>
  <c r="J692" i="1"/>
  <c r="K665" i="1"/>
  <c r="F733" i="1"/>
  <c r="H706" i="1"/>
  <c r="E665" i="1"/>
  <c r="C692" i="1"/>
  <c r="L651" i="1"/>
  <c r="E659" i="1"/>
  <c r="L659" i="1" s="1"/>
  <c r="X815" i="1" l="1"/>
  <c r="X823" i="1" s="1"/>
  <c r="X829" i="1" s="1"/>
  <c r="W815" i="1"/>
  <c r="W823" i="1" s="1"/>
  <c r="W829" i="1" s="1"/>
  <c r="T856" i="1"/>
  <c r="T864" i="1" s="1"/>
  <c r="T870" i="1" s="1"/>
  <c r="U856" i="1"/>
  <c r="U864" i="1" s="1"/>
  <c r="U870" i="1" s="1"/>
  <c r="Q856" i="1"/>
  <c r="Q864" i="1" s="1"/>
  <c r="Q870" i="1" s="1"/>
  <c r="H733" i="1"/>
  <c r="H741" i="1" s="1"/>
  <c r="F741" i="1"/>
  <c r="F747" i="1" s="1"/>
  <c r="L665" i="1"/>
  <c r="J700" i="1"/>
  <c r="J706" i="1" s="1"/>
  <c r="K692" i="1"/>
  <c r="K700" i="1" s="1"/>
  <c r="E692" i="1"/>
  <c r="C700" i="1"/>
  <c r="C706" i="1" s="1"/>
  <c r="O897" i="1" l="1"/>
  <c r="O905" i="1" s="1"/>
  <c r="O911" i="1" s="1"/>
  <c r="R897" i="1"/>
  <c r="R905" i="1" s="1"/>
  <c r="R911" i="1" s="1"/>
  <c r="F774" i="1"/>
  <c r="H747" i="1"/>
  <c r="J733" i="1"/>
  <c r="K706" i="1"/>
  <c r="C733" i="1"/>
  <c r="E706" i="1"/>
  <c r="E700" i="1"/>
  <c r="L700" i="1" s="1"/>
  <c r="L692" i="1"/>
  <c r="X856" i="1" l="1"/>
  <c r="X864" i="1" s="1"/>
  <c r="X870" i="1" s="1"/>
  <c r="W856" i="1"/>
  <c r="W864" i="1" s="1"/>
  <c r="W870" i="1" s="1"/>
  <c r="T897" i="1"/>
  <c r="T905" i="1" s="1"/>
  <c r="T911" i="1" s="1"/>
  <c r="U897" i="1"/>
  <c r="U905" i="1" s="1"/>
  <c r="U911" i="1" s="1"/>
  <c r="Q897" i="1"/>
  <c r="Q905" i="1" s="1"/>
  <c r="Q911" i="1" s="1"/>
  <c r="H774" i="1"/>
  <c r="H782" i="1" s="1"/>
  <c r="F782" i="1"/>
  <c r="F788" i="1" s="1"/>
  <c r="E733" i="1"/>
  <c r="E741" i="1" s="1"/>
  <c r="C741" i="1"/>
  <c r="C747" i="1" s="1"/>
  <c r="L706" i="1"/>
  <c r="K733" i="1"/>
  <c r="K741" i="1" s="1"/>
  <c r="J741" i="1"/>
  <c r="J747" i="1" s="1"/>
  <c r="R938" i="1" l="1"/>
  <c r="R946" i="1" s="1"/>
  <c r="R952" i="1" s="1"/>
  <c r="R979" i="1" s="1"/>
  <c r="R987" i="1" s="1"/>
  <c r="R993" i="1" s="1"/>
  <c r="R1020" i="1" s="1"/>
  <c r="R1028" i="1" s="1"/>
  <c r="R1034" i="1" s="1"/>
  <c r="R1061" i="1" s="1"/>
  <c r="R1069" i="1" s="1"/>
  <c r="R1075" i="1" s="1"/>
  <c r="R1102" i="1" s="1"/>
  <c r="R1110" i="1" s="1"/>
  <c r="R1116" i="1" s="1"/>
  <c r="R1143" i="1" s="1"/>
  <c r="R1151" i="1" s="1"/>
  <c r="R1157" i="1" s="1"/>
  <c r="R1184" i="1" s="1"/>
  <c r="R1192" i="1" s="1"/>
  <c r="R1198" i="1" s="1"/>
  <c r="R1225" i="1" s="1"/>
  <c r="R1233" i="1" s="1"/>
  <c r="R1239" i="1" s="1"/>
  <c r="R1266" i="1" s="1"/>
  <c r="R1274" i="1" s="1"/>
  <c r="R1280" i="1" s="1"/>
  <c r="R1307" i="1" s="1"/>
  <c r="O938" i="1"/>
  <c r="O946" i="1" s="1"/>
  <c r="O952" i="1" s="1"/>
  <c r="O979" i="1" s="1"/>
  <c r="O987" i="1" s="1"/>
  <c r="O993" i="1" s="1"/>
  <c r="O1020" i="1" s="1"/>
  <c r="O1028" i="1" s="1"/>
  <c r="O1034" i="1" s="1"/>
  <c r="O1061" i="1" s="1"/>
  <c r="O1069" i="1" s="1"/>
  <c r="O1075" i="1" s="1"/>
  <c r="O1102" i="1" s="1"/>
  <c r="O1110" i="1" s="1"/>
  <c r="O1116" i="1" s="1"/>
  <c r="O1143" i="1" s="1"/>
  <c r="O1151" i="1" s="1"/>
  <c r="O1157" i="1" s="1"/>
  <c r="O1184" i="1" s="1"/>
  <c r="O1192" i="1" s="1"/>
  <c r="O1198" i="1" s="1"/>
  <c r="O1225" i="1" s="1"/>
  <c r="O1233" i="1" s="1"/>
  <c r="O1239" i="1" s="1"/>
  <c r="O1266" i="1" s="1"/>
  <c r="O1274" i="1" s="1"/>
  <c r="O1280" i="1" s="1"/>
  <c r="O1307" i="1" s="1"/>
  <c r="F815" i="1"/>
  <c r="H788" i="1"/>
  <c r="C774" i="1"/>
  <c r="E747" i="1"/>
  <c r="L741" i="1"/>
  <c r="J774" i="1"/>
  <c r="K747" i="1"/>
  <c r="L733" i="1"/>
  <c r="X897" i="1" l="1"/>
  <c r="X905" i="1" s="1"/>
  <c r="X911" i="1" s="1"/>
  <c r="W897" i="1"/>
  <c r="W905" i="1" s="1"/>
  <c r="W911" i="1" s="1"/>
  <c r="U938" i="1"/>
  <c r="U946" i="1" s="1"/>
  <c r="U952" i="1" s="1"/>
  <c r="U979" i="1" s="1"/>
  <c r="U987" i="1" s="1"/>
  <c r="U993" i="1" s="1"/>
  <c r="U1020" i="1" s="1"/>
  <c r="U1028" i="1" s="1"/>
  <c r="U1034" i="1" s="1"/>
  <c r="U1061" i="1" s="1"/>
  <c r="U1069" i="1" s="1"/>
  <c r="U1075" i="1" s="1"/>
  <c r="U1102" i="1" s="1"/>
  <c r="U1110" i="1" s="1"/>
  <c r="U1116" i="1" s="1"/>
  <c r="U1143" i="1" s="1"/>
  <c r="U1151" i="1" s="1"/>
  <c r="U1157" i="1" s="1"/>
  <c r="U1184" i="1" s="1"/>
  <c r="U1192" i="1" s="1"/>
  <c r="U1198" i="1" s="1"/>
  <c r="U1225" i="1" s="1"/>
  <c r="U1233" i="1" s="1"/>
  <c r="U1239" i="1" s="1"/>
  <c r="U1266" i="1" s="1"/>
  <c r="U1274" i="1" s="1"/>
  <c r="U1280" i="1" s="1"/>
  <c r="U1307" i="1" s="1"/>
  <c r="T938" i="1"/>
  <c r="T946" i="1" s="1"/>
  <c r="T952" i="1" s="1"/>
  <c r="T979" i="1" s="1"/>
  <c r="T987" i="1" s="1"/>
  <c r="T993" i="1" s="1"/>
  <c r="T1020" i="1" s="1"/>
  <c r="T1028" i="1" s="1"/>
  <c r="T1034" i="1" s="1"/>
  <c r="Q938" i="1"/>
  <c r="Q946" i="1" s="1"/>
  <c r="Q952" i="1" s="1"/>
  <c r="Q979" i="1" s="1"/>
  <c r="Q987" i="1" s="1"/>
  <c r="Q993" i="1" s="1"/>
  <c r="Q1020" i="1" s="1"/>
  <c r="Q1028" i="1" s="1"/>
  <c r="Q1034" i="1" s="1"/>
  <c r="Q1061" i="1" s="1"/>
  <c r="Q1069" i="1" s="1"/>
  <c r="Q1075" i="1" s="1"/>
  <c r="Q1102" i="1" s="1"/>
  <c r="Q1110" i="1" s="1"/>
  <c r="Q1116" i="1" s="1"/>
  <c r="H815" i="1"/>
  <c r="H823" i="1" s="1"/>
  <c r="F823" i="1"/>
  <c r="F829" i="1" s="1"/>
  <c r="E774" i="1"/>
  <c r="E782" i="1" s="1"/>
  <c r="C782" i="1"/>
  <c r="C788" i="1" s="1"/>
  <c r="K774" i="1"/>
  <c r="K782" i="1" s="1"/>
  <c r="J782" i="1"/>
  <c r="J788" i="1" s="1"/>
  <c r="L747" i="1"/>
  <c r="Q1143" i="1" l="1"/>
  <c r="Q1151" i="1" s="1"/>
  <c r="Q1157" i="1" s="1"/>
  <c r="Q1184" i="1" s="1"/>
  <c r="Q1192" i="1" s="1"/>
  <c r="Q1198" i="1" s="1"/>
  <c r="Q1225" i="1" s="1"/>
  <c r="Q1233" i="1" s="1"/>
  <c r="Q1239" i="1" s="1"/>
  <c r="T1061" i="1"/>
  <c r="T1069" i="1" s="1"/>
  <c r="T1075" i="1" s="1"/>
  <c r="T1102" i="1" s="1"/>
  <c r="T1110" i="1" s="1"/>
  <c r="T1116" i="1" s="1"/>
  <c r="T1143" i="1" s="1"/>
  <c r="T1151" i="1" s="1"/>
  <c r="T1157" i="1" s="1"/>
  <c r="T1184" i="1" s="1"/>
  <c r="T1192" i="1" s="1"/>
  <c r="T1198" i="1" s="1"/>
  <c r="T1225" i="1" s="1"/>
  <c r="T1233" i="1" s="1"/>
  <c r="T1239" i="1" s="1"/>
  <c r="F856" i="1"/>
  <c r="H829" i="1"/>
  <c r="L782" i="1"/>
  <c r="C815" i="1"/>
  <c r="E788" i="1"/>
  <c r="L774" i="1"/>
  <c r="J815" i="1"/>
  <c r="K788" i="1"/>
  <c r="Q1266" i="1" l="1"/>
  <c r="Q1274" i="1" s="1"/>
  <c r="Q1280" i="1" s="1"/>
  <c r="Q1307" i="1" s="1"/>
  <c r="T1266" i="1"/>
  <c r="T1274" i="1" s="1"/>
  <c r="T1280" i="1" s="1"/>
  <c r="T1307" i="1" s="1"/>
  <c r="T1144" i="1"/>
  <c r="S1144" i="1"/>
  <c r="R1144" i="1"/>
  <c r="O1144" i="1"/>
  <c r="Q1144" i="1"/>
  <c r="P1144" i="1"/>
  <c r="X938" i="1"/>
  <c r="X946" i="1" s="1"/>
  <c r="X952" i="1" s="1"/>
  <c r="X979" i="1" s="1"/>
  <c r="X987" i="1" s="1"/>
  <c r="X993" i="1" s="1"/>
  <c r="X1020" i="1" s="1"/>
  <c r="X1028" i="1" s="1"/>
  <c r="X1034" i="1" s="1"/>
  <c r="W938" i="1"/>
  <c r="W946" i="1" s="1"/>
  <c r="W952" i="1" s="1"/>
  <c r="W979" i="1" s="1"/>
  <c r="W987" i="1" s="1"/>
  <c r="W993" i="1" s="1"/>
  <c r="W1020" i="1" s="1"/>
  <c r="W1028" i="1" s="1"/>
  <c r="W1034" i="1" s="1"/>
  <c r="W1061" i="1" s="1"/>
  <c r="W1069" i="1" s="1"/>
  <c r="W1075" i="1" s="1"/>
  <c r="W1102" i="1" s="1"/>
  <c r="W1110" i="1" s="1"/>
  <c r="W1116" i="1" s="1"/>
  <c r="W1143" i="1" s="1"/>
  <c r="W1151" i="1" s="1"/>
  <c r="W1157" i="1" s="1"/>
  <c r="W1184" i="1" s="1"/>
  <c r="W1192" i="1" s="1"/>
  <c r="W1198" i="1" s="1"/>
  <c r="W1225" i="1" s="1"/>
  <c r="W1233" i="1" s="1"/>
  <c r="W1239" i="1" s="1"/>
  <c r="W1266" i="1" s="1"/>
  <c r="W1274" i="1" s="1"/>
  <c r="W1280" i="1" s="1"/>
  <c r="W1307" i="1" s="1"/>
  <c r="H856" i="1"/>
  <c r="H864" i="1" s="1"/>
  <c r="F864" i="1"/>
  <c r="F870" i="1" s="1"/>
  <c r="E815" i="1"/>
  <c r="E823" i="1" s="1"/>
  <c r="C823" i="1"/>
  <c r="C829" i="1" s="1"/>
  <c r="K815" i="1"/>
  <c r="K823" i="1" s="1"/>
  <c r="J823" i="1"/>
  <c r="J829" i="1" s="1"/>
  <c r="L788" i="1"/>
  <c r="V1144" i="1" l="1"/>
  <c r="W1144" i="1"/>
  <c r="U1144" i="1"/>
  <c r="X1061" i="1"/>
  <c r="X1069" i="1" s="1"/>
  <c r="X1075" i="1" s="1"/>
  <c r="X1102" i="1" s="1"/>
  <c r="X1110" i="1" s="1"/>
  <c r="X1116" i="1" s="1"/>
  <c r="W1063" i="1"/>
  <c r="Q1063" i="1"/>
  <c r="T1063" i="1"/>
  <c r="H870" i="1"/>
  <c r="F897" i="1"/>
  <c r="L823" i="1"/>
  <c r="L815" i="1"/>
  <c r="C856" i="1"/>
  <c r="E829" i="1"/>
  <c r="J856" i="1"/>
  <c r="K829" i="1"/>
  <c r="X1143" i="1" l="1"/>
  <c r="X1151" i="1" s="1"/>
  <c r="X1157" i="1" s="1"/>
  <c r="X1184" i="1" s="1"/>
  <c r="X1192" i="1" s="1"/>
  <c r="X1198" i="1" s="1"/>
  <c r="X1225" i="1" s="1"/>
  <c r="X1233" i="1" s="1"/>
  <c r="X1239" i="1" s="1"/>
  <c r="W1145" i="1"/>
  <c r="T1145" i="1"/>
  <c r="Q1145" i="1"/>
  <c r="H897" i="1"/>
  <c r="H905" i="1" s="1"/>
  <c r="F905" i="1"/>
  <c r="F911" i="1" s="1"/>
  <c r="E856" i="1"/>
  <c r="E864" i="1" s="1"/>
  <c r="C864" i="1"/>
  <c r="C870" i="1" s="1"/>
  <c r="L829" i="1"/>
  <c r="K856" i="1"/>
  <c r="J864" i="1"/>
  <c r="J870" i="1" s="1"/>
  <c r="X1266" i="1" l="1"/>
  <c r="X1274" i="1" s="1"/>
  <c r="X1280" i="1" s="1"/>
  <c r="X1307" i="1" s="1"/>
  <c r="F938" i="1"/>
  <c r="H911" i="1"/>
  <c r="L856" i="1"/>
  <c r="K864" i="1"/>
  <c r="L864" i="1" s="1"/>
  <c r="C897" i="1"/>
  <c r="E870" i="1"/>
  <c r="J897" i="1"/>
  <c r="K870" i="1"/>
  <c r="H938" i="1" l="1"/>
  <c r="H946" i="1" s="1"/>
  <c r="F946" i="1"/>
  <c r="F952" i="1" s="1"/>
  <c r="K897" i="1"/>
  <c r="K905" i="1" s="1"/>
  <c r="J905" i="1"/>
  <c r="J911" i="1" s="1"/>
  <c r="E897" i="1"/>
  <c r="E905" i="1" s="1"/>
  <c r="C905" i="1"/>
  <c r="C911" i="1" s="1"/>
  <c r="L870" i="1"/>
  <c r="F979" i="1" l="1"/>
  <c r="H952" i="1"/>
  <c r="L897" i="1"/>
  <c r="L905" i="1"/>
  <c r="J938" i="1"/>
  <c r="K911" i="1"/>
  <c r="E911" i="1"/>
  <c r="C938" i="1"/>
  <c r="K938" i="1" l="1"/>
  <c r="K946" i="1" s="1"/>
  <c r="J946" i="1"/>
  <c r="J952" i="1" s="1"/>
  <c r="E938" i="1"/>
  <c r="E946" i="1" s="1"/>
  <c r="C946" i="1"/>
  <c r="C952" i="1" s="1"/>
  <c r="F987" i="1"/>
  <c r="F993" i="1" s="1"/>
  <c r="H979" i="1"/>
  <c r="L911" i="1"/>
  <c r="L938" i="1" l="1"/>
  <c r="H987" i="1"/>
  <c r="C979" i="1"/>
  <c r="E952" i="1"/>
  <c r="F1020" i="1"/>
  <c r="H993" i="1"/>
  <c r="J979" i="1"/>
  <c r="K952" i="1"/>
  <c r="L952" i="1" s="1"/>
  <c r="L946" i="1"/>
  <c r="J987" i="1" l="1"/>
  <c r="J993" i="1" s="1"/>
  <c r="K979" i="1"/>
  <c r="H1020" i="1"/>
  <c r="H1028" i="1" s="1"/>
  <c r="F1028" i="1"/>
  <c r="F1034" i="1" s="1"/>
  <c r="C987" i="1"/>
  <c r="C993" i="1" s="1"/>
  <c r="E979" i="1"/>
  <c r="E987" i="1" s="1"/>
  <c r="H1034" i="1" l="1"/>
  <c r="F1061" i="1"/>
  <c r="K987" i="1"/>
  <c r="L987" i="1" s="1"/>
  <c r="L979" i="1"/>
  <c r="E993" i="1"/>
  <c r="C1020" i="1"/>
  <c r="J1020" i="1"/>
  <c r="K993" i="1"/>
  <c r="H1061" i="1" l="1"/>
  <c r="H1069" i="1" s="1"/>
  <c r="F1069" i="1"/>
  <c r="F1075" i="1" s="1"/>
  <c r="L993" i="1"/>
  <c r="J1028" i="1"/>
  <c r="J1034" i="1" s="1"/>
  <c r="K1020" i="1"/>
  <c r="K1028" i="1" s="1"/>
  <c r="E1020" i="1"/>
  <c r="C1028" i="1"/>
  <c r="C1034" i="1" s="1"/>
  <c r="F1102" i="1" l="1"/>
  <c r="H1075" i="1"/>
  <c r="E1034" i="1"/>
  <c r="C1061" i="1"/>
  <c r="L1020" i="1"/>
  <c r="E1028" i="1"/>
  <c r="L1028" i="1" s="1"/>
  <c r="J1061" i="1"/>
  <c r="K1034" i="1"/>
  <c r="L1034" i="1" l="1"/>
  <c r="E1061" i="1"/>
  <c r="E1069" i="1" s="1"/>
  <c r="C1069" i="1"/>
  <c r="C1075" i="1" s="1"/>
  <c r="K1061" i="1"/>
  <c r="K1069" i="1" s="1"/>
  <c r="J1069" i="1"/>
  <c r="J1075" i="1" s="1"/>
  <c r="H1102" i="1"/>
  <c r="F1110" i="1"/>
  <c r="F1116" i="1" s="1"/>
  <c r="L1061" i="1" l="1"/>
  <c r="L1069" i="1"/>
  <c r="C1102" i="1"/>
  <c r="E1075" i="1"/>
  <c r="J1102" i="1"/>
  <c r="K1075" i="1"/>
  <c r="F1143" i="1"/>
  <c r="H1116" i="1"/>
  <c r="H1110" i="1"/>
  <c r="L1075" i="1" l="1"/>
  <c r="H1143" i="1"/>
  <c r="H1151" i="1" s="1"/>
  <c r="F1151" i="1"/>
  <c r="F1157" i="1" s="1"/>
  <c r="C1110" i="1"/>
  <c r="C1116" i="1" s="1"/>
  <c r="E1102" i="1"/>
  <c r="E1110" i="1" s="1"/>
  <c r="J1110" i="1"/>
  <c r="J1116" i="1" s="1"/>
  <c r="K1102" i="1"/>
  <c r="F1184" i="1" l="1"/>
  <c r="H1157" i="1"/>
  <c r="C1143" i="1"/>
  <c r="E1116" i="1"/>
  <c r="J1143" i="1"/>
  <c r="K1116" i="1"/>
  <c r="K1110" i="1"/>
  <c r="L1110" i="1" s="1"/>
  <c r="L1102" i="1"/>
  <c r="L1116" i="1" l="1"/>
  <c r="C1151" i="1"/>
  <c r="C1157" i="1" s="1"/>
  <c r="E1143" i="1"/>
  <c r="E1151" i="1" s="1"/>
  <c r="F1192" i="1"/>
  <c r="F1198" i="1" s="1"/>
  <c r="H1184" i="1"/>
  <c r="H1192" i="1" s="1"/>
  <c r="J1151" i="1"/>
  <c r="J1157" i="1" s="1"/>
  <c r="K1143" i="1"/>
  <c r="F1225" i="1" l="1"/>
  <c r="H1198" i="1"/>
  <c r="C1184" i="1"/>
  <c r="E1157" i="1"/>
  <c r="K1151" i="1"/>
  <c r="L1151" i="1" s="1"/>
  <c r="L1143" i="1"/>
  <c r="J1184" i="1"/>
  <c r="K1157" i="1"/>
  <c r="L1157" i="1" s="1"/>
  <c r="H1225" i="1" l="1"/>
  <c r="H1233" i="1" s="1"/>
  <c r="F1233" i="1"/>
  <c r="F1239" i="1" s="1"/>
  <c r="C1192" i="1"/>
  <c r="C1198" i="1" s="1"/>
  <c r="E1184" i="1"/>
  <c r="E1192" i="1" s="1"/>
  <c r="J1192" i="1"/>
  <c r="J1198" i="1" s="1"/>
  <c r="K1184" i="1"/>
  <c r="F1266" i="1" l="1"/>
  <c r="H1239" i="1"/>
  <c r="C1225" i="1"/>
  <c r="E1198" i="1"/>
  <c r="L1184" i="1"/>
  <c r="K1192" i="1"/>
  <c r="L1192" i="1" s="1"/>
  <c r="J1225" i="1"/>
  <c r="K1198" i="1"/>
  <c r="L1198" i="1" s="1"/>
  <c r="H1266" i="1" l="1"/>
  <c r="H1274" i="1" s="1"/>
  <c r="F1274" i="1"/>
  <c r="F1280" i="1" s="1"/>
  <c r="E1225" i="1"/>
  <c r="E1233" i="1" s="1"/>
  <c r="C1233" i="1"/>
  <c r="C1239" i="1" s="1"/>
  <c r="K1225" i="1"/>
  <c r="J1233" i="1"/>
  <c r="J1239" i="1" s="1"/>
  <c r="H1280" i="1" l="1"/>
  <c r="F1307" i="1"/>
  <c r="H1307" i="1" s="1"/>
  <c r="L1225" i="1"/>
  <c r="K1233" i="1"/>
  <c r="L1233" i="1" s="1"/>
  <c r="C1266" i="1"/>
  <c r="E1239" i="1"/>
  <c r="J1266" i="1"/>
  <c r="K1239" i="1"/>
  <c r="K1266" i="1" l="1"/>
  <c r="K1274" i="1" s="1"/>
  <c r="J1274" i="1"/>
  <c r="J1280" i="1" s="1"/>
  <c r="E1266" i="1"/>
  <c r="E1274" i="1" s="1"/>
  <c r="C1274" i="1"/>
  <c r="C1280" i="1" s="1"/>
  <c r="L1239" i="1"/>
  <c r="L1266" i="1" l="1"/>
  <c r="L1274" i="1"/>
  <c r="C1307" i="1"/>
  <c r="E1307" i="1" s="1"/>
  <c r="E1280" i="1"/>
  <c r="J1307" i="1"/>
  <c r="K1307" i="1" s="1"/>
  <c r="K1280" i="1"/>
  <c r="L1280" i="1" l="1"/>
  <c r="L1307" i="1"/>
</calcChain>
</file>

<file path=xl/sharedStrings.xml><?xml version="1.0" encoding="utf-8"?>
<sst xmlns="http://schemas.openxmlformats.org/spreadsheetml/2006/main" count="2699" uniqueCount="648">
  <si>
    <t>残数</t>
    <rPh sb="0" eb="2">
      <t>ザンスウ</t>
    </rPh>
    <phoneticPr fontId="2"/>
  </si>
  <si>
    <t>出荷数</t>
    <rPh sb="0" eb="2">
      <t>シュッカ</t>
    </rPh>
    <rPh sb="2" eb="3">
      <t>スウ</t>
    </rPh>
    <phoneticPr fontId="2"/>
  </si>
  <si>
    <t>総数</t>
    <rPh sb="0" eb="2">
      <t>ソウスウ</t>
    </rPh>
    <phoneticPr fontId="2"/>
  </si>
  <si>
    <t>追加</t>
    <rPh sb="0" eb="2">
      <t>ツイカ</t>
    </rPh>
    <phoneticPr fontId="2"/>
  </si>
  <si>
    <t>計</t>
    <rPh sb="0" eb="1">
      <t>ケイ</t>
    </rPh>
    <phoneticPr fontId="2"/>
  </si>
  <si>
    <t>L-LL</t>
    <phoneticPr fontId="2"/>
  </si>
  <si>
    <t>M-L</t>
    <phoneticPr fontId="2"/>
  </si>
  <si>
    <t>10分丈</t>
    <rPh sb="2" eb="4">
      <t>ブタケ</t>
    </rPh>
    <phoneticPr fontId="2"/>
  </si>
  <si>
    <t>8分丈</t>
    <rPh sb="1" eb="3">
      <t>ブタケ</t>
    </rPh>
    <phoneticPr fontId="2"/>
  </si>
  <si>
    <t>3分丈</t>
    <rPh sb="1" eb="3">
      <t>ブタケ</t>
    </rPh>
    <phoneticPr fontId="2"/>
  </si>
  <si>
    <t>【3分丈 A3097-21～22 @310】【8分丈 A3095-21～22 @360】【10分丈 A3096-21～22 @390】</t>
    <rPh sb="2" eb="4">
      <t>ブタケ</t>
    </rPh>
    <phoneticPr fontId="2"/>
  </si>
  <si>
    <t>超メッシュレギンス　</t>
    <rPh sb="0" eb="1">
      <t>チョウ</t>
    </rPh>
    <phoneticPr fontId="2"/>
  </si>
  <si>
    <t>ネット</t>
    <phoneticPr fontId="2"/>
  </si>
  <si>
    <t>西夢</t>
    <rPh sb="0" eb="2">
      <t>ニシユメ</t>
    </rPh>
    <phoneticPr fontId="2"/>
  </si>
  <si>
    <t>牧野</t>
    <rPh sb="0" eb="2">
      <t>マキノ</t>
    </rPh>
    <phoneticPr fontId="2"/>
  </si>
  <si>
    <t>サンプル</t>
    <phoneticPr fontId="2"/>
  </si>
  <si>
    <t>2023/3/13数伝</t>
    <rPh sb="9" eb="11">
      <t>スウデン</t>
    </rPh>
    <phoneticPr fontId="2"/>
  </si>
  <si>
    <t>初回</t>
    <rPh sb="0" eb="2">
      <t>ショカイ</t>
    </rPh>
    <phoneticPr fontId="2"/>
  </si>
  <si>
    <t>2023/4/18数伝</t>
    <rPh sb="9" eb="11">
      <t>スウデン</t>
    </rPh>
    <phoneticPr fontId="2"/>
  </si>
  <si>
    <t>JOD特別版0606</t>
    <rPh sb="3" eb="6">
      <t>トクベツバン</t>
    </rPh>
    <phoneticPr fontId="2"/>
  </si>
  <si>
    <t>6/5～</t>
    <phoneticPr fontId="2"/>
  </si>
  <si>
    <t>2023/5/10数伝</t>
    <rPh sb="9" eb="11">
      <t>スウデン</t>
    </rPh>
    <phoneticPr fontId="2"/>
  </si>
  <si>
    <t>JODアクセス7094</t>
    <phoneticPr fontId="2"/>
  </si>
  <si>
    <t>7/12～</t>
    <phoneticPr fontId="2"/>
  </si>
  <si>
    <t>超メッシュレギンス＜夢販在庫＞</t>
    <rPh sb="0" eb="1">
      <t>チョウ</t>
    </rPh>
    <rPh sb="10" eb="14">
      <t>ユメハンザイコ</t>
    </rPh>
    <phoneticPr fontId="2"/>
  </si>
  <si>
    <t>超メッシュレギンス　＜KPORT在庫＞</t>
    <rPh sb="0" eb="1">
      <t>チョウ</t>
    </rPh>
    <rPh sb="16" eb="18">
      <t>ザイコ</t>
    </rPh>
    <phoneticPr fontId="2"/>
  </si>
  <si>
    <t>2023/6/1数伝</t>
    <rPh sb="8" eb="9">
      <t>スウ</t>
    </rPh>
    <rPh sb="9" eb="10">
      <t>デン</t>
    </rPh>
    <phoneticPr fontId="2"/>
  </si>
  <si>
    <t>JOD①</t>
    <phoneticPr fontId="2"/>
  </si>
  <si>
    <t>夢販</t>
    <rPh sb="0" eb="2">
      <t>ユメハン</t>
    </rPh>
    <phoneticPr fontId="2"/>
  </si>
  <si>
    <t>JOD②</t>
    <phoneticPr fontId="2"/>
  </si>
  <si>
    <t>JOD③</t>
    <phoneticPr fontId="2"/>
  </si>
  <si>
    <t>JOD④</t>
    <phoneticPr fontId="2"/>
  </si>
  <si>
    <t>JOD④</t>
    <phoneticPr fontId="2"/>
  </si>
  <si>
    <t>JOD⑤</t>
    <phoneticPr fontId="2"/>
  </si>
  <si>
    <t>JOD⑥</t>
    <phoneticPr fontId="2"/>
  </si>
  <si>
    <t>夢販</t>
    <rPh sb="0" eb="2">
      <t>ユメハン</t>
    </rPh>
    <phoneticPr fontId="2"/>
  </si>
  <si>
    <t>JOD⑦</t>
    <phoneticPr fontId="2"/>
  </si>
  <si>
    <t>2023/6/14数伝</t>
    <rPh sb="9" eb="10">
      <t>スウ</t>
    </rPh>
    <rPh sb="10" eb="11">
      <t>デン</t>
    </rPh>
    <phoneticPr fontId="2"/>
  </si>
  <si>
    <t>JOD特別版0719</t>
    <rPh sb="3" eb="6">
      <t>トクベツバン</t>
    </rPh>
    <phoneticPr fontId="2"/>
  </si>
  <si>
    <t>7/18～</t>
    <phoneticPr fontId="2"/>
  </si>
  <si>
    <t>牧野</t>
    <rPh sb="0" eb="2">
      <t>マキノ</t>
    </rPh>
    <phoneticPr fontId="2"/>
  </si>
  <si>
    <t>JOD⑧</t>
    <phoneticPr fontId="2"/>
  </si>
  <si>
    <t>JOD⑨</t>
    <phoneticPr fontId="2"/>
  </si>
  <si>
    <t>JOD⑩</t>
    <phoneticPr fontId="2"/>
  </si>
  <si>
    <t>JOD⑪</t>
    <phoneticPr fontId="2"/>
  </si>
  <si>
    <t>JOD⑫</t>
    <phoneticPr fontId="2"/>
  </si>
  <si>
    <t>2023/6/23済伝</t>
    <rPh sb="9" eb="10">
      <t>スミ</t>
    </rPh>
    <rPh sb="10" eb="11">
      <t>デン</t>
    </rPh>
    <phoneticPr fontId="2"/>
  </si>
  <si>
    <t>JODアクセス7095</t>
    <phoneticPr fontId="2"/>
  </si>
  <si>
    <t>8/16～</t>
    <phoneticPr fontId="2"/>
  </si>
  <si>
    <t>JOD⑬</t>
    <phoneticPr fontId="2"/>
  </si>
  <si>
    <t>JOD⑭</t>
    <phoneticPr fontId="2"/>
  </si>
  <si>
    <t>JOD⑮</t>
    <phoneticPr fontId="2"/>
  </si>
  <si>
    <t>6月末確保分</t>
    <rPh sb="1" eb="2">
      <t>ガツ</t>
    </rPh>
    <rPh sb="2" eb="3">
      <t>マツ</t>
    </rPh>
    <rPh sb="3" eb="6">
      <t>カクホブン</t>
    </rPh>
    <phoneticPr fontId="2"/>
  </si>
  <si>
    <t>2023/7/1済伝</t>
    <rPh sb="8" eb="10">
      <t>スミデン</t>
    </rPh>
    <phoneticPr fontId="2"/>
  </si>
  <si>
    <t>JOD⑯</t>
    <phoneticPr fontId="2"/>
  </si>
  <si>
    <t>JOD⑰</t>
    <phoneticPr fontId="2"/>
  </si>
  <si>
    <t>JOD⑱</t>
    <phoneticPr fontId="2"/>
  </si>
  <si>
    <t>JOD返品</t>
    <rPh sb="3" eb="5">
      <t>ヘンピン</t>
    </rPh>
    <phoneticPr fontId="2"/>
  </si>
  <si>
    <t>JOD⑲</t>
    <phoneticPr fontId="2"/>
  </si>
  <si>
    <t>JOD⑳</t>
    <phoneticPr fontId="2"/>
  </si>
  <si>
    <t>JOD㉑</t>
    <phoneticPr fontId="2"/>
  </si>
  <si>
    <t>ネット</t>
    <phoneticPr fontId="2"/>
  </si>
  <si>
    <t>JOD㉒</t>
    <phoneticPr fontId="2"/>
  </si>
  <si>
    <t>JOD7428UV特集</t>
    <rPh sb="9" eb="11">
      <t>トクシュウ</t>
    </rPh>
    <phoneticPr fontId="2"/>
  </si>
  <si>
    <t>8/8～</t>
    <phoneticPr fontId="2"/>
  </si>
  <si>
    <t>JOD㉓</t>
    <phoneticPr fontId="2"/>
  </si>
  <si>
    <t>夢販</t>
    <rPh sb="0" eb="2">
      <t>ユメハン</t>
    </rPh>
    <phoneticPr fontId="2"/>
  </si>
  <si>
    <t>JOD㉔</t>
    <phoneticPr fontId="2"/>
  </si>
  <si>
    <t>JOD㉕</t>
    <phoneticPr fontId="2"/>
  </si>
  <si>
    <t>JOD㉖</t>
    <phoneticPr fontId="2"/>
  </si>
  <si>
    <t>JOD㉗</t>
    <phoneticPr fontId="2"/>
  </si>
  <si>
    <t>JOD㉘</t>
    <phoneticPr fontId="2"/>
  </si>
  <si>
    <t>JOD㉙</t>
    <phoneticPr fontId="2"/>
  </si>
  <si>
    <t>JOD㉚</t>
    <phoneticPr fontId="2"/>
  </si>
  <si>
    <t>JOD㉛</t>
    <phoneticPr fontId="2"/>
  </si>
  <si>
    <t>JOD㉜</t>
    <phoneticPr fontId="2"/>
  </si>
  <si>
    <t>撮影用</t>
    <rPh sb="0" eb="3">
      <t>サツエイヨウ</t>
    </rPh>
    <phoneticPr fontId="2"/>
  </si>
  <si>
    <t>JOD㉝</t>
    <phoneticPr fontId="2"/>
  </si>
  <si>
    <t>2023/8/2済伝</t>
    <rPh sb="8" eb="10">
      <t>スミデン</t>
    </rPh>
    <phoneticPr fontId="2"/>
  </si>
  <si>
    <t>JOD㉞</t>
    <phoneticPr fontId="2"/>
  </si>
  <si>
    <t>JOD㉟</t>
    <phoneticPr fontId="2"/>
  </si>
  <si>
    <t>JOD㊱</t>
    <phoneticPr fontId="2"/>
  </si>
  <si>
    <t>JOD㊲</t>
    <phoneticPr fontId="2"/>
  </si>
  <si>
    <t>JOD㊳</t>
    <phoneticPr fontId="2"/>
  </si>
  <si>
    <t>JOD㊴</t>
    <phoneticPr fontId="2"/>
  </si>
  <si>
    <t>JOD㊵</t>
    <phoneticPr fontId="2"/>
  </si>
  <si>
    <t>JOD㊶</t>
    <phoneticPr fontId="2"/>
  </si>
  <si>
    <t>JOD㊷</t>
    <phoneticPr fontId="2"/>
  </si>
  <si>
    <t>JOD㊸</t>
    <phoneticPr fontId="2"/>
  </si>
  <si>
    <t>JOD㊹</t>
    <phoneticPr fontId="2"/>
  </si>
  <si>
    <t>JOD㊺</t>
    <phoneticPr fontId="2"/>
  </si>
  <si>
    <t>在庫確認</t>
    <rPh sb="0" eb="4">
      <t>ザイコカクニン</t>
    </rPh>
    <phoneticPr fontId="2"/>
  </si>
  <si>
    <t>JOD㊻</t>
    <phoneticPr fontId="2"/>
  </si>
  <si>
    <t>JOD㊼</t>
    <phoneticPr fontId="2"/>
  </si>
  <si>
    <t>JOD㊽</t>
    <phoneticPr fontId="2"/>
  </si>
  <si>
    <t>JOD㊾</t>
    <phoneticPr fontId="2"/>
  </si>
  <si>
    <t>JOD㊿</t>
    <phoneticPr fontId="2"/>
  </si>
  <si>
    <t>JOD51</t>
    <phoneticPr fontId="2"/>
  </si>
  <si>
    <t>JOD52</t>
  </si>
  <si>
    <t>JOD53</t>
  </si>
  <si>
    <t>JOD54</t>
  </si>
  <si>
    <t>JOD55</t>
  </si>
  <si>
    <t>JOD56</t>
    <phoneticPr fontId="2"/>
  </si>
  <si>
    <t>JOD57</t>
    <phoneticPr fontId="2"/>
  </si>
  <si>
    <t>JOD58</t>
    <phoneticPr fontId="2"/>
  </si>
  <si>
    <t>JOD59</t>
    <phoneticPr fontId="2"/>
  </si>
  <si>
    <t>JOD60</t>
  </si>
  <si>
    <t>ベルーナsample</t>
    <phoneticPr fontId="2"/>
  </si>
  <si>
    <t>JOD61</t>
    <phoneticPr fontId="2"/>
  </si>
  <si>
    <t>JOD62</t>
  </si>
  <si>
    <t>芳仲返品</t>
    <rPh sb="0" eb="2">
      <t>ヨシナカ</t>
    </rPh>
    <rPh sb="2" eb="4">
      <t>ヘンピン</t>
    </rPh>
    <phoneticPr fontId="2"/>
  </si>
  <si>
    <t xml:space="preserve">           ここから始まる2024年1月～ゆめはん別注分</t>
    <rPh sb="15" eb="16">
      <t>ハジ</t>
    </rPh>
    <rPh sb="22" eb="23">
      <t>ネン</t>
    </rPh>
    <rPh sb="24" eb="25">
      <t>ガツ</t>
    </rPh>
    <rPh sb="30" eb="32">
      <t>ベッチュウ</t>
    </rPh>
    <rPh sb="32" eb="33">
      <t>ブン</t>
    </rPh>
    <phoneticPr fontId="2"/>
  </si>
  <si>
    <t>3分丈\980</t>
    <rPh sb="1" eb="3">
      <t>ブタケ</t>
    </rPh>
    <phoneticPr fontId="2"/>
  </si>
  <si>
    <t>8分丈\1180</t>
    <rPh sb="1" eb="3">
      <t>ブタケ</t>
    </rPh>
    <phoneticPr fontId="2"/>
  </si>
  <si>
    <t>10分丈\1280</t>
    <rPh sb="2" eb="4">
      <t>ブタケ</t>
    </rPh>
    <phoneticPr fontId="2"/>
  </si>
  <si>
    <t>K-PORT</t>
    <phoneticPr fontId="2"/>
  </si>
  <si>
    <t>JOD63</t>
    <phoneticPr fontId="2"/>
  </si>
  <si>
    <t>JOD64</t>
    <phoneticPr fontId="2"/>
  </si>
  <si>
    <t>JOD65</t>
  </si>
  <si>
    <t>JOD66</t>
  </si>
  <si>
    <t>JOD67</t>
    <phoneticPr fontId="2"/>
  </si>
  <si>
    <t>西夢</t>
    <rPh sb="0" eb="1">
      <t>ニシ</t>
    </rPh>
    <rPh sb="1" eb="2">
      <t>ユメ</t>
    </rPh>
    <phoneticPr fontId="2"/>
  </si>
  <si>
    <t>JOD68</t>
  </si>
  <si>
    <t>JOD69</t>
  </si>
  <si>
    <t>ベルーナ24夏号</t>
    <rPh sb="6" eb="8">
      <t>ナツゴウ</t>
    </rPh>
    <phoneticPr fontId="2"/>
  </si>
  <si>
    <t>JOD70</t>
  </si>
  <si>
    <t>JOD71</t>
    <phoneticPr fontId="2"/>
  </si>
  <si>
    <t>JOD72</t>
  </si>
  <si>
    <t>JOD73</t>
    <phoneticPr fontId="2"/>
  </si>
  <si>
    <t>JOD74</t>
  </si>
  <si>
    <t>JOD75</t>
  </si>
  <si>
    <t>JOD76西濃</t>
    <rPh sb="5" eb="7">
      <t>セイノウ</t>
    </rPh>
    <phoneticPr fontId="2"/>
  </si>
  <si>
    <t>JOD76</t>
    <phoneticPr fontId="2"/>
  </si>
  <si>
    <t>夢販</t>
    <rPh sb="0" eb="2">
      <t>ユメハン</t>
    </rPh>
    <phoneticPr fontId="2"/>
  </si>
  <si>
    <t>JOD77</t>
    <phoneticPr fontId="2"/>
  </si>
  <si>
    <t>JOD78</t>
  </si>
  <si>
    <t>追加</t>
    <rPh sb="0" eb="2">
      <t>ツイカ</t>
    </rPh>
    <phoneticPr fontId="2"/>
  </si>
  <si>
    <t>JOD79</t>
    <phoneticPr fontId="2"/>
  </si>
  <si>
    <t>テスト1/31、本番4/1</t>
    <rPh sb="8" eb="10">
      <t>ホンバン</t>
    </rPh>
    <phoneticPr fontId="2"/>
  </si>
  <si>
    <t>初回 3-1</t>
    <rPh sb="0" eb="2">
      <t>ショカイ</t>
    </rPh>
    <phoneticPr fontId="2"/>
  </si>
  <si>
    <t>追加 3-2</t>
    <rPh sb="0" eb="2">
      <t>ツイカ</t>
    </rPh>
    <phoneticPr fontId="2"/>
  </si>
  <si>
    <t>追加 3-3</t>
    <rPh sb="0" eb="2">
      <t>ツイカ</t>
    </rPh>
    <phoneticPr fontId="2"/>
  </si>
  <si>
    <t>JOD80</t>
    <phoneticPr fontId="2"/>
  </si>
  <si>
    <t>アテニアsample</t>
    <phoneticPr fontId="2"/>
  </si>
  <si>
    <t>2月下旬～</t>
    <rPh sb="1" eb="4">
      <t>ガツゲジュン</t>
    </rPh>
    <phoneticPr fontId="2"/>
  </si>
  <si>
    <t>千趣会WEB（24SS）</t>
    <rPh sb="0" eb="3">
      <t>センシュカイ</t>
    </rPh>
    <phoneticPr fontId="2"/>
  </si>
  <si>
    <t>ベルーナ24夏号①</t>
    <rPh sb="6" eb="8">
      <t>ナツゴウ</t>
    </rPh>
    <phoneticPr fontId="2"/>
  </si>
  <si>
    <t>【3分丈 B3153-01～02 @290】【8分丈 B3154-01～02 @350】【10分丈 B3155-01～02 @370】</t>
    <rPh sb="2" eb="4">
      <t>ブタケ</t>
    </rPh>
    <phoneticPr fontId="2"/>
  </si>
  <si>
    <t>【3分丈 B3153-01～02 @290】【8分丈 B3154-01～02 @350】【10分丈 B3155-01～02 @370】</t>
    <phoneticPr fontId="2"/>
  </si>
  <si>
    <t>2023/1/11済伝納期森田さんに確認済み</t>
    <rPh sb="9" eb="10">
      <t>スミ</t>
    </rPh>
    <rPh sb="10" eb="11">
      <t>デン</t>
    </rPh>
    <rPh sb="11" eb="13">
      <t>ノウキ</t>
    </rPh>
    <rPh sb="13" eb="15">
      <t>モリタ</t>
    </rPh>
    <rPh sb="18" eb="21">
      <t>カクニンズ</t>
    </rPh>
    <phoneticPr fontId="2"/>
  </si>
  <si>
    <t>ベルーナ拡販DM</t>
    <rPh sb="4" eb="6">
      <t>カクハン</t>
    </rPh>
    <phoneticPr fontId="2"/>
  </si>
  <si>
    <t>4月上旬～7月中旬</t>
    <rPh sb="1" eb="2">
      <t>ガツ</t>
    </rPh>
    <rPh sb="2" eb="4">
      <t>ジョウジュン</t>
    </rPh>
    <rPh sb="6" eb="7">
      <t>ガツ</t>
    </rPh>
    <rPh sb="7" eb="9">
      <t>チュウジュン</t>
    </rPh>
    <phoneticPr fontId="2"/>
  </si>
  <si>
    <t>千趣会WEB（24SS）①</t>
    <rPh sb="0" eb="3">
      <t>センシュカイ</t>
    </rPh>
    <phoneticPr fontId="2"/>
  </si>
  <si>
    <t>ロイヤルステージ3枚組5月号</t>
    <rPh sb="9" eb="11">
      <t>マイグミ</t>
    </rPh>
    <rPh sb="12" eb="14">
      <t>ガツゴウ</t>
    </rPh>
    <phoneticPr fontId="2"/>
  </si>
  <si>
    <t>5/16～</t>
    <phoneticPr fontId="2"/>
  </si>
  <si>
    <t>IEI提案sample</t>
    <rPh sb="3" eb="5">
      <t>テイアン</t>
    </rPh>
    <phoneticPr fontId="2"/>
  </si>
  <si>
    <t>千趣会WEB（24SS）②</t>
    <rPh sb="0" eb="3">
      <t>センシュカイ</t>
    </rPh>
    <phoneticPr fontId="2"/>
  </si>
  <si>
    <t>ベルーナ24夏号②</t>
    <rPh sb="6" eb="8">
      <t>ナツゴウ</t>
    </rPh>
    <phoneticPr fontId="2"/>
  </si>
  <si>
    <t>ベルーナ24夏号差分予測</t>
    <rPh sb="6" eb="8">
      <t>ナツゴウ</t>
    </rPh>
    <rPh sb="8" eb="12">
      <t>サブンヨソク</t>
    </rPh>
    <phoneticPr fontId="2"/>
  </si>
  <si>
    <t>※ネーム表記違います。混在しないでください※</t>
    <phoneticPr fontId="2"/>
  </si>
  <si>
    <t>コープきんき選定会議用sample</t>
    <rPh sb="6" eb="10">
      <t>センテイカイギ</t>
    </rPh>
    <rPh sb="10" eb="11">
      <t>ヨウ</t>
    </rPh>
    <phoneticPr fontId="2"/>
  </si>
  <si>
    <t>IEI使ってヨカッタ4月号4枚組</t>
    <rPh sb="3" eb="4">
      <t>ツカ</t>
    </rPh>
    <rPh sb="11" eb="13">
      <t>ガツゴウ</t>
    </rPh>
    <rPh sb="14" eb="16">
      <t>マイグミ</t>
    </rPh>
    <phoneticPr fontId="2"/>
  </si>
  <si>
    <t>4/8～</t>
    <phoneticPr fontId="2"/>
  </si>
  <si>
    <t>ベルーナ24夏号③</t>
    <rPh sb="6" eb="8">
      <t>ナツゴウ</t>
    </rPh>
    <phoneticPr fontId="2"/>
  </si>
  <si>
    <t>オバタsample</t>
    <phoneticPr fontId="2"/>
  </si>
  <si>
    <t>東都生協5月2週</t>
    <rPh sb="0" eb="2">
      <t>トウト</t>
    </rPh>
    <rPh sb="2" eb="4">
      <t>セイキョウ</t>
    </rPh>
    <rPh sb="5" eb="6">
      <t>ガツ</t>
    </rPh>
    <rPh sb="7" eb="8">
      <t>シュウ</t>
    </rPh>
    <phoneticPr fontId="2"/>
  </si>
  <si>
    <t>4/24～5/7（1～5回）</t>
    <rPh sb="12" eb="13">
      <t>カイ</t>
    </rPh>
    <phoneticPr fontId="2"/>
  </si>
  <si>
    <t>ベルーナ24夏号④</t>
    <rPh sb="6" eb="8">
      <t>ナツゴウ</t>
    </rPh>
    <phoneticPr fontId="2"/>
  </si>
  <si>
    <t>2024年度へ移行</t>
    <rPh sb="4" eb="6">
      <t>ネンド</t>
    </rPh>
    <rPh sb="7" eb="9">
      <t>イコウ</t>
    </rPh>
    <phoneticPr fontId="2"/>
  </si>
  <si>
    <t>昨年在庫より移動</t>
    <rPh sb="0" eb="2">
      <t>サクネン</t>
    </rPh>
    <rPh sb="2" eb="4">
      <t>ザイコ</t>
    </rPh>
    <rPh sb="6" eb="8">
      <t>イドウ</t>
    </rPh>
    <phoneticPr fontId="2"/>
  </si>
  <si>
    <t>JOD特別版0508</t>
    <rPh sb="3" eb="6">
      <t>トクベツバン</t>
    </rPh>
    <phoneticPr fontId="2"/>
  </si>
  <si>
    <t>5/7～</t>
    <phoneticPr fontId="2"/>
  </si>
  <si>
    <t>ベルーナ24夏号⑤</t>
    <rPh sb="6" eb="8">
      <t>ナツゴウ</t>
    </rPh>
    <phoneticPr fontId="2"/>
  </si>
  <si>
    <t>千趣会WEB（24SS）③</t>
    <rPh sb="0" eb="3">
      <t>センシュカイ</t>
    </rPh>
    <phoneticPr fontId="2"/>
  </si>
  <si>
    <t>ベルーナ24夏号⑥</t>
    <rPh sb="6" eb="8">
      <t>ナツゴウ</t>
    </rPh>
    <phoneticPr fontId="2"/>
  </si>
  <si>
    <t>点7/4、アバウト・初回7/16、最終7/22</t>
    <rPh sb="0" eb="1">
      <t>テン</t>
    </rPh>
    <rPh sb="10" eb="12">
      <t>ショカイ</t>
    </rPh>
    <rPh sb="17" eb="19">
      <t>サイシュウ</t>
    </rPh>
    <phoneticPr fontId="2"/>
  </si>
  <si>
    <t>コープきんき7月1回</t>
    <rPh sb="7" eb="8">
      <t>ガツ</t>
    </rPh>
    <rPh sb="9" eb="10">
      <t>カイ</t>
    </rPh>
    <phoneticPr fontId="2"/>
  </si>
  <si>
    <t>千趣会WEB（24SS）④</t>
    <rPh sb="0" eb="3">
      <t>センシュカイ</t>
    </rPh>
    <phoneticPr fontId="2"/>
  </si>
  <si>
    <t>IEI使ってヨカッタ4月号4枚組①</t>
    <rPh sb="3" eb="4">
      <t>ツカ</t>
    </rPh>
    <rPh sb="11" eb="13">
      <t>ガツゴウ</t>
    </rPh>
    <rPh sb="14" eb="16">
      <t>マイグミ</t>
    </rPh>
    <phoneticPr fontId="2"/>
  </si>
  <si>
    <t>※交換手配4/18～19</t>
    <rPh sb="1" eb="3">
      <t>コウカン</t>
    </rPh>
    <rPh sb="3" eb="5">
      <t>テハイ</t>
    </rPh>
    <phoneticPr fontId="2"/>
  </si>
  <si>
    <t>くらしコープデリ会議用サンプル</t>
    <rPh sb="8" eb="11">
      <t>カイギヨウ</t>
    </rPh>
    <phoneticPr fontId="2"/>
  </si>
  <si>
    <t>ベルーナ24夏号⑦</t>
    <rPh sb="6" eb="8">
      <t>ナツゴウ</t>
    </rPh>
    <phoneticPr fontId="2"/>
  </si>
  <si>
    <t>JOD特別号R9895</t>
    <rPh sb="3" eb="5">
      <t>トクベツ</t>
    </rPh>
    <rPh sb="5" eb="6">
      <t>ゴウ</t>
    </rPh>
    <phoneticPr fontId="2"/>
  </si>
  <si>
    <t>5/10～</t>
    <phoneticPr fontId="2"/>
  </si>
  <si>
    <t>夢販</t>
    <rPh sb="0" eb="2">
      <t>ユメハン</t>
    </rPh>
    <phoneticPr fontId="2"/>
  </si>
  <si>
    <t>ベルーナsampe返却</t>
    <rPh sb="9" eb="11">
      <t>ヘンキャク</t>
    </rPh>
    <phoneticPr fontId="2"/>
  </si>
  <si>
    <t>千趣会WEB（24SS）⑤</t>
    <rPh sb="0" eb="3">
      <t>センシュカイ</t>
    </rPh>
    <phoneticPr fontId="2"/>
  </si>
  <si>
    <t>ベルーナ24夏号⑧</t>
    <rPh sb="6" eb="8">
      <t>ナツゴウ</t>
    </rPh>
    <phoneticPr fontId="2"/>
  </si>
  <si>
    <t>芳仲繊維返品</t>
    <rPh sb="0" eb="4">
      <t>ヨシナカセンイ</t>
    </rPh>
    <rPh sb="4" eb="6">
      <t>ヘンピン</t>
    </rPh>
    <phoneticPr fontId="2"/>
  </si>
  <si>
    <t>昨年在庫交換分</t>
    <rPh sb="0" eb="2">
      <t>サクネン</t>
    </rPh>
    <rPh sb="2" eb="4">
      <t>ザイコ</t>
    </rPh>
    <rPh sb="4" eb="7">
      <t>コウカンブン</t>
    </rPh>
    <phoneticPr fontId="2"/>
  </si>
  <si>
    <t>IEI使ってヨカッタ4月号4枚組②</t>
    <rPh sb="3" eb="4">
      <t>ツカ</t>
    </rPh>
    <rPh sb="11" eb="13">
      <t>ガツゴウ</t>
    </rPh>
    <rPh sb="14" eb="16">
      <t>マイグミ</t>
    </rPh>
    <phoneticPr fontId="2"/>
  </si>
  <si>
    <t>ベルーナ24夏号⑨</t>
    <rPh sb="6" eb="8">
      <t>ナツゴウ</t>
    </rPh>
    <phoneticPr fontId="2"/>
  </si>
  <si>
    <t>IEI使ってヨカッタ4月号4枚組③</t>
    <rPh sb="3" eb="4">
      <t>ツカ</t>
    </rPh>
    <rPh sb="11" eb="13">
      <t>ガツゴウ</t>
    </rPh>
    <rPh sb="14" eb="16">
      <t>マイグミ</t>
    </rPh>
    <phoneticPr fontId="2"/>
  </si>
  <si>
    <t>実績</t>
    <rPh sb="0" eb="2">
      <t>ジッセキ</t>
    </rPh>
    <phoneticPr fontId="2"/>
  </si>
  <si>
    <t>JODララコフレ7274</t>
    <phoneticPr fontId="2"/>
  </si>
  <si>
    <t>JOD特別版0605</t>
    <rPh sb="3" eb="6">
      <t>トクベツバン</t>
    </rPh>
    <phoneticPr fontId="2"/>
  </si>
  <si>
    <t>5/23～</t>
    <phoneticPr fontId="2"/>
  </si>
  <si>
    <t>6/4～</t>
    <phoneticPr fontId="2"/>
  </si>
  <si>
    <t>東都生協5月2週①</t>
    <rPh sb="0" eb="2">
      <t>トウト</t>
    </rPh>
    <rPh sb="2" eb="4">
      <t>セイキョウ</t>
    </rPh>
    <rPh sb="5" eb="6">
      <t>ガツ</t>
    </rPh>
    <rPh sb="7" eb="8">
      <t>シュウ</t>
    </rPh>
    <phoneticPr fontId="2"/>
  </si>
  <si>
    <t>点6/6、アバウト6/25、本6/26～7/6</t>
    <rPh sb="0" eb="1">
      <t>テン</t>
    </rPh>
    <rPh sb="14" eb="15">
      <t>ホン</t>
    </rPh>
    <phoneticPr fontId="2"/>
  </si>
  <si>
    <t>差分予測</t>
    <rPh sb="0" eb="2">
      <t>サブン</t>
    </rPh>
    <rPh sb="2" eb="4">
      <t>ヨソク</t>
    </rPh>
    <phoneticPr fontId="2"/>
  </si>
  <si>
    <t>パルくらす8月3回差分予測</t>
    <rPh sb="6" eb="7">
      <t>ガツ</t>
    </rPh>
    <rPh sb="8" eb="9">
      <t>カイ</t>
    </rPh>
    <rPh sb="9" eb="11">
      <t>サブン</t>
    </rPh>
    <rPh sb="11" eb="13">
      <t>ヨソク</t>
    </rPh>
    <phoneticPr fontId="2"/>
  </si>
  <si>
    <t>千趣会WEB（24SS）⑥</t>
    <rPh sb="0" eb="3">
      <t>センシュカイ</t>
    </rPh>
    <phoneticPr fontId="2"/>
  </si>
  <si>
    <t>JOD特別号9501</t>
    <rPh sb="3" eb="5">
      <t>トクベツ</t>
    </rPh>
    <rPh sb="5" eb="6">
      <t>ゴウ</t>
    </rPh>
    <phoneticPr fontId="2"/>
  </si>
  <si>
    <t>6/10～</t>
    <phoneticPr fontId="2"/>
  </si>
  <si>
    <t>2024/4/23数伝</t>
    <rPh sb="9" eb="11">
      <t>スウデン</t>
    </rPh>
    <phoneticPr fontId="2"/>
  </si>
  <si>
    <t>ベルーナ24夏号⑩</t>
    <rPh sb="6" eb="8">
      <t>ナツゴウ</t>
    </rPh>
    <phoneticPr fontId="2"/>
  </si>
  <si>
    <t>パルくらす7月4回差分予測</t>
    <rPh sb="6" eb="7">
      <t>ガツ</t>
    </rPh>
    <rPh sb="8" eb="9">
      <t>カイ</t>
    </rPh>
    <rPh sb="9" eb="11">
      <t>サブン</t>
    </rPh>
    <rPh sb="11" eb="13">
      <t>ヨソク</t>
    </rPh>
    <phoneticPr fontId="2"/>
  </si>
  <si>
    <t>千趣会WEB（24SS）⑦</t>
    <rPh sb="0" eb="3">
      <t>センシュカイ</t>
    </rPh>
    <phoneticPr fontId="2"/>
  </si>
  <si>
    <t>東都生協5月2週②</t>
    <rPh sb="0" eb="2">
      <t>トウト</t>
    </rPh>
    <rPh sb="2" eb="4">
      <t>セイキョウ</t>
    </rPh>
    <rPh sb="5" eb="6">
      <t>ガツ</t>
    </rPh>
    <rPh sb="7" eb="8">
      <t>シュウ</t>
    </rPh>
    <phoneticPr fontId="2"/>
  </si>
  <si>
    <t>IEI交換</t>
    <rPh sb="3" eb="5">
      <t>コウカン</t>
    </rPh>
    <phoneticPr fontId="2"/>
  </si>
  <si>
    <t>サクラマチsample</t>
    <phoneticPr fontId="2"/>
  </si>
  <si>
    <t>東都生協5月2週③</t>
    <rPh sb="0" eb="2">
      <t>トウト</t>
    </rPh>
    <rPh sb="2" eb="4">
      <t>セイキョウ</t>
    </rPh>
    <rPh sb="5" eb="6">
      <t>ガツ</t>
    </rPh>
    <rPh sb="7" eb="8">
      <t>シュウ</t>
    </rPh>
    <phoneticPr fontId="2"/>
  </si>
  <si>
    <t>ベルーナ24夏号⑪</t>
    <rPh sb="6" eb="8">
      <t>ナツゴウ</t>
    </rPh>
    <phoneticPr fontId="2"/>
  </si>
  <si>
    <t>IEI返品</t>
    <rPh sb="3" eb="5">
      <t>ヘンピン</t>
    </rPh>
    <phoneticPr fontId="2"/>
  </si>
  <si>
    <t>JOD①</t>
    <phoneticPr fontId="2"/>
  </si>
  <si>
    <t>ペラ紙入れ</t>
    <rPh sb="2" eb="3">
      <t>シ</t>
    </rPh>
    <rPh sb="3" eb="4">
      <t>イ</t>
    </rPh>
    <phoneticPr fontId="2"/>
  </si>
  <si>
    <t>千趣会WEB（24SS）⑧</t>
    <rPh sb="0" eb="3">
      <t>センシュカイ</t>
    </rPh>
    <phoneticPr fontId="2"/>
  </si>
  <si>
    <t>IEI使ってヨカッタ4月号4枚組④</t>
    <rPh sb="3" eb="4">
      <t>ツカ</t>
    </rPh>
    <rPh sb="11" eb="13">
      <t>ガツゴウ</t>
    </rPh>
    <rPh sb="14" eb="16">
      <t>マイグミ</t>
    </rPh>
    <phoneticPr fontId="2"/>
  </si>
  <si>
    <t>ベルーナ24夏号⑫</t>
    <rPh sb="6" eb="8">
      <t>ナツゴウ</t>
    </rPh>
    <phoneticPr fontId="2"/>
  </si>
  <si>
    <t>ロイヤルステージ3枚組5月号①</t>
    <rPh sb="9" eb="11">
      <t>マイグミ</t>
    </rPh>
    <rPh sb="12" eb="14">
      <t>ガツゴウ</t>
    </rPh>
    <phoneticPr fontId="2"/>
  </si>
  <si>
    <t>JOD③西濃</t>
    <rPh sb="4" eb="6">
      <t>セイノウ</t>
    </rPh>
    <phoneticPr fontId="2"/>
  </si>
  <si>
    <t>サクラマチ返品</t>
    <rPh sb="5" eb="7">
      <t>ヘンピン</t>
    </rPh>
    <phoneticPr fontId="2"/>
  </si>
  <si>
    <t>ベルーナ24夏号⑬</t>
    <rPh sb="6" eb="8">
      <t>ナツゴウ</t>
    </rPh>
    <phoneticPr fontId="2"/>
  </si>
  <si>
    <t>4/5 3/29ship数伝</t>
    <rPh sb="12" eb="13">
      <t>スウ</t>
    </rPh>
    <rPh sb="13" eb="14">
      <t>デン</t>
    </rPh>
    <phoneticPr fontId="2"/>
  </si>
  <si>
    <t>千趣会WEB（24SS）⑨</t>
    <rPh sb="0" eb="3">
      <t>センシュカイ</t>
    </rPh>
    <phoneticPr fontId="2"/>
  </si>
  <si>
    <t>サクラマチsample(グリーンコープ分)</t>
    <rPh sb="19" eb="20">
      <t>ブン</t>
    </rPh>
    <phoneticPr fontId="2"/>
  </si>
  <si>
    <t>サクラマチsample（コープ九州分）</t>
    <rPh sb="15" eb="18">
      <t>キュウシュウブン</t>
    </rPh>
    <phoneticPr fontId="2"/>
  </si>
  <si>
    <t>ベルーナ24夏号⑭</t>
    <rPh sb="6" eb="8">
      <t>ナツゴウ</t>
    </rPh>
    <phoneticPr fontId="2"/>
  </si>
  <si>
    <t>千趣会WEB（24SS）⑩</t>
    <rPh sb="0" eb="3">
      <t>センシュカイ</t>
    </rPh>
    <phoneticPr fontId="2"/>
  </si>
  <si>
    <t>東都7月5週</t>
    <rPh sb="0" eb="2">
      <t>トウト</t>
    </rPh>
    <rPh sb="3" eb="4">
      <t>ガツ</t>
    </rPh>
    <rPh sb="5" eb="6">
      <t>シュウ</t>
    </rPh>
    <phoneticPr fontId="2"/>
  </si>
  <si>
    <t>7/17～30（1～5回）</t>
    <rPh sb="11" eb="12">
      <t>カイ</t>
    </rPh>
    <phoneticPr fontId="2"/>
  </si>
  <si>
    <t>JOD特別号R9897</t>
    <rPh sb="3" eb="5">
      <t>トクベツ</t>
    </rPh>
    <rPh sb="5" eb="6">
      <t>ゴウ</t>
    </rPh>
    <phoneticPr fontId="2"/>
  </si>
  <si>
    <t>7/3～</t>
    <phoneticPr fontId="2"/>
  </si>
  <si>
    <t>ベルーナ24夏号⑮</t>
    <rPh sb="6" eb="8">
      <t>ナツゴウ</t>
    </rPh>
    <phoneticPr fontId="2"/>
  </si>
  <si>
    <t>JOD特別版0705</t>
    <rPh sb="3" eb="5">
      <t>トクベツ</t>
    </rPh>
    <rPh sb="5" eb="6">
      <t>バン</t>
    </rPh>
    <phoneticPr fontId="2"/>
  </si>
  <si>
    <t>7/4～</t>
    <phoneticPr fontId="2"/>
  </si>
  <si>
    <t>ロイヤルステージ3枚組5月号②</t>
    <rPh sb="9" eb="11">
      <t>マイグミ</t>
    </rPh>
    <rPh sb="12" eb="14">
      <t>ガツゴウ</t>
    </rPh>
    <phoneticPr fontId="2"/>
  </si>
  <si>
    <t>千趣会WEB（24SS）⑪</t>
    <rPh sb="0" eb="3">
      <t>センシュカイ</t>
    </rPh>
    <phoneticPr fontId="2"/>
  </si>
  <si>
    <t>7/17～26（1～2回）</t>
    <rPh sb="11" eb="12">
      <t>カイ</t>
    </rPh>
    <phoneticPr fontId="2"/>
  </si>
  <si>
    <t>コープおきなわ7月4週（本紙）</t>
    <rPh sb="8" eb="9">
      <t>ガツ</t>
    </rPh>
    <rPh sb="10" eb="11">
      <t>シュウ</t>
    </rPh>
    <rPh sb="12" eb="14">
      <t>ホンシ</t>
    </rPh>
    <phoneticPr fontId="2"/>
  </si>
  <si>
    <t>JOD㉑西濃</t>
    <rPh sb="4" eb="6">
      <t>セイノウ</t>
    </rPh>
    <phoneticPr fontId="2"/>
  </si>
  <si>
    <t>コープきんき7月1回①</t>
    <rPh sb="7" eb="8">
      <t>ガツ</t>
    </rPh>
    <rPh sb="9" eb="10">
      <t>カイ</t>
    </rPh>
    <phoneticPr fontId="2"/>
  </si>
  <si>
    <t>千趣会WEB（24SS）⑫</t>
    <rPh sb="0" eb="3">
      <t>センシュカイ</t>
    </rPh>
    <phoneticPr fontId="2"/>
  </si>
  <si>
    <t>ロイヤルステージ3枚組5月号③</t>
    <rPh sb="9" eb="11">
      <t>マイグミ</t>
    </rPh>
    <rPh sb="12" eb="14">
      <t>ガツゴウ</t>
    </rPh>
    <phoneticPr fontId="2"/>
  </si>
  <si>
    <t>ベルーナ24夏号⑯</t>
    <rPh sb="6" eb="8">
      <t>ナツゴウ</t>
    </rPh>
    <phoneticPr fontId="2"/>
  </si>
  <si>
    <t>西夢</t>
    <rPh sb="0" eb="2">
      <t>ニシユメ</t>
    </rPh>
    <phoneticPr fontId="2"/>
  </si>
  <si>
    <t>千趣会WEB（24SS）⑬</t>
    <rPh sb="0" eb="3">
      <t>センシュカイ</t>
    </rPh>
    <phoneticPr fontId="2"/>
  </si>
  <si>
    <t>千趣会WEB（24SS）⑭</t>
    <rPh sb="0" eb="3">
      <t>センシュカイ</t>
    </rPh>
    <phoneticPr fontId="2"/>
  </si>
  <si>
    <t>不足分</t>
    <rPh sb="0" eb="3">
      <t>フソクブン</t>
    </rPh>
    <phoneticPr fontId="2"/>
  </si>
  <si>
    <t>コープきんき7月1回②</t>
    <rPh sb="7" eb="8">
      <t>ガツ</t>
    </rPh>
    <rPh sb="9" eb="10">
      <t>カイ</t>
    </rPh>
    <phoneticPr fontId="2"/>
  </si>
  <si>
    <t>コープきんき7月1回③</t>
    <rPh sb="7" eb="8">
      <t>ガツ</t>
    </rPh>
    <rPh sb="9" eb="10">
      <t>カイ</t>
    </rPh>
    <phoneticPr fontId="2"/>
  </si>
  <si>
    <t>千趣会WEB（24SS）⑮</t>
    <rPh sb="0" eb="3">
      <t>センシュカイ</t>
    </rPh>
    <phoneticPr fontId="2"/>
  </si>
  <si>
    <r>
      <t>パルくらす7月4回</t>
    </r>
    <r>
      <rPr>
        <b/>
        <sz val="11"/>
        <rFont val="ＭＳ Ｐゴシック"/>
        <family val="3"/>
        <charset val="128"/>
      </rPr>
      <t>ペラ紙あり①</t>
    </r>
    <rPh sb="6" eb="7">
      <t>ガツ</t>
    </rPh>
    <rPh sb="8" eb="9">
      <t>カイ</t>
    </rPh>
    <rPh sb="11" eb="12">
      <t>カミ</t>
    </rPh>
    <phoneticPr fontId="2"/>
  </si>
  <si>
    <t>ベルーナ24夏号⑰</t>
    <rPh sb="6" eb="8">
      <t>ナツゴウ</t>
    </rPh>
    <phoneticPr fontId="2"/>
  </si>
  <si>
    <t>牧野</t>
    <rPh sb="0" eb="2">
      <t>マキノ</t>
    </rPh>
    <phoneticPr fontId="2"/>
  </si>
  <si>
    <t>2024/7/2数伝</t>
    <rPh sb="8" eb="9">
      <t>スウ</t>
    </rPh>
    <rPh sb="9" eb="10">
      <t>デン</t>
    </rPh>
    <phoneticPr fontId="2"/>
  </si>
  <si>
    <t>西夢</t>
    <rPh sb="0" eb="2">
      <t>ニシユメ</t>
    </rPh>
    <phoneticPr fontId="2"/>
  </si>
  <si>
    <t>ベルーナ24夏号⑱</t>
    <rPh sb="6" eb="8">
      <t>ナツゴウ</t>
    </rPh>
    <phoneticPr fontId="2"/>
  </si>
  <si>
    <t>千趣会WEB（24SS）⑯</t>
    <rPh sb="0" eb="3">
      <t>センシュカイ</t>
    </rPh>
    <phoneticPr fontId="2"/>
  </si>
  <si>
    <t>8/21～9/4（1～5回）</t>
    <rPh sb="12" eb="13">
      <t>カイ</t>
    </rPh>
    <phoneticPr fontId="2"/>
  </si>
  <si>
    <t>東海コープ9月1週（雑貨別チラ）</t>
    <rPh sb="0" eb="2">
      <t>トウカイ</t>
    </rPh>
    <rPh sb="6" eb="7">
      <t>ガツ</t>
    </rPh>
    <rPh sb="8" eb="9">
      <t>シュウ</t>
    </rPh>
    <rPh sb="10" eb="12">
      <t>ザッカ</t>
    </rPh>
    <rPh sb="12" eb="13">
      <t>ベツ</t>
    </rPh>
    <phoneticPr fontId="2"/>
  </si>
  <si>
    <t>東海コープ9月1週（雑貨別チラ）差分予測</t>
    <rPh sb="0" eb="2">
      <t>トウカイ</t>
    </rPh>
    <rPh sb="6" eb="7">
      <t>ガツ</t>
    </rPh>
    <rPh sb="8" eb="9">
      <t>シュウ</t>
    </rPh>
    <rPh sb="10" eb="12">
      <t>ザッカ</t>
    </rPh>
    <rPh sb="12" eb="13">
      <t>ベツ</t>
    </rPh>
    <rPh sb="16" eb="20">
      <t>サブンヨソク</t>
    </rPh>
    <phoneticPr fontId="2"/>
  </si>
  <si>
    <t>東都7月5週差分予測</t>
    <rPh sb="0" eb="2">
      <t>トウト</t>
    </rPh>
    <rPh sb="3" eb="4">
      <t>ガツ</t>
    </rPh>
    <rPh sb="5" eb="6">
      <t>シュウ</t>
    </rPh>
    <rPh sb="6" eb="10">
      <t>サブンヨソク</t>
    </rPh>
    <phoneticPr fontId="2"/>
  </si>
  <si>
    <t>JOD/UV特集7443</t>
    <rPh sb="6" eb="8">
      <t>トクシュウ</t>
    </rPh>
    <phoneticPr fontId="2"/>
  </si>
  <si>
    <t>8/7～</t>
    <phoneticPr fontId="2"/>
  </si>
  <si>
    <t>ベルーナ24夏号⑲</t>
    <rPh sb="6" eb="8">
      <t>ナツゴウ</t>
    </rPh>
    <phoneticPr fontId="2"/>
  </si>
  <si>
    <r>
      <t>あいコープみやぎ7月3回</t>
    </r>
    <r>
      <rPr>
        <b/>
        <sz val="11"/>
        <rFont val="ＭＳ Ｐゴシック"/>
        <family val="3"/>
        <charset val="128"/>
      </rPr>
      <t>ペラ紙あり</t>
    </r>
    <r>
      <rPr>
        <sz val="11"/>
        <rFont val="ＭＳ Ｐゴシック"/>
        <family val="3"/>
        <charset val="128"/>
      </rPr>
      <t>①</t>
    </r>
    <rPh sb="9" eb="10">
      <t>ガツ</t>
    </rPh>
    <rPh sb="11" eb="12">
      <t>カイ</t>
    </rPh>
    <phoneticPr fontId="2"/>
  </si>
  <si>
    <t>千趣会WEB（24SS）⑰</t>
    <rPh sb="0" eb="3">
      <t>センシュカイ</t>
    </rPh>
    <phoneticPr fontId="2"/>
  </si>
  <si>
    <r>
      <t>パルくらす7月4回</t>
    </r>
    <r>
      <rPr>
        <b/>
        <sz val="11"/>
        <rFont val="ＭＳ Ｐゴシック"/>
        <family val="3"/>
        <charset val="128"/>
      </rPr>
      <t>ペラ紙あり②</t>
    </r>
    <rPh sb="6" eb="7">
      <t>ガツ</t>
    </rPh>
    <rPh sb="8" eb="9">
      <t>カイ</t>
    </rPh>
    <rPh sb="11" eb="12">
      <t>カミ</t>
    </rPh>
    <phoneticPr fontId="2"/>
  </si>
  <si>
    <t>コープおきなわ7月4週（本紙）①</t>
    <rPh sb="8" eb="9">
      <t>ガツ</t>
    </rPh>
    <rPh sb="10" eb="11">
      <t>シュウ</t>
    </rPh>
    <rPh sb="12" eb="14">
      <t>ホンシ</t>
    </rPh>
    <phoneticPr fontId="2"/>
  </si>
  <si>
    <r>
      <t>あいコープみやぎ7月3回</t>
    </r>
    <r>
      <rPr>
        <b/>
        <sz val="11"/>
        <rFont val="ＭＳ Ｐゴシック"/>
        <family val="3"/>
        <charset val="128"/>
      </rPr>
      <t>ペラ紙あり</t>
    </r>
    <rPh sb="9" eb="10">
      <t>ガツ</t>
    </rPh>
    <rPh sb="11" eb="12">
      <t>カイ</t>
    </rPh>
    <phoneticPr fontId="2"/>
  </si>
  <si>
    <t>東都7月5週①</t>
    <rPh sb="0" eb="2">
      <t>トウト</t>
    </rPh>
    <rPh sb="3" eb="4">
      <t>ガツ</t>
    </rPh>
    <rPh sb="5" eb="6">
      <t>シュウ</t>
    </rPh>
    <phoneticPr fontId="2"/>
  </si>
  <si>
    <t>ベルーナ24夏号⑳</t>
    <rPh sb="6" eb="8">
      <t>ナツゴウ</t>
    </rPh>
    <phoneticPr fontId="2"/>
  </si>
  <si>
    <t>JOD52</t>
    <phoneticPr fontId="2"/>
  </si>
  <si>
    <t>コープおきなわ7月4週（本紙）②</t>
    <rPh sb="8" eb="9">
      <t>ガツ</t>
    </rPh>
    <rPh sb="10" eb="11">
      <t>シュウ</t>
    </rPh>
    <rPh sb="12" eb="14">
      <t>ホンシ</t>
    </rPh>
    <phoneticPr fontId="2"/>
  </si>
  <si>
    <r>
      <t>パルくらす7月4回</t>
    </r>
    <r>
      <rPr>
        <b/>
        <sz val="11"/>
        <rFont val="ＭＳ Ｐゴシック"/>
        <family val="3"/>
        <charset val="128"/>
      </rPr>
      <t>ペラ紙あり</t>
    </r>
    <rPh sb="6" eb="7">
      <t>ガツ</t>
    </rPh>
    <rPh sb="8" eb="9">
      <t>カイ</t>
    </rPh>
    <rPh sb="11" eb="12">
      <t>カミ</t>
    </rPh>
    <phoneticPr fontId="2"/>
  </si>
  <si>
    <t>千趣会WEB（24SS）⑱</t>
    <rPh sb="0" eb="3">
      <t>センシュカイ</t>
    </rPh>
    <phoneticPr fontId="2"/>
  </si>
  <si>
    <t>JOD53</t>
    <phoneticPr fontId="2"/>
  </si>
  <si>
    <r>
      <t>パルくらす7月4回</t>
    </r>
    <r>
      <rPr>
        <b/>
        <sz val="11"/>
        <rFont val="ＭＳ Ｐゴシック"/>
        <family val="3"/>
        <charset val="128"/>
      </rPr>
      <t>ペラ紙あり③</t>
    </r>
    <rPh sb="6" eb="7">
      <t>ガツ</t>
    </rPh>
    <rPh sb="8" eb="9">
      <t>カイ</t>
    </rPh>
    <rPh sb="11" eb="12">
      <t>カミ</t>
    </rPh>
    <phoneticPr fontId="2"/>
  </si>
  <si>
    <t>JOD54</t>
    <phoneticPr fontId="2"/>
  </si>
  <si>
    <t>東都7月5週②</t>
    <rPh sb="0" eb="2">
      <t>トウト</t>
    </rPh>
    <rPh sb="3" eb="4">
      <t>ガツ</t>
    </rPh>
    <rPh sb="5" eb="6">
      <t>シュウ</t>
    </rPh>
    <phoneticPr fontId="2"/>
  </si>
  <si>
    <t>ベルーナ24夏号㉑</t>
    <rPh sb="6" eb="8">
      <t>ナツゴウ</t>
    </rPh>
    <phoneticPr fontId="2"/>
  </si>
  <si>
    <t>JOD55</t>
    <phoneticPr fontId="2"/>
  </si>
  <si>
    <t>東都7月5週③</t>
    <rPh sb="0" eb="2">
      <t>トウト</t>
    </rPh>
    <rPh sb="3" eb="4">
      <t>ガツ</t>
    </rPh>
    <rPh sb="5" eb="6">
      <t>シュウ</t>
    </rPh>
    <phoneticPr fontId="2"/>
  </si>
  <si>
    <t>東都7月5週④</t>
    <rPh sb="0" eb="2">
      <t>トウト</t>
    </rPh>
    <rPh sb="3" eb="4">
      <t>ガツ</t>
    </rPh>
    <rPh sb="5" eb="6">
      <t>シュウ</t>
    </rPh>
    <phoneticPr fontId="2"/>
  </si>
  <si>
    <t>最短７月（誤表記ペラ入り）数伝</t>
    <rPh sb="0" eb="2">
      <t>サイタン</t>
    </rPh>
    <rPh sb="3" eb="4">
      <t>ガツ</t>
    </rPh>
    <rPh sb="5" eb="8">
      <t>ゴヒョウキ</t>
    </rPh>
    <rPh sb="10" eb="11">
      <t>イ</t>
    </rPh>
    <rPh sb="13" eb="14">
      <t>スウ</t>
    </rPh>
    <rPh sb="14" eb="15">
      <t>デン</t>
    </rPh>
    <phoneticPr fontId="2"/>
  </si>
  <si>
    <t>JOD57</t>
  </si>
  <si>
    <t>東都7月5週⑤</t>
    <rPh sb="0" eb="2">
      <t>トウト</t>
    </rPh>
    <rPh sb="3" eb="4">
      <t>ガツ</t>
    </rPh>
    <rPh sb="5" eb="6">
      <t>シュウ</t>
    </rPh>
    <phoneticPr fontId="2"/>
  </si>
  <si>
    <t>千趣会WEB（24SS）⑲</t>
    <rPh sb="0" eb="3">
      <t>センシュカイ</t>
    </rPh>
    <phoneticPr fontId="2"/>
  </si>
  <si>
    <t>JOD58</t>
    <phoneticPr fontId="2"/>
  </si>
  <si>
    <t>ロイヤル返品</t>
    <rPh sb="4" eb="6">
      <t>ヘンピン</t>
    </rPh>
    <phoneticPr fontId="2"/>
  </si>
  <si>
    <t>JOD59</t>
  </si>
  <si>
    <t>JOD60</t>
    <phoneticPr fontId="2"/>
  </si>
  <si>
    <t>JOD61</t>
  </si>
  <si>
    <t>千趣会WEB（24SS）⑳</t>
    <rPh sb="0" eb="3">
      <t>センシュカイ</t>
    </rPh>
    <phoneticPr fontId="2"/>
  </si>
  <si>
    <t>JOD62</t>
    <phoneticPr fontId="2"/>
  </si>
  <si>
    <t>コープおきなわ9月4週</t>
    <rPh sb="8" eb="9">
      <t>ガツ</t>
    </rPh>
    <rPh sb="10" eb="11">
      <t>シュウ</t>
    </rPh>
    <phoneticPr fontId="2"/>
  </si>
  <si>
    <t>9/11～9/20（1～2回）</t>
    <rPh sb="13" eb="14">
      <t>カイ</t>
    </rPh>
    <phoneticPr fontId="2"/>
  </si>
  <si>
    <r>
      <t>パルくらす8月3回</t>
    </r>
    <r>
      <rPr>
        <b/>
        <sz val="11"/>
        <rFont val="ＭＳ Ｐゴシック"/>
        <family val="3"/>
        <charset val="128"/>
      </rPr>
      <t>ペラ紙あり①</t>
    </r>
    <rPh sb="6" eb="7">
      <t>ガツ</t>
    </rPh>
    <rPh sb="8" eb="9">
      <t>カイ</t>
    </rPh>
    <phoneticPr fontId="2"/>
  </si>
  <si>
    <r>
      <t>パルくらす8月3回</t>
    </r>
    <r>
      <rPr>
        <b/>
        <sz val="11"/>
        <rFont val="ＭＳ Ｐゴシック"/>
        <family val="3"/>
        <charset val="128"/>
      </rPr>
      <t>ペラ紙あり②</t>
    </r>
    <rPh sb="6" eb="7">
      <t>ガツ</t>
    </rPh>
    <rPh sb="8" eb="9">
      <t>カイ</t>
    </rPh>
    <phoneticPr fontId="2"/>
  </si>
  <si>
    <r>
      <t>パルくらす8月3回</t>
    </r>
    <r>
      <rPr>
        <b/>
        <sz val="11"/>
        <rFont val="ＭＳ Ｐゴシック"/>
        <family val="3"/>
        <charset val="128"/>
      </rPr>
      <t>ペラ紙あり③</t>
    </r>
    <rPh sb="6" eb="7">
      <t>ガツ</t>
    </rPh>
    <rPh sb="8" eb="9">
      <t>カイ</t>
    </rPh>
    <phoneticPr fontId="2"/>
  </si>
  <si>
    <t>JOD65</t>
    <phoneticPr fontId="2"/>
  </si>
  <si>
    <r>
      <t>パルくらす8月3回</t>
    </r>
    <r>
      <rPr>
        <b/>
        <sz val="11"/>
        <rFont val="ＭＳ Ｐゴシック"/>
        <family val="3"/>
        <charset val="128"/>
      </rPr>
      <t>ペラ紙あり④</t>
    </r>
    <rPh sb="6" eb="7">
      <t>ガツ</t>
    </rPh>
    <rPh sb="8" eb="9">
      <t>カイ</t>
    </rPh>
    <phoneticPr fontId="2"/>
  </si>
  <si>
    <t>JOD66</t>
    <phoneticPr fontId="2"/>
  </si>
  <si>
    <t>千趣会WEB（24SS）㉑</t>
    <rPh sb="0" eb="3">
      <t>センシュカイ</t>
    </rPh>
    <phoneticPr fontId="2"/>
  </si>
  <si>
    <t>JOD69</t>
    <phoneticPr fontId="2"/>
  </si>
  <si>
    <t>ベルーナ24夏号㉒</t>
    <rPh sb="6" eb="8">
      <t>ナツゴウ</t>
    </rPh>
    <phoneticPr fontId="2"/>
  </si>
  <si>
    <r>
      <t>あいコープみやぎ8月1回</t>
    </r>
    <r>
      <rPr>
        <b/>
        <sz val="11"/>
        <rFont val="ＭＳ Ｐゴシック"/>
        <family val="3"/>
        <charset val="128"/>
      </rPr>
      <t>ペラ紙あり</t>
    </r>
    <rPh sb="9" eb="10">
      <t>ガツ</t>
    </rPh>
    <rPh sb="11" eb="12">
      <t>カイ</t>
    </rPh>
    <phoneticPr fontId="2"/>
  </si>
  <si>
    <t>東海コープ9月1週（雑貨別チラ）①</t>
    <rPh sb="0" eb="2">
      <t>トウカイ</t>
    </rPh>
    <rPh sb="6" eb="7">
      <t>ガツ</t>
    </rPh>
    <rPh sb="8" eb="9">
      <t>シュウ</t>
    </rPh>
    <rPh sb="10" eb="12">
      <t>ザッカ</t>
    </rPh>
    <rPh sb="12" eb="13">
      <t>ベツ</t>
    </rPh>
    <phoneticPr fontId="2"/>
  </si>
  <si>
    <t>JOD70</t>
    <phoneticPr fontId="2"/>
  </si>
  <si>
    <t>JOD71</t>
  </si>
  <si>
    <t>千趣会WEB（24SS）㉒</t>
    <rPh sb="0" eb="3">
      <t>センシュカイ</t>
    </rPh>
    <phoneticPr fontId="2"/>
  </si>
  <si>
    <t>くらし企画返品</t>
    <rPh sb="3" eb="5">
      <t>キカク</t>
    </rPh>
    <rPh sb="5" eb="7">
      <t>ヘンピン</t>
    </rPh>
    <phoneticPr fontId="2"/>
  </si>
  <si>
    <t>東海コープ9月1週（雑貨別チラ）②</t>
    <rPh sb="0" eb="2">
      <t>トウカイ</t>
    </rPh>
    <rPh sb="6" eb="7">
      <t>ガツ</t>
    </rPh>
    <rPh sb="8" eb="9">
      <t>シュウ</t>
    </rPh>
    <rPh sb="10" eb="12">
      <t>ザッカ</t>
    </rPh>
    <rPh sb="12" eb="13">
      <t>ベツ</t>
    </rPh>
    <phoneticPr fontId="2"/>
  </si>
  <si>
    <t>東海コープ9月1週（雑貨別チラ）③</t>
    <rPh sb="0" eb="2">
      <t>トウカイ</t>
    </rPh>
    <rPh sb="6" eb="7">
      <t>ガツ</t>
    </rPh>
    <rPh sb="8" eb="9">
      <t>シュウ</t>
    </rPh>
    <rPh sb="10" eb="12">
      <t>ザッカ</t>
    </rPh>
    <rPh sb="12" eb="13">
      <t>ベツ</t>
    </rPh>
    <phoneticPr fontId="2"/>
  </si>
  <si>
    <t>東海コープ9月1週（雑貨別チラ）④</t>
    <rPh sb="0" eb="2">
      <t>トウカイ</t>
    </rPh>
    <rPh sb="6" eb="7">
      <t>ガツ</t>
    </rPh>
    <rPh sb="8" eb="9">
      <t>シュウ</t>
    </rPh>
    <rPh sb="10" eb="12">
      <t>ザッカ</t>
    </rPh>
    <rPh sb="12" eb="13">
      <t>ベツ</t>
    </rPh>
    <phoneticPr fontId="2"/>
  </si>
  <si>
    <t>千趣会WEB（24SS）㉓</t>
    <rPh sb="0" eb="3">
      <t>センシュカイ</t>
    </rPh>
    <phoneticPr fontId="2"/>
  </si>
  <si>
    <t>くらし返品</t>
    <rPh sb="3" eb="5">
      <t>ヘンピン</t>
    </rPh>
    <phoneticPr fontId="2"/>
  </si>
  <si>
    <r>
      <t>パルくらす8月3回</t>
    </r>
    <r>
      <rPr>
        <b/>
        <sz val="11"/>
        <rFont val="ＭＳ Ｐゴシック"/>
        <family val="3"/>
        <charset val="128"/>
      </rPr>
      <t>ペラ紙あり</t>
    </r>
    <rPh sb="6" eb="7">
      <t>ガツ</t>
    </rPh>
    <rPh sb="8" eb="9">
      <t>カイ</t>
    </rPh>
    <phoneticPr fontId="2"/>
  </si>
  <si>
    <t>パルくらす8月3回実績</t>
    <rPh sb="6" eb="7">
      <t>ガツ</t>
    </rPh>
    <rPh sb="8" eb="9">
      <t>カイ</t>
    </rPh>
    <rPh sb="9" eb="11">
      <t>ジッセキ</t>
    </rPh>
    <phoneticPr fontId="2"/>
  </si>
  <si>
    <t>ロイヤルステージ3枚組5月号④</t>
    <rPh sb="9" eb="11">
      <t>マイグミ</t>
    </rPh>
    <rPh sb="12" eb="14">
      <t>ガツゴウ</t>
    </rPh>
    <phoneticPr fontId="2"/>
  </si>
  <si>
    <t>千趣会WEB（24SS）㉔</t>
    <rPh sb="0" eb="3">
      <t>センシュカイ</t>
    </rPh>
    <phoneticPr fontId="2"/>
  </si>
  <si>
    <t>JOD76</t>
    <phoneticPr fontId="2"/>
  </si>
  <si>
    <t>ロイヤルステージ3枚組5月号⑤</t>
    <rPh sb="9" eb="11">
      <t>マイグミ</t>
    </rPh>
    <rPh sb="12" eb="14">
      <t>ガツゴウ</t>
    </rPh>
    <phoneticPr fontId="2"/>
  </si>
  <si>
    <t>千趣会WEB（24SS）㉕</t>
    <rPh sb="0" eb="3">
      <t>センシュカイ</t>
    </rPh>
    <phoneticPr fontId="2"/>
  </si>
  <si>
    <t>くらし棚橋さんサンプル</t>
    <rPh sb="3" eb="5">
      <t>タナハシ</t>
    </rPh>
    <phoneticPr fontId="2"/>
  </si>
  <si>
    <t>JOD79</t>
    <phoneticPr fontId="2"/>
  </si>
  <si>
    <t>JOD81</t>
  </si>
  <si>
    <t>JOD82</t>
    <phoneticPr fontId="2"/>
  </si>
  <si>
    <t>JOD83</t>
  </si>
  <si>
    <t>JOD84</t>
  </si>
  <si>
    <t>ベルーナ返品</t>
    <rPh sb="4" eb="6">
      <t>ヘンピン</t>
    </rPh>
    <phoneticPr fontId="2"/>
  </si>
  <si>
    <t>JOD85</t>
    <phoneticPr fontId="2"/>
  </si>
  <si>
    <t>JOD86</t>
  </si>
  <si>
    <t>千趣会返品</t>
  </si>
  <si>
    <t>JOD87</t>
  </si>
  <si>
    <t>生協BY分</t>
    <rPh sb="0" eb="2">
      <t>セイキョウ</t>
    </rPh>
    <rPh sb="4" eb="5">
      <t>ブン</t>
    </rPh>
    <phoneticPr fontId="2"/>
  </si>
  <si>
    <t>4/25～5/9</t>
    <phoneticPr fontId="2"/>
  </si>
  <si>
    <t>JOD/UV特集0307</t>
    <rPh sb="6" eb="8">
      <t>トクシュウ</t>
    </rPh>
    <phoneticPr fontId="2"/>
  </si>
  <si>
    <t>3/3～</t>
    <phoneticPr fontId="2"/>
  </si>
  <si>
    <t>追加</t>
    <rPh sb="0" eb="2">
      <t>ツイカ</t>
    </rPh>
    <phoneticPr fontId="2"/>
  </si>
  <si>
    <t>点5/15、アバウト・初回5/27、最終6/2</t>
    <rPh sb="0" eb="1">
      <t>テン</t>
    </rPh>
    <rPh sb="11" eb="13">
      <t>ショカイ</t>
    </rPh>
    <rPh sb="18" eb="20">
      <t>サイシュウ</t>
    </rPh>
    <phoneticPr fontId="2"/>
  </si>
  <si>
    <t>パルくらす6月1回差分</t>
    <rPh sb="6" eb="7">
      <t>ガツ</t>
    </rPh>
    <rPh sb="8" eb="9">
      <t>カイ</t>
    </rPh>
    <rPh sb="9" eb="11">
      <t>サブン</t>
    </rPh>
    <phoneticPr fontId="2"/>
  </si>
  <si>
    <t>2024年実績</t>
    <rPh sb="4" eb="5">
      <t>ネン</t>
    </rPh>
    <rPh sb="5" eb="7">
      <t>ジッセキ</t>
    </rPh>
    <phoneticPr fontId="2"/>
  </si>
  <si>
    <t>11/15　くらし返品マイナスすべし</t>
    <rPh sb="9" eb="11">
      <t>ヘンピン</t>
    </rPh>
    <phoneticPr fontId="2"/>
  </si>
  <si>
    <t xml:space="preserve">           ここから始まる2025年3月～ゆめはん別注分</t>
    <rPh sb="15" eb="16">
      <t>ハジ</t>
    </rPh>
    <rPh sb="22" eb="23">
      <t>ネン</t>
    </rPh>
    <rPh sb="24" eb="25">
      <t>ガツ</t>
    </rPh>
    <rPh sb="30" eb="32">
      <t>ベッチュウ</t>
    </rPh>
    <rPh sb="32" eb="33">
      <t>ブン</t>
    </rPh>
    <phoneticPr fontId="2"/>
  </si>
  <si>
    <t>くらし企画(日生協)sample</t>
    <rPh sb="3" eb="5">
      <t>キカク</t>
    </rPh>
    <rPh sb="6" eb="9">
      <t>ニッセイキョウ</t>
    </rPh>
    <phoneticPr fontId="2"/>
  </si>
  <si>
    <t>グリーンコープ（サクラマチ）6号差分予測</t>
    <rPh sb="15" eb="16">
      <t>ゴウ</t>
    </rPh>
    <rPh sb="16" eb="18">
      <t>サブン</t>
    </rPh>
    <rPh sb="18" eb="20">
      <t>ヨソク</t>
    </rPh>
    <phoneticPr fontId="2"/>
  </si>
  <si>
    <t>JOD/特別号R9806</t>
    <rPh sb="4" eb="7">
      <t>トクベツゴウ</t>
    </rPh>
    <phoneticPr fontId="2"/>
  </si>
  <si>
    <t>4/3～</t>
    <phoneticPr fontId="2"/>
  </si>
  <si>
    <t>点6/20、前取6/27、デリ7/8、最終7/16</t>
    <rPh sb="0" eb="1">
      <t>テン</t>
    </rPh>
    <rPh sb="6" eb="8">
      <t>マエトリ</t>
    </rPh>
    <rPh sb="19" eb="21">
      <t>サイシュウ</t>
    </rPh>
    <phoneticPr fontId="2"/>
  </si>
  <si>
    <t>JOD①</t>
    <phoneticPr fontId="2"/>
  </si>
  <si>
    <t>確定発注4/23</t>
    <rPh sb="0" eb="4">
      <t>カクテイハッチュウ</t>
    </rPh>
    <phoneticPr fontId="2"/>
  </si>
  <si>
    <t>あいコープみやぎ4月5回ペラ紙あり</t>
    <rPh sb="9" eb="10">
      <t>ガツ</t>
    </rPh>
    <rPh sb="11" eb="12">
      <t>カイ</t>
    </rPh>
    <phoneticPr fontId="2"/>
  </si>
  <si>
    <t>グリーンコープ（サクラマチ）6号ペラ紙あり【限定】</t>
    <rPh sb="15" eb="16">
      <t>ゴウ</t>
    </rPh>
    <rPh sb="22" eb="24">
      <t>ゲンテイ</t>
    </rPh>
    <phoneticPr fontId="2"/>
  </si>
  <si>
    <t>夢販</t>
    <rPh sb="0" eb="2">
      <t>ユメハン</t>
    </rPh>
    <phoneticPr fontId="2"/>
  </si>
  <si>
    <t>5/14～27</t>
    <phoneticPr fontId="2"/>
  </si>
  <si>
    <t>東都生協5月4回ペラ紙あり</t>
    <rPh sb="0" eb="4">
      <t>トウトセイキョウ</t>
    </rPh>
    <rPh sb="5" eb="6">
      <t>ガツ</t>
    </rPh>
    <rPh sb="7" eb="8">
      <t>カイ</t>
    </rPh>
    <phoneticPr fontId="2"/>
  </si>
  <si>
    <t>千趣会（2025WEB）</t>
    <rPh sb="0" eb="3">
      <t>センシュカイ</t>
    </rPh>
    <phoneticPr fontId="2"/>
  </si>
  <si>
    <t>4/9～</t>
    <phoneticPr fontId="2"/>
  </si>
  <si>
    <t>千趣会（2025WEB）①</t>
    <rPh sb="0" eb="3">
      <t>センシュカイ</t>
    </rPh>
    <phoneticPr fontId="2"/>
  </si>
  <si>
    <t>パルくらす7月5回差分予測</t>
    <rPh sb="6" eb="7">
      <t>ガツ</t>
    </rPh>
    <rPh sb="8" eb="9">
      <t>カイ</t>
    </rPh>
    <rPh sb="9" eb="13">
      <t>サブンヨソク</t>
    </rPh>
    <phoneticPr fontId="2"/>
  </si>
  <si>
    <t>点7/22、アバウト・初回7/22、最終発注7/22</t>
    <rPh sb="0" eb="1">
      <t>テン</t>
    </rPh>
    <rPh sb="11" eb="13">
      <t>ショカイ</t>
    </rPh>
    <rPh sb="18" eb="22">
      <t>サイシュウハッチュウ</t>
    </rPh>
    <phoneticPr fontId="2"/>
  </si>
  <si>
    <t>コープきんき6月3回ペラ紙あり差分予測</t>
    <rPh sb="7" eb="8">
      <t>ガツ</t>
    </rPh>
    <rPh sb="9" eb="10">
      <t>カイ</t>
    </rPh>
    <rPh sb="12" eb="13">
      <t>カミ</t>
    </rPh>
    <rPh sb="15" eb="19">
      <t>サブンヨソク</t>
    </rPh>
    <phoneticPr fontId="2"/>
  </si>
  <si>
    <t>コープきんき6月3回ペラ紙あり￥1080</t>
    <rPh sb="7" eb="8">
      <t>ガツ</t>
    </rPh>
    <rPh sb="9" eb="10">
      <t>カイ</t>
    </rPh>
    <rPh sb="12" eb="13">
      <t>カミ</t>
    </rPh>
    <phoneticPr fontId="2"/>
  </si>
  <si>
    <t>点5/23、アバウト6/10、本6/10～16</t>
    <rPh sb="0" eb="1">
      <t>テン</t>
    </rPh>
    <rPh sb="15" eb="16">
      <t>ホン</t>
    </rPh>
    <phoneticPr fontId="2"/>
  </si>
  <si>
    <t>JODアクセス7009</t>
    <phoneticPr fontId="2"/>
  </si>
  <si>
    <t>6/16～</t>
    <phoneticPr fontId="2"/>
  </si>
  <si>
    <t>あいコープみやぎ6月2回ペラ紙あり</t>
    <rPh sb="9" eb="10">
      <t>ガツ</t>
    </rPh>
    <rPh sb="11" eb="12">
      <t>カイ</t>
    </rPh>
    <phoneticPr fontId="2"/>
  </si>
  <si>
    <t>グリーンコープ（サクラマチ）16号差分予測</t>
    <rPh sb="16" eb="17">
      <t>ゴウ</t>
    </rPh>
    <rPh sb="17" eb="19">
      <t>サブン</t>
    </rPh>
    <rPh sb="19" eb="21">
      <t>ヨソク</t>
    </rPh>
    <phoneticPr fontId="2"/>
  </si>
  <si>
    <t>グリーンコープ（サクラマチ）16号ペラ紙あり【限定】</t>
    <rPh sb="16" eb="17">
      <t>ゴウ</t>
    </rPh>
    <rPh sb="23" eb="25">
      <t>ゲンテイ</t>
    </rPh>
    <phoneticPr fontId="2"/>
  </si>
  <si>
    <t>2024年　コープきんき7月実績プロパー</t>
    <rPh sb="4" eb="5">
      <t>ネン</t>
    </rPh>
    <rPh sb="13" eb="14">
      <t>ガツ</t>
    </rPh>
    <rPh sb="14" eb="16">
      <t>ジッセキ</t>
    </rPh>
    <phoneticPr fontId="2"/>
  </si>
  <si>
    <t>東都生協5月4回ペラ紙あり差分予測</t>
    <rPh sb="0" eb="4">
      <t>トウトセイキョウ</t>
    </rPh>
    <rPh sb="5" eb="6">
      <t>ガツ</t>
    </rPh>
    <rPh sb="7" eb="8">
      <t>カイ</t>
    </rPh>
    <rPh sb="13" eb="17">
      <t>サブンヨソク</t>
    </rPh>
    <phoneticPr fontId="2"/>
  </si>
  <si>
    <t>２０２４年パルくらす8月実績</t>
    <rPh sb="4" eb="5">
      <t>ネン</t>
    </rPh>
    <rPh sb="11" eb="12">
      <t>ガツ</t>
    </rPh>
    <rPh sb="12" eb="14">
      <t>ジッセキ</t>
    </rPh>
    <phoneticPr fontId="2"/>
  </si>
  <si>
    <t>東北サンネット7月2回　差分予測</t>
    <rPh sb="0" eb="2">
      <t>トウホク</t>
    </rPh>
    <rPh sb="8" eb="9">
      <t>ガツ</t>
    </rPh>
    <rPh sb="10" eb="11">
      <t>カイ</t>
    </rPh>
    <rPh sb="12" eb="16">
      <t>サブンヨソク</t>
    </rPh>
    <phoneticPr fontId="2"/>
  </si>
  <si>
    <t>点6/6、アバウト6/24、本6/24～30</t>
    <rPh sb="0" eb="1">
      <t>テン</t>
    </rPh>
    <rPh sb="14" eb="15">
      <t>ホン</t>
    </rPh>
    <phoneticPr fontId="2"/>
  </si>
  <si>
    <t>コープきんき7月１回ペラ紙あり差分予測</t>
    <rPh sb="7" eb="8">
      <t>ガツ</t>
    </rPh>
    <rPh sb="9" eb="10">
      <t>カイ</t>
    </rPh>
    <rPh sb="12" eb="13">
      <t>カミ</t>
    </rPh>
    <rPh sb="15" eb="19">
      <t>サブンヨソク</t>
    </rPh>
    <phoneticPr fontId="2"/>
  </si>
  <si>
    <t>千趣会（2025WEB）②</t>
    <rPh sb="0" eb="3">
      <t>センシュカイ</t>
    </rPh>
    <phoneticPr fontId="2"/>
  </si>
  <si>
    <t>あいコープみやぎ4月5回ペラ紙あり①</t>
    <rPh sb="9" eb="10">
      <t>ガツ</t>
    </rPh>
    <rPh sb="11" eb="12">
      <t>カイ</t>
    </rPh>
    <phoneticPr fontId="2"/>
  </si>
  <si>
    <t>7/2～18</t>
    <phoneticPr fontId="2"/>
  </si>
  <si>
    <t>6/25～7/9</t>
    <phoneticPr fontId="2"/>
  </si>
  <si>
    <t>グリーンコープ（サクラマチ）6号ペラ紙あり【限定】①</t>
    <rPh sb="15" eb="16">
      <t>ゴウ</t>
    </rPh>
    <rPh sb="22" eb="24">
      <t>ゲンテイ</t>
    </rPh>
    <phoneticPr fontId="2"/>
  </si>
  <si>
    <t>グリーンコープ（サクラマチ）6号ペラ紙あり【限定】②</t>
    <rPh sb="15" eb="16">
      <t>ゴウ</t>
    </rPh>
    <rPh sb="22" eb="24">
      <t>ゲンテイ</t>
    </rPh>
    <phoneticPr fontId="2"/>
  </si>
  <si>
    <t>夢販</t>
    <rPh sb="0" eb="2">
      <t>ユメハン</t>
    </rPh>
    <phoneticPr fontId="2"/>
  </si>
  <si>
    <t>（再送）あいコープみやぎ4月5回ペラ紙あり①</t>
    <rPh sb="1" eb="3">
      <t>サイソウ</t>
    </rPh>
    <rPh sb="13" eb="14">
      <t>ガツ</t>
    </rPh>
    <rPh sb="15" eb="16">
      <t>カイ</t>
    </rPh>
    <phoneticPr fontId="2"/>
  </si>
  <si>
    <t>グリーンコープ（サクラマチ）6号ペラ紙あり【限定】③</t>
    <rPh sb="15" eb="16">
      <t>ゴウ</t>
    </rPh>
    <rPh sb="22" eb="24">
      <t>ゲンテイ</t>
    </rPh>
    <phoneticPr fontId="2"/>
  </si>
  <si>
    <t>千趣会（2025WEB）③</t>
    <rPh sb="0" eb="3">
      <t>センシュカイ</t>
    </rPh>
    <phoneticPr fontId="2"/>
  </si>
  <si>
    <t>追加 1-1</t>
    <rPh sb="0" eb="2">
      <t>ツイカ</t>
    </rPh>
    <phoneticPr fontId="2"/>
  </si>
  <si>
    <t>2025/5/2数伝</t>
    <rPh sb="8" eb="9">
      <t>スウ</t>
    </rPh>
    <rPh sb="9" eb="10">
      <t>デン</t>
    </rPh>
    <phoneticPr fontId="2"/>
  </si>
  <si>
    <t>IEI提案sample返却</t>
    <rPh sb="3" eb="5">
      <t>テイアン</t>
    </rPh>
    <rPh sb="11" eb="13">
      <t>ヘンキャク</t>
    </rPh>
    <phoneticPr fontId="2"/>
  </si>
  <si>
    <t>あいコープみやぎ7月3回ペラ紙あり</t>
    <rPh sb="9" eb="10">
      <t>ガツ</t>
    </rPh>
    <rPh sb="11" eb="12">
      <t>カイ</t>
    </rPh>
    <phoneticPr fontId="2"/>
  </si>
  <si>
    <t>確定発注7/9</t>
    <rPh sb="0" eb="4">
      <t>カクテイハッチュウ</t>
    </rPh>
    <phoneticPr fontId="2"/>
  </si>
  <si>
    <t>確定発注6/4</t>
    <rPh sb="0" eb="4">
      <t>カクテイハッチュウ</t>
    </rPh>
    <phoneticPr fontId="2"/>
  </si>
  <si>
    <t>千趣会（2025WEB）④</t>
    <rPh sb="0" eb="3">
      <t>センシュカイ</t>
    </rPh>
    <phoneticPr fontId="2"/>
  </si>
  <si>
    <t>JODアクセス7010</t>
    <phoneticPr fontId="2"/>
  </si>
  <si>
    <t>7/10～</t>
    <phoneticPr fontId="2"/>
  </si>
  <si>
    <t>東都生協5月4回ペラ紙あり①</t>
    <rPh sb="0" eb="4">
      <t>トウトセイキョウ</t>
    </rPh>
    <rPh sb="5" eb="6">
      <t>ガツ</t>
    </rPh>
    <rPh sb="7" eb="8">
      <t>カイ</t>
    </rPh>
    <phoneticPr fontId="2"/>
  </si>
  <si>
    <t>千趣会（2025WEB）⑤</t>
    <rPh sb="0" eb="3">
      <t>センシュカイ</t>
    </rPh>
    <phoneticPr fontId="2"/>
  </si>
  <si>
    <t>東都生協5月4回ペラ紙あり②</t>
    <rPh sb="0" eb="4">
      <t>トウトセイキョウ</t>
    </rPh>
    <rPh sb="5" eb="6">
      <t>ガツ</t>
    </rPh>
    <rPh sb="7" eb="8">
      <t>カイ</t>
    </rPh>
    <phoneticPr fontId="2"/>
  </si>
  <si>
    <t>あいコープみやぎ7月5回ペラ紙あり</t>
    <rPh sb="9" eb="10">
      <t>ガツ</t>
    </rPh>
    <rPh sb="11" eb="12">
      <t>カイ</t>
    </rPh>
    <phoneticPr fontId="2"/>
  </si>
  <si>
    <t>確定発注7/23</t>
    <rPh sb="0" eb="4">
      <t>カクテイハッチュウ</t>
    </rPh>
    <phoneticPr fontId="2"/>
  </si>
  <si>
    <t>コープきんき6月3回ペラ紙あり￥1080①</t>
    <rPh sb="7" eb="8">
      <t>ガツ</t>
    </rPh>
    <rPh sb="9" eb="10">
      <t>カイ</t>
    </rPh>
    <rPh sb="12" eb="13">
      <t>カミ</t>
    </rPh>
    <phoneticPr fontId="2"/>
  </si>
  <si>
    <t>東都生協5月4回ペラ紙あり③</t>
    <rPh sb="0" eb="4">
      <t>トウトセイキョウ</t>
    </rPh>
    <rPh sb="5" eb="6">
      <t>ガツ</t>
    </rPh>
    <rPh sb="7" eb="8">
      <t>カイ</t>
    </rPh>
    <phoneticPr fontId="2"/>
  </si>
  <si>
    <t>東都生協5月4回ペラ紙あり④</t>
    <rPh sb="0" eb="4">
      <t>トウトセイキョウ</t>
    </rPh>
    <rPh sb="5" eb="6">
      <t>ガツ</t>
    </rPh>
    <rPh sb="7" eb="8">
      <t>カイ</t>
    </rPh>
    <phoneticPr fontId="2"/>
  </si>
  <si>
    <t>千趣会（2025WEB）⑥</t>
    <rPh sb="0" eb="3">
      <t>センシュカイ</t>
    </rPh>
    <phoneticPr fontId="2"/>
  </si>
  <si>
    <t>コープおきなわ7月3回差分予測</t>
    <rPh sb="8" eb="9">
      <t>ガツ</t>
    </rPh>
    <rPh sb="10" eb="11">
      <t>カイ</t>
    </rPh>
    <rPh sb="11" eb="15">
      <t>サブンヨソク</t>
    </rPh>
    <phoneticPr fontId="2"/>
  </si>
  <si>
    <t>コープおきなわ7月3回ペラ紙あり</t>
    <rPh sb="8" eb="9">
      <t>ガツ</t>
    </rPh>
    <rPh sb="10" eb="11">
      <t>カイ</t>
    </rPh>
    <phoneticPr fontId="2"/>
  </si>
  <si>
    <t>7/9～18</t>
    <phoneticPr fontId="2"/>
  </si>
  <si>
    <t>JOD特別版0705</t>
    <rPh sb="3" eb="6">
      <t>トクベツバン</t>
    </rPh>
    <phoneticPr fontId="2"/>
  </si>
  <si>
    <r>
      <t>パルくらす6月1回</t>
    </r>
    <r>
      <rPr>
        <b/>
        <sz val="11"/>
        <rFont val="ＭＳ Ｐゴシック"/>
        <family val="3"/>
        <charset val="128"/>
      </rPr>
      <t>特価ペラ紙あり</t>
    </r>
    <r>
      <rPr>
        <sz val="11"/>
        <rFont val="ＭＳ Ｐゴシック"/>
        <family val="3"/>
        <charset val="128"/>
      </rPr>
      <t>\88\98\108①</t>
    </r>
    <rPh sb="6" eb="7">
      <t>ガツ</t>
    </rPh>
    <rPh sb="8" eb="9">
      <t>カイ</t>
    </rPh>
    <rPh sb="9" eb="11">
      <t>トッカ</t>
    </rPh>
    <phoneticPr fontId="2"/>
  </si>
  <si>
    <r>
      <t>パルくらす6月1回</t>
    </r>
    <r>
      <rPr>
        <b/>
        <sz val="11"/>
        <rFont val="ＭＳ Ｐゴシック"/>
        <family val="3"/>
        <charset val="128"/>
      </rPr>
      <t>特価ペラ紙あり</t>
    </r>
    <r>
      <rPr>
        <sz val="11"/>
        <rFont val="ＭＳ Ｐゴシック"/>
        <family val="3"/>
        <charset val="128"/>
      </rPr>
      <t>\88\98\108②</t>
    </r>
    <rPh sb="6" eb="7">
      <t>ガツ</t>
    </rPh>
    <rPh sb="8" eb="9">
      <t>カイ</t>
    </rPh>
    <rPh sb="9" eb="11">
      <t>トッカ</t>
    </rPh>
    <phoneticPr fontId="2"/>
  </si>
  <si>
    <r>
      <t>パルくらす6月1回</t>
    </r>
    <r>
      <rPr>
        <b/>
        <sz val="11"/>
        <rFont val="ＭＳ Ｐゴシック"/>
        <family val="3"/>
        <charset val="128"/>
      </rPr>
      <t>特価ペラ紙あり</t>
    </r>
    <r>
      <rPr>
        <sz val="11"/>
        <rFont val="ＭＳ Ｐゴシック"/>
        <family val="3"/>
        <charset val="128"/>
      </rPr>
      <t>\88\98\108③</t>
    </r>
    <rPh sb="6" eb="7">
      <t>ガツ</t>
    </rPh>
    <rPh sb="8" eb="9">
      <t>カイ</t>
    </rPh>
    <rPh sb="9" eb="11">
      <t>トッカ</t>
    </rPh>
    <phoneticPr fontId="2"/>
  </si>
  <si>
    <r>
      <t>パルくらす6月1回</t>
    </r>
    <r>
      <rPr>
        <b/>
        <sz val="11"/>
        <rFont val="ＭＳ Ｐゴシック"/>
        <family val="3"/>
        <charset val="128"/>
      </rPr>
      <t>特価ペラ紙あり</t>
    </r>
    <r>
      <rPr>
        <sz val="11"/>
        <rFont val="ＭＳ Ｐゴシック"/>
        <family val="3"/>
        <charset val="128"/>
      </rPr>
      <t>\88\98\108④</t>
    </r>
    <rPh sb="6" eb="7">
      <t>ガツ</t>
    </rPh>
    <rPh sb="8" eb="9">
      <t>カイ</t>
    </rPh>
    <rPh sb="9" eb="11">
      <t>トッカ</t>
    </rPh>
    <phoneticPr fontId="2"/>
  </si>
  <si>
    <t>JOD特別号R9809</t>
    <rPh sb="3" eb="6">
      <t>トクベツゴウ</t>
    </rPh>
    <phoneticPr fontId="2"/>
  </si>
  <si>
    <t>パルくらす２０２５年6月1回特価\88\98\108実績推測</t>
    <rPh sb="9" eb="10">
      <t>ネン</t>
    </rPh>
    <rPh sb="11" eb="12">
      <t>ガツ</t>
    </rPh>
    <rPh sb="13" eb="14">
      <t>カイ</t>
    </rPh>
    <rPh sb="14" eb="16">
      <t>トッカ</t>
    </rPh>
    <rPh sb="26" eb="28">
      <t>ジッセキ</t>
    </rPh>
    <rPh sb="28" eb="30">
      <t>スイソク</t>
    </rPh>
    <phoneticPr fontId="2"/>
  </si>
  <si>
    <r>
      <t>パルくらす6月1回</t>
    </r>
    <r>
      <rPr>
        <b/>
        <sz val="11"/>
        <rFont val="ＭＳ Ｐゴシック"/>
        <family val="3"/>
        <charset val="128"/>
      </rPr>
      <t>特価ペラ紙あり</t>
    </r>
    <r>
      <rPr>
        <sz val="11"/>
        <rFont val="ＭＳ Ｐゴシック"/>
        <family val="3"/>
        <charset val="128"/>
      </rPr>
      <t>\88\98\108</t>
    </r>
    <rPh sb="6" eb="7">
      <t>ガツ</t>
    </rPh>
    <rPh sb="8" eb="9">
      <t>カイ</t>
    </rPh>
    <rPh sb="9" eb="11">
      <t>トッカ</t>
    </rPh>
    <phoneticPr fontId="2"/>
  </si>
  <si>
    <t>追加2-1</t>
    <rPh sb="0" eb="2">
      <t>ツイカ</t>
    </rPh>
    <phoneticPr fontId="2"/>
  </si>
  <si>
    <t>追加2-2</t>
    <rPh sb="0" eb="2">
      <t>ツイカ</t>
    </rPh>
    <phoneticPr fontId="2"/>
  </si>
  <si>
    <t xml:space="preserve">追加 </t>
    <rPh sb="0" eb="2">
      <t>ツイカ</t>
    </rPh>
    <phoneticPr fontId="2"/>
  </si>
  <si>
    <t>千趣会（2025WEB）⑦</t>
    <rPh sb="0" eb="3">
      <t>センシュカイ</t>
    </rPh>
    <phoneticPr fontId="2"/>
  </si>
  <si>
    <t>あいコープみやぎ6月2回ペラ紙あり①</t>
    <rPh sb="9" eb="10">
      <t>ガツ</t>
    </rPh>
    <rPh sb="11" eb="12">
      <t>カイ</t>
    </rPh>
    <phoneticPr fontId="2"/>
  </si>
  <si>
    <t>電話注文</t>
    <rPh sb="0" eb="4">
      <t>デンワチュウモン</t>
    </rPh>
    <phoneticPr fontId="2"/>
  </si>
  <si>
    <t>追加</t>
  </si>
  <si>
    <t>千趣会（2025WEB）⑧</t>
    <rPh sb="0" eb="3">
      <t>センシュカイ</t>
    </rPh>
    <phoneticPr fontId="2"/>
  </si>
  <si>
    <t>コープきんき6月3回ペラ紙あり￥1080②</t>
    <rPh sb="7" eb="8">
      <t>ガツ</t>
    </rPh>
    <rPh sb="9" eb="10">
      <t>カイ</t>
    </rPh>
    <rPh sb="12" eb="13">
      <t>カミ</t>
    </rPh>
    <phoneticPr fontId="2"/>
  </si>
  <si>
    <t>東北サンネット9月1回　差分予測</t>
    <rPh sb="0" eb="2">
      <t>トウホク</t>
    </rPh>
    <rPh sb="8" eb="9">
      <t>ガツ</t>
    </rPh>
    <rPh sb="10" eb="11">
      <t>カイ</t>
    </rPh>
    <rPh sb="12" eb="16">
      <t>サブンヨソク</t>
    </rPh>
    <phoneticPr fontId="2"/>
  </si>
  <si>
    <t>8/20～9/3</t>
    <phoneticPr fontId="2"/>
  </si>
  <si>
    <t>コープきんき6月3回ペラ紙あり￥1080③</t>
    <rPh sb="7" eb="8">
      <t>ガツ</t>
    </rPh>
    <rPh sb="9" eb="10">
      <t>カイ</t>
    </rPh>
    <rPh sb="12" eb="13">
      <t>カミ</t>
    </rPh>
    <phoneticPr fontId="2"/>
  </si>
  <si>
    <r>
      <t>コープきんき7月1回</t>
    </r>
    <r>
      <rPr>
        <b/>
        <sz val="11"/>
        <rFont val="ＭＳ Ｐゴシック"/>
        <family val="3"/>
        <charset val="128"/>
      </rPr>
      <t>特価</t>
    </r>
    <r>
      <rPr>
        <sz val="11"/>
        <rFont val="ＭＳ Ｐゴシック"/>
        <family val="3"/>
        <charset val="128"/>
      </rPr>
      <t>ペラ紙あり\88\98\108①</t>
    </r>
    <rPh sb="7" eb="8">
      <t>ガツ</t>
    </rPh>
    <rPh sb="9" eb="10">
      <t>カイ</t>
    </rPh>
    <rPh sb="10" eb="12">
      <t>トッカ</t>
    </rPh>
    <rPh sb="14" eb="15">
      <t>カミ</t>
    </rPh>
    <phoneticPr fontId="2"/>
  </si>
  <si>
    <t>千趣会（2025WEB）⑨</t>
    <rPh sb="0" eb="3">
      <t>センシュカイ</t>
    </rPh>
    <phoneticPr fontId="2"/>
  </si>
  <si>
    <t>JODメルシー0725</t>
    <phoneticPr fontId="2"/>
  </si>
  <si>
    <t>7/25～</t>
    <phoneticPr fontId="2"/>
  </si>
  <si>
    <t>あいコープみやぎ8月4回ペラ紙あり</t>
    <rPh sb="9" eb="10">
      <t>ガツ</t>
    </rPh>
    <rPh sb="11" eb="12">
      <t>カイ</t>
    </rPh>
    <phoneticPr fontId="2"/>
  </si>
  <si>
    <t>確定発注8/20</t>
    <rPh sb="0" eb="4">
      <t>カクテイハッチュウ</t>
    </rPh>
    <phoneticPr fontId="2"/>
  </si>
  <si>
    <t>東北サンネット9月1回ペラ紙あり</t>
    <rPh sb="0" eb="2">
      <t>トウホク</t>
    </rPh>
    <rPh sb="8" eb="9">
      <t>ガツ</t>
    </rPh>
    <rPh sb="10" eb="11">
      <t>カイ</t>
    </rPh>
    <phoneticPr fontId="2"/>
  </si>
  <si>
    <t>東北サンネット7月2回ペラ紙あり</t>
    <rPh sb="0" eb="2">
      <t>トウホク</t>
    </rPh>
    <rPh sb="8" eb="9">
      <t>ガツ</t>
    </rPh>
    <rPh sb="10" eb="11">
      <t>カイ</t>
    </rPh>
    <phoneticPr fontId="2"/>
  </si>
  <si>
    <t>千趣会（2025WEB）⑩</t>
    <rPh sb="0" eb="3">
      <t>センシュカイ</t>
    </rPh>
    <phoneticPr fontId="2"/>
  </si>
  <si>
    <t>東北サンネット7月2回ペラ紙あり①</t>
    <rPh sb="0" eb="2">
      <t>トウホク</t>
    </rPh>
    <rPh sb="8" eb="9">
      <t>ガツ</t>
    </rPh>
    <rPh sb="10" eb="11">
      <t>カイ</t>
    </rPh>
    <phoneticPr fontId="2"/>
  </si>
  <si>
    <t>2025/6/24数伝</t>
    <rPh sb="9" eb="10">
      <t>スウ</t>
    </rPh>
    <rPh sb="10" eb="11">
      <t>デン</t>
    </rPh>
    <phoneticPr fontId="2"/>
  </si>
  <si>
    <r>
      <t>コープきんき7月1回</t>
    </r>
    <r>
      <rPr>
        <b/>
        <sz val="11"/>
        <rFont val="ＭＳ Ｐゴシック"/>
        <family val="3"/>
        <charset val="128"/>
      </rPr>
      <t>特価</t>
    </r>
    <r>
      <rPr>
        <sz val="11"/>
        <rFont val="ＭＳ Ｐゴシック"/>
        <family val="3"/>
        <charset val="128"/>
      </rPr>
      <t>ペラ紙あり\88\98\108①</t>
    </r>
    <rPh sb="7" eb="8">
      <t>ガツ</t>
    </rPh>
    <rPh sb="9" eb="10">
      <t>カイ</t>
    </rPh>
    <rPh sb="10" eb="12">
      <t>トッカ</t>
    </rPh>
    <rPh sb="14" eb="15">
      <t>カミ</t>
    </rPh>
    <phoneticPr fontId="2"/>
  </si>
  <si>
    <r>
      <t>コープきんき7月1回</t>
    </r>
    <r>
      <rPr>
        <b/>
        <sz val="11"/>
        <rFont val="ＭＳ Ｐゴシック"/>
        <family val="3"/>
        <charset val="128"/>
      </rPr>
      <t>特価</t>
    </r>
    <r>
      <rPr>
        <sz val="11"/>
        <rFont val="ＭＳ Ｐゴシック"/>
        <family val="3"/>
        <charset val="128"/>
      </rPr>
      <t>ペラ紙あり\88\98\108②</t>
    </r>
    <rPh sb="7" eb="8">
      <t>ガツ</t>
    </rPh>
    <rPh sb="9" eb="10">
      <t>カイ</t>
    </rPh>
    <rPh sb="10" eb="12">
      <t>トッカ</t>
    </rPh>
    <rPh sb="14" eb="15">
      <t>カミ</t>
    </rPh>
    <phoneticPr fontId="2"/>
  </si>
  <si>
    <t>JODアクセス7011</t>
    <phoneticPr fontId="2"/>
  </si>
  <si>
    <t>8/18～</t>
    <phoneticPr fontId="2"/>
  </si>
  <si>
    <t>千趣会（2025WEB）⑪</t>
    <rPh sb="0" eb="3">
      <t>センシュカイ</t>
    </rPh>
    <phoneticPr fontId="2"/>
  </si>
  <si>
    <r>
      <t>コープきんき7月1回</t>
    </r>
    <r>
      <rPr>
        <b/>
        <sz val="11"/>
        <rFont val="ＭＳ Ｐゴシック"/>
        <family val="3"/>
        <charset val="128"/>
      </rPr>
      <t>特価</t>
    </r>
    <r>
      <rPr>
        <sz val="11"/>
        <rFont val="ＭＳ Ｐゴシック"/>
        <family val="3"/>
        <charset val="128"/>
      </rPr>
      <t>ペラ紙あり\88\98\108③</t>
    </r>
    <rPh sb="7" eb="8">
      <t>ガツ</t>
    </rPh>
    <rPh sb="9" eb="10">
      <t>カイ</t>
    </rPh>
    <rPh sb="10" eb="12">
      <t>トッカ</t>
    </rPh>
    <rPh sb="14" eb="15">
      <t>カミ</t>
    </rPh>
    <phoneticPr fontId="2"/>
  </si>
  <si>
    <t>グリーンコープ（サクラマチ）16号ペラ紙あり【限定】①</t>
    <rPh sb="16" eb="17">
      <t>ゴウ</t>
    </rPh>
    <rPh sb="23" eb="25">
      <t>ゲンテイ</t>
    </rPh>
    <phoneticPr fontId="2"/>
  </si>
  <si>
    <t>東北サンネット7月2回ペラ紙あり②</t>
    <rPh sb="0" eb="2">
      <t>トウホク</t>
    </rPh>
    <rPh sb="8" eb="9">
      <t>ガツ</t>
    </rPh>
    <rPh sb="10" eb="11">
      <t>カイ</t>
    </rPh>
    <phoneticPr fontId="2"/>
  </si>
  <si>
    <t>2025/6/27数伝</t>
    <rPh sb="9" eb="10">
      <t>スウ</t>
    </rPh>
    <rPh sb="10" eb="11">
      <t>デン</t>
    </rPh>
    <phoneticPr fontId="2"/>
  </si>
  <si>
    <t>2025/6/28数伝</t>
    <rPh sb="9" eb="10">
      <t>スウ</t>
    </rPh>
    <rPh sb="10" eb="11">
      <t>デン</t>
    </rPh>
    <phoneticPr fontId="2"/>
  </si>
  <si>
    <t>東北サンネット7月2回ペラ紙あり③</t>
    <rPh sb="0" eb="2">
      <t>トウホク</t>
    </rPh>
    <rPh sb="8" eb="9">
      <t>ガツ</t>
    </rPh>
    <rPh sb="10" eb="11">
      <t>カイ</t>
    </rPh>
    <phoneticPr fontId="2"/>
  </si>
  <si>
    <r>
      <t>コープきんき7月1回</t>
    </r>
    <r>
      <rPr>
        <b/>
        <sz val="11"/>
        <rFont val="ＭＳ Ｐゴシック"/>
        <family val="3"/>
        <charset val="128"/>
      </rPr>
      <t>特価</t>
    </r>
    <r>
      <rPr>
        <sz val="11"/>
        <rFont val="ＭＳ Ｐゴシック"/>
        <family val="3"/>
        <charset val="128"/>
      </rPr>
      <t>ペラ紙あり\88\98\108</t>
    </r>
    <rPh sb="7" eb="8">
      <t>ガツ</t>
    </rPh>
    <rPh sb="9" eb="10">
      <t>カイ</t>
    </rPh>
    <rPh sb="10" eb="12">
      <t>トッカ</t>
    </rPh>
    <rPh sb="14" eb="15">
      <t>カミ</t>
    </rPh>
    <phoneticPr fontId="2"/>
  </si>
  <si>
    <t>グリーンコープ（サクラマチ）16号ペラ紙あり【限定】②</t>
    <rPh sb="16" eb="17">
      <t>ゴウ</t>
    </rPh>
    <rPh sb="23" eb="25">
      <t>ゲンテイ</t>
    </rPh>
    <phoneticPr fontId="2"/>
  </si>
  <si>
    <r>
      <t>日生協キャロット6月17号</t>
    </r>
    <r>
      <rPr>
        <b/>
        <sz val="11"/>
        <rFont val="ＭＳ Ｐゴシック"/>
        <family val="3"/>
        <charset val="128"/>
      </rPr>
      <t>特価</t>
    </r>
    <r>
      <rPr>
        <sz val="11"/>
        <rFont val="ＭＳ Ｐゴシック"/>
        <family val="3"/>
        <charset val="128"/>
      </rPr>
      <t>ペラ紙あり\88\98\108東日本①</t>
    </r>
    <rPh sb="0" eb="3">
      <t>ニッセイキョウ</t>
    </rPh>
    <rPh sb="9" eb="10">
      <t>ガツ</t>
    </rPh>
    <rPh sb="12" eb="13">
      <t>ゴウ</t>
    </rPh>
    <rPh sb="13" eb="15">
      <t>トッカ</t>
    </rPh>
    <rPh sb="17" eb="18">
      <t>カミ</t>
    </rPh>
    <rPh sb="30" eb="33">
      <t>ヒガシニホン</t>
    </rPh>
    <phoneticPr fontId="2"/>
  </si>
  <si>
    <t>東北サンネット7月2回ペラ紙あり④</t>
    <rPh sb="0" eb="2">
      <t>トウホク</t>
    </rPh>
    <rPh sb="8" eb="9">
      <t>ガツ</t>
    </rPh>
    <rPh sb="10" eb="11">
      <t>カイ</t>
    </rPh>
    <phoneticPr fontId="2"/>
  </si>
  <si>
    <t>コープきんき選定会議用sample返却</t>
    <rPh sb="6" eb="10">
      <t>センテイカイギ</t>
    </rPh>
    <rPh sb="10" eb="11">
      <t>ヨウ</t>
    </rPh>
    <rPh sb="17" eb="19">
      <t>ヘンキャク</t>
    </rPh>
    <phoneticPr fontId="2"/>
  </si>
  <si>
    <t>グリーンコープ（サクラマチ）16号ペラ紙あり【限定】③</t>
    <rPh sb="16" eb="17">
      <t>ゴウ</t>
    </rPh>
    <rPh sb="23" eb="25">
      <t>ゲンテイ</t>
    </rPh>
    <phoneticPr fontId="2"/>
  </si>
  <si>
    <t>東北サンネット7月2回ペラ紙あり⑤</t>
    <rPh sb="0" eb="2">
      <t>トウホク</t>
    </rPh>
    <rPh sb="8" eb="9">
      <t>ガツ</t>
    </rPh>
    <rPh sb="10" eb="11">
      <t>カイ</t>
    </rPh>
    <phoneticPr fontId="2"/>
  </si>
  <si>
    <t>千趣会（2025WEB）⑫</t>
    <rPh sb="0" eb="3">
      <t>センシュカイ</t>
    </rPh>
    <phoneticPr fontId="2"/>
  </si>
  <si>
    <t>あいコープみやぎ7月3回ペラ紙あり①</t>
    <rPh sb="9" eb="10">
      <t>ガツ</t>
    </rPh>
    <rPh sb="11" eb="12">
      <t>カイ</t>
    </rPh>
    <phoneticPr fontId="2"/>
  </si>
  <si>
    <t>グリーンコープ（サクラマチ）④</t>
    <phoneticPr fontId="2"/>
  </si>
  <si>
    <r>
      <t>日生協キャロット6月17号</t>
    </r>
    <r>
      <rPr>
        <b/>
        <sz val="11"/>
        <rFont val="ＭＳ Ｐゴシック"/>
        <family val="3"/>
        <charset val="128"/>
      </rPr>
      <t>特価</t>
    </r>
    <r>
      <rPr>
        <sz val="11"/>
        <rFont val="ＭＳ Ｐゴシック"/>
        <family val="3"/>
        <charset val="128"/>
      </rPr>
      <t>ペラ紙あり\88\98\108東日本②</t>
    </r>
    <rPh sb="0" eb="3">
      <t>ニッセイキョウ</t>
    </rPh>
    <rPh sb="9" eb="10">
      <t>ガツ</t>
    </rPh>
    <rPh sb="12" eb="13">
      <t>ゴウ</t>
    </rPh>
    <rPh sb="13" eb="15">
      <t>トッカ</t>
    </rPh>
    <rPh sb="17" eb="18">
      <t>カミ</t>
    </rPh>
    <rPh sb="30" eb="33">
      <t>ヒガシニホン</t>
    </rPh>
    <phoneticPr fontId="2"/>
  </si>
  <si>
    <t>コープおきなわ7月3回ペラ紙あり①</t>
    <rPh sb="8" eb="9">
      <t>ガツ</t>
    </rPh>
    <rPh sb="10" eb="11">
      <t>カイ</t>
    </rPh>
    <phoneticPr fontId="2"/>
  </si>
  <si>
    <t>2025/7/7数伝</t>
    <rPh sb="8" eb="9">
      <t>スウ</t>
    </rPh>
    <rPh sb="9" eb="10">
      <t>デン</t>
    </rPh>
    <phoneticPr fontId="2"/>
  </si>
  <si>
    <r>
      <t>日生協キャロット6月17号</t>
    </r>
    <r>
      <rPr>
        <b/>
        <sz val="11"/>
        <rFont val="ＭＳ Ｐゴシック"/>
        <family val="3"/>
        <charset val="128"/>
      </rPr>
      <t>特価</t>
    </r>
    <r>
      <rPr>
        <sz val="11"/>
        <rFont val="ＭＳ Ｐゴシック"/>
        <family val="3"/>
        <charset val="128"/>
      </rPr>
      <t>ペラ紙あり\88\98\108東日本③</t>
    </r>
    <rPh sb="0" eb="3">
      <t>ニッセイキョウ</t>
    </rPh>
    <rPh sb="9" eb="10">
      <t>ガツ</t>
    </rPh>
    <rPh sb="12" eb="13">
      <t>ゴウ</t>
    </rPh>
    <rPh sb="13" eb="15">
      <t>トッカ</t>
    </rPh>
    <rPh sb="17" eb="18">
      <t>カミ</t>
    </rPh>
    <rPh sb="30" eb="33">
      <t>ヒガシニホン</t>
    </rPh>
    <phoneticPr fontId="2"/>
  </si>
  <si>
    <t>千趣会（2025WEB）⑬</t>
    <rPh sb="0" eb="3">
      <t>センシュカイ</t>
    </rPh>
    <phoneticPr fontId="2"/>
  </si>
  <si>
    <r>
      <t>日生協キャロット6月17号</t>
    </r>
    <r>
      <rPr>
        <b/>
        <sz val="11"/>
        <rFont val="ＭＳ Ｐゴシック"/>
        <family val="3"/>
        <charset val="128"/>
      </rPr>
      <t>特価</t>
    </r>
    <r>
      <rPr>
        <sz val="11"/>
        <rFont val="ＭＳ Ｐゴシック"/>
        <family val="3"/>
        <charset val="128"/>
      </rPr>
      <t>ペラ紙あり\88\98\108東日本④</t>
    </r>
    <rPh sb="0" eb="3">
      <t>ニッセイキョウ</t>
    </rPh>
    <rPh sb="9" eb="10">
      <t>ガツ</t>
    </rPh>
    <rPh sb="12" eb="13">
      <t>ゴウ</t>
    </rPh>
    <rPh sb="13" eb="15">
      <t>トッカ</t>
    </rPh>
    <rPh sb="17" eb="18">
      <t>カミ</t>
    </rPh>
    <rPh sb="30" eb="33">
      <t>ヒガシニホン</t>
    </rPh>
    <phoneticPr fontId="2"/>
  </si>
  <si>
    <t>日生協キャロット6月17号特価ペラ紙あり差分予測</t>
    <rPh sb="0" eb="3">
      <t>ニッセイキョウ</t>
    </rPh>
    <rPh sb="9" eb="10">
      <t>ガツ</t>
    </rPh>
    <rPh sb="12" eb="13">
      <t>ゴウ</t>
    </rPh>
    <rPh sb="17" eb="18">
      <t>カミ</t>
    </rPh>
    <rPh sb="20" eb="24">
      <t>サブンヨソク</t>
    </rPh>
    <phoneticPr fontId="2"/>
  </si>
  <si>
    <r>
      <t>日生協キャロット6月17号</t>
    </r>
    <r>
      <rPr>
        <b/>
        <sz val="11"/>
        <rFont val="ＭＳ Ｐゴシック"/>
        <family val="3"/>
        <charset val="128"/>
      </rPr>
      <t>特価</t>
    </r>
    <r>
      <rPr>
        <sz val="11"/>
        <rFont val="ＭＳ Ｐゴシック"/>
        <family val="3"/>
        <charset val="128"/>
      </rPr>
      <t>ペラ紙あり\88\98\108</t>
    </r>
    <rPh sb="0" eb="3">
      <t>ニッセイキョウ</t>
    </rPh>
    <rPh sb="9" eb="10">
      <t>ガツ</t>
    </rPh>
    <rPh sb="12" eb="13">
      <t>ゴウ</t>
    </rPh>
    <rPh sb="13" eb="15">
      <t>トッカ</t>
    </rPh>
    <rPh sb="17" eb="18">
      <t>カミ</t>
    </rPh>
    <phoneticPr fontId="2"/>
  </si>
  <si>
    <t>追加</t>
    <rPh sb="0" eb="2">
      <t>ツイカ</t>
    </rPh>
    <phoneticPr fontId="2"/>
  </si>
  <si>
    <t>あいコープみやぎ9月2回ペラ紙あり</t>
    <rPh sb="9" eb="10">
      <t>ガツ</t>
    </rPh>
    <rPh sb="11" eb="12">
      <t>カイ</t>
    </rPh>
    <phoneticPr fontId="2"/>
  </si>
  <si>
    <t>確定発注9/3</t>
    <rPh sb="0" eb="4">
      <t>カクテイハッチュウ</t>
    </rPh>
    <phoneticPr fontId="2"/>
  </si>
  <si>
    <r>
      <t>パルくらす7月5回</t>
    </r>
    <r>
      <rPr>
        <b/>
        <sz val="11"/>
        <rFont val="ＭＳ Ｐゴシック"/>
        <family val="3"/>
        <charset val="128"/>
      </rPr>
      <t xml:space="preserve">ペラ紙あり </t>
    </r>
    <r>
      <rPr>
        <sz val="11"/>
        <rFont val="ＭＳ Ｐゴシック"/>
        <family val="3"/>
        <charset val="128"/>
      </rPr>
      <t>\1080\1280\1380①</t>
    </r>
    <rPh sb="6" eb="7">
      <t>ガツ</t>
    </rPh>
    <rPh sb="8" eb="9">
      <t>カイ</t>
    </rPh>
    <phoneticPr fontId="2"/>
  </si>
  <si>
    <t>個装違い残</t>
    <rPh sb="0" eb="3">
      <t>コソウチガ</t>
    </rPh>
    <rPh sb="4" eb="5">
      <t>ザン</t>
    </rPh>
    <phoneticPr fontId="2"/>
  </si>
  <si>
    <r>
      <t>パルくらす7月5回</t>
    </r>
    <r>
      <rPr>
        <b/>
        <sz val="11"/>
        <rFont val="ＭＳ Ｐゴシック"/>
        <family val="3"/>
        <charset val="128"/>
      </rPr>
      <t xml:space="preserve">ペラ紙あり </t>
    </r>
    <r>
      <rPr>
        <sz val="11"/>
        <rFont val="ＭＳ Ｐゴシック"/>
        <family val="3"/>
        <charset val="128"/>
      </rPr>
      <t>\1080\1280\1380</t>
    </r>
    <rPh sb="6" eb="7">
      <t>ガツ</t>
    </rPh>
    <rPh sb="8" eb="9">
      <t>カイ</t>
    </rPh>
    <phoneticPr fontId="2"/>
  </si>
  <si>
    <t>夢販</t>
    <rPh sb="0" eb="2">
      <t>ユメハン</t>
    </rPh>
    <phoneticPr fontId="2"/>
  </si>
  <si>
    <r>
      <t>パルくらす7月5回</t>
    </r>
    <r>
      <rPr>
        <b/>
        <sz val="11"/>
        <rFont val="ＭＳ Ｐゴシック"/>
        <family val="3"/>
        <charset val="128"/>
      </rPr>
      <t xml:space="preserve">ペラ紙あり </t>
    </r>
    <r>
      <rPr>
        <sz val="11"/>
        <rFont val="ＭＳ Ｐゴシック"/>
        <family val="3"/>
        <charset val="128"/>
      </rPr>
      <t>\1080\1280\1380②</t>
    </r>
    <rPh sb="6" eb="7">
      <t>ガツ</t>
    </rPh>
    <rPh sb="8" eb="9">
      <t>カイ</t>
    </rPh>
    <phoneticPr fontId="2"/>
  </si>
  <si>
    <t>←ここまで式確認2025/7/29</t>
    <rPh sb="5" eb="8">
      <t>シキカクニン</t>
    </rPh>
    <phoneticPr fontId="2"/>
  </si>
  <si>
    <t>JOD53</t>
    <phoneticPr fontId="2"/>
  </si>
  <si>
    <t>JOD58</t>
    <phoneticPr fontId="2"/>
  </si>
  <si>
    <t>東北サンネット9月4回ペラ紙あり</t>
    <rPh sb="0" eb="2">
      <t>トウホク</t>
    </rPh>
    <rPh sb="8" eb="9">
      <t>ガツ</t>
    </rPh>
    <rPh sb="10" eb="11">
      <t>カイ</t>
    </rPh>
    <phoneticPr fontId="2"/>
  </si>
  <si>
    <t>9/10～24</t>
    <phoneticPr fontId="2"/>
  </si>
  <si>
    <t>追加</t>
    <rPh sb="0" eb="2">
      <t>ツイカ</t>
    </rPh>
    <phoneticPr fontId="2"/>
  </si>
  <si>
    <t>夢販</t>
    <rPh sb="0" eb="2">
      <t>ユメハン</t>
    </rPh>
    <phoneticPr fontId="2"/>
  </si>
  <si>
    <t>JOD返品</t>
    <rPh sb="3" eb="5">
      <t>ヘンピン</t>
    </rPh>
    <phoneticPr fontId="2"/>
  </si>
  <si>
    <t>JOD61</t>
    <phoneticPr fontId="2"/>
  </si>
  <si>
    <t>東北サンネット9月1回ペラ紙あり①</t>
    <rPh sb="0" eb="2">
      <t>トウホク</t>
    </rPh>
    <rPh sb="8" eb="9">
      <t>ガツ</t>
    </rPh>
    <rPh sb="10" eb="11">
      <t>カイ</t>
    </rPh>
    <phoneticPr fontId="2"/>
  </si>
  <si>
    <t>JOD64</t>
  </si>
  <si>
    <t>JOD66</t>
    <phoneticPr fontId="2"/>
  </si>
  <si>
    <t>JOD67</t>
  </si>
  <si>
    <t>東北サンネット9月1回ペラ紙あり②</t>
    <rPh sb="0" eb="2">
      <t>トウホク</t>
    </rPh>
    <rPh sb="8" eb="9">
      <t>ガツ</t>
    </rPh>
    <rPh sb="10" eb="11">
      <t>カイ</t>
    </rPh>
    <phoneticPr fontId="2"/>
  </si>
  <si>
    <t>東北サンネット9月1回ペラ紙あり③</t>
    <rPh sb="0" eb="2">
      <t>トウホク</t>
    </rPh>
    <rPh sb="8" eb="9">
      <t>ガツ</t>
    </rPh>
    <rPh sb="10" eb="11">
      <t>カイ</t>
    </rPh>
    <phoneticPr fontId="2"/>
  </si>
  <si>
    <t>JOD返品</t>
    <rPh sb="3" eb="5">
      <t>ヘンピン</t>
    </rPh>
    <phoneticPr fontId="2"/>
  </si>
  <si>
    <t>夢販</t>
    <rPh sb="0" eb="2">
      <t>ユメハン</t>
    </rPh>
    <phoneticPr fontId="2"/>
  </si>
  <si>
    <t>くらし返品</t>
  </si>
  <si>
    <t>東北サンネット9月1回ペラ紙あり④</t>
    <rPh sb="0" eb="2">
      <t>トウホク</t>
    </rPh>
    <rPh sb="8" eb="9">
      <t>ガツ</t>
    </rPh>
    <rPh sb="10" eb="11">
      <t>カイ</t>
    </rPh>
    <phoneticPr fontId="2"/>
  </si>
  <si>
    <t>追加</t>
    <rPh sb="0" eb="2">
      <t>ツイカ</t>
    </rPh>
    <phoneticPr fontId="2"/>
  </si>
  <si>
    <t>JOD71</t>
    <phoneticPr fontId="2"/>
  </si>
  <si>
    <t>JOD72</t>
    <phoneticPr fontId="2"/>
  </si>
  <si>
    <t>くらし企画返品</t>
    <rPh sb="3" eb="7">
      <t>キカクヘンピン</t>
    </rPh>
    <phoneticPr fontId="2"/>
  </si>
  <si>
    <t>JOD76</t>
    <phoneticPr fontId="2"/>
  </si>
  <si>
    <t>東北サンネット9月4回ペラ紙あり①</t>
    <rPh sb="0" eb="2">
      <t>トウホク</t>
    </rPh>
    <rPh sb="8" eb="9">
      <t>ガツ</t>
    </rPh>
    <rPh sb="10" eb="11">
      <t>カイ</t>
    </rPh>
    <phoneticPr fontId="2"/>
  </si>
  <si>
    <t>JOD78</t>
    <phoneticPr fontId="2"/>
  </si>
  <si>
    <t>東北サンネット9月4回ペラ紙あり②</t>
    <rPh sb="0" eb="2">
      <t>トウホク</t>
    </rPh>
    <rPh sb="8" eb="9">
      <t>ガツ</t>
    </rPh>
    <rPh sb="10" eb="11">
      <t>カイ</t>
    </rPh>
    <phoneticPr fontId="2"/>
  </si>
  <si>
    <t>東北サンネット9月4回ペラ紙あり③</t>
    <rPh sb="0" eb="2">
      <t>トウホク</t>
    </rPh>
    <rPh sb="8" eb="9">
      <t>ガツ</t>
    </rPh>
    <rPh sb="10" eb="11">
      <t>カイ</t>
    </rPh>
    <phoneticPr fontId="2"/>
  </si>
  <si>
    <t>JOD82</t>
    <phoneticPr fontId="2"/>
  </si>
  <si>
    <t>JOD83</t>
    <phoneticPr fontId="2"/>
  </si>
  <si>
    <t>くらし返品</t>
    <phoneticPr fontId="2"/>
  </si>
  <si>
    <t>JOD85</t>
    <phoneticPr fontId="2"/>
  </si>
  <si>
    <t>夢販</t>
    <rPh sb="0" eb="2">
      <t>ユメハン</t>
    </rPh>
    <phoneticPr fontId="2"/>
  </si>
  <si>
    <t>JOD87</t>
    <phoneticPr fontId="2"/>
  </si>
  <si>
    <t>JOD88</t>
  </si>
  <si>
    <t>JOD88(西濃）</t>
    <rPh sb="6" eb="8">
      <t>セイノウ</t>
    </rPh>
    <phoneticPr fontId="2"/>
  </si>
  <si>
    <t>JOD89</t>
    <phoneticPr fontId="2"/>
  </si>
  <si>
    <t>JOD90</t>
  </si>
  <si>
    <t>JOD91</t>
    <phoneticPr fontId="2"/>
  </si>
  <si>
    <t>KPORT</t>
    <phoneticPr fontId="2"/>
  </si>
  <si>
    <t>夢販移動</t>
    <rPh sb="0" eb="2">
      <t>ユメハン</t>
    </rPh>
    <rPh sb="2" eb="4">
      <t>イドウ</t>
    </rPh>
    <phoneticPr fontId="2"/>
  </si>
  <si>
    <t>JOD92</t>
  </si>
  <si>
    <t>JOD93</t>
  </si>
  <si>
    <t>JOD94</t>
  </si>
  <si>
    <t>JOD95</t>
    <phoneticPr fontId="2"/>
  </si>
  <si>
    <t>追加</t>
    <rPh sb="0" eb="2">
      <t>ツイカ</t>
    </rPh>
    <phoneticPr fontId="2"/>
  </si>
  <si>
    <t>JOD96</t>
    <phoneticPr fontId="2"/>
  </si>
  <si>
    <t>くらし企画返品</t>
    <phoneticPr fontId="2"/>
  </si>
  <si>
    <t>JOD97</t>
    <phoneticPr fontId="2"/>
  </si>
  <si>
    <t>JOD98</t>
    <phoneticPr fontId="2"/>
  </si>
  <si>
    <t>JOD99</t>
    <phoneticPr fontId="2"/>
  </si>
  <si>
    <t>２０２６年度～</t>
    <rPh sb="4" eb="5">
      <t>ネン</t>
    </rPh>
    <rPh sb="5" eb="6">
      <t>ド</t>
    </rPh>
    <phoneticPr fontId="2"/>
  </si>
  <si>
    <t>パルくらす　6-1</t>
    <phoneticPr fontId="2"/>
  </si>
  <si>
    <t>パルくらす　7-5</t>
  </si>
  <si>
    <t>合計</t>
    <rPh sb="0" eb="2">
      <t>ゴウケイ</t>
    </rPh>
    <phoneticPr fontId="2"/>
  </si>
  <si>
    <t>実績構成比</t>
    <rPh sb="0" eb="2">
      <t>ジッセキ</t>
    </rPh>
    <rPh sb="2" eb="5">
      <t>コウセイヒ</t>
    </rPh>
    <phoneticPr fontId="2"/>
  </si>
  <si>
    <t>在庫構成比</t>
    <rPh sb="0" eb="2">
      <t>ザイコ</t>
    </rPh>
    <rPh sb="2" eb="5">
      <t>コウセイヒ</t>
    </rPh>
    <phoneticPr fontId="2"/>
  </si>
  <si>
    <t>営業sample</t>
    <rPh sb="0" eb="2">
      <t>エイギョウ</t>
    </rPh>
    <phoneticPr fontId="2"/>
  </si>
  <si>
    <t>JOD100</t>
    <phoneticPr fontId="2"/>
  </si>
  <si>
    <t>東北サンネット4月2回（サクラマチ）ペラ紙あり</t>
    <rPh sb="0" eb="2">
      <t>トウホク</t>
    </rPh>
    <rPh sb="8" eb="9">
      <t>ガツ</t>
    </rPh>
    <rPh sb="10" eb="11">
      <t>カイ</t>
    </rPh>
    <rPh sb="20" eb="21">
      <t>カミ</t>
    </rPh>
    <phoneticPr fontId="2"/>
  </si>
  <si>
    <t>3/25～4/8</t>
    <phoneticPr fontId="2"/>
  </si>
  <si>
    <t>日生協キャロット5月13号差分予測</t>
    <rPh sb="0" eb="3">
      <t>ニッセイキョウ</t>
    </rPh>
    <rPh sb="9" eb="10">
      <t>ガツ</t>
    </rPh>
    <rPh sb="12" eb="13">
      <t>ゴウ</t>
    </rPh>
    <rPh sb="13" eb="17">
      <t>サブンヨソク</t>
    </rPh>
    <phoneticPr fontId="2"/>
  </si>
  <si>
    <t>点5/22、前取5/29、アバウト（デリパル）6/9、最終6/17</t>
    <rPh sb="0" eb="1">
      <t>テン</t>
    </rPh>
    <rPh sb="6" eb="7">
      <t>マエ</t>
    </rPh>
    <rPh sb="7" eb="8">
      <t>トリ</t>
    </rPh>
    <rPh sb="27" eb="29">
      <t>サイシュウ</t>
    </rPh>
    <phoneticPr fontId="2"/>
  </si>
  <si>
    <t>東北サンネット4月2回（サクラマチ）ペラ紙あり差分予測</t>
    <rPh sb="0" eb="2">
      <t>トウホク</t>
    </rPh>
    <rPh sb="8" eb="9">
      <t>ガツ</t>
    </rPh>
    <rPh sb="10" eb="11">
      <t>カイ</t>
    </rPh>
    <rPh sb="20" eb="21">
      <t>カミ</t>
    </rPh>
    <rPh sb="23" eb="27">
      <t>サブンヨソク</t>
    </rPh>
    <phoneticPr fontId="2"/>
  </si>
  <si>
    <t>JOD特別版0326</t>
    <rPh sb="3" eb="6">
      <t>トクベツバン</t>
    </rPh>
    <phoneticPr fontId="2"/>
  </si>
  <si>
    <t>3/25～</t>
    <phoneticPr fontId="2"/>
  </si>
  <si>
    <t>あいコープみやぎ4月3回</t>
    <rPh sb="9" eb="10">
      <t>ガツ</t>
    </rPh>
    <rPh sb="11" eb="12">
      <t>カイ</t>
    </rPh>
    <phoneticPr fontId="2"/>
  </si>
  <si>
    <t>あいコープみやぎ4月5回</t>
    <rPh sb="9" eb="10">
      <t>ガツ</t>
    </rPh>
    <rPh sb="11" eb="12">
      <t>カイ</t>
    </rPh>
    <phoneticPr fontId="2"/>
  </si>
  <si>
    <t>あいコープみやぎ差分予測</t>
    <rPh sb="8" eb="12">
      <t>サブンヨソク</t>
    </rPh>
    <phoneticPr fontId="2"/>
  </si>
  <si>
    <t>点4/3、アバウト4/21、本4/21～27</t>
    <rPh sb="0" eb="1">
      <t>テン</t>
    </rPh>
    <rPh sb="14" eb="15">
      <t>ホン</t>
    </rPh>
    <phoneticPr fontId="13"/>
  </si>
  <si>
    <t>コープきんき5月4回通常価 差分予測</t>
    <rPh sb="7" eb="8">
      <t>ガツ</t>
    </rPh>
    <rPh sb="9" eb="10">
      <t>カイ</t>
    </rPh>
    <rPh sb="10" eb="13">
      <t>ツウジョウカ</t>
    </rPh>
    <rPh sb="14" eb="16">
      <t>サブン</t>
    </rPh>
    <phoneticPr fontId="13"/>
  </si>
  <si>
    <t>コープきんき5月4回通常価 \1080 \1280</t>
    <rPh sb="7" eb="8">
      <t>ガツ</t>
    </rPh>
    <rPh sb="9" eb="10">
      <t>カイ</t>
    </rPh>
    <phoneticPr fontId="13"/>
  </si>
  <si>
    <t>コープきんき4月5回 通常価\1380円</t>
    <rPh sb="7" eb="8">
      <t>ガツ</t>
    </rPh>
    <rPh sb="9" eb="10">
      <t>カイ</t>
    </rPh>
    <phoneticPr fontId="13"/>
  </si>
  <si>
    <t>コープきんき4月5回 通常価\1380円差分予測</t>
    <rPh sb="7" eb="8">
      <t>ガツ</t>
    </rPh>
    <rPh sb="9" eb="10">
      <t>カイ</t>
    </rPh>
    <rPh sb="11" eb="14">
      <t>ツウジョウカ</t>
    </rPh>
    <rPh sb="19" eb="20">
      <t>エン</t>
    </rPh>
    <rPh sb="20" eb="22">
      <t>サブン</t>
    </rPh>
    <phoneticPr fontId="13"/>
  </si>
  <si>
    <t>→ここまで在庫確認済2/27</t>
    <rPh sb="0" eb="10">
      <t>ヤジルシココマデザイコカクニンスミ</t>
    </rPh>
    <phoneticPr fontId="2"/>
  </si>
  <si>
    <t>5/27～6/4</t>
    <phoneticPr fontId="2"/>
  </si>
  <si>
    <t>グリーンコープ11号差分予測</t>
    <rPh sb="9" eb="10">
      <t>ゴウ</t>
    </rPh>
    <rPh sb="10" eb="14">
      <t>サブンヨソク</t>
    </rPh>
    <phoneticPr fontId="2"/>
  </si>
  <si>
    <t>グリーンコープ11号ペラ紙あり</t>
    <rPh sb="9" eb="10">
      <t>ゴウ</t>
    </rPh>
    <phoneticPr fontId="2"/>
  </si>
  <si>
    <t>JOD特別号R9819</t>
    <rPh sb="3" eb="5">
      <t>トクベツ</t>
    </rPh>
    <rPh sb="5" eb="6">
      <t>ゴウ</t>
    </rPh>
    <phoneticPr fontId="2"/>
  </si>
  <si>
    <t>JOD特別号9561</t>
    <rPh sb="3" eb="5">
      <t>トクベツ</t>
    </rPh>
    <rPh sb="5" eb="6">
      <t>ゴウ</t>
    </rPh>
    <phoneticPr fontId="2"/>
  </si>
  <si>
    <t>4/21～</t>
    <phoneticPr fontId="2"/>
  </si>
  <si>
    <t>点5/1、アバウト5/19、本5/19～25</t>
    <rPh sb="0" eb="1">
      <t>テン</t>
    </rPh>
    <rPh sb="14" eb="15">
      <t>ホン</t>
    </rPh>
    <phoneticPr fontId="2"/>
  </si>
  <si>
    <t>東都生協５月０４回</t>
    <rPh sb="0" eb="2">
      <t>トウト</t>
    </rPh>
    <rPh sb="2" eb="4">
      <t>セイキョウ</t>
    </rPh>
    <rPh sb="5" eb="6">
      <t>ガツ</t>
    </rPh>
    <rPh sb="8" eb="9">
      <t>カイ</t>
    </rPh>
    <phoneticPr fontId="2"/>
  </si>
  <si>
    <t>5/15～27</t>
    <phoneticPr fontId="2"/>
  </si>
  <si>
    <t>東都生協５月０４回差分予測</t>
    <rPh sb="0" eb="2">
      <t>トウト</t>
    </rPh>
    <rPh sb="2" eb="4">
      <t>セイキョウ</t>
    </rPh>
    <rPh sb="5" eb="6">
      <t>ガツ</t>
    </rPh>
    <rPh sb="8" eb="9">
      <t>カイ</t>
    </rPh>
    <rPh sb="9" eb="13">
      <t>サブンヨソク</t>
    </rPh>
    <phoneticPr fontId="2"/>
  </si>
  <si>
    <t>JOD</t>
    <phoneticPr fontId="2"/>
  </si>
  <si>
    <t>あいコープみやぎ6月2回</t>
    <rPh sb="9" eb="10">
      <t>ガツ</t>
    </rPh>
    <rPh sb="11" eb="12">
      <t>カイ</t>
    </rPh>
    <phoneticPr fontId="2"/>
  </si>
  <si>
    <t>東北サンネット4月2回（サクラマチ）ペラ紙あり①</t>
    <rPh sb="0" eb="2">
      <t>トウホク</t>
    </rPh>
    <rPh sb="8" eb="9">
      <t>ガツ</t>
    </rPh>
    <rPh sb="10" eb="11">
      <t>カイ</t>
    </rPh>
    <rPh sb="20" eb="21">
      <t>カミ</t>
    </rPh>
    <phoneticPr fontId="2"/>
  </si>
  <si>
    <t>ゆめはん</t>
    <phoneticPr fontId="2"/>
  </si>
  <si>
    <t>東北サンネット4月2回（サクラマチ）ペラ紙あり②</t>
    <rPh sb="0" eb="2">
      <t>トウホク</t>
    </rPh>
    <rPh sb="8" eb="9">
      <t>ガツ</t>
    </rPh>
    <rPh sb="10" eb="11">
      <t>カイ</t>
    </rPh>
    <rPh sb="20" eb="21">
      <t>カミ</t>
    </rPh>
    <phoneticPr fontId="2"/>
  </si>
  <si>
    <t>6/15～</t>
    <phoneticPr fontId="2"/>
  </si>
  <si>
    <t>パルりすぺーる7月　￥１０８０　￥1280　￥1380</t>
    <rPh sb="8" eb="9">
      <t>ガツ</t>
    </rPh>
    <phoneticPr fontId="2"/>
  </si>
  <si>
    <t>JOD</t>
    <phoneticPr fontId="2"/>
  </si>
  <si>
    <t>東北サンネット4月2回（サクラマチ）ペラ紙あり③</t>
    <rPh sb="0" eb="2">
      <t>トウホク</t>
    </rPh>
    <rPh sb="8" eb="9">
      <t>ガツ</t>
    </rPh>
    <rPh sb="10" eb="11">
      <t>カイ</t>
    </rPh>
    <rPh sb="20" eb="21">
      <t>カミ</t>
    </rPh>
    <phoneticPr fontId="2"/>
  </si>
  <si>
    <t>東北サンネット4月2回（サクラマチ）ペラ紙あり④</t>
    <rPh sb="0" eb="2">
      <t>トウホク</t>
    </rPh>
    <rPh sb="8" eb="9">
      <t>ガツ</t>
    </rPh>
    <rPh sb="10" eb="11">
      <t>カイ</t>
    </rPh>
    <rPh sb="20" eb="21">
      <t>カミ</t>
    </rPh>
    <phoneticPr fontId="2"/>
  </si>
  <si>
    <t>サクラマチ直送</t>
    <rPh sb="5" eb="7">
      <t>チョクソウ</t>
    </rPh>
    <phoneticPr fontId="2"/>
  </si>
  <si>
    <t>コープきんき4月5回 通常価\1380円①</t>
    <rPh sb="7" eb="8">
      <t>ガツ</t>
    </rPh>
    <rPh sb="9" eb="10">
      <t>カイ</t>
    </rPh>
    <phoneticPr fontId="13"/>
  </si>
  <si>
    <t>あいコープみやぎ4月3回①</t>
    <rPh sb="9" eb="10">
      <t>ガツ</t>
    </rPh>
    <rPh sb="11" eb="12">
      <t>カイ</t>
    </rPh>
    <phoneticPr fontId="2"/>
  </si>
  <si>
    <t>サクラマチ直送</t>
    <rPh sb="5" eb="7">
      <t>チョクソウ</t>
    </rPh>
    <phoneticPr fontId="2"/>
  </si>
  <si>
    <t>パルりすぺーる7月5回　￥1080　￥1280　￥1380</t>
    <rPh sb="8" eb="9">
      <t>ガツ</t>
    </rPh>
    <rPh sb="10" eb="11">
      <t>カイ</t>
    </rPh>
    <phoneticPr fontId="2"/>
  </si>
  <si>
    <t>パルりすぺーる　7月5回　差分予測</t>
    <rPh sb="9" eb="10">
      <t>ガツ</t>
    </rPh>
    <rPh sb="11" eb="12">
      <t>カイ</t>
    </rPh>
    <rPh sb="13" eb="17">
      <t>サブンヨソク</t>
    </rPh>
    <phoneticPr fontId="2"/>
  </si>
  <si>
    <t>点7/9、初回、アバウト7/21、最終発注日7/27</t>
    <rPh sb="0" eb="1">
      <t>テン</t>
    </rPh>
    <rPh sb="5" eb="7">
      <t>ショカイ</t>
    </rPh>
    <rPh sb="17" eb="22">
      <t>サイシュウハッチュウビ</t>
    </rPh>
    <phoneticPr fontId="2"/>
  </si>
  <si>
    <t>夢販</t>
    <rPh sb="0" eb="2">
      <t>y</t>
    </rPh>
    <phoneticPr fontId="2"/>
  </si>
  <si>
    <t>JODセサリー7284</t>
    <phoneticPr fontId="2"/>
  </si>
  <si>
    <t>コープきんき7月1回通常価 差分予測</t>
    <rPh sb="7" eb="8">
      <t>ガツ</t>
    </rPh>
    <rPh sb="9" eb="10">
      <t>カイ</t>
    </rPh>
    <rPh sb="10" eb="13">
      <t>ツウジョウカ</t>
    </rPh>
    <rPh sb="14" eb="16">
      <t>サブン</t>
    </rPh>
    <phoneticPr fontId="13"/>
  </si>
  <si>
    <t>コープきんき7月1回特価\980\1080\1180</t>
    <rPh sb="7" eb="8">
      <t>ガツ</t>
    </rPh>
    <rPh sb="9" eb="10">
      <t>カイ</t>
    </rPh>
    <rPh sb="10" eb="12">
      <t>トッカ</t>
    </rPh>
    <phoneticPr fontId="13"/>
  </si>
  <si>
    <t>点6/5、アバウト6/23、本6/23～29</t>
    <rPh sb="0" eb="1">
      <t>テン</t>
    </rPh>
    <rPh sb="14" eb="15">
      <t>ホン</t>
    </rPh>
    <phoneticPr fontId="2"/>
  </si>
  <si>
    <t>あいコープみやぎ4月5回①</t>
    <rPh sb="9" eb="10">
      <t>ガツ</t>
    </rPh>
    <rPh sb="11" eb="12">
      <t>カイ</t>
    </rPh>
    <phoneticPr fontId="2"/>
  </si>
  <si>
    <t>コープきんき4月5回 通常価\1380円②</t>
    <rPh sb="7" eb="8">
      <t>ガツ</t>
    </rPh>
    <rPh sb="9" eb="10">
      <t>カイ</t>
    </rPh>
    <phoneticPr fontId="13"/>
  </si>
  <si>
    <t>JOD</t>
    <phoneticPr fontId="2"/>
  </si>
  <si>
    <t>日生協キャロット8月25号　特価￥差分予測</t>
    <rPh sb="0" eb="3">
      <t>ニッセイキョウ</t>
    </rPh>
    <rPh sb="9" eb="10">
      <t>ガツ</t>
    </rPh>
    <rPh sb="12" eb="13">
      <t>ゴウ</t>
    </rPh>
    <rPh sb="14" eb="16">
      <t>トッカ</t>
    </rPh>
    <rPh sb="17" eb="21">
      <t>サブンヨソク</t>
    </rPh>
    <phoneticPr fontId="2"/>
  </si>
  <si>
    <t>点8/14、前取8/21、アバウト8/25・9/1、最終9/9</t>
    <rPh sb="0" eb="1">
      <t>テン</t>
    </rPh>
    <rPh sb="6" eb="8">
      <t>マエトリ</t>
    </rPh>
    <rPh sb="26" eb="28">
      <t>サイシュウ</t>
    </rPh>
    <phoneticPr fontId="2"/>
  </si>
  <si>
    <r>
      <t>日生協キャロット8月25号　</t>
    </r>
    <r>
      <rPr>
        <b/>
        <sz val="11"/>
        <color rgb="FFFF0000"/>
        <rFont val="ＭＳ Ｐゴシック"/>
        <family val="3"/>
        <charset val="128"/>
      </rPr>
      <t>特価￥890・￥1080</t>
    </r>
    <rPh sb="0" eb="3">
      <t>ニッセイキョウ</t>
    </rPh>
    <rPh sb="9" eb="10">
      <t>ガツ</t>
    </rPh>
    <rPh sb="12" eb="13">
      <t>ゴウ</t>
    </rPh>
    <rPh sb="14" eb="16">
      <t>トッカ</t>
    </rPh>
    <phoneticPr fontId="2"/>
  </si>
  <si>
    <t>あいコープみやぎ7月3回</t>
    <rPh sb="9" eb="10">
      <t>ガツ</t>
    </rPh>
    <rPh sb="11" eb="12">
      <t>カイ</t>
    </rPh>
    <phoneticPr fontId="2"/>
  </si>
  <si>
    <t>あいコープみやぎ7月3回差分予測</t>
    <rPh sb="9" eb="10">
      <t>ガツ</t>
    </rPh>
    <rPh sb="11" eb="12">
      <t>カイ</t>
    </rPh>
    <rPh sb="12" eb="16">
      <t>サブンヨソク</t>
    </rPh>
    <phoneticPr fontId="2"/>
  </si>
  <si>
    <t>確定発注7/8</t>
    <rPh sb="0" eb="4">
      <t>カクテイハッチュウ</t>
    </rPh>
    <phoneticPr fontId="2"/>
  </si>
  <si>
    <t>確定発注6/3</t>
    <rPh sb="0" eb="4">
      <t>カクテイハッチュウ</t>
    </rPh>
    <phoneticPr fontId="2"/>
  </si>
  <si>
    <t>キャロット2025年17号実績￥890・￥980・￥1080</t>
    <rPh sb="9" eb="10">
      <t>ネン</t>
    </rPh>
    <rPh sb="12" eb="13">
      <t>ゴウ</t>
    </rPh>
    <rPh sb="13" eb="15">
      <t>ジッセキ</t>
    </rPh>
    <phoneticPr fontId="2"/>
  </si>
  <si>
    <r>
      <t>JOD特別版0508/</t>
    </r>
    <r>
      <rPr>
        <b/>
        <sz val="11"/>
        <rFont val="ＭＳ Ｐゴシック"/>
        <family val="3"/>
        <charset val="128"/>
      </rPr>
      <t>2枚組</t>
    </r>
    <rPh sb="3" eb="5">
      <t>トクベツ</t>
    </rPh>
    <rPh sb="5" eb="6">
      <t>バン</t>
    </rPh>
    <rPh sb="12" eb="14">
      <t>マイクミ</t>
    </rPh>
    <phoneticPr fontId="2"/>
  </si>
  <si>
    <t>6/3～</t>
    <phoneticPr fontId="2"/>
  </si>
  <si>
    <t>くらし直送</t>
    <rPh sb="3" eb="5">
      <t>チョクソウ</t>
    </rPh>
    <phoneticPr fontId="2"/>
  </si>
  <si>
    <t>JODアクセス7017/2枚組 差分予測</t>
    <rPh sb="13" eb="15">
      <t>マイクミ</t>
    </rPh>
    <rPh sb="16" eb="20">
      <t>サブンヨソク</t>
    </rPh>
    <phoneticPr fontId="2"/>
  </si>
  <si>
    <t>芳仲にて加工のため、資材支給のこと</t>
    <rPh sb="0" eb="2">
      <t>ヨシナカ</t>
    </rPh>
    <rPh sb="4" eb="6">
      <t>カコウ</t>
    </rPh>
    <rPh sb="10" eb="12">
      <t>シザイ</t>
    </rPh>
    <rPh sb="12" eb="14">
      <t>シキュウ</t>
    </rPh>
    <phoneticPr fontId="2"/>
  </si>
  <si>
    <t>6/9～</t>
    <phoneticPr fontId="2"/>
  </si>
  <si>
    <t>2026/5/2数伝</t>
    <rPh sb="8" eb="10">
      <t>スウデン</t>
    </rPh>
    <phoneticPr fontId="2"/>
  </si>
  <si>
    <t>コープきんき5月4回通常価 \1080 \1280①</t>
    <rPh sb="7" eb="8">
      <t>ガツ</t>
    </rPh>
    <rPh sb="9" eb="10">
      <t>カイ</t>
    </rPh>
    <phoneticPr fontId="13"/>
  </si>
  <si>
    <t>JOD2枚組</t>
    <rPh sb="4" eb="6">
      <t>マイグミ</t>
    </rPh>
    <phoneticPr fontId="2"/>
  </si>
  <si>
    <t>なごみsample</t>
    <phoneticPr fontId="2"/>
  </si>
  <si>
    <t>東都生協５月０４回①</t>
    <rPh sb="0" eb="2">
      <t>トウト</t>
    </rPh>
    <rPh sb="2" eb="4">
      <t>セイキョウ</t>
    </rPh>
    <rPh sb="5" eb="6">
      <t>ガツ</t>
    </rPh>
    <rPh sb="8" eb="9">
      <t>カイ</t>
    </rPh>
    <phoneticPr fontId="2"/>
  </si>
  <si>
    <t>追加 2-1</t>
    <rPh sb="0" eb="2">
      <t>ツイカ</t>
    </rPh>
    <phoneticPr fontId="2"/>
  </si>
  <si>
    <t>追加 2-2</t>
    <rPh sb="0" eb="2">
      <t>ツイカ</t>
    </rPh>
    <phoneticPr fontId="2"/>
  </si>
  <si>
    <t>ネット返品</t>
    <rPh sb="3" eb="5">
      <t>ヘンピン</t>
    </rPh>
    <phoneticPr fontId="2"/>
  </si>
  <si>
    <t>東都生協５月０４回②</t>
    <rPh sb="0" eb="2">
      <t>トウト</t>
    </rPh>
    <rPh sb="2" eb="4">
      <t>セイキョウ</t>
    </rPh>
    <rPh sb="5" eb="6">
      <t>ガツ</t>
    </rPh>
    <rPh sb="8" eb="9">
      <t>カイ</t>
    </rPh>
    <phoneticPr fontId="2"/>
  </si>
  <si>
    <t>ゆめはん</t>
    <phoneticPr fontId="2"/>
  </si>
  <si>
    <t>コープきんき5月4回通常価 \1080 \1280②</t>
    <rPh sb="7" eb="8">
      <t>ガツ</t>
    </rPh>
    <rPh sb="9" eb="10">
      <t>カイ</t>
    </rPh>
    <phoneticPr fontId="13"/>
  </si>
  <si>
    <t>ネット</t>
    <phoneticPr fontId="2"/>
  </si>
  <si>
    <t>東都生協５月０４回③</t>
    <rPh sb="0" eb="2">
      <t>トウト</t>
    </rPh>
    <rPh sb="2" eb="4">
      <t>セイキョウ</t>
    </rPh>
    <rPh sb="5" eb="6">
      <t>ガツ</t>
    </rPh>
    <rPh sb="8" eb="9">
      <t>カイ</t>
    </rPh>
    <phoneticPr fontId="2"/>
  </si>
  <si>
    <t>コープきんき5月4回通常価 \1080 \1280③</t>
    <rPh sb="7" eb="8">
      <t>ガツ</t>
    </rPh>
    <rPh sb="9" eb="10">
      <t>カイ</t>
    </rPh>
    <phoneticPr fontId="13"/>
  </si>
  <si>
    <t>東都生協５月０４回④</t>
    <rPh sb="0" eb="2">
      <t>トウト</t>
    </rPh>
    <rPh sb="2" eb="4">
      <t>セイキョウ</t>
    </rPh>
    <rPh sb="5" eb="6">
      <t>ガツ</t>
    </rPh>
    <rPh sb="8" eb="9">
      <t>カイ</t>
    </rPh>
    <phoneticPr fontId="2"/>
  </si>
  <si>
    <r>
      <t>JODメルシー0624/</t>
    </r>
    <r>
      <rPr>
        <b/>
        <sz val="11"/>
        <color rgb="FF7030A0"/>
        <rFont val="ＭＳ Ｐゴシック"/>
        <family val="3"/>
        <charset val="128"/>
      </rPr>
      <t>単品・2枚組</t>
    </r>
    <rPh sb="12" eb="14">
      <t>タンピン</t>
    </rPh>
    <rPh sb="16" eb="18">
      <t>マイクミ</t>
    </rPh>
    <phoneticPr fontId="2"/>
  </si>
  <si>
    <t>6/24～</t>
    <phoneticPr fontId="2"/>
  </si>
  <si>
    <r>
      <t>日生協キャロット5月13号　</t>
    </r>
    <r>
      <rPr>
        <b/>
        <sz val="11"/>
        <rFont val="ＭＳ Ｐゴシック"/>
        <family val="3"/>
        <charset val="128"/>
      </rPr>
      <t>特価￥890・￥980・￥1080</t>
    </r>
    <r>
      <rPr>
        <sz val="11"/>
        <rFont val="ＭＳ Ｐゴシック"/>
        <family val="3"/>
        <charset val="128"/>
      </rPr>
      <t>①</t>
    </r>
    <rPh sb="0" eb="3">
      <t>ニッセイキョウ</t>
    </rPh>
    <rPh sb="9" eb="10">
      <t>ガツ</t>
    </rPh>
    <rPh sb="12" eb="13">
      <t>ゴウ</t>
    </rPh>
    <rPh sb="14" eb="16">
      <t>トッカ</t>
    </rPh>
    <phoneticPr fontId="2"/>
  </si>
  <si>
    <t>グリーンコープ11号ペラ紙あり①</t>
    <rPh sb="9" eb="10">
      <t>ゴウ</t>
    </rPh>
    <phoneticPr fontId="2"/>
  </si>
  <si>
    <t>グリーンコープ11号ペラ紙あり②</t>
    <rPh sb="9" eb="10">
      <t>ゴウ</t>
    </rPh>
    <phoneticPr fontId="2"/>
  </si>
  <si>
    <t>グリーンコープ11号ペラ紙あり③</t>
    <rPh sb="9" eb="10">
      <t>ゴウ</t>
    </rPh>
    <phoneticPr fontId="2"/>
  </si>
  <si>
    <t>あいコープみやぎ6月2回①</t>
    <rPh sb="9" eb="10">
      <t>ガツ</t>
    </rPh>
    <rPh sb="11" eb="12">
      <t>カイ</t>
    </rPh>
    <phoneticPr fontId="2"/>
  </si>
  <si>
    <t>8/12～26</t>
    <phoneticPr fontId="2"/>
  </si>
  <si>
    <r>
      <t>JODメルシー0603/</t>
    </r>
    <r>
      <rPr>
        <b/>
        <sz val="11"/>
        <rFont val="ＭＳ Ｐゴシック"/>
        <family val="3"/>
        <charset val="128"/>
      </rPr>
      <t>単品・2枚組</t>
    </r>
    <rPh sb="12" eb="14">
      <t>タンピン</t>
    </rPh>
    <rPh sb="16" eb="18">
      <t>マイクミ</t>
    </rPh>
    <phoneticPr fontId="2"/>
  </si>
  <si>
    <t>ゆめはん</t>
    <phoneticPr fontId="2"/>
  </si>
  <si>
    <t>コープきんき7月1回特価\980\1080\1180①</t>
    <rPh sb="7" eb="8">
      <t>ガツ</t>
    </rPh>
    <rPh sb="9" eb="10">
      <t>カイ</t>
    </rPh>
    <rPh sb="10" eb="12">
      <t>トッカ</t>
    </rPh>
    <phoneticPr fontId="13"/>
  </si>
  <si>
    <t>8/5～19</t>
    <phoneticPr fontId="2"/>
  </si>
  <si>
    <t>JOD</t>
    <phoneticPr fontId="2"/>
  </si>
  <si>
    <r>
      <t>JOD特別号9567/</t>
    </r>
    <r>
      <rPr>
        <b/>
        <sz val="11"/>
        <rFont val="ＭＳ Ｐゴシック"/>
        <family val="3"/>
        <charset val="128"/>
      </rPr>
      <t>2枚組</t>
    </r>
    <rPh sb="3" eb="6">
      <t>トクベツゴウ</t>
    </rPh>
    <rPh sb="12" eb="14">
      <t>マイクミ</t>
    </rPh>
    <phoneticPr fontId="2"/>
  </si>
  <si>
    <t>日生協キャロット5月13号　特価￥890・￥980・￥1080②残</t>
    <rPh sb="0" eb="3">
      <t>ニッセイキョウ</t>
    </rPh>
    <rPh sb="9" eb="10">
      <t>ガツ</t>
    </rPh>
    <rPh sb="12" eb="13">
      <t>ゴウ</t>
    </rPh>
    <rPh sb="14" eb="16">
      <t>トッカ</t>
    </rPh>
    <rPh sb="32" eb="33">
      <t>ザン</t>
    </rPh>
    <phoneticPr fontId="2"/>
  </si>
  <si>
    <r>
      <t>日生協キャロット5月13号　</t>
    </r>
    <r>
      <rPr>
        <b/>
        <sz val="11"/>
        <rFont val="ＭＳ Ｐゴシック"/>
        <family val="3"/>
        <charset val="128"/>
      </rPr>
      <t>特価￥890・￥980・￥1080</t>
    </r>
    <rPh sb="0" eb="3">
      <t>ニッセイキョウ</t>
    </rPh>
    <rPh sb="9" eb="10">
      <t>ガツ</t>
    </rPh>
    <rPh sb="12" eb="13">
      <t>ゴウ</t>
    </rPh>
    <rPh sb="14" eb="16">
      <t>トッカ</t>
    </rPh>
    <phoneticPr fontId="2"/>
  </si>
  <si>
    <t>→ここまで在庫確認済2/27</t>
    <phoneticPr fontId="2"/>
  </si>
  <si>
    <t>追加 急ぎ分</t>
    <rPh sb="0" eb="2">
      <t>ツイカ</t>
    </rPh>
    <rPh sb="3" eb="4">
      <t>イソ</t>
    </rPh>
    <rPh sb="5" eb="6">
      <t>ブン</t>
    </rPh>
    <phoneticPr fontId="2"/>
  </si>
  <si>
    <t>6/26ship</t>
    <phoneticPr fontId="2"/>
  </si>
  <si>
    <t>東北サンネット8月4回差分予測</t>
    <rPh sb="0" eb="2">
      <t>トウホク</t>
    </rPh>
    <rPh sb="8" eb="9">
      <t>ガツ</t>
    </rPh>
    <rPh sb="10" eb="11">
      <t>カイ</t>
    </rPh>
    <rPh sb="11" eb="15">
      <t>サブンヨソク</t>
    </rPh>
    <phoneticPr fontId="2"/>
  </si>
  <si>
    <t>東北サンネット8月4回</t>
    <rPh sb="0" eb="2">
      <t>トウホク</t>
    </rPh>
    <rPh sb="8" eb="9">
      <t>ガツ</t>
    </rPh>
    <rPh sb="10" eb="11">
      <t>カイ</t>
    </rPh>
    <phoneticPr fontId="2"/>
  </si>
  <si>
    <r>
      <t>日生協キャロット5月13号　</t>
    </r>
    <r>
      <rPr>
        <b/>
        <sz val="11"/>
        <rFont val="ＭＳ Ｐゴシック"/>
        <family val="3"/>
        <charset val="128"/>
      </rPr>
      <t>特価￥890・￥980・￥1080②</t>
    </r>
    <rPh sb="0" eb="3">
      <t>ニッセイキョウ</t>
    </rPh>
    <rPh sb="9" eb="10">
      <t>ガツ</t>
    </rPh>
    <rPh sb="12" eb="13">
      <t>ゴウ</t>
    </rPh>
    <rPh sb="14" eb="16">
      <t>トッカ</t>
    </rPh>
    <phoneticPr fontId="2"/>
  </si>
  <si>
    <r>
      <t>6/19SHIP</t>
    </r>
    <r>
      <rPr>
        <b/>
        <sz val="11"/>
        <color rgb="FFFF0000"/>
        <rFont val="ＭＳ Ｐゴシック"/>
        <family val="3"/>
        <charset val="128"/>
      </rPr>
      <t xml:space="preserve"> 6/26</t>
    </r>
    <phoneticPr fontId="2"/>
  </si>
  <si>
    <r>
      <t>JOD特別版0724/</t>
    </r>
    <r>
      <rPr>
        <b/>
        <sz val="11"/>
        <color rgb="FF7030A0"/>
        <rFont val="ＭＳ Ｐゴシック"/>
        <family val="3"/>
        <charset val="128"/>
      </rPr>
      <t>単品・2枚組</t>
    </r>
    <rPh sb="3" eb="6">
      <t>トクベツバン</t>
    </rPh>
    <rPh sb="11" eb="13">
      <t>タンピン</t>
    </rPh>
    <rPh sb="15" eb="17">
      <t>マイクミ</t>
    </rPh>
    <phoneticPr fontId="2"/>
  </si>
  <si>
    <t>7/23～</t>
    <phoneticPr fontId="2"/>
  </si>
  <si>
    <t>東都生協8月3回特価　￥890・￥980￥1080差分予測</t>
    <rPh sb="0" eb="4">
      <t>トウトセイキョウ</t>
    </rPh>
    <rPh sb="5" eb="6">
      <t>ガツ</t>
    </rPh>
    <rPh sb="7" eb="8">
      <t>カイ</t>
    </rPh>
    <rPh sb="8" eb="10">
      <t>トッカ</t>
    </rPh>
    <rPh sb="25" eb="29">
      <t>サブンヨソク</t>
    </rPh>
    <phoneticPr fontId="2"/>
  </si>
  <si>
    <t>くらし倉庫在庫</t>
    <rPh sb="3" eb="5">
      <t>ソウコ</t>
    </rPh>
    <rPh sb="5" eb="7">
      <t>ザイコ</t>
    </rPh>
    <phoneticPr fontId="2"/>
  </si>
  <si>
    <t>東都生協8月3回特価　￥890・￥980￥1080【限定】</t>
    <rPh sb="0" eb="4">
      <t>トウトセイキョウ</t>
    </rPh>
    <rPh sb="5" eb="6">
      <t>ガツ</t>
    </rPh>
    <rPh sb="7" eb="8">
      <t>カイ</t>
    </rPh>
    <rPh sb="8" eb="10">
      <t>トッカ</t>
    </rPh>
    <rPh sb="26" eb="28">
      <t>ゲンテイ</t>
    </rPh>
    <phoneticPr fontId="2"/>
  </si>
  <si>
    <r>
      <t>JODアクセス7017/</t>
    </r>
    <r>
      <rPr>
        <b/>
        <sz val="11"/>
        <rFont val="ＭＳ Ｐゴシック"/>
        <family val="3"/>
        <charset val="128"/>
      </rPr>
      <t>2枚組</t>
    </r>
    <rPh sb="13" eb="15">
      <t>マイクミ</t>
    </rPh>
    <phoneticPr fontId="2"/>
  </si>
  <si>
    <t>8/2へ変更すること</t>
    <rPh sb="4" eb="6">
      <t>ヘンコウ</t>
    </rPh>
    <phoneticPr fontId="2"/>
  </si>
  <si>
    <r>
      <t>日生協キャロット5月13号　</t>
    </r>
    <r>
      <rPr>
        <b/>
        <sz val="11"/>
        <rFont val="ＭＳ Ｐゴシック"/>
        <family val="3"/>
        <charset val="128"/>
      </rPr>
      <t>特価￥890・￥980・￥1080③</t>
    </r>
    <rPh sb="0" eb="3">
      <t>ニッセイキョウ</t>
    </rPh>
    <rPh sb="9" eb="10">
      <t>ガツ</t>
    </rPh>
    <rPh sb="12" eb="13">
      <t>ゴウ</t>
    </rPh>
    <rPh sb="14" eb="16">
      <t>トッカ</t>
    </rPh>
    <phoneticPr fontId="2"/>
  </si>
  <si>
    <r>
      <t>2026/6/19→</t>
    </r>
    <r>
      <rPr>
        <b/>
        <sz val="11"/>
        <rFont val="ＭＳ Ｐゴシック"/>
        <family val="3"/>
        <charset val="128"/>
      </rPr>
      <t>6/17</t>
    </r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</si>
</sst>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¥&quot;#,##0;[Red]&quot;¥&quot;\-#,##0"/>
    <numFmt numFmtId="176" formatCode="0.0"/>
  </numFmts>
  <fonts count="15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b/>
      <sz val="12"/>
      <name val="ＭＳ Ｐゴシック"/>
      <family val="3"/>
      <charset val="128"/>
    </font>
    <font>
      <b/>
      <sz val="16"/>
      <name val="ＭＳ Ｐゴシック"/>
      <family val="3"/>
      <charset val="128"/>
    </font>
    <font>
      <b/>
      <sz val="11"/>
      <color rgb="FFFF0000"/>
      <name val="ＭＳ Ｐゴシック"/>
      <family val="3"/>
      <charset val="128"/>
    </font>
    <font>
      <b/>
      <sz val="11"/>
      <color rgb="FF00B0F0"/>
      <name val="ＭＳ Ｐゴシック"/>
      <family val="3"/>
      <charset val="128"/>
    </font>
    <font>
      <b/>
      <sz val="11"/>
      <color rgb="FF0070C0"/>
      <name val="ＭＳ Ｐゴシック"/>
      <family val="3"/>
      <charset val="128"/>
    </font>
    <font>
      <b/>
      <sz val="26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sz val="26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b/>
      <sz val="11"/>
      <color rgb="FF7030A0"/>
      <name val="ＭＳ Ｐ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43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213">
    <xf numFmtId="0" fontId="0" fillId="0" borderId="0" xfId="0"/>
    <xf numFmtId="0" fontId="0" fillId="0" borderId="0" xfId="0" applyAlignment="1">
      <alignment horizontal="center"/>
    </xf>
    <xf numFmtId="0" fontId="3" fillId="0" borderId="1" xfId="0" applyFont="1" applyBorder="1"/>
    <xf numFmtId="0" fontId="3" fillId="0" borderId="2" xfId="0" applyFont="1" applyBorder="1" applyAlignment="1">
      <alignment horizontal="center"/>
    </xf>
    <xf numFmtId="0" fontId="0" fillId="0" borderId="3" xfId="0" applyBorder="1"/>
    <xf numFmtId="0" fontId="0" fillId="0" borderId="3" xfId="0" applyBorder="1" applyAlignment="1">
      <alignment horizontal="center"/>
    </xf>
    <xf numFmtId="0" fontId="0" fillId="0" borderId="5" xfId="0" applyBorder="1"/>
    <xf numFmtId="56" fontId="0" fillId="0" borderId="7" xfId="0" applyNumberFormat="1" applyBorder="1" applyAlignment="1">
      <alignment horizontal="center"/>
    </xf>
    <xf numFmtId="0" fontId="0" fillId="0" borderId="8" xfId="0" applyBorder="1"/>
    <xf numFmtId="0" fontId="0" fillId="0" borderId="7" xfId="0" applyBorder="1"/>
    <xf numFmtId="0" fontId="1" fillId="0" borderId="8" xfId="0" applyFont="1" applyBorder="1"/>
    <xf numFmtId="0" fontId="0" fillId="0" borderId="9" xfId="0" applyBorder="1"/>
    <xf numFmtId="56" fontId="0" fillId="0" borderId="9" xfId="0" applyNumberFormat="1" applyBorder="1" applyAlignment="1">
      <alignment horizontal="center"/>
    </xf>
    <xf numFmtId="0" fontId="0" fillId="0" borderId="2" xfId="0" applyBorder="1"/>
    <xf numFmtId="0" fontId="0" fillId="0" borderId="10" xfId="0" applyBorder="1"/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/>
    <xf numFmtId="0" fontId="0" fillId="0" borderId="15" xfId="0" applyBorder="1" applyAlignment="1">
      <alignment horizontal="center"/>
    </xf>
    <xf numFmtId="0" fontId="0" fillId="2" borderId="0" xfId="0" applyFill="1"/>
    <xf numFmtId="0" fontId="4" fillId="2" borderId="0" xfId="0" applyFont="1" applyFill="1"/>
    <xf numFmtId="0" fontId="5" fillId="2" borderId="0" xfId="0" applyFont="1" applyFill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1" fillId="0" borderId="18" xfId="0" applyFont="1" applyBorder="1"/>
    <xf numFmtId="0" fontId="0" fillId="0" borderId="20" xfId="0" applyBorder="1" applyAlignment="1">
      <alignment horizontal="center"/>
    </xf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16" xfId="0" applyBorder="1"/>
    <xf numFmtId="0" fontId="1" fillId="0" borderId="22" xfId="0" applyFont="1" applyBorder="1"/>
    <xf numFmtId="0" fontId="3" fillId="0" borderId="25" xfId="0" applyFont="1" applyBorder="1"/>
    <xf numFmtId="0" fontId="0" fillId="0" borderId="26" xfId="0" applyBorder="1"/>
    <xf numFmtId="0" fontId="0" fillId="0" borderId="27" xfId="0" applyBorder="1"/>
    <xf numFmtId="0" fontId="1" fillId="0" borderId="26" xfId="0" applyFont="1" applyBorder="1"/>
    <xf numFmtId="0" fontId="0" fillId="3" borderId="11" xfId="0" applyFill="1" applyBorder="1" applyAlignment="1">
      <alignment horizontal="center"/>
    </xf>
    <xf numFmtId="0" fontId="0" fillId="3" borderId="9" xfId="0" applyFill="1" applyBorder="1"/>
    <xf numFmtId="0" fontId="0" fillId="3" borderId="7" xfId="0" applyFill="1" applyBorder="1"/>
    <xf numFmtId="0" fontId="0" fillId="3" borderId="10" xfId="0" applyFill="1" applyBorder="1"/>
    <xf numFmtId="0" fontId="0" fillId="3" borderId="2" xfId="0" applyFill="1" applyBorder="1"/>
    <xf numFmtId="0" fontId="0" fillId="3" borderId="8" xfId="0" applyFill="1" applyBorder="1"/>
    <xf numFmtId="0" fontId="0" fillId="3" borderId="3" xfId="0" applyFill="1" applyBorder="1"/>
    <xf numFmtId="0" fontId="3" fillId="3" borderId="1" xfId="0" applyFont="1" applyFill="1" applyBorder="1"/>
    <xf numFmtId="0" fontId="0" fillId="0" borderId="13" xfId="0" applyBorder="1" applyAlignment="1">
      <alignment horizontal="center"/>
    </xf>
    <xf numFmtId="0" fontId="5" fillId="4" borderId="0" xfId="0" applyFont="1" applyFill="1"/>
    <xf numFmtId="0" fontId="0" fillId="4" borderId="0" xfId="0" applyFill="1"/>
    <xf numFmtId="0" fontId="4" fillId="4" borderId="0" xfId="0" applyFont="1" applyFill="1"/>
    <xf numFmtId="0" fontId="0" fillId="0" borderId="16" xfId="0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0" borderId="0" xfId="0" applyAlignment="1">
      <alignment horizontal="left"/>
    </xf>
    <xf numFmtId="56" fontId="0" fillId="0" borderId="0" xfId="0" applyNumberFormat="1" applyAlignment="1">
      <alignment horizontal="left"/>
    </xf>
    <xf numFmtId="56" fontId="1" fillId="0" borderId="0" xfId="0" applyNumberFormat="1" applyFont="1" applyAlignment="1">
      <alignment horizontal="left"/>
    </xf>
    <xf numFmtId="0" fontId="0" fillId="0" borderId="28" xfId="0" applyBorder="1" applyAlignment="1">
      <alignment horizontal="center"/>
    </xf>
    <xf numFmtId="0" fontId="0" fillId="3" borderId="18" xfId="0" applyFill="1" applyBorder="1"/>
    <xf numFmtId="0" fontId="0" fillId="0" borderId="24" xfId="0" applyBorder="1"/>
    <xf numFmtId="0" fontId="0" fillId="3" borderId="5" xfId="0" applyFill="1" applyBorder="1"/>
    <xf numFmtId="0" fontId="3" fillId="0" borderId="3" xfId="0" applyFont="1" applyBorder="1" applyAlignment="1">
      <alignment horizontal="center"/>
    </xf>
    <xf numFmtId="0" fontId="3" fillId="0" borderId="16" xfId="0" applyFont="1" applyBorder="1"/>
    <xf numFmtId="0" fontId="3" fillId="0" borderId="13" xfId="0" applyFont="1" applyBorder="1"/>
    <xf numFmtId="0" fontId="0" fillId="0" borderId="30" xfId="0" applyBorder="1"/>
    <xf numFmtId="0" fontId="0" fillId="0" borderId="2" xfId="0" applyBorder="1" applyAlignment="1">
      <alignment horizontal="center"/>
    </xf>
    <xf numFmtId="0" fontId="0" fillId="3" borderId="28" xfId="0" applyFill="1" applyBorder="1"/>
    <xf numFmtId="0" fontId="0" fillId="0" borderId="28" xfId="0" applyBorder="1"/>
    <xf numFmtId="56" fontId="3" fillId="0" borderId="9" xfId="0" applyNumberFormat="1" applyFont="1" applyBorder="1" applyAlignment="1">
      <alignment horizontal="center"/>
    </xf>
    <xf numFmtId="0" fontId="3" fillId="0" borderId="21" xfId="0" applyFont="1" applyBorder="1"/>
    <xf numFmtId="0" fontId="3" fillId="0" borderId="17" xfId="0" applyFont="1" applyBorder="1"/>
    <xf numFmtId="0" fontId="3" fillId="3" borderId="9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left"/>
    </xf>
    <xf numFmtId="0" fontId="3" fillId="0" borderId="29" xfId="0" applyFont="1" applyBorder="1"/>
    <xf numFmtId="0" fontId="0" fillId="0" borderId="25" xfId="0" applyBorder="1"/>
    <xf numFmtId="0" fontId="0" fillId="0" borderId="1" xfId="0" applyBorder="1"/>
    <xf numFmtId="0" fontId="0" fillId="0" borderId="10" xfId="0" applyBorder="1" applyAlignment="1">
      <alignment horizontal="center"/>
    </xf>
    <xf numFmtId="0" fontId="0" fillId="0" borderId="31" xfId="0" applyBorder="1"/>
    <xf numFmtId="0" fontId="0" fillId="0" borderId="32" xfId="0" applyBorder="1"/>
    <xf numFmtId="0" fontId="0" fillId="0" borderId="33" xfId="0" applyBorder="1"/>
    <xf numFmtId="56" fontId="0" fillId="0" borderId="28" xfId="0" applyNumberFormat="1" applyBorder="1" applyAlignment="1">
      <alignment horizontal="center"/>
    </xf>
    <xf numFmtId="0" fontId="3" fillId="0" borderId="34" xfId="0" applyFont="1" applyBorder="1"/>
    <xf numFmtId="0" fontId="0" fillId="0" borderId="35" xfId="0" applyBorder="1"/>
    <xf numFmtId="0" fontId="0" fillId="0" borderId="36" xfId="0" applyBorder="1"/>
    <xf numFmtId="0" fontId="0" fillId="0" borderId="37" xfId="0" applyBorder="1"/>
    <xf numFmtId="0" fontId="5" fillId="0" borderId="0" xfId="0" applyFont="1"/>
    <xf numFmtId="176" fontId="3" fillId="0" borderId="0" xfId="0" applyNumberFormat="1" applyFont="1"/>
    <xf numFmtId="0" fontId="6" fillId="0" borderId="0" xfId="0" applyFont="1"/>
    <xf numFmtId="176" fontId="6" fillId="0" borderId="0" xfId="0" applyNumberFormat="1" applyFont="1"/>
    <xf numFmtId="176" fontId="0" fillId="3" borderId="0" xfId="0" applyNumberFormat="1" applyFill="1"/>
    <xf numFmtId="0" fontId="3" fillId="0" borderId="0" xfId="0" applyFont="1"/>
    <xf numFmtId="176" fontId="7" fillId="0" borderId="0" xfId="0" applyNumberFormat="1" applyFont="1"/>
    <xf numFmtId="176" fontId="8" fillId="0" borderId="0" xfId="0" applyNumberFormat="1" applyFont="1"/>
    <xf numFmtId="0" fontId="0" fillId="5" borderId="0" xfId="0" applyFill="1"/>
    <xf numFmtId="0" fontId="0" fillId="5" borderId="0" xfId="0" applyFill="1" applyAlignment="1">
      <alignment horizontal="center"/>
    </xf>
    <xf numFmtId="0" fontId="0" fillId="3" borderId="3" xfId="0" applyFill="1" applyBorder="1" applyAlignment="1">
      <alignment horizontal="center"/>
    </xf>
    <xf numFmtId="0" fontId="9" fillId="5" borderId="0" xfId="0" applyFont="1" applyFill="1"/>
    <xf numFmtId="0" fontId="9" fillId="0" borderId="0" xfId="0" applyFont="1"/>
    <xf numFmtId="0" fontId="0" fillId="3" borderId="0" xfId="0" applyFill="1"/>
    <xf numFmtId="1" fontId="3" fillId="0" borderId="0" xfId="0" applyNumberFormat="1" applyFont="1"/>
    <xf numFmtId="0" fontId="0" fillId="0" borderId="0" xfId="0" applyAlignment="1">
      <alignment horizontal="right"/>
    </xf>
    <xf numFmtId="0" fontId="6" fillId="0" borderId="0" xfId="0" applyFont="1" applyAlignment="1">
      <alignment horizontal="right"/>
    </xf>
    <xf numFmtId="0" fontId="10" fillId="0" borderId="0" xfId="0" applyFont="1" applyAlignment="1">
      <alignment horizontal="left"/>
    </xf>
    <xf numFmtId="0" fontId="0" fillId="6" borderId="26" xfId="0" applyFill="1" applyBorder="1"/>
    <xf numFmtId="0" fontId="0" fillId="6" borderId="8" xfId="0" applyFill="1" applyBorder="1"/>
    <xf numFmtId="0" fontId="0" fillId="6" borderId="22" xfId="0" applyFill="1" applyBorder="1"/>
    <xf numFmtId="0" fontId="0" fillId="6" borderId="18" xfId="0" applyFill="1" applyBorder="1"/>
    <xf numFmtId="0" fontId="10" fillId="0" borderId="7" xfId="0" applyFont="1" applyBorder="1" applyAlignment="1">
      <alignment horizontal="center"/>
    </xf>
    <xf numFmtId="0" fontId="10" fillId="0" borderId="30" xfId="0" applyFont="1" applyBorder="1"/>
    <xf numFmtId="0" fontId="10" fillId="0" borderId="35" xfId="0" applyFont="1" applyBorder="1"/>
    <xf numFmtId="0" fontId="10" fillId="3" borderId="7" xfId="0" applyFont="1" applyFill="1" applyBorder="1"/>
    <xf numFmtId="0" fontId="10" fillId="0" borderId="33" xfId="0" applyFont="1" applyBorder="1"/>
    <xf numFmtId="0" fontId="10" fillId="0" borderId="36" xfId="0" applyFont="1" applyBorder="1"/>
    <xf numFmtId="0" fontId="10" fillId="0" borderId="18" xfId="0" applyFont="1" applyBorder="1"/>
    <xf numFmtId="0" fontId="0" fillId="0" borderId="14" xfId="0" applyBorder="1" applyAlignment="1">
      <alignment horizontal="center"/>
    </xf>
    <xf numFmtId="0" fontId="0" fillId="0" borderId="4" xfId="0" applyBorder="1" applyAlignment="1">
      <alignment horizontal="center"/>
    </xf>
    <xf numFmtId="56" fontId="10" fillId="0" borderId="7" xfId="0" applyNumberFormat="1" applyFont="1" applyBorder="1" applyAlignment="1">
      <alignment horizontal="center"/>
    </xf>
    <xf numFmtId="0" fontId="10" fillId="0" borderId="22" xfId="0" applyFont="1" applyBorder="1"/>
    <xf numFmtId="0" fontId="10" fillId="3" borderId="8" xfId="0" applyFont="1" applyFill="1" applyBorder="1"/>
    <xf numFmtId="0" fontId="10" fillId="0" borderId="26" xfId="0" applyFont="1" applyBorder="1"/>
    <xf numFmtId="0" fontId="10" fillId="0" borderId="8" xfId="0" applyFont="1" applyBorder="1"/>
    <xf numFmtId="56" fontId="0" fillId="0" borderId="0" xfId="0" applyNumberFormat="1" applyAlignment="1">
      <alignment horizontal="center"/>
    </xf>
    <xf numFmtId="0" fontId="3" fillId="3" borderId="3" xfId="0" applyFont="1" applyFill="1" applyBorder="1"/>
    <xf numFmtId="0" fontId="3" fillId="0" borderId="3" xfId="0" applyFont="1" applyBorder="1"/>
    <xf numFmtId="6" fontId="6" fillId="0" borderId="4" xfId="0" applyNumberFormat="1" applyFont="1" applyBorder="1" applyAlignment="1">
      <alignment horizontal="center"/>
    </xf>
    <xf numFmtId="56" fontId="3" fillId="0" borderId="3" xfId="0" applyNumberFormat="1" applyFont="1" applyBorder="1" applyAlignment="1">
      <alignment horizontal="center"/>
    </xf>
    <xf numFmtId="56" fontId="3" fillId="0" borderId="7" xfId="0" applyNumberFormat="1" applyFont="1" applyBorder="1" applyAlignment="1">
      <alignment horizontal="center"/>
    </xf>
    <xf numFmtId="0" fontId="3" fillId="0" borderId="18" xfId="0" applyFont="1" applyBorder="1"/>
    <xf numFmtId="56" fontId="6" fillId="0" borderId="7" xfId="0" applyNumberFormat="1" applyFont="1" applyBorder="1" applyAlignment="1">
      <alignment horizontal="center"/>
    </xf>
    <xf numFmtId="56" fontId="3" fillId="0" borderId="38" xfId="0" applyNumberFormat="1" applyFont="1" applyBorder="1" applyAlignment="1">
      <alignment horizontal="center"/>
    </xf>
    <xf numFmtId="0" fontId="6" fillId="0" borderId="0" xfId="0" applyFont="1" applyAlignment="1">
      <alignment horizontal="left"/>
    </xf>
    <xf numFmtId="0" fontId="3" fillId="0" borderId="28" xfId="0" applyFont="1" applyBorder="1" applyAlignment="1">
      <alignment horizontal="center"/>
    </xf>
    <xf numFmtId="0" fontId="3" fillId="0" borderId="30" xfId="0" applyFont="1" applyBorder="1"/>
    <xf numFmtId="0" fontId="3" fillId="0" borderId="35" xfId="0" applyFont="1" applyBorder="1"/>
    <xf numFmtId="0" fontId="3" fillId="3" borderId="7" xfId="0" applyFont="1" applyFill="1" applyBorder="1"/>
    <xf numFmtId="0" fontId="3" fillId="0" borderId="33" xfId="0" applyFont="1" applyBorder="1"/>
    <xf numFmtId="0" fontId="3" fillId="0" borderId="36" xfId="0" applyFont="1" applyBorder="1"/>
    <xf numFmtId="56" fontId="3" fillId="0" borderId="0" xfId="0" applyNumberFormat="1" applyFont="1" applyAlignment="1">
      <alignment horizontal="center"/>
    </xf>
    <xf numFmtId="56" fontId="0" fillId="0" borderId="10" xfId="0" applyNumberFormat="1" applyBorder="1" applyAlignment="1">
      <alignment horizontal="center"/>
    </xf>
    <xf numFmtId="0" fontId="0" fillId="3" borderId="32" xfId="0" applyFill="1" applyBorder="1"/>
    <xf numFmtId="1" fontId="6" fillId="0" borderId="0" xfId="0" applyNumberFormat="1" applyFont="1"/>
    <xf numFmtId="0" fontId="10" fillId="7" borderId="26" xfId="0" applyFont="1" applyFill="1" applyBorder="1"/>
    <xf numFmtId="0" fontId="10" fillId="7" borderId="8" xfId="0" applyFont="1" applyFill="1" applyBorder="1"/>
    <xf numFmtId="0" fontId="0" fillId="7" borderId="26" xfId="0" applyFill="1" applyBorder="1"/>
    <xf numFmtId="0" fontId="0" fillId="7" borderId="8" xfId="0" applyFill="1" applyBorder="1"/>
    <xf numFmtId="56" fontId="3" fillId="0" borderId="6" xfId="0" applyNumberFormat="1" applyFont="1" applyBorder="1" applyAlignment="1">
      <alignment horizontal="center"/>
    </xf>
    <xf numFmtId="56" fontId="6" fillId="0" borderId="0" xfId="0" applyNumberFormat="1" applyFont="1" applyAlignment="1">
      <alignment horizontal="center"/>
    </xf>
    <xf numFmtId="0" fontId="11" fillId="0" borderId="28" xfId="0" applyFont="1" applyBorder="1" applyAlignment="1">
      <alignment horizontal="center"/>
    </xf>
    <xf numFmtId="0" fontId="11" fillId="0" borderId="22" xfId="0" applyFont="1" applyBorder="1"/>
    <xf numFmtId="0" fontId="11" fillId="0" borderId="18" xfId="0" applyFont="1" applyBorder="1"/>
    <xf numFmtId="0" fontId="11" fillId="3" borderId="7" xfId="0" applyFont="1" applyFill="1" applyBorder="1"/>
    <xf numFmtId="0" fontId="11" fillId="0" borderId="26" xfId="0" applyFont="1" applyBorder="1"/>
    <xf numFmtId="0" fontId="11" fillId="0" borderId="8" xfId="0" applyFont="1" applyBorder="1"/>
    <xf numFmtId="0" fontId="11" fillId="0" borderId="7" xfId="0" applyFont="1" applyBorder="1"/>
    <xf numFmtId="56" fontId="11" fillId="0" borderId="0" xfId="0" applyNumberFormat="1" applyFont="1" applyAlignment="1">
      <alignment horizontal="left"/>
    </xf>
    <xf numFmtId="56" fontId="3" fillId="0" borderId="0" xfId="0" applyNumberFormat="1" applyFont="1" applyAlignment="1">
      <alignment horizontal="left"/>
    </xf>
    <xf numFmtId="56" fontId="11" fillId="0" borderId="7" xfId="0" applyNumberFormat="1" applyFont="1" applyBorder="1" applyAlignment="1">
      <alignment horizontal="center"/>
    </xf>
    <xf numFmtId="0" fontId="11" fillId="3" borderId="8" xfId="0" applyFont="1" applyFill="1" applyBorder="1"/>
    <xf numFmtId="0" fontId="11" fillId="0" borderId="0" xfId="0" applyFont="1" applyAlignment="1">
      <alignment horizontal="left"/>
    </xf>
    <xf numFmtId="0" fontId="0" fillId="0" borderId="39" xfId="0" applyBorder="1"/>
    <xf numFmtId="0" fontId="0" fillId="0" borderId="39" xfId="0" applyBorder="1" applyAlignment="1">
      <alignment horizontal="center"/>
    </xf>
    <xf numFmtId="0" fontId="10" fillId="0" borderId="0" xfId="0" applyFont="1"/>
    <xf numFmtId="0" fontId="3" fillId="3" borderId="13" xfId="0" applyFont="1" applyFill="1" applyBorder="1"/>
    <xf numFmtId="176" fontId="0" fillId="0" borderId="0" xfId="0" applyNumberFormat="1"/>
    <xf numFmtId="56" fontId="6" fillId="0" borderId="38" xfId="0" applyNumberFormat="1" applyFont="1" applyBorder="1" applyAlignment="1">
      <alignment horizontal="center"/>
    </xf>
    <xf numFmtId="0" fontId="0" fillId="0" borderId="40" xfId="0" applyBorder="1"/>
    <xf numFmtId="0" fontId="0" fillId="0" borderId="40" xfId="0" applyBorder="1" applyAlignment="1">
      <alignment horizontal="right"/>
    </xf>
    <xf numFmtId="0" fontId="3" fillId="3" borderId="8" xfId="0" applyFont="1" applyFill="1" applyBorder="1"/>
    <xf numFmtId="0" fontId="3" fillId="0" borderId="8" xfId="0" applyFont="1" applyBorder="1"/>
    <xf numFmtId="0" fontId="3" fillId="0" borderId="22" xfId="0" applyFont="1" applyBorder="1"/>
    <xf numFmtId="0" fontId="3" fillId="0" borderId="26" xfId="0" applyFont="1" applyBorder="1"/>
    <xf numFmtId="0" fontId="6" fillId="0" borderId="22" xfId="0" applyFont="1" applyBorder="1"/>
    <xf numFmtId="0" fontId="6" fillId="0" borderId="18" xfId="0" applyFont="1" applyBorder="1"/>
    <xf numFmtId="0" fontId="6" fillId="3" borderId="8" xfId="0" applyFont="1" applyFill="1" applyBorder="1"/>
    <xf numFmtId="0" fontId="6" fillId="0" borderId="26" xfId="0" applyFont="1" applyBorder="1"/>
    <xf numFmtId="0" fontId="6" fillId="0" borderId="8" xfId="0" applyFont="1" applyBorder="1"/>
    <xf numFmtId="0" fontId="3" fillId="0" borderId="28" xfId="1" applyFont="1" applyBorder="1" applyAlignment="1">
      <alignment horizontal="center" vertical="center"/>
    </xf>
    <xf numFmtId="0" fontId="6" fillId="0" borderId="28" xfId="1" applyFont="1" applyBorder="1" applyAlignment="1">
      <alignment horizontal="center" vertical="center"/>
    </xf>
    <xf numFmtId="0" fontId="6" fillId="6" borderId="8" xfId="0" applyFont="1" applyFill="1" applyBorder="1"/>
    <xf numFmtId="0" fontId="6" fillId="6" borderId="26" xfId="0" applyFont="1" applyFill="1" applyBorder="1"/>
    <xf numFmtId="0" fontId="3" fillId="6" borderId="8" xfId="0" applyFont="1" applyFill="1" applyBorder="1"/>
    <xf numFmtId="0" fontId="3" fillId="6" borderId="26" xfId="0" applyFont="1" applyFill="1" applyBorder="1"/>
    <xf numFmtId="0" fontId="0" fillId="0" borderId="28" xfId="1" applyFont="1" applyBorder="1" applyAlignment="1">
      <alignment horizontal="center" vertical="center"/>
    </xf>
    <xf numFmtId="0" fontId="11" fillId="0" borderId="31" xfId="0" applyFont="1" applyBorder="1"/>
    <xf numFmtId="0" fontId="11" fillId="0" borderId="37" xfId="0" applyFont="1" applyBorder="1"/>
    <xf numFmtId="0" fontId="11" fillId="3" borderId="10" xfId="0" applyFont="1" applyFill="1" applyBorder="1"/>
    <xf numFmtId="0" fontId="11" fillId="0" borderId="32" xfId="0" applyFont="1" applyBorder="1"/>
    <xf numFmtId="0" fontId="10" fillId="0" borderId="28" xfId="1" applyFont="1" applyBorder="1" applyAlignment="1">
      <alignment horizontal="center" vertical="center"/>
    </xf>
    <xf numFmtId="0" fontId="10" fillId="6" borderId="22" xfId="0" applyFont="1" applyFill="1" applyBorder="1"/>
    <xf numFmtId="0" fontId="10" fillId="6" borderId="18" xfId="0" applyFont="1" applyFill="1" applyBorder="1"/>
    <xf numFmtId="0" fontId="10" fillId="6" borderId="8" xfId="0" applyFont="1" applyFill="1" applyBorder="1"/>
    <xf numFmtId="0" fontId="10" fillId="6" borderId="26" xfId="0" applyFont="1" applyFill="1" applyBorder="1"/>
    <xf numFmtId="0" fontId="1" fillId="0" borderId="0" xfId="0" applyFont="1" applyAlignment="1">
      <alignment horizontal="left"/>
    </xf>
    <xf numFmtId="0" fontId="1" fillId="0" borderId="28" xfId="1" applyBorder="1" applyAlignment="1">
      <alignment horizontal="center" vertical="center"/>
    </xf>
    <xf numFmtId="0" fontId="1" fillId="6" borderId="22" xfId="0" applyFont="1" applyFill="1" applyBorder="1"/>
    <xf numFmtId="0" fontId="1" fillId="6" borderId="18" xfId="0" applyFont="1" applyFill="1" applyBorder="1"/>
    <xf numFmtId="0" fontId="1" fillId="6" borderId="8" xfId="0" applyFont="1" applyFill="1" applyBorder="1"/>
    <xf numFmtId="0" fontId="1" fillId="6" borderId="26" xfId="0" applyFont="1" applyFill="1" applyBorder="1"/>
    <xf numFmtId="0" fontId="1" fillId="3" borderId="8" xfId="0" applyFont="1" applyFill="1" applyBorder="1"/>
    <xf numFmtId="0" fontId="1" fillId="0" borderId="0" xfId="0" applyFont="1" applyAlignment="1">
      <alignment horizontal="left" vertical="center"/>
    </xf>
    <xf numFmtId="56" fontId="0" fillId="0" borderId="6" xfId="0" applyNumberForma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24" xfId="0" applyFont="1" applyBorder="1"/>
    <xf numFmtId="0" fontId="3" fillId="0" borderId="37" xfId="0" applyFont="1" applyBorder="1"/>
    <xf numFmtId="0" fontId="3" fillId="3" borderId="10" xfId="0" applyFont="1" applyFill="1" applyBorder="1"/>
    <xf numFmtId="0" fontId="3" fillId="0" borderId="31" xfId="0" applyFont="1" applyBorder="1"/>
    <xf numFmtId="0" fontId="3" fillId="0" borderId="32" xfId="0" applyFont="1" applyBorder="1"/>
    <xf numFmtId="0" fontId="0" fillId="0" borderId="41" xfId="0" applyBorder="1"/>
    <xf numFmtId="0" fontId="0" fillId="0" borderId="42" xfId="0" applyBorder="1"/>
    <xf numFmtId="0" fontId="0" fillId="0" borderId="14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3" xfId="0" applyBorder="1" applyAlignment="1">
      <alignment horizontal="center"/>
    </xf>
    <xf numFmtId="0" fontId="9" fillId="5" borderId="0" xfId="0" applyFont="1" applyFill="1" applyAlignment="1">
      <alignment horizontal="center"/>
    </xf>
    <xf numFmtId="0" fontId="12" fillId="5" borderId="0" xfId="0" applyFont="1" applyFill="1" applyAlignment="1">
      <alignment horizontal="center"/>
    </xf>
  </cellXfs>
  <cellStyles count="2">
    <cellStyle name="標準" xfId="0" builtinId="0"/>
    <cellStyle name="標準 2" xfId="1" xr:uid="{1CE5E400-DA31-4BCC-886C-9C91A6E4BC41}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309"/>
  <sheetViews>
    <sheetView tabSelected="1" topLeftCell="A1196" zoomScaleNormal="100" workbookViewId="0">
      <selection activeCell="B1215" sqref="B1215"/>
    </sheetView>
  </sheetViews>
  <sheetFormatPr defaultRowHeight="13.5" x14ac:dyDescent="0.15"/>
  <cols>
    <col min="1" max="1" width="3.875" customWidth="1"/>
    <col min="2" max="2" width="29.375" style="1" customWidth="1"/>
    <col min="3" max="12" width="7" customWidth="1"/>
    <col min="13" max="13" width="13.75" style="52" customWidth="1"/>
    <col min="14" max="14" width="52.75" customWidth="1"/>
    <col min="15" max="24" width="7.125" customWidth="1"/>
    <col min="25" max="25" width="15.125" style="52" customWidth="1"/>
  </cols>
  <sheetData>
    <row r="1" spans="2:25" ht="18.75" x14ac:dyDescent="0.2">
      <c r="B1" s="23" t="s">
        <v>24</v>
      </c>
      <c r="C1" s="21"/>
      <c r="D1" s="21"/>
      <c r="E1" s="21"/>
      <c r="F1" s="21"/>
      <c r="G1" s="21"/>
      <c r="H1" s="21"/>
      <c r="I1" s="21"/>
      <c r="J1" s="21"/>
      <c r="K1" s="21"/>
      <c r="L1" s="21"/>
      <c r="N1" s="47" t="s">
        <v>25</v>
      </c>
      <c r="O1" s="48"/>
      <c r="P1" s="48"/>
      <c r="Q1" s="48"/>
      <c r="R1" s="48"/>
      <c r="S1" s="48"/>
      <c r="T1" s="48"/>
      <c r="U1" s="48"/>
      <c r="V1" s="48"/>
      <c r="W1" s="48"/>
      <c r="X1" s="48"/>
    </row>
    <row r="2" spans="2:25" ht="14.25" x14ac:dyDescent="0.15">
      <c r="B2" s="22" t="s">
        <v>10</v>
      </c>
      <c r="C2" s="21"/>
      <c r="D2" s="21"/>
      <c r="E2" s="21"/>
      <c r="F2" s="21"/>
      <c r="G2" s="21"/>
      <c r="H2" s="21"/>
      <c r="I2" s="21"/>
      <c r="J2" s="21"/>
      <c r="K2" s="21"/>
      <c r="L2" s="21"/>
      <c r="N2" s="49" t="s">
        <v>10</v>
      </c>
      <c r="O2" s="48"/>
      <c r="P2" s="48"/>
      <c r="Q2" s="48"/>
      <c r="R2" s="48"/>
      <c r="S2" s="48"/>
      <c r="T2" s="48"/>
      <c r="U2" s="48"/>
      <c r="V2" s="48"/>
      <c r="W2" s="48"/>
      <c r="X2" s="48"/>
    </row>
    <row r="3" spans="2:25" ht="14.25" thickBot="1" x14ac:dyDescent="0.2">
      <c r="N3" s="1"/>
    </row>
    <row r="4" spans="2:25" ht="14.25" thickBot="1" x14ac:dyDescent="0.2">
      <c r="B4" s="20"/>
      <c r="C4" s="208" t="s">
        <v>9</v>
      </c>
      <c r="D4" s="209"/>
      <c r="E4" s="210"/>
      <c r="F4" s="208" t="s">
        <v>8</v>
      </c>
      <c r="G4" s="209"/>
      <c r="H4" s="210"/>
      <c r="I4" s="208" t="s">
        <v>7</v>
      </c>
      <c r="J4" s="209"/>
      <c r="K4" s="210"/>
      <c r="L4" s="19"/>
      <c r="N4" s="20"/>
      <c r="O4" s="208" t="s">
        <v>9</v>
      </c>
      <c r="P4" s="209"/>
      <c r="Q4" s="210"/>
      <c r="R4" s="208" t="s">
        <v>8</v>
      </c>
      <c r="S4" s="209"/>
      <c r="T4" s="210"/>
      <c r="U4" s="208" t="s">
        <v>7</v>
      </c>
      <c r="V4" s="209"/>
      <c r="W4" s="210"/>
      <c r="X4" s="19"/>
    </row>
    <row r="5" spans="2:25" s="1" customFormat="1" ht="14.25" thickBot="1" x14ac:dyDescent="0.2">
      <c r="B5" s="18"/>
      <c r="C5" s="28" t="s">
        <v>6</v>
      </c>
      <c r="D5" s="17" t="s">
        <v>5</v>
      </c>
      <c r="E5" s="38" t="s">
        <v>4</v>
      </c>
      <c r="F5" s="28" t="s">
        <v>6</v>
      </c>
      <c r="G5" s="17" t="s">
        <v>5</v>
      </c>
      <c r="H5" s="38" t="s">
        <v>4</v>
      </c>
      <c r="I5" s="28" t="s">
        <v>6</v>
      </c>
      <c r="J5" s="17" t="s">
        <v>5</v>
      </c>
      <c r="K5" s="38" t="s">
        <v>4</v>
      </c>
      <c r="L5" s="17" t="s">
        <v>4</v>
      </c>
      <c r="M5" s="52"/>
      <c r="N5" s="5"/>
      <c r="O5" s="50" t="s">
        <v>6</v>
      </c>
      <c r="P5" s="46" t="s">
        <v>5</v>
      </c>
      <c r="Q5" s="51" t="s">
        <v>4</v>
      </c>
      <c r="R5" s="50" t="s">
        <v>6</v>
      </c>
      <c r="S5" s="46" t="s">
        <v>5</v>
      </c>
      <c r="T5" s="51" t="s">
        <v>4</v>
      </c>
      <c r="U5" s="50" t="s">
        <v>6</v>
      </c>
      <c r="V5" s="46" t="s">
        <v>5</v>
      </c>
      <c r="W5" s="51" t="s">
        <v>4</v>
      </c>
      <c r="X5" s="46" t="s">
        <v>4</v>
      </c>
      <c r="Y5" s="52"/>
    </row>
    <row r="6" spans="2:25" ht="14.25" customHeight="1" x14ac:dyDescent="0.15">
      <c r="B6" s="12" t="s">
        <v>17</v>
      </c>
      <c r="C6" s="29">
        <v>3</v>
      </c>
      <c r="D6" s="24">
        <v>3</v>
      </c>
      <c r="E6" s="39">
        <f t="shared" ref="E6:E39" si="0">SUM(C6:D6)</f>
        <v>6</v>
      </c>
      <c r="F6" s="29">
        <v>5</v>
      </c>
      <c r="G6" s="24">
        <v>5</v>
      </c>
      <c r="H6" s="39">
        <f t="shared" ref="H6:H39" si="1">SUM(F6:G6)</f>
        <v>10</v>
      </c>
      <c r="I6" s="29">
        <v>5</v>
      </c>
      <c r="J6" s="24">
        <v>5</v>
      </c>
      <c r="K6" s="39">
        <f t="shared" ref="K6:K39" si="2">SUM(I6:J6)</f>
        <v>10</v>
      </c>
      <c r="L6" s="11">
        <f t="shared" ref="L6:L39" si="3">SUM(K6,H6,E6)</f>
        <v>26</v>
      </c>
      <c r="M6" s="53" t="s">
        <v>16</v>
      </c>
      <c r="N6" s="55" t="s">
        <v>17</v>
      </c>
      <c r="O6" s="30">
        <v>30</v>
      </c>
      <c r="P6" s="25">
        <v>40</v>
      </c>
      <c r="Q6" s="40">
        <f t="shared" ref="Q6" si="4">SUM(O6:P6)</f>
        <v>70</v>
      </c>
      <c r="R6" s="35">
        <v>40</v>
      </c>
      <c r="S6" s="8">
        <v>50</v>
      </c>
      <c r="T6" s="40">
        <f t="shared" ref="T6" si="5">SUM(R6:S6)</f>
        <v>90</v>
      </c>
      <c r="U6" s="35">
        <v>40</v>
      </c>
      <c r="V6" s="8">
        <v>50</v>
      </c>
      <c r="W6" s="40">
        <f t="shared" ref="W6" si="6">SUM(U6:V6)</f>
        <v>90</v>
      </c>
      <c r="X6" s="9">
        <f t="shared" ref="X6" si="7">SUM(W6,T6,Q6)</f>
        <v>250</v>
      </c>
      <c r="Y6" s="53" t="s">
        <v>26</v>
      </c>
    </row>
    <row r="7" spans="2:25" x14ac:dyDescent="0.15">
      <c r="B7" s="16" t="s">
        <v>3</v>
      </c>
      <c r="C7" s="30">
        <v>5</v>
      </c>
      <c r="D7" s="25">
        <v>3</v>
      </c>
      <c r="E7" s="40">
        <f t="shared" si="0"/>
        <v>8</v>
      </c>
      <c r="F7" s="35"/>
      <c r="G7" s="8">
        <v>3</v>
      </c>
      <c r="H7" s="40">
        <f t="shared" si="1"/>
        <v>3</v>
      </c>
      <c r="I7" s="35">
        <v>3</v>
      </c>
      <c r="J7" s="8">
        <v>3</v>
      </c>
      <c r="K7" s="40">
        <f t="shared" si="2"/>
        <v>6</v>
      </c>
      <c r="L7" s="9">
        <f t="shared" si="3"/>
        <v>17</v>
      </c>
      <c r="M7" s="53" t="s">
        <v>18</v>
      </c>
      <c r="N7" s="16" t="s">
        <v>3</v>
      </c>
      <c r="O7" s="30"/>
      <c r="P7" s="25"/>
      <c r="Q7" s="40">
        <f t="shared" ref="Q7:Q9" si="8">SUM(O7:P7)</f>
        <v>0</v>
      </c>
      <c r="R7" s="35"/>
      <c r="S7" s="8"/>
      <c r="T7" s="40">
        <f t="shared" ref="T7:T9" si="9">SUM(R7:S7)</f>
        <v>0</v>
      </c>
      <c r="U7" s="35"/>
      <c r="V7" s="8"/>
      <c r="W7" s="40">
        <f t="shared" ref="W7:W9" si="10">SUM(U7:V7)</f>
        <v>0</v>
      </c>
      <c r="X7" s="9">
        <f t="shared" ref="X7:X9" si="11">SUM(W7,T7,Q7)</f>
        <v>0</v>
      </c>
      <c r="Y7" s="53"/>
    </row>
    <row r="8" spans="2:25" x14ac:dyDescent="0.15">
      <c r="B8" s="16" t="s">
        <v>3</v>
      </c>
      <c r="C8" s="30"/>
      <c r="D8" s="25"/>
      <c r="E8" s="40">
        <f t="shared" si="0"/>
        <v>0</v>
      </c>
      <c r="F8" s="35">
        <v>5</v>
      </c>
      <c r="G8" s="8">
        <v>2</v>
      </c>
      <c r="H8" s="40">
        <f t="shared" si="1"/>
        <v>7</v>
      </c>
      <c r="I8" s="35">
        <v>2</v>
      </c>
      <c r="J8" s="8">
        <v>2</v>
      </c>
      <c r="K8" s="40">
        <f t="shared" si="2"/>
        <v>4</v>
      </c>
      <c r="L8" s="9">
        <f t="shared" si="3"/>
        <v>11</v>
      </c>
      <c r="M8" s="53" t="s">
        <v>21</v>
      </c>
      <c r="N8" s="16" t="s">
        <v>3</v>
      </c>
      <c r="O8" s="30"/>
      <c r="P8" s="25"/>
      <c r="Q8" s="40">
        <f t="shared" si="8"/>
        <v>0</v>
      </c>
      <c r="R8" s="35"/>
      <c r="S8" s="8"/>
      <c r="T8" s="40">
        <f t="shared" si="9"/>
        <v>0</v>
      </c>
      <c r="U8" s="35"/>
      <c r="V8" s="8"/>
      <c r="W8" s="40">
        <f t="shared" si="10"/>
        <v>0</v>
      </c>
      <c r="X8" s="9">
        <f t="shared" si="11"/>
        <v>0</v>
      </c>
      <c r="Y8" s="53"/>
    </row>
    <row r="9" spans="2:25" x14ac:dyDescent="0.15">
      <c r="B9" s="16" t="s">
        <v>3</v>
      </c>
      <c r="C9" s="30"/>
      <c r="D9" s="25"/>
      <c r="E9" s="40">
        <f t="shared" si="0"/>
        <v>0</v>
      </c>
      <c r="F9" s="35">
        <v>10</v>
      </c>
      <c r="G9" s="8">
        <v>10</v>
      </c>
      <c r="H9" s="40">
        <f t="shared" si="1"/>
        <v>20</v>
      </c>
      <c r="I9" s="35">
        <v>10</v>
      </c>
      <c r="J9" s="8">
        <v>10</v>
      </c>
      <c r="K9" s="40">
        <f t="shared" si="2"/>
        <v>20</v>
      </c>
      <c r="L9" s="9">
        <f t="shared" si="3"/>
        <v>40</v>
      </c>
      <c r="M9" s="53">
        <v>45086</v>
      </c>
      <c r="N9" s="16" t="s">
        <v>3</v>
      </c>
      <c r="O9" s="30">
        <v>20</v>
      </c>
      <c r="P9" s="25">
        <v>30</v>
      </c>
      <c r="Q9" s="40">
        <f t="shared" si="8"/>
        <v>50</v>
      </c>
      <c r="R9" s="35">
        <v>30</v>
      </c>
      <c r="S9" s="8">
        <v>40</v>
      </c>
      <c r="T9" s="40">
        <f t="shared" si="9"/>
        <v>70</v>
      </c>
      <c r="U9" s="35">
        <v>30</v>
      </c>
      <c r="V9" s="8">
        <v>40</v>
      </c>
      <c r="W9" s="40">
        <f t="shared" si="10"/>
        <v>70</v>
      </c>
      <c r="X9" s="9">
        <f t="shared" si="11"/>
        <v>190</v>
      </c>
      <c r="Y9" s="53" t="s">
        <v>37</v>
      </c>
    </row>
    <row r="10" spans="2:25" x14ac:dyDescent="0.15">
      <c r="B10" s="16" t="s">
        <v>3</v>
      </c>
      <c r="C10" s="30"/>
      <c r="D10" s="25"/>
      <c r="E10" s="40">
        <f t="shared" si="0"/>
        <v>0</v>
      </c>
      <c r="F10" s="35"/>
      <c r="G10" s="8"/>
      <c r="H10" s="40">
        <f t="shared" si="1"/>
        <v>0</v>
      </c>
      <c r="I10" s="35"/>
      <c r="J10" s="8"/>
      <c r="K10" s="40">
        <f t="shared" si="2"/>
        <v>0</v>
      </c>
      <c r="L10" s="9">
        <f t="shared" si="3"/>
        <v>0</v>
      </c>
      <c r="M10" s="53"/>
      <c r="N10" s="16" t="s">
        <v>3</v>
      </c>
      <c r="O10" s="30"/>
      <c r="P10" s="25"/>
      <c r="Q10" s="40">
        <f t="shared" ref="Q10:Q36" si="12">SUM(O10:P10)</f>
        <v>0</v>
      </c>
      <c r="R10" s="35"/>
      <c r="S10" s="8"/>
      <c r="T10" s="40">
        <f t="shared" ref="T10:T36" si="13">SUM(R10:S10)</f>
        <v>0</v>
      </c>
      <c r="U10" s="35"/>
      <c r="V10" s="8"/>
      <c r="W10" s="40">
        <f t="shared" ref="W10:W36" si="14">SUM(U10:V10)</f>
        <v>0</v>
      </c>
      <c r="X10" s="9">
        <f t="shared" ref="X10:X37" si="15">SUM(W10,T10,Q10)</f>
        <v>0</v>
      </c>
      <c r="Y10" s="53"/>
    </row>
    <row r="11" spans="2:25" ht="14.25" thickBot="1" x14ac:dyDescent="0.2">
      <c r="B11" s="15" t="s">
        <v>3</v>
      </c>
      <c r="C11" s="31"/>
      <c r="D11" s="26"/>
      <c r="E11" s="41">
        <f t="shared" si="0"/>
        <v>0</v>
      </c>
      <c r="F11" s="36"/>
      <c r="G11" s="6"/>
      <c r="H11" s="41">
        <f t="shared" si="1"/>
        <v>0</v>
      </c>
      <c r="I11" s="36"/>
      <c r="J11" s="6"/>
      <c r="K11" s="41">
        <f t="shared" si="2"/>
        <v>0</v>
      </c>
      <c r="L11" s="14">
        <f t="shared" si="3"/>
        <v>0</v>
      </c>
      <c r="M11" s="53"/>
      <c r="N11" s="15" t="s">
        <v>3</v>
      </c>
      <c r="O11" s="31"/>
      <c r="P11" s="26"/>
      <c r="Q11" s="41">
        <f t="shared" si="12"/>
        <v>0</v>
      </c>
      <c r="R11" s="36"/>
      <c r="S11" s="6"/>
      <c r="T11" s="41">
        <f t="shared" si="13"/>
        <v>0</v>
      </c>
      <c r="U11" s="36"/>
      <c r="V11" s="6"/>
      <c r="W11" s="41">
        <f t="shared" si="14"/>
        <v>0</v>
      </c>
      <c r="X11" s="14">
        <f t="shared" si="15"/>
        <v>0</v>
      </c>
      <c r="Y11" s="53"/>
    </row>
    <row r="12" spans="2:25" ht="14.25" thickBot="1" x14ac:dyDescent="0.2">
      <c r="B12" s="5" t="s">
        <v>2</v>
      </c>
      <c r="C12" s="32">
        <f>SUM(C6:C11)</f>
        <v>8</v>
      </c>
      <c r="D12" s="19">
        <f>SUM(D6:D11)</f>
        <v>6</v>
      </c>
      <c r="E12" s="42">
        <f t="shared" si="0"/>
        <v>14</v>
      </c>
      <c r="F12" s="32">
        <f>SUM(F6:F11)</f>
        <v>20</v>
      </c>
      <c r="G12" s="19">
        <f>SUM(G6:G11)</f>
        <v>20</v>
      </c>
      <c r="H12" s="42">
        <f t="shared" si="1"/>
        <v>40</v>
      </c>
      <c r="I12" s="32">
        <f>SUM(I6:I11)</f>
        <v>20</v>
      </c>
      <c r="J12" s="19">
        <f>SUM(J6:J11)</f>
        <v>20</v>
      </c>
      <c r="K12" s="42">
        <f t="shared" si="2"/>
        <v>40</v>
      </c>
      <c r="L12" s="13">
        <f t="shared" si="3"/>
        <v>94</v>
      </c>
      <c r="N12" s="5" t="s">
        <v>2</v>
      </c>
      <c r="O12" s="32">
        <f>SUM(O6:O11)</f>
        <v>50</v>
      </c>
      <c r="P12" s="19">
        <f t="shared" ref="P12:X12" si="16">SUM(P6:P11)</f>
        <v>70</v>
      </c>
      <c r="Q12" s="42">
        <f t="shared" si="16"/>
        <v>120</v>
      </c>
      <c r="R12" s="32">
        <f t="shared" si="16"/>
        <v>70</v>
      </c>
      <c r="S12" s="19">
        <f t="shared" si="16"/>
        <v>90</v>
      </c>
      <c r="T12" s="42">
        <f t="shared" si="16"/>
        <v>160</v>
      </c>
      <c r="U12" s="32">
        <f t="shared" si="16"/>
        <v>70</v>
      </c>
      <c r="V12" s="19">
        <f t="shared" si="16"/>
        <v>90</v>
      </c>
      <c r="W12" s="42">
        <f t="shared" si="16"/>
        <v>160</v>
      </c>
      <c r="X12" s="13">
        <f t="shared" si="16"/>
        <v>440</v>
      </c>
    </row>
    <row r="13" spans="2:25" x14ac:dyDescent="0.15">
      <c r="B13" s="12" t="s">
        <v>15</v>
      </c>
      <c r="C13" s="29">
        <v>1</v>
      </c>
      <c r="D13" s="24"/>
      <c r="E13" s="43">
        <f t="shared" si="0"/>
        <v>1</v>
      </c>
      <c r="F13" s="35">
        <v>1</v>
      </c>
      <c r="G13" s="8"/>
      <c r="H13" s="43">
        <f t="shared" si="1"/>
        <v>1</v>
      </c>
      <c r="I13" s="35">
        <v>1</v>
      </c>
      <c r="J13" s="8"/>
      <c r="K13" s="43">
        <f t="shared" si="2"/>
        <v>1</v>
      </c>
      <c r="L13" s="8">
        <f t="shared" si="3"/>
        <v>3</v>
      </c>
      <c r="M13" s="53">
        <v>44998</v>
      </c>
      <c r="N13" s="7" t="s">
        <v>13</v>
      </c>
      <c r="O13" s="30"/>
      <c r="P13" s="25"/>
      <c r="Q13" s="43">
        <f t="shared" ref="Q13:Q32" si="17">SUM(O13:P13)</f>
        <v>0</v>
      </c>
      <c r="R13" s="35">
        <v>5</v>
      </c>
      <c r="S13" s="8">
        <v>5</v>
      </c>
      <c r="T13" s="43">
        <f t="shared" ref="T13:T32" si="18">SUM(R13:S13)</f>
        <v>10</v>
      </c>
      <c r="U13" s="35">
        <v>17</v>
      </c>
      <c r="V13" s="8">
        <v>12</v>
      </c>
      <c r="W13" s="43">
        <f t="shared" ref="W13:W32" si="19">SUM(U13:V13)</f>
        <v>29</v>
      </c>
      <c r="X13" s="8">
        <f t="shared" ref="X13:X32" si="20">SUM(W13,T13,Q13)</f>
        <v>39</v>
      </c>
      <c r="Y13" s="53">
        <v>45083</v>
      </c>
    </row>
    <row r="14" spans="2:25" x14ac:dyDescent="0.15">
      <c r="B14" s="7" t="s">
        <v>12</v>
      </c>
      <c r="C14" s="30"/>
      <c r="D14" s="25">
        <v>1</v>
      </c>
      <c r="E14" s="43">
        <f t="shared" si="0"/>
        <v>1</v>
      </c>
      <c r="F14" s="35"/>
      <c r="G14" s="8"/>
      <c r="H14" s="43">
        <f t="shared" si="1"/>
        <v>0</v>
      </c>
      <c r="I14" s="35"/>
      <c r="J14" s="8"/>
      <c r="K14" s="43">
        <f t="shared" si="2"/>
        <v>0</v>
      </c>
      <c r="L14" s="8">
        <f t="shared" si="3"/>
        <v>1</v>
      </c>
      <c r="M14" s="53">
        <v>45007</v>
      </c>
      <c r="N14" s="7" t="s">
        <v>27</v>
      </c>
      <c r="O14" s="30"/>
      <c r="P14" s="25"/>
      <c r="Q14" s="43">
        <f t="shared" si="17"/>
        <v>0</v>
      </c>
      <c r="R14" s="35"/>
      <c r="S14" s="8">
        <v>3</v>
      </c>
      <c r="T14" s="43">
        <f t="shared" si="18"/>
        <v>3</v>
      </c>
      <c r="U14" s="35"/>
      <c r="V14" s="8">
        <v>2</v>
      </c>
      <c r="W14" s="43">
        <f t="shared" si="19"/>
        <v>2</v>
      </c>
      <c r="X14" s="8">
        <f t="shared" si="20"/>
        <v>5</v>
      </c>
      <c r="Y14" s="53">
        <v>45086</v>
      </c>
    </row>
    <row r="15" spans="2:25" x14ac:dyDescent="0.15">
      <c r="B15" s="7" t="s">
        <v>14</v>
      </c>
      <c r="C15" s="30"/>
      <c r="D15" s="25"/>
      <c r="E15" s="43">
        <f t="shared" si="0"/>
        <v>0</v>
      </c>
      <c r="F15" s="35"/>
      <c r="G15" s="8"/>
      <c r="H15" s="43">
        <f t="shared" si="1"/>
        <v>0</v>
      </c>
      <c r="I15" s="35"/>
      <c r="J15" s="8">
        <v>1</v>
      </c>
      <c r="K15" s="43">
        <f t="shared" si="2"/>
        <v>1</v>
      </c>
      <c r="L15" s="8">
        <f t="shared" si="3"/>
        <v>1</v>
      </c>
      <c r="M15" s="53">
        <v>45008</v>
      </c>
      <c r="N15" s="7" t="s">
        <v>28</v>
      </c>
      <c r="O15" s="30"/>
      <c r="P15" s="25"/>
      <c r="Q15" s="43">
        <f t="shared" si="17"/>
        <v>0</v>
      </c>
      <c r="R15" s="35">
        <v>10</v>
      </c>
      <c r="S15" s="8">
        <v>10</v>
      </c>
      <c r="T15" s="43">
        <f t="shared" si="18"/>
        <v>20</v>
      </c>
      <c r="U15" s="35">
        <v>10</v>
      </c>
      <c r="V15" s="8">
        <v>10</v>
      </c>
      <c r="W15" s="43">
        <f t="shared" si="19"/>
        <v>20</v>
      </c>
      <c r="X15" s="8">
        <f t="shared" si="20"/>
        <v>40</v>
      </c>
      <c r="Y15" s="53">
        <v>45086</v>
      </c>
    </row>
    <row r="16" spans="2:25" x14ac:dyDescent="0.15">
      <c r="B16" s="7" t="s">
        <v>12</v>
      </c>
      <c r="C16" s="30">
        <v>2</v>
      </c>
      <c r="D16" s="25"/>
      <c r="E16" s="43">
        <f t="shared" si="0"/>
        <v>2</v>
      </c>
      <c r="F16" s="35"/>
      <c r="G16" s="8"/>
      <c r="H16" s="43">
        <f t="shared" si="1"/>
        <v>0</v>
      </c>
      <c r="I16" s="35"/>
      <c r="J16" s="8"/>
      <c r="K16" s="43">
        <f t="shared" si="2"/>
        <v>0</v>
      </c>
      <c r="L16" s="8">
        <f t="shared" si="3"/>
        <v>2</v>
      </c>
      <c r="M16" s="53">
        <v>45019</v>
      </c>
      <c r="N16" s="7" t="s">
        <v>29</v>
      </c>
      <c r="O16" s="30">
        <v>2</v>
      </c>
      <c r="P16" s="25">
        <v>1</v>
      </c>
      <c r="Q16" s="43">
        <f t="shared" si="17"/>
        <v>3</v>
      </c>
      <c r="R16" s="35"/>
      <c r="S16" s="8">
        <v>5</v>
      </c>
      <c r="T16" s="43">
        <f t="shared" si="18"/>
        <v>5</v>
      </c>
      <c r="U16" s="35">
        <v>1</v>
      </c>
      <c r="V16" s="8">
        <v>12</v>
      </c>
      <c r="W16" s="43">
        <f t="shared" si="19"/>
        <v>13</v>
      </c>
      <c r="X16" s="8">
        <f>SUM(W16,T16,Q16)</f>
        <v>21</v>
      </c>
      <c r="Y16" s="53">
        <v>45089</v>
      </c>
    </row>
    <row r="17" spans="2:25" x14ac:dyDescent="0.15">
      <c r="B17" s="7" t="s">
        <v>13</v>
      </c>
      <c r="C17" s="30"/>
      <c r="D17" s="25"/>
      <c r="E17" s="43">
        <f t="shared" si="0"/>
        <v>0</v>
      </c>
      <c r="F17" s="35"/>
      <c r="G17" s="8">
        <v>1</v>
      </c>
      <c r="H17" s="43">
        <f t="shared" si="1"/>
        <v>1</v>
      </c>
      <c r="I17" s="35">
        <v>1</v>
      </c>
      <c r="J17" s="8"/>
      <c r="K17" s="43">
        <f t="shared" si="2"/>
        <v>1</v>
      </c>
      <c r="L17" s="8">
        <f t="shared" si="3"/>
        <v>2</v>
      </c>
      <c r="M17" s="53">
        <v>45021</v>
      </c>
      <c r="N17" s="7" t="s">
        <v>30</v>
      </c>
      <c r="O17" s="30">
        <v>21</v>
      </c>
      <c r="P17" s="25">
        <v>22</v>
      </c>
      <c r="Q17" s="43">
        <f t="shared" si="17"/>
        <v>43</v>
      </c>
      <c r="R17" s="35">
        <v>2</v>
      </c>
      <c r="S17" s="8">
        <v>9</v>
      </c>
      <c r="T17" s="43">
        <f t="shared" si="18"/>
        <v>11</v>
      </c>
      <c r="U17" s="35">
        <v>12</v>
      </c>
      <c r="V17" s="8">
        <v>9</v>
      </c>
      <c r="W17" s="43">
        <f t="shared" si="19"/>
        <v>21</v>
      </c>
      <c r="X17" s="8">
        <f t="shared" si="20"/>
        <v>75</v>
      </c>
      <c r="Y17" s="53">
        <v>45090</v>
      </c>
    </row>
    <row r="18" spans="2:25" x14ac:dyDescent="0.15">
      <c r="B18" s="7" t="s">
        <v>12</v>
      </c>
      <c r="C18" s="30"/>
      <c r="D18" s="25"/>
      <c r="E18" s="43">
        <f t="shared" si="0"/>
        <v>0</v>
      </c>
      <c r="F18" s="35"/>
      <c r="G18" s="8"/>
      <c r="H18" s="43">
        <f t="shared" si="1"/>
        <v>0</v>
      </c>
      <c r="I18" s="35"/>
      <c r="J18" s="8">
        <v>1</v>
      </c>
      <c r="K18" s="43">
        <f t="shared" si="2"/>
        <v>1</v>
      </c>
      <c r="L18" s="8">
        <f t="shared" si="3"/>
        <v>1</v>
      </c>
      <c r="M18" s="53">
        <v>45030</v>
      </c>
      <c r="N18" s="7" t="s">
        <v>32</v>
      </c>
      <c r="O18" s="30">
        <v>3</v>
      </c>
      <c r="P18" s="25">
        <v>5</v>
      </c>
      <c r="Q18" s="43">
        <f t="shared" si="17"/>
        <v>8</v>
      </c>
      <c r="R18" s="35">
        <v>8</v>
      </c>
      <c r="S18" s="8">
        <v>1</v>
      </c>
      <c r="T18" s="43">
        <f t="shared" si="18"/>
        <v>9</v>
      </c>
      <c r="U18" s="35"/>
      <c r="V18" s="8"/>
      <c r="W18" s="43">
        <f t="shared" si="19"/>
        <v>0</v>
      </c>
      <c r="X18" s="8">
        <f t="shared" si="20"/>
        <v>17</v>
      </c>
      <c r="Y18" s="53">
        <v>45091</v>
      </c>
    </row>
    <row r="19" spans="2:25" x14ac:dyDescent="0.15">
      <c r="B19" s="7" t="s">
        <v>12</v>
      </c>
      <c r="C19" s="30"/>
      <c r="D19" s="25"/>
      <c r="E19" s="43">
        <f t="shared" si="0"/>
        <v>0</v>
      </c>
      <c r="F19" s="35"/>
      <c r="G19" s="8">
        <v>1</v>
      </c>
      <c r="H19" s="43">
        <f t="shared" si="1"/>
        <v>1</v>
      </c>
      <c r="I19" s="35"/>
      <c r="J19" s="8"/>
      <c r="K19" s="43">
        <f t="shared" si="2"/>
        <v>0</v>
      </c>
      <c r="L19" s="8">
        <f t="shared" si="3"/>
        <v>1</v>
      </c>
      <c r="M19" s="53">
        <v>45034</v>
      </c>
      <c r="N19" s="7" t="s">
        <v>33</v>
      </c>
      <c r="O19" s="30">
        <v>4</v>
      </c>
      <c r="P19" s="25"/>
      <c r="Q19" s="43">
        <f t="shared" si="17"/>
        <v>4</v>
      </c>
      <c r="R19" s="35">
        <v>2</v>
      </c>
      <c r="S19" s="8">
        <v>10</v>
      </c>
      <c r="T19" s="43">
        <f t="shared" si="18"/>
        <v>12</v>
      </c>
      <c r="U19" s="35">
        <v>6</v>
      </c>
      <c r="V19" s="8"/>
      <c r="W19" s="43">
        <f t="shared" si="19"/>
        <v>6</v>
      </c>
      <c r="X19" s="8">
        <f t="shared" si="20"/>
        <v>22</v>
      </c>
      <c r="Y19" s="53">
        <v>45092</v>
      </c>
    </row>
    <row r="20" spans="2:25" x14ac:dyDescent="0.15">
      <c r="B20" s="7" t="s">
        <v>12</v>
      </c>
      <c r="C20" s="30"/>
      <c r="D20" s="25">
        <f>1+1</f>
        <v>2</v>
      </c>
      <c r="E20" s="43">
        <f t="shared" si="0"/>
        <v>2</v>
      </c>
      <c r="F20" s="35"/>
      <c r="G20" s="8"/>
      <c r="H20" s="43">
        <f t="shared" si="1"/>
        <v>0</v>
      </c>
      <c r="I20" s="35"/>
      <c r="J20" s="8"/>
      <c r="K20" s="43">
        <f t="shared" si="2"/>
        <v>0</v>
      </c>
      <c r="L20" s="8">
        <f t="shared" si="3"/>
        <v>2</v>
      </c>
      <c r="M20" s="53">
        <v>45037</v>
      </c>
      <c r="N20" s="7"/>
      <c r="O20" s="30"/>
      <c r="P20" s="25"/>
      <c r="Q20" s="43">
        <f t="shared" ref="Q20" si="21">SUM(O20:P20)</f>
        <v>0</v>
      </c>
      <c r="R20" s="35"/>
      <c r="S20" s="8"/>
      <c r="T20" s="43">
        <f t="shared" ref="T20" si="22">SUM(R20:S20)</f>
        <v>0</v>
      </c>
      <c r="U20" s="35"/>
      <c r="V20" s="8"/>
      <c r="W20" s="43">
        <f t="shared" ref="W20" si="23">SUM(U20:V20)</f>
        <v>0</v>
      </c>
      <c r="X20" s="8">
        <f t="shared" ref="X20" si="24">SUM(W20,T20,Q20)</f>
        <v>0</v>
      </c>
      <c r="Y20" s="53"/>
    </row>
    <row r="21" spans="2:25" x14ac:dyDescent="0.15">
      <c r="B21" s="7" t="s">
        <v>13</v>
      </c>
      <c r="C21" s="30"/>
      <c r="D21" s="25"/>
      <c r="E21" s="43">
        <f t="shared" si="0"/>
        <v>0</v>
      </c>
      <c r="F21" s="35">
        <v>1</v>
      </c>
      <c r="G21" s="8">
        <v>1</v>
      </c>
      <c r="H21" s="43">
        <f t="shared" si="1"/>
        <v>2</v>
      </c>
      <c r="I21" s="35"/>
      <c r="J21" s="8"/>
      <c r="K21" s="43">
        <f t="shared" si="2"/>
        <v>0</v>
      </c>
      <c r="L21" s="8">
        <f t="shared" si="3"/>
        <v>2</v>
      </c>
      <c r="M21" s="53">
        <v>45041</v>
      </c>
      <c r="N21" s="7"/>
      <c r="O21" s="30"/>
      <c r="P21" s="25"/>
      <c r="Q21" s="43">
        <f t="shared" si="17"/>
        <v>0</v>
      </c>
      <c r="R21" s="35"/>
      <c r="S21" s="8"/>
      <c r="T21" s="43">
        <f t="shared" si="18"/>
        <v>0</v>
      </c>
      <c r="U21" s="35"/>
      <c r="V21" s="8"/>
      <c r="W21" s="43">
        <f t="shared" si="19"/>
        <v>0</v>
      </c>
      <c r="X21" s="8">
        <f t="shared" si="20"/>
        <v>0</v>
      </c>
      <c r="Y21" s="53"/>
    </row>
    <row r="22" spans="2:25" x14ac:dyDescent="0.15">
      <c r="B22" s="7" t="s">
        <v>13</v>
      </c>
      <c r="C22" s="30"/>
      <c r="D22" s="25"/>
      <c r="E22" s="43">
        <f t="shared" si="0"/>
        <v>0</v>
      </c>
      <c r="F22" s="35">
        <v>1</v>
      </c>
      <c r="G22" s="8">
        <v>1</v>
      </c>
      <c r="H22" s="43">
        <f t="shared" si="1"/>
        <v>2</v>
      </c>
      <c r="I22" s="35">
        <v>2</v>
      </c>
      <c r="J22" s="8">
        <v>2</v>
      </c>
      <c r="K22" s="43">
        <f t="shared" si="2"/>
        <v>4</v>
      </c>
      <c r="L22" s="8">
        <f t="shared" si="3"/>
        <v>6</v>
      </c>
      <c r="M22" s="53">
        <v>45048</v>
      </c>
      <c r="N22" s="7"/>
      <c r="O22" s="30"/>
      <c r="P22" s="25"/>
      <c r="Q22" s="43">
        <f t="shared" si="17"/>
        <v>0</v>
      </c>
      <c r="R22" s="35"/>
      <c r="S22" s="8"/>
      <c r="T22" s="43">
        <f t="shared" si="18"/>
        <v>0</v>
      </c>
      <c r="U22" s="35"/>
      <c r="V22" s="8"/>
      <c r="W22" s="43">
        <f t="shared" si="19"/>
        <v>0</v>
      </c>
      <c r="X22" s="8">
        <f t="shared" si="20"/>
        <v>0</v>
      </c>
      <c r="Y22" s="53"/>
    </row>
    <row r="23" spans="2:25" x14ac:dyDescent="0.15">
      <c r="B23" s="7" t="s">
        <v>12</v>
      </c>
      <c r="C23" s="33"/>
      <c r="D23" s="27"/>
      <c r="E23" s="43">
        <f t="shared" si="0"/>
        <v>0</v>
      </c>
      <c r="F23" s="37">
        <v>2</v>
      </c>
      <c r="G23" s="10"/>
      <c r="H23" s="43">
        <f t="shared" si="1"/>
        <v>2</v>
      </c>
      <c r="I23" s="37"/>
      <c r="J23" s="10"/>
      <c r="K23" s="43">
        <f t="shared" si="2"/>
        <v>0</v>
      </c>
      <c r="L23" s="8">
        <f t="shared" si="3"/>
        <v>2</v>
      </c>
      <c r="M23" s="54">
        <v>45048</v>
      </c>
      <c r="N23" s="7"/>
      <c r="O23" s="30"/>
      <c r="P23" s="25"/>
      <c r="Q23" s="43">
        <f t="shared" si="17"/>
        <v>0</v>
      </c>
      <c r="R23" s="35"/>
      <c r="S23" s="8"/>
      <c r="T23" s="43">
        <f t="shared" si="18"/>
        <v>0</v>
      </c>
      <c r="U23" s="35"/>
      <c r="V23" s="8"/>
      <c r="W23" s="43">
        <f t="shared" si="19"/>
        <v>0</v>
      </c>
      <c r="X23" s="8">
        <f t="shared" si="20"/>
        <v>0</v>
      </c>
      <c r="Y23" s="53"/>
    </row>
    <row r="24" spans="2:25" x14ac:dyDescent="0.15">
      <c r="B24" s="7" t="s">
        <v>12</v>
      </c>
      <c r="C24" s="33"/>
      <c r="D24" s="27"/>
      <c r="E24" s="43">
        <f t="shared" si="0"/>
        <v>0</v>
      </c>
      <c r="F24" s="37">
        <v>1</v>
      </c>
      <c r="G24" s="10"/>
      <c r="H24" s="43">
        <f t="shared" si="1"/>
        <v>1</v>
      </c>
      <c r="I24" s="37"/>
      <c r="J24" s="10"/>
      <c r="K24" s="43">
        <f t="shared" si="2"/>
        <v>0</v>
      </c>
      <c r="L24" s="8">
        <f t="shared" si="3"/>
        <v>1</v>
      </c>
      <c r="M24" s="54">
        <v>45057</v>
      </c>
      <c r="N24" s="7"/>
      <c r="O24" s="30"/>
      <c r="P24" s="25"/>
      <c r="Q24" s="43">
        <f t="shared" si="17"/>
        <v>0</v>
      </c>
      <c r="R24" s="35"/>
      <c r="S24" s="8"/>
      <c r="T24" s="43">
        <f t="shared" si="18"/>
        <v>0</v>
      </c>
      <c r="U24" s="35"/>
      <c r="V24" s="8"/>
      <c r="W24" s="43">
        <f t="shared" si="19"/>
        <v>0</v>
      </c>
      <c r="X24" s="8">
        <f t="shared" si="20"/>
        <v>0</v>
      </c>
      <c r="Y24" s="53"/>
    </row>
    <row r="25" spans="2:25" x14ac:dyDescent="0.15">
      <c r="B25" s="7" t="s">
        <v>12</v>
      </c>
      <c r="C25" s="30"/>
      <c r="D25" s="25"/>
      <c r="E25" s="43">
        <f t="shared" si="0"/>
        <v>0</v>
      </c>
      <c r="F25" s="35">
        <v>2</v>
      </c>
      <c r="G25" s="8"/>
      <c r="H25" s="43">
        <f t="shared" si="1"/>
        <v>2</v>
      </c>
      <c r="I25" s="35">
        <v>1</v>
      </c>
      <c r="J25" s="8"/>
      <c r="K25" s="43">
        <f t="shared" si="2"/>
        <v>1</v>
      </c>
      <c r="L25" s="8">
        <f t="shared" si="3"/>
        <v>3</v>
      </c>
      <c r="M25" s="53">
        <v>45059</v>
      </c>
      <c r="N25" s="7"/>
      <c r="O25" s="30"/>
      <c r="P25" s="25"/>
      <c r="Q25" s="43">
        <f t="shared" si="17"/>
        <v>0</v>
      </c>
      <c r="R25" s="35"/>
      <c r="S25" s="8"/>
      <c r="T25" s="43">
        <f t="shared" si="18"/>
        <v>0</v>
      </c>
      <c r="U25" s="35"/>
      <c r="V25" s="8"/>
      <c r="W25" s="43">
        <f t="shared" si="19"/>
        <v>0</v>
      </c>
      <c r="X25" s="8">
        <f t="shared" si="20"/>
        <v>0</v>
      </c>
      <c r="Y25" s="53"/>
    </row>
    <row r="26" spans="2:25" x14ac:dyDescent="0.15">
      <c r="B26" s="7" t="s">
        <v>12</v>
      </c>
      <c r="C26" s="33"/>
      <c r="D26" s="27"/>
      <c r="E26" s="43">
        <f t="shared" si="0"/>
        <v>0</v>
      </c>
      <c r="F26" s="37"/>
      <c r="G26" s="10"/>
      <c r="H26" s="43">
        <f t="shared" si="1"/>
        <v>0</v>
      </c>
      <c r="I26" s="37"/>
      <c r="J26" s="10">
        <v>1</v>
      </c>
      <c r="K26" s="43">
        <f t="shared" si="2"/>
        <v>1</v>
      </c>
      <c r="L26" s="8">
        <f t="shared" si="3"/>
        <v>1</v>
      </c>
      <c r="M26" s="54">
        <v>45062</v>
      </c>
      <c r="N26" s="7"/>
      <c r="O26" s="30"/>
      <c r="P26" s="25"/>
      <c r="Q26" s="43">
        <f t="shared" si="17"/>
        <v>0</v>
      </c>
      <c r="R26" s="35"/>
      <c r="S26" s="8"/>
      <c r="T26" s="43">
        <f t="shared" si="18"/>
        <v>0</v>
      </c>
      <c r="U26" s="35"/>
      <c r="V26" s="8"/>
      <c r="W26" s="43">
        <f t="shared" si="19"/>
        <v>0</v>
      </c>
      <c r="X26" s="8">
        <f t="shared" si="20"/>
        <v>0</v>
      </c>
      <c r="Y26" s="53"/>
    </row>
    <row r="27" spans="2:25" x14ac:dyDescent="0.15">
      <c r="B27" s="7" t="s">
        <v>12</v>
      </c>
      <c r="C27" s="33"/>
      <c r="D27" s="27"/>
      <c r="E27" s="43">
        <f t="shared" si="0"/>
        <v>0</v>
      </c>
      <c r="F27" s="37"/>
      <c r="G27" s="10">
        <v>1</v>
      </c>
      <c r="H27" s="43">
        <f t="shared" si="1"/>
        <v>1</v>
      </c>
      <c r="I27" s="37"/>
      <c r="J27" s="10"/>
      <c r="K27" s="43">
        <f t="shared" si="2"/>
        <v>0</v>
      </c>
      <c r="L27" s="8">
        <f t="shared" si="3"/>
        <v>1</v>
      </c>
      <c r="M27" s="54">
        <v>45065</v>
      </c>
      <c r="N27" s="7"/>
      <c r="O27" s="30"/>
      <c r="P27" s="25"/>
      <c r="Q27" s="43">
        <f t="shared" si="17"/>
        <v>0</v>
      </c>
      <c r="R27" s="35"/>
      <c r="S27" s="8"/>
      <c r="T27" s="43">
        <f t="shared" si="18"/>
        <v>0</v>
      </c>
      <c r="U27" s="35"/>
      <c r="V27" s="8"/>
      <c r="W27" s="43">
        <f t="shared" si="19"/>
        <v>0</v>
      </c>
      <c r="X27" s="8">
        <f t="shared" si="20"/>
        <v>0</v>
      </c>
      <c r="Y27" s="53"/>
    </row>
    <row r="28" spans="2:25" x14ac:dyDescent="0.15">
      <c r="B28" s="7" t="s">
        <v>12</v>
      </c>
      <c r="C28" s="33"/>
      <c r="D28" s="27"/>
      <c r="E28" s="43">
        <f t="shared" si="0"/>
        <v>0</v>
      </c>
      <c r="F28" s="37"/>
      <c r="G28" s="10"/>
      <c r="H28" s="43">
        <f t="shared" si="1"/>
        <v>0</v>
      </c>
      <c r="I28" s="37">
        <v>1</v>
      </c>
      <c r="J28" s="10"/>
      <c r="K28" s="43">
        <f t="shared" si="2"/>
        <v>1</v>
      </c>
      <c r="L28" s="8">
        <f t="shared" si="3"/>
        <v>1</v>
      </c>
      <c r="M28" s="54">
        <v>45068</v>
      </c>
      <c r="N28" s="7"/>
      <c r="O28" s="30"/>
      <c r="P28" s="25"/>
      <c r="Q28" s="43">
        <f t="shared" si="17"/>
        <v>0</v>
      </c>
      <c r="R28" s="35"/>
      <c r="S28" s="8"/>
      <c r="T28" s="43">
        <f t="shared" si="18"/>
        <v>0</v>
      </c>
      <c r="U28" s="35"/>
      <c r="V28" s="8"/>
      <c r="W28" s="43">
        <f t="shared" si="19"/>
        <v>0</v>
      </c>
      <c r="X28" s="8">
        <f t="shared" si="20"/>
        <v>0</v>
      </c>
      <c r="Y28" s="53"/>
    </row>
    <row r="29" spans="2:25" x14ac:dyDescent="0.15">
      <c r="B29" s="7" t="s">
        <v>12</v>
      </c>
      <c r="C29" s="33"/>
      <c r="D29" s="27"/>
      <c r="E29" s="43">
        <f t="shared" si="0"/>
        <v>0</v>
      </c>
      <c r="F29" s="37"/>
      <c r="G29" s="10">
        <v>2</v>
      </c>
      <c r="H29" s="43">
        <f t="shared" si="1"/>
        <v>2</v>
      </c>
      <c r="I29" s="37"/>
      <c r="J29" s="10"/>
      <c r="K29" s="43">
        <f t="shared" si="2"/>
        <v>0</v>
      </c>
      <c r="L29" s="8">
        <f t="shared" si="3"/>
        <v>2</v>
      </c>
      <c r="M29" s="54">
        <v>45069</v>
      </c>
      <c r="N29" s="7"/>
      <c r="O29" s="30"/>
      <c r="P29" s="25"/>
      <c r="Q29" s="43">
        <f t="shared" si="17"/>
        <v>0</v>
      </c>
      <c r="R29" s="35"/>
      <c r="S29" s="8"/>
      <c r="T29" s="43">
        <f t="shared" si="18"/>
        <v>0</v>
      </c>
      <c r="U29" s="35"/>
      <c r="V29" s="8"/>
      <c r="W29" s="43">
        <f t="shared" si="19"/>
        <v>0</v>
      </c>
      <c r="X29" s="8">
        <f t="shared" si="20"/>
        <v>0</v>
      </c>
      <c r="Y29" s="53"/>
    </row>
    <row r="30" spans="2:25" x14ac:dyDescent="0.15">
      <c r="B30" s="7" t="s">
        <v>12</v>
      </c>
      <c r="C30" s="33"/>
      <c r="D30" s="27"/>
      <c r="E30" s="43">
        <f t="shared" si="0"/>
        <v>0</v>
      </c>
      <c r="F30" s="37">
        <v>2</v>
      </c>
      <c r="G30" s="10"/>
      <c r="H30" s="43">
        <f t="shared" si="1"/>
        <v>2</v>
      </c>
      <c r="I30" s="37"/>
      <c r="J30" s="10"/>
      <c r="K30" s="43">
        <f t="shared" si="2"/>
        <v>0</v>
      </c>
      <c r="L30" s="8">
        <f t="shared" si="3"/>
        <v>2</v>
      </c>
      <c r="M30" s="54">
        <v>45075</v>
      </c>
      <c r="N30" s="7"/>
      <c r="O30" s="30"/>
      <c r="P30" s="25"/>
      <c r="Q30" s="43">
        <f t="shared" si="17"/>
        <v>0</v>
      </c>
      <c r="R30" s="35"/>
      <c r="S30" s="8"/>
      <c r="T30" s="43">
        <f t="shared" si="18"/>
        <v>0</v>
      </c>
      <c r="U30" s="35"/>
      <c r="V30" s="8"/>
      <c r="W30" s="43">
        <f t="shared" si="19"/>
        <v>0</v>
      </c>
      <c r="X30" s="8">
        <f t="shared" si="20"/>
        <v>0</v>
      </c>
      <c r="Y30" s="53"/>
    </row>
    <row r="31" spans="2:25" x14ac:dyDescent="0.15">
      <c r="B31" s="7" t="s">
        <v>12</v>
      </c>
      <c r="C31" s="33">
        <v>1</v>
      </c>
      <c r="D31" s="27"/>
      <c r="E31" s="43">
        <f t="shared" si="0"/>
        <v>1</v>
      </c>
      <c r="F31" s="37"/>
      <c r="G31" s="10"/>
      <c r="H31" s="43">
        <f t="shared" si="1"/>
        <v>0</v>
      </c>
      <c r="I31" s="37"/>
      <c r="J31" s="10"/>
      <c r="K31" s="43">
        <f t="shared" si="2"/>
        <v>0</v>
      </c>
      <c r="L31" s="8">
        <f t="shared" si="3"/>
        <v>1</v>
      </c>
      <c r="M31" s="54">
        <v>45077</v>
      </c>
      <c r="N31" s="7"/>
      <c r="O31" s="30"/>
      <c r="P31" s="25"/>
      <c r="Q31" s="43">
        <f t="shared" si="17"/>
        <v>0</v>
      </c>
      <c r="R31" s="35"/>
      <c r="S31" s="8"/>
      <c r="T31" s="43">
        <f t="shared" si="18"/>
        <v>0</v>
      </c>
      <c r="U31" s="35"/>
      <c r="V31" s="8"/>
      <c r="W31" s="43">
        <f t="shared" si="19"/>
        <v>0</v>
      </c>
      <c r="X31" s="8">
        <f t="shared" si="20"/>
        <v>0</v>
      </c>
      <c r="Y31" s="53"/>
    </row>
    <row r="32" spans="2:25" x14ac:dyDescent="0.15">
      <c r="B32" s="7" t="s">
        <v>12</v>
      </c>
      <c r="C32" s="30"/>
      <c r="D32" s="25"/>
      <c r="E32" s="43">
        <f t="shared" si="0"/>
        <v>0</v>
      </c>
      <c r="F32" s="35"/>
      <c r="G32" s="8"/>
      <c r="H32" s="43">
        <f t="shared" si="1"/>
        <v>0</v>
      </c>
      <c r="I32" s="35"/>
      <c r="J32" s="8">
        <v>4</v>
      </c>
      <c r="K32" s="43">
        <f t="shared" si="2"/>
        <v>4</v>
      </c>
      <c r="L32" s="8">
        <f t="shared" si="3"/>
        <v>4</v>
      </c>
      <c r="M32" s="53">
        <v>45078</v>
      </c>
      <c r="N32" s="7"/>
      <c r="O32" s="30"/>
      <c r="P32" s="25"/>
      <c r="Q32" s="43">
        <f t="shared" si="17"/>
        <v>0</v>
      </c>
      <c r="R32" s="35"/>
      <c r="S32" s="8"/>
      <c r="T32" s="43">
        <f t="shared" si="18"/>
        <v>0</v>
      </c>
      <c r="U32" s="35"/>
      <c r="V32" s="8"/>
      <c r="W32" s="43">
        <f t="shared" si="19"/>
        <v>0</v>
      </c>
      <c r="X32" s="8">
        <f t="shared" si="20"/>
        <v>0</v>
      </c>
      <c r="Y32" s="53"/>
    </row>
    <row r="33" spans="1:25" x14ac:dyDescent="0.15">
      <c r="B33" s="7" t="s">
        <v>12</v>
      </c>
      <c r="C33" s="30"/>
      <c r="D33" s="25"/>
      <c r="E33" s="43">
        <f t="shared" si="0"/>
        <v>0</v>
      </c>
      <c r="F33" s="35"/>
      <c r="G33" s="8">
        <v>1</v>
      </c>
      <c r="H33" s="43">
        <f t="shared" si="1"/>
        <v>1</v>
      </c>
      <c r="I33" s="35"/>
      <c r="J33" s="8"/>
      <c r="K33" s="43">
        <f t="shared" si="2"/>
        <v>0</v>
      </c>
      <c r="L33" s="8">
        <f t="shared" si="3"/>
        <v>1</v>
      </c>
      <c r="M33" s="53">
        <v>45082</v>
      </c>
      <c r="N33" s="7"/>
      <c r="O33" s="30"/>
      <c r="P33" s="25"/>
      <c r="Q33" s="43">
        <f t="shared" si="12"/>
        <v>0</v>
      </c>
      <c r="R33" s="35"/>
      <c r="S33" s="8"/>
      <c r="T33" s="43">
        <f t="shared" si="13"/>
        <v>0</v>
      </c>
      <c r="U33" s="35"/>
      <c r="V33" s="8"/>
      <c r="W33" s="43">
        <f t="shared" si="14"/>
        <v>0</v>
      </c>
      <c r="X33" s="8">
        <f t="shared" si="15"/>
        <v>0</v>
      </c>
      <c r="Y33" s="53"/>
    </row>
    <row r="34" spans="1:25" x14ac:dyDescent="0.15">
      <c r="B34" s="7" t="s">
        <v>12</v>
      </c>
      <c r="C34" s="30"/>
      <c r="D34" s="25"/>
      <c r="E34" s="43">
        <f t="shared" si="0"/>
        <v>0</v>
      </c>
      <c r="F34" s="35"/>
      <c r="G34" s="8"/>
      <c r="H34" s="43">
        <f t="shared" si="1"/>
        <v>0</v>
      </c>
      <c r="I34" s="35">
        <v>3</v>
      </c>
      <c r="J34" s="8"/>
      <c r="K34" s="43">
        <f t="shared" si="2"/>
        <v>3</v>
      </c>
      <c r="L34" s="8">
        <f t="shared" si="3"/>
        <v>3</v>
      </c>
      <c r="M34" s="53">
        <v>45083</v>
      </c>
      <c r="N34" s="7"/>
      <c r="O34" s="30"/>
      <c r="P34" s="25"/>
      <c r="Q34" s="43">
        <f t="shared" si="12"/>
        <v>0</v>
      </c>
      <c r="R34" s="35"/>
      <c r="S34" s="8"/>
      <c r="T34" s="43">
        <f t="shared" si="13"/>
        <v>0</v>
      </c>
      <c r="U34" s="35"/>
      <c r="V34" s="8"/>
      <c r="W34" s="43">
        <f t="shared" si="14"/>
        <v>0</v>
      </c>
      <c r="X34" s="8">
        <f t="shared" si="15"/>
        <v>0</v>
      </c>
      <c r="Y34" s="53"/>
    </row>
    <row r="35" spans="1:25" x14ac:dyDescent="0.15">
      <c r="B35" s="7" t="s">
        <v>13</v>
      </c>
      <c r="C35" s="30"/>
      <c r="D35" s="25"/>
      <c r="E35" s="43">
        <f t="shared" ref="E35" si="25">SUM(C35:D35)</f>
        <v>0</v>
      </c>
      <c r="F35" s="35">
        <v>5</v>
      </c>
      <c r="G35" s="8">
        <v>4</v>
      </c>
      <c r="H35" s="43">
        <f t="shared" ref="H35" si="26">SUM(F35:G35)</f>
        <v>9</v>
      </c>
      <c r="I35" s="35">
        <v>3</v>
      </c>
      <c r="J35" s="8">
        <v>3</v>
      </c>
      <c r="K35" s="43">
        <f t="shared" ref="K35" si="27">SUM(I35:J35)</f>
        <v>6</v>
      </c>
      <c r="L35" s="8">
        <f t="shared" si="3"/>
        <v>15</v>
      </c>
      <c r="M35" s="53">
        <v>45087</v>
      </c>
      <c r="N35" s="7"/>
      <c r="O35" s="30"/>
      <c r="P35" s="25"/>
      <c r="Q35" s="43">
        <f t="shared" si="12"/>
        <v>0</v>
      </c>
      <c r="R35" s="35"/>
      <c r="S35" s="8"/>
      <c r="T35" s="43">
        <f t="shared" si="13"/>
        <v>0</v>
      </c>
      <c r="U35" s="35"/>
      <c r="V35" s="8"/>
      <c r="W35" s="43">
        <f t="shared" si="14"/>
        <v>0</v>
      </c>
      <c r="X35" s="8">
        <f t="shared" si="15"/>
        <v>0</v>
      </c>
      <c r="Y35" s="53"/>
    </row>
    <row r="36" spans="1:25" x14ac:dyDescent="0.15">
      <c r="B36" s="7" t="s">
        <v>12</v>
      </c>
      <c r="C36" s="30"/>
      <c r="D36" s="25"/>
      <c r="E36" s="43">
        <f t="shared" si="0"/>
        <v>0</v>
      </c>
      <c r="F36" s="35"/>
      <c r="G36" s="8"/>
      <c r="H36" s="43">
        <f t="shared" si="1"/>
        <v>0</v>
      </c>
      <c r="I36" s="35"/>
      <c r="J36" s="8">
        <v>1</v>
      </c>
      <c r="K36" s="43">
        <f t="shared" si="2"/>
        <v>1</v>
      </c>
      <c r="L36" s="8">
        <f t="shared" si="3"/>
        <v>1</v>
      </c>
      <c r="M36" s="53">
        <v>45089</v>
      </c>
      <c r="N36" s="7"/>
      <c r="O36" s="30"/>
      <c r="P36" s="25"/>
      <c r="Q36" s="43">
        <f t="shared" si="12"/>
        <v>0</v>
      </c>
      <c r="R36" s="35"/>
      <c r="S36" s="8"/>
      <c r="T36" s="43">
        <f t="shared" si="13"/>
        <v>0</v>
      </c>
      <c r="U36" s="35"/>
      <c r="V36" s="8"/>
      <c r="W36" s="43">
        <f t="shared" si="14"/>
        <v>0</v>
      </c>
      <c r="X36" s="8">
        <f t="shared" si="15"/>
        <v>0</v>
      </c>
      <c r="Y36" s="53"/>
    </row>
    <row r="37" spans="1:25" ht="14.25" thickBot="1" x14ac:dyDescent="0.2">
      <c r="B37" s="7" t="s">
        <v>31</v>
      </c>
      <c r="C37" s="57"/>
      <c r="D37" s="26"/>
      <c r="E37" s="58">
        <f t="shared" si="0"/>
        <v>0</v>
      </c>
      <c r="F37" s="36"/>
      <c r="G37" s="6"/>
      <c r="H37" s="58">
        <f t="shared" si="1"/>
        <v>0</v>
      </c>
      <c r="I37" s="36">
        <v>4</v>
      </c>
      <c r="J37" s="6">
        <v>5</v>
      </c>
      <c r="K37" s="58">
        <f t="shared" si="2"/>
        <v>9</v>
      </c>
      <c r="L37" s="6">
        <f t="shared" si="3"/>
        <v>9</v>
      </c>
      <c r="M37" s="53">
        <v>45091</v>
      </c>
      <c r="N37" s="7" t="s">
        <v>19</v>
      </c>
      <c r="O37" s="30"/>
      <c r="P37" s="25"/>
      <c r="Q37" s="56">
        <f t="shared" ref="Q37" si="28">SUM(O37:P37)</f>
        <v>0</v>
      </c>
      <c r="R37" s="30"/>
      <c r="S37" s="25"/>
      <c r="T37" s="56">
        <f t="shared" ref="T37" si="29">SUM(R37:S37)</f>
        <v>0</v>
      </c>
      <c r="U37" s="30"/>
      <c r="V37" s="25"/>
      <c r="W37" s="56">
        <f t="shared" ref="W37" si="30">SUM(U37:V37)</f>
        <v>0</v>
      </c>
      <c r="X37" s="25">
        <f t="shared" si="15"/>
        <v>0</v>
      </c>
      <c r="Y37" s="53" t="s">
        <v>20</v>
      </c>
    </row>
    <row r="38" spans="1:25" ht="14.25" thickBot="1" x14ac:dyDescent="0.2">
      <c r="B38" s="5" t="s">
        <v>1</v>
      </c>
      <c r="C38" s="32">
        <f>SUM(C13:C37)</f>
        <v>4</v>
      </c>
      <c r="D38" s="19">
        <f>SUM(D13:D37)</f>
        <v>3</v>
      </c>
      <c r="E38" s="44">
        <f t="shared" si="0"/>
        <v>7</v>
      </c>
      <c r="F38" s="32">
        <f>SUM(F13:F37)</f>
        <v>15</v>
      </c>
      <c r="G38" s="19">
        <f>SUM(G13:G37)</f>
        <v>12</v>
      </c>
      <c r="H38" s="44">
        <f t="shared" si="1"/>
        <v>27</v>
      </c>
      <c r="I38" s="32">
        <f>SUM(I13:I37)</f>
        <v>16</v>
      </c>
      <c r="J38" s="19">
        <f>SUM(J13:J37)</f>
        <v>18</v>
      </c>
      <c r="K38" s="44">
        <f t="shared" si="2"/>
        <v>34</v>
      </c>
      <c r="L38" s="4">
        <f t="shared" si="3"/>
        <v>68</v>
      </c>
      <c r="N38" s="5" t="s">
        <v>1</v>
      </c>
      <c r="O38" s="32">
        <f>SUM(O13:O37)</f>
        <v>30</v>
      </c>
      <c r="P38" s="19">
        <f t="shared" ref="P38" si="31">SUM(P13:P37)</f>
        <v>28</v>
      </c>
      <c r="Q38" s="44">
        <f t="shared" ref="Q38" si="32">SUM(Q13:Q37)</f>
        <v>58</v>
      </c>
      <c r="R38" s="32">
        <f t="shared" ref="R38" si="33">SUM(R13:R37)</f>
        <v>27</v>
      </c>
      <c r="S38" s="19">
        <f t="shared" ref="S38" si="34">SUM(S13:S37)</f>
        <v>43</v>
      </c>
      <c r="T38" s="44">
        <f t="shared" ref="T38" si="35">SUM(T13:T37)</f>
        <v>70</v>
      </c>
      <c r="U38" s="32">
        <f t="shared" ref="U38" si="36">SUM(U13:U37)</f>
        <v>46</v>
      </c>
      <c r="V38" s="19">
        <f t="shared" ref="V38" si="37">SUM(V13:V37)</f>
        <v>45</v>
      </c>
      <c r="W38" s="44">
        <f t="shared" ref="W38" si="38">SUM(W13:W37)</f>
        <v>91</v>
      </c>
      <c r="X38" s="4">
        <f t="shared" ref="X38" si="39">SUM(X13:X37)</f>
        <v>219</v>
      </c>
    </row>
    <row r="39" spans="1:25" ht="14.25" thickBot="1" x14ac:dyDescent="0.2">
      <c r="B39" s="3" t="s">
        <v>0</v>
      </c>
      <c r="C39" s="34">
        <f>+C12-C38</f>
        <v>4</v>
      </c>
      <c r="D39" s="2">
        <f>+D12-D38</f>
        <v>3</v>
      </c>
      <c r="E39" s="45">
        <f t="shared" si="0"/>
        <v>7</v>
      </c>
      <c r="F39" s="34">
        <f>+F12-F38</f>
        <v>5</v>
      </c>
      <c r="G39" s="2">
        <f>+G12-G38</f>
        <v>8</v>
      </c>
      <c r="H39" s="45">
        <f t="shared" si="1"/>
        <v>13</v>
      </c>
      <c r="I39" s="34">
        <f>+I12-I38</f>
        <v>4</v>
      </c>
      <c r="J39" s="2">
        <f>+J12-J38</f>
        <v>2</v>
      </c>
      <c r="K39" s="45">
        <f t="shared" si="2"/>
        <v>6</v>
      </c>
      <c r="L39" s="2">
        <f t="shared" si="3"/>
        <v>26</v>
      </c>
      <c r="N39" s="3" t="s">
        <v>0</v>
      </c>
      <c r="O39" s="34">
        <f>+O12-O38</f>
        <v>20</v>
      </c>
      <c r="P39" s="2">
        <f t="shared" ref="P39" si="40">+P12-P38</f>
        <v>42</v>
      </c>
      <c r="Q39" s="45">
        <f t="shared" ref="Q39" si="41">+Q12-Q38</f>
        <v>62</v>
      </c>
      <c r="R39" s="34">
        <f t="shared" ref="R39" si="42">+R12-R38</f>
        <v>43</v>
      </c>
      <c r="S39" s="2">
        <f t="shared" ref="S39" si="43">+S12-S38</f>
        <v>47</v>
      </c>
      <c r="T39" s="45">
        <f t="shared" ref="T39" si="44">+T12-T38</f>
        <v>90</v>
      </c>
      <c r="U39" s="34">
        <f t="shared" ref="U39" si="45">+U12-U38</f>
        <v>24</v>
      </c>
      <c r="V39" s="2">
        <f t="shared" ref="V39" si="46">+V12-V38</f>
        <v>45</v>
      </c>
      <c r="W39" s="45">
        <f t="shared" ref="W39" si="47">+W12-W38</f>
        <v>69</v>
      </c>
      <c r="X39" s="2">
        <f t="shared" ref="X39" si="48">+X12-X38</f>
        <v>221</v>
      </c>
    </row>
    <row r="40" spans="1:25" x14ac:dyDescent="0.15">
      <c r="N40" s="1"/>
    </row>
    <row r="41" spans="1:25" ht="18.75" x14ac:dyDescent="0.2">
      <c r="B41" s="23" t="s">
        <v>11</v>
      </c>
      <c r="C41" s="21"/>
      <c r="D41" s="21"/>
      <c r="E41" s="21"/>
      <c r="F41" s="21"/>
      <c r="G41" s="21"/>
      <c r="H41" s="21"/>
      <c r="I41" s="21"/>
      <c r="J41" s="21"/>
      <c r="K41" s="21"/>
      <c r="L41" s="21"/>
      <c r="N41" s="47" t="s">
        <v>25</v>
      </c>
      <c r="O41" s="48"/>
      <c r="P41" s="48"/>
      <c r="Q41" s="48"/>
      <c r="R41" s="48"/>
      <c r="S41" s="48"/>
      <c r="T41" s="48"/>
      <c r="U41" s="48"/>
      <c r="V41" s="48"/>
      <c r="W41" s="48"/>
      <c r="X41" s="48"/>
    </row>
    <row r="42" spans="1:25" ht="14.25" x14ac:dyDescent="0.15">
      <c r="B42" s="22" t="s">
        <v>10</v>
      </c>
      <c r="C42" s="21"/>
      <c r="D42" s="21"/>
      <c r="E42" s="21"/>
      <c r="F42" s="21"/>
      <c r="G42" s="21"/>
      <c r="H42" s="21"/>
      <c r="I42" s="21"/>
      <c r="J42" s="21"/>
      <c r="K42" s="21"/>
      <c r="L42" s="21"/>
      <c r="N42" s="49" t="s">
        <v>10</v>
      </c>
      <c r="O42" s="48"/>
      <c r="P42" s="48"/>
      <c r="Q42" s="48"/>
      <c r="R42" s="48"/>
      <c r="S42" s="48"/>
      <c r="T42" s="48"/>
      <c r="U42" s="48"/>
      <c r="V42" s="48"/>
      <c r="W42" s="48"/>
      <c r="X42" s="48"/>
    </row>
    <row r="43" spans="1:25" ht="14.25" thickBot="1" x14ac:dyDescent="0.2">
      <c r="N43" s="1"/>
    </row>
    <row r="44" spans="1:25" ht="14.25" thickBot="1" x14ac:dyDescent="0.2">
      <c r="B44" s="20"/>
      <c r="C44" s="208" t="s">
        <v>9</v>
      </c>
      <c r="D44" s="209"/>
      <c r="E44" s="210"/>
      <c r="F44" s="208" t="s">
        <v>8</v>
      </c>
      <c r="G44" s="209"/>
      <c r="H44" s="210"/>
      <c r="I44" s="208" t="s">
        <v>7</v>
      </c>
      <c r="J44" s="209"/>
      <c r="K44" s="210"/>
      <c r="L44" s="19"/>
      <c r="N44" s="20"/>
      <c r="O44" s="208" t="s">
        <v>9</v>
      </c>
      <c r="P44" s="209"/>
      <c r="Q44" s="210"/>
      <c r="R44" s="208" t="s">
        <v>8</v>
      </c>
      <c r="S44" s="209"/>
      <c r="T44" s="210"/>
      <c r="U44" s="208" t="s">
        <v>7</v>
      </c>
      <c r="V44" s="209"/>
      <c r="W44" s="210"/>
      <c r="X44" s="19"/>
    </row>
    <row r="45" spans="1:25" ht="14.25" thickBot="1" x14ac:dyDescent="0.2">
      <c r="A45" s="1"/>
      <c r="B45" s="18"/>
      <c r="C45" s="28" t="s">
        <v>6</v>
      </c>
      <c r="D45" s="17" t="s">
        <v>5</v>
      </c>
      <c r="E45" s="38" t="s">
        <v>4</v>
      </c>
      <c r="F45" s="28" t="s">
        <v>6</v>
      </c>
      <c r="G45" s="17" t="s">
        <v>5</v>
      </c>
      <c r="H45" s="38" t="s">
        <v>4</v>
      </c>
      <c r="I45" s="28" t="s">
        <v>6</v>
      </c>
      <c r="J45" s="17" t="s">
        <v>5</v>
      </c>
      <c r="K45" s="38" t="s">
        <v>4</v>
      </c>
      <c r="L45" s="17" t="s">
        <v>4</v>
      </c>
      <c r="N45" s="18"/>
      <c r="O45" s="28" t="s">
        <v>6</v>
      </c>
      <c r="P45" s="17" t="s">
        <v>5</v>
      </c>
      <c r="Q45" s="38" t="s">
        <v>4</v>
      </c>
      <c r="R45" s="28" t="s">
        <v>6</v>
      </c>
      <c r="S45" s="17" t="s">
        <v>5</v>
      </c>
      <c r="T45" s="38" t="s">
        <v>4</v>
      </c>
      <c r="U45" s="28" t="s">
        <v>6</v>
      </c>
      <c r="V45" s="17" t="s">
        <v>5</v>
      </c>
      <c r="W45" s="38" t="s">
        <v>4</v>
      </c>
      <c r="X45" s="17" t="s">
        <v>4</v>
      </c>
    </row>
    <row r="46" spans="1:25" x14ac:dyDescent="0.15">
      <c r="B46" s="66" t="s">
        <v>0</v>
      </c>
      <c r="C46" s="67">
        <f t="shared" ref="C46:K46" si="49">C39</f>
        <v>4</v>
      </c>
      <c r="D46" s="68">
        <f t="shared" si="49"/>
        <v>3</v>
      </c>
      <c r="E46" s="69">
        <f t="shared" si="49"/>
        <v>7</v>
      </c>
      <c r="F46" s="67">
        <f t="shared" si="49"/>
        <v>5</v>
      </c>
      <c r="G46" s="68">
        <f t="shared" si="49"/>
        <v>8</v>
      </c>
      <c r="H46" s="69">
        <f t="shared" si="49"/>
        <v>13</v>
      </c>
      <c r="I46" s="67">
        <f t="shared" si="49"/>
        <v>4</v>
      </c>
      <c r="J46" s="68">
        <f t="shared" si="49"/>
        <v>2</v>
      </c>
      <c r="K46" s="69">
        <f t="shared" si="49"/>
        <v>6</v>
      </c>
      <c r="L46" s="70">
        <f t="shared" ref="L46:L79" si="50">SUM(K46,H46,E46)</f>
        <v>26</v>
      </c>
      <c r="M46" s="53"/>
      <c r="N46" s="66" t="s">
        <v>0</v>
      </c>
      <c r="O46" s="72">
        <f>O39</f>
        <v>20</v>
      </c>
      <c r="P46" s="68">
        <f t="shared" ref="P46:X46" si="51">P39</f>
        <v>42</v>
      </c>
      <c r="Q46" s="69">
        <f t="shared" si="51"/>
        <v>62</v>
      </c>
      <c r="R46" s="67">
        <f t="shared" si="51"/>
        <v>43</v>
      </c>
      <c r="S46" s="68">
        <f t="shared" si="51"/>
        <v>47</v>
      </c>
      <c r="T46" s="69">
        <f t="shared" si="51"/>
        <v>90</v>
      </c>
      <c r="U46" s="67">
        <f t="shared" si="51"/>
        <v>24</v>
      </c>
      <c r="V46" s="68">
        <f t="shared" si="51"/>
        <v>45</v>
      </c>
      <c r="W46" s="69">
        <f t="shared" si="51"/>
        <v>69</v>
      </c>
      <c r="X46" s="70">
        <f t="shared" si="51"/>
        <v>221</v>
      </c>
      <c r="Y46" s="53"/>
    </row>
    <row r="47" spans="1:25" x14ac:dyDescent="0.15">
      <c r="B47" s="16" t="s">
        <v>3</v>
      </c>
      <c r="C47" s="30"/>
      <c r="D47" s="25"/>
      <c r="E47" s="40">
        <f t="shared" ref="E47:E79" si="52">SUM(C47:D47)</f>
        <v>0</v>
      </c>
      <c r="F47" s="35">
        <v>3</v>
      </c>
      <c r="G47" s="8">
        <v>3</v>
      </c>
      <c r="H47" s="40">
        <f t="shared" ref="H47:H79" si="53">SUM(F47:G47)</f>
        <v>6</v>
      </c>
      <c r="I47" s="35">
        <v>5</v>
      </c>
      <c r="J47" s="8">
        <v>5</v>
      </c>
      <c r="K47" s="40">
        <f t="shared" ref="K47:K79" si="54">SUM(I47:J47)</f>
        <v>10</v>
      </c>
      <c r="L47" s="9">
        <f t="shared" si="50"/>
        <v>16</v>
      </c>
      <c r="M47" s="53">
        <v>45093</v>
      </c>
      <c r="N47" s="16" t="s">
        <v>3</v>
      </c>
      <c r="O47" s="30"/>
      <c r="P47" s="25"/>
      <c r="Q47" s="40">
        <f t="shared" ref="Q47:Q75" si="55">SUM(O47:P47)</f>
        <v>0</v>
      </c>
      <c r="R47" s="35"/>
      <c r="S47" s="8"/>
      <c r="T47" s="40">
        <f t="shared" ref="T47:T75" si="56">SUM(R47:S47)</f>
        <v>0</v>
      </c>
      <c r="U47" s="35"/>
      <c r="V47" s="8"/>
      <c r="W47" s="40">
        <f t="shared" ref="W47:W75" si="57">SUM(U47:V47)</f>
        <v>0</v>
      </c>
      <c r="X47" s="9">
        <f t="shared" ref="X47:X75" si="58">SUM(W47,T47,Q47)</f>
        <v>0</v>
      </c>
      <c r="Y47" s="53"/>
    </row>
    <row r="48" spans="1:25" x14ac:dyDescent="0.15">
      <c r="B48" s="16" t="s">
        <v>3</v>
      </c>
      <c r="C48" s="30">
        <v>5</v>
      </c>
      <c r="D48" s="25">
        <v>10</v>
      </c>
      <c r="E48" s="40">
        <f t="shared" ref="E48:E50" si="59">SUM(C48:D48)</f>
        <v>15</v>
      </c>
      <c r="F48" s="35">
        <v>5</v>
      </c>
      <c r="G48" s="8">
        <v>10</v>
      </c>
      <c r="H48" s="40">
        <f t="shared" ref="H48:H50" si="60">SUM(F48:G48)</f>
        <v>15</v>
      </c>
      <c r="I48" s="35">
        <v>5</v>
      </c>
      <c r="J48" s="8">
        <v>10</v>
      </c>
      <c r="K48" s="40">
        <f t="shared" ref="K48:K50" si="61">SUM(I48:J48)</f>
        <v>15</v>
      </c>
      <c r="L48" s="9">
        <f t="shared" ref="L48:L50" si="62">SUM(K48,H48,E48)</f>
        <v>45</v>
      </c>
      <c r="M48" s="53">
        <v>45103</v>
      </c>
      <c r="N48" s="15" t="s">
        <v>3</v>
      </c>
      <c r="O48" s="30">
        <v>50</v>
      </c>
      <c r="P48" s="25">
        <v>30</v>
      </c>
      <c r="Q48" s="40">
        <f t="shared" ref="Q48" si="63">SUM(O48:P48)</f>
        <v>80</v>
      </c>
      <c r="R48" s="30">
        <v>20</v>
      </c>
      <c r="S48" s="25">
        <v>30</v>
      </c>
      <c r="T48" s="40">
        <f t="shared" ref="T48" si="64">SUM(R48:S48)</f>
        <v>50</v>
      </c>
      <c r="U48" s="30">
        <v>30</v>
      </c>
      <c r="V48" s="25">
        <v>20</v>
      </c>
      <c r="W48" s="40">
        <f t="shared" ref="W48" si="65">SUM(U48:V48)</f>
        <v>50</v>
      </c>
      <c r="X48" s="9">
        <f t="shared" ref="X48" si="66">SUM(W48,T48,Q48)</f>
        <v>180</v>
      </c>
      <c r="Y48" s="53" t="s">
        <v>46</v>
      </c>
    </row>
    <row r="49" spans="2:25" x14ac:dyDescent="0.15">
      <c r="B49" s="16" t="s">
        <v>3</v>
      </c>
      <c r="C49" s="30"/>
      <c r="D49" s="25"/>
      <c r="E49" s="40">
        <f t="shared" si="59"/>
        <v>0</v>
      </c>
      <c r="F49" s="35"/>
      <c r="G49" s="8"/>
      <c r="H49" s="40">
        <f t="shared" si="60"/>
        <v>0</v>
      </c>
      <c r="I49" s="35"/>
      <c r="J49" s="8"/>
      <c r="K49" s="40">
        <f t="shared" si="61"/>
        <v>0</v>
      </c>
      <c r="L49" s="9">
        <f t="shared" si="62"/>
        <v>0</v>
      </c>
      <c r="M49" s="53"/>
      <c r="N49" s="16" t="s">
        <v>3</v>
      </c>
      <c r="O49" s="35"/>
      <c r="P49" s="8"/>
      <c r="Q49" s="64">
        <f t="shared" si="55"/>
        <v>0</v>
      </c>
      <c r="R49" s="35"/>
      <c r="S49" s="8"/>
      <c r="T49" s="64">
        <f t="shared" si="56"/>
        <v>0</v>
      </c>
      <c r="U49" s="35"/>
      <c r="V49" s="8"/>
      <c r="W49" s="64">
        <f t="shared" si="57"/>
        <v>0</v>
      </c>
      <c r="X49" s="65">
        <f t="shared" si="58"/>
        <v>0</v>
      </c>
      <c r="Y49" s="53"/>
    </row>
    <row r="50" spans="2:25" x14ac:dyDescent="0.15">
      <c r="B50" s="16" t="s">
        <v>3</v>
      </c>
      <c r="C50" s="30"/>
      <c r="D50" s="25"/>
      <c r="E50" s="40">
        <f t="shared" si="59"/>
        <v>0</v>
      </c>
      <c r="F50" s="35"/>
      <c r="G50" s="8"/>
      <c r="H50" s="40">
        <f t="shared" si="60"/>
        <v>0</v>
      </c>
      <c r="I50" s="35"/>
      <c r="J50" s="8"/>
      <c r="K50" s="40">
        <f t="shared" si="61"/>
        <v>0</v>
      </c>
      <c r="L50" s="9">
        <f t="shared" si="62"/>
        <v>0</v>
      </c>
      <c r="M50" s="53"/>
      <c r="N50" s="16" t="s">
        <v>3</v>
      </c>
      <c r="O50" s="30"/>
      <c r="P50" s="25"/>
      <c r="Q50" s="40">
        <f t="shared" ref="Q50" si="67">SUM(O50:P50)</f>
        <v>0</v>
      </c>
      <c r="R50" s="35"/>
      <c r="S50" s="8"/>
      <c r="T50" s="40">
        <f t="shared" ref="T50" si="68">SUM(R50:S50)</f>
        <v>0</v>
      </c>
      <c r="U50" s="35"/>
      <c r="V50" s="8"/>
      <c r="W50" s="40">
        <f t="shared" ref="W50" si="69">SUM(U50:V50)</f>
        <v>0</v>
      </c>
      <c r="X50" s="9">
        <f t="shared" ref="X50" si="70">SUM(W50,T50,Q50)</f>
        <v>0</v>
      </c>
      <c r="Y50" s="53"/>
    </row>
    <row r="51" spans="2:25" ht="14.25" thickBot="1" x14ac:dyDescent="0.2">
      <c r="B51" s="15" t="s">
        <v>3</v>
      </c>
      <c r="C51" s="31"/>
      <c r="D51" s="26"/>
      <c r="E51" s="41">
        <f t="shared" si="52"/>
        <v>0</v>
      </c>
      <c r="F51" s="36"/>
      <c r="G51" s="6"/>
      <c r="H51" s="41">
        <f t="shared" si="53"/>
        <v>0</v>
      </c>
      <c r="I51" s="36"/>
      <c r="J51" s="6"/>
      <c r="K51" s="41">
        <f t="shared" si="54"/>
        <v>0</v>
      </c>
      <c r="L51" s="14">
        <f t="shared" si="50"/>
        <v>0</v>
      </c>
      <c r="M51" s="53"/>
      <c r="N51" s="15" t="s">
        <v>3</v>
      </c>
      <c r="O51" s="31"/>
      <c r="P51" s="26"/>
      <c r="Q51" s="41">
        <f t="shared" si="55"/>
        <v>0</v>
      </c>
      <c r="R51" s="36"/>
      <c r="S51" s="6"/>
      <c r="T51" s="41">
        <f t="shared" si="56"/>
        <v>0</v>
      </c>
      <c r="U51" s="36"/>
      <c r="V51" s="6"/>
      <c r="W51" s="41">
        <f t="shared" si="57"/>
        <v>0</v>
      </c>
      <c r="X51" s="14">
        <f t="shared" si="58"/>
        <v>0</v>
      </c>
      <c r="Y51" s="53"/>
    </row>
    <row r="52" spans="2:25" ht="14.25" thickBot="1" x14ac:dyDescent="0.2">
      <c r="B52" s="5" t="s">
        <v>2</v>
      </c>
      <c r="C52" s="32">
        <f>SUM(C46:C51)</f>
        <v>9</v>
      </c>
      <c r="D52" s="19">
        <f>SUM(D46:D51)</f>
        <v>13</v>
      </c>
      <c r="E52" s="42">
        <f t="shared" si="52"/>
        <v>22</v>
      </c>
      <c r="F52" s="32">
        <f>SUM(F46:F51)</f>
        <v>13</v>
      </c>
      <c r="G52" s="19">
        <f>SUM(G46:G51)</f>
        <v>21</v>
      </c>
      <c r="H52" s="42">
        <f t="shared" si="53"/>
        <v>34</v>
      </c>
      <c r="I52" s="32">
        <f>SUM(I46:I51)</f>
        <v>14</v>
      </c>
      <c r="J52" s="19">
        <f>SUM(J46:J51)</f>
        <v>17</v>
      </c>
      <c r="K52" s="42">
        <f t="shared" si="54"/>
        <v>31</v>
      </c>
      <c r="L52" s="13">
        <f t="shared" si="50"/>
        <v>87</v>
      </c>
      <c r="N52" s="5" t="s">
        <v>2</v>
      </c>
      <c r="O52" s="32">
        <f>SUM(O46:O51)</f>
        <v>70</v>
      </c>
      <c r="P52" s="19">
        <f t="shared" ref="P52" si="71">SUM(P46:P51)</f>
        <v>72</v>
      </c>
      <c r="Q52" s="42">
        <f t="shared" ref="Q52" si="72">SUM(Q46:Q51)</f>
        <v>142</v>
      </c>
      <c r="R52" s="32">
        <f t="shared" ref="R52" si="73">SUM(R46:R51)</f>
        <v>63</v>
      </c>
      <c r="S52" s="19">
        <f t="shared" ref="S52" si="74">SUM(S46:S51)</f>
        <v>77</v>
      </c>
      <c r="T52" s="42">
        <f t="shared" ref="T52" si="75">SUM(T46:T51)</f>
        <v>140</v>
      </c>
      <c r="U52" s="32">
        <f t="shared" ref="U52" si="76">SUM(U46:U51)</f>
        <v>54</v>
      </c>
      <c r="V52" s="19">
        <f t="shared" ref="V52" si="77">SUM(V46:V51)</f>
        <v>65</v>
      </c>
      <c r="W52" s="42">
        <f t="shared" ref="W52" si="78">SUM(W46:W51)</f>
        <v>119</v>
      </c>
      <c r="X52" s="13">
        <f t="shared" ref="X52" si="79">SUM(X46:X51)</f>
        <v>401</v>
      </c>
    </row>
    <row r="53" spans="2:25" x14ac:dyDescent="0.15">
      <c r="B53" s="7" t="s">
        <v>13</v>
      </c>
      <c r="C53" s="29"/>
      <c r="D53" s="24"/>
      <c r="E53" s="43">
        <f t="shared" si="52"/>
        <v>0</v>
      </c>
      <c r="F53" s="35">
        <f>2+1</f>
        <v>3</v>
      </c>
      <c r="G53" s="8">
        <f>2+2</f>
        <v>4</v>
      </c>
      <c r="H53" s="43">
        <f t="shared" si="53"/>
        <v>7</v>
      </c>
      <c r="I53" s="35">
        <f>1+1</f>
        <v>2</v>
      </c>
      <c r="J53" s="8">
        <f>1+1</f>
        <v>2</v>
      </c>
      <c r="K53" s="43">
        <f t="shared" si="54"/>
        <v>4</v>
      </c>
      <c r="L53" s="8">
        <f t="shared" si="50"/>
        <v>11</v>
      </c>
      <c r="M53" s="53">
        <v>45091</v>
      </c>
      <c r="N53" s="7" t="s">
        <v>34</v>
      </c>
      <c r="O53" s="30"/>
      <c r="P53" s="25">
        <v>3</v>
      </c>
      <c r="Q53" s="43">
        <f t="shared" si="55"/>
        <v>3</v>
      </c>
      <c r="R53" s="35">
        <v>7</v>
      </c>
      <c r="S53" s="8">
        <v>4</v>
      </c>
      <c r="T53" s="43">
        <f t="shared" si="56"/>
        <v>11</v>
      </c>
      <c r="U53" s="35"/>
      <c r="V53" s="8">
        <v>1</v>
      </c>
      <c r="W53" s="43">
        <f t="shared" si="57"/>
        <v>1</v>
      </c>
      <c r="X53" s="8">
        <f t="shared" si="58"/>
        <v>15</v>
      </c>
      <c r="Y53" s="53">
        <v>45093</v>
      </c>
    </row>
    <row r="54" spans="2:25" x14ac:dyDescent="0.15">
      <c r="B54" s="7" t="s">
        <v>12</v>
      </c>
      <c r="C54" s="30"/>
      <c r="D54" s="25"/>
      <c r="E54" s="43">
        <f t="shared" si="52"/>
        <v>0</v>
      </c>
      <c r="F54" s="35"/>
      <c r="G54" s="8"/>
      <c r="H54" s="43">
        <f t="shared" si="53"/>
        <v>0</v>
      </c>
      <c r="I54" s="35"/>
      <c r="J54" s="8">
        <v>1</v>
      </c>
      <c r="K54" s="43">
        <f t="shared" si="54"/>
        <v>1</v>
      </c>
      <c r="L54" s="8">
        <f t="shared" si="50"/>
        <v>1</v>
      </c>
      <c r="M54" s="53">
        <v>45093</v>
      </c>
      <c r="N54" s="7" t="s">
        <v>35</v>
      </c>
      <c r="O54" s="30"/>
      <c r="P54" s="25"/>
      <c r="Q54" s="43">
        <f t="shared" si="55"/>
        <v>0</v>
      </c>
      <c r="R54" s="35">
        <v>3</v>
      </c>
      <c r="S54" s="8">
        <v>3</v>
      </c>
      <c r="T54" s="43">
        <f t="shared" si="56"/>
        <v>6</v>
      </c>
      <c r="U54" s="35">
        <v>5</v>
      </c>
      <c r="V54" s="8">
        <v>5</v>
      </c>
      <c r="W54" s="43">
        <f t="shared" si="57"/>
        <v>10</v>
      </c>
      <c r="X54" s="8">
        <f t="shared" si="58"/>
        <v>16</v>
      </c>
      <c r="Y54" s="53">
        <v>45093</v>
      </c>
    </row>
    <row r="55" spans="2:25" x14ac:dyDescent="0.15">
      <c r="B55" s="7" t="s">
        <v>40</v>
      </c>
      <c r="C55" s="30"/>
      <c r="D55" s="25">
        <v>1</v>
      </c>
      <c r="E55" s="43">
        <f t="shared" si="52"/>
        <v>1</v>
      </c>
      <c r="F55" s="35"/>
      <c r="G55" s="8"/>
      <c r="H55" s="43">
        <f t="shared" si="53"/>
        <v>0</v>
      </c>
      <c r="I55" s="35"/>
      <c r="J55" s="8"/>
      <c r="K55" s="43">
        <f t="shared" si="54"/>
        <v>0</v>
      </c>
      <c r="L55" s="8">
        <f t="shared" si="50"/>
        <v>1</v>
      </c>
      <c r="M55" s="53">
        <v>45093</v>
      </c>
      <c r="N55" s="7" t="s">
        <v>36</v>
      </c>
      <c r="O55" s="30">
        <v>5</v>
      </c>
      <c r="P55" s="25">
        <v>5</v>
      </c>
      <c r="Q55" s="43">
        <f t="shared" si="55"/>
        <v>10</v>
      </c>
      <c r="R55" s="35">
        <v>7</v>
      </c>
      <c r="S55" s="8">
        <v>9</v>
      </c>
      <c r="T55" s="43">
        <f t="shared" si="56"/>
        <v>16</v>
      </c>
      <c r="U55" s="35">
        <v>6</v>
      </c>
      <c r="V55" s="8">
        <v>9</v>
      </c>
      <c r="W55" s="43">
        <f t="shared" si="57"/>
        <v>15</v>
      </c>
      <c r="X55" s="8">
        <f t="shared" si="58"/>
        <v>41</v>
      </c>
      <c r="Y55" s="53">
        <v>45096</v>
      </c>
    </row>
    <row r="56" spans="2:25" x14ac:dyDescent="0.15">
      <c r="B56" s="7" t="s">
        <v>12</v>
      </c>
      <c r="C56" s="30"/>
      <c r="D56" s="25">
        <v>1</v>
      </c>
      <c r="E56" s="43">
        <f t="shared" si="52"/>
        <v>1</v>
      </c>
      <c r="F56" s="35"/>
      <c r="G56" s="8"/>
      <c r="H56" s="43">
        <f t="shared" si="53"/>
        <v>0</v>
      </c>
      <c r="I56" s="35"/>
      <c r="J56" s="8"/>
      <c r="K56" s="43">
        <f t="shared" si="54"/>
        <v>0</v>
      </c>
      <c r="L56" s="8">
        <f t="shared" si="50"/>
        <v>1</v>
      </c>
      <c r="M56" s="53">
        <v>45097</v>
      </c>
      <c r="N56" s="7" t="s">
        <v>41</v>
      </c>
      <c r="O56" s="30">
        <v>7</v>
      </c>
      <c r="P56" s="25">
        <v>6</v>
      </c>
      <c r="Q56" s="43">
        <f t="shared" ref="Q56" si="80">SUM(O56:P56)</f>
        <v>13</v>
      </c>
      <c r="R56" s="35">
        <v>6</v>
      </c>
      <c r="S56" s="8">
        <v>9</v>
      </c>
      <c r="T56" s="43">
        <f t="shared" ref="T56" si="81">SUM(R56:S56)</f>
        <v>15</v>
      </c>
      <c r="U56" s="35">
        <v>7</v>
      </c>
      <c r="V56" s="8">
        <v>4</v>
      </c>
      <c r="W56" s="43">
        <f t="shared" ref="W56" si="82">SUM(U56:V56)</f>
        <v>11</v>
      </c>
      <c r="X56" s="8">
        <f t="shared" ref="X56" si="83">SUM(W56,T56,Q56)</f>
        <v>39</v>
      </c>
      <c r="Y56" s="53">
        <v>45098</v>
      </c>
    </row>
    <row r="57" spans="2:25" x14ac:dyDescent="0.15">
      <c r="B57" s="7" t="s">
        <v>13</v>
      </c>
      <c r="C57" s="30"/>
      <c r="D57" s="25"/>
      <c r="E57" s="43">
        <f t="shared" si="52"/>
        <v>0</v>
      </c>
      <c r="F57" s="35"/>
      <c r="G57" s="8">
        <v>1</v>
      </c>
      <c r="H57" s="43">
        <f t="shared" si="53"/>
        <v>1</v>
      </c>
      <c r="I57" s="35"/>
      <c r="J57" s="8"/>
      <c r="K57" s="43">
        <f t="shared" si="54"/>
        <v>0</v>
      </c>
      <c r="L57" s="8">
        <f t="shared" si="50"/>
        <v>1</v>
      </c>
      <c r="M57" s="53">
        <v>45098</v>
      </c>
      <c r="N57" s="7" t="s">
        <v>42</v>
      </c>
      <c r="O57" s="30"/>
      <c r="P57" s="25"/>
      <c r="Q57" s="43">
        <f t="shared" si="55"/>
        <v>0</v>
      </c>
      <c r="R57" s="35">
        <v>2</v>
      </c>
      <c r="S57" s="8">
        <v>5</v>
      </c>
      <c r="T57" s="43">
        <f t="shared" si="56"/>
        <v>7</v>
      </c>
      <c r="U57" s="35">
        <v>3</v>
      </c>
      <c r="V57" s="8">
        <v>1</v>
      </c>
      <c r="W57" s="43">
        <f t="shared" si="57"/>
        <v>4</v>
      </c>
      <c r="X57" s="8">
        <f t="shared" si="58"/>
        <v>11</v>
      </c>
      <c r="Y57" s="53">
        <v>45099</v>
      </c>
    </row>
    <row r="58" spans="2:25" x14ac:dyDescent="0.15">
      <c r="B58" s="7" t="s">
        <v>12</v>
      </c>
      <c r="C58" s="30"/>
      <c r="D58" s="25">
        <v>1</v>
      </c>
      <c r="E58" s="43">
        <f t="shared" si="52"/>
        <v>1</v>
      </c>
      <c r="F58" s="35"/>
      <c r="G58" s="8"/>
      <c r="H58" s="43">
        <f t="shared" si="53"/>
        <v>0</v>
      </c>
      <c r="I58" s="35"/>
      <c r="J58" s="8"/>
      <c r="K58" s="43">
        <f t="shared" si="54"/>
        <v>0</v>
      </c>
      <c r="L58" s="8">
        <f t="shared" si="50"/>
        <v>1</v>
      </c>
      <c r="M58" s="53">
        <v>45098</v>
      </c>
      <c r="N58" s="7" t="s">
        <v>43</v>
      </c>
      <c r="O58" s="30"/>
      <c r="P58" s="25"/>
      <c r="Q58" s="43">
        <f t="shared" si="55"/>
        <v>0</v>
      </c>
      <c r="R58" s="35"/>
      <c r="S58" s="8">
        <v>3</v>
      </c>
      <c r="T58" s="43">
        <f t="shared" si="56"/>
        <v>3</v>
      </c>
      <c r="U58" s="35"/>
      <c r="V58" s="8">
        <v>6</v>
      </c>
      <c r="W58" s="43">
        <f t="shared" si="57"/>
        <v>6</v>
      </c>
      <c r="X58" s="8">
        <f t="shared" si="58"/>
        <v>9</v>
      </c>
      <c r="Y58" s="53">
        <v>45100</v>
      </c>
    </row>
    <row r="59" spans="2:25" x14ac:dyDescent="0.15">
      <c r="B59" s="7" t="s">
        <v>12</v>
      </c>
      <c r="C59" s="30"/>
      <c r="D59" s="25"/>
      <c r="E59" s="43">
        <f t="shared" si="52"/>
        <v>0</v>
      </c>
      <c r="F59" s="35"/>
      <c r="G59" s="8">
        <v>1</v>
      </c>
      <c r="H59" s="43">
        <f t="shared" si="53"/>
        <v>1</v>
      </c>
      <c r="I59" s="35"/>
      <c r="J59" s="8"/>
      <c r="K59" s="43">
        <f t="shared" si="54"/>
        <v>0</v>
      </c>
      <c r="L59" s="8">
        <f t="shared" si="50"/>
        <v>1</v>
      </c>
      <c r="M59" s="53">
        <v>45099</v>
      </c>
      <c r="N59" s="7" t="s">
        <v>44</v>
      </c>
      <c r="O59" s="30"/>
      <c r="P59" s="25"/>
      <c r="Q59" s="43">
        <f t="shared" si="55"/>
        <v>0</v>
      </c>
      <c r="R59" s="35">
        <v>4</v>
      </c>
      <c r="S59" s="8"/>
      <c r="T59" s="43">
        <f t="shared" si="56"/>
        <v>4</v>
      </c>
      <c r="U59" s="35"/>
      <c r="V59" s="8">
        <v>3</v>
      </c>
      <c r="W59" s="43">
        <f t="shared" si="57"/>
        <v>3</v>
      </c>
      <c r="X59" s="8">
        <f t="shared" si="58"/>
        <v>7</v>
      </c>
      <c r="Y59" s="53">
        <v>45103</v>
      </c>
    </row>
    <row r="60" spans="2:25" x14ac:dyDescent="0.15">
      <c r="B60" s="7" t="s">
        <v>12</v>
      </c>
      <c r="C60" s="30"/>
      <c r="D60" s="25"/>
      <c r="E60" s="43">
        <f t="shared" si="52"/>
        <v>0</v>
      </c>
      <c r="F60" s="35"/>
      <c r="G60" s="8"/>
      <c r="H60" s="43">
        <f t="shared" si="53"/>
        <v>0</v>
      </c>
      <c r="I60" s="35">
        <v>1</v>
      </c>
      <c r="J60" s="8"/>
      <c r="K60" s="43">
        <f t="shared" si="54"/>
        <v>1</v>
      </c>
      <c r="L60" s="8">
        <f t="shared" si="50"/>
        <v>1</v>
      </c>
      <c r="M60" s="53">
        <v>45100</v>
      </c>
      <c r="N60" s="7" t="s">
        <v>28</v>
      </c>
      <c r="O60" s="30">
        <v>5</v>
      </c>
      <c r="P60" s="25">
        <v>10</v>
      </c>
      <c r="Q60" s="43">
        <f t="shared" si="55"/>
        <v>15</v>
      </c>
      <c r="R60" s="35">
        <v>5</v>
      </c>
      <c r="S60" s="8">
        <v>10</v>
      </c>
      <c r="T60" s="43">
        <f t="shared" si="56"/>
        <v>15</v>
      </c>
      <c r="U60" s="35">
        <v>5</v>
      </c>
      <c r="V60" s="8">
        <v>10</v>
      </c>
      <c r="W60" s="43">
        <f t="shared" si="57"/>
        <v>15</v>
      </c>
      <c r="X60" s="8">
        <f t="shared" si="58"/>
        <v>45</v>
      </c>
      <c r="Y60" s="53">
        <v>45103</v>
      </c>
    </row>
    <row r="61" spans="2:25" x14ac:dyDescent="0.15">
      <c r="B61" s="7" t="s">
        <v>13</v>
      </c>
      <c r="C61" s="30"/>
      <c r="D61" s="25"/>
      <c r="E61" s="43">
        <f t="shared" si="52"/>
        <v>0</v>
      </c>
      <c r="F61" s="35"/>
      <c r="G61" s="8">
        <v>1</v>
      </c>
      <c r="H61" s="43">
        <f t="shared" si="53"/>
        <v>1</v>
      </c>
      <c r="I61" s="35"/>
      <c r="J61" s="8"/>
      <c r="K61" s="43">
        <f t="shared" si="54"/>
        <v>0</v>
      </c>
      <c r="L61" s="8">
        <f t="shared" si="50"/>
        <v>1</v>
      </c>
      <c r="M61" s="53">
        <v>45104</v>
      </c>
      <c r="N61" s="7" t="s">
        <v>45</v>
      </c>
      <c r="O61" s="30">
        <v>1</v>
      </c>
      <c r="P61" s="25"/>
      <c r="Q61" s="43">
        <f t="shared" si="55"/>
        <v>1</v>
      </c>
      <c r="R61" s="35">
        <v>3</v>
      </c>
      <c r="S61" s="8"/>
      <c r="T61" s="43">
        <f t="shared" si="56"/>
        <v>3</v>
      </c>
      <c r="U61" s="35"/>
      <c r="V61" s="8"/>
      <c r="W61" s="43">
        <f t="shared" si="57"/>
        <v>0</v>
      </c>
      <c r="X61" s="8">
        <f t="shared" si="58"/>
        <v>4</v>
      </c>
      <c r="Y61" s="53">
        <v>45104</v>
      </c>
    </row>
    <row r="62" spans="2:25" x14ac:dyDescent="0.15">
      <c r="B62" s="7" t="s">
        <v>12</v>
      </c>
      <c r="C62" s="30"/>
      <c r="D62" s="25"/>
      <c r="E62" s="43">
        <f t="shared" si="52"/>
        <v>0</v>
      </c>
      <c r="F62" s="35">
        <v>1</v>
      </c>
      <c r="G62" s="8">
        <v>2</v>
      </c>
      <c r="H62" s="43">
        <f t="shared" si="53"/>
        <v>3</v>
      </c>
      <c r="I62" s="35">
        <v>1</v>
      </c>
      <c r="J62" s="8">
        <v>1</v>
      </c>
      <c r="K62" s="43">
        <f t="shared" si="54"/>
        <v>2</v>
      </c>
      <c r="L62" s="8">
        <f t="shared" si="50"/>
        <v>5</v>
      </c>
      <c r="M62" s="53">
        <v>45103</v>
      </c>
      <c r="N62" s="7" t="s">
        <v>49</v>
      </c>
      <c r="O62" s="30"/>
      <c r="P62" s="25">
        <v>3</v>
      </c>
      <c r="Q62" s="43">
        <f t="shared" si="55"/>
        <v>3</v>
      </c>
      <c r="R62" s="35"/>
      <c r="S62" s="8"/>
      <c r="T62" s="43">
        <f t="shared" si="56"/>
        <v>0</v>
      </c>
      <c r="U62" s="35">
        <v>1</v>
      </c>
      <c r="V62" s="8">
        <v>3</v>
      </c>
      <c r="W62" s="43">
        <f t="shared" si="57"/>
        <v>4</v>
      </c>
      <c r="X62" s="8">
        <f t="shared" si="58"/>
        <v>7</v>
      </c>
      <c r="Y62" s="53">
        <v>45105</v>
      </c>
    </row>
    <row r="63" spans="2:25" x14ac:dyDescent="0.15">
      <c r="B63" s="7" t="s">
        <v>12</v>
      </c>
      <c r="C63" s="33"/>
      <c r="D63" s="27"/>
      <c r="E63" s="43">
        <f t="shared" si="52"/>
        <v>0</v>
      </c>
      <c r="F63" s="37"/>
      <c r="G63" s="10"/>
      <c r="H63" s="43">
        <f t="shared" si="53"/>
        <v>0</v>
      </c>
      <c r="I63" s="37"/>
      <c r="J63" s="10">
        <v>1</v>
      </c>
      <c r="K63" s="43">
        <f t="shared" si="54"/>
        <v>1</v>
      </c>
      <c r="L63" s="8">
        <f t="shared" si="50"/>
        <v>1</v>
      </c>
      <c r="M63" s="54">
        <v>45104</v>
      </c>
      <c r="N63" s="7"/>
      <c r="O63" s="33"/>
      <c r="P63" s="27"/>
      <c r="Q63" s="43">
        <f t="shared" ref="Q63" si="84">SUM(O63:P63)</f>
        <v>0</v>
      </c>
      <c r="R63" s="37"/>
      <c r="S63" s="10"/>
      <c r="T63" s="43">
        <f t="shared" ref="T63" si="85">SUM(R63:S63)</f>
        <v>0</v>
      </c>
      <c r="U63" s="37"/>
      <c r="V63" s="10"/>
      <c r="W63" s="43">
        <f t="shared" ref="W63" si="86">SUM(U63:V63)</f>
        <v>0</v>
      </c>
      <c r="X63" s="8">
        <f t="shared" ref="X63" si="87">SUM(W63,T63,Q63)</f>
        <v>0</v>
      </c>
      <c r="Y63" s="54"/>
    </row>
    <row r="64" spans="2:25" x14ac:dyDescent="0.15">
      <c r="B64" s="7" t="s">
        <v>50</v>
      </c>
      <c r="C64" s="30">
        <v>1</v>
      </c>
      <c r="D64" s="25"/>
      <c r="E64" s="43">
        <f t="shared" si="52"/>
        <v>1</v>
      </c>
      <c r="F64" s="35"/>
      <c r="G64" s="8"/>
      <c r="H64" s="43">
        <f t="shared" si="53"/>
        <v>0</v>
      </c>
      <c r="I64" s="35"/>
      <c r="J64" s="8"/>
      <c r="K64" s="43">
        <f t="shared" si="54"/>
        <v>0</v>
      </c>
      <c r="L64" s="8">
        <f t="shared" si="50"/>
        <v>1</v>
      </c>
      <c r="M64" s="53">
        <v>45106</v>
      </c>
      <c r="N64" s="7"/>
      <c r="O64" s="33"/>
      <c r="P64" s="27"/>
      <c r="Q64" s="43">
        <f t="shared" si="55"/>
        <v>0</v>
      </c>
      <c r="R64" s="37"/>
      <c r="S64" s="10"/>
      <c r="T64" s="43">
        <f t="shared" si="56"/>
        <v>0</v>
      </c>
      <c r="U64" s="37"/>
      <c r="V64" s="10"/>
      <c r="W64" s="43">
        <f t="shared" si="57"/>
        <v>0</v>
      </c>
      <c r="X64" s="8">
        <f t="shared" si="58"/>
        <v>0</v>
      </c>
      <c r="Y64" s="54"/>
    </row>
    <row r="65" spans="2:25" x14ac:dyDescent="0.15">
      <c r="B65" s="7" t="s">
        <v>51</v>
      </c>
      <c r="C65" s="30"/>
      <c r="D65" s="25">
        <v>1</v>
      </c>
      <c r="E65" s="43">
        <f t="shared" si="52"/>
        <v>1</v>
      </c>
      <c r="F65" s="35"/>
      <c r="G65" s="8"/>
      <c r="H65" s="43">
        <f t="shared" si="53"/>
        <v>0</v>
      </c>
      <c r="I65" s="35"/>
      <c r="J65" s="8">
        <v>3</v>
      </c>
      <c r="K65" s="43">
        <f t="shared" si="54"/>
        <v>3</v>
      </c>
      <c r="L65" s="8">
        <f t="shared" si="50"/>
        <v>4</v>
      </c>
      <c r="M65" s="53">
        <v>45107</v>
      </c>
      <c r="N65" s="7"/>
      <c r="O65" s="30"/>
      <c r="P65" s="25"/>
      <c r="Q65" s="43">
        <f t="shared" si="55"/>
        <v>0</v>
      </c>
      <c r="R65" s="35"/>
      <c r="S65" s="8"/>
      <c r="T65" s="43">
        <f t="shared" si="56"/>
        <v>0</v>
      </c>
      <c r="U65" s="35"/>
      <c r="V65" s="8"/>
      <c r="W65" s="43">
        <f t="shared" si="57"/>
        <v>0</v>
      </c>
      <c r="X65" s="8">
        <f t="shared" si="58"/>
        <v>0</v>
      </c>
      <c r="Y65" s="53"/>
    </row>
    <row r="66" spans="2:25" x14ac:dyDescent="0.15">
      <c r="B66" s="7" t="s">
        <v>12</v>
      </c>
      <c r="C66" s="33"/>
      <c r="D66" s="27"/>
      <c r="E66" s="43">
        <f t="shared" si="52"/>
        <v>0</v>
      </c>
      <c r="F66" s="37"/>
      <c r="G66" s="10"/>
      <c r="H66" s="43">
        <f t="shared" si="53"/>
        <v>0</v>
      </c>
      <c r="I66" s="37"/>
      <c r="J66" s="10">
        <v>1</v>
      </c>
      <c r="K66" s="43">
        <f t="shared" si="54"/>
        <v>1</v>
      </c>
      <c r="L66" s="8">
        <f t="shared" si="50"/>
        <v>1</v>
      </c>
      <c r="M66" s="54">
        <v>45111</v>
      </c>
      <c r="N66" s="7"/>
      <c r="O66" s="33"/>
      <c r="P66" s="27"/>
      <c r="Q66" s="43">
        <f t="shared" si="55"/>
        <v>0</v>
      </c>
      <c r="R66" s="37"/>
      <c r="S66" s="10"/>
      <c r="T66" s="43">
        <f t="shared" si="56"/>
        <v>0</v>
      </c>
      <c r="U66" s="37"/>
      <c r="V66" s="10"/>
      <c r="W66" s="43">
        <f t="shared" si="57"/>
        <v>0</v>
      </c>
      <c r="X66" s="8">
        <f t="shared" si="58"/>
        <v>0</v>
      </c>
      <c r="Y66" s="54"/>
    </row>
    <row r="67" spans="2:25" x14ac:dyDescent="0.15">
      <c r="B67" s="7"/>
      <c r="C67" s="33"/>
      <c r="D67" s="27"/>
      <c r="E67" s="43">
        <f t="shared" si="52"/>
        <v>0</v>
      </c>
      <c r="F67" s="37"/>
      <c r="G67" s="10"/>
      <c r="H67" s="43">
        <f t="shared" si="53"/>
        <v>0</v>
      </c>
      <c r="I67" s="37"/>
      <c r="J67" s="10"/>
      <c r="K67" s="43">
        <f t="shared" si="54"/>
        <v>0</v>
      </c>
      <c r="L67" s="8">
        <f t="shared" si="50"/>
        <v>0</v>
      </c>
      <c r="M67" s="54"/>
      <c r="N67" s="7"/>
      <c r="O67" s="33"/>
      <c r="P67" s="27"/>
      <c r="Q67" s="43">
        <f t="shared" si="55"/>
        <v>0</v>
      </c>
      <c r="R67" s="37"/>
      <c r="S67" s="10"/>
      <c r="T67" s="43">
        <f t="shared" si="56"/>
        <v>0</v>
      </c>
      <c r="U67" s="37"/>
      <c r="V67" s="10"/>
      <c r="W67" s="43">
        <f t="shared" si="57"/>
        <v>0</v>
      </c>
      <c r="X67" s="8">
        <f t="shared" si="58"/>
        <v>0</v>
      </c>
      <c r="Y67" s="54"/>
    </row>
    <row r="68" spans="2:25" x14ac:dyDescent="0.15">
      <c r="B68" s="7"/>
      <c r="C68" s="33"/>
      <c r="D68" s="27"/>
      <c r="E68" s="43">
        <f t="shared" si="52"/>
        <v>0</v>
      </c>
      <c r="F68" s="37"/>
      <c r="G68" s="10"/>
      <c r="H68" s="43">
        <f t="shared" si="53"/>
        <v>0</v>
      </c>
      <c r="I68" s="37"/>
      <c r="J68" s="10"/>
      <c r="K68" s="43">
        <f t="shared" si="54"/>
        <v>0</v>
      </c>
      <c r="L68" s="8">
        <f t="shared" si="50"/>
        <v>0</v>
      </c>
      <c r="M68" s="54"/>
      <c r="N68" s="7"/>
      <c r="O68" s="33"/>
      <c r="P68" s="27"/>
      <c r="Q68" s="43">
        <f t="shared" si="55"/>
        <v>0</v>
      </c>
      <c r="R68" s="37"/>
      <c r="S68" s="10"/>
      <c r="T68" s="43">
        <f t="shared" si="56"/>
        <v>0</v>
      </c>
      <c r="U68" s="37"/>
      <c r="V68" s="10"/>
      <c r="W68" s="43">
        <f t="shared" si="57"/>
        <v>0</v>
      </c>
      <c r="X68" s="8">
        <f t="shared" si="58"/>
        <v>0</v>
      </c>
      <c r="Y68" s="54"/>
    </row>
    <row r="69" spans="2:25" x14ac:dyDescent="0.15">
      <c r="B69" s="7"/>
      <c r="C69" s="33"/>
      <c r="D69" s="27"/>
      <c r="E69" s="43">
        <f t="shared" si="52"/>
        <v>0</v>
      </c>
      <c r="F69" s="37"/>
      <c r="G69" s="10"/>
      <c r="H69" s="43">
        <f t="shared" si="53"/>
        <v>0</v>
      </c>
      <c r="I69" s="37"/>
      <c r="J69" s="10"/>
      <c r="K69" s="43">
        <f t="shared" si="54"/>
        <v>0</v>
      </c>
      <c r="L69" s="8">
        <f t="shared" si="50"/>
        <v>0</v>
      </c>
      <c r="M69" s="54"/>
      <c r="N69" s="7"/>
      <c r="O69" s="33"/>
      <c r="P69" s="27"/>
      <c r="Q69" s="43">
        <f t="shared" si="55"/>
        <v>0</v>
      </c>
      <c r="R69" s="37"/>
      <c r="S69" s="10"/>
      <c r="T69" s="43">
        <f t="shared" si="56"/>
        <v>0</v>
      </c>
      <c r="U69" s="37"/>
      <c r="V69" s="10"/>
      <c r="W69" s="43">
        <f t="shared" si="57"/>
        <v>0</v>
      </c>
      <c r="X69" s="8">
        <f t="shared" si="58"/>
        <v>0</v>
      </c>
      <c r="Y69" s="54"/>
    </row>
    <row r="70" spans="2:25" x14ac:dyDescent="0.15">
      <c r="B70" s="7"/>
      <c r="C70" s="33"/>
      <c r="D70" s="27"/>
      <c r="E70" s="43">
        <f t="shared" si="52"/>
        <v>0</v>
      </c>
      <c r="F70" s="37"/>
      <c r="G70" s="10"/>
      <c r="H70" s="43">
        <f t="shared" si="53"/>
        <v>0</v>
      </c>
      <c r="I70" s="37"/>
      <c r="J70" s="10"/>
      <c r="K70" s="43">
        <f t="shared" si="54"/>
        <v>0</v>
      </c>
      <c r="L70" s="8">
        <f t="shared" si="50"/>
        <v>0</v>
      </c>
      <c r="M70" s="54"/>
      <c r="N70" s="7"/>
      <c r="O70" s="33"/>
      <c r="P70" s="27"/>
      <c r="Q70" s="43">
        <f t="shared" si="55"/>
        <v>0</v>
      </c>
      <c r="R70" s="37"/>
      <c r="S70" s="10"/>
      <c r="T70" s="43">
        <f t="shared" si="56"/>
        <v>0</v>
      </c>
      <c r="U70" s="37"/>
      <c r="V70" s="10"/>
      <c r="W70" s="43">
        <f t="shared" si="57"/>
        <v>0</v>
      </c>
      <c r="X70" s="8">
        <f t="shared" si="58"/>
        <v>0</v>
      </c>
      <c r="Y70" s="54"/>
    </row>
    <row r="71" spans="2:25" x14ac:dyDescent="0.15">
      <c r="B71" s="7"/>
      <c r="C71" s="33"/>
      <c r="D71" s="27"/>
      <c r="E71" s="43">
        <f t="shared" si="52"/>
        <v>0</v>
      </c>
      <c r="F71" s="37"/>
      <c r="G71" s="10"/>
      <c r="H71" s="43">
        <f t="shared" si="53"/>
        <v>0</v>
      </c>
      <c r="I71" s="37"/>
      <c r="J71" s="10"/>
      <c r="K71" s="43">
        <f t="shared" si="54"/>
        <v>0</v>
      </c>
      <c r="L71" s="8">
        <f t="shared" si="50"/>
        <v>0</v>
      </c>
      <c r="M71" s="54"/>
      <c r="N71" s="7"/>
      <c r="O71" s="33"/>
      <c r="P71" s="27"/>
      <c r="Q71" s="43">
        <f t="shared" si="55"/>
        <v>0</v>
      </c>
      <c r="R71" s="37"/>
      <c r="S71" s="10"/>
      <c r="T71" s="43">
        <f t="shared" si="56"/>
        <v>0</v>
      </c>
      <c r="U71" s="37"/>
      <c r="V71" s="10"/>
      <c r="W71" s="43">
        <f t="shared" si="57"/>
        <v>0</v>
      </c>
      <c r="X71" s="8">
        <f t="shared" si="58"/>
        <v>0</v>
      </c>
      <c r="Y71" s="54"/>
    </row>
    <row r="72" spans="2:25" x14ac:dyDescent="0.15">
      <c r="B72" s="7"/>
      <c r="C72" s="30"/>
      <c r="D72" s="25"/>
      <c r="E72" s="43">
        <f t="shared" si="52"/>
        <v>0</v>
      </c>
      <c r="F72" s="35"/>
      <c r="G72" s="8"/>
      <c r="H72" s="43">
        <f t="shared" si="53"/>
        <v>0</v>
      </c>
      <c r="I72" s="35"/>
      <c r="J72" s="8"/>
      <c r="K72" s="43">
        <f t="shared" si="54"/>
        <v>0</v>
      </c>
      <c r="L72" s="8">
        <f t="shared" si="50"/>
        <v>0</v>
      </c>
      <c r="M72" s="53"/>
      <c r="N72" s="7"/>
      <c r="O72" s="30"/>
      <c r="P72" s="25"/>
      <c r="Q72" s="43">
        <f t="shared" si="55"/>
        <v>0</v>
      </c>
      <c r="R72" s="35"/>
      <c r="S72" s="8"/>
      <c r="T72" s="43">
        <f t="shared" si="56"/>
        <v>0</v>
      </c>
      <c r="U72" s="35"/>
      <c r="V72" s="8"/>
      <c r="W72" s="43">
        <f t="shared" si="57"/>
        <v>0</v>
      </c>
      <c r="X72" s="8">
        <f t="shared" si="58"/>
        <v>0</v>
      </c>
      <c r="Y72" s="53"/>
    </row>
    <row r="73" spans="2:25" x14ac:dyDescent="0.15">
      <c r="B73" s="7"/>
      <c r="C73" s="30"/>
      <c r="D73" s="25"/>
      <c r="E73" s="43">
        <f t="shared" si="52"/>
        <v>0</v>
      </c>
      <c r="F73" s="35"/>
      <c r="G73" s="8"/>
      <c r="H73" s="43">
        <f t="shared" si="53"/>
        <v>0</v>
      </c>
      <c r="I73" s="35"/>
      <c r="J73" s="8"/>
      <c r="K73" s="43">
        <f t="shared" si="54"/>
        <v>0</v>
      </c>
      <c r="L73" s="8">
        <f t="shared" si="50"/>
        <v>0</v>
      </c>
      <c r="M73" s="53"/>
      <c r="N73" s="7"/>
      <c r="O73" s="30"/>
      <c r="P73" s="25"/>
      <c r="Q73" s="43">
        <f t="shared" si="55"/>
        <v>0</v>
      </c>
      <c r="R73" s="35"/>
      <c r="S73" s="8"/>
      <c r="T73" s="43">
        <f t="shared" si="56"/>
        <v>0</v>
      </c>
      <c r="U73" s="35"/>
      <c r="V73" s="8"/>
      <c r="W73" s="43">
        <f t="shared" si="57"/>
        <v>0</v>
      </c>
      <c r="X73" s="8">
        <f t="shared" si="58"/>
        <v>0</v>
      </c>
      <c r="Y73" s="53"/>
    </row>
    <row r="74" spans="2:25" x14ac:dyDescent="0.15">
      <c r="B74" s="7"/>
      <c r="C74" s="30"/>
      <c r="D74" s="25"/>
      <c r="E74" s="43">
        <f t="shared" si="52"/>
        <v>0</v>
      </c>
      <c r="F74" s="35"/>
      <c r="G74" s="8"/>
      <c r="H74" s="43">
        <f t="shared" si="53"/>
        <v>0</v>
      </c>
      <c r="I74" s="35"/>
      <c r="J74" s="8"/>
      <c r="K74" s="43">
        <f t="shared" si="54"/>
        <v>0</v>
      </c>
      <c r="L74" s="8">
        <f t="shared" si="50"/>
        <v>0</v>
      </c>
      <c r="M74" s="53"/>
      <c r="N74" s="7"/>
      <c r="O74" s="30"/>
      <c r="P74" s="25"/>
      <c r="Q74" s="43">
        <f t="shared" si="55"/>
        <v>0</v>
      </c>
      <c r="R74" s="35"/>
      <c r="S74" s="8"/>
      <c r="T74" s="43">
        <f t="shared" si="56"/>
        <v>0</v>
      </c>
      <c r="U74" s="35"/>
      <c r="V74" s="8"/>
      <c r="W74" s="43">
        <f t="shared" si="57"/>
        <v>0</v>
      </c>
      <c r="X74" s="8">
        <f t="shared" si="58"/>
        <v>0</v>
      </c>
      <c r="Y74" s="53"/>
    </row>
    <row r="75" spans="2:25" x14ac:dyDescent="0.15">
      <c r="B75" s="7"/>
      <c r="C75" s="30"/>
      <c r="D75" s="25"/>
      <c r="E75" s="43">
        <f t="shared" si="52"/>
        <v>0</v>
      </c>
      <c r="F75" s="35"/>
      <c r="G75" s="8"/>
      <c r="H75" s="43">
        <f t="shared" si="53"/>
        <v>0</v>
      </c>
      <c r="I75" s="35"/>
      <c r="J75" s="8"/>
      <c r="K75" s="43">
        <f t="shared" si="54"/>
        <v>0</v>
      </c>
      <c r="L75" s="8">
        <f t="shared" si="50"/>
        <v>0</v>
      </c>
      <c r="M75" s="53"/>
      <c r="N75" s="7"/>
      <c r="O75" s="30"/>
      <c r="P75" s="25"/>
      <c r="Q75" s="43">
        <f t="shared" si="55"/>
        <v>0</v>
      </c>
      <c r="R75" s="35"/>
      <c r="S75" s="8"/>
      <c r="T75" s="43">
        <f t="shared" si="56"/>
        <v>0</v>
      </c>
      <c r="U75" s="35"/>
      <c r="V75" s="8"/>
      <c r="W75" s="43">
        <f t="shared" si="57"/>
        <v>0</v>
      </c>
      <c r="X75" s="8">
        <f t="shared" si="58"/>
        <v>0</v>
      </c>
      <c r="Y75" s="53"/>
    </row>
    <row r="76" spans="2:25" x14ac:dyDescent="0.15">
      <c r="B76" s="7"/>
      <c r="C76" s="30"/>
      <c r="D76" s="25"/>
      <c r="E76" s="43">
        <f t="shared" ref="E76:E77" si="88">SUM(C76:D76)</f>
        <v>0</v>
      </c>
      <c r="F76" s="35"/>
      <c r="G76" s="8"/>
      <c r="H76" s="43">
        <f t="shared" ref="H76:H77" si="89">SUM(F76:G76)</f>
        <v>0</v>
      </c>
      <c r="I76" s="35"/>
      <c r="J76" s="8"/>
      <c r="K76" s="43">
        <f t="shared" ref="K76:K77" si="90">SUM(I76:J76)</f>
        <v>0</v>
      </c>
      <c r="L76" s="8">
        <f t="shared" ref="L76:L77" si="91">SUM(K76,H76,E76)</f>
        <v>0</v>
      </c>
      <c r="M76" s="53"/>
      <c r="N76" s="7"/>
      <c r="O76" s="30"/>
      <c r="P76" s="25"/>
      <c r="Q76" s="43">
        <f t="shared" ref="Q76" si="92">SUM(O76:P76)</f>
        <v>0</v>
      </c>
      <c r="R76" s="35"/>
      <c r="S76" s="8"/>
      <c r="T76" s="43">
        <f t="shared" ref="T76" si="93">SUM(R76:S76)</f>
        <v>0</v>
      </c>
      <c r="U76" s="35"/>
      <c r="V76" s="8"/>
      <c r="W76" s="43">
        <f t="shared" ref="W76" si="94">SUM(U76:V76)</f>
        <v>0</v>
      </c>
      <c r="X76" s="8">
        <f t="shared" ref="X76" si="95">SUM(W76,T76,Q76)</f>
        <v>0</v>
      </c>
      <c r="Y76" s="53"/>
    </row>
    <row r="77" spans="2:25" ht="14.25" thickBot="1" x14ac:dyDescent="0.2">
      <c r="B77" s="7"/>
      <c r="C77" s="30"/>
      <c r="D77" s="25"/>
      <c r="E77" s="43">
        <f t="shared" si="88"/>
        <v>0</v>
      </c>
      <c r="F77" s="35"/>
      <c r="G77" s="8"/>
      <c r="H77" s="43">
        <f t="shared" si="89"/>
        <v>0</v>
      </c>
      <c r="I77" s="35"/>
      <c r="J77" s="8"/>
      <c r="K77" s="43">
        <f t="shared" si="90"/>
        <v>0</v>
      </c>
      <c r="L77" s="8">
        <f t="shared" si="91"/>
        <v>0</v>
      </c>
      <c r="M77" s="53"/>
      <c r="N77" s="7"/>
      <c r="O77" s="30"/>
      <c r="P77" s="25"/>
      <c r="Q77" s="43">
        <f t="shared" ref="Q77" si="96">SUM(O77:P77)</f>
        <v>0</v>
      </c>
      <c r="R77" s="35"/>
      <c r="S77" s="8"/>
      <c r="T77" s="43">
        <f t="shared" ref="T77" si="97">SUM(R77:S77)</f>
        <v>0</v>
      </c>
      <c r="U77" s="35"/>
      <c r="V77" s="8"/>
      <c r="W77" s="43">
        <f t="shared" ref="W77" si="98">SUM(U77:V77)</f>
        <v>0</v>
      </c>
      <c r="X77" s="8">
        <f t="shared" ref="X77" si="99">SUM(W77,T77,Q77)</f>
        <v>0</v>
      </c>
      <c r="Y77" s="53"/>
    </row>
    <row r="78" spans="2:25" ht="14.25" thickBot="1" x14ac:dyDescent="0.2">
      <c r="B78" s="5" t="s">
        <v>1</v>
      </c>
      <c r="C78" s="32">
        <f>SUM(C53:C77)</f>
        <v>1</v>
      </c>
      <c r="D78" s="19">
        <f>SUM(D53:D77)</f>
        <v>4</v>
      </c>
      <c r="E78" s="44">
        <f t="shared" si="52"/>
        <v>5</v>
      </c>
      <c r="F78" s="32">
        <f>SUM(F53:F77)</f>
        <v>4</v>
      </c>
      <c r="G78" s="19">
        <f>SUM(G53:G77)</f>
        <v>9</v>
      </c>
      <c r="H78" s="44">
        <f t="shared" si="53"/>
        <v>13</v>
      </c>
      <c r="I78" s="32">
        <f>SUM(I53:I77)</f>
        <v>4</v>
      </c>
      <c r="J78" s="19">
        <f>SUM(J53:J77)</f>
        <v>9</v>
      </c>
      <c r="K78" s="44">
        <f t="shared" si="54"/>
        <v>13</v>
      </c>
      <c r="L78" s="4">
        <f t="shared" si="50"/>
        <v>31</v>
      </c>
      <c r="N78" s="5" t="s">
        <v>1</v>
      </c>
      <c r="O78" s="32">
        <f>SUM(O53:O77)</f>
        <v>18</v>
      </c>
      <c r="P78" s="19">
        <f t="shared" ref="P78" si="100">SUM(P53:P77)</f>
        <v>27</v>
      </c>
      <c r="Q78" s="44">
        <f t="shared" ref="Q78" si="101">SUM(Q53:Q77)</f>
        <v>45</v>
      </c>
      <c r="R78" s="32">
        <f t="shared" ref="R78" si="102">SUM(R53:R77)</f>
        <v>37</v>
      </c>
      <c r="S78" s="19">
        <f t="shared" ref="S78" si="103">SUM(S53:S77)</f>
        <v>43</v>
      </c>
      <c r="T78" s="44">
        <f t="shared" ref="T78" si="104">SUM(T53:T77)</f>
        <v>80</v>
      </c>
      <c r="U78" s="32">
        <f t="shared" ref="U78" si="105">SUM(U53:U77)</f>
        <v>27</v>
      </c>
      <c r="V78" s="19">
        <f t="shared" ref="V78" si="106">SUM(V53:V77)</f>
        <v>42</v>
      </c>
      <c r="W78" s="44">
        <f t="shared" ref="W78" si="107">SUM(W53:W77)</f>
        <v>69</v>
      </c>
      <c r="X78" s="4">
        <f t="shared" ref="X78" si="108">SUM(X53:X77)</f>
        <v>194</v>
      </c>
    </row>
    <row r="79" spans="2:25" ht="14.25" thickBot="1" x14ac:dyDescent="0.2">
      <c r="B79" s="3" t="s">
        <v>0</v>
      </c>
      <c r="C79" s="34">
        <f>+C52-C78</f>
        <v>8</v>
      </c>
      <c r="D79" s="2">
        <f>+D52-D78</f>
        <v>9</v>
      </c>
      <c r="E79" s="45">
        <f t="shared" si="52"/>
        <v>17</v>
      </c>
      <c r="F79" s="34">
        <f>+F52-F78</f>
        <v>9</v>
      </c>
      <c r="G79" s="2">
        <f>+G52-G78</f>
        <v>12</v>
      </c>
      <c r="H79" s="45">
        <f t="shared" si="53"/>
        <v>21</v>
      </c>
      <c r="I79" s="34">
        <f>+I52-I78</f>
        <v>10</v>
      </c>
      <c r="J79" s="2">
        <f>+J52-J78</f>
        <v>8</v>
      </c>
      <c r="K79" s="45">
        <f t="shared" si="54"/>
        <v>18</v>
      </c>
      <c r="L79" s="2">
        <f t="shared" si="50"/>
        <v>56</v>
      </c>
      <c r="N79" s="59" t="s">
        <v>0</v>
      </c>
      <c r="O79" s="34">
        <f>+O52-O78</f>
        <v>52</v>
      </c>
      <c r="P79" s="2">
        <f t="shared" ref="P79" si="109">+P52-P78</f>
        <v>45</v>
      </c>
      <c r="Q79" s="45">
        <f t="shared" ref="Q79" si="110">+Q52-Q78</f>
        <v>97</v>
      </c>
      <c r="R79" s="34">
        <f t="shared" ref="R79" si="111">+R52-R78</f>
        <v>26</v>
      </c>
      <c r="S79" s="2">
        <f t="shared" ref="S79" si="112">+S52-S78</f>
        <v>34</v>
      </c>
      <c r="T79" s="45">
        <f t="shared" ref="T79" si="113">+T52-T78</f>
        <v>60</v>
      </c>
      <c r="U79" s="34">
        <f t="shared" ref="U79" si="114">+U52-U78</f>
        <v>27</v>
      </c>
      <c r="V79" s="2">
        <f t="shared" ref="V79" si="115">+V52-V78</f>
        <v>23</v>
      </c>
      <c r="W79" s="45">
        <f t="shared" ref="W79" si="116">+W52-W78</f>
        <v>50</v>
      </c>
      <c r="X79" s="2">
        <f t="shared" ref="X79" si="117">+X52-X78</f>
        <v>207</v>
      </c>
    </row>
    <row r="81" spans="2:25" ht="18.75" x14ac:dyDescent="0.2">
      <c r="B81" s="23" t="s">
        <v>11</v>
      </c>
      <c r="C81" s="21"/>
      <c r="D81" s="21"/>
      <c r="E81" s="21"/>
      <c r="F81" s="21"/>
      <c r="G81" s="21"/>
      <c r="H81" s="21"/>
      <c r="I81" s="21"/>
      <c r="J81" s="21"/>
      <c r="K81" s="21"/>
      <c r="L81" s="21"/>
      <c r="N81" s="47" t="s">
        <v>25</v>
      </c>
      <c r="O81" s="48"/>
      <c r="P81" s="48"/>
      <c r="Q81" s="48"/>
      <c r="R81" s="48"/>
      <c r="S81" s="48"/>
      <c r="T81" s="48"/>
      <c r="U81" s="48"/>
      <c r="V81" s="48"/>
      <c r="W81" s="48"/>
      <c r="X81" s="48"/>
    </row>
    <row r="82" spans="2:25" ht="14.25" x14ac:dyDescent="0.15">
      <c r="B82" s="22" t="s">
        <v>10</v>
      </c>
      <c r="C82" s="21"/>
      <c r="D82" s="21"/>
      <c r="E82" s="21"/>
      <c r="F82" s="21"/>
      <c r="G82" s="21"/>
      <c r="H82" s="21"/>
      <c r="I82" s="21"/>
      <c r="J82" s="21"/>
      <c r="K82" s="21"/>
      <c r="L82" s="21"/>
      <c r="N82" s="49" t="s">
        <v>10</v>
      </c>
      <c r="O82" s="48"/>
      <c r="P82" s="48"/>
      <c r="Q82" s="48"/>
      <c r="R82" s="48"/>
      <c r="S82" s="48"/>
      <c r="T82" s="48"/>
      <c r="U82" s="48"/>
      <c r="V82" s="48"/>
      <c r="W82" s="48"/>
      <c r="X82" s="48"/>
    </row>
    <row r="83" spans="2:25" ht="14.25" thickBot="1" x14ac:dyDescent="0.2">
      <c r="N83" s="1"/>
    </row>
    <row r="84" spans="2:25" ht="14.25" thickBot="1" x14ac:dyDescent="0.2">
      <c r="B84" s="20"/>
      <c r="C84" s="208" t="s">
        <v>9</v>
      </c>
      <c r="D84" s="209"/>
      <c r="E84" s="210"/>
      <c r="F84" s="208" t="s">
        <v>8</v>
      </c>
      <c r="G84" s="209"/>
      <c r="H84" s="210"/>
      <c r="I84" s="208" t="s">
        <v>7</v>
      </c>
      <c r="J84" s="209"/>
      <c r="K84" s="210"/>
      <c r="L84" s="19"/>
      <c r="N84" s="20"/>
      <c r="O84" s="208" t="s">
        <v>9</v>
      </c>
      <c r="P84" s="209"/>
      <c r="Q84" s="210"/>
      <c r="R84" s="208" t="s">
        <v>8</v>
      </c>
      <c r="S84" s="209"/>
      <c r="T84" s="210"/>
      <c r="U84" s="208" t="s">
        <v>7</v>
      </c>
      <c r="V84" s="209"/>
      <c r="W84" s="210"/>
      <c r="X84" s="19"/>
    </row>
    <row r="85" spans="2:25" ht="14.25" thickBot="1" x14ac:dyDescent="0.2">
      <c r="B85" s="18"/>
      <c r="C85" s="28" t="s">
        <v>6</v>
      </c>
      <c r="D85" s="17" t="s">
        <v>5</v>
      </c>
      <c r="E85" s="38" t="s">
        <v>4</v>
      </c>
      <c r="F85" s="28" t="s">
        <v>6</v>
      </c>
      <c r="G85" s="17" t="s">
        <v>5</v>
      </c>
      <c r="H85" s="38" t="s">
        <v>4</v>
      </c>
      <c r="I85" s="28" t="s">
        <v>6</v>
      </c>
      <c r="J85" s="17" t="s">
        <v>5</v>
      </c>
      <c r="K85" s="38" t="s">
        <v>4</v>
      </c>
      <c r="L85" s="17" t="s">
        <v>4</v>
      </c>
      <c r="N85" s="18"/>
      <c r="O85" s="28" t="s">
        <v>6</v>
      </c>
      <c r="P85" s="17" t="s">
        <v>5</v>
      </c>
      <c r="Q85" s="38" t="s">
        <v>4</v>
      </c>
      <c r="R85" s="28" t="s">
        <v>6</v>
      </c>
      <c r="S85" s="17" t="s">
        <v>5</v>
      </c>
      <c r="T85" s="38" t="s">
        <v>4</v>
      </c>
      <c r="U85" s="28" t="s">
        <v>6</v>
      </c>
      <c r="V85" s="17" t="s">
        <v>5</v>
      </c>
      <c r="W85" s="38" t="s">
        <v>4</v>
      </c>
      <c r="X85" s="17" t="s">
        <v>4</v>
      </c>
    </row>
    <row r="86" spans="2:25" x14ac:dyDescent="0.15">
      <c r="B86" s="66" t="s">
        <v>0</v>
      </c>
      <c r="C86" s="67">
        <f t="shared" ref="C86:K86" si="118">C79</f>
        <v>8</v>
      </c>
      <c r="D86" s="68">
        <f t="shared" si="118"/>
        <v>9</v>
      </c>
      <c r="E86" s="69">
        <f t="shared" si="118"/>
        <v>17</v>
      </c>
      <c r="F86" s="67">
        <f t="shared" si="118"/>
        <v>9</v>
      </c>
      <c r="G86" s="68">
        <f t="shared" si="118"/>
        <v>12</v>
      </c>
      <c r="H86" s="69">
        <f t="shared" si="118"/>
        <v>21</v>
      </c>
      <c r="I86" s="67">
        <f t="shared" si="118"/>
        <v>10</v>
      </c>
      <c r="J86" s="68">
        <f t="shared" si="118"/>
        <v>8</v>
      </c>
      <c r="K86" s="69">
        <f t="shared" si="118"/>
        <v>18</v>
      </c>
      <c r="L86" s="70">
        <f t="shared" ref="L86:L119" si="119">SUM(K86,H86,E86)</f>
        <v>56</v>
      </c>
      <c r="M86" s="71"/>
      <c r="N86" s="66" t="s">
        <v>0</v>
      </c>
      <c r="O86" s="72">
        <f>O79</f>
        <v>52</v>
      </c>
      <c r="P86" s="68">
        <f t="shared" ref="P86:X86" si="120">P79</f>
        <v>45</v>
      </c>
      <c r="Q86" s="69">
        <f t="shared" si="120"/>
        <v>97</v>
      </c>
      <c r="R86" s="67">
        <f t="shared" si="120"/>
        <v>26</v>
      </c>
      <c r="S86" s="68">
        <f t="shared" si="120"/>
        <v>34</v>
      </c>
      <c r="T86" s="69">
        <f t="shared" si="120"/>
        <v>60</v>
      </c>
      <c r="U86" s="67">
        <f t="shared" si="120"/>
        <v>27</v>
      </c>
      <c r="V86" s="68">
        <f t="shared" si="120"/>
        <v>23</v>
      </c>
      <c r="W86" s="69">
        <f t="shared" si="120"/>
        <v>50</v>
      </c>
      <c r="X86" s="70">
        <f t="shared" si="120"/>
        <v>207</v>
      </c>
      <c r="Y86" s="53"/>
    </row>
    <row r="87" spans="2:25" x14ac:dyDescent="0.15">
      <c r="B87" s="16" t="s">
        <v>57</v>
      </c>
      <c r="C87" s="30">
        <v>2</v>
      </c>
      <c r="D87" s="25"/>
      <c r="E87" s="40">
        <f t="shared" ref="E87:E119" si="121">SUM(C87:D87)</f>
        <v>2</v>
      </c>
      <c r="F87" s="35"/>
      <c r="G87" s="8"/>
      <c r="H87" s="40">
        <f t="shared" ref="H87:H119" si="122">SUM(F87:G87)</f>
        <v>0</v>
      </c>
      <c r="I87" s="35"/>
      <c r="J87" s="8"/>
      <c r="K87" s="40">
        <f t="shared" ref="K87:K119" si="123">SUM(I87:J87)</f>
        <v>0</v>
      </c>
      <c r="L87" s="9">
        <f t="shared" si="119"/>
        <v>2</v>
      </c>
      <c r="M87" s="53">
        <v>45112</v>
      </c>
      <c r="N87" s="16" t="s">
        <v>3</v>
      </c>
      <c r="O87" s="62"/>
      <c r="P87" s="25"/>
      <c r="Q87" s="40">
        <f t="shared" ref="Q87:Q117" si="124">SUM(O87:P87)</f>
        <v>0</v>
      </c>
      <c r="R87" s="35"/>
      <c r="S87" s="8"/>
      <c r="T87" s="40">
        <f t="shared" ref="T87:T117" si="125">SUM(R87:S87)</f>
        <v>0</v>
      </c>
      <c r="U87" s="35"/>
      <c r="V87" s="8"/>
      <c r="W87" s="40">
        <f t="shared" ref="W87:W117" si="126">SUM(U87:V87)</f>
        <v>0</v>
      </c>
      <c r="X87" s="9">
        <f t="shared" ref="X87:X117" si="127">SUM(W87,T87,Q87)</f>
        <v>0</v>
      </c>
      <c r="Y87" s="53"/>
    </row>
    <row r="88" spans="2:25" x14ac:dyDescent="0.15">
      <c r="B88" s="16" t="s">
        <v>3</v>
      </c>
      <c r="C88" s="30"/>
      <c r="D88" s="25"/>
      <c r="E88" s="40">
        <f t="shared" si="121"/>
        <v>0</v>
      </c>
      <c r="F88" s="35"/>
      <c r="G88" s="8"/>
      <c r="H88" s="40">
        <f t="shared" si="122"/>
        <v>0</v>
      </c>
      <c r="I88" s="35">
        <v>10</v>
      </c>
      <c r="J88" s="8">
        <v>5</v>
      </c>
      <c r="K88" s="40">
        <f t="shared" si="123"/>
        <v>15</v>
      </c>
      <c r="L88" s="9">
        <f t="shared" si="119"/>
        <v>15</v>
      </c>
      <c r="M88" s="53">
        <v>45126</v>
      </c>
      <c r="N88" s="16" t="s">
        <v>52</v>
      </c>
      <c r="O88" s="62">
        <v>50</v>
      </c>
      <c r="P88" s="25">
        <v>70</v>
      </c>
      <c r="Q88" s="40">
        <f t="shared" ref="Q88" si="128">SUM(O88:P88)</f>
        <v>120</v>
      </c>
      <c r="R88" s="35">
        <v>70</v>
      </c>
      <c r="S88" s="8">
        <v>90</v>
      </c>
      <c r="T88" s="40">
        <f t="shared" ref="T88" si="129">SUM(R88:S88)</f>
        <v>160</v>
      </c>
      <c r="U88" s="35">
        <v>70</v>
      </c>
      <c r="V88" s="8">
        <v>90</v>
      </c>
      <c r="W88" s="40">
        <f t="shared" ref="W88" si="130">SUM(U88:V88)</f>
        <v>160</v>
      </c>
      <c r="X88" s="9">
        <f t="shared" ref="X88" si="131">SUM(W88,T88,Q88)</f>
        <v>440</v>
      </c>
      <c r="Y88" s="53" t="s">
        <v>53</v>
      </c>
    </row>
    <row r="89" spans="2:25" x14ac:dyDescent="0.15">
      <c r="B89" s="16" t="s">
        <v>57</v>
      </c>
      <c r="C89" s="30"/>
      <c r="D89" s="25">
        <v>3</v>
      </c>
      <c r="E89" s="40">
        <f t="shared" si="121"/>
        <v>3</v>
      </c>
      <c r="F89" s="35"/>
      <c r="G89" s="8">
        <v>5</v>
      </c>
      <c r="H89" s="40">
        <f t="shared" si="122"/>
        <v>5</v>
      </c>
      <c r="I89" s="35"/>
      <c r="J89" s="8"/>
      <c r="K89" s="40">
        <f t="shared" si="123"/>
        <v>0</v>
      </c>
      <c r="L89" s="9">
        <f t="shared" si="119"/>
        <v>8</v>
      </c>
      <c r="M89" s="53">
        <v>45133</v>
      </c>
      <c r="N89" s="16" t="s">
        <v>3</v>
      </c>
      <c r="O89" s="62"/>
      <c r="P89" s="25"/>
      <c r="Q89" s="40">
        <f t="shared" si="124"/>
        <v>0</v>
      </c>
      <c r="R89" s="35"/>
      <c r="S89" s="8"/>
      <c r="T89" s="40">
        <f t="shared" si="125"/>
        <v>0</v>
      </c>
      <c r="U89" s="35"/>
      <c r="V89" s="8"/>
      <c r="W89" s="40">
        <f t="shared" si="126"/>
        <v>0</v>
      </c>
      <c r="X89" s="9">
        <f t="shared" si="127"/>
        <v>0</v>
      </c>
      <c r="Y89" s="53"/>
    </row>
    <row r="90" spans="2:25" x14ac:dyDescent="0.15">
      <c r="B90" s="16" t="s">
        <v>3</v>
      </c>
      <c r="C90" s="30"/>
      <c r="D90" s="25"/>
      <c r="E90" s="40">
        <f t="shared" si="121"/>
        <v>0</v>
      </c>
      <c r="F90" s="35"/>
      <c r="G90" s="8"/>
      <c r="H90" s="40">
        <f t="shared" si="122"/>
        <v>0</v>
      </c>
      <c r="I90" s="35"/>
      <c r="J90" s="8"/>
      <c r="K90" s="40">
        <f t="shared" si="123"/>
        <v>0</v>
      </c>
      <c r="L90" s="9">
        <f t="shared" si="119"/>
        <v>0</v>
      </c>
      <c r="N90" s="16" t="s">
        <v>3</v>
      </c>
      <c r="O90" s="62"/>
      <c r="P90" s="25"/>
      <c r="Q90" s="40">
        <f t="shared" ref="Q90" si="132">SUM(O90:P90)</f>
        <v>0</v>
      </c>
      <c r="R90" s="35"/>
      <c r="S90" s="8"/>
      <c r="T90" s="40">
        <f t="shared" ref="T90" si="133">SUM(R90:S90)</f>
        <v>0</v>
      </c>
      <c r="U90" s="35"/>
      <c r="V90" s="8"/>
      <c r="W90" s="40">
        <f t="shared" ref="W90" si="134">SUM(U90:V90)</f>
        <v>0</v>
      </c>
      <c r="X90" s="9">
        <f t="shared" ref="X90" si="135">SUM(W90,T90,Q90)</f>
        <v>0</v>
      </c>
      <c r="Y90" s="53"/>
    </row>
    <row r="91" spans="2:25" ht="14.25" thickBot="1" x14ac:dyDescent="0.2">
      <c r="B91" s="15" t="s">
        <v>3</v>
      </c>
      <c r="C91" s="31"/>
      <c r="D91" s="26"/>
      <c r="E91" s="41">
        <f t="shared" si="121"/>
        <v>0</v>
      </c>
      <c r="F91" s="36"/>
      <c r="G91" s="6"/>
      <c r="H91" s="41">
        <f t="shared" si="122"/>
        <v>0</v>
      </c>
      <c r="I91" s="36"/>
      <c r="J91" s="6"/>
      <c r="K91" s="41">
        <f t="shared" si="123"/>
        <v>0</v>
      </c>
      <c r="L91" s="14">
        <f t="shared" si="119"/>
        <v>0</v>
      </c>
      <c r="N91" s="75" t="s">
        <v>3</v>
      </c>
      <c r="O91" s="76"/>
      <c r="P91" s="77"/>
      <c r="Q91" s="41">
        <f t="shared" ref="Q91" si="136">SUM(O91:P91)</f>
        <v>0</v>
      </c>
      <c r="R91" s="57"/>
      <c r="S91" s="77"/>
      <c r="T91" s="41">
        <f t="shared" ref="T91" si="137">SUM(R91:S91)</f>
        <v>0</v>
      </c>
      <c r="U91" s="57"/>
      <c r="V91" s="77"/>
      <c r="W91" s="41">
        <f t="shared" ref="W91" si="138">SUM(U91:V91)</f>
        <v>0</v>
      </c>
      <c r="X91" s="14">
        <f t="shared" ref="X91" si="139">SUM(W91,T91,Q91)</f>
        <v>0</v>
      </c>
      <c r="Y91" s="53"/>
    </row>
    <row r="92" spans="2:25" ht="14.25" thickBot="1" x14ac:dyDescent="0.2">
      <c r="B92" s="5" t="s">
        <v>2</v>
      </c>
      <c r="C92" s="32">
        <f>SUM(C86:C91)</f>
        <v>10</v>
      </c>
      <c r="D92" s="19">
        <f>SUM(D86:D91)</f>
        <v>12</v>
      </c>
      <c r="E92" s="42">
        <f t="shared" si="121"/>
        <v>22</v>
      </c>
      <c r="F92" s="32">
        <f>SUM(F86:F91)</f>
        <v>9</v>
      </c>
      <c r="G92" s="19">
        <f>SUM(G86:G91)</f>
        <v>17</v>
      </c>
      <c r="H92" s="42">
        <f t="shared" si="122"/>
        <v>26</v>
      </c>
      <c r="I92" s="32">
        <f>SUM(I86:I91)</f>
        <v>20</v>
      </c>
      <c r="J92" s="19">
        <f>SUM(J86:J91)</f>
        <v>13</v>
      </c>
      <c r="K92" s="42">
        <f t="shared" si="123"/>
        <v>33</v>
      </c>
      <c r="L92" s="13">
        <f t="shared" si="119"/>
        <v>81</v>
      </c>
      <c r="N92" s="63" t="s">
        <v>2</v>
      </c>
      <c r="O92" s="32">
        <f>SUM(O86:O91)</f>
        <v>102</v>
      </c>
      <c r="P92" s="19">
        <f t="shared" ref="P92" si="140">SUM(P86:P91)</f>
        <v>115</v>
      </c>
      <c r="Q92" s="42">
        <f t="shared" ref="Q92" si="141">SUM(Q86:Q91)</f>
        <v>217</v>
      </c>
      <c r="R92" s="32">
        <f t="shared" ref="R92" si="142">SUM(R86:R91)</f>
        <v>96</v>
      </c>
      <c r="S92" s="19">
        <f t="shared" ref="S92" si="143">SUM(S86:S91)</f>
        <v>124</v>
      </c>
      <c r="T92" s="42">
        <f t="shared" ref="T92" si="144">SUM(T86:T91)</f>
        <v>220</v>
      </c>
      <c r="U92" s="32">
        <f t="shared" ref="U92" si="145">SUM(U86:U91)</f>
        <v>97</v>
      </c>
      <c r="V92" s="19">
        <f t="shared" ref="V92" si="146">SUM(V86:V91)</f>
        <v>113</v>
      </c>
      <c r="W92" s="42">
        <f t="shared" ref="W92" si="147">SUM(W86:W91)</f>
        <v>210</v>
      </c>
      <c r="X92" s="13">
        <f t="shared" ref="X92" si="148">SUM(X86:X91)</f>
        <v>647</v>
      </c>
    </row>
    <row r="93" spans="2:25" x14ac:dyDescent="0.15">
      <c r="B93" s="7" t="s">
        <v>58</v>
      </c>
      <c r="C93" s="29"/>
      <c r="D93" s="24">
        <v>1</v>
      </c>
      <c r="E93" s="43">
        <f t="shared" si="121"/>
        <v>1</v>
      </c>
      <c r="F93" s="35"/>
      <c r="G93" s="8">
        <v>1</v>
      </c>
      <c r="H93" s="43">
        <f t="shared" si="122"/>
        <v>1</v>
      </c>
      <c r="I93" s="35"/>
      <c r="J93" s="8">
        <v>1</v>
      </c>
      <c r="K93" s="43">
        <f t="shared" si="123"/>
        <v>1</v>
      </c>
      <c r="L93" s="8">
        <f t="shared" si="119"/>
        <v>3</v>
      </c>
      <c r="M93" s="53">
        <v>45114</v>
      </c>
      <c r="N93" s="7" t="s">
        <v>54</v>
      </c>
      <c r="O93" s="30">
        <v>1</v>
      </c>
      <c r="P93" s="25">
        <v>2</v>
      </c>
      <c r="Q93" s="43">
        <f t="shared" si="124"/>
        <v>3</v>
      </c>
      <c r="R93" s="35"/>
      <c r="S93" s="8"/>
      <c r="T93" s="43">
        <f t="shared" si="125"/>
        <v>0</v>
      </c>
      <c r="U93" s="35">
        <v>3</v>
      </c>
      <c r="V93" s="8">
        <v>2</v>
      </c>
      <c r="W93" s="43">
        <f t="shared" si="126"/>
        <v>5</v>
      </c>
      <c r="X93" s="8">
        <f t="shared" si="127"/>
        <v>8</v>
      </c>
      <c r="Y93" s="53">
        <v>45111</v>
      </c>
    </row>
    <row r="94" spans="2:25" x14ac:dyDescent="0.15">
      <c r="B94" s="7" t="s">
        <v>60</v>
      </c>
      <c r="C94" s="30"/>
      <c r="D94" s="25">
        <v>2</v>
      </c>
      <c r="E94" s="43">
        <f t="shared" si="121"/>
        <v>2</v>
      </c>
      <c r="F94" s="35"/>
      <c r="G94" s="8"/>
      <c r="H94" s="43">
        <f t="shared" si="122"/>
        <v>0</v>
      </c>
      <c r="I94" s="35">
        <v>4</v>
      </c>
      <c r="J94" s="8"/>
      <c r="K94" s="43">
        <f t="shared" si="123"/>
        <v>4</v>
      </c>
      <c r="L94" s="8">
        <f t="shared" si="119"/>
        <v>6</v>
      </c>
      <c r="M94" s="53">
        <v>45118</v>
      </c>
      <c r="N94" s="7" t="s">
        <v>55</v>
      </c>
      <c r="O94" s="30">
        <v>6</v>
      </c>
      <c r="P94" s="25">
        <v>3</v>
      </c>
      <c r="Q94" s="43">
        <f t="shared" si="124"/>
        <v>9</v>
      </c>
      <c r="R94" s="35">
        <v>1</v>
      </c>
      <c r="S94" s="8">
        <v>5</v>
      </c>
      <c r="T94" s="43">
        <f t="shared" si="125"/>
        <v>6</v>
      </c>
      <c r="U94" s="35">
        <v>1</v>
      </c>
      <c r="V94" s="8"/>
      <c r="W94" s="43">
        <f t="shared" si="126"/>
        <v>1</v>
      </c>
      <c r="X94" s="8">
        <f t="shared" si="127"/>
        <v>16</v>
      </c>
      <c r="Y94" s="53">
        <v>45112</v>
      </c>
    </row>
    <row r="95" spans="2:25" x14ac:dyDescent="0.15">
      <c r="B95" s="7" t="s">
        <v>13</v>
      </c>
      <c r="C95" s="30"/>
      <c r="D95" s="25"/>
      <c r="E95" s="43">
        <f t="shared" si="121"/>
        <v>0</v>
      </c>
      <c r="F95" s="35"/>
      <c r="G95" s="8"/>
      <c r="H95" s="43">
        <f t="shared" si="122"/>
        <v>0</v>
      </c>
      <c r="I95" s="35"/>
      <c r="J95" s="8">
        <v>1</v>
      </c>
      <c r="K95" s="43">
        <f t="shared" si="123"/>
        <v>1</v>
      </c>
      <c r="L95" s="8">
        <f t="shared" si="119"/>
        <v>1</v>
      </c>
      <c r="M95" s="53">
        <v>45118</v>
      </c>
      <c r="N95" s="7" t="s">
        <v>56</v>
      </c>
      <c r="O95" s="30"/>
      <c r="P95" s="25">
        <v>2</v>
      </c>
      <c r="Q95" s="43">
        <f t="shared" ref="Q95" si="149">SUM(O95:P95)</f>
        <v>2</v>
      </c>
      <c r="R95" s="35"/>
      <c r="S95" s="8"/>
      <c r="T95" s="43">
        <f t="shared" ref="T95" si="150">SUM(R95:S95)</f>
        <v>0</v>
      </c>
      <c r="U95" s="35">
        <v>1</v>
      </c>
      <c r="V95" s="8"/>
      <c r="W95" s="43">
        <f t="shared" ref="W95" si="151">SUM(U95:V95)</f>
        <v>1</v>
      </c>
      <c r="X95" s="8">
        <f t="shared" ref="X95" si="152">SUM(W95,T95,Q95)</f>
        <v>3</v>
      </c>
      <c r="Y95" s="53">
        <v>45113</v>
      </c>
    </row>
    <row r="96" spans="2:25" x14ac:dyDescent="0.15">
      <c r="B96" s="7" t="s">
        <v>61</v>
      </c>
      <c r="C96" s="30"/>
      <c r="D96" s="25"/>
      <c r="E96" s="43">
        <f t="shared" si="121"/>
        <v>0</v>
      </c>
      <c r="F96" s="35"/>
      <c r="G96" s="8">
        <f>1+1</f>
        <v>2</v>
      </c>
      <c r="H96" s="43">
        <f t="shared" si="122"/>
        <v>2</v>
      </c>
      <c r="I96" s="35">
        <v>1</v>
      </c>
      <c r="J96" s="8"/>
      <c r="K96" s="43">
        <f t="shared" si="123"/>
        <v>1</v>
      </c>
      <c r="L96" s="8">
        <f t="shared" si="119"/>
        <v>3</v>
      </c>
      <c r="M96" s="53">
        <v>45117</v>
      </c>
      <c r="N96" s="7" t="s">
        <v>59</v>
      </c>
      <c r="O96" s="30"/>
      <c r="P96" s="25"/>
      <c r="Q96" s="43">
        <f t="shared" si="124"/>
        <v>0</v>
      </c>
      <c r="R96" s="35"/>
      <c r="S96" s="8"/>
      <c r="T96" s="43">
        <f t="shared" si="125"/>
        <v>0</v>
      </c>
      <c r="U96" s="35"/>
      <c r="V96" s="8">
        <v>2</v>
      </c>
      <c r="W96" s="43">
        <f t="shared" si="126"/>
        <v>2</v>
      </c>
      <c r="X96" s="8">
        <f t="shared" si="127"/>
        <v>2</v>
      </c>
      <c r="Y96" s="53">
        <v>45117</v>
      </c>
    </row>
    <row r="97" spans="2:25" x14ac:dyDescent="0.15">
      <c r="B97" s="7" t="s">
        <v>12</v>
      </c>
      <c r="C97" s="30"/>
      <c r="D97" s="25"/>
      <c r="E97" s="43">
        <f t="shared" si="121"/>
        <v>0</v>
      </c>
      <c r="F97" s="35">
        <v>1</v>
      </c>
      <c r="G97" s="8"/>
      <c r="H97" s="43">
        <f t="shared" si="122"/>
        <v>1</v>
      </c>
      <c r="I97" s="35">
        <v>1</v>
      </c>
      <c r="J97" s="8"/>
      <c r="K97" s="43">
        <f t="shared" si="123"/>
        <v>1</v>
      </c>
      <c r="L97" s="8">
        <f t="shared" si="119"/>
        <v>2</v>
      </c>
      <c r="M97" s="53">
        <v>45118</v>
      </c>
      <c r="N97" s="7" t="s">
        <v>65</v>
      </c>
      <c r="O97" s="30">
        <v>7</v>
      </c>
      <c r="P97" s="25">
        <v>8</v>
      </c>
      <c r="Q97" s="43">
        <f t="shared" si="124"/>
        <v>15</v>
      </c>
      <c r="R97" s="35">
        <v>6</v>
      </c>
      <c r="S97" s="8">
        <v>10</v>
      </c>
      <c r="T97" s="43">
        <f t="shared" si="125"/>
        <v>16</v>
      </c>
      <c r="U97" s="35">
        <v>7</v>
      </c>
      <c r="V97" s="8">
        <v>10</v>
      </c>
      <c r="W97" s="43">
        <f t="shared" si="126"/>
        <v>17</v>
      </c>
      <c r="X97" s="8">
        <f t="shared" si="127"/>
        <v>48</v>
      </c>
      <c r="Y97" s="53">
        <v>45121</v>
      </c>
    </row>
    <row r="98" spans="2:25" x14ac:dyDescent="0.15">
      <c r="B98" s="7" t="s">
        <v>62</v>
      </c>
      <c r="C98" s="30"/>
      <c r="D98" s="25"/>
      <c r="E98" s="43">
        <f t="shared" si="121"/>
        <v>0</v>
      </c>
      <c r="F98" s="35"/>
      <c r="G98" s="8"/>
      <c r="H98" s="43">
        <f t="shared" si="122"/>
        <v>0</v>
      </c>
      <c r="I98" s="35"/>
      <c r="J98" s="8">
        <v>1</v>
      </c>
      <c r="K98" s="43">
        <f t="shared" si="123"/>
        <v>1</v>
      </c>
      <c r="L98" s="8">
        <f t="shared" si="119"/>
        <v>1</v>
      </c>
      <c r="M98" s="53">
        <v>45120</v>
      </c>
      <c r="N98" s="7" t="s">
        <v>66</v>
      </c>
      <c r="O98" s="30"/>
      <c r="P98" s="25"/>
      <c r="Q98" s="43">
        <f t="shared" si="124"/>
        <v>0</v>
      </c>
      <c r="R98" s="35"/>
      <c r="S98" s="8"/>
      <c r="T98" s="43">
        <f t="shared" si="125"/>
        <v>0</v>
      </c>
      <c r="U98" s="35">
        <v>10</v>
      </c>
      <c r="V98" s="8">
        <v>5</v>
      </c>
      <c r="W98" s="43">
        <f t="shared" si="126"/>
        <v>15</v>
      </c>
      <c r="X98" s="8">
        <f t="shared" si="127"/>
        <v>15</v>
      </c>
      <c r="Y98" s="53">
        <v>45126</v>
      </c>
    </row>
    <row r="99" spans="2:25" x14ac:dyDescent="0.15">
      <c r="B99" s="7" t="s">
        <v>12</v>
      </c>
      <c r="C99" s="30"/>
      <c r="D99" s="25"/>
      <c r="E99" s="43">
        <f t="shared" si="121"/>
        <v>0</v>
      </c>
      <c r="F99" s="35"/>
      <c r="G99" s="8"/>
      <c r="H99" s="43">
        <f t="shared" si="122"/>
        <v>0</v>
      </c>
      <c r="I99" s="35">
        <f>1+2</f>
        <v>3</v>
      </c>
      <c r="J99" s="8"/>
      <c r="K99" s="43">
        <f t="shared" si="123"/>
        <v>3</v>
      </c>
      <c r="L99" s="8">
        <f t="shared" si="119"/>
        <v>3</v>
      </c>
      <c r="M99" s="53">
        <v>45125</v>
      </c>
      <c r="N99" s="7" t="s">
        <v>67</v>
      </c>
      <c r="O99" s="30"/>
      <c r="P99" s="25"/>
      <c r="Q99" s="43">
        <f t="shared" si="124"/>
        <v>0</v>
      </c>
      <c r="R99" s="35">
        <v>3</v>
      </c>
      <c r="S99" s="8"/>
      <c r="T99" s="43">
        <f t="shared" si="125"/>
        <v>3</v>
      </c>
      <c r="U99" s="35">
        <v>5</v>
      </c>
      <c r="V99" s="8"/>
      <c r="W99" s="43">
        <f t="shared" si="126"/>
        <v>5</v>
      </c>
      <c r="X99" s="8">
        <f t="shared" si="127"/>
        <v>8</v>
      </c>
      <c r="Y99" s="53">
        <v>45128</v>
      </c>
    </row>
    <row r="100" spans="2:25" x14ac:dyDescent="0.15">
      <c r="B100" s="7" t="s">
        <v>12</v>
      </c>
      <c r="C100" s="30"/>
      <c r="D100" s="25"/>
      <c r="E100" s="43">
        <f t="shared" si="121"/>
        <v>0</v>
      </c>
      <c r="F100" s="35"/>
      <c r="G100" s="8">
        <v>1</v>
      </c>
      <c r="H100" s="43">
        <f t="shared" si="122"/>
        <v>1</v>
      </c>
      <c r="I100" s="35"/>
      <c r="J100" s="8"/>
      <c r="K100" s="43">
        <f t="shared" si="123"/>
        <v>0</v>
      </c>
      <c r="L100" s="8">
        <f t="shared" si="119"/>
        <v>1</v>
      </c>
      <c r="M100" s="53">
        <v>45127</v>
      </c>
      <c r="N100" s="7" t="s">
        <v>68</v>
      </c>
      <c r="O100" s="30"/>
      <c r="P100" s="25"/>
      <c r="Q100" s="43">
        <f t="shared" si="124"/>
        <v>0</v>
      </c>
      <c r="R100" s="35">
        <v>2</v>
      </c>
      <c r="S100" s="8"/>
      <c r="T100" s="43">
        <f t="shared" si="125"/>
        <v>2</v>
      </c>
      <c r="U100" s="35"/>
      <c r="V100" s="8">
        <v>3</v>
      </c>
      <c r="W100" s="43">
        <f t="shared" si="126"/>
        <v>3</v>
      </c>
      <c r="X100" s="8">
        <f t="shared" si="127"/>
        <v>5</v>
      </c>
      <c r="Y100" s="53">
        <v>45131</v>
      </c>
    </row>
    <row r="101" spans="2:25" x14ac:dyDescent="0.15">
      <c r="B101" s="7" t="s">
        <v>13</v>
      </c>
      <c r="C101" s="30"/>
      <c r="D101" s="25"/>
      <c r="E101" s="43">
        <f t="shared" si="121"/>
        <v>0</v>
      </c>
      <c r="F101" s="35"/>
      <c r="G101" s="8"/>
      <c r="H101" s="43">
        <f t="shared" si="122"/>
        <v>0</v>
      </c>
      <c r="I101" s="35"/>
      <c r="J101" s="8">
        <v>1</v>
      </c>
      <c r="K101" s="43">
        <f t="shared" si="123"/>
        <v>1</v>
      </c>
      <c r="L101" s="8">
        <f t="shared" si="119"/>
        <v>1</v>
      </c>
      <c r="M101" s="53">
        <v>45133</v>
      </c>
      <c r="N101" s="7" t="s">
        <v>69</v>
      </c>
      <c r="O101" s="30">
        <v>1</v>
      </c>
      <c r="P101" s="25"/>
      <c r="Q101" s="43">
        <f t="shared" si="124"/>
        <v>1</v>
      </c>
      <c r="R101" s="35">
        <v>7</v>
      </c>
      <c r="S101" s="8">
        <v>4</v>
      </c>
      <c r="T101" s="43">
        <f t="shared" si="125"/>
        <v>11</v>
      </c>
      <c r="U101" s="35">
        <v>21</v>
      </c>
      <c r="V101" s="8">
        <v>13</v>
      </c>
      <c r="W101" s="43">
        <f t="shared" si="126"/>
        <v>34</v>
      </c>
      <c r="X101" s="8">
        <f t="shared" si="127"/>
        <v>46</v>
      </c>
      <c r="Y101" s="53">
        <v>45132</v>
      </c>
    </row>
    <row r="102" spans="2:25" x14ac:dyDescent="0.15">
      <c r="B102" s="7" t="s">
        <v>12</v>
      </c>
      <c r="C102" s="30"/>
      <c r="D102" s="25"/>
      <c r="E102" s="43">
        <f t="shared" si="121"/>
        <v>0</v>
      </c>
      <c r="F102" s="35"/>
      <c r="G102" s="8"/>
      <c r="H102" s="43">
        <f t="shared" si="122"/>
        <v>0</v>
      </c>
      <c r="I102" s="35"/>
      <c r="J102" s="8">
        <v>1</v>
      </c>
      <c r="K102" s="43">
        <f t="shared" si="123"/>
        <v>1</v>
      </c>
      <c r="L102" s="8">
        <f t="shared" si="119"/>
        <v>1</v>
      </c>
      <c r="M102" s="53">
        <v>45134</v>
      </c>
      <c r="N102" s="7" t="s">
        <v>70</v>
      </c>
      <c r="O102" s="30">
        <v>14</v>
      </c>
      <c r="P102" s="25">
        <v>2</v>
      </c>
      <c r="Q102" s="43">
        <f t="shared" si="124"/>
        <v>16</v>
      </c>
      <c r="R102" s="35">
        <v>1</v>
      </c>
      <c r="S102" s="8">
        <v>9</v>
      </c>
      <c r="T102" s="43">
        <f t="shared" si="125"/>
        <v>10</v>
      </c>
      <c r="U102" s="35"/>
      <c r="V102" s="8">
        <v>9</v>
      </c>
      <c r="W102" s="43">
        <f t="shared" si="126"/>
        <v>9</v>
      </c>
      <c r="X102" s="8">
        <f t="shared" si="127"/>
        <v>35</v>
      </c>
      <c r="Y102" s="53">
        <v>45133</v>
      </c>
    </row>
    <row r="103" spans="2:25" x14ac:dyDescent="0.15">
      <c r="B103" s="7" t="s">
        <v>12</v>
      </c>
      <c r="C103" s="33"/>
      <c r="D103" s="27"/>
      <c r="E103" s="43">
        <f t="shared" si="121"/>
        <v>0</v>
      </c>
      <c r="F103" s="37">
        <v>1</v>
      </c>
      <c r="G103" s="10"/>
      <c r="H103" s="43">
        <f t="shared" si="122"/>
        <v>1</v>
      </c>
      <c r="I103" s="37"/>
      <c r="J103" s="10"/>
      <c r="K103" s="43">
        <f t="shared" si="123"/>
        <v>0</v>
      </c>
      <c r="L103" s="8">
        <f t="shared" si="119"/>
        <v>1</v>
      </c>
      <c r="M103" s="53">
        <v>45135</v>
      </c>
      <c r="N103" s="7" t="s">
        <v>71</v>
      </c>
      <c r="O103" s="30">
        <v>6</v>
      </c>
      <c r="P103" s="25">
        <v>1</v>
      </c>
      <c r="Q103" s="43">
        <f t="shared" si="124"/>
        <v>7</v>
      </c>
      <c r="R103" s="35">
        <v>5</v>
      </c>
      <c r="S103" s="8">
        <v>3</v>
      </c>
      <c r="T103" s="43">
        <f t="shared" si="125"/>
        <v>8</v>
      </c>
      <c r="U103" s="35">
        <v>3</v>
      </c>
      <c r="V103" s="8">
        <v>10</v>
      </c>
      <c r="W103" s="43">
        <f t="shared" si="126"/>
        <v>13</v>
      </c>
      <c r="X103" s="8">
        <f t="shared" si="127"/>
        <v>28</v>
      </c>
      <c r="Y103" s="53">
        <v>45134</v>
      </c>
    </row>
    <row r="104" spans="2:25" x14ac:dyDescent="0.15">
      <c r="B104" s="7"/>
      <c r="C104" s="30"/>
      <c r="D104" s="25"/>
      <c r="E104" s="43">
        <f t="shared" ref="E104" si="153">SUM(C104:D104)</f>
        <v>0</v>
      </c>
      <c r="F104" s="35"/>
      <c r="G104" s="8"/>
      <c r="H104" s="43">
        <f t="shared" ref="H104" si="154">SUM(F104:G104)</f>
        <v>0</v>
      </c>
      <c r="I104" s="35"/>
      <c r="J104" s="8"/>
      <c r="K104" s="43">
        <f t="shared" ref="K104" si="155">SUM(I104:J104)</f>
        <v>0</v>
      </c>
      <c r="L104" s="8">
        <f t="shared" ref="L104" si="156">SUM(K104,H104,E104)</f>
        <v>0</v>
      </c>
      <c r="N104" s="7" t="s">
        <v>72</v>
      </c>
      <c r="O104" s="30">
        <v>2</v>
      </c>
      <c r="P104" s="25">
        <v>4</v>
      </c>
      <c r="Q104" s="43">
        <f t="shared" si="124"/>
        <v>6</v>
      </c>
      <c r="R104" s="35">
        <v>14</v>
      </c>
      <c r="S104" s="8">
        <v>7</v>
      </c>
      <c r="T104" s="43">
        <f t="shared" si="125"/>
        <v>21</v>
      </c>
      <c r="U104" s="35">
        <v>5</v>
      </c>
      <c r="V104" s="8">
        <v>5</v>
      </c>
      <c r="W104" s="43">
        <f t="shared" si="126"/>
        <v>10</v>
      </c>
      <c r="X104" s="8">
        <f t="shared" si="127"/>
        <v>37</v>
      </c>
      <c r="Y104" s="53">
        <v>45135</v>
      </c>
    </row>
    <row r="105" spans="2:25" x14ac:dyDescent="0.15">
      <c r="B105" s="7"/>
      <c r="C105" s="30"/>
      <c r="D105" s="25"/>
      <c r="E105" s="43">
        <f t="shared" si="121"/>
        <v>0</v>
      </c>
      <c r="F105" s="35"/>
      <c r="G105" s="8"/>
      <c r="H105" s="43">
        <f t="shared" si="122"/>
        <v>0</v>
      </c>
      <c r="I105" s="35"/>
      <c r="J105" s="8"/>
      <c r="K105" s="43">
        <f t="shared" si="123"/>
        <v>0</v>
      </c>
      <c r="L105" s="8">
        <f t="shared" si="119"/>
        <v>0</v>
      </c>
      <c r="N105" s="7" t="s">
        <v>73</v>
      </c>
      <c r="O105" s="30">
        <v>6</v>
      </c>
      <c r="P105" s="25">
        <v>3</v>
      </c>
      <c r="Q105" s="43">
        <f t="shared" si="124"/>
        <v>9</v>
      </c>
      <c r="R105" s="35">
        <v>4</v>
      </c>
      <c r="S105" s="8">
        <v>8</v>
      </c>
      <c r="T105" s="43">
        <f t="shared" si="125"/>
        <v>12</v>
      </c>
      <c r="U105" s="35">
        <v>11</v>
      </c>
      <c r="V105" s="8">
        <v>1</v>
      </c>
      <c r="W105" s="43">
        <f t="shared" si="126"/>
        <v>12</v>
      </c>
      <c r="X105" s="8">
        <f t="shared" si="127"/>
        <v>33</v>
      </c>
      <c r="Y105" s="53">
        <v>45138</v>
      </c>
    </row>
    <row r="106" spans="2:25" x14ac:dyDescent="0.15">
      <c r="B106" s="7"/>
      <c r="C106" s="33"/>
      <c r="D106" s="27"/>
      <c r="E106" s="43">
        <f t="shared" si="121"/>
        <v>0</v>
      </c>
      <c r="F106" s="37"/>
      <c r="G106" s="10"/>
      <c r="H106" s="43">
        <f t="shared" si="122"/>
        <v>0</v>
      </c>
      <c r="I106" s="37"/>
      <c r="J106" s="10"/>
      <c r="K106" s="43">
        <f t="shared" si="123"/>
        <v>0</v>
      </c>
      <c r="L106" s="8">
        <f t="shared" si="119"/>
        <v>0</v>
      </c>
      <c r="N106" s="7" t="s">
        <v>74</v>
      </c>
      <c r="O106" s="30">
        <v>3</v>
      </c>
      <c r="P106" s="25">
        <v>7</v>
      </c>
      <c r="Q106" s="43">
        <f t="shared" si="124"/>
        <v>10</v>
      </c>
      <c r="R106" s="35">
        <v>3</v>
      </c>
      <c r="S106" s="8">
        <v>4</v>
      </c>
      <c r="T106" s="43">
        <f t="shared" si="125"/>
        <v>7</v>
      </c>
      <c r="U106" s="35">
        <v>5</v>
      </c>
      <c r="V106" s="8">
        <v>2</v>
      </c>
      <c r="W106" s="43">
        <f t="shared" si="126"/>
        <v>7</v>
      </c>
      <c r="X106" s="8">
        <f t="shared" si="127"/>
        <v>24</v>
      </c>
      <c r="Y106" s="53">
        <v>45139</v>
      </c>
    </row>
    <row r="107" spans="2:25" x14ac:dyDescent="0.15">
      <c r="B107" s="7"/>
      <c r="C107" s="33"/>
      <c r="D107" s="27"/>
      <c r="E107" s="43">
        <f t="shared" si="121"/>
        <v>0</v>
      </c>
      <c r="F107" s="37"/>
      <c r="G107" s="10"/>
      <c r="H107" s="43">
        <f t="shared" si="122"/>
        <v>0</v>
      </c>
      <c r="I107" s="37"/>
      <c r="J107" s="10"/>
      <c r="K107" s="43">
        <f t="shared" si="123"/>
        <v>0</v>
      </c>
      <c r="L107" s="8">
        <f t="shared" si="119"/>
        <v>0</v>
      </c>
      <c r="N107" s="7" t="s">
        <v>75</v>
      </c>
      <c r="O107" s="30"/>
      <c r="P107" s="25"/>
      <c r="Q107" s="43">
        <f t="shared" si="124"/>
        <v>0</v>
      </c>
      <c r="R107" s="35">
        <v>3</v>
      </c>
      <c r="S107" s="8">
        <v>1</v>
      </c>
      <c r="T107" s="43">
        <f t="shared" si="125"/>
        <v>4</v>
      </c>
      <c r="U107" s="35"/>
      <c r="V107" s="8"/>
      <c r="W107" s="43">
        <f t="shared" si="126"/>
        <v>0</v>
      </c>
      <c r="X107" s="8">
        <f t="shared" si="127"/>
        <v>4</v>
      </c>
      <c r="Y107" s="53">
        <v>45140</v>
      </c>
    </row>
    <row r="108" spans="2:25" x14ac:dyDescent="0.15">
      <c r="B108" s="7"/>
      <c r="C108" s="33"/>
      <c r="D108" s="27"/>
      <c r="E108" s="43">
        <f t="shared" si="121"/>
        <v>0</v>
      </c>
      <c r="F108" s="37"/>
      <c r="G108" s="10"/>
      <c r="H108" s="43">
        <f t="shared" si="122"/>
        <v>0</v>
      </c>
      <c r="I108" s="37"/>
      <c r="J108" s="10"/>
      <c r="K108" s="43">
        <f t="shared" si="123"/>
        <v>0</v>
      </c>
      <c r="L108" s="8">
        <f t="shared" si="119"/>
        <v>0</v>
      </c>
      <c r="N108" s="7"/>
      <c r="O108" s="33"/>
      <c r="P108" s="27"/>
      <c r="Q108" s="43">
        <f t="shared" si="124"/>
        <v>0</v>
      </c>
      <c r="R108" s="37"/>
      <c r="S108" s="10"/>
      <c r="T108" s="43">
        <f t="shared" si="125"/>
        <v>0</v>
      </c>
      <c r="U108" s="37"/>
      <c r="V108" s="10"/>
      <c r="W108" s="43">
        <f t="shared" si="126"/>
        <v>0</v>
      </c>
      <c r="X108" s="8">
        <f t="shared" si="127"/>
        <v>0</v>
      </c>
      <c r="Y108" s="54"/>
    </row>
    <row r="109" spans="2:25" x14ac:dyDescent="0.15">
      <c r="B109" s="7"/>
      <c r="C109" s="33"/>
      <c r="D109" s="27"/>
      <c r="E109" s="43">
        <f t="shared" si="121"/>
        <v>0</v>
      </c>
      <c r="F109" s="37"/>
      <c r="G109" s="10"/>
      <c r="H109" s="43">
        <f t="shared" si="122"/>
        <v>0</v>
      </c>
      <c r="I109" s="37"/>
      <c r="J109" s="10"/>
      <c r="K109" s="43">
        <f t="shared" si="123"/>
        <v>0</v>
      </c>
      <c r="L109" s="8">
        <f t="shared" si="119"/>
        <v>0</v>
      </c>
      <c r="N109" s="7"/>
      <c r="O109" s="33"/>
      <c r="P109" s="27"/>
      <c r="Q109" s="43">
        <f t="shared" si="124"/>
        <v>0</v>
      </c>
      <c r="R109" s="37"/>
      <c r="S109" s="10"/>
      <c r="T109" s="43">
        <f t="shared" si="125"/>
        <v>0</v>
      </c>
      <c r="U109" s="37"/>
      <c r="V109" s="10"/>
      <c r="W109" s="43">
        <f t="shared" si="126"/>
        <v>0</v>
      </c>
      <c r="X109" s="8">
        <f t="shared" si="127"/>
        <v>0</v>
      </c>
      <c r="Y109" s="54"/>
    </row>
    <row r="110" spans="2:25" x14ac:dyDescent="0.15">
      <c r="B110" s="7"/>
      <c r="C110" s="33"/>
      <c r="D110" s="27"/>
      <c r="E110" s="43">
        <f t="shared" si="121"/>
        <v>0</v>
      </c>
      <c r="F110" s="37"/>
      <c r="G110" s="10"/>
      <c r="H110" s="43">
        <f t="shared" si="122"/>
        <v>0</v>
      </c>
      <c r="I110" s="37"/>
      <c r="J110" s="10"/>
      <c r="K110" s="43">
        <f t="shared" si="123"/>
        <v>0</v>
      </c>
      <c r="L110" s="8">
        <f t="shared" si="119"/>
        <v>0</v>
      </c>
      <c r="N110" s="7"/>
      <c r="O110" s="33"/>
      <c r="P110" s="27"/>
      <c r="Q110" s="43">
        <f t="shared" si="124"/>
        <v>0</v>
      </c>
      <c r="R110" s="37"/>
      <c r="S110" s="10"/>
      <c r="T110" s="43">
        <f t="shared" si="125"/>
        <v>0</v>
      </c>
      <c r="U110" s="37"/>
      <c r="V110" s="10"/>
      <c r="W110" s="43">
        <f t="shared" si="126"/>
        <v>0</v>
      </c>
      <c r="X110" s="8">
        <f t="shared" si="127"/>
        <v>0</v>
      </c>
      <c r="Y110" s="54"/>
    </row>
    <row r="111" spans="2:25" x14ac:dyDescent="0.15">
      <c r="B111" s="7"/>
      <c r="C111" s="33"/>
      <c r="D111" s="27"/>
      <c r="E111" s="43">
        <f t="shared" si="121"/>
        <v>0</v>
      </c>
      <c r="F111" s="37"/>
      <c r="G111" s="10"/>
      <c r="H111" s="43">
        <f t="shared" si="122"/>
        <v>0</v>
      </c>
      <c r="I111" s="37"/>
      <c r="J111" s="10"/>
      <c r="K111" s="43">
        <f t="shared" si="123"/>
        <v>0</v>
      </c>
      <c r="L111" s="8">
        <f t="shared" si="119"/>
        <v>0</v>
      </c>
      <c r="N111" s="7"/>
      <c r="O111" s="33"/>
      <c r="P111" s="27"/>
      <c r="Q111" s="43">
        <f t="shared" si="124"/>
        <v>0</v>
      </c>
      <c r="R111" s="37"/>
      <c r="S111" s="10"/>
      <c r="T111" s="43">
        <f t="shared" si="125"/>
        <v>0</v>
      </c>
      <c r="U111" s="37"/>
      <c r="V111" s="10"/>
      <c r="W111" s="43">
        <f t="shared" si="126"/>
        <v>0</v>
      </c>
      <c r="X111" s="8">
        <f t="shared" si="127"/>
        <v>0</v>
      </c>
      <c r="Y111" s="54"/>
    </row>
    <row r="112" spans="2:25" x14ac:dyDescent="0.15">
      <c r="B112" s="7"/>
      <c r="C112" s="30"/>
      <c r="D112" s="25"/>
      <c r="E112" s="43">
        <f t="shared" si="121"/>
        <v>0</v>
      </c>
      <c r="F112" s="35"/>
      <c r="G112" s="8"/>
      <c r="H112" s="43">
        <f t="shared" si="122"/>
        <v>0</v>
      </c>
      <c r="I112" s="35"/>
      <c r="J112" s="8"/>
      <c r="K112" s="43">
        <f t="shared" si="123"/>
        <v>0</v>
      </c>
      <c r="L112" s="8">
        <f t="shared" si="119"/>
        <v>0</v>
      </c>
      <c r="N112" s="7"/>
      <c r="O112" s="30"/>
      <c r="P112" s="25"/>
      <c r="Q112" s="43">
        <f t="shared" si="124"/>
        <v>0</v>
      </c>
      <c r="R112" s="35"/>
      <c r="S112" s="8"/>
      <c r="T112" s="43">
        <f t="shared" si="125"/>
        <v>0</v>
      </c>
      <c r="U112" s="35"/>
      <c r="V112" s="8"/>
      <c r="W112" s="43">
        <f t="shared" si="126"/>
        <v>0</v>
      </c>
      <c r="X112" s="8">
        <f t="shared" si="127"/>
        <v>0</v>
      </c>
      <c r="Y112" s="53"/>
    </row>
    <row r="113" spans="2:25" x14ac:dyDescent="0.15">
      <c r="B113" s="7"/>
      <c r="C113" s="30"/>
      <c r="D113" s="25"/>
      <c r="E113" s="43">
        <f t="shared" si="121"/>
        <v>0</v>
      </c>
      <c r="F113" s="35"/>
      <c r="G113" s="8"/>
      <c r="H113" s="43">
        <f t="shared" si="122"/>
        <v>0</v>
      </c>
      <c r="I113" s="35"/>
      <c r="J113" s="8"/>
      <c r="K113" s="43">
        <f t="shared" si="123"/>
        <v>0</v>
      </c>
      <c r="L113" s="8">
        <f t="shared" si="119"/>
        <v>0</v>
      </c>
      <c r="N113" s="7"/>
      <c r="O113" s="30"/>
      <c r="P113" s="25"/>
      <c r="Q113" s="43">
        <f t="shared" si="124"/>
        <v>0</v>
      </c>
      <c r="R113" s="35"/>
      <c r="S113" s="8"/>
      <c r="T113" s="43">
        <f t="shared" si="125"/>
        <v>0</v>
      </c>
      <c r="U113" s="35"/>
      <c r="V113" s="8"/>
      <c r="W113" s="43">
        <f t="shared" si="126"/>
        <v>0</v>
      </c>
      <c r="X113" s="8">
        <f t="shared" si="127"/>
        <v>0</v>
      </c>
      <c r="Y113" s="53"/>
    </row>
    <row r="114" spans="2:25" x14ac:dyDescent="0.15">
      <c r="B114" s="7"/>
      <c r="C114" s="30"/>
      <c r="D114" s="25"/>
      <c r="E114" s="43">
        <f t="shared" si="121"/>
        <v>0</v>
      </c>
      <c r="F114" s="35"/>
      <c r="G114" s="8"/>
      <c r="H114" s="43">
        <f t="shared" si="122"/>
        <v>0</v>
      </c>
      <c r="I114" s="35"/>
      <c r="J114" s="8"/>
      <c r="K114" s="43">
        <f t="shared" si="123"/>
        <v>0</v>
      </c>
      <c r="L114" s="8">
        <f t="shared" si="119"/>
        <v>0</v>
      </c>
      <c r="N114" s="7"/>
      <c r="O114" s="30"/>
      <c r="P114" s="25"/>
      <c r="Q114" s="43">
        <f t="shared" ref="Q114:Q115" si="157">SUM(O114:P114)</f>
        <v>0</v>
      </c>
      <c r="R114" s="35"/>
      <c r="S114" s="8"/>
      <c r="T114" s="43">
        <f t="shared" ref="T114:T115" si="158">SUM(R114:S114)</f>
        <v>0</v>
      </c>
      <c r="U114" s="35"/>
      <c r="V114" s="8"/>
      <c r="W114" s="43">
        <f t="shared" ref="W114:W115" si="159">SUM(U114:V114)</f>
        <v>0</v>
      </c>
      <c r="X114" s="8">
        <f t="shared" ref="X114:X115" si="160">SUM(W114,T114,Q114)</f>
        <v>0</v>
      </c>
      <c r="Y114" s="53"/>
    </row>
    <row r="115" spans="2:25" x14ac:dyDescent="0.15">
      <c r="B115" s="7"/>
      <c r="C115" s="30"/>
      <c r="D115" s="25"/>
      <c r="E115" s="43">
        <f t="shared" si="121"/>
        <v>0</v>
      </c>
      <c r="F115" s="35"/>
      <c r="G115" s="8"/>
      <c r="H115" s="43">
        <f t="shared" si="122"/>
        <v>0</v>
      </c>
      <c r="I115" s="35"/>
      <c r="J115" s="8"/>
      <c r="K115" s="43">
        <f t="shared" si="123"/>
        <v>0</v>
      </c>
      <c r="L115" s="8">
        <f t="shared" si="119"/>
        <v>0</v>
      </c>
      <c r="N115" s="7"/>
      <c r="O115" s="30"/>
      <c r="P115" s="25"/>
      <c r="Q115" s="43">
        <f t="shared" si="157"/>
        <v>0</v>
      </c>
      <c r="R115" s="35"/>
      <c r="S115" s="8"/>
      <c r="T115" s="43">
        <f t="shared" si="158"/>
        <v>0</v>
      </c>
      <c r="U115" s="35"/>
      <c r="V115" s="8"/>
      <c r="W115" s="43">
        <f t="shared" si="159"/>
        <v>0</v>
      </c>
      <c r="X115" s="8">
        <f t="shared" si="160"/>
        <v>0</v>
      </c>
      <c r="Y115" s="53"/>
    </row>
    <row r="116" spans="2:25" x14ac:dyDescent="0.15">
      <c r="B116" s="7"/>
      <c r="C116" s="30"/>
      <c r="D116" s="25"/>
      <c r="E116" s="43">
        <f t="shared" si="121"/>
        <v>0</v>
      </c>
      <c r="F116" s="35"/>
      <c r="G116" s="8"/>
      <c r="H116" s="43">
        <f t="shared" si="122"/>
        <v>0</v>
      </c>
      <c r="I116" s="35"/>
      <c r="J116" s="8"/>
      <c r="K116" s="43">
        <f t="shared" si="123"/>
        <v>0</v>
      </c>
      <c r="L116" s="8">
        <f t="shared" si="119"/>
        <v>0</v>
      </c>
      <c r="N116" s="7" t="s">
        <v>38</v>
      </c>
      <c r="O116" s="30"/>
      <c r="P116" s="25"/>
      <c r="Q116" s="43">
        <f t="shared" si="124"/>
        <v>0</v>
      </c>
      <c r="R116" s="35"/>
      <c r="S116" s="8"/>
      <c r="T116" s="43">
        <f t="shared" si="125"/>
        <v>0</v>
      </c>
      <c r="U116" s="35"/>
      <c r="V116" s="8"/>
      <c r="W116" s="43">
        <f t="shared" si="126"/>
        <v>0</v>
      </c>
      <c r="X116" s="8">
        <f t="shared" si="127"/>
        <v>0</v>
      </c>
      <c r="Y116" s="53" t="s">
        <v>39</v>
      </c>
    </row>
    <row r="117" spans="2:25" ht="14.25" thickBot="1" x14ac:dyDescent="0.2">
      <c r="B117" s="7"/>
      <c r="C117" s="30"/>
      <c r="D117" s="25"/>
      <c r="E117" s="43">
        <f t="shared" si="121"/>
        <v>0</v>
      </c>
      <c r="F117" s="35"/>
      <c r="G117" s="8"/>
      <c r="H117" s="43">
        <f t="shared" si="122"/>
        <v>0</v>
      </c>
      <c r="I117" s="35"/>
      <c r="J117" s="8"/>
      <c r="K117" s="43">
        <f t="shared" si="123"/>
        <v>0</v>
      </c>
      <c r="L117" s="8">
        <f t="shared" si="119"/>
        <v>0</v>
      </c>
      <c r="N117" s="79" t="s">
        <v>22</v>
      </c>
      <c r="O117" s="73"/>
      <c r="P117" s="6"/>
      <c r="Q117" s="58">
        <f t="shared" si="124"/>
        <v>0</v>
      </c>
      <c r="R117" s="36"/>
      <c r="S117" s="6"/>
      <c r="T117" s="58">
        <f t="shared" si="125"/>
        <v>0</v>
      </c>
      <c r="U117" s="36"/>
      <c r="V117" s="6"/>
      <c r="W117" s="58">
        <f t="shared" si="126"/>
        <v>0</v>
      </c>
      <c r="X117" s="6">
        <f t="shared" si="127"/>
        <v>0</v>
      </c>
      <c r="Y117" s="53" t="s">
        <v>23</v>
      </c>
    </row>
    <row r="118" spans="2:25" ht="14.25" thickBot="1" x14ac:dyDescent="0.2">
      <c r="B118" s="5" t="s">
        <v>1</v>
      </c>
      <c r="C118" s="32">
        <f>SUM(C93:C117)</f>
        <v>0</v>
      </c>
      <c r="D118" s="19">
        <f>SUM(D93:D117)</f>
        <v>3</v>
      </c>
      <c r="E118" s="44">
        <f t="shared" si="121"/>
        <v>3</v>
      </c>
      <c r="F118" s="32">
        <f>SUM(F93:F117)</f>
        <v>2</v>
      </c>
      <c r="G118" s="19">
        <f>SUM(G93:G117)</f>
        <v>4</v>
      </c>
      <c r="H118" s="44">
        <f t="shared" si="122"/>
        <v>6</v>
      </c>
      <c r="I118" s="32">
        <f>SUM(I93:I117)</f>
        <v>9</v>
      </c>
      <c r="J118" s="19">
        <f>SUM(J93:J117)</f>
        <v>5</v>
      </c>
      <c r="K118" s="44">
        <f t="shared" si="123"/>
        <v>14</v>
      </c>
      <c r="L118" s="4">
        <f t="shared" si="119"/>
        <v>23</v>
      </c>
      <c r="N118" s="5" t="s">
        <v>1</v>
      </c>
      <c r="O118" s="32">
        <f>SUM(O93:O117)</f>
        <v>46</v>
      </c>
      <c r="P118" s="19">
        <f t="shared" ref="P118" si="161">SUM(P93:P117)</f>
        <v>32</v>
      </c>
      <c r="Q118" s="44">
        <f t="shared" ref="Q118" si="162">SUM(Q93:Q117)</f>
        <v>78</v>
      </c>
      <c r="R118" s="32">
        <f t="shared" ref="R118" si="163">SUM(R93:R117)</f>
        <v>49</v>
      </c>
      <c r="S118" s="19">
        <f t="shared" ref="S118" si="164">SUM(S93:S117)</f>
        <v>51</v>
      </c>
      <c r="T118" s="44">
        <f t="shared" ref="T118" si="165">SUM(T93:T117)</f>
        <v>100</v>
      </c>
      <c r="U118" s="32">
        <f t="shared" ref="U118" si="166">SUM(U93:U117)</f>
        <v>72</v>
      </c>
      <c r="V118" s="19">
        <f t="shared" ref="V118" si="167">SUM(V93:V117)</f>
        <v>62</v>
      </c>
      <c r="W118" s="44">
        <f t="shared" ref="W118" si="168">SUM(W93:W117)</f>
        <v>134</v>
      </c>
      <c r="X118" s="4">
        <f t="shared" ref="X118" si="169">SUM(X93:X117)</f>
        <v>312</v>
      </c>
    </row>
    <row r="119" spans="2:25" ht="14.25" thickBot="1" x14ac:dyDescent="0.2">
      <c r="B119" s="3" t="s">
        <v>0</v>
      </c>
      <c r="C119" s="34">
        <f>+C92-C118</f>
        <v>10</v>
      </c>
      <c r="D119" s="2">
        <f>+D92-D118</f>
        <v>9</v>
      </c>
      <c r="E119" s="45">
        <f t="shared" si="121"/>
        <v>19</v>
      </c>
      <c r="F119" s="34">
        <f>+F92-F118</f>
        <v>7</v>
      </c>
      <c r="G119" s="2">
        <f>+G92-G118</f>
        <v>13</v>
      </c>
      <c r="H119" s="45">
        <f t="shared" si="122"/>
        <v>20</v>
      </c>
      <c r="I119" s="34">
        <f>+I92-I118</f>
        <v>11</v>
      </c>
      <c r="J119" s="2">
        <f>+J92-J118</f>
        <v>8</v>
      </c>
      <c r="K119" s="45">
        <f t="shared" si="123"/>
        <v>19</v>
      </c>
      <c r="L119" s="2">
        <f t="shared" si="119"/>
        <v>58</v>
      </c>
      <c r="N119" s="3" t="s">
        <v>0</v>
      </c>
      <c r="O119" s="34">
        <f>+O92-O118</f>
        <v>56</v>
      </c>
      <c r="P119" s="2">
        <f t="shared" ref="P119" si="170">+P92-P118</f>
        <v>83</v>
      </c>
      <c r="Q119" s="45">
        <f t="shared" ref="Q119" si="171">+Q92-Q118</f>
        <v>139</v>
      </c>
      <c r="R119" s="34">
        <f t="shared" ref="R119" si="172">+R92-R118</f>
        <v>47</v>
      </c>
      <c r="S119" s="2">
        <f t="shared" ref="S119" si="173">+S92-S118</f>
        <v>73</v>
      </c>
      <c r="T119" s="45">
        <f t="shared" ref="T119" si="174">+T92-T118</f>
        <v>120</v>
      </c>
      <c r="U119" s="34">
        <f t="shared" ref="U119" si="175">+U92-U118</f>
        <v>25</v>
      </c>
      <c r="V119" s="2">
        <f t="shared" ref="V119" si="176">+V92-V118</f>
        <v>51</v>
      </c>
      <c r="W119" s="45">
        <f t="shared" ref="W119" si="177">+W92-W118</f>
        <v>76</v>
      </c>
      <c r="X119" s="2">
        <f t="shared" ref="X119" si="178">+X92-X118</f>
        <v>335</v>
      </c>
    </row>
    <row r="120" spans="2:25" x14ac:dyDescent="0.15">
      <c r="N120" s="1"/>
    </row>
    <row r="121" spans="2:25" ht="18.75" x14ac:dyDescent="0.2">
      <c r="B121" s="23" t="s">
        <v>11</v>
      </c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N121" s="47" t="s">
        <v>25</v>
      </c>
      <c r="O121" s="48"/>
      <c r="P121" s="48"/>
      <c r="Q121" s="48"/>
      <c r="R121" s="48"/>
      <c r="S121" s="48"/>
      <c r="T121" s="48"/>
      <c r="U121" s="48"/>
      <c r="V121" s="48"/>
      <c r="W121" s="48"/>
      <c r="X121" s="48"/>
    </row>
    <row r="122" spans="2:25" ht="14.25" x14ac:dyDescent="0.15">
      <c r="B122" s="22" t="s">
        <v>10</v>
      </c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N122" s="49" t="s">
        <v>10</v>
      </c>
      <c r="O122" s="48"/>
      <c r="P122" s="48"/>
      <c r="Q122" s="48"/>
      <c r="R122" s="48"/>
      <c r="S122" s="48"/>
      <c r="T122" s="48"/>
      <c r="U122" s="48"/>
      <c r="V122" s="48"/>
      <c r="W122" s="48"/>
      <c r="X122" s="48"/>
    </row>
    <row r="123" spans="2:25" ht="14.25" thickBot="1" x14ac:dyDescent="0.2">
      <c r="N123" s="1"/>
    </row>
    <row r="124" spans="2:25" ht="14.25" thickBot="1" x14ac:dyDescent="0.2">
      <c r="B124" s="20"/>
      <c r="C124" s="208" t="s">
        <v>9</v>
      </c>
      <c r="D124" s="209"/>
      <c r="E124" s="210"/>
      <c r="F124" s="208" t="s">
        <v>8</v>
      </c>
      <c r="G124" s="209"/>
      <c r="H124" s="210"/>
      <c r="I124" s="208" t="s">
        <v>7</v>
      </c>
      <c r="J124" s="209"/>
      <c r="K124" s="210"/>
      <c r="L124" s="19"/>
      <c r="N124" s="20"/>
      <c r="O124" s="208" t="s">
        <v>9</v>
      </c>
      <c r="P124" s="209"/>
      <c r="Q124" s="210"/>
      <c r="R124" s="208" t="s">
        <v>8</v>
      </c>
      <c r="S124" s="209"/>
      <c r="T124" s="210"/>
      <c r="U124" s="208" t="s">
        <v>7</v>
      </c>
      <c r="V124" s="209"/>
      <c r="W124" s="210"/>
      <c r="X124" s="19"/>
    </row>
    <row r="125" spans="2:25" ht="14.25" thickBot="1" x14ac:dyDescent="0.2">
      <c r="B125" s="18"/>
      <c r="C125" s="28" t="s">
        <v>6</v>
      </c>
      <c r="D125" s="17" t="s">
        <v>5</v>
      </c>
      <c r="E125" s="38" t="s">
        <v>4</v>
      </c>
      <c r="F125" s="28" t="s">
        <v>6</v>
      </c>
      <c r="G125" s="17" t="s">
        <v>5</v>
      </c>
      <c r="H125" s="38" t="s">
        <v>4</v>
      </c>
      <c r="I125" s="28" t="s">
        <v>6</v>
      </c>
      <c r="J125" s="17" t="s">
        <v>5</v>
      </c>
      <c r="K125" s="38" t="s">
        <v>4</v>
      </c>
      <c r="L125" s="17" t="s">
        <v>4</v>
      </c>
      <c r="N125" s="18"/>
      <c r="O125" s="28" t="s">
        <v>6</v>
      </c>
      <c r="P125" s="17" t="s">
        <v>5</v>
      </c>
      <c r="Q125" s="38" t="s">
        <v>4</v>
      </c>
      <c r="R125" s="28" t="s">
        <v>6</v>
      </c>
      <c r="S125" s="17" t="s">
        <v>5</v>
      </c>
      <c r="T125" s="38" t="s">
        <v>4</v>
      </c>
      <c r="U125" s="28" t="s">
        <v>6</v>
      </c>
      <c r="V125" s="17" t="s">
        <v>5</v>
      </c>
      <c r="W125" s="38" t="s">
        <v>4</v>
      </c>
      <c r="X125" s="17" t="s">
        <v>4</v>
      </c>
    </row>
    <row r="126" spans="2:25" x14ac:dyDescent="0.15">
      <c r="B126" s="66" t="s">
        <v>0</v>
      </c>
      <c r="C126" s="67">
        <f t="shared" ref="C126:K126" si="179">C119</f>
        <v>10</v>
      </c>
      <c r="D126" s="68">
        <f t="shared" si="179"/>
        <v>9</v>
      </c>
      <c r="E126" s="69">
        <f t="shared" si="179"/>
        <v>19</v>
      </c>
      <c r="F126" s="67">
        <f t="shared" si="179"/>
        <v>7</v>
      </c>
      <c r="G126" s="68">
        <f t="shared" si="179"/>
        <v>13</v>
      </c>
      <c r="H126" s="69">
        <f t="shared" si="179"/>
        <v>20</v>
      </c>
      <c r="I126" s="67">
        <f t="shared" si="179"/>
        <v>11</v>
      </c>
      <c r="J126" s="68">
        <f t="shared" si="179"/>
        <v>8</v>
      </c>
      <c r="K126" s="69">
        <f t="shared" si="179"/>
        <v>19</v>
      </c>
      <c r="L126" s="70">
        <f t="shared" ref="L126" si="180">SUM(K126,H126,E126)</f>
        <v>58</v>
      </c>
      <c r="N126" s="66" t="s">
        <v>0</v>
      </c>
      <c r="O126" s="72">
        <f>O119</f>
        <v>56</v>
      </c>
      <c r="P126" s="80">
        <f t="shared" ref="P126:X126" si="181">P119</f>
        <v>83</v>
      </c>
      <c r="Q126" s="69">
        <f t="shared" si="181"/>
        <v>139</v>
      </c>
      <c r="R126" s="72">
        <f t="shared" si="181"/>
        <v>47</v>
      </c>
      <c r="S126" s="80">
        <f t="shared" si="181"/>
        <v>73</v>
      </c>
      <c r="T126" s="69">
        <f t="shared" si="181"/>
        <v>120</v>
      </c>
      <c r="U126" s="72">
        <f t="shared" si="181"/>
        <v>25</v>
      </c>
      <c r="V126" s="80">
        <f t="shared" si="181"/>
        <v>51</v>
      </c>
      <c r="W126" s="69">
        <f t="shared" si="181"/>
        <v>76</v>
      </c>
      <c r="X126" s="72">
        <f t="shared" si="181"/>
        <v>335</v>
      </c>
      <c r="Y126" s="53"/>
    </row>
    <row r="127" spans="2:25" x14ac:dyDescent="0.15">
      <c r="B127" s="16" t="s">
        <v>57</v>
      </c>
      <c r="C127" s="30">
        <v>1</v>
      </c>
      <c r="D127" s="25"/>
      <c r="E127" s="40">
        <f t="shared" ref="E127:E128" si="182">SUM(C127:D127)</f>
        <v>1</v>
      </c>
      <c r="F127" s="35"/>
      <c r="G127" s="8">
        <v>1</v>
      </c>
      <c r="H127" s="40">
        <f t="shared" ref="H127:H128" si="183">SUM(F127:G127)</f>
        <v>1</v>
      </c>
      <c r="I127" s="35"/>
      <c r="J127" s="8"/>
      <c r="K127" s="40">
        <f t="shared" ref="K127:K128" si="184">SUM(I127:J127)</f>
        <v>0</v>
      </c>
      <c r="L127" s="9">
        <f t="shared" ref="L127:L128" si="185">SUM(K127,H127,E127)</f>
        <v>2</v>
      </c>
      <c r="M127" s="53">
        <v>45148</v>
      </c>
      <c r="N127" s="16" t="s">
        <v>3</v>
      </c>
      <c r="O127" s="62"/>
      <c r="P127" s="81"/>
      <c r="Q127" s="40">
        <f t="shared" ref="Q127:Q153" si="186">SUM(O127:P127)</f>
        <v>0</v>
      </c>
      <c r="R127" s="78"/>
      <c r="S127" s="82"/>
      <c r="T127" s="40">
        <f t="shared" ref="T127:T153" si="187">SUM(R127:S127)</f>
        <v>0</v>
      </c>
      <c r="U127" s="78"/>
      <c r="V127" s="82"/>
      <c r="W127" s="40">
        <f t="shared" ref="W127:W153" si="188">SUM(U127:V127)</f>
        <v>0</v>
      </c>
      <c r="X127" s="25">
        <f t="shared" ref="X127:X153" si="189">SUM(W127,T127,Q127)</f>
        <v>0</v>
      </c>
      <c r="Y127" s="53"/>
    </row>
    <row r="128" spans="2:25" x14ac:dyDescent="0.15">
      <c r="B128" s="16" t="s">
        <v>91</v>
      </c>
      <c r="C128" s="30">
        <v>0</v>
      </c>
      <c r="D128" s="25">
        <v>0</v>
      </c>
      <c r="E128" s="40">
        <f t="shared" si="182"/>
        <v>0</v>
      </c>
      <c r="F128" s="35">
        <v>0</v>
      </c>
      <c r="G128" s="8">
        <v>0</v>
      </c>
      <c r="H128" s="40">
        <f t="shared" si="183"/>
        <v>0</v>
      </c>
      <c r="I128" s="35">
        <v>0</v>
      </c>
      <c r="J128" s="8">
        <v>0</v>
      </c>
      <c r="K128" s="40">
        <f t="shared" si="184"/>
        <v>0</v>
      </c>
      <c r="L128" s="9">
        <f t="shared" si="185"/>
        <v>0</v>
      </c>
      <c r="M128" s="53">
        <v>45162</v>
      </c>
      <c r="N128" s="16" t="s">
        <v>3</v>
      </c>
      <c r="O128" s="62">
        <v>10</v>
      </c>
      <c r="P128" s="81">
        <v>10</v>
      </c>
      <c r="Q128" s="40">
        <f t="shared" ref="Q128" si="190">SUM(O128:P128)</f>
        <v>20</v>
      </c>
      <c r="R128" s="62">
        <v>10</v>
      </c>
      <c r="S128" s="81">
        <v>25</v>
      </c>
      <c r="T128" s="40">
        <f t="shared" ref="T128" si="191">SUM(R128:S128)</f>
        <v>35</v>
      </c>
      <c r="U128" s="62">
        <v>15</v>
      </c>
      <c r="V128" s="81">
        <v>35</v>
      </c>
      <c r="W128" s="40">
        <f t="shared" ref="W128" si="192">SUM(U128:V128)</f>
        <v>50</v>
      </c>
      <c r="X128" s="25">
        <f t="shared" ref="X128" si="193">SUM(W128,T128,Q128)</f>
        <v>105</v>
      </c>
      <c r="Y128" s="53" t="s">
        <v>78</v>
      </c>
    </row>
    <row r="129" spans="2:25" x14ac:dyDescent="0.15">
      <c r="B129" s="16" t="s">
        <v>57</v>
      </c>
      <c r="C129" s="30"/>
      <c r="D129" s="25"/>
      <c r="E129" s="40">
        <f t="shared" ref="E129:E159" si="194">SUM(C129:D129)</f>
        <v>0</v>
      </c>
      <c r="F129" s="35"/>
      <c r="G129" s="8"/>
      <c r="H129" s="40">
        <f t="shared" ref="H129:H159" si="195">SUM(F129:G129)</f>
        <v>0</v>
      </c>
      <c r="I129" s="35">
        <v>1</v>
      </c>
      <c r="J129" s="8">
        <v>1</v>
      </c>
      <c r="K129" s="40">
        <f t="shared" ref="K129:K159" si="196">SUM(I129:J129)</f>
        <v>2</v>
      </c>
      <c r="L129" s="9">
        <f t="shared" ref="L129:L159" si="197">SUM(K129,H129,E129)</f>
        <v>2</v>
      </c>
      <c r="M129" s="53">
        <v>45183</v>
      </c>
      <c r="N129" s="55" t="s">
        <v>3</v>
      </c>
      <c r="O129" s="78"/>
      <c r="P129" s="82"/>
      <c r="Q129" s="64">
        <f t="shared" si="186"/>
        <v>0</v>
      </c>
      <c r="R129" s="78"/>
      <c r="S129" s="82"/>
      <c r="T129" s="40">
        <f t="shared" si="187"/>
        <v>0</v>
      </c>
      <c r="U129" s="78">
        <v>30</v>
      </c>
      <c r="V129" s="82"/>
      <c r="W129" s="64">
        <f t="shared" si="188"/>
        <v>30</v>
      </c>
      <c r="X129" s="8">
        <f t="shared" si="189"/>
        <v>30</v>
      </c>
      <c r="Y129" s="53" t="s">
        <v>78</v>
      </c>
    </row>
    <row r="130" spans="2:25" x14ac:dyDescent="0.15">
      <c r="B130" s="16" t="s">
        <v>3</v>
      </c>
      <c r="C130" s="30"/>
      <c r="D130" s="25"/>
      <c r="E130" s="40">
        <f t="shared" si="194"/>
        <v>0</v>
      </c>
      <c r="F130" s="35"/>
      <c r="G130" s="8"/>
      <c r="H130" s="40">
        <f t="shared" si="195"/>
        <v>0</v>
      </c>
      <c r="I130" s="35"/>
      <c r="J130" s="8"/>
      <c r="K130" s="40">
        <f t="shared" si="196"/>
        <v>0</v>
      </c>
      <c r="L130" s="9">
        <f t="shared" si="197"/>
        <v>0</v>
      </c>
      <c r="M130" s="53"/>
      <c r="N130" s="16" t="s">
        <v>3</v>
      </c>
      <c r="O130" s="62">
        <v>20</v>
      </c>
      <c r="P130" s="81">
        <v>20</v>
      </c>
      <c r="Q130" s="40">
        <f t="shared" si="186"/>
        <v>40</v>
      </c>
      <c r="R130" s="78">
        <v>50</v>
      </c>
      <c r="S130" s="82">
        <v>0</v>
      </c>
      <c r="T130" s="40">
        <f t="shared" si="187"/>
        <v>50</v>
      </c>
      <c r="U130" s="78">
        <v>30</v>
      </c>
      <c r="V130" s="82">
        <v>0</v>
      </c>
      <c r="W130" s="40">
        <f t="shared" si="188"/>
        <v>30</v>
      </c>
      <c r="X130" s="25">
        <f t="shared" si="189"/>
        <v>120</v>
      </c>
      <c r="Y130" s="53" t="s">
        <v>78</v>
      </c>
    </row>
    <row r="131" spans="2:25" ht="14.25" thickBot="1" x14ac:dyDescent="0.2">
      <c r="B131" s="15" t="s">
        <v>3</v>
      </c>
      <c r="C131" s="31"/>
      <c r="D131" s="26"/>
      <c r="E131" s="41">
        <f t="shared" si="194"/>
        <v>0</v>
      </c>
      <c r="F131" s="36"/>
      <c r="G131" s="6"/>
      <c r="H131" s="41">
        <f t="shared" si="195"/>
        <v>0</v>
      </c>
      <c r="I131" s="36"/>
      <c r="J131" s="6"/>
      <c r="K131" s="41">
        <f t="shared" si="196"/>
        <v>0</v>
      </c>
      <c r="L131" s="14">
        <f t="shared" si="197"/>
        <v>0</v>
      </c>
      <c r="N131" s="75" t="s">
        <v>3</v>
      </c>
      <c r="O131" s="76"/>
      <c r="P131" s="83"/>
      <c r="Q131" s="41">
        <f t="shared" ref="Q131" si="198">SUM(O131:P131)</f>
        <v>0</v>
      </c>
      <c r="R131" s="76"/>
      <c r="S131" s="83"/>
      <c r="T131" s="41">
        <f t="shared" ref="T131" si="199">SUM(R131:S131)</f>
        <v>0</v>
      </c>
      <c r="U131" s="76"/>
      <c r="V131" s="83"/>
      <c r="W131" s="41">
        <f t="shared" ref="W131" si="200">SUM(U131:V131)</f>
        <v>0</v>
      </c>
      <c r="X131" s="77">
        <f t="shared" ref="X131" si="201">SUM(W131,T131,Q131)</f>
        <v>0</v>
      </c>
      <c r="Y131" s="53"/>
    </row>
    <row r="132" spans="2:25" ht="14.25" thickBot="1" x14ac:dyDescent="0.2">
      <c r="B132" s="5" t="s">
        <v>2</v>
      </c>
      <c r="C132" s="32">
        <f>SUM(C126:C131)</f>
        <v>11</v>
      </c>
      <c r="D132" s="19">
        <f>SUM(D126:D131)</f>
        <v>9</v>
      </c>
      <c r="E132" s="42">
        <f t="shared" si="194"/>
        <v>20</v>
      </c>
      <c r="F132" s="32">
        <f>SUM(F126:F131)</f>
        <v>7</v>
      </c>
      <c r="G132" s="19">
        <f>SUM(G126:G131)</f>
        <v>14</v>
      </c>
      <c r="H132" s="42">
        <f t="shared" si="195"/>
        <v>21</v>
      </c>
      <c r="I132" s="32">
        <f>SUM(I126:I131)</f>
        <v>12</v>
      </c>
      <c r="J132" s="19">
        <f>SUM(J126:J131)</f>
        <v>9</v>
      </c>
      <c r="K132" s="42">
        <f t="shared" si="196"/>
        <v>21</v>
      </c>
      <c r="L132" s="13">
        <f t="shared" si="197"/>
        <v>62</v>
      </c>
      <c r="N132" s="63" t="s">
        <v>2</v>
      </c>
      <c r="O132" s="32">
        <f>SUM(O126:O131)</f>
        <v>86</v>
      </c>
      <c r="P132" s="19">
        <f t="shared" ref="P132" si="202">SUM(P126:P131)</f>
        <v>113</v>
      </c>
      <c r="Q132" s="42">
        <f t="shared" ref="Q132" si="203">SUM(Q126:Q131)</f>
        <v>199</v>
      </c>
      <c r="R132" s="32">
        <f t="shared" ref="R132" si="204">SUM(R126:R131)</f>
        <v>107</v>
      </c>
      <c r="S132" s="19">
        <f t="shared" ref="S132" si="205">SUM(S126:S131)</f>
        <v>98</v>
      </c>
      <c r="T132" s="42">
        <f t="shared" ref="T132" si="206">SUM(T126:T131)</f>
        <v>205</v>
      </c>
      <c r="U132" s="32">
        <f t="shared" ref="U132" si="207">SUM(U126:U131)</f>
        <v>100</v>
      </c>
      <c r="V132" s="19">
        <f t="shared" ref="V132" si="208">SUM(V126:V131)</f>
        <v>86</v>
      </c>
      <c r="W132" s="42">
        <f t="shared" ref="W132" si="209">SUM(W126:W131)</f>
        <v>186</v>
      </c>
      <c r="X132" s="13">
        <f t="shared" ref="X132" si="210">SUM(X126:X131)</f>
        <v>590</v>
      </c>
    </row>
    <row r="133" spans="2:25" x14ac:dyDescent="0.15">
      <c r="B133" s="7" t="s">
        <v>76</v>
      </c>
      <c r="C133" s="33"/>
      <c r="D133" s="27">
        <v>1</v>
      </c>
      <c r="E133" s="43">
        <f t="shared" si="194"/>
        <v>1</v>
      </c>
      <c r="F133" s="37"/>
      <c r="G133" s="10">
        <v>1</v>
      </c>
      <c r="H133" s="43">
        <f t="shared" si="195"/>
        <v>1</v>
      </c>
      <c r="I133" s="37"/>
      <c r="J133" s="10">
        <v>1</v>
      </c>
      <c r="K133" s="43">
        <f t="shared" si="196"/>
        <v>1</v>
      </c>
      <c r="L133" s="8">
        <f t="shared" si="197"/>
        <v>3</v>
      </c>
      <c r="M133" s="53">
        <v>45139</v>
      </c>
      <c r="N133" s="7" t="s">
        <v>77</v>
      </c>
      <c r="O133" s="30">
        <v>2</v>
      </c>
      <c r="P133" s="25">
        <v>7</v>
      </c>
      <c r="Q133" s="43">
        <f t="shared" ref="Q133:Q141" si="211">SUM(O133:P133)</f>
        <v>9</v>
      </c>
      <c r="R133" s="35">
        <v>4</v>
      </c>
      <c r="S133" s="8">
        <v>4</v>
      </c>
      <c r="T133" s="43">
        <f t="shared" ref="T133:T141" si="212">SUM(R133:S133)</f>
        <v>8</v>
      </c>
      <c r="U133" s="35"/>
      <c r="V133" s="8">
        <v>8</v>
      </c>
      <c r="W133" s="43">
        <f t="shared" ref="W133:W141" si="213">SUM(U133:V133)</f>
        <v>8</v>
      </c>
      <c r="X133" s="8">
        <f t="shared" ref="X133:X141" si="214">SUM(W133,T133,Q133)</f>
        <v>25</v>
      </c>
      <c r="Y133" s="53">
        <v>45141</v>
      </c>
    </row>
    <row r="134" spans="2:25" x14ac:dyDescent="0.15">
      <c r="B134" s="7" t="s">
        <v>12</v>
      </c>
      <c r="C134" s="30"/>
      <c r="D134" s="25"/>
      <c r="E134" s="43">
        <f t="shared" ref="E134:E140" si="215">SUM(C134:D134)</f>
        <v>0</v>
      </c>
      <c r="F134" s="35"/>
      <c r="G134" s="8">
        <v>1</v>
      </c>
      <c r="H134" s="43">
        <f t="shared" ref="H134:H140" si="216">SUM(F134:G134)</f>
        <v>1</v>
      </c>
      <c r="I134" s="35">
        <v>1</v>
      </c>
      <c r="J134" s="8"/>
      <c r="K134" s="43">
        <f t="shared" ref="K134:K140" si="217">SUM(I134:J134)</f>
        <v>1</v>
      </c>
      <c r="L134" s="8">
        <f t="shared" ref="L134:L140" si="218">SUM(K134,H134,E134)</f>
        <v>2</v>
      </c>
      <c r="M134" s="53">
        <v>45140</v>
      </c>
      <c r="N134" s="7" t="s">
        <v>79</v>
      </c>
      <c r="O134" s="30"/>
      <c r="P134" s="25">
        <v>4</v>
      </c>
      <c r="Q134" s="43">
        <f t="shared" si="211"/>
        <v>4</v>
      </c>
      <c r="R134" s="35">
        <v>2</v>
      </c>
      <c r="S134" s="8">
        <v>2</v>
      </c>
      <c r="T134" s="43">
        <f t="shared" si="212"/>
        <v>4</v>
      </c>
      <c r="U134" s="35">
        <v>1</v>
      </c>
      <c r="V134" s="8">
        <v>2</v>
      </c>
      <c r="W134" s="43">
        <f t="shared" si="213"/>
        <v>3</v>
      </c>
      <c r="X134" s="8">
        <f t="shared" si="214"/>
        <v>11</v>
      </c>
      <c r="Y134" s="53">
        <v>45142</v>
      </c>
    </row>
    <row r="135" spans="2:25" x14ac:dyDescent="0.15">
      <c r="B135" s="7" t="s">
        <v>12</v>
      </c>
      <c r="C135" s="30"/>
      <c r="D135" s="25"/>
      <c r="E135" s="43">
        <f t="shared" si="215"/>
        <v>0</v>
      </c>
      <c r="F135" s="35">
        <v>1</v>
      </c>
      <c r="G135" s="8"/>
      <c r="H135" s="43">
        <f t="shared" si="216"/>
        <v>1</v>
      </c>
      <c r="I135" s="35"/>
      <c r="J135" s="8"/>
      <c r="K135" s="43">
        <f t="shared" si="217"/>
        <v>0</v>
      </c>
      <c r="L135" s="8">
        <f t="shared" si="218"/>
        <v>1</v>
      </c>
      <c r="M135" s="53">
        <v>45148</v>
      </c>
      <c r="N135" s="7" t="s">
        <v>80</v>
      </c>
      <c r="O135" s="30"/>
      <c r="P135" s="25"/>
      <c r="Q135" s="43">
        <f t="shared" si="211"/>
        <v>0</v>
      </c>
      <c r="R135" s="35">
        <v>1</v>
      </c>
      <c r="S135" s="8">
        <v>2</v>
      </c>
      <c r="T135" s="43">
        <f t="shared" si="212"/>
        <v>3</v>
      </c>
      <c r="U135" s="35"/>
      <c r="V135" s="8"/>
      <c r="W135" s="43">
        <f t="shared" si="213"/>
        <v>0</v>
      </c>
      <c r="X135" s="8">
        <f t="shared" si="214"/>
        <v>3</v>
      </c>
      <c r="Y135" s="53">
        <v>45145</v>
      </c>
    </row>
    <row r="136" spans="2:25" x14ac:dyDescent="0.15">
      <c r="B136" s="7" t="s">
        <v>12</v>
      </c>
      <c r="C136" s="30"/>
      <c r="D136" s="25"/>
      <c r="E136" s="43">
        <f t="shared" si="215"/>
        <v>0</v>
      </c>
      <c r="F136" s="35"/>
      <c r="G136" s="8"/>
      <c r="H136" s="43">
        <f t="shared" si="216"/>
        <v>0</v>
      </c>
      <c r="I136" s="35">
        <v>1</v>
      </c>
      <c r="J136" s="8"/>
      <c r="K136" s="43">
        <f t="shared" si="217"/>
        <v>1</v>
      </c>
      <c r="L136" s="8">
        <f t="shared" si="218"/>
        <v>1</v>
      </c>
      <c r="M136" s="53">
        <v>45154</v>
      </c>
      <c r="N136" s="7" t="s">
        <v>81</v>
      </c>
      <c r="O136" s="30">
        <v>3</v>
      </c>
      <c r="P136" s="25"/>
      <c r="Q136" s="43">
        <f t="shared" si="211"/>
        <v>3</v>
      </c>
      <c r="R136" s="35">
        <v>2</v>
      </c>
      <c r="S136" s="8">
        <v>3</v>
      </c>
      <c r="T136" s="43">
        <f t="shared" si="212"/>
        <v>5</v>
      </c>
      <c r="U136" s="35">
        <v>2</v>
      </c>
      <c r="V136" s="8"/>
      <c r="W136" s="43">
        <f t="shared" si="213"/>
        <v>2</v>
      </c>
      <c r="X136" s="8">
        <f t="shared" si="214"/>
        <v>10</v>
      </c>
      <c r="Y136" s="53">
        <v>45146</v>
      </c>
    </row>
    <row r="137" spans="2:25" x14ac:dyDescent="0.15">
      <c r="B137" s="7" t="s">
        <v>12</v>
      </c>
      <c r="C137" s="30"/>
      <c r="D137" s="25"/>
      <c r="E137" s="43">
        <f t="shared" si="215"/>
        <v>0</v>
      </c>
      <c r="F137" s="35">
        <v>1</v>
      </c>
      <c r="G137" s="8"/>
      <c r="H137" s="43">
        <f t="shared" si="216"/>
        <v>1</v>
      </c>
      <c r="I137" s="35"/>
      <c r="J137" s="8"/>
      <c r="K137" s="43">
        <f t="shared" si="217"/>
        <v>0</v>
      </c>
      <c r="L137" s="8">
        <f t="shared" si="218"/>
        <v>1</v>
      </c>
      <c r="M137" s="53">
        <v>45168</v>
      </c>
      <c r="N137" s="7" t="s">
        <v>82</v>
      </c>
      <c r="O137" s="30">
        <v>1</v>
      </c>
      <c r="P137" s="25"/>
      <c r="Q137" s="43">
        <f t="shared" si="211"/>
        <v>1</v>
      </c>
      <c r="R137" s="35">
        <v>2</v>
      </c>
      <c r="S137" s="8"/>
      <c r="T137" s="43">
        <f t="shared" si="212"/>
        <v>2</v>
      </c>
      <c r="U137" s="35"/>
      <c r="V137" s="8">
        <v>3</v>
      </c>
      <c r="W137" s="43">
        <f t="shared" si="213"/>
        <v>3</v>
      </c>
      <c r="X137" s="8">
        <f t="shared" si="214"/>
        <v>6</v>
      </c>
      <c r="Y137" s="53">
        <v>45147</v>
      </c>
    </row>
    <row r="138" spans="2:25" x14ac:dyDescent="0.15">
      <c r="B138" s="7" t="s">
        <v>12</v>
      </c>
      <c r="C138" s="30"/>
      <c r="D138" s="25"/>
      <c r="E138" s="43">
        <f t="shared" si="215"/>
        <v>0</v>
      </c>
      <c r="F138" s="35"/>
      <c r="G138" s="8">
        <v>2</v>
      </c>
      <c r="H138" s="43">
        <f t="shared" si="216"/>
        <v>2</v>
      </c>
      <c r="I138" s="35"/>
      <c r="J138" s="8"/>
      <c r="K138" s="43">
        <f t="shared" si="217"/>
        <v>0</v>
      </c>
      <c r="L138" s="8">
        <f t="shared" si="218"/>
        <v>2</v>
      </c>
      <c r="M138" s="53">
        <v>45169</v>
      </c>
      <c r="N138" s="7" t="s">
        <v>83</v>
      </c>
      <c r="O138" s="30">
        <v>1</v>
      </c>
      <c r="P138" s="25">
        <v>3</v>
      </c>
      <c r="Q138" s="43">
        <f t="shared" si="211"/>
        <v>4</v>
      </c>
      <c r="R138" s="35"/>
      <c r="S138" s="8"/>
      <c r="T138" s="43">
        <f t="shared" si="212"/>
        <v>0</v>
      </c>
      <c r="U138" s="35"/>
      <c r="V138" s="8">
        <v>2</v>
      </c>
      <c r="W138" s="43">
        <f t="shared" si="213"/>
        <v>2</v>
      </c>
      <c r="X138" s="8">
        <f t="shared" si="214"/>
        <v>6</v>
      </c>
      <c r="Y138" s="53">
        <v>45148</v>
      </c>
    </row>
    <row r="139" spans="2:25" x14ac:dyDescent="0.15">
      <c r="B139" s="7" t="s">
        <v>12</v>
      </c>
      <c r="C139" s="30"/>
      <c r="D139" s="25"/>
      <c r="E139" s="43">
        <f>SUM(C139:D139)</f>
        <v>0</v>
      </c>
      <c r="F139" s="35">
        <v>1</v>
      </c>
      <c r="G139" s="8"/>
      <c r="H139" s="43">
        <f t="shared" si="216"/>
        <v>1</v>
      </c>
      <c r="I139" s="35"/>
      <c r="J139" s="8"/>
      <c r="K139" s="43">
        <f t="shared" si="217"/>
        <v>0</v>
      </c>
      <c r="L139" s="8">
        <f t="shared" si="218"/>
        <v>1</v>
      </c>
      <c r="M139" s="53">
        <v>45171</v>
      </c>
      <c r="N139" s="7" t="s">
        <v>84</v>
      </c>
      <c r="O139" s="30"/>
      <c r="P139" s="25">
        <v>2</v>
      </c>
      <c r="Q139" s="43">
        <f t="shared" si="211"/>
        <v>2</v>
      </c>
      <c r="R139" s="35">
        <v>1</v>
      </c>
      <c r="S139" s="8"/>
      <c r="T139" s="43">
        <f t="shared" si="212"/>
        <v>1</v>
      </c>
      <c r="U139" s="35"/>
      <c r="V139" s="8">
        <v>1</v>
      </c>
      <c r="W139" s="43">
        <f t="shared" si="213"/>
        <v>1</v>
      </c>
      <c r="X139" s="8">
        <f t="shared" si="214"/>
        <v>4</v>
      </c>
      <c r="Y139" s="53">
        <v>45154</v>
      </c>
    </row>
    <row r="140" spans="2:25" x14ac:dyDescent="0.15">
      <c r="B140" s="7" t="s">
        <v>12</v>
      </c>
      <c r="C140" s="30"/>
      <c r="D140" s="25"/>
      <c r="E140" s="43">
        <f t="shared" si="215"/>
        <v>0</v>
      </c>
      <c r="F140" s="35"/>
      <c r="G140" s="8"/>
      <c r="H140" s="43">
        <f t="shared" si="216"/>
        <v>0</v>
      </c>
      <c r="I140" s="35"/>
      <c r="J140" s="8">
        <v>4</v>
      </c>
      <c r="K140" s="43">
        <f t="shared" si="217"/>
        <v>4</v>
      </c>
      <c r="L140" s="8">
        <f t="shared" si="218"/>
        <v>4</v>
      </c>
      <c r="M140" s="53">
        <v>45174</v>
      </c>
      <c r="N140" s="7" t="s">
        <v>85</v>
      </c>
      <c r="O140" s="30">
        <v>9</v>
      </c>
      <c r="P140" s="25">
        <v>5</v>
      </c>
      <c r="Q140" s="43">
        <f t="shared" si="211"/>
        <v>14</v>
      </c>
      <c r="R140" s="35">
        <v>7</v>
      </c>
      <c r="S140" s="8">
        <v>5</v>
      </c>
      <c r="T140" s="43">
        <f t="shared" si="212"/>
        <v>12</v>
      </c>
      <c r="U140" s="35">
        <v>13</v>
      </c>
      <c r="V140" s="8">
        <v>5</v>
      </c>
      <c r="W140" s="43">
        <f t="shared" si="213"/>
        <v>18</v>
      </c>
      <c r="X140" s="8">
        <f t="shared" si="214"/>
        <v>44</v>
      </c>
      <c r="Y140" s="53">
        <v>45156</v>
      </c>
    </row>
    <row r="141" spans="2:25" x14ac:dyDescent="0.15">
      <c r="B141" s="7" t="s">
        <v>12</v>
      </c>
      <c r="C141" s="30"/>
      <c r="D141" s="25"/>
      <c r="E141" s="43">
        <f t="shared" si="194"/>
        <v>0</v>
      </c>
      <c r="F141" s="35"/>
      <c r="G141" s="8">
        <v>1</v>
      </c>
      <c r="H141" s="43">
        <f t="shared" si="195"/>
        <v>1</v>
      </c>
      <c r="I141" s="35"/>
      <c r="J141" s="8"/>
      <c r="K141" s="43">
        <f t="shared" si="196"/>
        <v>0</v>
      </c>
      <c r="L141" s="8">
        <f t="shared" si="197"/>
        <v>1</v>
      </c>
      <c r="M141" s="53">
        <v>45176</v>
      </c>
      <c r="N141" s="7" t="s">
        <v>86</v>
      </c>
      <c r="O141" s="30">
        <v>5</v>
      </c>
      <c r="P141" s="25">
        <v>6</v>
      </c>
      <c r="Q141" s="43">
        <f t="shared" si="211"/>
        <v>11</v>
      </c>
      <c r="R141" s="35"/>
      <c r="S141" s="8">
        <v>1</v>
      </c>
      <c r="T141" s="43">
        <f t="shared" si="212"/>
        <v>1</v>
      </c>
      <c r="U141" s="35">
        <v>1</v>
      </c>
      <c r="V141" s="8">
        <v>4</v>
      </c>
      <c r="W141" s="43">
        <f t="shared" si="213"/>
        <v>5</v>
      </c>
      <c r="X141" s="8">
        <f t="shared" si="214"/>
        <v>17</v>
      </c>
      <c r="Y141" s="53">
        <v>45159</v>
      </c>
    </row>
    <row r="142" spans="2:25" x14ac:dyDescent="0.15">
      <c r="B142" s="7" t="s">
        <v>102</v>
      </c>
      <c r="C142" s="30"/>
      <c r="D142" s="25">
        <v>1</v>
      </c>
      <c r="E142" s="43">
        <f t="shared" si="194"/>
        <v>1</v>
      </c>
      <c r="F142" s="35"/>
      <c r="G142" s="8"/>
      <c r="H142" s="43">
        <f t="shared" si="195"/>
        <v>0</v>
      </c>
      <c r="I142" s="35"/>
      <c r="J142" s="8"/>
      <c r="K142" s="43">
        <f t="shared" si="196"/>
        <v>0</v>
      </c>
      <c r="L142" s="8">
        <f t="shared" si="197"/>
        <v>1</v>
      </c>
      <c r="M142" s="53">
        <v>45181</v>
      </c>
      <c r="N142" s="7" t="s">
        <v>87</v>
      </c>
      <c r="O142" s="30"/>
      <c r="P142" s="25">
        <v>4</v>
      </c>
      <c r="Q142" s="43">
        <f t="shared" si="186"/>
        <v>4</v>
      </c>
      <c r="R142" s="35">
        <v>2</v>
      </c>
      <c r="S142" s="8">
        <v>3</v>
      </c>
      <c r="T142" s="43">
        <f t="shared" si="187"/>
        <v>5</v>
      </c>
      <c r="U142" s="35"/>
      <c r="V142" s="8">
        <v>14</v>
      </c>
      <c r="W142" s="43">
        <f t="shared" si="188"/>
        <v>14</v>
      </c>
      <c r="X142" s="8">
        <f t="shared" si="189"/>
        <v>23</v>
      </c>
      <c r="Y142" s="53">
        <v>45160</v>
      </c>
    </row>
    <row r="143" spans="2:25" x14ac:dyDescent="0.15">
      <c r="B143" s="7" t="s">
        <v>12</v>
      </c>
      <c r="C143" s="33"/>
      <c r="D143" s="27"/>
      <c r="E143" s="43">
        <f t="shared" si="194"/>
        <v>0</v>
      </c>
      <c r="F143" s="37"/>
      <c r="G143" s="10"/>
      <c r="H143" s="43">
        <f t="shared" si="195"/>
        <v>0</v>
      </c>
      <c r="I143" s="37">
        <v>2</v>
      </c>
      <c r="J143" s="10"/>
      <c r="K143" s="43">
        <f t="shared" si="196"/>
        <v>2</v>
      </c>
      <c r="L143" s="8">
        <f t="shared" si="197"/>
        <v>2</v>
      </c>
      <c r="M143" s="53">
        <v>45180</v>
      </c>
      <c r="N143" s="7" t="s">
        <v>88</v>
      </c>
      <c r="O143" s="30"/>
      <c r="P143" s="25">
        <v>2</v>
      </c>
      <c r="Q143" s="43">
        <f t="shared" si="186"/>
        <v>2</v>
      </c>
      <c r="R143" s="35">
        <v>3</v>
      </c>
      <c r="S143" s="8"/>
      <c r="T143" s="43">
        <f t="shared" si="187"/>
        <v>3</v>
      </c>
      <c r="U143" s="35">
        <v>3</v>
      </c>
      <c r="V143" s="8"/>
      <c r="W143" s="43">
        <f t="shared" si="188"/>
        <v>3</v>
      </c>
      <c r="X143" s="8">
        <f t="shared" si="189"/>
        <v>8</v>
      </c>
      <c r="Y143" s="53">
        <v>45161</v>
      </c>
    </row>
    <row r="144" spans="2:25" x14ac:dyDescent="0.15">
      <c r="B144" s="7" t="s">
        <v>103</v>
      </c>
      <c r="C144" s="30"/>
      <c r="D144" s="25">
        <v>2</v>
      </c>
      <c r="E144" s="43">
        <f t="shared" si="194"/>
        <v>2</v>
      </c>
      <c r="F144" s="35"/>
      <c r="G144" s="8"/>
      <c r="H144" s="43">
        <f t="shared" si="195"/>
        <v>0</v>
      </c>
      <c r="I144" s="35"/>
      <c r="J144" s="8"/>
      <c r="K144" s="43">
        <f t="shared" si="196"/>
        <v>0</v>
      </c>
      <c r="L144" s="8">
        <f t="shared" si="197"/>
        <v>2</v>
      </c>
      <c r="M144" s="53">
        <v>45182</v>
      </c>
      <c r="N144" s="7" t="s">
        <v>89</v>
      </c>
      <c r="O144" s="30">
        <v>2</v>
      </c>
      <c r="P144" s="25">
        <v>1</v>
      </c>
      <c r="Q144" s="43">
        <f t="shared" si="186"/>
        <v>3</v>
      </c>
      <c r="R144" s="35"/>
      <c r="S144" s="8">
        <v>4</v>
      </c>
      <c r="T144" s="43">
        <f t="shared" si="187"/>
        <v>4</v>
      </c>
      <c r="U144" s="35"/>
      <c r="V144" s="8"/>
      <c r="W144" s="43">
        <f t="shared" si="188"/>
        <v>0</v>
      </c>
      <c r="X144" s="8">
        <f t="shared" si="189"/>
        <v>7</v>
      </c>
      <c r="Y144" s="53">
        <v>45162</v>
      </c>
    </row>
    <row r="145" spans="2:25" x14ac:dyDescent="0.15">
      <c r="B145" s="7" t="s">
        <v>12</v>
      </c>
      <c r="C145" s="30"/>
      <c r="D145" s="25"/>
      <c r="E145" s="43">
        <f t="shared" si="194"/>
        <v>0</v>
      </c>
      <c r="F145" s="35"/>
      <c r="G145" s="8">
        <v>1</v>
      </c>
      <c r="H145" s="43">
        <f t="shared" si="195"/>
        <v>1</v>
      </c>
      <c r="I145" s="35"/>
      <c r="J145" s="8">
        <v>1</v>
      </c>
      <c r="K145" s="43">
        <f t="shared" si="196"/>
        <v>1</v>
      </c>
      <c r="L145" s="8">
        <f t="shared" si="197"/>
        <v>2</v>
      </c>
      <c r="M145" s="53">
        <v>45182</v>
      </c>
      <c r="N145" s="7" t="s">
        <v>90</v>
      </c>
      <c r="O145" s="30"/>
      <c r="P145" s="25">
        <v>2</v>
      </c>
      <c r="Q145" s="43">
        <f t="shared" si="186"/>
        <v>2</v>
      </c>
      <c r="R145" s="35"/>
      <c r="S145" s="8"/>
      <c r="T145" s="43">
        <f t="shared" si="187"/>
        <v>0</v>
      </c>
      <c r="U145" s="35"/>
      <c r="V145" s="8"/>
      <c r="W145" s="43">
        <f t="shared" si="188"/>
        <v>0</v>
      </c>
      <c r="X145" s="8">
        <f t="shared" si="189"/>
        <v>2</v>
      </c>
      <c r="Y145" s="53">
        <v>45163</v>
      </c>
    </row>
    <row r="146" spans="2:25" x14ac:dyDescent="0.15">
      <c r="B146" s="7" t="s">
        <v>104</v>
      </c>
      <c r="C146" s="30"/>
      <c r="D146" s="25">
        <v>2</v>
      </c>
      <c r="E146" s="43">
        <f t="shared" si="194"/>
        <v>2</v>
      </c>
      <c r="F146" s="35">
        <v>1</v>
      </c>
      <c r="G146" s="8"/>
      <c r="H146" s="43">
        <f t="shared" si="195"/>
        <v>1</v>
      </c>
      <c r="I146" s="35"/>
      <c r="J146" s="8"/>
      <c r="K146" s="43">
        <f t="shared" si="196"/>
        <v>0</v>
      </c>
      <c r="L146" s="8">
        <f t="shared" si="197"/>
        <v>3</v>
      </c>
      <c r="M146" s="53">
        <v>45184</v>
      </c>
      <c r="N146" s="7" t="s">
        <v>92</v>
      </c>
      <c r="O146" s="30">
        <v>4</v>
      </c>
      <c r="P146" s="25">
        <v>3</v>
      </c>
      <c r="Q146" s="43">
        <f t="shared" si="186"/>
        <v>7</v>
      </c>
      <c r="R146" s="35">
        <v>1</v>
      </c>
      <c r="S146" s="8">
        <v>5</v>
      </c>
      <c r="T146" s="43">
        <f t="shared" si="187"/>
        <v>6</v>
      </c>
      <c r="U146" s="35">
        <v>3</v>
      </c>
      <c r="V146" s="8">
        <v>1</v>
      </c>
      <c r="W146" s="43">
        <f t="shared" si="188"/>
        <v>4</v>
      </c>
      <c r="X146" s="8">
        <f t="shared" si="189"/>
        <v>17</v>
      </c>
      <c r="Y146" s="53">
        <v>45166</v>
      </c>
    </row>
    <row r="147" spans="2:25" x14ac:dyDescent="0.15">
      <c r="B147" s="7" t="s">
        <v>12</v>
      </c>
      <c r="C147" s="33"/>
      <c r="D147" s="27"/>
      <c r="E147" s="43">
        <f t="shared" si="194"/>
        <v>0</v>
      </c>
      <c r="F147" s="37">
        <v>2</v>
      </c>
      <c r="G147" s="10"/>
      <c r="H147" s="43">
        <f t="shared" si="195"/>
        <v>2</v>
      </c>
      <c r="I147" s="37"/>
      <c r="J147" s="10"/>
      <c r="K147" s="43">
        <f t="shared" si="196"/>
        <v>0</v>
      </c>
      <c r="L147" s="8">
        <f t="shared" si="197"/>
        <v>2</v>
      </c>
      <c r="M147" s="53">
        <v>45188</v>
      </c>
      <c r="N147" s="7" t="s">
        <v>93</v>
      </c>
      <c r="O147" s="30">
        <v>7</v>
      </c>
      <c r="P147" s="25">
        <v>2</v>
      </c>
      <c r="Q147" s="43">
        <f t="shared" si="186"/>
        <v>9</v>
      </c>
      <c r="R147" s="35">
        <v>10</v>
      </c>
      <c r="S147" s="8">
        <v>6</v>
      </c>
      <c r="T147" s="43">
        <f t="shared" si="187"/>
        <v>16</v>
      </c>
      <c r="U147" s="35">
        <v>1</v>
      </c>
      <c r="V147" s="8">
        <v>5</v>
      </c>
      <c r="W147" s="43">
        <f t="shared" si="188"/>
        <v>6</v>
      </c>
      <c r="X147" s="8">
        <f t="shared" si="189"/>
        <v>31</v>
      </c>
      <c r="Y147" s="53">
        <v>45167</v>
      </c>
    </row>
    <row r="148" spans="2:25" x14ac:dyDescent="0.15">
      <c r="B148" s="7"/>
      <c r="C148" s="33"/>
      <c r="D148" s="27"/>
      <c r="E148" s="43">
        <f t="shared" si="194"/>
        <v>0</v>
      </c>
      <c r="F148" s="37"/>
      <c r="G148" s="10"/>
      <c r="H148" s="43">
        <f t="shared" si="195"/>
        <v>0</v>
      </c>
      <c r="I148" s="37"/>
      <c r="J148" s="10"/>
      <c r="K148" s="43">
        <f t="shared" si="196"/>
        <v>0</v>
      </c>
      <c r="L148" s="8">
        <f t="shared" si="197"/>
        <v>0</v>
      </c>
      <c r="N148" s="7" t="s">
        <v>94</v>
      </c>
      <c r="O148" s="30"/>
      <c r="P148" s="25">
        <v>2</v>
      </c>
      <c r="Q148" s="43">
        <f t="shared" si="186"/>
        <v>2</v>
      </c>
      <c r="R148" s="35">
        <v>4</v>
      </c>
      <c r="S148" s="8">
        <v>4</v>
      </c>
      <c r="T148" s="43">
        <f t="shared" si="187"/>
        <v>8</v>
      </c>
      <c r="U148" s="35"/>
      <c r="V148" s="8"/>
      <c r="W148" s="43">
        <f t="shared" si="188"/>
        <v>0</v>
      </c>
      <c r="X148" s="8">
        <f t="shared" si="189"/>
        <v>10</v>
      </c>
      <c r="Y148" s="53">
        <v>45168</v>
      </c>
    </row>
    <row r="149" spans="2:25" x14ac:dyDescent="0.15">
      <c r="B149" s="7"/>
      <c r="C149" s="33"/>
      <c r="D149" s="27"/>
      <c r="E149" s="43">
        <f t="shared" si="194"/>
        <v>0</v>
      </c>
      <c r="F149" s="37"/>
      <c r="G149" s="10"/>
      <c r="H149" s="43">
        <f t="shared" si="195"/>
        <v>0</v>
      </c>
      <c r="I149" s="37"/>
      <c r="J149" s="10"/>
      <c r="K149" s="43">
        <f t="shared" si="196"/>
        <v>0</v>
      </c>
      <c r="L149" s="8">
        <f t="shared" si="197"/>
        <v>0</v>
      </c>
      <c r="N149" s="7" t="s">
        <v>95</v>
      </c>
      <c r="O149" s="30">
        <v>3</v>
      </c>
      <c r="P149" s="25">
        <v>4</v>
      </c>
      <c r="Q149" s="43">
        <f t="shared" si="186"/>
        <v>7</v>
      </c>
      <c r="R149" s="35">
        <v>1</v>
      </c>
      <c r="S149" s="8">
        <v>2</v>
      </c>
      <c r="T149" s="43">
        <f t="shared" si="187"/>
        <v>3</v>
      </c>
      <c r="U149" s="35">
        <v>3</v>
      </c>
      <c r="V149" s="8">
        <v>2</v>
      </c>
      <c r="W149" s="43">
        <f t="shared" si="188"/>
        <v>5</v>
      </c>
      <c r="X149" s="8">
        <f t="shared" si="189"/>
        <v>15</v>
      </c>
      <c r="Y149" s="53">
        <v>45169</v>
      </c>
    </row>
    <row r="150" spans="2:25" x14ac:dyDescent="0.15">
      <c r="B150" s="7"/>
      <c r="C150" s="33"/>
      <c r="D150" s="27"/>
      <c r="E150" s="43">
        <f t="shared" si="194"/>
        <v>0</v>
      </c>
      <c r="F150" s="37"/>
      <c r="G150" s="10"/>
      <c r="H150" s="43">
        <f t="shared" si="195"/>
        <v>0</v>
      </c>
      <c r="I150" s="37"/>
      <c r="J150" s="10"/>
      <c r="K150" s="43">
        <f t="shared" si="196"/>
        <v>0</v>
      </c>
      <c r="L150" s="8">
        <f t="shared" si="197"/>
        <v>0</v>
      </c>
      <c r="N150" s="7" t="s">
        <v>96</v>
      </c>
      <c r="O150" s="30">
        <v>2</v>
      </c>
      <c r="P150" s="25">
        <v>1</v>
      </c>
      <c r="Q150" s="43">
        <f t="shared" si="186"/>
        <v>3</v>
      </c>
      <c r="R150" s="35"/>
      <c r="S150" s="8"/>
      <c r="T150" s="43">
        <f t="shared" si="187"/>
        <v>0</v>
      </c>
      <c r="U150" s="35"/>
      <c r="V150" s="8">
        <v>5</v>
      </c>
      <c r="W150" s="43">
        <f t="shared" si="188"/>
        <v>5</v>
      </c>
      <c r="X150" s="8">
        <f t="shared" si="189"/>
        <v>8</v>
      </c>
      <c r="Y150" s="53">
        <v>45170</v>
      </c>
    </row>
    <row r="151" spans="2:25" x14ac:dyDescent="0.15">
      <c r="B151" s="7"/>
      <c r="C151" s="33"/>
      <c r="D151" s="27"/>
      <c r="E151" s="43">
        <f t="shared" si="194"/>
        <v>0</v>
      </c>
      <c r="F151" s="37"/>
      <c r="G151" s="10"/>
      <c r="H151" s="43">
        <f t="shared" si="195"/>
        <v>0</v>
      </c>
      <c r="I151" s="37"/>
      <c r="J151" s="10"/>
      <c r="K151" s="43">
        <f t="shared" si="196"/>
        <v>0</v>
      </c>
      <c r="L151" s="8">
        <f t="shared" si="197"/>
        <v>0</v>
      </c>
      <c r="N151" s="7" t="s">
        <v>97</v>
      </c>
      <c r="O151" s="30">
        <v>1</v>
      </c>
      <c r="P151" s="25"/>
      <c r="Q151" s="43">
        <f t="shared" si="186"/>
        <v>1</v>
      </c>
      <c r="R151" s="35"/>
      <c r="S151" s="8"/>
      <c r="T151" s="43">
        <f t="shared" si="187"/>
        <v>0</v>
      </c>
      <c r="U151" s="35"/>
      <c r="V151" s="8">
        <v>1</v>
      </c>
      <c r="W151" s="43">
        <f t="shared" si="188"/>
        <v>1</v>
      </c>
      <c r="X151" s="8">
        <f t="shared" si="189"/>
        <v>2</v>
      </c>
      <c r="Y151" s="53">
        <v>45173</v>
      </c>
    </row>
    <row r="152" spans="2:25" x14ac:dyDescent="0.15">
      <c r="B152" s="7"/>
      <c r="C152" s="30"/>
      <c r="D152" s="25"/>
      <c r="E152" s="43">
        <f t="shared" si="194"/>
        <v>0</v>
      </c>
      <c r="F152" s="35"/>
      <c r="G152" s="8"/>
      <c r="H152" s="43">
        <f t="shared" si="195"/>
        <v>0</v>
      </c>
      <c r="I152" s="35"/>
      <c r="J152" s="8"/>
      <c r="K152" s="43">
        <f t="shared" si="196"/>
        <v>0</v>
      </c>
      <c r="L152" s="8">
        <f t="shared" si="197"/>
        <v>0</v>
      </c>
      <c r="N152" s="7" t="s">
        <v>98</v>
      </c>
      <c r="O152" s="30"/>
      <c r="P152" s="25"/>
      <c r="Q152" s="43">
        <f t="shared" si="186"/>
        <v>0</v>
      </c>
      <c r="R152" s="35"/>
      <c r="S152" s="8"/>
      <c r="T152" s="43">
        <f t="shared" si="187"/>
        <v>0</v>
      </c>
      <c r="U152" s="35">
        <v>2</v>
      </c>
      <c r="V152" s="8"/>
      <c r="W152" s="43">
        <f t="shared" si="188"/>
        <v>2</v>
      </c>
      <c r="X152" s="8">
        <f t="shared" si="189"/>
        <v>2</v>
      </c>
      <c r="Y152" s="53">
        <v>45174</v>
      </c>
    </row>
    <row r="153" spans="2:25" x14ac:dyDescent="0.15">
      <c r="B153" s="7"/>
      <c r="C153" s="30"/>
      <c r="D153" s="25"/>
      <c r="E153" s="43">
        <f t="shared" si="194"/>
        <v>0</v>
      </c>
      <c r="F153" s="35"/>
      <c r="G153" s="8"/>
      <c r="H153" s="43">
        <f t="shared" si="195"/>
        <v>0</v>
      </c>
      <c r="I153" s="35"/>
      <c r="J153" s="8"/>
      <c r="K153" s="43">
        <f t="shared" si="196"/>
        <v>0</v>
      </c>
      <c r="L153" s="8">
        <f t="shared" si="197"/>
        <v>0</v>
      </c>
      <c r="N153" s="7" t="s">
        <v>99</v>
      </c>
      <c r="O153" s="30"/>
      <c r="P153" s="25"/>
      <c r="Q153" s="43">
        <f t="shared" si="186"/>
        <v>0</v>
      </c>
      <c r="R153" s="35"/>
      <c r="S153" s="8"/>
      <c r="T153" s="43">
        <f t="shared" si="187"/>
        <v>0</v>
      </c>
      <c r="U153" s="35">
        <v>1</v>
      </c>
      <c r="V153" s="8">
        <v>1</v>
      </c>
      <c r="W153" s="43">
        <f t="shared" si="188"/>
        <v>2</v>
      </c>
      <c r="X153" s="8">
        <f t="shared" si="189"/>
        <v>2</v>
      </c>
      <c r="Y153" s="53">
        <v>45175</v>
      </c>
    </row>
    <row r="154" spans="2:25" x14ac:dyDescent="0.15">
      <c r="B154" s="7"/>
      <c r="C154" s="30"/>
      <c r="D154" s="25"/>
      <c r="E154" s="43">
        <f t="shared" si="194"/>
        <v>0</v>
      </c>
      <c r="F154" s="35"/>
      <c r="G154" s="8"/>
      <c r="H154" s="43">
        <f t="shared" si="195"/>
        <v>0</v>
      </c>
      <c r="I154" s="35"/>
      <c r="J154" s="8"/>
      <c r="K154" s="43">
        <f t="shared" si="196"/>
        <v>0</v>
      </c>
      <c r="L154" s="8">
        <f t="shared" si="197"/>
        <v>0</v>
      </c>
      <c r="N154" s="7" t="s">
        <v>100</v>
      </c>
      <c r="O154" s="30"/>
      <c r="P154" s="25">
        <v>3</v>
      </c>
      <c r="Q154" s="43">
        <f t="shared" ref="Q154:Q155" si="219">SUM(O154:P154)</f>
        <v>3</v>
      </c>
      <c r="R154" s="35"/>
      <c r="S154" s="8"/>
      <c r="T154" s="43">
        <f t="shared" ref="T154:T155" si="220">SUM(R154:S154)</f>
        <v>0</v>
      </c>
      <c r="U154" s="35"/>
      <c r="V154" s="8"/>
      <c r="W154" s="43">
        <f t="shared" ref="W154:W155" si="221">SUM(U154:V154)</f>
        <v>0</v>
      </c>
      <c r="X154" s="8">
        <f t="shared" ref="X154:X155" si="222">SUM(W154,T154,Q154)</f>
        <v>3</v>
      </c>
      <c r="Y154" s="53">
        <v>45176</v>
      </c>
    </row>
    <row r="155" spans="2:25" x14ac:dyDescent="0.15">
      <c r="B155" s="7"/>
      <c r="C155" s="30"/>
      <c r="D155" s="25"/>
      <c r="E155" s="43">
        <f t="shared" si="194"/>
        <v>0</v>
      </c>
      <c r="F155" s="35"/>
      <c r="G155" s="8"/>
      <c r="H155" s="43">
        <f t="shared" si="195"/>
        <v>0</v>
      </c>
      <c r="I155" s="35"/>
      <c r="J155" s="8"/>
      <c r="K155" s="43">
        <f t="shared" si="196"/>
        <v>0</v>
      </c>
      <c r="L155" s="8">
        <f t="shared" si="197"/>
        <v>0</v>
      </c>
      <c r="N155" s="7" t="s">
        <v>101</v>
      </c>
      <c r="O155" s="30"/>
      <c r="P155" s="25"/>
      <c r="Q155" s="43">
        <f t="shared" si="219"/>
        <v>0</v>
      </c>
      <c r="R155" s="35"/>
      <c r="S155" s="8"/>
      <c r="T155" s="43">
        <f t="shared" si="220"/>
        <v>0</v>
      </c>
      <c r="U155" s="35"/>
      <c r="V155" s="8">
        <v>2</v>
      </c>
      <c r="W155" s="43">
        <f t="shared" si="221"/>
        <v>2</v>
      </c>
      <c r="X155" s="8">
        <f t="shared" si="222"/>
        <v>2</v>
      </c>
      <c r="Y155" s="53">
        <v>45177</v>
      </c>
    </row>
    <row r="156" spans="2:25" x14ac:dyDescent="0.15">
      <c r="B156" s="7"/>
      <c r="C156" s="30"/>
      <c r="D156" s="25"/>
      <c r="E156" s="43">
        <f t="shared" si="194"/>
        <v>0</v>
      </c>
      <c r="F156" s="35"/>
      <c r="G156" s="8"/>
      <c r="H156" s="43">
        <f t="shared" si="195"/>
        <v>0</v>
      </c>
      <c r="I156" s="35"/>
      <c r="J156" s="8"/>
      <c r="K156" s="43">
        <f t="shared" si="196"/>
        <v>0</v>
      </c>
      <c r="L156" s="8">
        <f t="shared" si="197"/>
        <v>0</v>
      </c>
      <c r="N156" s="7" t="s">
        <v>63</v>
      </c>
      <c r="O156" s="30"/>
      <c r="P156" s="25"/>
      <c r="Q156" s="43">
        <f t="shared" ref="Q156:Q157" si="223">SUM(O156:P156)</f>
        <v>0</v>
      </c>
      <c r="R156" s="35"/>
      <c r="S156" s="8"/>
      <c r="T156" s="43">
        <f t="shared" ref="T156:T157" si="224">SUM(R156:S156)</f>
        <v>0</v>
      </c>
      <c r="U156" s="35"/>
      <c r="V156" s="8"/>
      <c r="W156" s="43">
        <f t="shared" ref="W156:W157" si="225">SUM(U156:V156)</f>
        <v>0</v>
      </c>
      <c r="X156" s="8">
        <f t="shared" ref="X156:X157" si="226">SUM(W156,T156,Q156)</f>
        <v>0</v>
      </c>
      <c r="Y156" s="53" t="s">
        <v>64</v>
      </c>
    </row>
    <row r="157" spans="2:25" ht="14.25" thickBot="1" x14ac:dyDescent="0.2">
      <c r="B157" s="7"/>
      <c r="C157" s="30"/>
      <c r="D157" s="25"/>
      <c r="E157" s="43">
        <f t="shared" si="194"/>
        <v>0</v>
      </c>
      <c r="F157" s="35"/>
      <c r="G157" s="8"/>
      <c r="H157" s="43">
        <f t="shared" si="195"/>
        <v>0</v>
      </c>
      <c r="I157" s="35"/>
      <c r="J157" s="8"/>
      <c r="K157" s="43">
        <f t="shared" si="196"/>
        <v>0</v>
      </c>
      <c r="L157" s="8">
        <f t="shared" si="197"/>
        <v>0</v>
      </c>
      <c r="M157" s="53"/>
      <c r="N157" s="7" t="s">
        <v>47</v>
      </c>
      <c r="O157" s="30"/>
      <c r="P157" s="25"/>
      <c r="Q157" s="43">
        <f t="shared" si="223"/>
        <v>0</v>
      </c>
      <c r="R157" s="35"/>
      <c r="S157" s="8"/>
      <c r="T157" s="43">
        <f t="shared" si="224"/>
        <v>0</v>
      </c>
      <c r="U157" s="35"/>
      <c r="V157" s="8"/>
      <c r="W157" s="43">
        <f t="shared" si="225"/>
        <v>0</v>
      </c>
      <c r="X157" s="8">
        <f t="shared" si="226"/>
        <v>0</v>
      </c>
      <c r="Y157" s="53" t="s">
        <v>48</v>
      </c>
    </row>
    <row r="158" spans="2:25" ht="14.25" thickBot="1" x14ac:dyDescent="0.2">
      <c r="B158" s="5" t="s">
        <v>1</v>
      </c>
      <c r="C158" s="32">
        <f>SUM(C133:C157)</f>
        <v>0</v>
      </c>
      <c r="D158" s="19">
        <f>SUM(D133:D157)</f>
        <v>6</v>
      </c>
      <c r="E158" s="44">
        <f t="shared" si="194"/>
        <v>6</v>
      </c>
      <c r="F158" s="32">
        <f>SUM(F133:F157)</f>
        <v>6</v>
      </c>
      <c r="G158" s="19">
        <f>SUM(G133:G157)</f>
        <v>6</v>
      </c>
      <c r="H158" s="44">
        <f t="shared" si="195"/>
        <v>12</v>
      </c>
      <c r="I158" s="32">
        <f>SUM(I133:I157)</f>
        <v>4</v>
      </c>
      <c r="J158" s="19">
        <f>SUM(J133:J157)</f>
        <v>6</v>
      </c>
      <c r="K158" s="44">
        <f t="shared" si="196"/>
        <v>10</v>
      </c>
      <c r="L158" s="4">
        <f t="shared" si="197"/>
        <v>28</v>
      </c>
      <c r="N158" s="5" t="s">
        <v>1</v>
      </c>
      <c r="O158" s="32">
        <f>SUM(O133:O157)</f>
        <v>40</v>
      </c>
      <c r="P158" s="19">
        <f t="shared" ref="P158" si="227">SUM(P133:P157)</f>
        <v>51</v>
      </c>
      <c r="Q158" s="44">
        <f t="shared" ref="Q158" si="228">SUM(Q133:Q157)</f>
        <v>91</v>
      </c>
      <c r="R158" s="32">
        <f t="shared" ref="R158" si="229">SUM(R133:R157)</f>
        <v>40</v>
      </c>
      <c r="S158" s="19">
        <f t="shared" ref="S158" si="230">SUM(S133:S157)</f>
        <v>41</v>
      </c>
      <c r="T158" s="44">
        <f t="shared" ref="T158" si="231">SUM(T133:T157)</f>
        <v>81</v>
      </c>
      <c r="U158" s="32">
        <f t="shared" ref="U158" si="232">SUM(U133:U157)</f>
        <v>30</v>
      </c>
      <c r="V158" s="19">
        <f t="shared" ref="V158" si="233">SUM(V133:V157)</f>
        <v>56</v>
      </c>
      <c r="W158" s="44">
        <f t="shared" ref="W158" si="234">SUM(W133:W157)</f>
        <v>86</v>
      </c>
      <c r="X158" s="4">
        <f t="shared" ref="X158" si="235">SUM(X133:X157)</f>
        <v>258</v>
      </c>
    </row>
    <row r="159" spans="2:25" ht="14.25" thickBot="1" x14ac:dyDescent="0.2">
      <c r="B159" s="3" t="s">
        <v>0</v>
      </c>
      <c r="C159" s="34">
        <f>+C132-C158</f>
        <v>11</v>
      </c>
      <c r="D159" s="2">
        <f>+D132-D158</f>
        <v>3</v>
      </c>
      <c r="E159" s="45">
        <f t="shared" si="194"/>
        <v>14</v>
      </c>
      <c r="F159" s="34">
        <f>+F132-F158</f>
        <v>1</v>
      </c>
      <c r="G159" s="2">
        <f>+G132-G158</f>
        <v>8</v>
      </c>
      <c r="H159" s="45">
        <f t="shared" si="195"/>
        <v>9</v>
      </c>
      <c r="I159" s="34">
        <f>+I132-I158</f>
        <v>8</v>
      </c>
      <c r="J159" s="2">
        <f>+J132-J158</f>
        <v>3</v>
      </c>
      <c r="K159" s="45">
        <f t="shared" si="196"/>
        <v>11</v>
      </c>
      <c r="L159" s="2">
        <f t="shared" si="197"/>
        <v>34</v>
      </c>
      <c r="N159" s="3" t="s">
        <v>0</v>
      </c>
      <c r="O159" s="34">
        <f>+O132-O158</f>
        <v>46</v>
      </c>
      <c r="P159" s="2">
        <f t="shared" ref="P159" si="236">+P132-P158</f>
        <v>62</v>
      </c>
      <c r="Q159" s="45">
        <f t="shared" ref="Q159" si="237">+Q132-Q158</f>
        <v>108</v>
      </c>
      <c r="R159" s="34">
        <f t="shared" ref="R159" si="238">+R132-R158</f>
        <v>67</v>
      </c>
      <c r="S159" s="2">
        <f t="shared" ref="S159" si="239">+S132-S158</f>
        <v>57</v>
      </c>
      <c r="T159" s="45">
        <f t="shared" ref="T159" si="240">+T132-T158</f>
        <v>124</v>
      </c>
      <c r="U159" s="34">
        <f t="shared" ref="U159" si="241">+U132-U158</f>
        <v>70</v>
      </c>
      <c r="V159" s="2">
        <f t="shared" ref="V159" si="242">+V132-V158</f>
        <v>30</v>
      </c>
      <c r="W159" s="45">
        <f t="shared" ref="W159" si="243">+W132-W158</f>
        <v>100</v>
      </c>
      <c r="X159" s="2">
        <f t="shared" ref="X159" si="244">+X132-X158</f>
        <v>332</v>
      </c>
    </row>
    <row r="160" spans="2:25" x14ac:dyDescent="0.15">
      <c r="O160">
        <f>O158+O118+O78+O38</f>
        <v>134</v>
      </c>
      <c r="P160">
        <f t="shared" ref="P160:X160" si="245">P158+P118+P78+P38</f>
        <v>138</v>
      </c>
      <c r="Q160">
        <f t="shared" si="245"/>
        <v>272</v>
      </c>
      <c r="R160">
        <f t="shared" si="245"/>
        <v>153</v>
      </c>
      <c r="S160">
        <f t="shared" si="245"/>
        <v>178</v>
      </c>
      <c r="T160">
        <f t="shared" si="245"/>
        <v>331</v>
      </c>
      <c r="U160">
        <f t="shared" si="245"/>
        <v>175</v>
      </c>
      <c r="V160">
        <f t="shared" si="245"/>
        <v>205</v>
      </c>
      <c r="W160">
        <f t="shared" si="245"/>
        <v>380</v>
      </c>
      <c r="X160">
        <f t="shared" si="245"/>
        <v>983</v>
      </c>
    </row>
    <row r="161" spans="2:25" ht="18.75" x14ac:dyDescent="0.2">
      <c r="N161" s="84"/>
      <c r="O161" s="85">
        <f>O160/$Q$160*100</f>
        <v>49.264705882352942</v>
      </c>
      <c r="P161" s="85">
        <f t="shared" ref="P161:Q161" si="246">P160/$Q$160*100</f>
        <v>50.735294117647058</v>
      </c>
      <c r="Q161" s="85">
        <f t="shared" si="246"/>
        <v>100</v>
      </c>
      <c r="R161" s="85">
        <f>R160/$T$160*100</f>
        <v>46.223564954682779</v>
      </c>
      <c r="S161" s="85">
        <f t="shared" ref="S161:T161" si="247">S160/$T$160*100</f>
        <v>53.776435045317214</v>
      </c>
      <c r="T161" s="85">
        <f t="shared" si="247"/>
        <v>100</v>
      </c>
      <c r="U161" s="85">
        <f>U160/$W$160*100</f>
        <v>46.05263157894737</v>
      </c>
      <c r="V161" s="85">
        <f t="shared" ref="V161:W161" si="248">V160/$W$160*100</f>
        <v>53.94736842105263</v>
      </c>
      <c r="W161" s="85">
        <f t="shared" si="248"/>
        <v>100</v>
      </c>
    </row>
    <row r="162" spans="2:25" ht="18.75" x14ac:dyDescent="0.2">
      <c r="B162" s="23" t="s">
        <v>11</v>
      </c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N162" s="47" t="s">
        <v>25</v>
      </c>
      <c r="O162" s="48"/>
      <c r="P162" s="48"/>
      <c r="Q162" s="48"/>
      <c r="R162" s="48"/>
      <c r="S162" s="48"/>
      <c r="T162" s="48"/>
      <c r="U162" s="48"/>
      <c r="V162" s="48"/>
      <c r="W162" s="48"/>
      <c r="X162" s="48"/>
    </row>
    <row r="163" spans="2:25" ht="15" thickBot="1" x14ac:dyDescent="0.2">
      <c r="B163" s="22" t="s">
        <v>10</v>
      </c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N163" s="49" t="s">
        <v>10</v>
      </c>
      <c r="O163" s="48"/>
      <c r="P163" s="48"/>
      <c r="Q163" s="48"/>
      <c r="R163" s="48"/>
      <c r="S163" s="48"/>
      <c r="T163" s="48"/>
      <c r="U163" s="48"/>
      <c r="V163" s="48"/>
      <c r="W163" s="48"/>
      <c r="X163" s="48"/>
    </row>
    <row r="164" spans="2:25" ht="14.25" thickBot="1" x14ac:dyDescent="0.2">
      <c r="B164" s="20"/>
      <c r="C164" s="208" t="s">
        <v>9</v>
      </c>
      <c r="D164" s="209"/>
      <c r="E164" s="210"/>
      <c r="F164" s="208" t="s">
        <v>8</v>
      </c>
      <c r="G164" s="209"/>
      <c r="H164" s="210"/>
      <c r="I164" s="208" t="s">
        <v>7</v>
      </c>
      <c r="J164" s="209"/>
      <c r="K164" s="210"/>
      <c r="L164" s="19"/>
      <c r="N164" s="20"/>
      <c r="O164" s="208" t="s">
        <v>9</v>
      </c>
      <c r="P164" s="209"/>
      <c r="Q164" s="210"/>
      <c r="R164" s="208" t="s">
        <v>8</v>
      </c>
      <c r="S164" s="209"/>
      <c r="T164" s="210"/>
      <c r="U164" s="208" t="s">
        <v>7</v>
      </c>
      <c r="V164" s="209"/>
      <c r="W164" s="210"/>
      <c r="X164" s="19"/>
    </row>
    <row r="165" spans="2:25" ht="14.25" thickBot="1" x14ac:dyDescent="0.2">
      <c r="B165" s="18"/>
      <c r="C165" s="28" t="s">
        <v>6</v>
      </c>
      <c r="D165" s="17" t="s">
        <v>5</v>
      </c>
      <c r="E165" s="38" t="s">
        <v>4</v>
      </c>
      <c r="F165" s="28" t="s">
        <v>6</v>
      </c>
      <c r="G165" s="17" t="s">
        <v>5</v>
      </c>
      <c r="H165" s="38" t="s">
        <v>4</v>
      </c>
      <c r="I165" s="28" t="s">
        <v>6</v>
      </c>
      <c r="J165" s="17" t="s">
        <v>5</v>
      </c>
      <c r="K165" s="38" t="s">
        <v>4</v>
      </c>
      <c r="L165" s="17" t="s">
        <v>4</v>
      </c>
      <c r="N165" s="18"/>
      <c r="O165" s="28" t="s">
        <v>6</v>
      </c>
      <c r="P165" s="17" t="s">
        <v>5</v>
      </c>
      <c r="Q165" s="38" t="s">
        <v>4</v>
      </c>
      <c r="R165" s="28" t="s">
        <v>6</v>
      </c>
      <c r="S165" s="17" t="s">
        <v>5</v>
      </c>
      <c r="T165" s="38" t="s">
        <v>4</v>
      </c>
      <c r="U165" s="28" t="s">
        <v>6</v>
      </c>
      <c r="V165" s="17" t="s">
        <v>5</v>
      </c>
      <c r="W165" s="38" t="s">
        <v>4</v>
      </c>
      <c r="X165" s="17" t="s">
        <v>4</v>
      </c>
    </row>
    <row r="166" spans="2:25" x14ac:dyDescent="0.15">
      <c r="B166" s="66" t="s">
        <v>0</v>
      </c>
      <c r="C166" s="67">
        <f t="shared" ref="C166:K166" si="249">C159</f>
        <v>11</v>
      </c>
      <c r="D166" s="68">
        <f t="shared" si="249"/>
        <v>3</v>
      </c>
      <c r="E166" s="69">
        <f t="shared" si="249"/>
        <v>14</v>
      </c>
      <c r="F166" s="67">
        <f t="shared" si="249"/>
        <v>1</v>
      </c>
      <c r="G166" s="68">
        <f t="shared" si="249"/>
        <v>8</v>
      </c>
      <c r="H166" s="69">
        <f t="shared" si="249"/>
        <v>9</v>
      </c>
      <c r="I166" s="67">
        <f t="shared" si="249"/>
        <v>8</v>
      </c>
      <c r="J166" s="68">
        <f t="shared" si="249"/>
        <v>3</v>
      </c>
      <c r="K166" s="69">
        <f t="shared" si="249"/>
        <v>11</v>
      </c>
      <c r="L166" s="70">
        <f t="shared" ref="L166:L199" si="250">SUM(K166,H166,E166)</f>
        <v>34</v>
      </c>
      <c r="N166" s="66" t="s">
        <v>0</v>
      </c>
      <c r="O166" s="72">
        <f>O159</f>
        <v>46</v>
      </c>
      <c r="P166" s="80">
        <f t="shared" ref="P166:X166" si="251">P159</f>
        <v>62</v>
      </c>
      <c r="Q166" s="69">
        <f t="shared" si="251"/>
        <v>108</v>
      </c>
      <c r="R166" s="72">
        <f t="shared" si="251"/>
        <v>67</v>
      </c>
      <c r="S166" s="80">
        <f t="shared" si="251"/>
        <v>57</v>
      </c>
      <c r="T166" s="69">
        <f t="shared" si="251"/>
        <v>124</v>
      </c>
      <c r="U166" s="72">
        <f t="shared" si="251"/>
        <v>70</v>
      </c>
      <c r="V166" s="80">
        <f t="shared" si="251"/>
        <v>30</v>
      </c>
      <c r="W166" s="69">
        <f t="shared" si="251"/>
        <v>100</v>
      </c>
      <c r="X166" s="68">
        <f t="shared" si="251"/>
        <v>332</v>
      </c>
    </row>
    <row r="167" spans="2:25" x14ac:dyDescent="0.15">
      <c r="B167" s="16" t="s">
        <v>3</v>
      </c>
      <c r="C167" s="30"/>
      <c r="D167" s="25">
        <v>3</v>
      </c>
      <c r="E167" s="40">
        <f t="shared" ref="E167" si="252">SUM(C167:D167)</f>
        <v>3</v>
      </c>
      <c r="F167" s="35">
        <v>3</v>
      </c>
      <c r="G167" s="8"/>
      <c r="H167" s="40">
        <f t="shared" ref="H167" si="253">SUM(F167:G167)</f>
        <v>3</v>
      </c>
      <c r="I167" s="35"/>
      <c r="J167" s="8">
        <v>3</v>
      </c>
      <c r="K167" s="40">
        <f t="shared" ref="K167" si="254">SUM(I167:J167)</f>
        <v>3</v>
      </c>
      <c r="L167" s="9">
        <f t="shared" si="250"/>
        <v>9</v>
      </c>
      <c r="M167" s="53">
        <v>45189</v>
      </c>
      <c r="N167" s="16" t="s">
        <v>3</v>
      </c>
      <c r="O167" s="62"/>
      <c r="P167" s="81"/>
      <c r="Q167" s="40">
        <f t="shared" ref="Q167:Q195" si="255">SUM(O167:P167)</f>
        <v>0</v>
      </c>
      <c r="R167" s="78"/>
      <c r="S167" s="82"/>
      <c r="T167" s="40">
        <f t="shared" ref="T167:T195" si="256">SUM(R167:S167)</f>
        <v>0</v>
      </c>
      <c r="U167" s="78"/>
      <c r="V167" s="82"/>
      <c r="W167" s="40">
        <f t="shared" ref="W167:W195" si="257">SUM(U167:V167)</f>
        <v>0</v>
      </c>
      <c r="X167" s="25">
        <f t="shared" ref="X167:X195" si="258">SUM(W167,T167,Q167)</f>
        <v>0</v>
      </c>
    </row>
    <row r="168" spans="2:25" x14ac:dyDescent="0.15">
      <c r="B168" s="16" t="s">
        <v>3</v>
      </c>
      <c r="C168" s="30">
        <v>3</v>
      </c>
      <c r="D168" s="25"/>
      <c r="E168" s="40">
        <f t="shared" ref="E168:E199" si="259">SUM(C168:D168)</f>
        <v>3</v>
      </c>
      <c r="F168" s="35">
        <v>3</v>
      </c>
      <c r="G168" s="8"/>
      <c r="H168" s="40">
        <f t="shared" ref="H168:H199" si="260">SUM(F168:G168)</f>
        <v>3</v>
      </c>
      <c r="I168" s="35">
        <v>3</v>
      </c>
      <c r="J168" s="8"/>
      <c r="K168" s="40">
        <f t="shared" ref="K168:K199" si="261">SUM(I168:J168)</f>
        <v>3</v>
      </c>
      <c r="L168" s="9">
        <f t="shared" si="250"/>
        <v>9</v>
      </c>
      <c r="M168" s="53">
        <v>45195</v>
      </c>
      <c r="N168" s="16" t="s">
        <v>3</v>
      </c>
      <c r="O168" s="62"/>
      <c r="P168" s="81"/>
      <c r="Q168" s="40">
        <f t="shared" ref="Q168" si="262">SUM(O168:P168)</f>
        <v>0</v>
      </c>
      <c r="R168" s="78"/>
      <c r="S168" s="82"/>
      <c r="T168" s="40">
        <f t="shared" ref="T168" si="263">SUM(R168:S168)</f>
        <v>0</v>
      </c>
      <c r="U168" s="78"/>
      <c r="V168" s="82"/>
      <c r="W168" s="40">
        <f t="shared" ref="W168" si="264">SUM(U168:V168)</f>
        <v>0</v>
      </c>
      <c r="X168" s="25">
        <f t="shared" ref="X168" si="265">SUM(W168,T168,Q168)</f>
        <v>0</v>
      </c>
    </row>
    <row r="169" spans="2:25" x14ac:dyDescent="0.15">
      <c r="B169" s="16" t="s">
        <v>57</v>
      </c>
      <c r="C169" s="30"/>
      <c r="D169" s="25"/>
      <c r="E169" s="40">
        <f t="shared" si="259"/>
        <v>0</v>
      </c>
      <c r="F169" s="35">
        <v>1</v>
      </c>
      <c r="G169" s="8"/>
      <c r="H169" s="40">
        <f t="shared" si="260"/>
        <v>1</v>
      </c>
      <c r="I169" s="35"/>
      <c r="J169" s="8"/>
      <c r="K169" s="40">
        <f t="shared" si="261"/>
        <v>0</v>
      </c>
      <c r="L169" s="9">
        <f t="shared" si="250"/>
        <v>1</v>
      </c>
      <c r="M169" s="53">
        <v>45196</v>
      </c>
      <c r="N169" s="16" t="s">
        <v>3</v>
      </c>
      <c r="O169" s="62"/>
      <c r="P169" s="81"/>
      <c r="Q169" s="40">
        <f t="shared" ref="Q169:Q170" si="266">SUM(O169:P169)</f>
        <v>0</v>
      </c>
      <c r="R169" s="78"/>
      <c r="S169" s="82"/>
      <c r="T169" s="40">
        <f t="shared" ref="T169:T170" si="267">SUM(R169:S169)</f>
        <v>0</v>
      </c>
      <c r="U169" s="78"/>
      <c r="V169" s="82"/>
      <c r="W169" s="40">
        <f t="shared" ref="W169:W170" si="268">SUM(U169:V169)</f>
        <v>0</v>
      </c>
      <c r="X169" s="25">
        <f t="shared" ref="X169:X170" si="269">SUM(W169,T169,Q169)</f>
        <v>0</v>
      </c>
    </row>
    <row r="170" spans="2:25" x14ac:dyDescent="0.15">
      <c r="B170" s="16" t="s">
        <v>3</v>
      </c>
      <c r="C170" s="30"/>
      <c r="D170" s="25"/>
      <c r="E170" s="40">
        <f t="shared" si="259"/>
        <v>0</v>
      </c>
      <c r="F170" s="35">
        <v>3</v>
      </c>
      <c r="G170" s="8"/>
      <c r="H170" s="40">
        <f t="shared" si="260"/>
        <v>3</v>
      </c>
      <c r="I170" s="35">
        <v>3</v>
      </c>
      <c r="J170" s="8"/>
      <c r="K170" s="40">
        <f t="shared" si="261"/>
        <v>3</v>
      </c>
      <c r="L170" s="9">
        <f t="shared" si="250"/>
        <v>6</v>
      </c>
      <c r="M170" s="53">
        <v>45238</v>
      </c>
      <c r="N170" s="16" t="s">
        <v>3</v>
      </c>
      <c r="O170" s="62"/>
      <c r="P170" s="81"/>
      <c r="Q170" s="40">
        <f t="shared" si="266"/>
        <v>0</v>
      </c>
      <c r="R170" s="78"/>
      <c r="S170" s="82"/>
      <c r="T170" s="40">
        <f t="shared" si="267"/>
        <v>0</v>
      </c>
      <c r="U170" s="78"/>
      <c r="V170" s="82"/>
      <c r="W170" s="40">
        <f t="shared" si="268"/>
        <v>0</v>
      </c>
      <c r="X170" s="25">
        <f t="shared" si="269"/>
        <v>0</v>
      </c>
    </row>
    <row r="171" spans="2:25" ht="14.25" thickBot="1" x14ac:dyDescent="0.2">
      <c r="B171" s="16" t="s">
        <v>57</v>
      </c>
      <c r="C171" s="31"/>
      <c r="D171" s="26"/>
      <c r="E171" s="41">
        <f t="shared" si="259"/>
        <v>0</v>
      </c>
      <c r="F171" s="36"/>
      <c r="G171" s="6"/>
      <c r="H171" s="41">
        <f t="shared" si="260"/>
        <v>0</v>
      </c>
      <c r="I171" s="36"/>
      <c r="J171" s="6">
        <v>1</v>
      </c>
      <c r="K171" s="41">
        <f t="shared" si="261"/>
        <v>1</v>
      </c>
      <c r="L171" s="14">
        <f t="shared" si="250"/>
        <v>1</v>
      </c>
      <c r="M171" s="53">
        <v>45240</v>
      </c>
      <c r="N171" s="75" t="s">
        <v>91</v>
      </c>
      <c r="O171" s="76">
        <v>6</v>
      </c>
      <c r="P171" s="83"/>
      <c r="Q171" s="41">
        <f t="shared" si="255"/>
        <v>6</v>
      </c>
      <c r="R171" s="76"/>
      <c r="S171" s="83">
        <v>3</v>
      </c>
      <c r="T171" s="41">
        <f t="shared" si="256"/>
        <v>3</v>
      </c>
      <c r="U171" s="76">
        <v>3</v>
      </c>
      <c r="V171" s="83"/>
      <c r="W171" s="41">
        <f t="shared" si="257"/>
        <v>3</v>
      </c>
      <c r="X171" s="77">
        <f t="shared" si="258"/>
        <v>12</v>
      </c>
    </row>
    <row r="172" spans="2:25" ht="14.25" thickBot="1" x14ac:dyDescent="0.2">
      <c r="B172" s="5" t="s">
        <v>2</v>
      </c>
      <c r="C172" s="32">
        <f>SUM(C166:C171)</f>
        <v>14</v>
      </c>
      <c r="D172" s="19">
        <f>SUM(D166:D171)</f>
        <v>6</v>
      </c>
      <c r="E172" s="42">
        <f t="shared" si="259"/>
        <v>20</v>
      </c>
      <c r="F172" s="32">
        <f>SUM(F166:F171)</f>
        <v>11</v>
      </c>
      <c r="G172" s="19">
        <f>SUM(G166:G171)</f>
        <v>8</v>
      </c>
      <c r="H172" s="42">
        <f t="shared" si="260"/>
        <v>19</v>
      </c>
      <c r="I172" s="32">
        <f>SUM(I166:I171)</f>
        <v>14</v>
      </c>
      <c r="J172" s="19">
        <f>SUM(J166:J171)</f>
        <v>7</v>
      </c>
      <c r="K172" s="42">
        <f t="shared" si="261"/>
        <v>21</v>
      </c>
      <c r="L172" s="13">
        <f t="shared" si="250"/>
        <v>60</v>
      </c>
      <c r="N172" s="63" t="s">
        <v>2</v>
      </c>
      <c r="O172" s="32">
        <f>SUM(O166:O171)</f>
        <v>52</v>
      </c>
      <c r="P172" s="19">
        <f t="shared" ref="P172" si="270">SUM(P166:P171)</f>
        <v>62</v>
      </c>
      <c r="Q172" s="42">
        <f t="shared" ref="Q172" si="271">SUM(Q166:Q171)</f>
        <v>114</v>
      </c>
      <c r="R172" s="32">
        <f t="shared" ref="R172" si="272">SUM(R166:R171)</f>
        <v>67</v>
      </c>
      <c r="S172" s="19">
        <f t="shared" ref="S172" si="273">SUM(S166:S171)</f>
        <v>60</v>
      </c>
      <c r="T172" s="42">
        <f t="shared" ref="T172" si="274">SUM(T166:T171)</f>
        <v>127</v>
      </c>
      <c r="U172" s="32">
        <f t="shared" ref="U172" si="275">SUM(U166:U171)</f>
        <v>73</v>
      </c>
      <c r="V172" s="19">
        <f t="shared" ref="V172" si="276">SUM(V166:V171)</f>
        <v>30</v>
      </c>
      <c r="W172" s="42">
        <f t="shared" ref="W172" si="277">SUM(W166:W171)</f>
        <v>103</v>
      </c>
      <c r="X172" s="13">
        <f t="shared" ref="X172" si="278">SUM(X166:X171)</f>
        <v>344</v>
      </c>
    </row>
    <row r="173" spans="2:25" x14ac:dyDescent="0.15">
      <c r="B173" s="7" t="s">
        <v>105</v>
      </c>
      <c r="C173" s="30"/>
      <c r="D173" s="25"/>
      <c r="E173" s="43">
        <f t="shared" ref="E173:E176" si="279">SUM(C173:D173)</f>
        <v>0</v>
      </c>
      <c r="F173" s="35"/>
      <c r="G173" s="8"/>
      <c r="H173" s="43">
        <f t="shared" ref="H173:H176" si="280">SUM(F173:G173)</f>
        <v>0</v>
      </c>
      <c r="I173" s="35"/>
      <c r="J173" s="8">
        <v>1</v>
      </c>
      <c r="K173" s="43">
        <f t="shared" ref="K173:K176" si="281">SUM(I173:J173)</f>
        <v>1</v>
      </c>
      <c r="L173" s="8">
        <f t="shared" ref="L173:L176" si="282">SUM(K173,H173,E173)</f>
        <v>1</v>
      </c>
      <c r="M173" s="53">
        <v>45194</v>
      </c>
      <c r="N173" s="7" t="s">
        <v>28</v>
      </c>
      <c r="O173" s="30"/>
      <c r="P173" s="25">
        <v>3</v>
      </c>
      <c r="Q173" s="43">
        <f t="shared" si="255"/>
        <v>3</v>
      </c>
      <c r="R173" s="35">
        <v>3</v>
      </c>
      <c r="S173" s="8"/>
      <c r="T173" s="43">
        <f t="shared" si="256"/>
        <v>3</v>
      </c>
      <c r="U173" s="35"/>
      <c r="V173" s="8">
        <v>3</v>
      </c>
      <c r="W173" s="43">
        <f t="shared" si="257"/>
        <v>3</v>
      </c>
      <c r="X173" s="8">
        <f t="shared" si="258"/>
        <v>9</v>
      </c>
      <c r="Y173" s="53">
        <v>45189</v>
      </c>
    </row>
    <row r="174" spans="2:25" x14ac:dyDescent="0.15">
      <c r="B174" s="7" t="s">
        <v>106</v>
      </c>
      <c r="C174" s="30"/>
      <c r="D174" s="25"/>
      <c r="E174" s="43">
        <f t="shared" si="279"/>
        <v>0</v>
      </c>
      <c r="F174" s="35">
        <v>2</v>
      </c>
      <c r="G174" s="8"/>
      <c r="H174" s="43">
        <f t="shared" si="280"/>
        <v>2</v>
      </c>
      <c r="I174" s="35">
        <v>1</v>
      </c>
      <c r="J174" s="8">
        <v>1</v>
      </c>
      <c r="K174" s="43">
        <f t="shared" si="281"/>
        <v>2</v>
      </c>
      <c r="L174" s="8">
        <f t="shared" si="282"/>
        <v>4</v>
      </c>
      <c r="M174" s="53">
        <v>45195</v>
      </c>
      <c r="N174" s="7" t="s">
        <v>28</v>
      </c>
      <c r="O174" s="30">
        <v>3</v>
      </c>
      <c r="P174" s="25"/>
      <c r="Q174" s="43">
        <f t="shared" si="255"/>
        <v>3</v>
      </c>
      <c r="R174" s="35">
        <v>3</v>
      </c>
      <c r="S174" s="8"/>
      <c r="T174" s="43">
        <f t="shared" si="256"/>
        <v>3</v>
      </c>
      <c r="U174" s="35">
        <v>3</v>
      </c>
      <c r="V174" s="8"/>
      <c r="W174" s="43">
        <f t="shared" si="257"/>
        <v>3</v>
      </c>
      <c r="X174" s="8">
        <f t="shared" si="258"/>
        <v>9</v>
      </c>
      <c r="Y174" s="53">
        <v>45195</v>
      </c>
    </row>
    <row r="175" spans="2:25" x14ac:dyDescent="0.15">
      <c r="B175" s="7" t="s">
        <v>107</v>
      </c>
      <c r="C175" s="30">
        <v>1</v>
      </c>
      <c r="D175" s="25"/>
      <c r="E175" s="43">
        <f t="shared" si="279"/>
        <v>1</v>
      </c>
      <c r="F175" s="35">
        <v>1</v>
      </c>
      <c r="G175" s="8"/>
      <c r="H175" s="43">
        <f t="shared" si="280"/>
        <v>1</v>
      </c>
      <c r="I175" s="35">
        <v>1</v>
      </c>
      <c r="J175" s="8"/>
      <c r="K175" s="43">
        <f t="shared" si="281"/>
        <v>1</v>
      </c>
      <c r="L175" s="8">
        <f t="shared" si="282"/>
        <v>3</v>
      </c>
      <c r="M175" s="53">
        <v>45196</v>
      </c>
      <c r="N175" s="7" t="s">
        <v>108</v>
      </c>
      <c r="O175" s="30"/>
      <c r="P175" s="25">
        <v>1</v>
      </c>
      <c r="Q175" s="43">
        <f t="shared" ref="Q175:Q182" si="283">SUM(O175:P175)</f>
        <v>1</v>
      </c>
      <c r="R175" s="35"/>
      <c r="S175" s="8"/>
      <c r="T175" s="43">
        <f t="shared" ref="T175:T182" si="284">SUM(R175:S175)</f>
        <v>0</v>
      </c>
      <c r="U175" s="35">
        <v>5</v>
      </c>
      <c r="V175" s="8"/>
      <c r="W175" s="43">
        <f t="shared" ref="W175:W182" si="285">SUM(U175:V175)</f>
        <v>5</v>
      </c>
      <c r="X175" s="8">
        <f t="shared" ref="X175:X182" si="286">SUM(W175,T175,Q175)</f>
        <v>6</v>
      </c>
      <c r="Y175" s="53">
        <v>45196</v>
      </c>
    </row>
    <row r="176" spans="2:25" x14ac:dyDescent="0.15">
      <c r="B176" s="7" t="s">
        <v>110</v>
      </c>
      <c r="C176" s="30"/>
      <c r="D176" s="25"/>
      <c r="E176" s="43">
        <f t="shared" si="279"/>
        <v>0</v>
      </c>
      <c r="F176" s="35">
        <v>1</v>
      </c>
      <c r="G176" s="8"/>
      <c r="H176" s="43">
        <f t="shared" si="280"/>
        <v>1</v>
      </c>
      <c r="I176" s="35">
        <v>1</v>
      </c>
      <c r="J176" s="8"/>
      <c r="K176" s="43">
        <f t="shared" si="281"/>
        <v>1</v>
      </c>
      <c r="L176" s="8">
        <f t="shared" si="282"/>
        <v>2</v>
      </c>
      <c r="M176" s="53">
        <v>45196</v>
      </c>
      <c r="N176" s="7" t="s">
        <v>109</v>
      </c>
      <c r="O176" s="30"/>
      <c r="P176" s="25"/>
      <c r="Q176" s="43">
        <f t="shared" si="283"/>
        <v>0</v>
      </c>
      <c r="R176" s="35">
        <v>1</v>
      </c>
      <c r="S176" s="8"/>
      <c r="T176" s="43">
        <f t="shared" si="284"/>
        <v>1</v>
      </c>
      <c r="U176" s="35">
        <v>4</v>
      </c>
      <c r="V176" s="8"/>
      <c r="W176" s="43">
        <f t="shared" si="285"/>
        <v>4</v>
      </c>
      <c r="X176" s="8">
        <f t="shared" si="286"/>
        <v>5</v>
      </c>
      <c r="Y176" s="53">
        <v>45197</v>
      </c>
    </row>
    <row r="177" spans="2:25" x14ac:dyDescent="0.15">
      <c r="B177" s="7" t="s">
        <v>115</v>
      </c>
      <c r="C177" s="30">
        <v>7</v>
      </c>
      <c r="D177" s="25"/>
      <c r="E177" s="43">
        <f t="shared" si="259"/>
        <v>7</v>
      </c>
      <c r="F177" s="35"/>
      <c r="G177" s="8">
        <v>3</v>
      </c>
      <c r="H177" s="43">
        <f t="shared" si="260"/>
        <v>3</v>
      </c>
      <c r="I177" s="35">
        <v>3</v>
      </c>
      <c r="J177" s="8"/>
      <c r="K177" s="43">
        <f t="shared" si="261"/>
        <v>3</v>
      </c>
      <c r="L177" s="8">
        <f t="shared" si="250"/>
        <v>13</v>
      </c>
      <c r="M177" s="53">
        <v>45199</v>
      </c>
      <c r="N177" s="7" t="s">
        <v>117</v>
      </c>
      <c r="O177" s="30"/>
      <c r="P177" s="25"/>
      <c r="Q177" s="43">
        <f t="shared" si="283"/>
        <v>0</v>
      </c>
      <c r="R177" s="35">
        <v>3</v>
      </c>
      <c r="S177" s="8"/>
      <c r="T177" s="43">
        <f t="shared" si="284"/>
        <v>3</v>
      </c>
      <c r="U177" s="35"/>
      <c r="V177" s="8"/>
      <c r="W177" s="43">
        <f t="shared" si="285"/>
        <v>0</v>
      </c>
      <c r="X177" s="8">
        <f t="shared" si="286"/>
        <v>3</v>
      </c>
      <c r="Y177" s="53">
        <v>45205</v>
      </c>
    </row>
    <row r="178" spans="2:25" x14ac:dyDescent="0.15">
      <c r="B178" s="7" t="s">
        <v>116</v>
      </c>
      <c r="C178" s="30"/>
      <c r="D178" s="25"/>
      <c r="E178" s="43">
        <f t="shared" si="259"/>
        <v>0</v>
      </c>
      <c r="F178" s="35"/>
      <c r="G178" s="8"/>
      <c r="H178" s="43">
        <f t="shared" si="260"/>
        <v>0</v>
      </c>
      <c r="I178" s="35">
        <v>1</v>
      </c>
      <c r="J178" s="8"/>
      <c r="K178" s="43">
        <f t="shared" si="261"/>
        <v>1</v>
      </c>
      <c r="L178" s="8">
        <f t="shared" si="250"/>
        <v>1</v>
      </c>
      <c r="M178" s="53">
        <v>45202</v>
      </c>
      <c r="N178" s="7" t="s">
        <v>118</v>
      </c>
      <c r="O178" s="30"/>
      <c r="P178" s="25"/>
      <c r="Q178" s="43">
        <f t="shared" si="283"/>
        <v>0</v>
      </c>
      <c r="R178" s="35"/>
      <c r="S178" s="8"/>
      <c r="T178" s="43">
        <f t="shared" si="284"/>
        <v>0</v>
      </c>
      <c r="U178" s="35">
        <v>2</v>
      </c>
      <c r="V178" s="8"/>
      <c r="W178" s="43">
        <f t="shared" si="285"/>
        <v>2</v>
      </c>
      <c r="X178" s="8">
        <f t="shared" si="286"/>
        <v>2</v>
      </c>
      <c r="Y178" s="53">
        <v>45210</v>
      </c>
    </row>
    <row r="179" spans="2:25" x14ac:dyDescent="0.15">
      <c r="B179" s="7" t="s">
        <v>12</v>
      </c>
      <c r="C179" s="30"/>
      <c r="D179" s="25">
        <v>1</v>
      </c>
      <c r="E179" s="43">
        <f t="shared" si="259"/>
        <v>1</v>
      </c>
      <c r="F179" s="35"/>
      <c r="G179" s="8"/>
      <c r="H179" s="43">
        <f t="shared" si="260"/>
        <v>0</v>
      </c>
      <c r="I179" s="35">
        <v>1</v>
      </c>
      <c r="J179" s="8"/>
      <c r="K179" s="43">
        <f t="shared" si="261"/>
        <v>1</v>
      </c>
      <c r="L179" s="8">
        <f t="shared" si="250"/>
        <v>2</v>
      </c>
      <c r="M179" s="53">
        <v>45201</v>
      </c>
      <c r="N179" s="7" t="s">
        <v>119</v>
      </c>
      <c r="O179" s="30"/>
      <c r="P179" s="25"/>
      <c r="Q179" s="43">
        <f t="shared" si="283"/>
        <v>0</v>
      </c>
      <c r="R179" s="35"/>
      <c r="S179" s="8"/>
      <c r="T179" s="43">
        <f t="shared" si="284"/>
        <v>0</v>
      </c>
      <c r="U179" s="35">
        <v>3</v>
      </c>
      <c r="V179" s="8"/>
      <c r="W179" s="43">
        <f t="shared" si="285"/>
        <v>3</v>
      </c>
      <c r="X179" s="8">
        <f t="shared" si="286"/>
        <v>3</v>
      </c>
      <c r="Y179" s="53">
        <v>45211</v>
      </c>
    </row>
    <row r="180" spans="2:25" x14ac:dyDescent="0.15">
      <c r="B180" s="7" t="s">
        <v>12</v>
      </c>
      <c r="C180" s="30"/>
      <c r="D180" s="25">
        <v>1</v>
      </c>
      <c r="E180" s="43">
        <f t="shared" si="259"/>
        <v>1</v>
      </c>
      <c r="F180" s="35"/>
      <c r="G180" s="8"/>
      <c r="H180" s="43">
        <f t="shared" si="260"/>
        <v>0</v>
      </c>
      <c r="I180" s="35"/>
      <c r="J180" s="8"/>
      <c r="K180" s="43">
        <f t="shared" si="261"/>
        <v>0</v>
      </c>
      <c r="L180" s="8">
        <f t="shared" si="250"/>
        <v>1</v>
      </c>
      <c r="M180" s="53">
        <v>45205</v>
      </c>
      <c r="N180" s="7" t="s">
        <v>126</v>
      </c>
      <c r="O180" s="30"/>
      <c r="P180" s="25"/>
      <c r="Q180" s="43">
        <f t="shared" si="283"/>
        <v>0</v>
      </c>
      <c r="R180" s="35">
        <v>3</v>
      </c>
      <c r="S180" s="8"/>
      <c r="T180" s="43">
        <f t="shared" si="284"/>
        <v>3</v>
      </c>
      <c r="U180" s="35"/>
      <c r="V180" s="8"/>
      <c r="W180" s="43">
        <f t="shared" si="285"/>
        <v>0</v>
      </c>
      <c r="X180" s="8">
        <f t="shared" si="286"/>
        <v>3</v>
      </c>
      <c r="Y180" s="53">
        <v>45224</v>
      </c>
    </row>
    <row r="181" spans="2:25" x14ac:dyDescent="0.15">
      <c r="B181" s="7" t="s">
        <v>121</v>
      </c>
      <c r="C181" s="30"/>
      <c r="D181" s="25"/>
      <c r="E181" s="43">
        <f t="shared" si="259"/>
        <v>0</v>
      </c>
      <c r="F181" s="35"/>
      <c r="G181" s="8">
        <v>1</v>
      </c>
      <c r="H181" s="43">
        <f t="shared" si="260"/>
        <v>1</v>
      </c>
      <c r="I181" s="35"/>
      <c r="J181" s="8"/>
      <c r="K181" s="43">
        <f t="shared" si="261"/>
        <v>0</v>
      </c>
      <c r="L181" s="8">
        <f t="shared" si="250"/>
        <v>1</v>
      </c>
      <c r="M181" s="53">
        <v>45211</v>
      </c>
      <c r="N181" s="7" t="s">
        <v>127</v>
      </c>
      <c r="O181" s="30"/>
      <c r="P181" s="25"/>
      <c r="Q181" s="43">
        <f t="shared" si="283"/>
        <v>0</v>
      </c>
      <c r="R181" s="35"/>
      <c r="S181" s="8"/>
      <c r="T181" s="43">
        <f t="shared" si="284"/>
        <v>0</v>
      </c>
      <c r="U181" s="35">
        <v>6</v>
      </c>
      <c r="V181" s="8"/>
      <c r="W181" s="43">
        <f t="shared" si="285"/>
        <v>6</v>
      </c>
      <c r="X181" s="8">
        <f t="shared" si="286"/>
        <v>6</v>
      </c>
      <c r="Y181" s="53">
        <v>45226</v>
      </c>
    </row>
    <row r="182" spans="2:25" x14ac:dyDescent="0.15">
      <c r="B182" s="7" t="s">
        <v>120</v>
      </c>
      <c r="C182" s="30">
        <v>1</v>
      </c>
      <c r="D182" s="25"/>
      <c r="E182" s="43">
        <f t="shared" si="259"/>
        <v>1</v>
      </c>
      <c r="F182" s="35"/>
      <c r="G182" s="8"/>
      <c r="H182" s="43">
        <f t="shared" si="260"/>
        <v>0</v>
      </c>
      <c r="I182" s="35"/>
      <c r="J182" s="8"/>
      <c r="K182" s="43">
        <f t="shared" si="261"/>
        <v>0</v>
      </c>
      <c r="L182" s="8">
        <f t="shared" si="250"/>
        <v>1</v>
      </c>
      <c r="M182" s="53">
        <v>45212</v>
      </c>
      <c r="N182" s="7" t="s">
        <v>132</v>
      </c>
      <c r="O182" s="30"/>
      <c r="P182" s="25"/>
      <c r="Q182" s="43">
        <f t="shared" si="283"/>
        <v>0</v>
      </c>
      <c r="R182" s="35">
        <v>2</v>
      </c>
      <c r="S182" s="8"/>
      <c r="T182" s="43">
        <f t="shared" si="284"/>
        <v>2</v>
      </c>
      <c r="U182" s="35"/>
      <c r="V182" s="8"/>
      <c r="W182" s="43">
        <f t="shared" si="285"/>
        <v>0</v>
      </c>
      <c r="X182" s="8">
        <f t="shared" si="286"/>
        <v>2</v>
      </c>
      <c r="Y182" s="53">
        <v>45238</v>
      </c>
    </row>
    <row r="183" spans="2:25" x14ac:dyDescent="0.15">
      <c r="B183" s="7" t="s">
        <v>122</v>
      </c>
      <c r="C183" s="30"/>
      <c r="D183" s="25"/>
      <c r="E183" s="43">
        <f t="shared" si="259"/>
        <v>0</v>
      </c>
      <c r="F183" s="35">
        <v>1</v>
      </c>
      <c r="G183" s="8"/>
      <c r="H183" s="43">
        <f t="shared" si="260"/>
        <v>1</v>
      </c>
      <c r="I183" s="35"/>
      <c r="J183" s="8"/>
      <c r="K183" s="43">
        <f t="shared" si="261"/>
        <v>0</v>
      </c>
      <c r="L183" s="8">
        <f t="shared" si="250"/>
        <v>1</v>
      </c>
      <c r="M183" s="53">
        <v>45215</v>
      </c>
      <c r="N183" s="7" t="s">
        <v>133</v>
      </c>
      <c r="O183" s="30"/>
      <c r="P183" s="25"/>
      <c r="Q183" s="43">
        <f t="shared" si="255"/>
        <v>0</v>
      </c>
      <c r="R183" s="35">
        <v>3</v>
      </c>
      <c r="S183" s="8"/>
      <c r="T183" s="43">
        <f t="shared" si="256"/>
        <v>3</v>
      </c>
      <c r="U183" s="35">
        <v>3</v>
      </c>
      <c r="V183" s="8"/>
      <c r="W183" s="43">
        <f t="shared" si="257"/>
        <v>3</v>
      </c>
      <c r="X183" s="8">
        <f t="shared" si="258"/>
        <v>6</v>
      </c>
      <c r="Y183" s="53">
        <v>45238</v>
      </c>
    </row>
    <row r="184" spans="2:25" x14ac:dyDescent="0.15">
      <c r="B184" s="7" t="s">
        <v>123</v>
      </c>
      <c r="C184" s="30"/>
      <c r="D184" s="25"/>
      <c r="E184" s="43">
        <f t="shared" si="259"/>
        <v>0</v>
      </c>
      <c r="F184" s="35"/>
      <c r="G184" s="8"/>
      <c r="H184" s="43">
        <f t="shared" si="260"/>
        <v>0</v>
      </c>
      <c r="I184" s="35"/>
      <c r="J184" s="8">
        <v>1</v>
      </c>
      <c r="K184" s="43">
        <f t="shared" si="261"/>
        <v>1</v>
      </c>
      <c r="L184" s="8">
        <f t="shared" si="250"/>
        <v>1</v>
      </c>
      <c r="M184" s="53">
        <v>45216</v>
      </c>
      <c r="N184" s="7" t="s">
        <v>28</v>
      </c>
      <c r="O184" s="30"/>
      <c r="P184" s="25">
        <v>5</v>
      </c>
      <c r="Q184" s="43">
        <f t="shared" si="255"/>
        <v>5</v>
      </c>
      <c r="R184" s="35"/>
      <c r="S184" s="8">
        <v>5</v>
      </c>
      <c r="T184" s="43">
        <f t="shared" si="256"/>
        <v>5</v>
      </c>
      <c r="U184" s="35"/>
      <c r="V184" s="8">
        <v>5</v>
      </c>
      <c r="W184" s="43">
        <f t="shared" si="257"/>
        <v>5</v>
      </c>
      <c r="X184" s="8">
        <f t="shared" si="258"/>
        <v>15</v>
      </c>
      <c r="Y184" s="53">
        <v>45245</v>
      </c>
    </row>
    <row r="185" spans="2:25" x14ac:dyDescent="0.15">
      <c r="B185" s="7" t="s">
        <v>125</v>
      </c>
      <c r="C185" s="30"/>
      <c r="D185" s="25"/>
      <c r="E185" s="43">
        <f t="shared" si="259"/>
        <v>0</v>
      </c>
      <c r="F185" s="35">
        <v>1</v>
      </c>
      <c r="G185" s="8"/>
      <c r="H185" s="43">
        <f t="shared" si="260"/>
        <v>1</v>
      </c>
      <c r="I185" s="35"/>
      <c r="J185" s="8"/>
      <c r="K185" s="43">
        <f t="shared" si="261"/>
        <v>0</v>
      </c>
      <c r="L185" s="8">
        <f t="shared" si="250"/>
        <v>1</v>
      </c>
      <c r="M185" s="53">
        <v>45223</v>
      </c>
      <c r="N185" s="7" t="s">
        <v>28</v>
      </c>
      <c r="O185" s="30">
        <v>3</v>
      </c>
      <c r="P185" s="25"/>
      <c r="Q185" s="43">
        <f t="shared" si="255"/>
        <v>3</v>
      </c>
      <c r="R185" s="35">
        <v>3</v>
      </c>
      <c r="S185" s="8"/>
      <c r="T185" s="43">
        <f t="shared" si="256"/>
        <v>3</v>
      </c>
      <c r="U185" s="35">
        <v>3</v>
      </c>
      <c r="V185" s="8"/>
      <c r="W185" s="43">
        <f t="shared" si="257"/>
        <v>3</v>
      </c>
      <c r="X185" s="8">
        <f t="shared" si="258"/>
        <v>9</v>
      </c>
      <c r="Y185" s="53">
        <v>45251</v>
      </c>
    </row>
    <row r="186" spans="2:25" x14ac:dyDescent="0.15">
      <c r="B186" s="7" t="s">
        <v>128</v>
      </c>
      <c r="C186" s="30"/>
      <c r="D186" s="25"/>
      <c r="E186" s="43">
        <f t="shared" si="259"/>
        <v>0</v>
      </c>
      <c r="F186" s="35"/>
      <c r="G186" s="8"/>
      <c r="H186" s="43">
        <f t="shared" si="260"/>
        <v>0</v>
      </c>
      <c r="I186" s="35"/>
      <c r="J186" s="8">
        <v>1</v>
      </c>
      <c r="K186" s="43">
        <f t="shared" si="261"/>
        <v>1</v>
      </c>
      <c r="L186" s="8">
        <f t="shared" si="250"/>
        <v>1</v>
      </c>
      <c r="M186" s="53">
        <v>45229</v>
      </c>
      <c r="N186" s="7"/>
      <c r="O186" s="33"/>
      <c r="P186" s="27"/>
      <c r="Q186" s="43">
        <f t="shared" si="255"/>
        <v>0</v>
      </c>
      <c r="R186" s="37"/>
      <c r="S186" s="10"/>
      <c r="T186" s="43">
        <f t="shared" si="256"/>
        <v>0</v>
      </c>
      <c r="U186" s="37"/>
      <c r="V186" s="10"/>
      <c r="W186" s="43">
        <f t="shared" si="257"/>
        <v>0</v>
      </c>
      <c r="X186" s="8">
        <f t="shared" si="258"/>
        <v>0</v>
      </c>
    </row>
    <row r="187" spans="2:25" x14ac:dyDescent="0.15">
      <c r="B187" s="7" t="s">
        <v>129</v>
      </c>
      <c r="C187" s="30">
        <v>1</v>
      </c>
      <c r="D187" s="25"/>
      <c r="E187" s="43">
        <f t="shared" si="259"/>
        <v>1</v>
      </c>
      <c r="F187" s="35">
        <v>1</v>
      </c>
      <c r="G187" s="8"/>
      <c r="H187" s="43">
        <f t="shared" si="260"/>
        <v>1</v>
      </c>
      <c r="I187" s="35">
        <v>1</v>
      </c>
      <c r="J187" s="8"/>
      <c r="K187" s="43">
        <f t="shared" si="261"/>
        <v>1</v>
      </c>
      <c r="L187" s="8">
        <f t="shared" si="250"/>
        <v>3</v>
      </c>
      <c r="M187" s="53">
        <v>45231</v>
      </c>
      <c r="N187" s="7"/>
      <c r="O187" s="33"/>
      <c r="P187" s="27"/>
      <c r="Q187" s="43">
        <f t="shared" si="255"/>
        <v>0</v>
      </c>
      <c r="R187" s="37"/>
      <c r="S187" s="10"/>
      <c r="T187" s="43">
        <f t="shared" si="256"/>
        <v>0</v>
      </c>
      <c r="U187" s="37"/>
      <c r="V187" s="10"/>
      <c r="W187" s="43">
        <f t="shared" si="257"/>
        <v>0</v>
      </c>
      <c r="X187" s="8">
        <f t="shared" si="258"/>
        <v>0</v>
      </c>
    </row>
    <row r="188" spans="2:25" x14ac:dyDescent="0.15">
      <c r="B188" s="7" t="s">
        <v>130</v>
      </c>
      <c r="C188" s="30"/>
      <c r="D188" s="25"/>
      <c r="E188" s="43">
        <f t="shared" si="259"/>
        <v>0</v>
      </c>
      <c r="F188" s="35"/>
      <c r="G188" s="8"/>
      <c r="H188" s="43">
        <f t="shared" si="260"/>
        <v>0</v>
      </c>
      <c r="I188" s="35">
        <v>1</v>
      </c>
      <c r="J188" s="8"/>
      <c r="K188" s="43">
        <f t="shared" si="261"/>
        <v>1</v>
      </c>
      <c r="L188" s="8">
        <f t="shared" si="250"/>
        <v>1</v>
      </c>
      <c r="M188" s="53">
        <v>45237</v>
      </c>
      <c r="N188" s="7"/>
      <c r="O188" s="33"/>
      <c r="P188" s="27"/>
      <c r="Q188" s="43">
        <f t="shared" si="255"/>
        <v>0</v>
      </c>
      <c r="R188" s="37"/>
      <c r="S188" s="10"/>
      <c r="T188" s="43">
        <f t="shared" si="256"/>
        <v>0</v>
      </c>
      <c r="U188" s="37"/>
      <c r="V188" s="10"/>
      <c r="W188" s="43">
        <f t="shared" si="257"/>
        <v>0</v>
      </c>
      <c r="X188" s="8">
        <f t="shared" si="258"/>
        <v>0</v>
      </c>
    </row>
    <row r="189" spans="2:25" x14ac:dyDescent="0.15">
      <c r="B189" s="7" t="s">
        <v>131</v>
      </c>
      <c r="C189" s="30"/>
      <c r="D189" s="25">
        <v>1</v>
      </c>
      <c r="E189" s="43">
        <f t="shared" si="259"/>
        <v>1</v>
      </c>
      <c r="F189" s="35"/>
      <c r="G189" s="8"/>
      <c r="H189" s="43">
        <f t="shared" si="260"/>
        <v>0</v>
      </c>
      <c r="I189" s="35"/>
      <c r="J189" s="8"/>
      <c r="K189" s="43">
        <f t="shared" si="261"/>
        <v>0</v>
      </c>
      <c r="L189" s="8">
        <f t="shared" si="250"/>
        <v>1</v>
      </c>
      <c r="M189" s="53">
        <v>45238</v>
      </c>
      <c r="N189" s="7"/>
      <c r="O189" s="33"/>
      <c r="P189" s="27"/>
      <c r="Q189" s="43">
        <f t="shared" si="255"/>
        <v>0</v>
      </c>
      <c r="R189" s="37"/>
      <c r="S189" s="10"/>
      <c r="T189" s="43">
        <f t="shared" si="256"/>
        <v>0</v>
      </c>
      <c r="U189" s="37"/>
      <c r="V189" s="10"/>
      <c r="W189" s="43">
        <f t="shared" si="257"/>
        <v>0</v>
      </c>
      <c r="X189" s="8">
        <f t="shared" si="258"/>
        <v>0</v>
      </c>
    </row>
    <row r="190" spans="2:25" x14ac:dyDescent="0.15">
      <c r="B190" s="7" t="s">
        <v>134</v>
      </c>
      <c r="C190" s="30"/>
      <c r="D190" s="25">
        <v>1</v>
      </c>
      <c r="E190" s="43">
        <f t="shared" si="259"/>
        <v>1</v>
      </c>
      <c r="F190" s="35"/>
      <c r="G190" s="8"/>
      <c r="H190" s="43">
        <f t="shared" si="260"/>
        <v>0</v>
      </c>
      <c r="I190" s="35"/>
      <c r="J190" s="8"/>
      <c r="K190" s="43">
        <f t="shared" si="261"/>
        <v>0</v>
      </c>
      <c r="L190" s="8">
        <f t="shared" si="250"/>
        <v>1</v>
      </c>
      <c r="M190" s="53">
        <v>45239</v>
      </c>
      <c r="N190" s="7"/>
      <c r="O190" s="33"/>
      <c r="P190" s="27"/>
      <c r="Q190" s="43">
        <f t="shared" si="255"/>
        <v>0</v>
      </c>
      <c r="R190" s="37"/>
      <c r="S190" s="10"/>
      <c r="T190" s="43">
        <f t="shared" si="256"/>
        <v>0</v>
      </c>
      <c r="U190" s="37"/>
      <c r="V190" s="10"/>
      <c r="W190" s="43">
        <f t="shared" si="257"/>
        <v>0</v>
      </c>
      <c r="X190" s="8">
        <f t="shared" si="258"/>
        <v>0</v>
      </c>
    </row>
    <row r="191" spans="2:25" x14ac:dyDescent="0.15">
      <c r="B191" s="7" t="s">
        <v>135</v>
      </c>
      <c r="C191" s="30"/>
      <c r="D191" s="25">
        <v>2</v>
      </c>
      <c r="E191" s="43">
        <f t="shared" si="259"/>
        <v>2</v>
      </c>
      <c r="F191" s="35"/>
      <c r="G191" s="8">
        <v>2</v>
      </c>
      <c r="H191" s="43">
        <f t="shared" si="260"/>
        <v>2</v>
      </c>
      <c r="I191" s="35"/>
      <c r="J191" s="8">
        <v>2</v>
      </c>
      <c r="K191" s="43">
        <f t="shared" si="261"/>
        <v>2</v>
      </c>
      <c r="L191" s="8">
        <f t="shared" si="250"/>
        <v>6</v>
      </c>
      <c r="M191" s="53">
        <v>45245</v>
      </c>
      <c r="N191" s="7"/>
      <c r="O191" s="33"/>
      <c r="P191" s="27"/>
      <c r="Q191" s="43">
        <f t="shared" si="255"/>
        <v>0</v>
      </c>
      <c r="R191" s="37"/>
      <c r="S191" s="10"/>
      <c r="T191" s="43">
        <f t="shared" si="256"/>
        <v>0</v>
      </c>
      <c r="U191" s="37"/>
      <c r="V191" s="10"/>
      <c r="W191" s="43">
        <f t="shared" si="257"/>
        <v>0</v>
      </c>
      <c r="X191" s="8">
        <f t="shared" si="258"/>
        <v>0</v>
      </c>
    </row>
    <row r="192" spans="2:25" x14ac:dyDescent="0.15">
      <c r="B192" s="7" t="s">
        <v>12</v>
      </c>
      <c r="C192" s="30"/>
      <c r="D192" s="25"/>
      <c r="E192" s="43">
        <f t="shared" si="259"/>
        <v>0</v>
      </c>
      <c r="F192" s="35"/>
      <c r="G192" s="8">
        <v>1</v>
      </c>
      <c r="H192" s="43">
        <f t="shared" si="260"/>
        <v>1</v>
      </c>
      <c r="I192" s="35"/>
      <c r="J192" s="8"/>
      <c r="K192" s="43">
        <f t="shared" si="261"/>
        <v>0</v>
      </c>
      <c r="L192" s="8">
        <f t="shared" si="250"/>
        <v>1</v>
      </c>
      <c r="M192" s="53">
        <v>45244</v>
      </c>
      <c r="N192" s="7"/>
      <c r="O192" s="30"/>
      <c r="P192" s="25"/>
      <c r="Q192" s="43">
        <f t="shared" si="255"/>
        <v>0</v>
      </c>
      <c r="R192" s="35"/>
      <c r="S192" s="8"/>
      <c r="T192" s="43">
        <f t="shared" si="256"/>
        <v>0</v>
      </c>
      <c r="U192" s="35"/>
      <c r="V192" s="8"/>
      <c r="W192" s="43">
        <f t="shared" si="257"/>
        <v>0</v>
      </c>
      <c r="X192" s="8">
        <f t="shared" si="258"/>
        <v>0</v>
      </c>
    </row>
    <row r="193" spans="2:25" x14ac:dyDescent="0.15">
      <c r="B193" s="7" t="s">
        <v>136</v>
      </c>
      <c r="C193" s="30"/>
      <c r="D193" s="25">
        <v>-5</v>
      </c>
      <c r="E193" s="43">
        <f t="shared" si="259"/>
        <v>-5</v>
      </c>
      <c r="F193" s="35"/>
      <c r="G193" s="8">
        <v>-5</v>
      </c>
      <c r="H193" s="43">
        <f t="shared" si="260"/>
        <v>-5</v>
      </c>
      <c r="I193" s="35"/>
      <c r="J193" s="8">
        <v>-5</v>
      </c>
      <c r="K193" s="43">
        <f t="shared" si="261"/>
        <v>-5</v>
      </c>
      <c r="L193" s="8">
        <f t="shared" si="250"/>
        <v>-15</v>
      </c>
      <c r="M193" s="53">
        <v>45245</v>
      </c>
      <c r="N193" s="7"/>
      <c r="O193" s="30"/>
      <c r="P193" s="25"/>
      <c r="Q193" s="43">
        <f t="shared" si="255"/>
        <v>0</v>
      </c>
      <c r="R193" s="35"/>
      <c r="S193" s="8"/>
      <c r="T193" s="43">
        <f t="shared" si="256"/>
        <v>0</v>
      </c>
      <c r="U193" s="35"/>
      <c r="V193" s="8"/>
      <c r="W193" s="43">
        <f t="shared" si="257"/>
        <v>0</v>
      </c>
      <c r="X193" s="8">
        <f t="shared" si="258"/>
        <v>0</v>
      </c>
    </row>
    <row r="194" spans="2:25" x14ac:dyDescent="0.15">
      <c r="B194" s="7" t="s">
        <v>137</v>
      </c>
      <c r="C194" s="30">
        <v>1</v>
      </c>
      <c r="D194" s="25"/>
      <c r="E194" s="43">
        <f t="shared" si="259"/>
        <v>1</v>
      </c>
      <c r="F194" s="35">
        <v>1</v>
      </c>
      <c r="G194" s="8"/>
      <c r="H194" s="43">
        <f t="shared" si="260"/>
        <v>1</v>
      </c>
      <c r="I194" s="35">
        <v>1</v>
      </c>
      <c r="J194" s="8"/>
      <c r="K194" s="43">
        <f t="shared" si="261"/>
        <v>1</v>
      </c>
      <c r="L194" s="8">
        <f t="shared" si="250"/>
        <v>3</v>
      </c>
      <c r="M194" s="53">
        <v>45252</v>
      </c>
      <c r="N194" s="7"/>
      <c r="O194" s="30"/>
      <c r="P194" s="25"/>
      <c r="Q194" s="43">
        <f t="shared" si="255"/>
        <v>0</v>
      </c>
      <c r="R194" s="35"/>
      <c r="S194" s="8"/>
      <c r="T194" s="43">
        <f t="shared" si="256"/>
        <v>0</v>
      </c>
      <c r="U194" s="35"/>
      <c r="V194" s="8"/>
      <c r="W194" s="43">
        <f t="shared" si="257"/>
        <v>0</v>
      </c>
      <c r="X194" s="8">
        <f t="shared" si="258"/>
        <v>0</v>
      </c>
    </row>
    <row r="195" spans="2:25" x14ac:dyDescent="0.15">
      <c r="B195" s="7"/>
      <c r="C195" s="30"/>
      <c r="D195" s="25"/>
      <c r="E195" s="43">
        <f t="shared" si="259"/>
        <v>0</v>
      </c>
      <c r="F195" s="35"/>
      <c r="G195" s="8"/>
      <c r="H195" s="43">
        <f t="shared" si="260"/>
        <v>0</v>
      </c>
      <c r="I195" s="35"/>
      <c r="J195" s="8"/>
      <c r="K195" s="43">
        <f t="shared" si="261"/>
        <v>0</v>
      </c>
      <c r="L195" s="8">
        <f t="shared" si="250"/>
        <v>0</v>
      </c>
      <c r="N195" s="7"/>
      <c r="O195" s="30"/>
      <c r="P195" s="25"/>
      <c r="Q195" s="43">
        <f t="shared" si="255"/>
        <v>0</v>
      </c>
      <c r="R195" s="35"/>
      <c r="S195" s="8"/>
      <c r="T195" s="43">
        <f t="shared" si="256"/>
        <v>0</v>
      </c>
      <c r="U195" s="35"/>
      <c r="V195" s="8"/>
      <c r="W195" s="43">
        <f t="shared" si="257"/>
        <v>0</v>
      </c>
      <c r="X195" s="8">
        <f t="shared" si="258"/>
        <v>0</v>
      </c>
    </row>
    <row r="196" spans="2:25" x14ac:dyDescent="0.15">
      <c r="B196" s="7"/>
      <c r="C196" s="30"/>
      <c r="D196" s="25"/>
      <c r="E196" s="43">
        <f t="shared" si="259"/>
        <v>0</v>
      </c>
      <c r="F196" s="35"/>
      <c r="G196" s="8"/>
      <c r="H196" s="43">
        <f t="shared" si="260"/>
        <v>0</v>
      </c>
      <c r="I196" s="35"/>
      <c r="J196" s="8"/>
      <c r="K196" s="43">
        <f t="shared" si="261"/>
        <v>0</v>
      </c>
      <c r="L196" s="8">
        <f t="shared" si="250"/>
        <v>0</v>
      </c>
      <c r="N196" s="7"/>
      <c r="O196" s="30"/>
      <c r="P196" s="25"/>
      <c r="Q196" s="43">
        <f t="shared" ref="Q196:Q197" si="287">SUM(O196:P196)</f>
        <v>0</v>
      </c>
      <c r="R196" s="35"/>
      <c r="S196" s="8"/>
      <c r="T196" s="43">
        <f t="shared" ref="T196:T197" si="288">SUM(R196:S196)</f>
        <v>0</v>
      </c>
      <c r="U196" s="35"/>
      <c r="V196" s="8"/>
      <c r="W196" s="43">
        <f t="shared" ref="W196:W197" si="289">SUM(U196:V196)</f>
        <v>0</v>
      </c>
      <c r="X196" s="8">
        <f t="shared" ref="X196:X197" si="290">SUM(W196,T196,Q196)</f>
        <v>0</v>
      </c>
    </row>
    <row r="197" spans="2:25" ht="14.25" thickBot="1" x14ac:dyDescent="0.2">
      <c r="B197" s="7"/>
      <c r="C197" s="30"/>
      <c r="D197" s="25"/>
      <c r="E197" s="43">
        <f t="shared" si="259"/>
        <v>0</v>
      </c>
      <c r="F197" s="35"/>
      <c r="G197" s="8"/>
      <c r="H197" s="43">
        <f t="shared" si="260"/>
        <v>0</v>
      </c>
      <c r="I197" s="35"/>
      <c r="J197" s="8"/>
      <c r="K197" s="43">
        <f t="shared" si="261"/>
        <v>0</v>
      </c>
      <c r="L197" s="8">
        <f t="shared" si="250"/>
        <v>0</v>
      </c>
      <c r="M197" s="53"/>
      <c r="N197" s="7"/>
      <c r="O197" s="30"/>
      <c r="P197" s="25"/>
      <c r="Q197" s="43">
        <f t="shared" si="287"/>
        <v>0</v>
      </c>
      <c r="R197" s="35"/>
      <c r="S197" s="8"/>
      <c r="T197" s="43">
        <f t="shared" si="288"/>
        <v>0</v>
      </c>
      <c r="U197" s="35"/>
      <c r="V197" s="8"/>
      <c r="W197" s="43">
        <f t="shared" si="289"/>
        <v>0</v>
      </c>
      <c r="X197" s="8">
        <f t="shared" si="290"/>
        <v>0</v>
      </c>
    </row>
    <row r="198" spans="2:25" ht="14.25" thickBot="1" x14ac:dyDescent="0.2">
      <c r="B198" s="5" t="s">
        <v>1</v>
      </c>
      <c r="C198" s="32">
        <f>SUM(C173:C197)</f>
        <v>11</v>
      </c>
      <c r="D198" s="19">
        <f>SUM(D173:D197)</f>
        <v>1</v>
      </c>
      <c r="E198" s="44">
        <f t="shared" si="259"/>
        <v>12</v>
      </c>
      <c r="F198" s="32">
        <f>SUM(F173:F197)</f>
        <v>8</v>
      </c>
      <c r="G198" s="19">
        <f>SUM(G173:G197)</f>
        <v>2</v>
      </c>
      <c r="H198" s="44">
        <f t="shared" si="260"/>
        <v>10</v>
      </c>
      <c r="I198" s="32">
        <f>SUM(I173:I197)</f>
        <v>11</v>
      </c>
      <c r="J198" s="19">
        <f>SUM(J173:J197)</f>
        <v>1</v>
      </c>
      <c r="K198" s="44">
        <f t="shared" si="261"/>
        <v>12</v>
      </c>
      <c r="L198" s="4">
        <f t="shared" si="250"/>
        <v>34</v>
      </c>
      <c r="N198" s="5" t="s">
        <v>1</v>
      </c>
      <c r="O198" s="32">
        <f>SUM(O173:O197)</f>
        <v>6</v>
      </c>
      <c r="P198" s="19">
        <f t="shared" ref="P198" si="291">SUM(P173:P197)</f>
        <v>9</v>
      </c>
      <c r="Q198" s="44">
        <f t="shared" ref="Q198" si="292">SUM(Q173:Q197)</f>
        <v>15</v>
      </c>
      <c r="R198" s="32">
        <f t="shared" ref="R198" si="293">SUM(R173:R197)</f>
        <v>21</v>
      </c>
      <c r="S198" s="19">
        <f t="shared" ref="S198" si="294">SUM(S173:S197)</f>
        <v>5</v>
      </c>
      <c r="T198" s="44">
        <f t="shared" ref="T198" si="295">SUM(T173:T197)</f>
        <v>26</v>
      </c>
      <c r="U198" s="32">
        <f t="shared" ref="U198" si="296">SUM(U173:U197)</f>
        <v>29</v>
      </c>
      <c r="V198" s="19">
        <f t="shared" ref="V198" si="297">SUM(V173:V197)</f>
        <v>8</v>
      </c>
      <c r="W198" s="44">
        <f t="shared" ref="W198" si="298">SUM(W173:W197)</f>
        <v>37</v>
      </c>
      <c r="X198" s="4">
        <f t="shared" ref="X198" si="299">SUM(X173:X197)</f>
        <v>78</v>
      </c>
    </row>
    <row r="199" spans="2:25" ht="14.25" thickBot="1" x14ac:dyDescent="0.2">
      <c r="B199" s="3" t="s">
        <v>0</v>
      </c>
      <c r="C199" s="34">
        <f>+C172-C198</f>
        <v>3</v>
      </c>
      <c r="D199" s="2">
        <f>+D172-D198</f>
        <v>5</v>
      </c>
      <c r="E199" s="45">
        <f t="shared" si="259"/>
        <v>8</v>
      </c>
      <c r="F199" s="34">
        <f>+F172-F198</f>
        <v>3</v>
      </c>
      <c r="G199" s="2">
        <f>+G172-G198</f>
        <v>6</v>
      </c>
      <c r="H199" s="45">
        <f t="shared" si="260"/>
        <v>9</v>
      </c>
      <c r="I199" s="34">
        <f>+I172-I198</f>
        <v>3</v>
      </c>
      <c r="J199" s="2">
        <f>+J172-J198</f>
        <v>6</v>
      </c>
      <c r="K199" s="45">
        <f t="shared" si="261"/>
        <v>9</v>
      </c>
      <c r="L199" s="2">
        <f t="shared" si="250"/>
        <v>26</v>
      </c>
      <c r="N199" s="3" t="s">
        <v>0</v>
      </c>
      <c r="O199" s="34">
        <f>+O172-O198</f>
        <v>46</v>
      </c>
      <c r="P199" s="2">
        <f t="shared" ref="P199" si="300">+P172-P198</f>
        <v>53</v>
      </c>
      <c r="Q199" s="45">
        <f t="shared" ref="Q199" si="301">+Q172-Q198</f>
        <v>99</v>
      </c>
      <c r="R199" s="34">
        <f t="shared" ref="R199" si="302">+R172-R198</f>
        <v>46</v>
      </c>
      <c r="S199" s="2">
        <f t="shared" ref="S199" si="303">+S172-S198</f>
        <v>55</v>
      </c>
      <c r="T199" s="45">
        <f t="shared" ref="T199" si="304">+T172-T198</f>
        <v>101</v>
      </c>
      <c r="U199" s="34">
        <f t="shared" ref="U199" si="305">+U172-U198</f>
        <v>44</v>
      </c>
      <c r="V199" s="2">
        <f t="shared" ref="V199" si="306">+V172-V198</f>
        <v>22</v>
      </c>
      <c r="W199" s="45">
        <f t="shared" ref="W199" si="307">+W172-W198</f>
        <v>66</v>
      </c>
      <c r="X199" s="2">
        <f t="shared" ref="X199" si="308">+X172-X198</f>
        <v>266</v>
      </c>
    </row>
    <row r="200" spans="2:25" x14ac:dyDescent="0.15">
      <c r="O200" s="85">
        <f>O199/$Q$199*100</f>
        <v>46.464646464646464</v>
      </c>
      <c r="P200" s="85">
        <f t="shared" ref="P200:Q200" si="309">P199/$Q$199*100</f>
        <v>53.535353535353536</v>
      </c>
      <c r="Q200" s="85">
        <f t="shared" si="309"/>
        <v>100</v>
      </c>
      <c r="R200" s="85">
        <f>R199/$T$199*100</f>
        <v>45.544554455445549</v>
      </c>
      <c r="S200" s="85">
        <f>S199/$T$199*100</f>
        <v>54.455445544554458</v>
      </c>
      <c r="T200" s="85">
        <f>SUM(R200:S200)</f>
        <v>100</v>
      </c>
      <c r="U200" s="85">
        <f>U199/$W$199*100</f>
        <v>66.666666666666657</v>
      </c>
      <c r="V200" s="85">
        <f t="shared" ref="V200:W200" si="310">V199/$W$199*100</f>
        <v>33.333333333333329</v>
      </c>
      <c r="W200" s="85">
        <f t="shared" si="310"/>
        <v>100</v>
      </c>
    </row>
    <row r="201" spans="2:25" x14ac:dyDescent="0.15">
      <c r="Q201" s="88">
        <f>Q199/$X$199*100</f>
        <v>37.218045112781958</v>
      </c>
      <c r="T201" s="88">
        <f>T199/$X$199*100</f>
        <v>37.969924812030072</v>
      </c>
      <c r="W201" s="88">
        <f>W199/$X$199*100</f>
        <v>24.81203007518797</v>
      </c>
    </row>
    <row r="202" spans="2:25" x14ac:dyDescent="0.15">
      <c r="Q202" s="86">
        <v>26.7</v>
      </c>
      <c r="R202" s="86"/>
      <c r="S202" s="86"/>
      <c r="T202" s="86">
        <v>33.299999999999997</v>
      </c>
      <c r="U202" s="86"/>
      <c r="V202" s="86"/>
      <c r="W202" s="87">
        <v>40</v>
      </c>
      <c r="X202" s="87">
        <v>100</v>
      </c>
    </row>
    <row r="203" spans="2:25" ht="18.75" x14ac:dyDescent="0.2">
      <c r="B203" s="23" t="s">
        <v>11</v>
      </c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N203" s="47" t="s">
        <v>25</v>
      </c>
      <c r="O203" s="48"/>
      <c r="P203" s="48"/>
      <c r="Q203" s="48"/>
      <c r="R203" s="48"/>
      <c r="S203" s="48"/>
      <c r="T203" s="48"/>
      <c r="U203" s="48"/>
      <c r="V203" s="48"/>
      <c r="W203" s="48"/>
      <c r="X203" s="48"/>
    </row>
    <row r="204" spans="2:25" ht="15" thickBot="1" x14ac:dyDescent="0.2">
      <c r="B204" s="22" t="s">
        <v>10</v>
      </c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N204" s="49" t="s">
        <v>10</v>
      </c>
      <c r="O204" s="48"/>
      <c r="P204" s="48"/>
      <c r="Q204" s="48"/>
      <c r="R204" s="48"/>
      <c r="S204" s="48"/>
      <c r="T204" s="48"/>
      <c r="U204" s="48"/>
      <c r="V204" s="48"/>
      <c r="W204" s="48"/>
      <c r="X204" s="48"/>
    </row>
    <row r="205" spans="2:25" ht="14.25" thickBot="1" x14ac:dyDescent="0.2">
      <c r="B205" s="20"/>
      <c r="C205" s="208" t="s">
        <v>9</v>
      </c>
      <c r="D205" s="209"/>
      <c r="E205" s="210"/>
      <c r="F205" s="208" t="s">
        <v>8</v>
      </c>
      <c r="G205" s="209"/>
      <c r="H205" s="210"/>
      <c r="I205" s="208" t="s">
        <v>7</v>
      </c>
      <c r="J205" s="209"/>
      <c r="K205" s="210"/>
      <c r="L205" s="19"/>
      <c r="N205" s="20"/>
      <c r="O205" s="208" t="s">
        <v>9</v>
      </c>
      <c r="P205" s="209"/>
      <c r="Q205" s="210"/>
      <c r="R205" s="208" t="s">
        <v>8</v>
      </c>
      <c r="S205" s="209"/>
      <c r="T205" s="210"/>
      <c r="U205" s="208" t="s">
        <v>7</v>
      </c>
      <c r="V205" s="209"/>
      <c r="W205" s="210"/>
      <c r="X205" s="19"/>
    </row>
    <row r="206" spans="2:25" ht="14.25" thickBot="1" x14ac:dyDescent="0.2">
      <c r="B206" s="18"/>
      <c r="C206" s="28" t="s">
        <v>6</v>
      </c>
      <c r="D206" s="17" t="s">
        <v>5</v>
      </c>
      <c r="E206" s="38" t="s">
        <v>4</v>
      </c>
      <c r="F206" s="28" t="s">
        <v>6</v>
      </c>
      <c r="G206" s="17" t="s">
        <v>5</v>
      </c>
      <c r="H206" s="38" t="s">
        <v>4</v>
      </c>
      <c r="I206" s="28" t="s">
        <v>6</v>
      </c>
      <c r="J206" s="17" t="s">
        <v>5</v>
      </c>
      <c r="K206" s="38" t="s">
        <v>4</v>
      </c>
      <c r="L206" s="17" t="s">
        <v>4</v>
      </c>
      <c r="N206" s="18"/>
      <c r="O206" s="28" t="s">
        <v>6</v>
      </c>
      <c r="P206" s="17" t="s">
        <v>5</v>
      </c>
      <c r="Q206" s="38" t="s">
        <v>4</v>
      </c>
      <c r="R206" s="28" t="s">
        <v>6</v>
      </c>
      <c r="S206" s="17" t="s">
        <v>5</v>
      </c>
      <c r="T206" s="38" t="s">
        <v>4</v>
      </c>
      <c r="U206" s="28" t="s">
        <v>6</v>
      </c>
      <c r="V206" s="17" t="s">
        <v>5</v>
      </c>
      <c r="W206" s="38" t="s">
        <v>4</v>
      </c>
      <c r="X206" s="17" t="s">
        <v>4</v>
      </c>
    </row>
    <row r="207" spans="2:25" x14ac:dyDescent="0.15">
      <c r="B207" s="66" t="s">
        <v>0</v>
      </c>
      <c r="C207" s="67">
        <f t="shared" ref="C207:K207" si="311">C199</f>
        <v>3</v>
      </c>
      <c r="D207" s="68">
        <f t="shared" si="311"/>
        <v>5</v>
      </c>
      <c r="E207" s="69">
        <f t="shared" si="311"/>
        <v>8</v>
      </c>
      <c r="F207" s="67">
        <f t="shared" si="311"/>
        <v>3</v>
      </c>
      <c r="G207" s="68">
        <f t="shared" si="311"/>
        <v>6</v>
      </c>
      <c r="H207" s="69">
        <f t="shared" si="311"/>
        <v>9</v>
      </c>
      <c r="I207" s="67">
        <f t="shared" si="311"/>
        <v>3</v>
      </c>
      <c r="J207" s="68">
        <f t="shared" si="311"/>
        <v>6</v>
      </c>
      <c r="K207" s="69">
        <f t="shared" si="311"/>
        <v>9</v>
      </c>
      <c r="L207" s="70">
        <f t="shared" ref="L207:L240" si="312">SUM(K207,H207,E207)</f>
        <v>26</v>
      </c>
      <c r="N207" s="66" t="s">
        <v>0</v>
      </c>
      <c r="O207" s="72">
        <f>O199</f>
        <v>46</v>
      </c>
      <c r="P207" s="80">
        <f t="shared" ref="P207:X207" si="313">P199</f>
        <v>53</v>
      </c>
      <c r="Q207" s="69">
        <f t="shared" si="313"/>
        <v>99</v>
      </c>
      <c r="R207" s="72">
        <f t="shared" si="313"/>
        <v>46</v>
      </c>
      <c r="S207" s="80">
        <f t="shared" si="313"/>
        <v>55</v>
      </c>
      <c r="T207" s="69">
        <f t="shared" si="313"/>
        <v>101</v>
      </c>
      <c r="U207" s="72">
        <f t="shared" si="313"/>
        <v>44</v>
      </c>
      <c r="V207" s="80">
        <f t="shared" si="313"/>
        <v>22</v>
      </c>
      <c r="W207" s="69">
        <f t="shared" si="313"/>
        <v>66</v>
      </c>
      <c r="X207" s="72">
        <f t="shared" si="313"/>
        <v>266</v>
      </c>
    </row>
    <row r="208" spans="2:25" x14ac:dyDescent="0.15">
      <c r="B208" s="16" t="s">
        <v>3</v>
      </c>
      <c r="C208" s="30">
        <v>3</v>
      </c>
      <c r="D208" s="25"/>
      <c r="E208" s="40">
        <f t="shared" ref="E208:E240" si="314">SUM(C208:D208)</f>
        <v>3</v>
      </c>
      <c r="F208" s="35">
        <v>3</v>
      </c>
      <c r="G208" s="8"/>
      <c r="H208" s="40">
        <f t="shared" ref="H208:H240" si="315">SUM(F208:G208)</f>
        <v>3</v>
      </c>
      <c r="I208" s="35">
        <v>3</v>
      </c>
      <c r="J208" s="8"/>
      <c r="K208" s="40">
        <f t="shared" ref="K208:K240" si="316">SUM(I208:J208)</f>
        <v>3</v>
      </c>
      <c r="L208" s="9">
        <f t="shared" si="312"/>
        <v>9</v>
      </c>
      <c r="M208" s="53">
        <v>45251</v>
      </c>
      <c r="N208" s="16" t="s">
        <v>28</v>
      </c>
      <c r="O208" s="62">
        <v>5</v>
      </c>
      <c r="P208" s="81">
        <v>8</v>
      </c>
      <c r="Q208" s="40">
        <f t="shared" ref="Q208" si="317">SUM(O208:P208)</f>
        <v>13</v>
      </c>
      <c r="R208" s="78">
        <v>5</v>
      </c>
      <c r="S208" s="82">
        <v>8</v>
      </c>
      <c r="T208" s="40">
        <f t="shared" ref="T208" si="318">SUM(R208:S208)</f>
        <v>13</v>
      </c>
      <c r="U208" s="78">
        <v>6</v>
      </c>
      <c r="V208" s="82">
        <v>7</v>
      </c>
      <c r="W208" s="40">
        <f t="shared" ref="W208" si="319">SUM(U208:V208)</f>
        <v>13</v>
      </c>
      <c r="X208" s="25">
        <f t="shared" ref="X208" si="320">SUM(W208,T208,Q208)</f>
        <v>39</v>
      </c>
      <c r="Y208" s="53">
        <v>45325</v>
      </c>
    </row>
    <row r="209" spans="2:25" x14ac:dyDescent="0.15">
      <c r="B209" s="16" t="s">
        <v>57</v>
      </c>
      <c r="C209" s="30"/>
      <c r="D209" s="25">
        <v>3</v>
      </c>
      <c r="E209" s="40">
        <f t="shared" si="314"/>
        <v>3</v>
      </c>
      <c r="F209" s="35"/>
      <c r="G209" s="8">
        <v>2</v>
      </c>
      <c r="H209" s="40">
        <f t="shared" si="315"/>
        <v>2</v>
      </c>
      <c r="I209" s="35"/>
      <c r="J209" s="8">
        <v>2</v>
      </c>
      <c r="K209" s="40">
        <f t="shared" si="316"/>
        <v>2</v>
      </c>
      <c r="L209" s="9">
        <f t="shared" si="312"/>
        <v>7</v>
      </c>
      <c r="M209" s="53">
        <v>45265</v>
      </c>
      <c r="N209" s="55" t="s">
        <v>3</v>
      </c>
      <c r="O209" s="62"/>
      <c r="P209" s="81"/>
      <c r="Q209" s="40">
        <f t="shared" ref="Q209:Q238" si="321">SUM(O209:P209)</f>
        <v>0</v>
      </c>
      <c r="R209" s="78"/>
      <c r="S209" s="82"/>
      <c r="T209" s="40">
        <f t="shared" ref="T209:T238" si="322">SUM(R209:S209)</f>
        <v>0</v>
      </c>
      <c r="U209" s="78"/>
      <c r="V209" s="82"/>
      <c r="W209" s="40">
        <f t="shared" ref="W209:W238" si="323">SUM(U209:V209)</f>
        <v>0</v>
      </c>
      <c r="X209" s="25">
        <f t="shared" ref="X209:X238" si="324">SUM(W209,T209,Q209)</f>
        <v>0</v>
      </c>
    </row>
    <row r="210" spans="2:25" x14ac:dyDescent="0.15">
      <c r="B210" s="16" t="s">
        <v>91</v>
      </c>
      <c r="C210" s="30"/>
      <c r="D210" s="25"/>
      <c r="E210" s="40">
        <f t="shared" si="314"/>
        <v>0</v>
      </c>
      <c r="F210" s="35"/>
      <c r="G210" s="8"/>
      <c r="H210" s="40">
        <f t="shared" si="315"/>
        <v>0</v>
      </c>
      <c r="I210" s="35"/>
      <c r="J210" s="8">
        <v>1</v>
      </c>
      <c r="K210" s="40">
        <f t="shared" si="316"/>
        <v>1</v>
      </c>
      <c r="L210" s="9">
        <f t="shared" si="312"/>
        <v>1</v>
      </c>
      <c r="M210" s="53">
        <v>45281</v>
      </c>
      <c r="N210" s="55" t="s">
        <v>3</v>
      </c>
      <c r="O210" s="62"/>
      <c r="P210" s="81"/>
      <c r="Q210" s="40">
        <f t="shared" si="321"/>
        <v>0</v>
      </c>
      <c r="R210" s="78"/>
      <c r="S210" s="82"/>
      <c r="T210" s="40">
        <f t="shared" si="322"/>
        <v>0</v>
      </c>
      <c r="U210" s="78"/>
      <c r="V210" s="82"/>
      <c r="W210" s="40">
        <f t="shared" si="323"/>
        <v>0</v>
      </c>
      <c r="X210" s="25">
        <f t="shared" si="324"/>
        <v>0</v>
      </c>
    </row>
    <row r="211" spans="2:25" x14ac:dyDescent="0.15">
      <c r="B211" s="16" t="s">
        <v>3</v>
      </c>
      <c r="C211" s="30"/>
      <c r="D211" s="25"/>
      <c r="E211" s="40">
        <f t="shared" si="314"/>
        <v>0</v>
      </c>
      <c r="F211" s="35"/>
      <c r="G211" s="8"/>
      <c r="H211" s="40">
        <f t="shared" si="315"/>
        <v>0</v>
      </c>
      <c r="I211" s="35"/>
      <c r="J211" s="8"/>
      <c r="K211" s="40">
        <f t="shared" si="316"/>
        <v>0</v>
      </c>
      <c r="L211" s="9">
        <f t="shared" si="312"/>
        <v>0</v>
      </c>
      <c r="N211" s="55" t="s">
        <v>3</v>
      </c>
      <c r="O211" s="62"/>
      <c r="P211" s="81"/>
      <c r="Q211" s="40">
        <f t="shared" ref="Q211" si="325">SUM(O211:P211)</f>
        <v>0</v>
      </c>
      <c r="R211" s="78"/>
      <c r="S211" s="82"/>
      <c r="T211" s="40">
        <f t="shared" ref="T211" si="326">SUM(R211:S211)</f>
        <v>0</v>
      </c>
      <c r="U211" s="78"/>
      <c r="V211" s="82"/>
      <c r="W211" s="40">
        <f t="shared" ref="W211" si="327">SUM(U211:V211)</f>
        <v>0</v>
      </c>
      <c r="X211" s="25">
        <f t="shared" ref="X211" si="328">SUM(W211,T211,Q211)</f>
        <v>0</v>
      </c>
    </row>
    <row r="212" spans="2:25" ht="14.25" thickBot="1" x14ac:dyDescent="0.2">
      <c r="B212" s="15" t="s">
        <v>3</v>
      </c>
      <c r="C212" s="31"/>
      <c r="D212" s="26"/>
      <c r="E212" s="41">
        <f t="shared" si="314"/>
        <v>0</v>
      </c>
      <c r="F212" s="36"/>
      <c r="G212" s="6"/>
      <c r="H212" s="41">
        <f t="shared" si="315"/>
        <v>0</v>
      </c>
      <c r="I212" s="36"/>
      <c r="J212" s="6"/>
      <c r="K212" s="41">
        <f t="shared" si="316"/>
        <v>0</v>
      </c>
      <c r="L212" s="14">
        <f t="shared" si="312"/>
        <v>0</v>
      </c>
      <c r="N212" s="75" t="s">
        <v>3</v>
      </c>
      <c r="O212" s="76"/>
      <c r="P212" s="83"/>
      <c r="Q212" s="41">
        <f t="shared" si="321"/>
        <v>0</v>
      </c>
      <c r="R212" s="76"/>
      <c r="S212" s="83"/>
      <c r="T212" s="41">
        <f t="shared" si="322"/>
        <v>0</v>
      </c>
      <c r="U212" s="76"/>
      <c r="V212" s="83"/>
      <c r="W212" s="41">
        <f t="shared" si="323"/>
        <v>0</v>
      </c>
      <c r="X212" s="77">
        <f t="shared" si="324"/>
        <v>0</v>
      </c>
    </row>
    <row r="213" spans="2:25" ht="14.25" thickBot="1" x14ac:dyDescent="0.2">
      <c r="B213" s="5" t="s">
        <v>2</v>
      </c>
      <c r="C213" s="32">
        <f>SUM(C207:C212)</f>
        <v>6</v>
      </c>
      <c r="D213" s="19">
        <f>SUM(D207:D212)</f>
        <v>8</v>
      </c>
      <c r="E213" s="42">
        <f t="shared" si="314"/>
        <v>14</v>
      </c>
      <c r="F213" s="32">
        <f>SUM(F207:F212)</f>
        <v>6</v>
      </c>
      <c r="G213" s="19">
        <f>SUM(G207:G212)</f>
        <v>8</v>
      </c>
      <c r="H213" s="42">
        <f t="shared" si="315"/>
        <v>14</v>
      </c>
      <c r="I213" s="32">
        <f>SUM(I207:I212)</f>
        <v>6</v>
      </c>
      <c r="J213" s="19">
        <f>SUM(J207:J212)</f>
        <v>9</v>
      </c>
      <c r="K213" s="42">
        <f t="shared" si="316"/>
        <v>15</v>
      </c>
      <c r="L213" s="13">
        <f t="shared" si="312"/>
        <v>43</v>
      </c>
      <c r="N213" s="63" t="s">
        <v>2</v>
      </c>
      <c r="O213" s="32">
        <f>SUM(O207:O212)</f>
        <v>51</v>
      </c>
      <c r="P213" s="19">
        <f t="shared" ref="P213" si="329">SUM(P207:P212)</f>
        <v>61</v>
      </c>
      <c r="Q213" s="42">
        <f t="shared" ref="Q213" si="330">SUM(Q207:Q212)</f>
        <v>112</v>
      </c>
      <c r="R213" s="32">
        <f t="shared" ref="R213" si="331">SUM(R207:R212)</f>
        <v>51</v>
      </c>
      <c r="S213" s="19">
        <f t="shared" ref="S213" si="332">SUM(S207:S212)</f>
        <v>63</v>
      </c>
      <c r="T213" s="42">
        <f t="shared" ref="T213" si="333">SUM(T207:T212)</f>
        <v>114</v>
      </c>
      <c r="U213" s="32">
        <f t="shared" ref="U213" si="334">SUM(U207:U212)</f>
        <v>50</v>
      </c>
      <c r="V213" s="19">
        <f t="shared" ref="V213" si="335">SUM(V207:V212)</f>
        <v>29</v>
      </c>
      <c r="W213" s="42">
        <f t="shared" ref="W213" si="336">SUM(W207:W212)</f>
        <v>79</v>
      </c>
      <c r="X213" s="13">
        <f t="shared" ref="X213" si="337">SUM(X207:X212)</f>
        <v>305</v>
      </c>
    </row>
    <row r="214" spans="2:25" x14ac:dyDescent="0.15">
      <c r="B214" s="7" t="s">
        <v>142</v>
      </c>
      <c r="C214" s="30"/>
      <c r="D214" s="25"/>
      <c r="E214" s="43">
        <f t="shared" si="314"/>
        <v>0</v>
      </c>
      <c r="F214" s="35">
        <v>1</v>
      </c>
      <c r="G214" s="8"/>
      <c r="H214" s="43">
        <f t="shared" si="315"/>
        <v>1</v>
      </c>
      <c r="I214" s="35"/>
      <c r="J214" s="8"/>
      <c r="K214" s="43">
        <f t="shared" si="316"/>
        <v>0</v>
      </c>
      <c r="L214" s="8">
        <f t="shared" si="312"/>
        <v>1</v>
      </c>
      <c r="M214" s="53">
        <v>45261</v>
      </c>
      <c r="N214" s="7" t="s">
        <v>168</v>
      </c>
      <c r="O214" s="33"/>
      <c r="P214" s="27"/>
      <c r="Q214" s="43">
        <f t="shared" ref="Q214:Q215" si="338">SUM(O214:P214)</f>
        <v>0</v>
      </c>
      <c r="R214" s="37"/>
      <c r="S214" s="10"/>
      <c r="T214" s="43">
        <f t="shared" ref="T214:T215" si="339">SUM(R214:S214)</f>
        <v>0</v>
      </c>
      <c r="U214" s="37">
        <v>10</v>
      </c>
      <c r="V214" s="10"/>
      <c r="W214" s="43">
        <f t="shared" ref="W214:W215" si="340">SUM(U214:V214)</f>
        <v>10</v>
      </c>
      <c r="X214" s="8">
        <f t="shared" ref="X214:X215" si="341">SUM(W214,T214,Q214)</f>
        <v>10</v>
      </c>
      <c r="Y214" s="53">
        <v>45366</v>
      </c>
    </row>
    <row r="215" spans="2:25" x14ac:dyDescent="0.15">
      <c r="B215" s="7" t="s">
        <v>12</v>
      </c>
      <c r="C215" s="30"/>
      <c r="D215" s="25"/>
      <c r="E215" s="43">
        <f t="shared" si="314"/>
        <v>0</v>
      </c>
      <c r="F215" s="35"/>
      <c r="G215" s="8"/>
      <c r="H215" s="43">
        <f t="shared" si="315"/>
        <v>0</v>
      </c>
      <c r="I215" s="35"/>
      <c r="J215" s="8">
        <v>1</v>
      </c>
      <c r="K215" s="43">
        <f t="shared" si="316"/>
        <v>1</v>
      </c>
      <c r="L215" s="8">
        <f t="shared" si="312"/>
        <v>1</v>
      </c>
      <c r="M215" s="53">
        <v>45260</v>
      </c>
      <c r="N215" s="7" t="s">
        <v>168</v>
      </c>
      <c r="O215" s="30"/>
      <c r="P215" s="25"/>
      <c r="Q215" s="43">
        <f t="shared" si="338"/>
        <v>0</v>
      </c>
      <c r="R215" s="35"/>
      <c r="S215" s="8">
        <v>13</v>
      </c>
      <c r="T215" s="43">
        <f t="shared" si="339"/>
        <v>13</v>
      </c>
      <c r="U215" s="35">
        <v>11</v>
      </c>
      <c r="V215" s="8">
        <v>14</v>
      </c>
      <c r="W215" s="43">
        <f t="shared" si="340"/>
        <v>25</v>
      </c>
      <c r="X215" s="8">
        <f t="shared" si="341"/>
        <v>38</v>
      </c>
      <c r="Y215" s="53">
        <v>45373</v>
      </c>
    </row>
    <row r="216" spans="2:25" x14ac:dyDescent="0.15">
      <c r="B216" s="7" t="s">
        <v>143</v>
      </c>
      <c r="C216" s="30">
        <v>1</v>
      </c>
      <c r="D216" s="25"/>
      <c r="E216" s="43">
        <f t="shared" si="314"/>
        <v>1</v>
      </c>
      <c r="F216" s="35"/>
      <c r="G216" s="8"/>
      <c r="H216" s="43">
        <f t="shared" si="315"/>
        <v>0</v>
      </c>
      <c r="I216" s="35"/>
      <c r="J216" s="8"/>
      <c r="K216" s="43">
        <f t="shared" si="316"/>
        <v>0</v>
      </c>
      <c r="L216" s="8">
        <f t="shared" si="312"/>
        <v>1</v>
      </c>
      <c r="M216" s="53">
        <v>45264</v>
      </c>
      <c r="N216" s="7" t="s">
        <v>28</v>
      </c>
      <c r="O216" s="30"/>
      <c r="P216" s="25"/>
      <c r="Q216" s="43">
        <f t="shared" si="321"/>
        <v>0</v>
      </c>
      <c r="R216" s="35"/>
      <c r="S216" s="8"/>
      <c r="T216" s="43">
        <f t="shared" si="322"/>
        <v>0</v>
      </c>
      <c r="U216" s="35"/>
      <c r="V216" s="8">
        <v>2</v>
      </c>
      <c r="W216" s="43">
        <f t="shared" si="323"/>
        <v>2</v>
      </c>
      <c r="X216" s="8">
        <f t="shared" si="324"/>
        <v>2</v>
      </c>
      <c r="Y216" s="53">
        <v>45377</v>
      </c>
    </row>
    <row r="217" spans="2:25" x14ac:dyDescent="0.15">
      <c r="B217" s="7" t="s">
        <v>12</v>
      </c>
      <c r="C217" s="30"/>
      <c r="D217" s="25"/>
      <c r="E217" s="43">
        <f t="shared" si="314"/>
        <v>0</v>
      </c>
      <c r="F217" s="35"/>
      <c r="G217" s="8"/>
      <c r="H217" s="43">
        <f t="shared" si="315"/>
        <v>0</v>
      </c>
      <c r="I217" s="35"/>
      <c r="J217" s="8">
        <v>1</v>
      </c>
      <c r="K217" s="43">
        <f t="shared" si="316"/>
        <v>1</v>
      </c>
      <c r="L217" s="8">
        <f t="shared" si="312"/>
        <v>1</v>
      </c>
      <c r="M217" s="53">
        <v>45268</v>
      </c>
      <c r="N217" s="7" t="s">
        <v>168</v>
      </c>
      <c r="O217" s="30"/>
      <c r="P217" s="25"/>
      <c r="Q217" s="43">
        <f t="shared" si="321"/>
        <v>0</v>
      </c>
      <c r="R217" s="35">
        <v>8</v>
      </c>
      <c r="S217" s="8"/>
      <c r="T217" s="43">
        <f t="shared" si="322"/>
        <v>8</v>
      </c>
      <c r="U217" s="35">
        <v>5</v>
      </c>
      <c r="V217" s="8"/>
      <c r="W217" s="43">
        <f t="shared" si="323"/>
        <v>5</v>
      </c>
      <c r="X217" s="8">
        <f t="shared" si="324"/>
        <v>13</v>
      </c>
      <c r="Y217" s="53">
        <v>45381</v>
      </c>
    </row>
    <row r="218" spans="2:25" x14ac:dyDescent="0.15">
      <c r="B218" s="7" t="s">
        <v>115</v>
      </c>
      <c r="C218" s="30">
        <v>5</v>
      </c>
      <c r="D218" s="25">
        <v>8</v>
      </c>
      <c r="E218" s="43">
        <f t="shared" si="314"/>
        <v>13</v>
      </c>
      <c r="F218" s="35">
        <v>5</v>
      </c>
      <c r="G218" s="8">
        <v>8</v>
      </c>
      <c r="H218" s="43">
        <f t="shared" si="315"/>
        <v>13</v>
      </c>
      <c r="I218" s="35">
        <v>6</v>
      </c>
      <c r="J218" s="8">
        <v>7</v>
      </c>
      <c r="K218" s="43">
        <f t="shared" si="316"/>
        <v>13</v>
      </c>
      <c r="L218" s="8">
        <f t="shared" si="312"/>
        <v>39</v>
      </c>
      <c r="M218" s="53">
        <v>45325</v>
      </c>
      <c r="N218" s="7" t="s">
        <v>28</v>
      </c>
      <c r="O218" s="30"/>
      <c r="P218" s="25"/>
      <c r="Q218" s="43">
        <f t="shared" si="321"/>
        <v>0</v>
      </c>
      <c r="R218" s="35"/>
      <c r="S218" s="8"/>
      <c r="T218" s="43">
        <f t="shared" si="322"/>
        <v>0</v>
      </c>
      <c r="U218" s="35"/>
      <c r="V218" s="8">
        <v>1</v>
      </c>
      <c r="W218" s="43">
        <f t="shared" si="323"/>
        <v>1</v>
      </c>
      <c r="X218" s="8">
        <f t="shared" si="324"/>
        <v>1</v>
      </c>
      <c r="Y218" s="53">
        <v>45386</v>
      </c>
    </row>
    <row r="219" spans="2:25" x14ac:dyDescent="0.15">
      <c r="B219" s="7" t="s">
        <v>12</v>
      </c>
      <c r="C219" s="30"/>
      <c r="D219" s="25"/>
      <c r="E219" s="43">
        <f t="shared" si="314"/>
        <v>0</v>
      </c>
      <c r="F219" s="35"/>
      <c r="G219" s="8"/>
      <c r="H219" s="43">
        <f t="shared" si="315"/>
        <v>0</v>
      </c>
      <c r="I219" s="35"/>
      <c r="J219" s="8"/>
      <c r="K219" s="43">
        <f t="shared" si="316"/>
        <v>0</v>
      </c>
      <c r="L219" s="8">
        <f t="shared" si="312"/>
        <v>0</v>
      </c>
      <c r="N219" s="7" t="s">
        <v>188</v>
      </c>
      <c r="O219" s="30">
        <v>51</v>
      </c>
      <c r="P219" s="25">
        <v>61</v>
      </c>
      <c r="Q219" s="43">
        <f t="shared" si="321"/>
        <v>112</v>
      </c>
      <c r="R219" s="35">
        <v>43</v>
      </c>
      <c r="S219" s="8">
        <v>50</v>
      </c>
      <c r="T219" s="43">
        <f t="shared" si="322"/>
        <v>93</v>
      </c>
      <c r="U219" s="35">
        <v>24</v>
      </c>
      <c r="V219" s="8">
        <v>12</v>
      </c>
      <c r="W219" s="43">
        <f t="shared" si="323"/>
        <v>36</v>
      </c>
      <c r="X219" s="8">
        <f t="shared" si="324"/>
        <v>241</v>
      </c>
      <c r="Y219" s="53">
        <v>45399</v>
      </c>
    </row>
    <row r="220" spans="2:25" x14ac:dyDescent="0.15">
      <c r="B220" s="7"/>
      <c r="C220" s="30"/>
      <c r="D220" s="25"/>
      <c r="E220" s="43">
        <f t="shared" si="314"/>
        <v>0</v>
      </c>
      <c r="F220" s="35"/>
      <c r="G220" s="8"/>
      <c r="H220" s="43">
        <f t="shared" si="315"/>
        <v>0</v>
      </c>
      <c r="I220" s="35"/>
      <c r="J220" s="8"/>
      <c r="K220" s="43">
        <f t="shared" si="316"/>
        <v>0</v>
      </c>
      <c r="L220" s="8">
        <f t="shared" si="312"/>
        <v>0</v>
      </c>
      <c r="N220" s="7"/>
      <c r="O220" s="30"/>
      <c r="P220" s="25"/>
      <c r="Q220" s="43">
        <f t="shared" si="321"/>
        <v>0</v>
      </c>
      <c r="R220" s="35"/>
      <c r="S220" s="8"/>
      <c r="T220" s="43">
        <f t="shared" si="322"/>
        <v>0</v>
      </c>
      <c r="U220" s="35"/>
      <c r="V220" s="8"/>
      <c r="W220" s="43">
        <f t="shared" si="323"/>
        <v>0</v>
      </c>
      <c r="X220" s="8">
        <f t="shared" si="324"/>
        <v>0</v>
      </c>
    </row>
    <row r="221" spans="2:25" x14ac:dyDescent="0.15">
      <c r="B221" s="7"/>
      <c r="C221" s="30"/>
      <c r="D221" s="25"/>
      <c r="E221" s="43">
        <f t="shared" si="314"/>
        <v>0</v>
      </c>
      <c r="F221" s="35"/>
      <c r="G221" s="8"/>
      <c r="H221" s="43">
        <f t="shared" si="315"/>
        <v>0</v>
      </c>
      <c r="I221" s="35"/>
      <c r="J221" s="8"/>
      <c r="K221" s="43">
        <f t="shared" si="316"/>
        <v>0</v>
      </c>
      <c r="L221" s="8">
        <f t="shared" si="312"/>
        <v>0</v>
      </c>
      <c r="N221" s="7"/>
      <c r="O221" s="33"/>
      <c r="P221" s="27"/>
      <c r="Q221" s="43">
        <f t="shared" si="321"/>
        <v>0</v>
      </c>
      <c r="R221" s="37"/>
      <c r="S221" s="10"/>
      <c r="T221" s="43">
        <f t="shared" si="322"/>
        <v>0</v>
      </c>
      <c r="U221" s="37"/>
      <c r="V221" s="10"/>
      <c r="W221" s="43">
        <f t="shared" si="323"/>
        <v>0</v>
      </c>
      <c r="X221" s="8">
        <f t="shared" si="324"/>
        <v>0</v>
      </c>
    </row>
    <row r="222" spans="2:25" x14ac:dyDescent="0.15">
      <c r="B222" s="7"/>
      <c r="C222" s="30"/>
      <c r="D222" s="25"/>
      <c r="E222" s="43">
        <f t="shared" si="314"/>
        <v>0</v>
      </c>
      <c r="F222" s="35"/>
      <c r="G222" s="8"/>
      <c r="H222" s="43">
        <f t="shared" si="315"/>
        <v>0</v>
      </c>
      <c r="I222" s="35"/>
      <c r="J222" s="8"/>
      <c r="K222" s="43">
        <f t="shared" si="316"/>
        <v>0</v>
      </c>
      <c r="L222" s="8">
        <f t="shared" si="312"/>
        <v>0</v>
      </c>
      <c r="N222" s="7"/>
      <c r="O222" s="33"/>
      <c r="P222" s="27"/>
      <c r="Q222" s="43">
        <f t="shared" si="321"/>
        <v>0</v>
      </c>
      <c r="R222" s="37"/>
      <c r="S222" s="10"/>
      <c r="T222" s="43">
        <f t="shared" si="322"/>
        <v>0</v>
      </c>
      <c r="U222" s="37"/>
      <c r="V222" s="10"/>
      <c r="W222" s="43">
        <f t="shared" si="323"/>
        <v>0</v>
      </c>
      <c r="X222" s="8">
        <f t="shared" si="324"/>
        <v>0</v>
      </c>
    </row>
    <row r="223" spans="2:25" x14ac:dyDescent="0.15">
      <c r="B223" s="7"/>
      <c r="C223" s="30"/>
      <c r="D223" s="25"/>
      <c r="E223" s="43">
        <f t="shared" si="314"/>
        <v>0</v>
      </c>
      <c r="F223" s="35"/>
      <c r="G223" s="8"/>
      <c r="H223" s="43">
        <f t="shared" si="315"/>
        <v>0</v>
      </c>
      <c r="I223" s="35"/>
      <c r="J223" s="8"/>
      <c r="K223" s="43">
        <f t="shared" si="316"/>
        <v>0</v>
      </c>
      <c r="L223" s="8">
        <f t="shared" si="312"/>
        <v>0</v>
      </c>
      <c r="N223" s="7"/>
      <c r="O223" s="33"/>
      <c r="P223" s="27"/>
      <c r="Q223" s="43">
        <f t="shared" si="321"/>
        <v>0</v>
      </c>
      <c r="R223" s="37"/>
      <c r="S223" s="10"/>
      <c r="T223" s="43">
        <f t="shared" si="322"/>
        <v>0</v>
      </c>
      <c r="U223" s="37"/>
      <c r="V223" s="10"/>
      <c r="W223" s="43">
        <f t="shared" si="323"/>
        <v>0</v>
      </c>
      <c r="X223" s="8">
        <f t="shared" si="324"/>
        <v>0</v>
      </c>
    </row>
    <row r="224" spans="2:25" x14ac:dyDescent="0.15">
      <c r="B224" s="7"/>
      <c r="C224" s="33"/>
      <c r="D224" s="27"/>
      <c r="E224" s="43">
        <f t="shared" si="314"/>
        <v>0</v>
      </c>
      <c r="F224" s="37"/>
      <c r="G224" s="10"/>
      <c r="H224" s="43">
        <f t="shared" si="315"/>
        <v>0</v>
      </c>
      <c r="I224" s="37"/>
      <c r="J224" s="10"/>
      <c r="K224" s="43">
        <f t="shared" si="316"/>
        <v>0</v>
      </c>
      <c r="L224" s="8">
        <f t="shared" si="312"/>
        <v>0</v>
      </c>
      <c r="N224" s="7"/>
      <c r="O224" s="33"/>
      <c r="P224" s="27"/>
      <c r="Q224" s="43">
        <f t="shared" si="321"/>
        <v>0</v>
      </c>
      <c r="R224" s="37"/>
      <c r="S224" s="10"/>
      <c r="T224" s="43">
        <f t="shared" si="322"/>
        <v>0</v>
      </c>
      <c r="U224" s="37"/>
      <c r="V224" s="10"/>
      <c r="W224" s="43">
        <f t="shared" si="323"/>
        <v>0</v>
      </c>
      <c r="X224" s="8">
        <f t="shared" si="324"/>
        <v>0</v>
      </c>
    </row>
    <row r="225" spans="2:25" x14ac:dyDescent="0.15">
      <c r="B225" s="7"/>
      <c r="C225" s="33"/>
      <c r="D225" s="27"/>
      <c r="E225" s="43">
        <f t="shared" si="314"/>
        <v>0</v>
      </c>
      <c r="F225" s="37"/>
      <c r="G225" s="10"/>
      <c r="H225" s="43">
        <f t="shared" si="315"/>
        <v>0</v>
      </c>
      <c r="I225" s="37"/>
      <c r="J225" s="10"/>
      <c r="K225" s="43">
        <f t="shared" si="316"/>
        <v>0</v>
      </c>
      <c r="L225" s="8">
        <f t="shared" si="312"/>
        <v>0</v>
      </c>
      <c r="N225" s="7"/>
      <c r="O225" s="33"/>
      <c r="P225" s="27"/>
      <c r="Q225" s="43">
        <f t="shared" si="321"/>
        <v>0</v>
      </c>
      <c r="R225" s="37"/>
      <c r="S225" s="10"/>
      <c r="T225" s="43">
        <f t="shared" si="322"/>
        <v>0</v>
      </c>
      <c r="U225" s="37"/>
      <c r="V225" s="10"/>
      <c r="W225" s="43">
        <f t="shared" si="323"/>
        <v>0</v>
      </c>
      <c r="X225" s="8">
        <f t="shared" si="324"/>
        <v>0</v>
      </c>
    </row>
    <row r="226" spans="2:25" x14ac:dyDescent="0.15">
      <c r="B226" s="7"/>
      <c r="C226" s="30"/>
      <c r="D226" s="25"/>
      <c r="E226" s="43">
        <f t="shared" si="314"/>
        <v>0</v>
      </c>
      <c r="F226" s="35"/>
      <c r="G226" s="8"/>
      <c r="H226" s="43">
        <f t="shared" si="315"/>
        <v>0</v>
      </c>
      <c r="I226" s="35"/>
      <c r="J226" s="8"/>
      <c r="K226" s="43">
        <f t="shared" si="316"/>
        <v>0</v>
      </c>
      <c r="L226" s="8">
        <f t="shared" si="312"/>
        <v>0</v>
      </c>
      <c r="N226" s="7"/>
      <c r="O226" s="30"/>
      <c r="P226" s="25"/>
      <c r="Q226" s="43">
        <f t="shared" si="321"/>
        <v>0</v>
      </c>
      <c r="R226" s="35"/>
      <c r="S226" s="8"/>
      <c r="T226" s="43">
        <f t="shared" si="322"/>
        <v>0</v>
      </c>
      <c r="U226" s="35"/>
      <c r="V226" s="8"/>
      <c r="W226" s="43">
        <f t="shared" si="323"/>
        <v>0</v>
      </c>
      <c r="X226" s="8">
        <f t="shared" si="324"/>
        <v>0</v>
      </c>
    </row>
    <row r="227" spans="2:25" x14ac:dyDescent="0.15">
      <c r="B227" s="7"/>
      <c r="C227" s="33"/>
      <c r="D227" s="27"/>
      <c r="E227" s="43">
        <f t="shared" si="314"/>
        <v>0</v>
      </c>
      <c r="F227" s="37"/>
      <c r="G227" s="10"/>
      <c r="H227" s="43">
        <f t="shared" si="315"/>
        <v>0</v>
      </c>
      <c r="I227" s="37"/>
      <c r="J227" s="10"/>
      <c r="K227" s="43">
        <f t="shared" si="316"/>
        <v>0</v>
      </c>
      <c r="L227" s="8">
        <f t="shared" si="312"/>
        <v>0</v>
      </c>
      <c r="N227" s="7"/>
      <c r="O227" s="33"/>
      <c r="P227" s="27"/>
      <c r="Q227" s="43">
        <f t="shared" si="321"/>
        <v>0</v>
      </c>
      <c r="R227" s="37"/>
      <c r="S227" s="10"/>
      <c r="T227" s="43">
        <f t="shared" si="322"/>
        <v>0</v>
      </c>
      <c r="U227" s="37"/>
      <c r="V227" s="10"/>
      <c r="W227" s="43">
        <f t="shared" si="323"/>
        <v>0</v>
      </c>
      <c r="X227" s="8">
        <f t="shared" si="324"/>
        <v>0</v>
      </c>
    </row>
    <row r="228" spans="2:25" x14ac:dyDescent="0.15">
      <c r="B228" s="7"/>
      <c r="C228" s="33"/>
      <c r="D228" s="27"/>
      <c r="E228" s="43">
        <f t="shared" si="314"/>
        <v>0</v>
      </c>
      <c r="F228" s="37"/>
      <c r="G228" s="10"/>
      <c r="H228" s="43">
        <f t="shared" si="315"/>
        <v>0</v>
      </c>
      <c r="I228" s="37"/>
      <c r="J228" s="10"/>
      <c r="K228" s="43">
        <f t="shared" si="316"/>
        <v>0</v>
      </c>
      <c r="L228" s="8">
        <f t="shared" si="312"/>
        <v>0</v>
      </c>
      <c r="N228" s="7"/>
      <c r="O228" s="33"/>
      <c r="P228" s="27"/>
      <c r="Q228" s="43">
        <f t="shared" si="321"/>
        <v>0</v>
      </c>
      <c r="R228" s="37"/>
      <c r="S228" s="10"/>
      <c r="T228" s="43">
        <f t="shared" si="322"/>
        <v>0</v>
      </c>
      <c r="U228" s="37"/>
      <c r="V228" s="10"/>
      <c r="W228" s="43">
        <f t="shared" si="323"/>
        <v>0</v>
      </c>
      <c r="X228" s="8">
        <f t="shared" si="324"/>
        <v>0</v>
      </c>
    </row>
    <row r="229" spans="2:25" x14ac:dyDescent="0.15">
      <c r="B229" s="7"/>
      <c r="C229" s="33"/>
      <c r="D229" s="27"/>
      <c r="E229" s="43">
        <f t="shared" si="314"/>
        <v>0</v>
      </c>
      <c r="F229" s="37"/>
      <c r="G229" s="10"/>
      <c r="H229" s="43">
        <f t="shared" si="315"/>
        <v>0</v>
      </c>
      <c r="I229" s="37"/>
      <c r="J229" s="10"/>
      <c r="K229" s="43">
        <f t="shared" si="316"/>
        <v>0</v>
      </c>
      <c r="L229" s="8">
        <f t="shared" si="312"/>
        <v>0</v>
      </c>
      <c r="N229" s="7"/>
      <c r="O229" s="33"/>
      <c r="P229" s="27"/>
      <c r="Q229" s="43">
        <f t="shared" si="321"/>
        <v>0</v>
      </c>
      <c r="R229" s="37"/>
      <c r="S229" s="10"/>
      <c r="T229" s="43">
        <f t="shared" si="322"/>
        <v>0</v>
      </c>
      <c r="U229" s="37"/>
      <c r="V229" s="10"/>
      <c r="W229" s="43">
        <f t="shared" si="323"/>
        <v>0</v>
      </c>
      <c r="X229" s="8">
        <f t="shared" si="324"/>
        <v>0</v>
      </c>
    </row>
    <row r="230" spans="2:25" x14ac:dyDescent="0.15">
      <c r="B230" s="7"/>
      <c r="C230" s="33"/>
      <c r="D230" s="27"/>
      <c r="E230" s="43">
        <f t="shared" si="314"/>
        <v>0</v>
      </c>
      <c r="F230" s="37"/>
      <c r="G230" s="10"/>
      <c r="H230" s="43">
        <f t="shared" si="315"/>
        <v>0</v>
      </c>
      <c r="I230" s="37"/>
      <c r="J230" s="10"/>
      <c r="K230" s="43">
        <f t="shared" si="316"/>
        <v>0</v>
      </c>
      <c r="L230" s="8">
        <f t="shared" si="312"/>
        <v>0</v>
      </c>
      <c r="N230" s="7"/>
      <c r="O230" s="33"/>
      <c r="P230" s="27"/>
      <c r="Q230" s="43">
        <f t="shared" si="321"/>
        <v>0</v>
      </c>
      <c r="R230" s="37"/>
      <c r="S230" s="10"/>
      <c r="T230" s="43">
        <f t="shared" si="322"/>
        <v>0</v>
      </c>
      <c r="U230" s="37"/>
      <c r="V230" s="10"/>
      <c r="W230" s="43">
        <f t="shared" si="323"/>
        <v>0</v>
      </c>
      <c r="X230" s="8">
        <f t="shared" si="324"/>
        <v>0</v>
      </c>
    </row>
    <row r="231" spans="2:25" x14ac:dyDescent="0.15">
      <c r="B231" s="7"/>
      <c r="C231" s="33"/>
      <c r="D231" s="27"/>
      <c r="E231" s="43">
        <f t="shared" si="314"/>
        <v>0</v>
      </c>
      <c r="F231" s="37"/>
      <c r="G231" s="10"/>
      <c r="H231" s="43">
        <f t="shared" si="315"/>
        <v>0</v>
      </c>
      <c r="I231" s="37"/>
      <c r="J231" s="10"/>
      <c r="K231" s="43">
        <f t="shared" si="316"/>
        <v>0</v>
      </c>
      <c r="L231" s="8">
        <f t="shared" si="312"/>
        <v>0</v>
      </c>
      <c r="N231" s="7"/>
      <c r="O231" s="33"/>
      <c r="P231" s="27"/>
      <c r="Q231" s="43">
        <f t="shared" si="321"/>
        <v>0</v>
      </c>
      <c r="R231" s="37"/>
      <c r="S231" s="10"/>
      <c r="T231" s="43">
        <f t="shared" si="322"/>
        <v>0</v>
      </c>
      <c r="U231" s="37"/>
      <c r="V231" s="10"/>
      <c r="W231" s="43">
        <f t="shared" si="323"/>
        <v>0</v>
      </c>
      <c r="X231" s="8">
        <f t="shared" si="324"/>
        <v>0</v>
      </c>
    </row>
    <row r="232" spans="2:25" x14ac:dyDescent="0.15">
      <c r="B232" s="7"/>
      <c r="C232" s="33"/>
      <c r="D232" s="27"/>
      <c r="E232" s="43">
        <f t="shared" si="314"/>
        <v>0</v>
      </c>
      <c r="F232" s="37"/>
      <c r="G232" s="10"/>
      <c r="H232" s="43">
        <f t="shared" si="315"/>
        <v>0</v>
      </c>
      <c r="I232" s="37"/>
      <c r="J232" s="10"/>
      <c r="K232" s="43">
        <f t="shared" si="316"/>
        <v>0</v>
      </c>
      <c r="L232" s="8">
        <f t="shared" si="312"/>
        <v>0</v>
      </c>
      <c r="N232" s="7"/>
      <c r="O232" s="33"/>
      <c r="P232" s="27"/>
      <c r="Q232" s="43">
        <f t="shared" si="321"/>
        <v>0</v>
      </c>
      <c r="R232" s="37"/>
      <c r="S232" s="10"/>
      <c r="T232" s="43">
        <f t="shared" si="322"/>
        <v>0</v>
      </c>
      <c r="U232" s="37"/>
      <c r="V232" s="10"/>
      <c r="W232" s="43">
        <f t="shared" si="323"/>
        <v>0</v>
      </c>
      <c r="X232" s="8">
        <f t="shared" si="324"/>
        <v>0</v>
      </c>
    </row>
    <row r="233" spans="2:25" x14ac:dyDescent="0.15">
      <c r="B233" s="7"/>
      <c r="C233" s="30"/>
      <c r="D233" s="25"/>
      <c r="E233" s="43">
        <f t="shared" si="314"/>
        <v>0</v>
      </c>
      <c r="F233" s="35"/>
      <c r="G233" s="8"/>
      <c r="H233" s="43">
        <f t="shared" si="315"/>
        <v>0</v>
      </c>
      <c r="I233" s="35"/>
      <c r="J233" s="8"/>
      <c r="K233" s="43">
        <f t="shared" si="316"/>
        <v>0</v>
      </c>
      <c r="L233" s="8">
        <f t="shared" si="312"/>
        <v>0</v>
      </c>
      <c r="N233" s="7"/>
      <c r="O233" s="30"/>
      <c r="P233" s="25"/>
      <c r="Q233" s="43">
        <f t="shared" si="321"/>
        <v>0</v>
      </c>
      <c r="R233" s="35"/>
      <c r="S233" s="8"/>
      <c r="T233" s="43">
        <f t="shared" si="322"/>
        <v>0</v>
      </c>
      <c r="U233" s="35"/>
      <c r="V233" s="8"/>
      <c r="W233" s="43">
        <f t="shared" si="323"/>
        <v>0</v>
      </c>
      <c r="X233" s="8">
        <f t="shared" si="324"/>
        <v>0</v>
      </c>
    </row>
    <row r="234" spans="2:25" x14ac:dyDescent="0.15">
      <c r="B234" s="7"/>
      <c r="C234" s="30"/>
      <c r="D234" s="25"/>
      <c r="E234" s="43">
        <f t="shared" si="314"/>
        <v>0</v>
      </c>
      <c r="F234" s="35"/>
      <c r="G234" s="8"/>
      <c r="H234" s="43">
        <f t="shared" si="315"/>
        <v>0</v>
      </c>
      <c r="I234" s="35"/>
      <c r="J234" s="8"/>
      <c r="K234" s="43">
        <f t="shared" si="316"/>
        <v>0</v>
      </c>
      <c r="L234" s="8">
        <f t="shared" si="312"/>
        <v>0</v>
      </c>
      <c r="N234" s="7"/>
      <c r="O234" s="30"/>
      <c r="P234" s="25"/>
      <c r="Q234" s="43">
        <f t="shared" si="321"/>
        <v>0</v>
      </c>
      <c r="R234" s="35"/>
      <c r="S234" s="8"/>
      <c r="T234" s="43">
        <f t="shared" si="322"/>
        <v>0</v>
      </c>
      <c r="U234" s="35"/>
      <c r="V234" s="8"/>
      <c r="W234" s="43">
        <f t="shared" si="323"/>
        <v>0</v>
      </c>
      <c r="X234" s="8">
        <f t="shared" si="324"/>
        <v>0</v>
      </c>
    </row>
    <row r="235" spans="2:25" x14ac:dyDescent="0.15">
      <c r="B235" s="7"/>
      <c r="C235" s="30"/>
      <c r="D235" s="25"/>
      <c r="E235" s="43">
        <f t="shared" si="314"/>
        <v>0</v>
      </c>
      <c r="F235" s="35"/>
      <c r="G235" s="8"/>
      <c r="H235" s="43">
        <f t="shared" si="315"/>
        <v>0</v>
      </c>
      <c r="I235" s="35"/>
      <c r="J235" s="8"/>
      <c r="K235" s="43">
        <f t="shared" si="316"/>
        <v>0</v>
      </c>
      <c r="L235" s="8">
        <f t="shared" si="312"/>
        <v>0</v>
      </c>
      <c r="N235" s="7"/>
      <c r="O235" s="30"/>
      <c r="P235" s="25"/>
      <c r="Q235" s="43">
        <f t="shared" si="321"/>
        <v>0</v>
      </c>
      <c r="R235" s="35"/>
      <c r="S235" s="8"/>
      <c r="T235" s="43">
        <f t="shared" si="322"/>
        <v>0</v>
      </c>
      <c r="U235" s="35"/>
      <c r="V235" s="8"/>
      <c r="W235" s="43">
        <f t="shared" si="323"/>
        <v>0</v>
      </c>
      <c r="X235" s="8">
        <f t="shared" si="324"/>
        <v>0</v>
      </c>
    </row>
    <row r="236" spans="2:25" x14ac:dyDescent="0.15">
      <c r="B236" s="7"/>
      <c r="C236" s="30"/>
      <c r="D236" s="25"/>
      <c r="E236" s="43">
        <f t="shared" si="314"/>
        <v>0</v>
      </c>
      <c r="F236" s="35"/>
      <c r="G236" s="8"/>
      <c r="H236" s="43">
        <f t="shared" si="315"/>
        <v>0</v>
      </c>
      <c r="I236" s="35"/>
      <c r="J236" s="8"/>
      <c r="K236" s="43">
        <f t="shared" si="316"/>
        <v>0</v>
      </c>
      <c r="L236" s="8">
        <f t="shared" si="312"/>
        <v>0</v>
      </c>
      <c r="N236" s="7"/>
      <c r="O236" s="30"/>
      <c r="P236" s="25"/>
      <c r="Q236" s="43">
        <f t="shared" si="321"/>
        <v>0</v>
      </c>
      <c r="R236" s="35"/>
      <c r="S236" s="8"/>
      <c r="T236" s="43">
        <f t="shared" si="322"/>
        <v>0</v>
      </c>
      <c r="U236" s="35"/>
      <c r="V236" s="8"/>
      <c r="W236" s="43">
        <f t="shared" si="323"/>
        <v>0</v>
      </c>
      <c r="X236" s="8">
        <f t="shared" si="324"/>
        <v>0</v>
      </c>
    </row>
    <row r="237" spans="2:25" x14ac:dyDescent="0.15">
      <c r="B237" s="7"/>
      <c r="C237" s="30"/>
      <c r="D237" s="25"/>
      <c r="E237" s="43">
        <f t="shared" si="314"/>
        <v>0</v>
      </c>
      <c r="F237" s="35"/>
      <c r="G237" s="8"/>
      <c r="H237" s="43">
        <f t="shared" si="315"/>
        <v>0</v>
      </c>
      <c r="I237" s="35"/>
      <c r="J237" s="8"/>
      <c r="K237" s="43">
        <f t="shared" si="316"/>
        <v>0</v>
      </c>
      <c r="L237" s="8">
        <f t="shared" si="312"/>
        <v>0</v>
      </c>
      <c r="N237" s="7"/>
      <c r="O237" s="30"/>
      <c r="P237" s="25"/>
      <c r="Q237" s="43">
        <f t="shared" si="321"/>
        <v>0</v>
      </c>
      <c r="R237" s="35"/>
      <c r="S237" s="8"/>
      <c r="T237" s="43">
        <f t="shared" si="322"/>
        <v>0</v>
      </c>
      <c r="U237" s="35"/>
      <c r="V237" s="8"/>
      <c r="W237" s="43">
        <f t="shared" si="323"/>
        <v>0</v>
      </c>
      <c r="X237" s="8">
        <f t="shared" si="324"/>
        <v>0</v>
      </c>
    </row>
    <row r="238" spans="2:25" ht="14.25" thickBot="1" x14ac:dyDescent="0.2">
      <c r="B238" s="7"/>
      <c r="C238" s="30"/>
      <c r="D238" s="25"/>
      <c r="E238" s="43">
        <f t="shared" si="314"/>
        <v>0</v>
      </c>
      <c r="F238" s="35"/>
      <c r="G238" s="8"/>
      <c r="H238" s="43">
        <f t="shared" si="315"/>
        <v>0</v>
      </c>
      <c r="I238" s="35"/>
      <c r="J238" s="8"/>
      <c r="K238" s="43">
        <f t="shared" si="316"/>
        <v>0</v>
      </c>
      <c r="L238" s="8">
        <f t="shared" si="312"/>
        <v>0</v>
      </c>
      <c r="M238" s="53"/>
      <c r="N238" s="7"/>
      <c r="O238" s="30"/>
      <c r="P238" s="25"/>
      <c r="Q238" s="43">
        <f t="shared" si="321"/>
        <v>0</v>
      </c>
      <c r="R238" s="35"/>
      <c r="S238" s="8"/>
      <c r="T238" s="43">
        <f t="shared" si="322"/>
        <v>0</v>
      </c>
      <c r="U238" s="35"/>
      <c r="V238" s="8"/>
      <c r="W238" s="43">
        <f t="shared" si="323"/>
        <v>0</v>
      </c>
      <c r="X238" s="8">
        <f t="shared" si="324"/>
        <v>0</v>
      </c>
    </row>
    <row r="239" spans="2:25" ht="14.25" thickBot="1" x14ac:dyDescent="0.2">
      <c r="B239" s="5" t="s">
        <v>1</v>
      </c>
      <c r="C239" s="32">
        <f>SUM(C214:C238)</f>
        <v>6</v>
      </c>
      <c r="D239" s="19">
        <f>SUM(D214:D238)</f>
        <v>8</v>
      </c>
      <c r="E239" s="44">
        <f t="shared" si="314"/>
        <v>14</v>
      </c>
      <c r="F239" s="32">
        <f>SUM(F214:F238)</f>
        <v>6</v>
      </c>
      <c r="G239" s="19">
        <f>SUM(G214:G238)</f>
        <v>8</v>
      </c>
      <c r="H239" s="44">
        <f t="shared" si="315"/>
        <v>14</v>
      </c>
      <c r="I239" s="32">
        <f>SUM(I214:I238)</f>
        <v>6</v>
      </c>
      <c r="J239" s="19">
        <f>SUM(J214:J238)</f>
        <v>9</v>
      </c>
      <c r="K239" s="44">
        <f t="shared" si="316"/>
        <v>15</v>
      </c>
      <c r="L239" s="4">
        <f t="shared" si="312"/>
        <v>43</v>
      </c>
      <c r="N239" s="5" t="s">
        <v>1</v>
      </c>
      <c r="O239" s="32">
        <f>SUM(O214:O238)</f>
        <v>51</v>
      </c>
      <c r="P239" s="19">
        <f t="shared" ref="P239" si="342">SUM(P214:P238)</f>
        <v>61</v>
      </c>
      <c r="Q239" s="44">
        <f t="shared" ref="Q239" si="343">SUM(Q214:Q238)</f>
        <v>112</v>
      </c>
      <c r="R239" s="32">
        <f t="shared" ref="R239" si="344">SUM(R214:R238)</f>
        <v>51</v>
      </c>
      <c r="S239" s="19">
        <f t="shared" ref="S239" si="345">SUM(S214:S238)</f>
        <v>63</v>
      </c>
      <c r="T239" s="44">
        <f t="shared" ref="T239" si="346">SUM(T214:T238)</f>
        <v>114</v>
      </c>
      <c r="U239" s="32">
        <f t="shared" ref="U239" si="347">SUM(U214:U238)</f>
        <v>50</v>
      </c>
      <c r="V239" s="19">
        <f t="shared" ref="V239" si="348">SUM(V214:V238)</f>
        <v>29</v>
      </c>
      <c r="W239" s="44">
        <f t="shared" ref="W239" si="349">SUM(W214:W238)</f>
        <v>79</v>
      </c>
      <c r="X239" s="4">
        <f t="shared" ref="X239" si="350">SUM(X214:X238)</f>
        <v>305</v>
      </c>
    </row>
    <row r="240" spans="2:25" ht="14.25" thickBot="1" x14ac:dyDescent="0.2">
      <c r="B240" s="3" t="s">
        <v>0</v>
      </c>
      <c r="C240" s="34">
        <f>+C213-C239</f>
        <v>0</v>
      </c>
      <c r="D240" s="2">
        <f>+D213-D239</f>
        <v>0</v>
      </c>
      <c r="E240" s="45">
        <f t="shared" si="314"/>
        <v>0</v>
      </c>
      <c r="F240" s="34">
        <f>+F213-F239</f>
        <v>0</v>
      </c>
      <c r="G240" s="2">
        <f>+G213-G239</f>
        <v>0</v>
      </c>
      <c r="H240" s="45">
        <f t="shared" si="315"/>
        <v>0</v>
      </c>
      <c r="I240" s="34">
        <f>+I213-I239</f>
        <v>0</v>
      </c>
      <c r="J240" s="2">
        <f>+J213-J239</f>
        <v>0</v>
      </c>
      <c r="K240" s="45">
        <f t="shared" si="316"/>
        <v>0</v>
      </c>
      <c r="L240" s="2">
        <f t="shared" si="312"/>
        <v>0</v>
      </c>
      <c r="N240" s="3" t="s">
        <v>0</v>
      </c>
      <c r="O240" s="34">
        <f>+O213-O239</f>
        <v>0</v>
      </c>
      <c r="P240" s="2">
        <f t="shared" ref="P240" si="351">+P213-P239</f>
        <v>0</v>
      </c>
      <c r="Q240" s="45">
        <f t="shared" ref="Q240" si="352">+Q213-Q239</f>
        <v>0</v>
      </c>
      <c r="R240" s="34">
        <f t="shared" ref="R240" si="353">+R213-R239</f>
        <v>0</v>
      </c>
      <c r="S240" s="2">
        <f t="shared" ref="S240" si="354">+S213-S239</f>
        <v>0</v>
      </c>
      <c r="T240" s="45">
        <f t="shared" ref="T240" si="355">+T213-T239</f>
        <v>0</v>
      </c>
      <c r="U240" s="34">
        <f t="shared" ref="U240" si="356">+U213-U239</f>
        <v>0</v>
      </c>
      <c r="V240" s="2">
        <f t="shared" ref="V240" si="357">+V213-V239</f>
        <v>0</v>
      </c>
      <c r="W240" s="45">
        <f t="shared" ref="W240" si="358">+W213-W239</f>
        <v>0</v>
      </c>
      <c r="X240" s="2">
        <f t="shared" ref="X240" si="359">+X213-X239</f>
        <v>0</v>
      </c>
      <c r="Y240" s="52" t="s">
        <v>179</v>
      </c>
    </row>
    <row r="241" spans="2:27" x14ac:dyDescent="0.15">
      <c r="O241" s="89">
        <f>O239+O198+O160</f>
        <v>191</v>
      </c>
      <c r="P241" s="89">
        <f t="shared" ref="P241:X241" si="360">P239+P198+P160</f>
        <v>208</v>
      </c>
      <c r="Q241" s="89">
        <f t="shared" si="360"/>
        <v>399</v>
      </c>
      <c r="R241" s="89">
        <f t="shared" si="360"/>
        <v>225</v>
      </c>
      <c r="S241" s="89">
        <f t="shared" si="360"/>
        <v>246</v>
      </c>
      <c r="T241" s="89">
        <f t="shared" si="360"/>
        <v>471</v>
      </c>
      <c r="U241" s="89">
        <f t="shared" si="360"/>
        <v>254</v>
      </c>
      <c r="V241" s="89">
        <f t="shared" si="360"/>
        <v>242</v>
      </c>
      <c r="W241" s="89">
        <f t="shared" si="360"/>
        <v>496</v>
      </c>
      <c r="X241" s="89">
        <f t="shared" si="360"/>
        <v>1366</v>
      </c>
    </row>
    <row r="242" spans="2:27" x14ac:dyDescent="0.15">
      <c r="O242" s="87">
        <f>O241/$Q$241*100</f>
        <v>47.869674185463658</v>
      </c>
      <c r="P242" s="87">
        <f t="shared" ref="P242:Q242" si="361">P241/$Q$241*100</f>
        <v>52.130325814536334</v>
      </c>
      <c r="Q242" s="87">
        <f t="shared" si="361"/>
        <v>100</v>
      </c>
      <c r="R242" s="87">
        <f>R241/$T$241*100</f>
        <v>47.770700636942678</v>
      </c>
      <c r="S242" s="87">
        <f t="shared" ref="S242:T242" si="362">S241/$T$241*100</f>
        <v>52.229299363057322</v>
      </c>
      <c r="T242" s="87">
        <f t="shared" si="362"/>
        <v>100</v>
      </c>
      <c r="U242" s="87">
        <f>U241/$W$241*100</f>
        <v>51.20967741935484</v>
      </c>
      <c r="V242" s="87">
        <f t="shared" ref="V242:W242" si="363">V241/$W$241*100</f>
        <v>48.79032258064516</v>
      </c>
      <c r="W242" s="87">
        <f t="shared" si="363"/>
        <v>100</v>
      </c>
    </row>
    <row r="243" spans="2:27" x14ac:dyDescent="0.15">
      <c r="O243" s="91">
        <f>O241/$X$241*100</f>
        <v>13.982430453879941</v>
      </c>
      <c r="P243" s="91">
        <f t="shared" ref="P243:X243" si="364">P241/$X$241*100</f>
        <v>15.226939970717424</v>
      </c>
      <c r="Q243" s="91">
        <f t="shared" si="364"/>
        <v>29.209370424597363</v>
      </c>
      <c r="R243" s="91">
        <f t="shared" si="364"/>
        <v>16.471449487554903</v>
      </c>
      <c r="S243" s="91">
        <f t="shared" si="364"/>
        <v>18.008784773060029</v>
      </c>
      <c r="T243" s="91">
        <f t="shared" si="364"/>
        <v>34.480234260614935</v>
      </c>
      <c r="U243" s="91">
        <f t="shared" si="364"/>
        <v>18.594436310395317</v>
      </c>
      <c r="V243" s="91">
        <f t="shared" si="364"/>
        <v>17.715959004392388</v>
      </c>
      <c r="W243" s="91">
        <f t="shared" si="364"/>
        <v>36.310395314787705</v>
      </c>
      <c r="X243" s="91">
        <f t="shared" si="364"/>
        <v>100</v>
      </c>
    </row>
    <row r="244" spans="2:27" ht="39.75" customHeight="1" x14ac:dyDescent="0.3">
      <c r="B244" s="93"/>
      <c r="C244" s="92"/>
      <c r="D244" s="92"/>
      <c r="E244" s="95" t="s">
        <v>111</v>
      </c>
      <c r="F244" s="95"/>
      <c r="G244" s="95"/>
      <c r="H244" s="95"/>
      <c r="I244" s="95"/>
      <c r="J244" s="95"/>
      <c r="K244" s="95"/>
      <c r="L244" s="95"/>
      <c r="M244" s="9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6"/>
    </row>
    <row r="245" spans="2:27" ht="18.75" x14ac:dyDescent="0.2">
      <c r="B245" s="23" t="s">
        <v>11</v>
      </c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N245" s="47" t="s">
        <v>25</v>
      </c>
      <c r="O245" s="48"/>
      <c r="P245" s="48"/>
      <c r="Q245" s="48"/>
      <c r="R245" s="48"/>
      <c r="S245" s="48"/>
      <c r="T245" s="48"/>
      <c r="U245" s="48"/>
      <c r="V245" s="48"/>
      <c r="W245" s="48"/>
      <c r="X245" s="48"/>
    </row>
    <row r="246" spans="2:27" ht="15" thickBot="1" x14ac:dyDescent="0.2">
      <c r="B246" s="22" t="s">
        <v>147</v>
      </c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N246" s="49" t="s">
        <v>148</v>
      </c>
      <c r="O246" s="48"/>
      <c r="P246" s="48"/>
      <c r="Q246" s="48"/>
      <c r="R246" s="48"/>
      <c r="S246" s="48"/>
      <c r="T246" s="48"/>
      <c r="U246" s="48"/>
      <c r="V246" s="48"/>
      <c r="W246" s="48"/>
      <c r="X246" s="48"/>
    </row>
    <row r="247" spans="2:27" ht="14.25" thickBot="1" x14ac:dyDescent="0.2">
      <c r="B247" s="20"/>
      <c r="C247" s="208" t="s">
        <v>9</v>
      </c>
      <c r="D247" s="209"/>
      <c r="E247" s="210"/>
      <c r="F247" s="208" t="s">
        <v>8</v>
      </c>
      <c r="G247" s="209"/>
      <c r="H247" s="210"/>
      <c r="I247" s="208" t="s">
        <v>7</v>
      </c>
      <c r="J247" s="209"/>
      <c r="K247" s="210"/>
      <c r="L247" s="19"/>
      <c r="N247" s="20"/>
      <c r="O247" s="208" t="s">
        <v>112</v>
      </c>
      <c r="P247" s="209"/>
      <c r="Q247" s="210"/>
      <c r="R247" s="208" t="s">
        <v>113</v>
      </c>
      <c r="S247" s="209"/>
      <c r="T247" s="210"/>
      <c r="U247" s="208" t="s">
        <v>114</v>
      </c>
      <c r="V247" s="209"/>
      <c r="W247" s="210"/>
      <c r="X247" s="19"/>
    </row>
    <row r="248" spans="2:27" ht="14.25" thickBot="1" x14ac:dyDescent="0.2">
      <c r="B248" s="18"/>
      <c r="C248" s="50" t="s">
        <v>6</v>
      </c>
      <c r="D248" s="46" t="s">
        <v>5</v>
      </c>
      <c r="E248" s="94" t="s">
        <v>4</v>
      </c>
      <c r="F248" s="50" t="s">
        <v>6</v>
      </c>
      <c r="G248" s="46" t="s">
        <v>5</v>
      </c>
      <c r="H248" s="51" t="s">
        <v>4</v>
      </c>
      <c r="I248" s="50" t="s">
        <v>6</v>
      </c>
      <c r="J248" s="46" t="s">
        <v>5</v>
      </c>
      <c r="K248" s="51" t="s">
        <v>4</v>
      </c>
      <c r="L248" s="46" t="s">
        <v>4</v>
      </c>
      <c r="N248" s="5"/>
      <c r="O248" s="50" t="s">
        <v>6</v>
      </c>
      <c r="P248" s="46" t="s">
        <v>5</v>
      </c>
      <c r="Q248" s="51" t="s">
        <v>4</v>
      </c>
      <c r="R248" s="50" t="s">
        <v>6</v>
      </c>
      <c r="S248" s="46" t="s">
        <v>5</v>
      </c>
      <c r="T248" s="51" t="s">
        <v>4</v>
      </c>
      <c r="U248" s="50" t="s">
        <v>6</v>
      </c>
      <c r="V248" s="46" t="s">
        <v>5</v>
      </c>
      <c r="W248" s="51" t="s">
        <v>4</v>
      </c>
      <c r="X248" s="46" t="s">
        <v>4</v>
      </c>
    </row>
    <row r="249" spans="2:27" x14ac:dyDescent="0.15">
      <c r="B249" s="12" t="s">
        <v>17</v>
      </c>
      <c r="C249" s="35">
        <v>5</v>
      </c>
      <c r="D249" s="8">
        <v>5</v>
      </c>
      <c r="E249" s="64">
        <f t="shared" ref="E249:E282" si="365">SUM(C249:D249)</f>
        <v>10</v>
      </c>
      <c r="F249" s="35">
        <v>5</v>
      </c>
      <c r="G249" s="8">
        <v>5</v>
      </c>
      <c r="H249" s="64">
        <f t="shared" ref="H249:H250" si="366">SUM(F249:G249)</f>
        <v>10</v>
      </c>
      <c r="I249" s="35">
        <v>5</v>
      </c>
      <c r="J249" s="8">
        <v>5</v>
      </c>
      <c r="K249" s="64">
        <f t="shared" ref="K249:K250" si="367">SUM(I249:J249)</f>
        <v>10</v>
      </c>
      <c r="L249" s="65">
        <f t="shared" ref="L249:L282" si="368">SUM(K249,H249,E249)</f>
        <v>30</v>
      </c>
      <c r="M249" s="53">
        <v>45306</v>
      </c>
      <c r="N249" s="55" t="s">
        <v>139</v>
      </c>
      <c r="O249" s="78">
        <v>50</v>
      </c>
      <c r="P249" s="82">
        <v>50</v>
      </c>
      <c r="Q249" s="64">
        <f t="shared" ref="Q249:Q251" si="369">SUM(O249:P249)</f>
        <v>100</v>
      </c>
      <c r="R249" s="78">
        <v>50</v>
      </c>
      <c r="S249" s="82">
        <v>50</v>
      </c>
      <c r="T249" s="64">
        <f t="shared" ref="T249:T251" si="370">SUM(R249:S249)</f>
        <v>100</v>
      </c>
      <c r="U249" s="78">
        <v>50</v>
      </c>
      <c r="V249" s="82">
        <v>50</v>
      </c>
      <c r="W249" s="64">
        <f t="shared" ref="W249:W251" si="371">SUM(U249:V249)</f>
        <v>100</v>
      </c>
      <c r="X249" s="8">
        <f t="shared" ref="X249:X251" si="372">SUM(W249,T249,Q249)</f>
        <v>300</v>
      </c>
      <c r="Y249" s="53" t="s">
        <v>149</v>
      </c>
    </row>
    <row r="250" spans="2:27" x14ac:dyDescent="0.15">
      <c r="B250" s="16" t="s">
        <v>91</v>
      </c>
      <c r="C250" s="30"/>
      <c r="D250" s="25"/>
      <c r="E250" s="40">
        <f t="shared" ref="E250" si="373">SUM(C250:D250)</f>
        <v>0</v>
      </c>
      <c r="F250" s="35"/>
      <c r="G250" s="8"/>
      <c r="H250" s="40">
        <f t="shared" si="366"/>
        <v>0</v>
      </c>
      <c r="I250" s="35"/>
      <c r="J250" s="8">
        <v>-2</v>
      </c>
      <c r="K250" s="40">
        <f t="shared" si="367"/>
        <v>-2</v>
      </c>
      <c r="L250" s="9">
        <f t="shared" ref="L250" si="374">SUM(K250,H250,E250)</f>
        <v>-2</v>
      </c>
      <c r="M250" s="53">
        <v>45376</v>
      </c>
      <c r="N250" s="16" t="s">
        <v>169</v>
      </c>
      <c r="O250" s="62"/>
      <c r="P250" s="81"/>
      <c r="Q250" s="40">
        <f t="shared" si="369"/>
        <v>0</v>
      </c>
      <c r="R250" s="78"/>
      <c r="S250" s="82"/>
      <c r="T250" s="40">
        <f t="shared" si="370"/>
        <v>0</v>
      </c>
      <c r="U250" s="78">
        <v>10</v>
      </c>
      <c r="V250" s="82"/>
      <c r="W250" s="40">
        <f t="shared" si="371"/>
        <v>10</v>
      </c>
      <c r="X250" s="25">
        <f t="shared" si="372"/>
        <v>10</v>
      </c>
      <c r="Y250" s="53">
        <v>45366</v>
      </c>
    </row>
    <row r="251" spans="2:27" x14ac:dyDescent="0.15">
      <c r="B251" s="16" t="s">
        <v>3</v>
      </c>
      <c r="C251" s="30"/>
      <c r="D251" s="25"/>
      <c r="E251" s="40">
        <f t="shared" si="365"/>
        <v>0</v>
      </c>
      <c r="F251" s="35"/>
      <c r="G251" s="8"/>
      <c r="H251" s="40">
        <f t="shared" ref="H251:H282" si="375">SUM(F251:G251)</f>
        <v>0</v>
      </c>
      <c r="I251" s="35"/>
      <c r="J251" s="8">
        <v>2</v>
      </c>
      <c r="K251" s="40">
        <f t="shared" ref="K251:K282" si="376">SUM(I251:J251)</f>
        <v>2</v>
      </c>
      <c r="L251" s="9">
        <f t="shared" si="368"/>
        <v>2</v>
      </c>
      <c r="M251" s="53">
        <v>45377</v>
      </c>
      <c r="N251" s="16" t="s">
        <v>169</v>
      </c>
      <c r="O251" s="62"/>
      <c r="P251" s="81"/>
      <c r="Q251" s="40">
        <f t="shared" si="369"/>
        <v>0</v>
      </c>
      <c r="R251" s="78"/>
      <c r="S251" s="82">
        <v>13</v>
      </c>
      <c r="T251" s="40">
        <f t="shared" si="370"/>
        <v>13</v>
      </c>
      <c r="U251" s="78">
        <v>11</v>
      </c>
      <c r="V251" s="82">
        <v>14</v>
      </c>
      <c r="W251" s="40">
        <f t="shared" si="371"/>
        <v>25</v>
      </c>
      <c r="X251" s="25">
        <f t="shared" si="372"/>
        <v>38</v>
      </c>
      <c r="Y251" s="53">
        <v>45373</v>
      </c>
    </row>
    <row r="252" spans="2:27" x14ac:dyDescent="0.15">
      <c r="B252" s="16" t="s">
        <v>3</v>
      </c>
      <c r="C252" s="30">
        <v>9</v>
      </c>
      <c r="D252" s="25">
        <v>9</v>
      </c>
      <c r="E252" s="40">
        <f t="shared" si="365"/>
        <v>18</v>
      </c>
      <c r="F252" s="35"/>
      <c r="G252" s="8"/>
      <c r="H252" s="40">
        <f t="shared" si="375"/>
        <v>0</v>
      </c>
      <c r="I252" s="35"/>
      <c r="J252" s="8">
        <v>1</v>
      </c>
      <c r="K252" s="40">
        <f t="shared" si="376"/>
        <v>1</v>
      </c>
      <c r="L252" s="9">
        <f t="shared" si="368"/>
        <v>19</v>
      </c>
      <c r="M252" s="53">
        <v>45381</v>
      </c>
      <c r="N252" s="16" t="s">
        <v>169</v>
      </c>
      <c r="O252" s="62"/>
      <c r="P252" s="81"/>
      <c r="Q252" s="40">
        <f t="shared" ref="Q252:Q274" si="377">SUM(O252:P252)</f>
        <v>0</v>
      </c>
      <c r="R252" s="78">
        <v>8</v>
      </c>
      <c r="S252" s="82"/>
      <c r="T252" s="40">
        <f t="shared" ref="T252:T280" si="378">SUM(R252:S252)</f>
        <v>8</v>
      </c>
      <c r="U252" s="78">
        <v>5</v>
      </c>
      <c r="V252" s="82"/>
      <c r="W252" s="40">
        <f t="shared" ref="W252:W274" si="379">SUM(U252:V252)</f>
        <v>5</v>
      </c>
      <c r="X252" s="25">
        <f t="shared" ref="X252:X280" si="380">SUM(W252,T252,Q252)</f>
        <v>13</v>
      </c>
      <c r="Y252" s="53">
        <v>45381</v>
      </c>
    </row>
    <row r="253" spans="2:27" x14ac:dyDescent="0.15">
      <c r="B253" s="16" t="s">
        <v>3</v>
      </c>
      <c r="C253" s="30"/>
      <c r="D253" s="25"/>
      <c r="E253" s="40">
        <f t="shared" si="365"/>
        <v>0</v>
      </c>
      <c r="F253" s="30">
        <v>15</v>
      </c>
      <c r="G253" s="25">
        <v>15</v>
      </c>
      <c r="H253" s="40">
        <f t="shared" ref="H253" si="381">SUM(F253:G253)</f>
        <v>30</v>
      </c>
      <c r="I253" s="30">
        <v>20</v>
      </c>
      <c r="J253" s="25">
        <v>20</v>
      </c>
      <c r="K253" s="40">
        <f t="shared" ref="K253" si="382">SUM(I253:J253)</f>
        <v>40</v>
      </c>
      <c r="L253" s="9">
        <f t="shared" ref="L253" si="383">SUM(K253,H253,E253)</f>
        <v>70</v>
      </c>
      <c r="M253" s="53">
        <v>45388</v>
      </c>
      <c r="N253" s="106" t="s">
        <v>140</v>
      </c>
      <c r="O253" s="107">
        <v>500</v>
      </c>
      <c r="P253" s="108">
        <v>600</v>
      </c>
      <c r="Q253" s="109">
        <f t="shared" ref="Q253:Q254" si="384">SUM(O253:P253)</f>
        <v>1100</v>
      </c>
      <c r="R253" s="110">
        <v>550</v>
      </c>
      <c r="S253" s="111">
        <v>650</v>
      </c>
      <c r="T253" s="109">
        <f t="shared" ref="T253:T254" si="385">SUM(R253:S253)</f>
        <v>1200</v>
      </c>
      <c r="U253" s="110">
        <v>600</v>
      </c>
      <c r="V253" s="111">
        <v>750</v>
      </c>
      <c r="W253" s="109">
        <f t="shared" ref="W253:W254" si="386">SUM(U253:V253)</f>
        <v>1350</v>
      </c>
      <c r="X253" s="112">
        <f t="shared" ref="X253:X254" si="387">SUM(W253,T253,Q253)</f>
        <v>3650</v>
      </c>
      <c r="Y253" s="101" t="s">
        <v>224</v>
      </c>
      <c r="AA253" s="101" t="s">
        <v>159</v>
      </c>
    </row>
    <row r="254" spans="2:27" ht="14.25" thickBot="1" x14ac:dyDescent="0.2">
      <c r="B254" s="15" t="s">
        <v>3</v>
      </c>
      <c r="C254" s="36">
        <v>10</v>
      </c>
      <c r="D254" s="6">
        <v>10</v>
      </c>
      <c r="E254" s="42">
        <f t="shared" si="365"/>
        <v>20</v>
      </c>
      <c r="F254" s="36"/>
      <c r="G254" s="6"/>
      <c r="H254" s="42">
        <f t="shared" si="375"/>
        <v>0</v>
      </c>
      <c r="I254" s="36"/>
      <c r="J254" s="6"/>
      <c r="K254" s="42">
        <f t="shared" si="376"/>
        <v>0</v>
      </c>
      <c r="L254" s="13">
        <f t="shared" si="368"/>
        <v>20</v>
      </c>
      <c r="M254" s="53">
        <v>45392</v>
      </c>
      <c r="N254" s="75" t="s">
        <v>189</v>
      </c>
      <c r="O254" s="76">
        <v>51</v>
      </c>
      <c r="P254" s="83">
        <v>61</v>
      </c>
      <c r="Q254" s="41">
        <f t="shared" si="384"/>
        <v>112</v>
      </c>
      <c r="R254" s="76">
        <v>43</v>
      </c>
      <c r="S254" s="83">
        <v>50</v>
      </c>
      <c r="T254" s="41">
        <f t="shared" si="385"/>
        <v>93</v>
      </c>
      <c r="U254" s="76">
        <v>24</v>
      </c>
      <c r="V254" s="83">
        <v>12</v>
      </c>
      <c r="W254" s="41">
        <f t="shared" si="386"/>
        <v>36</v>
      </c>
      <c r="X254" s="77">
        <f t="shared" si="387"/>
        <v>241</v>
      </c>
      <c r="Y254" s="53" t="s">
        <v>205</v>
      </c>
    </row>
    <row r="255" spans="2:27" ht="14.25" thickBot="1" x14ac:dyDescent="0.2">
      <c r="B255" s="5" t="s">
        <v>2</v>
      </c>
      <c r="C255" s="32">
        <f>SUM(C249:C254)</f>
        <v>24</v>
      </c>
      <c r="D255" s="19">
        <f>SUM(D249:D254)</f>
        <v>24</v>
      </c>
      <c r="E255" s="42">
        <f t="shared" si="365"/>
        <v>48</v>
      </c>
      <c r="F255" s="32">
        <f>SUM(F249:F254)</f>
        <v>20</v>
      </c>
      <c r="G255" s="19">
        <f>SUM(G249:G254)</f>
        <v>20</v>
      </c>
      <c r="H255" s="42">
        <f t="shared" si="375"/>
        <v>40</v>
      </c>
      <c r="I255" s="32">
        <f>SUM(I249:I254)</f>
        <v>25</v>
      </c>
      <c r="J255" s="19">
        <f>SUM(J249:J254)</f>
        <v>26</v>
      </c>
      <c r="K255" s="42">
        <f t="shared" si="376"/>
        <v>51</v>
      </c>
      <c r="L255" s="13">
        <f t="shared" si="368"/>
        <v>139</v>
      </c>
      <c r="N255" s="63" t="s">
        <v>2</v>
      </c>
      <c r="O255" s="32">
        <f>SUM(O249:O254)</f>
        <v>601</v>
      </c>
      <c r="P255" s="19">
        <f t="shared" ref="P255" si="388">SUM(P249:P254)</f>
        <v>711</v>
      </c>
      <c r="Q255" s="42">
        <f t="shared" ref="Q255" si="389">SUM(Q249:Q254)</f>
        <v>1312</v>
      </c>
      <c r="R255" s="32">
        <f t="shared" ref="R255" si="390">SUM(R249:R254)</f>
        <v>651</v>
      </c>
      <c r="S255" s="19">
        <f t="shared" ref="S255" si="391">SUM(S249:S254)</f>
        <v>763</v>
      </c>
      <c r="T255" s="42">
        <f t="shared" ref="T255" si="392">SUM(T249:T254)</f>
        <v>1414</v>
      </c>
      <c r="U255" s="32">
        <f t="shared" ref="U255" si="393">SUM(U249:U254)</f>
        <v>700</v>
      </c>
      <c r="V255" s="19">
        <f t="shared" ref="V255" si="394">SUM(V249:V254)</f>
        <v>826</v>
      </c>
      <c r="W255" s="42">
        <f t="shared" ref="W255" si="395">SUM(W249:W254)</f>
        <v>1526</v>
      </c>
      <c r="X255" s="13">
        <f t="shared" ref="X255" si="396">SUM(X249:X254)</f>
        <v>4252</v>
      </c>
    </row>
    <row r="256" spans="2:27" x14ac:dyDescent="0.15">
      <c r="B256" s="7" t="s">
        <v>155</v>
      </c>
      <c r="C256" s="30"/>
      <c r="D256" s="25"/>
      <c r="E256" s="43">
        <f t="shared" si="365"/>
        <v>0</v>
      </c>
      <c r="F256" s="35"/>
      <c r="G256" s="8"/>
      <c r="H256" s="43">
        <f t="shared" si="375"/>
        <v>0</v>
      </c>
      <c r="I256" s="35">
        <v>1</v>
      </c>
      <c r="J256" s="8"/>
      <c r="K256" s="43">
        <f t="shared" si="376"/>
        <v>1</v>
      </c>
      <c r="L256" s="8">
        <f t="shared" si="368"/>
        <v>1</v>
      </c>
      <c r="M256" s="53">
        <v>45335</v>
      </c>
      <c r="N256" s="7" t="s">
        <v>146</v>
      </c>
      <c r="O256" s="30">
        <v>19</v>
      </c>
      <c r="P256" s="25">
        <v>29</v>
      </c>
      <c r="Q256" s="43">
        <f t="shared" ref="Q256:Q260" si="397">SUM(O256:P256)</f>
        <v>48</v>
      </c>
      <c r="R256" s="35">
        <v>19</v>
      </c>
      <c r="S256" s="8">
        <v>28</v>
      </c>
      <c r="T256" s="43">
        <f t="shared" ref="T256:T260" si="398">SUM(R256:S256)</f>
        <v>47</v>
      </c>
      <c r="U256" s="35">
        <v>21</v>
      </c>
      <c r="V256" s="8">
        <v>32</v>
      </c>
      <c r="W256" s="43">
        <f t="shared" ref="W256:W260" si="399">SUM(U256:V256)</f>
        <v>53</v>
      </c>
      <c r="X256" s="8">
        <f t="shared" ref="X256:X260" si="400">SUM(W256,T256,Q256)</f>
        <v>148</v>
      </c>
      <c r="Y256" s="53">
        <v>45314</v>
      </c>
    </row>
    <row r="257" spans="2:25" x14ac:dyDescent="0.15">
      <c r="B257" s="7" t="s">
        <v>12</v>
      </c>
      <c r="C257" s="30"/>
      <c r="D257" s="25"/>
      <c r="E257" s="43">
        <f t="shared" si="365"/>
        <v>0</v>
      </c>
      <c r="F257" s="35">
        <v>2</v>
      </c>
      <c r="G257" s="8"/>
      <c r="H257" s="43">
        <f t="shared" si="375"/>
        <v>2</v>
      </c>
      <c r="I257" s="35"/>
      <c r="J257" s="8"/>
      <c r="K257" s="43">
        <f t="shared" si="376"/>
        <v>0</v>
      </c>
      <c r="L257" s="8">
        <f t="shared" si="368"/>
        <v>2</v>
      </c>
      <c r="M257" s="53">
        <v>45335</v>
      </c>
      <c r="N257" s="7" t="s">
        <v>28</v>
      </c>
      <c r="O257" s="30">
        <v>5</v>
      </c>
      <c r="P257" s="25">
        <v>5</v>
      </c>
      <c r="Q257" s="43">
        <f t="shared" si="397"/>
        <v>10</v>
      </c>
      <c r="R257" s="35">
        <v>5</v>
      </c>
      <c r="S257" s="8">
        <v>5</v>
      </c>
      <c r="T257" s="43">
        <f t="shared" si="398"/>
        <v>10</v>
      </c>
      <c r="U257" s="35">
        <v>5</v>
      </c>
      <c r="V257" s="8">
        <v>5</v>
      </c>
      <c r="W257" s="43">
        <f t="shared" si="399"/>
        <v>10</v>
      </c>
      <c r="X257" s="8">
        <f t="shared" si="400"/>
        <v>30</v>
      </c>
      <c r="Y257" s="53">
        <v>45306</v>
      </c>
    </row>
    <row r="258" spans="2:25" x14ac:dyDescent="0.15">
      <c r="B258" s="7" t="s">
        <v>12</v>
      </c>
      <c r="C258" s="30"/>
      <c r="D258" s="25"/>
      <c r="E258" s="43">
        <f t="shared" si="365"/>
        <v>0</v>
      </c>
      <c r="F258" s="35"/>
      <c r="G258" s="8"/>
      <c r="H258" s="43">
        <f t="shared" si="375"/>
        <v>0</v>
      </c>
      <c r="I258" s="35"/>
      <c r="J258" s="8">
        <v>2</v>
      </c>
      <c r="K258" s="43">
        <f t="shared" si="376"/>
        <v>2</v>
      </c>
      <c r="L258" s="8">
        <f t="shared" si="368"/>
        <v>2</v>
      </c>
      <c r="M258" s="53">
        <v>45341</v>
      </c>
      <c r="N258" s="7" t="s">
        <v>152</v>
      </c>
      <c r="O258" s="30">
        <v>10</v>
      </c>
      <c r="P258" s="25">
        <v>5</v>
      </c>
      <c r="Q258" s="43">
        <f t="shared" si="397"/>
        <v>15</v>
      </c>
      <c r="R258" s="35"/>
      <c r="S258" s="8"/>
      <c r="T258" s="43">
        <f t="shared" si="398"/>
        <v>0</v>
      </c>
      <c r="U258" s="35">
        <v>10</v>
      </c>
      <c r="V258" s="8">
        <v>5</v>
      </c>
      <c r="W258" s="43">
        <f t="shared" si="399"/>
        <v>15</v>
      </c>
      <c r="X258" s="8">
        <f t="shared" si="400"/>
        <v>30</v>
      </c>
      <c r="Y258" s="53">
        <v>45336</v>
      </c>
    </row>
    <row r="259" spans="2:25" x14ac:dyDescent="0.15">
      <c r="B259" s="7" t="s">
        <v>160</v>
      </c>
      <c r="C259" s="30"/>
      <c r="D259" s="25">
        <v>1</v>
      </c>
      <c r="E259" s="43">
        <f t="shared" si="365"/>
        <v>1</v>
      </c>
      <c r="F259" s="35">
        <v>1</v>
      </c>
      <c r="G259" s="8"/>
      <c r="H259" s="43">
        <f t="shared" si="375"/>
        <v>1</v>
      </c>
      <c r="I259" s="35">
        <v>1</v>
      </c>
      <c r="J259" s="8"/>
      <c r="K259" s="43">
        <f t="shared" si="376"/>
        <v>1</v>
      </c>
      <c r="L259" s="8">
        <f t="shared" si="368"/>
        <v>3</v>
      </c>
      <c r="M259" s="53">
        <v>45355</v>
      </c>
      <c r="N259" s="7" t="s">
        <v>156</v>
      </c>
      <c r="O259" s="30"/>
      <c r="P259" s="25">
        <v>1</v>
      </c>
      <c r="Q259" s="43">
        <f t="shared" si="397"/>
        <v>1</v>
      </c>
      <c r="R259" s="35"/>
      <c r="S259" s="8"/>
      <c r="T259" s="43">
        <f t="shared" si="398"/>
        <v>0</v>
      </c>
      <c r="U259" s="35"/>
      <c r="V259" s="8">
        <v>4</v>
      </c>
      <c r="W259" s="43">
        <f t="shared" si="399"/>
        <v>4</v>
      </c>
      <c r="X259" s="8">
        <f t="shared" si="400"/>
        <v>5</v>
      </c>
      <c r="Y259" s="53">
        <v>45352</v>
      </c>
    </row>
    <row r="260" spans="2:25" x14ac:dyDescent="0.15">
      <c r="B260" s="7" t="s">
        <v>12</v>
      </c>
      <c r="C260" s="30"/>
      <c r="D260" s="25"/>
      <c r="E260" s="43">
        <f t="shared" si="365"/>
        <v>0</v>
      </c>
      <c r="F260" s="35"/>
      <c r="G260" s="8"/>
      <c r="H260" s="43">
        <f t="shared" si="375"/>
        <v>0</v>
      </c>
      <c r="I260" s="35"/>
      <c r="J260" s="8">
        <v>1</v>
      </c>
      <c r="K260" s="43">
        <f t="shared" si="376"/>
        <v>1</v>
      </c>
      <c r="L260" s="8">
        <f t="shared" si="368"/>
        <v>1</v>
      </c>
      <c r="M260" s="53">
        <v>45357</v>
      </c>
      <c r="N260" s="7" t="s">
        <v>157</v>
      </c>
      <c r="O260" s="30"/>
      <c r="P260" s="25"/>
      <c r="Q260" s="43">
        <f t="shared" si="397"/>
        <v>0</v>
      </c>
      <c r="R260" s="35"/>
      <c r="S260" s="8">
        <v>2</v>
      </c>
      <c r="T260" s="43">
        <f t="shared" si="398"/>
        <v>2</v>
      </c>
      <c r="U260" s="35">
        <v>5</v>
      </c>
      <c r="V260" s="8"/>
      <c r="W260" s="43">
        <f t="shared" si="399"/>
        <v>5</v>
      </c>
      <c r="X260" s="8">
        <f t="shared" si="400"/>
        <v>7</v>
      </c>
      <c r="Y260" s="53">
        <v>45362</v>
      </c>
    </row>
    <row r="261" spans="2:25" x14ac:dyDescent="0.15">
      <c r="B261" s="7" t="s">
        <v>164</v>
      </c>
      <c r="C261" s="30">
        <v>1</v>
      </c>
      <c r="D261" s="25"/>
      <c r="E261" s="43">
        <f t="shared" si="365"/>
        <v>1</v>
      </c>
      <c r="F261" s="35">
        <v>1</v>
      </c>
      <c r="G261" s="8"/>
      <c r="H261" s="43">
        <f t="shared" si="375"/>
        <v>1</v>
      </c>
      <c r="I261" s="35">
        <v>1</v>
      </c>
      <c r="J261" s="8"/>
      <c r="K261" s="43">
        <f t="shared" si="376"/>
        <v>1</v>
      </c>
      <c r="L261" s="8">
        <f t="shared" si="368"/>
        <v>3</v>
      </c>
      <c r="M261" s="53">
        <v>45363</v>
      </c>
      <c r="N261" s="7" t="s">
        <v>163</v>
      </c>
      <c r="O261" s="30"/>
      <c r="P261" s="25"/>
      <c r="Q261" s="43">
        <f t="shared" si="377"/>
        <v>0</v>
      </c>
      <c r="R261" s="35">
        <v>2</v>
      </c>
      <c r="S261" s="8"/>
      <c r="T261" s="43">
        <f t="shared" si="378"/>
        <v>2</v>
      </c>
      <c r="U261" s="35">
        <v>5</v>
      </c>
      <c r="V261" s="8"/>
      <c r="W261" s="43">
        <f t="shared" si="379"/>
        <v>5</v>
      </c>
      <c r="X261" s="8">
        <f t="shared" si="380"/>
        <v>7</v>
      </c>
      <c r="Y261" s="53">
        <v>45369</v>
      </c>
    </row>
    <row r="262" spans="2:25" x14ac:dyDescent="0.15">
      <c r="B262" s="7" t="s">
        <v>12</v>
      </c>
      <c r="C262" s="30"/>
      <c r="D262" s="25">
        <v>1</v>
      </c>
      <c r="E262" s="43">
        <f t="shared" si="365"/>
        <v>1</v>
      </c>
      <c r="F262" s="35"/>
      <c r="G262" s="8"/>
      <c r="H262" s="43">
        <f t="shared" si="375"/>
        <v>0</v>
      </c>
      <c r="I262" s="35"/>
      <c r="J262" s="8"/>
      <c r="K262" s="43">
        <f t="shared" si="376"/>
        <v>0</v>
      </c>
      <c r="L262" s="8">
        <f t="shared" si="368"/>
        <v>1</v>
      </c>
      <c r="M262" s="53">
        <v>45369</v>
      </c>
      <c r="N262" s="7" t="s">
        <v>167</v>
      </c>
      <c r="O262" s="30"/>
      <c r="P262" s="25"/>
      <c r="Q262" s="43">
        <f t="shared" si="377"/>
        <v>0</v>
      </c>
      <c r="R262" s="35">
        <v>10</v>
      </c>
      <c r="S262" s="8">
        <v>10</v>
      </c>
      <c r="T262" s="43">
        <f t="shared" si="378"/>
        <v>20</v>
      </c>
      <c r="U262" s="35">
        <v>10</v>
      </c>
      <c r="V262" s="8"/>
      <c r="W262" s="43">
        <f t="shared" si="379"/>
        <v>10</v>
      </c>
      <c r="X262" s="8">
        <f t="shared" si="380"/>
        <v>30</v>
      </c>
      <c r="Y262" s="53">
        <v>45371</v>
      </c>
    </row>
    <row r="263" spans="2:25" x14ac:dyDescent="0.15">
      <c r="B263" s="7" t="s">
        <v>12</v>
      </c>
      <c r="C263" s="30"/>
      <c r="D263" s="25"/>
      <c r="E263" s="43">
        <f t="shared" si="365"/>
        <v>0</v>
      </c>
      <c r="F263" s="35"/>
      <c r="G263" s="8"/>
      <c r="H263" s="43">
        <f t="shared" ref="H263" si="401">SUM(F263:G263)</f>
        <v>0</v>
      </c>
      <c r="I263" s="35"/>
      <c r="J263" s="8">
        <v>2</v>
      </c>
      <c r="K263" s="43">
        <f t="shared" ref="K263" si="402">SUM(I263:J263)</f>
        <v>2</v>
      </c>
      <c r="L263" s="8">
        <f t="shared" ref="L263" si="403">SUM(K263,H263,E263)</f>
        <v>2</v>
      </c>
      <c r="M263" s="53">
        <v>45377</v>
      </c>
      <c r="N263" s="7" t="s">
        <v>172</v>
      </c>
      <c r="O263" s="30"/>
      <c r="P263" s="25"/>
      <c r="Q263" s="43">
        <f t="shared" si="377"/>
        <v>0</v>
      </c>
      <c r="R263" s="35">
        <v>12</v>
      </c>
      <c r="S263" s="8">
        <v>18</v>
      </c>
      <c r="T263" s="43">
        <f t="shared" si="378"/>
        <v>30</v>
      </c>
      <c r="U263" s="35">
        <v>15</v>
      </c>
      <c r="V263" s="8">
        <v>18</v>
      </c>
      <c r="W263" s="43">
        <f t="shared" si="379"/>
        <v>33</v>
      </c>
      <c r="X263" s="8">
        <f t="shared" si="380"/>
        <v>63</v>
      </c>
      <c r="Y263" s="53">
        <v>45379</v>
      </c>
    </row>
    <row r="264" spans="2:25" x14ac:dyDescent="0.15">
      <c r="B264" s="7" t="s">
        <v>12</v>
      </c>
      <c r="C264" s="30"/>
      <c r="D264" s="25"/>
      <c r="E264" s="43">
        <f t="shared" si="365"/>
        <v>0</v>
      </c>
      <c r="F264" s="35"/>
      <c r="G264" s="8">
        <v>1</v>
      </c>
      <c r="H264" s="43">
        <f t="shared" si="375"/>
        <v>1</v>
      </c>
      <c r="I264" s="35"/>
      <c r="J264" s="8"/>
      <c r="K264" s="43">
        <f t="shared" si="376"/>
        <v>0</v>
      </c>
      <c r="L264" s="8">
        <f t="shared" si="368"/>
        <v>1</v>
      </c>
      <c r="M264" s="53">
        <v>45383</v>
      </c>
      <c r="N264" s="7" t="s">
        <v>173</v>
      </c>
      <c r="O264" s="30">
        <v>2</v>
      </c>
      <c r="P264" s="25">
        <v>1</v>
      </c>
      <c r="Q264" s="43">
        <f t="shared" si="377"/>
        <v>3</v>
      </c>
      <c r="R264" s="35"/>
      <c r="S264" s="8"/>
      <c r="T264" s="43">
        <f t="shared" si="378"/>
        <v>0</v>
      </c>
      <c r="U264" s="35"/>
      <c r="V264" s="8"/>
      <c r="W264" s="43">
        <f t="shared" si="379"/>
        <v>0</v>
      </c>
      <c r="X264" s="8">
        <f t="shared" si="380"/>
        <v>3</v>
      </c>
      <c r="Y264" s="53">
        <v>45380</v>
      </c>
    </row>
    <row r="265" spans="2:25" x14ac:dyDescent="0.15">
      <c r="B265" s="7" t="s">
        <v>177</v>
      </c>
      <c r="C265" s="30">
        <v>2</v>
      </c>
      <c r="D265" s="25">
        <v>5</v>
      </c>
      <c r="E265" s="43">
        <f t="shared" si="365"/>
        <v>7</v>
      </c>
      <c r="F265" s="35"/>
      <c r="G265" s="8"/>
      <c r="H265" s="43">
        <f t="shared" si="375"/>
        <v>0</v>
      </c>
      <c r="I265" s="35"/>
      <c r="J265" s="8"/>
      <c r="K265" s="43">
        <f t="shared" si="376"/>
        <v>0</v>
      </c>
      <c r="L265" s="8">
        <f t="shared" si="368"/>
        <v>7</v>
      </c>
      <c r="M265" s="53">
        <v>45387</v>
      </c>
      <c r="N265" s="7" t="s">
        <v>174</v>
      </c>
      <c r="O265" s="30">
        <v>5</v>
      </c>
      <c r="P265" s="25"/>
      <c r="Q265" s="43">
        <f t="shared" si="377"/>
        <v>5</v>
      </c>
      <c r="R265" s="35">
        <v>10</v>
      </c>
      <c r="S265" s="8"/>
      <c r="T265" s="43">
        <f t="shared" si="378"/>
        <v>10</v>
      </c>
      <c r="U265" s="35">
        <v>5</v>
      </c>
      <c r="V265" s="8"/>
      <c r="W265" s="43">
        <f t="shared" si="379"/>
        <v>5</v>
      </c>
      <c r="X265" s="8">
        <f t="shared" si="380"/>
        <v>20</v>
      </c>
      <c r="Y265" s="53">
        <v>45386</v>
      </c>
    </row>
    <row r="266" spans="2:25" x14ac:dyDescent="0.15">
      <c r="B266" s="7" t="s">
        <v>180</v>
      </c>
      <c r="C266" s="30">
        <v>1</v>
      </c>
      <c r="D266" s="25"/>
      <c r="E266" s="43">
        <f t="shared" si="365"/>
        <v>1</v>
      </c>
      <c r="F266" s="35"/>
      <c r="G266" s="8">
        <v>1</v>
      </c>
      <c r="H266" s="43">
        <f t="shared" si="375"/>
        <v>1</v>
      </c>
      <c r="I266" s="35">
        <v>1</v>
      </c>
      <c r="J266" s="8"/>
      <c r="K266" s="43">
        <f t="shared" si="376"/>
        <v>1</v>
      </c>
      <c r="L266" s="8">
        <f t="shared" si="368"/>
        <v>3</v>
      </c>
      <c r="M266" s="53">
        <v>45386</v>
      </c>
      <c r="N266" s="7" t="s">
        <v>28</v>
      </c>
      <c r="O266" s="30">
        <v>9</v>
      </c>
      <c r="P266" s="25">
        <v>9</v>
      </c>
      <c r="Q266" s="43">
        <f t="shared" si="377"/>
        <v>18</v>
      </c>
      <c r="R266" s="35"/>
      <c r="S266" s="8"/>
      <c r="T266" s="43">
        <f t="shared" si="378"/>
        <v>0</v>
      </c>
      <c r="U266" s="35"/>
      <c r="V266" s="8"/>
      <c r="W266" s="43">
        <f t="shared" si="379"/>
        <v>0</v>
      </c>
      <c r="X266" s="8">
        <f t="shared" si="380"/>
        <v>18</v>
      </c>
      <c r="Y266" s="53">
        <v>45381</v>
      </c>
    </row>
    <row r="267" spans="2:25" x14ac:dyDescent="0.15">
      <c r="B267" s="7" t="s">
        <v>12</v>
      </c>
      <c r="C267" s="33"/>
      <c r="D267" s="27"/>
      <c r="E267" s="43">
        <f t="shared" si="365"/>
        <v>0</v>
      </c>
      <c r="F267" s="37"/>
      <c r="G267" s="10">
        <v>1</v>
      </c>
      <c r="H267" s="43">
        <f t="shared" si="375"/>
        <v>1</v>
      </c>
      <c r="I267" s="37"/>
      <c r="J267" s="10">
        <v>1</v>
      </c>
      <c r="K267" s="43">
        <f t="shared" si="376"/>
        <v>1</v>
      </c>
      <c r="L267" s="8">
        <f t="shared" si="368"/>
        <v>2</v>
      </c>
      <c r="M267" s="53">
        <v>45386</v>
      </c>
      <c r="N267" s="7" t="s">
        <v>178</v>
      </c>
      <c r="O267" s="30"/>
      <c r="P267" s="25"/>
      <c r="Q267" s="43">
        <f t="shared" si="377"/>
        <v>0</v>
      </c>
      <c r="R267" s="35"/>
      <c r="S267" s="8"/>
      <c r="T267" s="43">
        <f t="shared" si="378"/>
        <v>0</v>
      </c>
      <c r="U267" s="35">
        <v>20</v>
      </c>
      <c r="V267" s="8">
        <v>24</v>
      </c>
      <c r="W267" s="43">
        <f t="shared" si="379"/>
        <v>44</v>
      </c>
      <c r="X267" s="8">
        <f t="shared" si="380"/>
        <v>44</v>
      </c>
      <c r="Y267" s="53">
        <v>45390</v>
      </c>
    </row>
    <row r="268" spans="2:25" x14ac:dyDescent="0.15">
      <c r="B268" s="7" t="s">
        <v>12</v>
      </c>
      <c r="C268" s="30"/>
      <c r="D268" s="25">
        <v>3</v>
      </c>
      <c r="E268" s="43">
        <f t="shared" si="365"/>
        <v>3</v>
      </c>
      <c r="F268" s="35"/>
      <c r="G268" s="8"/>
      <c r="H268" s="43">
        <f t="shared" si="375"/>
        <v>0</v>
      </c>
      <c r="I268" s="35">
        <v>1</v>
      </c>
      <c r="J268" s="8"/>
      <c r="K268" s="43">
        <f t="shared" si="376"/>
        <v>1</v>
      </c>
      <c r="L268" s="8">
        <f t="shared" si="368"/>
        <v>4</v>
      </c>
      <c r="M268" s="53">
        <v>45388</v>
      </c>
      <c r="N268" s="7" t="s">
        <v>181</v>
      </c>
      <c r="O268" s="30">
        <v>15</v>
      </c>
      <c r="P268" s="25">
        <v>15</v>
      </c>
      <c r="Q268" s="43">
        <f t="shared" si="377"/>
        <v>30</v>
      </c>
      <c r="R268" s="35">
        <v>60</v>
      </c>
      <c r="S268" s="8">
        <v>15</v>
      </c>
      <c r="T268" s="43">
        <f t="shared" si="378"/>
        <v>75</v>
      </c>
      <c r="U268" s="35">
        <v>35</v>
      </c>
      <c r="V268" s="8">
        <v>10</v>
      </c>
      <c r="W268" s="43">
        <f t="shared" si="379"/>
        <v>45</v>
      </c>
      <c r="X268" s="8">
        <f t="shared" si="380"/>
        <v>150</v>
      </c>
      <c r="Y268" s="53">
        <v>45399</v>
      </c>
    </row>
    <row r="269" spans="2:25" x14ac:dyDescent="0.15">
      <c r="B269" s="7" t="s">
        <v>12</v>
      </c>
      <c r="C269" s="30"/>
      <c r="D269" s="25"/>
      <c r="E269" s="43">
        <f t="shared" si="365"/>
        <v>0</v>
      </c>
      <c r="F269" s="35"/>
      <c r="G269" s="8">
        <v>1</v>
      </c>
      <c r="H269" s="43">
        <f t="shared" si="375"/>
        <v>1</v>
      </c>
      <c r="I269" s="35"/>
      <c r="J269" s="8">
        <f>1+1</f>
        <v>2</v>
      </c>
      <c r="K269" s="43">
        <f t="shared" si="376"/>
        <v>2</v>
      </c>
      <c r="L269" s="8">
        <f t="shared" si="368"/>
        <v>3</v>
      </c>
      <c r="M269" s="53">
        <v>45390</v>
      </c>
      <c r="N269" s="7" t="s">
        <v>184</v>
      </c>
      <c r="O269" s="33"/>
      <c r="P269" s="27"/>
      <c r="Q269" s="43">
        <f t="shared" si="377"/>
        <v>0</v>
      </c>
      <c r="R269" s="37">
        <v>15</v>
      </c>
      <c r="S269" s="10">
        <v>15</v>
      </c>
      <c r="T269" s="43">
        <f t="shared" si="378"/>
        <v>30</v>
      </c>
      <c r="U269" s="37">
        <v>20</v>
      </c>
      <c r="V269" s="10">
        <v>20</v>
      </c>
      <c r="W269" s="43">
        <f t="shared" si="379"/>
        <v>40</v>
      </c>
      <c r="X269" s="8">
        <f t="shared" si="380"/>
        <v>70</v>
      </c>
      <c r="Y269" s="53">
        <v>45388</v>
      </c>
    </row>
    <row r="270" spans="2:25" x14ac:dyDescent="0.15">
      <c r="B270" s="7" t="s">
        <v>186</v>
      </c>
      <c r="C270" s="30"/>
      <c r="D270" s="25">
        <v>1</v>
      </c>
      <c r="E270" s="43">
        <f t="shared" si="365"/>
        <v>1</v>
      </c>
      <c r="F270" s="35"/>
      <c r="G270" s="8"/>
      <c r="H270" s="43">
        <f t="shared" si="375"/>
        <v>0</v>
      </c>
      <c r="I270" s="35"/>
      <c r="J270" s="8">
        <v>1</v>
      </c>
      <c r="K270" s="43">
        <f t="shared" si="376"/>
        <v>1</v>
      </c>
      <c r="L270" s="8">
        <f t="shared" si="368"/>
        <v>2</v>
      </c>
      <c r="M270" s="53">
        <v>45394</v>
      </c>
      <c r="N270" s="7" t="s">
        <v>28</v>
      </c>
      <c r="O270" s="30">
        <v>10</v>
      </c>
      <c r="P270" s="25">
        <v>10</v>
      </c>
      <c r="Q270" s="43">
        <f t="shared" ref="Q270" si="404">SUM(O270:P270)</f>
        <v>20</v>
      </c>
      <c r="R270" s="35"/>
      <c r="S270" s="8"/>
      <c r="T270" s="43">
        <f t="shared" si="378"/>
        <v>0</v>
      </c>
      <c r="U270" s="35"/>
      <c r="V270" s="8"/>
      <c r="W270" s="43">
        <f t="shared" si="379"/>
        <v>0</v>
      </c>
      <c r="X270" s="8">
        <f t="shared" si="380"/>
        <v>20</v>
      </c>
      <c r="Y270" s="53">
        <v>45392</v>
      </c>
    </row>
    <row r="271" spans="2:25" x14ac:dyDescent="0.15">
      <c r="B271" s="7" t="s">
        <v>12</v>
      </c>
      <c r="C271" s="33">
        <v>2</v>
      </c>
      <c r="D271" s="27"/>
      <c r="E271" s="43">
        <f t="shared" si="365"/>
        <v>2</v>
      </c>
      <c r="F271" s="37"/>
      <c r="G271" s="10">
        <v>1</v>
      </c>
      <c r="H271" s="43">
        <f t="shared" si="375"/>
        <v>1</v>
      </c>
      <c r="I271" s="37"/>
      <c r="J271" s="10"/>
      <c r="K271" s="43">
        <f t="shared" si="376"/>
        <v>0</v>
      </c>
      <c r="L271" s="8">
        <f t="shared" si="368"/>
        <v>3</v>
      </c>
      <c r="M271" s="53">
        <v>45391</v>
      </c>
      <c r="N271" s="7" t="s">
        <v>187</v>
      </c>
      <c r="O271" s="30">
        <v>10</v>
      </c>
      <c r="P271" s="25">
        <v>5</v>
      </c>
      <c r="Q271" s="43">
        <f t="shared" si="377"/>
        <v>15</v>
      </c>
      <c r="R271" s="35">
        <v>30</v>
      </c>
      <c r="S271" s="8">
        <v>45</v>
      </c>
      <c r="T271" s="43">
        <f t="shared" si="378"/>
        <v>75</v>
      </c>
      <c r="U271" s="35">
        <v>20</v>
      </c>
      <c r="V271" s="8">
        <v>15</v>
      </c>
      <c r="W271" s="43">
        <f t="shared" si="379"/>
        <v>35</v>
      </c>
      <c r="X271" s="8">
        <f t="shared" si="380"/>
        <v>125</v>
      </c>
      <c r="Y271" s="53">
        <v>45408</v>
      </c>
    </row>
    <row r="272" spans="2:25" x14ac:dyDescent="0.15">
      <c r="B272" s="7" t="s">
        <v>12</v>
      </c>
      <c r="C272" s="33"/>
      <c r="D272" s="27"/>
      <c r="E272" s="43">
        <f t="shared" si="365"/>
        <v>0</v>
      </c>
      <c r="F272" s="37">
        <v>2</v>
      </c>
      <c r="G272" s="10"/>
      <c r="H272" s="43">
        <f t="shared" si="375"/>
        <v>2</v>
      </c>
      <c r="I272" s="37"/>
      <c r="J272" s="10"/>
      <c r="K272" s="43">
        <f t="shared" si="376"/>
        <v>0</v>
      </c>
      <c r="L272" s="8">
        <f t="shared" si="368"/>
        <v>2</v>
      </c>
      <c r="M272" s="53">
        <v>45392</v>
      </c>
      <c r="N272" s="7" t="s">
        <v>186</v>
      </c>
      <c r="O272" s="30"/>
      <c r="P272" s="25">
        <v>2</v>
      </c>
      <c r="Q272" s="43">
        <f t="shared" si="377"/>
        <v>2</v>
      </c>
      <c r="R272" s="35"/>
      <c r="S272" s="8"/>
      <c r="T272" s="43">
        <f t="shared" si="378"/>
        <v>0</v>
      </c>
      <c r="U272" s="35"/>
      <c r="V272" s="8">
        <v>4</v>
      </c>
      <c r="W272" s="43">
        <f t="shared" si="379"/>
        <v>4</v>
      </c>
      <c r="X272" s="8">
        <f t="shared" si="380"/>
        <v>6</v>
      </c>
      <c r="Y272" s="53">
        <v>45404</v>
      </c>
    </row>
    <row r="273" spans="2:25" x14ac:dyDescent="0.15">
      <c r="B273" s="7" t="s">
        <v>12</v>
      </c>
      <c r="C273" s="33"/>
      <c r="D273" s="27"/>
      <c r="E273" s="43">
        <f t="shared" si="365"/>
        <v>0</v>
      </c>
      <c r="F273" s="37"/>
      <c r="G273" s="10"/>
      <c r="H273" s="43">
        <f t="shared" si="375"/>
        <v>0</v>
      </c>
      <c r="I273" s="37">
        <v>1</v>
      </c>
      <c r="J273" s="10">
        <v>2</v>
      </c>
      <c r="K273" s="43">
        <f t="shared" si="376"/>
        <v>3</v>
      </c>
      <c r="L273" s="8">
        <f t="shared" si="368"/>
        <v>3</v>
      </c>
      <c r="M273" s="53">
        <v>45397</v>
      </c>
      <c r="N273" s="7" t="s">
        <v>190</v>
      </c>
      <c r="O273" s="30"/>
      <c r="P273" s="25"/>
      <c r="Q273" s="43">
        <f t="shared" si="377"/>
        <v>0</v>
      </c>
      <c r="R273" s="35"/>
      <c r="S273" s="8"/>
      <c r="T273" s="43">
        <f t="shared" si="378"/>
        <v>0</v>
      </c>
      <c r="U273" s="35">
        <v>28</v>
      </c>
      <c r="V273" s="8">
        <v>16</v>
      </c>
      <c r="W273" s="43">
        <f t="shared" si="379"/>
        <v>44</v>
      </c>
      <c r="X273" s="8">
        <f t="shared" si="380"/>
        <v>44</v>
      </c>
      <c r="Y273" s="53">
        <v>45401</v>
      </c>
    </row>
    <row r="274" spans="2:25" x14ac:dyDescent="0.15">
      <c r="B274" s="7" t="s">
        <v>12</v>
      </c>
      <c r="C274" s="33"/>
      <c r="D274" s="27"/>
      <c r="E274" s="43">
        <f t="shared" si="365"/>
        <v>0</v>
      </c>
      <c r="F274" s="37"/>
      <c r="G274" s="10"/>
      <c r="H274" s="43">
        <f t="shared" si="375"/>
        <v>0</v>
      </c>
      <c r="I274" s="37">
        <v>2</v>
      </c>
      <c r="J274" s="10"/>
      <c r="K274" s="43">
        <f t="shared" si="376"/>
        <v>2</v>
      </c>
      <c r="L274" s="8">
        <f t="shared" si="368"/>
        <v>2</v>
      </c>
      <c r="M274" s="53">
        <v>45398</v>
      </c>
      <c r="N274" s="7" t="s">
        <v>192</v>
      </c>
      <c r="O274" s="30"/>
      <c r="P274" s="25"/>
      <c r="Q274" s="43">
        <f t="shared" si="377"/>
        <v>0</v>
      </c>
      <c r="R274" s="35"/>
      <c r="S274" s="8"/>
      <c r="T274" s="43">
        <f t="shared" si="378"/>
        <v>0</v>
      </c>
      <c r="U274" s="35">
        <v>20</v>
      </c>
      <c r="V274" s="8">
        <v>24</v>
      </c>
      <c r="W274" s="43">
        <f t="shared" si="379"/>
        <v>44</v>
      </c>
      <c r="X274" s="8">
        <f t="shared" si="380"/>
        <v>44</v>
      </c>
      <c r="Y274" s="53">
        <v>45404</v>
      </c>
    </row>
    <row r="275" spans="2:25" x14ac:dyDescent="0.15">
      <c r="B275" s="7" t="s">
        <v>12</v>
      </c>
      <c r="C275" s="30"/>
      <c r="D275" s="25"/>
      <c r="E275" s="43">
        <f t="shared" si="365"/>
        <v>0</v>
      </c>
      <c r="F275" s="35">
        <v>1</v>
      </c>
      <c r="G275" s="8">
        <v>4</v>
      </c>
      <c r="H275" s="43">
        <f t="shared" si="375"/>
        <v>5</v>
      </c>
      <c r="I275" s="35"/>
      <c r="J275" s="8">
        <v>2</v>
      </c>
      <c r="K275" s="43">
        <f t="shared" si="376"/>
        <v>2</v>
      </c>
      <c r="L275" s="8">
        <f t="shared" si="368"/>
        <v>7</v>
      </c>
      <c r="M275" s="53">
        <v>45399</v>
      </c>
      <c r="N275" s="7"/>
      <c r="O275" s="33"/>
      <c r="P275" s="27"/>
      <c r="Q275" s="43">
        <f t="shared" ref="Q275" si="405">SUM(O275:P275)</f>
        <v>0</v>
      </c>
      <c r="R275" s="37"/>
      <c r="S275" s="10"/>
      <c r="T275" s="43">
        <f t="shared" ref="T275" si="406">SUM(R275:S275)</f>
        <v>0</v>
      </c>
      <c r="U275" s="37"/>
      <c r="V275" s="10"/>
      <c r="W275" s="43">
        <f t="shared" ref="W275" si="407">SUM(U275:V275)</f>
        <v>0</v>
      </c>
      <c r="X275" s="8">
        <f t="shared" ref="X275" si="408">SUM(W275,T275,Q275)</f>
        <v>0</v>
      </c>
    </row>
    <row r="276" spans="2:25" x14ac:dyDescent="0.15">
      <c r="B276" s="7" t="s">
        <v>12</v>
      </c>
      <c r="C276" s="30"/>
      <c r="D276" s="25"/>
      <c r="E276" s="43">
        <f t="shared" si="365"/>
        <v>0</v>
      </c>
      <c r="F276" s="35"/>
      <c r="G276" s="8"/>
      <c r="H276" s="43">
        <f t="shared" si="375"/>
        <v>0</v>
      </c>
      <c r="I276" s="35"/>
      <c r="J276" s="8">
        <f>3+1</f>
        <v>4</v>
      </c>
      <c r="K276" s="43">
        <f t="shared" si="376"/>
        <v>4</v>
      </c>
      <c r="L276" s="8">
        <f t="shared" si="368"/>
        <v>4</v>
      </c>
      <c r="M276" s="53">
        <v>45400</v>
      </c>
      <c r="N276" s="7"/>
      <c r="O276" s="33"/>
      <c r="P276" s="27"/>
      <c r="Q276" s="43">
        <f t="shared" ref="Q276:Q279" si="409">SUM(O276:P276)</f>
        <v>0</v>
      </c>
      <c r="R276" s="37"/>
      <c r="S276" s="10"/>
      <c r="T276" s="43">
        <f t="shared" ref="T276:T279" si="410">SUM(R276:S276)</f>
        <v>0</v>
      </c>
      <c r="U276" s="37"/>
      <c r="V276" s="10"/>
      <c r="W276" s="43">
        <f t="shared" ref="W276:W279" si="411">SUM(U276:V276)</f>
        <v>0</v>
      </c>
      <c r="X276" s="8">
        <f t="shared" ref="X276:X279" si="412">SUM(W276,T276,Q276)</f>
        <v>0</v>
      </c>
    </row>
    <row r="277" spans="2:25" x14ac:dyDescent="0.15">
      <c r="B277" s="7" t="s">
        <v>12</v>
      </c>
      <c r="C277" s="30"/>
      <c r="D277" s="25"/>
      <c r="E277" s="43">
        <f t="shared" si="365"/>
        <v>0</v>
      </c>
      <c r="F277" s="35"/>
      <c r="G277" s="8">
        <v>2</v>
      </c>
      <c r="H277" s="43">
        <f t="shared" si="375"/>
        <v>2</v>
      </c>
      <c r="I277" s="35"/>
      <c r="J277" s="8"/>
      <c r="K277" s="43">
        <f t="shared" si="376"/>
        <v>0</v>
      </c>
      <c r="L277" s="8">
        <f t="shared" si="368"/>
        <v>2</v>
      </c>
      <c r="M277" s="53">
        <v>45402</v>
      </c>
      <c r="N277" s="7"/>
      <c r="O277" s="33"/>
      <c r="P277" s="27"/>
      <c r="Q277" s="43">
        <f t="shared" si="409"/>
        <v>0</v>
      </c>
      <c r="R277" s="37"/>
      <c r="S277" s="10"/>
      <c r="T277" s="43">
        <f t="shared" si="410"/>
        <v>0</v>
      </c>
      <c r="U277" s="37"/>
      <c r="V277" s="10"/>
      <c r="W277" s="43">
        <f t="shared" si="411"/>
        <v>0</v>
      </c>
      <c r="X277" s="8">
        <f t="shared" si="412"/>
        <v>0</v>
      </c>
    </row>
    <row r="278" spans="2:25" x14ac:dyDescent="0.15">
      <c r="B278" s="7" t="s">
        <v>211</v>
      </c>
      <c r="C278" s="30">
        <v>1</v>
      </c>
      <c r="D278" s="25"/>
      <c r="E278" s="43">
        <f t="shared" si="365"/>
        <v>1</v>
      </c>
      <c r="F278" s="35">
        <v>1</v>
      </c>
      <c r="G278" s="8"/>
      <c r="H278" s="43">
        <f t="shared" si="375"/>
        <v>1</v>
      </c>
      <c r="I278" s="35">
        <v>1</v>
      </c>
      <c r="J278" s="8"/>
      <c r="K278" s="43">
        <f t="shared" si="376"/>
        <v>1</v>
      </c>
      <c r="L278" s="8">
        <f t="shared" si="368"/>
        <v>3</v>
      </c>
      <c r="M278" s="53">
        <v>45413</v>
      </c>
      <c r="N278" s="7" t="s">
        <v>165</v>
      </c>
      <c r="O278" s="30">
        <f>50-50</f>
        <v>0</v>
      </c>
      <c r="P278" s="25">
        <f>30-30</f>
        <v>0</v>
      </c>
      <c r="Q278" s="43">
        <f t="shared" ref="Q278" si="413">SUM(O278:P278)</f>
        <v>0</v>
      </c>
      <c r="R278" s="35">
        <f>20-20</f>
        <v>0</v>
      </c>
      <c r="S278" s="8">
        <f>20-20</f>
        <v>0</v>
      </c>
      <c r="T278" s="43">
        <f t="shared" si="410"/>
        <v>0</v>
      </c>
      <c r="U278" s="35">
        <f>20-20</f>
        <v>0</v>
      </c>
      <c r="V278" s="8">
        <f>22-22</f>
        <v>0</v>
      </c>
      <c r="W278" s="43">
        <f t="shared" si="411"/>
        <v>0</v>
      </c>
      <c r="X278" s="8">
        <f t="shared" si="412"/>
        <v>0</v>
      </c>
      <c r="Y278" s="52" t="s">
        <v>166</v>
      </c>
    </row>
    <row r="279" spans="2:25" x14ac:dyDescent="0.15">
      <c r="B279" s="7"/>
      <c r="C279" s="30"/>
      <c r="D279" s="25"/>
      <c r="E279" s="43">
        <f t="shared" si="365"/>
        <v>0</v>
      </c>
      <c r="F279" s="35"/>
      <c r="G279" s="8"/>
      <c r="H279" s="43">
        <f t="shared" si="375"/>
        <v>0</v>
      </c>
      <c r="I279" s="35"/>
      <c r="J279" s="8"/>
      <c r="K279" s="43">
        <f t="shared" si="376"/>
        <v>0</v>
      </c>
      <c r="L279" s="8">
        <f t="shared" si="368"/>
        <v>0</v>
      </c>
      <c r="N279" s="7" t="s">
        <v>161</v>
      </c>
      <c r="O279" s="104"/>
      <c r="P279" s="105"/>
      <c r="Q279" s="43">
        <f t="shared" si="409"/>
        <v>0</v>
      </c>
      <c r="R279" s="102"/>
      <c r="S279" s="103"/>
      <c r="T279" s="43">
        <f t="shared" si="410"/>
        <v>0</v>
      </c>
      <c r="U279" s="35"/>
      <c r="V279" s="8"/>
      <c r="W279" s="43">
        <f t="shared" si="411"/>
        <v>0</v>
      </c>
      <c r="X279" s="8">
        <f t="shared" si="412"/>
        <v>0</v>
      </c>
      <c r="Y279" s="52" t="s">
        <v>162</v>
      </c>
    </row>
    <row r="280" spans="2:25" ht="14.25" thickBot="1" x14ac:dyDescent="0.2">
      <c r="B280" s="7"/>
      <c r="C280" s="30"/>
      <c r="D280" s="25"/>
      <c r="E280" s="43">
        <f t="shared" si="365"/>
        <v>0</v>
      </c>
      <c r="F280" s="35"/>
      <c r="G280" s="8"/>
      <c r="H280" s="43">
        <f t="shared" si="375"/>
        <v>0</v>
      </c>
      <c r="I280" s="35"/>
      <c r="J280" s="8"/>
      <c r="K280" s="43">
        <f t="shared" si="376"/>
        <v>0</v>
      </c>
      <c r="L280" s="8">
        <f t="shared" si="368"/>
        <v>0</v>
      </c>
      <c r="M280" s="53"/>
      <c r="N280" s="7" t="s">
        <v>145</v>
      </c>
      <c r="O280" s="30"/>
      <c r="P280" s="25"/>
      <c r="Q280" s="43">
        <f t="shared" ref="Q280" si="414">SUM(O280:P280)</f>
        <v>0</v>
      </c>
      <c r="R280" s="102"/>
      <c r="S280" s="103"/>
      <c r="T280" s="43">
        <f t="shared" si="378"/>
        <v>0</v>
      </c>
      <c r="U280" s="30"/>
      <c r="V280" s="25"/>
      <c r="W280" s="43">
        <f t="shared" ref="W280" si="415">SUM(U280:V280)</f>
        <v>0</v>
      </c>
      <c r="X280" s="8">
        <f t="shared" si="380"/>
        <v>0</v>
      </c>
      <c r="Y280" s="52" t="s">
        <v>144</v>
      </c>
    </row>
    <row r="281" spans="2:25" ht="14.25" thickBot="1" x14ac:dyDescent="0.2">
      <c r="B281" s="5" t="s">
        <v>1</v>
      </c>
      <c r="C281" s="32">
        <f>SUM(C256:C280)</f>
        <v>7</v>
      </c>
      <c r="D281" s="19">
        <f>SUM(D256:D280)</f>
        <v>11</v>
      </c>
      <c r="E281" s="44">
        <f t="shared" si="365"/>
        <v>18</v>
      </c>
      <c r="F281" s="32">
        <f>SUM(F256:F280)</f>
        <v>8</v>
      </c>
      <c r="G281" s="19">
        <f>SUM(G256:G280)</f>
        <v>11</v>
      </c>
      <c r="H281" s="44">
        <f t="shared" si="375"/>
        <v>19</v>
      </c>
      <c r="I281" s="32">
        <f>SUM(I256:I280)</f>
        <v>9</v>
      </c>
      <c r="J281" s="19">
        <f>SUM(J256:J280)</f>
        <v>17</v>
      </c>
      <c r="K281" s="44">
        <f t="shared" si="376"/>
        <v>26</v>
      </c>
      <c r="L281" s="4">
        <f t="shared" si="368"/>
        <v>63</v>
      </c>
      <c r="N281" s="5" t="s">
        <v>1</v>
      </c>
      <c r="O281" s="32">
        <f>SUM(O256:O280)</f>
        <v>85</v>
      </c>
      <c r="P281" s="19">
        <f t="shared" ref="P281" si="416">SUM(P256:P280)</f>
        <v>82</v>
      </c>
      <c r="Q281" s="44">
        <f t="shared" ref="Q281" si="417">SUM(Q256:Q280)</f>
        <v>167</v>
      </c>
      <c r="R281" s="32">
        <f t="shared" ref="R281" si="418">SUM(R256:R280)</f>
        <v>163</v>
      </c>
      <c r="S281" s="19">
        <f t="shared" ref="S281" si="419">SUM(S256:S280)</f>
        <v>138</v>
      </c>
      <c r="T281" s="44">
        <f t="shared" ref="T281" si="420">SUM(T256:T280)</f>
        <v>301</v>
      </c>
      <c r="U281" s="32">
        <f t="shared" ref="U281" si="421">SUM(U256:U280)</f>
        <v>219</v>
      </c>
      <c r="V281" s="19">
        <f t="shared" ref="V281" si="422">SUM(V256:V280)</f>
        <v>177</v>
      </c>
      <c r="W281" s="44">
        <f t="shared" ref="W281" si="423">SUM(W256:W280)</f>
        <v>396</v>
      </c>
      <c r="X281" s="4">
        <f t="shared" ref="X281" si="424">SUM(X256:X280)</f>
        <v>864</v>
      </c>
    </row>
    <row r="282" spans="2:25" ht="14.25" thickBot="1" x14ac:dyDescent="0.2">
      <c r="B282" s="3" t="s">
        <v>0</v>
      </c>
      <c r="C282" s="34">
        <f>+C255-C281</f>
        <v>17</v>
      </c>
      <c r="D282" s="2">
        <f>+D255-D281</f>
        <v>13</v>
      </c>
      <c r="E282" s="45">
        <f t="shared" si="365"/>
        <v>30</v>
      </c>
      <c r="F282" s="34">
        <f>+F255-F281</f>
        <v>12</v>
      </c>
      <c r="G282" s="2">
        <f>+G255-G281</f>
        <v>9</v>
      </c>
      <c r="H282" s="45">
        <f t="shared" si="375"/>
        <v>21</v>
      </c>
      <c r="I282" s="34">
        <f>+I255-I281</f>
        <v>16</v>
      </c>
      <c r="J282" s="2">
        <f>+J255-J281</f>
        <v>9</v>
      </c>
      <c r="K282" s="45">
        <f t="shared" si="376"/>
        <v>25</v>
      </c>
      <c r="L282" s="2">
        <f t="shared" si="368"/>
        <v>76</v>
      </c>
      <c r="N282" s="3" t="s">
        <v>0</v>
      </c>
      <c r="O282" s="34">
        <f>+O255-O281</f>
        <v>516</v>
      </c>
      <c r="P282" s="2">
        <f t="shared" ref="P282" si="425">+P255-P281</f>
        <v>629</v>
      </c>
      <c r="Q282" s="45">
        <f t="shared" ref="Q282" si="426">+Q255-Q281</f>
        <v>1145</v>
      </c>
      <c r="R282" s="34">
        <f t="shared" ref="R282" si="427">+R255-R281</f>
        <v>488</v>
      </c>
      <c r="S282" s="2">
        <f t="shared" ref="S282" si="428">+S255-S281</f>
        <v>625</v>
      </c>
      <c r="T282" s="45">
        <f t="shared" ref="T282" si="429">+T255-T281</f>
        <v>1113</v>
      </c>
      <c r="U282" s="34">
        <f t="shared" ref="U282" si="430">+U255-U281</f>
        <v>481</v>
      </c>
      <c r="V282" s="2">
        <f t="shared" ref="V282" si="431">+V255-V281</f>
        <v>649</v>
      </c>
      <c r="W282" s="45">
        <f t="shared" ref="W282" si="432">+W255-W281</f>
        <v>1130</v>
      </c>
      <c r="X282" s="2">
        <f t="shared" ref="X282" si="433">+X255-X281</f>
        <v>3388</v>
      </c>
    </row>
    <row r="283" spans="2:25" x14ac:dyDescent="0.15">
      <c r="O283" s="98">
        <f>O281+O241</f>
        <v>276</v>
      </c>
      <c r="P283" s="98">
        <f t="shared" ref="P283:X283" si="434">P281+P241</f>
        <v>290</v>
      </c>
      <c r="Q283" s="98">
        <f t="shared" si="434"/>
        <v>566</v>
      </c>
      <c r="R283" s="98">
        <f t="shared" si="434"/>
        <v>388</v>
      </c>
      <c r="S283" s="98">
        <f t="shared" si="434"/>
        <v>384</v>
      </c>
      <c r="T283" s="98">
        <f t="shared" si="434"/>
        <v>772</v>
      </c>
      <c r="U283" s="98">
        <f t="shared" si="434"/>
        <v>473</v>
      </c>
      <c r="V283" s="98">
        <f t="shared" si="434"/>
        <v>419</v>
      </c>
      <c r="W283" s="98">
        <f t="shared" si="434"/>
        <v>892</v>
      </c>
      <c r="X283" s="98">
        <f t="shared" si="434"/>
        <v>2230</v>
      </c>
    </row>
    <row r="284" spans="2:25" x14ac:dyDescent="0.15">
      <c r="O284" s="90">
        <f>O283/$Q$283*100</f>
        <v>48.763250883392232</v>
      </c>
      <c r="P284" s="90">
        <f t="shared" ref="P284:Q284" si="435">P283/$Q$283*100</f>
        <v>51.236749116607768</v>
      </c>
      <c r="Q284" s="90">
        <f t="shared" si="435"/>
        <v>100</v>
      </c>
      <c r="R284" s="90">
        <f>R283/$T$283*100</f>
        <v>50.259067357512954</v>
      </c>
      <c r="S284" s="90">
        <f t="shared" ref="S284:T284" si="436">S283/$T$283*100</f>
        <v>49.740932642487046</v>
      </c>
      <c r="T284" s="90">
        <f t="shared" si="436"/>
        <v>100</v>
      </c>
      <c r="U284" s="90">
        <f>U283/$W$283*100</f>
        <v>53.026905829596416</v>
      </c>
      <c r="V284" s="90">
        <f t="shared" ref="V284:W284" si="437">V283/$W$283*100</f>
        <v>46.973094170403591</v>
      </c>
      <c r="W284" s="90">
        <f t="shared" si="437"/>
        <v>100</v>
      </c>
      <c r="X284" s="90"/>
    </row>
    <row r="285" spans="2:25" x14ac:dyDescent="0.15">
      <c r="O285" s="86"/>
      <c r="P285" s="87"/>
      <c r="Q285" s="87">
        <f>Q283/$X$283*100</f>
        <v>25.381165919282513</v>
      </c>
      <c r="R285" s="86"/>
      <c r="S285" s="86"/>
      <c r="T285" s="87">
        <f>T283/$X$283*100</f>
        <v>34.618834080717484</v>
      </c>
      <c r="U285" s="86"/>
      <c r="V285" s="86"/>
      <c r="W285" s="87">
        <f>W283/$X$283*100</f>
        <v>40</v>
      </c>
      <c r="X285" s="87">
        <v>100</v>
      </c>
    </row>
    <row r="286" spans="2:25" ht="18.75" x14ac:dyDescent="0.2">
      <c r="B286" s="23" t="s">
        <v>11</v>
      </c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N286" s="47" t="s">
        <v>25</v>
      </c>
      <c r="O286" s="48"/>
      <c r="P286" s="48"/>
      <c r="Q286" s="48"/>
      <c r="R286" s="48"/>
      <c r="S286" s="48"/>
      <c r="T286" s="48"/>
      <c r="U286" s="48"/>
      <c r="V286" s="48"/>
      <c r="W286" s="48"/>
      <c r="X286" s="48"/>
    </row>
    <row r="287" spans="2:25" ht="15" thickBot="1" x14ac:dyDescent="0.2">
      <c r="B287" s="22" t="s">
        <v>147</v>
      </c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N287" s="49" t="s">
        <v>148</v>
      </c>
      <c r="O287" s="48"/>
      <c r="P287" s="97"/>
      <c r="Q287" s="48"/>
      <c r="R287" s="48"/>
      <c r="S287" s="48"/>
      <c r="T287" s="48"/>
      <c r="U287" s="48"/>
      <c r="V287" s="48"/>
      <c r="W287" s="48"/>
      <c r="X287" s="48"/>
    </row>
    <row r="288" spans="2:25" ht="14.25" thickBot="1" x14ac:dyDescent="0.2">
      <c r="B288" s="20"/>
      <c r="C288" s="208" t="s">
        <v>9</v>
      </c>
      <c r="D288" s="209"/>
      <c r="E288" s="210"/>
      <c r="F288" s="208" t="s">
        <v>8</v>
      </c>
      <c r="G288" s="209"/>
      <c r="H288" s="210"/>
      <c r="I288" s="208" t="s">
        <v>7</v>
      </c>
      <c r="J288" s="209"/>
      <c r="K288" s="210"/>
      <c r="L288" s="19"/>
      <c r="N288" s="20"/>
      <c r="O288" s="208" t="s">
        <v>9</v>
      </c>
      <c r="P288" s="209"/>
      <c r="Q288" s="210"/>
      <c r="R288" s="208" t="s">
        <v>8</v>
      </c>
      <c r="S288" s="209"/>
      <c r="T288" s="210"/>
      <c r="U288" s="208" t="s">
        <v>7</v>
      </c>
      <c r="V288" s="209"/>
      <c r="W288" s="210"/>
      <c r="X288" s="19"/>
    </row>
    <row r="289" spans="2:25" ht="14.25" thickBot="1" x14ac:dyDescent="0.2">
      <c r="B289" s="18"/>
      <c r="C289" s="28" t="s">
        <v>6</v>
      </c>
      <c r="D289" s="17" t="s">
        <v>5</v>
      </c>
      <c r="E289" s="38" t="s">
        <v>4</v>
      </c>
      <c r="F289" s="28" t="s">
        <v>6</v>
      </c>
      <c r="G289" s="17" t="s">
        <v>5</v>
      </c>
      <c r="H289" s="38" t="s">
        <v>4</v>
      </c>
      <c r="I289" s="28" t="s">
        <v>6</v>
      </c>
      <c r="J289" s="17" t="s">
        <v>5</v>
      </c>
      <c r="K289" s="38" t="s">
        <v>4</v>
      </c>
      <c r="L289" s="17" t="s">
        <v>4</v>
      </c>
      <c r="N289" s="18"/>
      <c r="O289" s="28" t="s">
        <v>6</v>
      </c>
      <c r="P289" s="17" t="s">
        <v>5</v>
      </c>
      <c r="Q289" s="38" t="s">
        <v>4</v>
      </c>
      <c r="R289" s="28" t="s">
        <v>6</v>
      </c>
      <c r="S289" s="17" t="s">
        <v>5</v>
      </c>
      <c r="T289" s="38" t="s">
        <v>4</v>
      </c>
      <c r="U289" s="28" t="s">
        <v>6</v>
      </c>
      <c r="V289" s="17" t="s">
        <v>5</v>
      </c>
      <c r="W289" s="38" t="s">
        <v>4</v>
      </c>
      <c r="X289" s="17" t="s">
        <v>4</v>
      </c>
    </row>
    <row r="290" spans="2:25" x14ac:dyDescent="0.15">
      <c r="B290" s="66" t="s">
        <v>0</v>
      </c>
      <c r="C290" s="67">
        <f>C282</f>
        <v>17</v>
      </c>
      <c r="D290" s="68">
        <f t="shared" ref="D290:K290" si="438">D282</f>
        <v>13</v>
      </c>
      <c r="E290" s="69">
        <f t="shared" si="438"/>
        <v>30</v>
      </c>
      <c r="F290" s="67">
        <f t="shared" si="438"/>
        <v>12</v>
      </c>
      <c r="G290" s="68">
        <f t="shared" si="438"/>
        <v>9</v>
      </c>
      <c r="H290" s="69">
        <f t="shared" si="438"/>
        <v>21</v>
      </c>
      <c r="I290" s="67">
        <f t="shared" si="438"/>
        <v>16</v>
      </c>
      <c r="J290" s="68">
        <f t="shared" si="438"/>
        <v>9</v>
      </c>
      <c r="K290" s="69">
        <f t="shared" si="438"/>
        <v>25</v>
      </c>
      <c r="L290" s="70">
        <f t="shared" ref="L290:L323" si="439">SUM(K290,H290,E290)</f>
        <v>76</v>
      </c>
      <c r="N290" s="66" t="s">
        <v>0</v>
      </c>
      <c r="O290" s="72">
        <f>O282</f>
        <v>516</v>
      </c>
      <c r="P290" s="80">
        <f t="shared" ref="P290:X290" si="440">P282</f>
        <v>629</v>
      </c>
      <c r="Q290" s="69">
        <f t="shared" si="440"/>
        <v>1145</v>
      </c>
      <c r="R290" s="72">
        <f t="shared" si="440"/>
        <v>488</v>
      </c>
      <c r="S290" s="80">
        <f t="shared" si="440"/>
        <v>625</v>
      </c>
      <c r="T290" s="69">
        <f t="shared" si="440"/>
        <v>1113</v>
      </c>
      <c r="U290" s="72">
        <f t="shared" si="440"/>
        <v>481</v>
      </c>
      <c r="V290" s="80">
        <f t="shared" si="440"/>
        <v>649</v>
      </c>
      <c r="W290" s="69">
        <f t="shared" si="440"/>
        <v>1130</v>
      </c>
      <c r="X290" s="70">
        <f t="shared" si="440"/>
        <v>3388</v>
      </c>
    </row>
    <row r="291" spans="2:25" x14ac:dyDescent="0.15">
      <c r="B291" s="7" t="s">
        <v>185</v>
      </c>
      <c r="C291" s="30">
        <v>1</v>
      </c>
      <c r="D291" s="25"/>
      <c r="E291" s="43">
        <f t="shared" ref="E291" si="441">SUM(C291:D291)</f>
        <v>1</v>
      </c>
      <c r="F291" s="35">
        <v>1</v>
      </c>
      <c r="G291" s="8"/>
      <c r="H291" s="43">
        <f t="shared" ref="H291" si="442">SUM(F291:G291)</f>
        <v>1</v>
      </c>
      <c r="I291" s="35">
        <v>1</v>
      </c>
      <c r="J291" s="8"/>
      <c r="K291" s="43">
        <f t="shared" ref="K291" si="443">SUM(I291:J291)</f>
        <v>1</v>
      </c>
      <c r="L291" s="8">
        <f t="shared" si="439"/>
        <v>3</v>
      </c>
      <c r="M291" s="53">
        <v>45388</v>
      </c>
      <c r="N291" s="16" t="s">
        <v>222</v>
      </c>
      <c r="O291" s="62">
        <v>41</v>
      </c>
      <c r="P291" s="81">
        <v>17</v>
      </c>
      <c r="Q291" s="40">
        <f t="shared" ref="Q291:Q321" si="444">SUM(O291:P291)</f>
        <v>58</v>
      </c>
      <c r="R291" s="78">
        <v>20</v>
      </c>
      <c r="S291" s="82">
        <v>6</v>
      </c>
      <c r="T291" s="40">
        <f t="shared" ref="T291:T321" si="445">SUM(R291:S291)</f>
        <v>26</v>
      </c>
      <c r="U291" s="78">
        <v>21</v>
      </c>
      <c r="V291" s="82">
        <v>6</v>
      </c>
      <c r="W291" s="40">
        <f t="shared" ref="W291:W321" si="446">SUM(U291:V291)</f>
        <v>27</v>
      </c>
      <c r="X291" s="25">
        <f t="shared" ref="X291:X321" si="447">SUM(W291,T291,Q291)</f>
        <v>111</v>
      </c>
      <c r="Y291" s="53">
        <v>45432</v>
      </c>
    </row>
    <row r="292" spans="2:25" x14ac:dyDescent="0.15">
      <c r="B292" s="16" t="s">
        <v>3</v>
      </c>
      <c r="C292" s="30"/>
      <c r="D292" s="25"/>
      <c r="E292" s="40">
        <f t="shared" ref="E292:E323" si="448">SUM(C292:D292)</f>
        <v>0</v>
      </c>
      <c r="F292" s="35"/>
      <c r="G292" s="8">
        <v>10</v>
      </c>
      <c r="H292" s="40">
        <f t="shared" ref="H292:H323" si="449">SUM(F292:G292)</f>
        <v>10</v>
      </c>
      <c r="I292" s="35"/>
      <c r="J292" s="8">
        <v>10</v>
      </c>
      <c r="K292" s="40">
        <f t="shared" ref="K292:K323" si="450">SUM(I292:J292)</f>
        <v>10</v>
      </c>
      <c r="L292" s="9">
        <f t="shared" si="439"/>
        <v>20</v>
      </c>
      <c r="M292" s="53">
        <v>45412</v>
      </c>
      <c r="N292" s="55" t="s">
        <v>3</v>
      </c>
      <c r="O292" s="62"/>
      <c r="P292" s="81"/>
      <c r="Q292" s="40">
        <f t="shared" ref="Q292" si="451">SUM(O292:P292)</f>
        <v>0</v>
      </c>
      <c r="R292" s="78"/>
      <c r="S292" s="82"/>
      <c r="T292" s="40">
        <f t="shared" ref="T292" si="452">SUM(R292:S292)</f>
        <v>0</v>
      </c>
      <c r="U292" s="78"/>
      <c r="V292" s="82"/>
      <c r="W292" s="40">
        <f t="shared" ref="W292" si="453">SUM(U292:V292)</f>
        <v>0</v>
      </c>
      <c r="X292" s="25">
        <f t="shared" ref="X292" si="454">SUM(W292,T292,Q292)</f>
        <v>0</v>
      </c>
    </row>
    <row r="293" spans="2:25" x14ac:dyDescent="0.15">
      <c r="B293" s="16" t="s">
        <v>214</v>
      </c>
      <c r="C293" s="30"/>
      <c r="D293" s="25"/>
      <c r="E293" s="40">
        <f t="shared" si="448"/>
        <v>0</v>
      </c>
      <c r="F293" s="35"/>
      <c r="G293" s="8"/>
      <c r="H293" s="40">
        <f t="shared" si="449"/>
        <v>0</v>
      </c>
      <c r="I293" s="35">
        <v>4</v>
      </c>
      <c r="J293" s="8"/>
      <c r="K293" s="40">
        <f t="shared" si="450"/>
        <v>4</v>
      </c>
      <c r="L293" s="9">
        <f t="shared" si="439"/>
        <v>4</v>
      </c>
      <c r="M293" s="53">
        <v>45419</v>
      </c>
      <c r="N293" s="55" t="s">
        <v>3</v>
      </c>
      <c r="O293" s="62"/>
      <c r="P293" s="81"/>
      <c r="Q293" s="40">
        <f t="shared" si="444"/>
        <v>0</v>
      </c>
      <c r="R293" s="78"/>
      <c r="S293" s="82"/>
      <c r="T293" s="40">
        <f t="shared" si="445"/>
        <v>0</v>
      </c>
      <c r="U293" s="78"/>
      <c r="V293" s="82"/>
      <c r="W293" s="40">
        <f t="shared" si="446"/>
        <v>0</v>
      </c>
      <c r="X293" s="25">
        <f t="shared" si="447"/>
        <v>0</v>
      </c>
    </row>
    <row r="294" spans="2:25" x14ac:dyDescent="0.15">
      <c r="B294" s="16" t="s">
        <v>3</v>
      </c>
      <c r="C294" s="30"/>
      <c r="D294" s="25">
        <v>5</v>
      </c>
      <c r="E294" s="40">
        <f t="shared" si="448"/>
        <v>5</v>
      </c>
      <c r="F294" s="35">
        <v>10</v>
      </c>
      <c r="G294" s="8">
        <v>10</v>
      </c>
      <c r="H294" s="40">
        <f t="shared" si="449"/>
        <v>20</v>
      </c>
      <c r="I294" s="35">
        <v>5</v>
      </c>
      <c r="J294" s="8">
        <v>5</v>
      </c>
      <c r="K294" s="40">
        <f t="shared" si="450"/>
        <v>10</v>
      </c>
      <c r="L294" s="9">
        <f t="shared" si="439"/>
        <v>35</v>
      </c>
      <c r="M294" s="53">
        <v>45430</v>
      </c>
      <c r="N294" s="55" t="s">
        <v>3</v>
      </c>
      <c r="O294" s="62"/>
      <c r="P294" s="81"/>
      <c r="Q294" s="40">
        <f t="shared" si="444"/>
        <v>0</v>
      </c>
      <c r="R294" s="78"/>
      <c r="S294" s="82"/>
      <c r="T294" s="40">
        <f t="shared" si="445"/>
        <v>0</v>
      </c>
      <c r="U294" s="78"/>
      <c r="V294" s="82"/>
      <c r="W294" s="40">
        <f t="shared" si="446"/>
        <v>0</v>
      </c>
      <c r="X294" s="25">
        <f t="shared" si="447"/>
        <v>0</v>
      </c>
    </row>
    <row r="295" spans="2:25" ht="14.25" thickBot="1" x14ac:dyDescent="0.2">
      <c r="B295" s="15" t="s">
        <v>3</v>
      </c>
      <c r="C295" s="31"/>
      <c r="D295" s="26"/>
      <c r="E295" s="41">
        <f t="shared" si="448"/>
        <v>0</v>
      </c>
      <c r="F295" s="36"/>
      <c r="G295" s="6"/>
      <c r="H295" s="41">
        <f t="shared" si="449"/>
        <v>0</v>
      </c>
      <c r="I295" s="36"/>
      <c r="J295" s="6"/>
      <c r="K295" s="41">
        <f t="shared" si="450"/>
        <v>0</v>
      </c>
      <c r="L295" s="14">
        <f t="shared" si="439"/>
        <v>0</v>
      </c>
      <c r="N295" s="75" t="s">
        <v>3</v>
      </c>
      <c r="O295" s="76"/>
      <c r="P295" s="83"/>
      <c r="Q295" s="41">
        <f t="shared" si="444"/>
        <v>0</v>
      </c>
      <c r="R295" s="76"/>
      <c r="S295" s="83"/>
      <c r="T295" s="41">
        <f t="shared" si="445"/>
        <v>0</v>
      </c>
      <c r="U295" s="76"/>
      <c r="V295" s="83"/>
      <c r="W295" s="41">
        <f t="shared" si="446"/>
        <v>0</v>
      </c>
      <c r="X295" s="77">
        <f t="shared" si="447"/>
        <v>0</v>
      </c>
    </row>
    <row r="296" spans="2:25" ht="14.25" thickBot="1" x14ac:dyDescent="0.2">
      <c r="B296" s="5" t="s">
        <v>2</v>
      </c>
      <c r="C296" s="32">
        <f>SUM(C290:C295)</f>
        <v>18</v>
      </c>
      <c r="D296" s="19">
        <f>SUM(D290:D295)</f>
        <v>18</v>
      </c>
      <c r="E296" s="42">
        <f t="shared" si="448"/>
        <v>36</v>
      </c>
      <c r="F296" s="32">
        <f>SUM(F290:F295)</f>
        <v>23</v>
      </c>
      <c r="G296" s="19">
        <f>SUM(G290:G295)</f>
        <v>29</v>
      </c>
      <c r="H296" s="42">
        <f t="shared" si="449"/>
        <v>52</v>
      </c>
      <c r="I296" s="32">
        <f>SUM(I290:I295)</f>
        <v>26</v>
      </c>
      <c r="J296" s="19">
        <f>SUM(J290:J295)</f>
        <v>24</v>
      </c>
      <c r="K296" s="42">
        <f t="shared" si="450"/>
        <v>50</v>
      </c>
      <c r="L296" s="13">
        <f t="shared" si="439"/>
        <v>138</v>
      </c>
      <c r="N296" s="63" t="s">
        <v>2</v>
      </c>
      <c r="O296" s="32">
        <f>SUM(O290:O295)</f>
        <v>557</v>
      </c>
      <c r="P296" s="19">
        <f t="shared" ref="P296" si="455">SUM(P290:P295)</f>
        <v>646</v>
      </c>
      <c r="Q296" s="42">
        <f t="shared" ref="Q296" si="456">SUM(Q290:Q295)</f>
        <v>1203</v>
      </c>
      <c r="R296" s="32">
        <f t="shared" ref="R296" si="457">SUM(R290:R295)</f>
        <v>508</v>
      </c>
      <c r="S296" s="19">
        <f t="shared" ref="S296" si="458">SUM(S290:S295)</f>
        <v>631</v>
      </c>
      <c r="T296" s="42">
        <f t="shared" ref="T296" si="459">SUM(T290:T295)</f>
        <v>1139</v>
      </c>
      <c r="U296" s="32">
        <f t="shared" ref="U296" si="460">SUM(U290:U295)</f>
        <v>502</v>
      </c>
      <c r="V296" s="19">
        <f t="shared" ref="V296" si="461">SUM(V290:V295)</f>
        <v>655</v>
      </c>
      <c r="W296" s="42">
        <f t="shared" ref="W296" si="462">SUM(W290:W295)</f>
        <v>1157</v>
      </c>
      <c r="X296" s="13">
        <f t="shared" ref="X296" si="463">SUM(X290:X295)</f>
        <v>3499</v>
      </c>
    </row>
    <row r="297" spans="2:25" x14ac:dyDescent="0.15">
      <c r="B297" s="7" t="s">
        <v>12</v>
      </c>
      <c r="C297" s="30"/>
      <c r="D297" s="25"/>
      <c r="E297" s="43">
        <f>SUM(C297:D297)</f>
        <v>0</v>
      </c>
      <c r="F297" s="35"/>
      <c r="G297" s="8">
        <v>1</v>
      </c>
      <c r="H297" s="43">
        <f t="shared" si="449"/>
        <v>1</v>
      </c>
      <c r="I297" s="35"/>
      <c r="J297" s="8"/>
      <c r="K297" s="43">
        <f t="shared" si="450"/>
        <v>0</v>
      </c>
      <c r="L297" s="8">
        <f t="shared" si="439"/>
        <v>1</v>
      </c>
      <c r="M297" s="53">
        <v>45404</v>
      </c>
      <c r="N297" s="7" t="s">
        <v>191</v>
      </c>
      <c r="O297" s="30">
        <v>30</v>
      </c>
      <c r="P297" s="25">
        <v>20</v>
      </c>
      <c r="Q297" s="43">
        <f t="shared" si="444"/>
        <v>50</v>
      </c>
      <c r="R297" s="35">
        <v>20</v>
      </c>
      <c r="S297" s="8"/>
      <c r="T297" s="43">
        <f t="shared" si="445"/>
        <v>20</v>
      </c>
      <c r="U297" s="35"/>
      <c r="V297" s="8">
        <v>20</v>
      </c>
      <c r="W297" s="43">
        <f t="shared" si="446"/>
        <v>20</v>
      </c>
      <c r="X297" s="8">
        <f t="shared" si="447"/>
        <v>90</v>
      </c>
      <c r="Y297" s="53">
        <v>45419</v>
      </c>
    </row>
    <row r="298" spans="2:25" x14ac:dyDescent="0.15">
      <c r="B298" s="7" t="s">
        <v>12</v>
      </c>
      <c r="C298" s="30"/>
      <c r="D298" s="25"/>
      <c r="E298" s="43">
        <f t="shared" si="448"/>
        <v>0</v>
      </c>
      <c r="F298" s="35"/>
      <c r="G298" s="8">
        <v>3</v>
      </c>
      <c r="H298" s="43">
        <f t="shared" si="449"/>
        <v>3</v>
      </c>
      <c r="I298" s="35"/>
      <c r="J298" s="8"/>
      <c r="K298" s="43">
        <f t="shared" si="450"/>
        <v>0</v>
      </c>
      <c r="L298" s="8">
        <f t="shared" si="439"/>
        <v>3</v>
      </c>
      <c r="M298" s="53">
        <v>45407</v>
      </c>
      <c r="N298" s="7" t="s">
        <v>198</v>
      </c>
      <c r="O298" s="30">
        <v>50</v>
      </c>
      <c r="P298" s="25">
        <v>30</v>
      </c>
      <c r="Q298" s="43">
        <f t="shared" si="444"/>
        <v>80</v>
      </c>
      <c r="R298" s="35">
        <v>20</v>
      </c>
      <c r="S298" s="8">
        <v>20</v>
      </c>
      <c r="T298" s="43">
        <f t="shared" si="445"/>
        <v>40</v>
      </c>
      <c r="U298" s="35">
        <v>20</v>
      </c>
      <c r="V298" s="8">
        <v>22</v>
      </c>
      <c r="W298" s="43">
        <f t="shared" si="446"/>
        <v>42</v>
      </c>
      <c r="X298" s="8">
        <f t="shared" si="447"/>
        <v>162</v>
      </c>
      <c r="Y298" s="53">
        <v>45406</v>
      </c>
    </row>
    <row r="299" spans="2:25" x14ac:dyDescent="0.15">
      <c r="B299" s="7" t="s">
        <v>12</v>
      </c>
      <c r="C299" s="30"/>
      <c r="D299" s="25">
        <v>1</v>
      </c>
      <c r="E299" s="43">
        <f t="shared" si="448"/>
        <v>1</v>
      </c>
      <c r="F299" s="35"/>
      <c r="G299" s="8">
        <v>1</v>
      </c>
      <c r="H299" s="43">
        <f t="shared" si="449"/>
        <v>1</v>
      </c>
      <c r="I299" s="35">
        <v>1</v>
      </c>
      <c r="J299" s="8">
        <v>2</v>
      </c>
      <c r="K299" s="43">
        <f t="shared" si="450"/>
        <v>3</v>
      </c>
      <c r="L299" s="8">
        <f t="shared" si="439"/>
        <v>5</v>
      </c>
      <c r="M299" s="53">
        <v>45412</v>
      </c>
      <c r="N299" s="7" t="s">
        <v>202</v>
      </c>
      <c r="O299" s="30"/>
      <c r="P299" s="25">
        <v>3</v>
      </c>
      <c r="Q299" s="43">
        <f t="shared" si="444"/>
        <v>3</v>
      </c>
      <c r="R299" s="35"/>
      <c r="S299" s="8"/>
      <c r="T299" s="43">
        <f t="shared" si="445"/>
        <v>0</v>
      </c>
      <c r="U299" s="35">
        <v>4</v>
      </c>
      <c r="V299" s="8"/>
      <c r="W299" s="43">
        <f t="shared" si="446"/>
        <v>4</v>
      </c>
      <c r="X299" s="8">
        <f t="shared" si="447"/>
        <v>7</v>
      </c>
      <c r="Y299" s="53">
        <v>45413</v>
      </c>
    </row>
    <row r="300" spans="2:25" x14ac:dyDescent="0.15">
      <c r="B300" s="7" t="s">
        <v>210</v>
      </c>
      <c r="C300" s="30"/>
      <c r="D300" s="25"/>
      <c r="E300" s="43">
        <f t="shared" si="448"/>
        <v>0</v>
      </c>
      <c r="F300" s="35"/>
      <c r="G300" s="8"/>
      <c r="H300" s="43">
        <f t="shared" si="449"/>
        <v>0</v>
      </c>
      <c r="I300" s="35">
        <v>4</v>
      </c>
      <c r="J300" s="8">
        <v>-4</v>
      </c>
      <c r="K300" s="43">
        <f t="shared" si="450"/>
        <v>0</v>
      </c>
      <c r="L300" s="8">
        <f t="shared" si="439"/>
        <v>0</v>
      </c>
      <c r="M300" s="53">
        <v>45413</v>
      </c>
      <c r="N300" s="7" t="s">
        <v>206</v>
      </c>
      <c r="O300" s="30">
        <v>30</v>
      </c>
      <c r="P300" s="25">
        <v>120</v>
      </c>
      <c r="Q300" s="43">
        <f t="shared" si="444"/>
        <v>150</v>
      </c>
      <c r="R300" s="35">
        <v>30</v>
      </c>
      <c r="S300" s="8">
        <v>80</v>
      </c>
      <c r="T300" s="43">
        <f t="shared" si="445"/>
        <v>110</v>
      </c>
      <c r="U300" s="35">
        <v>40</v>
      </c>
      <c r="V300" s="8">
        <v>50</v>
      </c>
      <c r="W300" s="43">
        <f t="shared" si="446"/>
        <v>90</v>
      </c>
      <c r="X300" s="8">
        <f t="shared" si="447"/>
        <v>350</v>
      </c>
      <c r="Y300" s="53">
        <v>45418</v>
      </c>
    </row>
    <row r="301" spans="2:25" x14ac:dyDescent="0.15">
      <c r="B301" s="7" t="s">
        <v>12</v>
      </c>
      <c r="C301" s="30"/>
      <c r="D301" s="25"/>
      <c r="E301" s="43">
        <f t="shared" si="448"/>
        <v>0</v>
      </c>
      <c r="F301" s="35"/>
      <c r="G301" s="8">
        <v>1</v>
      </c>
      <c r="H301" s="43">
        <f t="shared" si="449"/>
        <v>1</v>
      </c>
      <c r="I301" s="35"/>
      <c r="J301" s="8">
        <v>1</v>
      </c>
      <c r="K301" s="43">
        <f t="shared" si="450"/>
        <v>1</v>
      </c>
      <c r="L301" s="8">
        <f t="shared" si="439"/>
        <v>2</v>
      </c>
      <c r="M301" s="53">
        <v>45413</v>
      </c>
      <c r="N301" s="7" t="s">
        <v>28</v>
      </c>
      <c r="O301" s="30"/>
      <c r="P301" s="25"/>
      <c r="Q301" s="43">
        <f t="shared" si="444"/>
        <v>0</v>
      </c>
      <c r="R301" s="35"/>
      <c r="S301" s="8">
        <v>10</v>
      </c>
      <c r="T301" s="43">
        <f t="shared" si="445"/>
        <v>10</v>
      </c>
      <c r="U301" s="35"/>
      <c r="V301" s="8">
        <v>10</v>
      </c>
      <c r="W301" s="43">
        <f t="shared" si="446"/>
        <v>10</v>
      </c>
      <c r="X301" s="8">
        <f t="shared" si="447"/>
        <v>20</v>
      </c>
      <c r="Y301" s="53">
        <v>45412</v>
      </c>
    </row>
    <row r="302" spans="2:25" x14ac:dyDescent="0.15">
      <c r="B302" s="7" t="s">
        <v>12</v>
      </c>
      <c r="C302" s="30"/>
      <c r="D302" s="25">
        <v>1</v>
      </c>
      <c r="E302" s="43">
        <f t="shared" si="448"/>
        <v>1</v>
      </c>
      <c r="F302" s="35">
        <v>3</v>
      </c>
      <c r="G302" s="8">
        <v>1</v>
      </c>
      <c r="H302" s="43">
        <f t="shared" si="449"/>
        <v>4</v>
      </c>
      <c r="I302" s="35">
        <v>1</v>
      </c>
      <c r="J302" s="8"/>
      <c r="K302" s="43">
        <f t="shared" si="450"/>
        <v>1</v>
      </c>
      <c r="L302" s="8">
        <f t="shared" si="439"/>
        <v>6</v>
      </c>
      <c r="M302" s="53">
        <v>45419</v>
      </c>
      <c r="N302" s="7" t="s">
        <v>208</v>
      </c>
      <c r="O302" s="30">
        <v>6</v>
      </c>
      <c r="P302" s="25">
        <v>3</v>
      </c>
      <c r="Q302" s="43">
        <f t="shared" si="444"/>
        <v>9</v>
      </c>
      <c r="R302" s="35"/>
      <c r="S302" s="8"/>
      <c r="T302" s="43">
        <f t="shared" si="445"/>
        <v>0</v>
      </c>
      <c r="U302" s="35">
        <v>1</v>
      </c>
      <c r="V302" s="8">
        <v>6</v>
      </c>
      <c r="W302" s="43">
        <f t="shared" si="446"/>
        <v>7</v>
      </c>
      <c r="X302" s="8">
        <f t="shared" si="447"/>
        <v>16</v>
      </c>
      <c r="Y302" s="53">
        <v>45420</v>
      </c>
    </row>
    <row r="303" spans="2:25" x14ac:dyDescent="0.15">
      <c r="B303" s="7" t="s">
        <v>215</v>
      </c>
      <c r="C303" s="30"/>
      <c r="D303" s="25"/>
      <c r="E303" s="43">
        <f t="shared" si="448"/>
        <v>0</v>
      </c>
      <c r="F303" s="35"/>
      <c r="G303" s="8"/>
      <c r="H303" s="43">
        <f t="shared" si="449"/>
        <v>0</v>
      </c>
      <c r="I303" s="35">
        <v>2</v>
      </c>
      <c r="J303" s="8"/>
      <c r="K303" s="43">
        <f t="shared" si="450"/>
        <v>2</v>
      </c>
      <c r="L303" s="8">
        <f t="shared" si="439"/>
        <v>2</v>
      </c>
      <c r="M303" s="53">
        <v>45422</v>
      </c>
      <c r="N303" s="7" t="s">
        <v>209</v>
      </c>
      <c r="O303" s="30">
        <v>15</v>
      </c>
      <c r="P303" s="25">
        <v>15</v>
      </c>
      <c r="Q303" s="43">
        <f t="shared" si="444"/>
        <v>30</v>
      </c>
      <c r="R303" s="35">
        <v>20</v>
      </c>
      <c r="S303" s="8">
        <v>25</v>
      </c>
      <c r="T303" s="43">
        <f t="shared" si="445"/>
        <v>45</v>
      </c>
      <c r="U303" s="35">
        <v>25</v>
      </c>
      <c r="V303" s="8">
        <v>10</v>
      </c>
      <c r="W303" s="43">
        <f t="shared" si="446"/>
        <v>35</v>
      </c>
      <c r="X303" s="8">
        <f t="shared" si="447"/>
        <v>110</v>
      </c>
      <c r="Y303" s="53">
        <v>45414</v>
      </c>
    </row>
    <row r="304" spans="2:25" x14ac:dyDescent="0.15">
      <c r="B304" s="7" t="s">
        <v>12</v>
      </c>
      <c r="C304" s="30"/>
      <c r="D304" s="25"/>
      <c r="E304" s="43">
        <f t="shared" si="448"/>
        <v>0</v>
      </c>
      <c r="F304" s="35"/>
      <c r="G304" s="8"/>
      <c r="H304" s="43">
        <f t="shared" si="449"/>
        <v>0</v>
      </c>
      <c r="I304" s="35"/>
      <c r="J304" s="8">
        <v>2</v>
      </c>
      <c r="K304" s="43">
        <f t="shared" si="450"/>
        <v>2</v>
      </c>
      <c r="L304" s="8">
        <f t="shared" si="439"/>
        <v>2</v>
      </c>
      <c r="M304" s="53">
        <v>45420</v>
      </c>
      <c r="N304" s="7" t="s">
        <v>212</v>
      </c>
      <c r="O304" s="30"/>
      <c r="P304" s="25">
        <v>7</v>
      </c>
      <c r="Q304" s="43">
        <f t="shared" si="444"/>
        <v>7</v>
      </c>
      <c r="R304" s="35">
        <v>15</v>
      </c>
      <c r="S304" s="8"/>
      <c r="T304" s="43">
        <f t="shared" si="445"/>
        <v>15</v>
      </c>
      <c r="U304" s="35"/>
      <c r="V304" s="8">
        <v>5</v>
      </c>
      <c r="W304" s="43">
        <f t="shared" si="446"/>
        <v>5</v>
      </c>
      <c r="X304" s="8">
        <f t="shared" si="447"/>
        <v>27</v>
      </c>
      <c r="Y304" s="53">
        <v>45415</v>
      </c>
    </row>
    <row r="305" spans="2:25" x14ac:dyDescent="0.15">
      <c r="B305" s="7" t="s">
        <v>29</v>
      </c>
      <c r="C305" s="30"/>
      <c r="D305" s="25"/>
      <c r="E305" s="43">
        <f t="shared" si="448"/>
        <v>0</v>
      </c>
      <c r="F305" s="35">
        <v>1</v>
      </c>
      <c r="G305" s="8"/>
      <c r="H305" s="43">
        <f t="shared" si="449"/>
        <v>1</v>
      </c>
      <c r="I305" s="35"/>
      <c r="J305" s="8"/>
      <c r="K305" s="43">
        <f t="shared" si="450"/>
        <v>0</v>
      </c>
      <c r="L305" s="8">
        <f t="shared" si="439"/>
        <v>1</v>
      </c>
      <c r="M305" s="53">
        <v>45425</v>
      </c>
      <c r="N305" s="7" t="s">
        <v>217</v>
      </c>
      <c r="O305" s="30"/>
      <c r="P305" s="25">
        <v>2</v>
      </c>
      <c r="Q305" s="43">
        <f t="shared" ref="Q305:Q316" si="464">SUM(O305:P305)</f>
        <v>2</v>
      </c>
      <c r="R305" s="35"/>
      <c r="S305" s="8"/>
      <c r="T305" s="43">
        <f t="shared" ref="T305:T316" si="465">SUM(R305:S305)</f>
        <v>0</v>
      </c>
      <c r="U305" s="35">
        <v>1</v>
      </c>
      <c r="V305" s="8"/>
      <c r="W305" s="43">
        <f t="shared" ref="W305:W316" si="466">SUM(U305:V305)</f>
        <v>1</v>
      </c>
      <c r="X305" s="8">
        <f t="shared" ref="X305:X316" si="467">SUM(W305,T305,Q305)</f>
        <v>3</v>
      </c>
      <c r="Y305" s="53">
        <v>45426</v>
      </c>
    </row>
    <row r="306" spans="2:25" x14ac:dyDescent="0.15">
      <c r="B306" s="7" t="s">
        <v>12</v>
      </c>
      <c r="C306" s="30"/>
      <c r="D306" s="25"/>
      <c r="E306" s="43">
        <f t="shared" si="448"/>
        <v>0</v>
      </c>
      <c r="F306" s="35">
        <v>1</v>
      </c>
      <c r="G306" s="8"/>
      <c r="H306" s="43">
        <f t="shared" si="449"/>
        <v>1</v>
      </c>
      <c r="I306" s="35">
        <v>1</v>
      </c>
      <c r="J306" s="8"/>
      <c r="K306" s="43">
        <f t="shared" si="450"/>
        <v>1</v>
      </c>
      <c r="L306" s="8">
        <f t="shared" si="439"/>
        <v>2</v>
      </c>
      <c r="M306" s="53">
        <v>45422</v>
      </c>
      <c r="N306" s="7" t="s">
        <v>218</v>
      </c>
      <c r="O306" s="30"/>
      <c r="P306" s="25"/>
      <c r="Q306" s="43">
        <f t="shared" si="464"/>
        <v>0</v>
      </c>
      <c r="R306" s="35"/>
      <c r="S306" s="8"/>
      <c r="T306" s="43">
        <f t="shared" si="465"/>
        <v>0</v>
      </c>
      <c r="U306" s="35">
        <v>28</v>
      </c>
      <c r="V306" s="8">
        <v>16</v>
      </c>
      <c r="W306" s="43">
        <f t="shared" si="466"/>
        <v>44</v>
      </c>
      <c r="X306" s="8">
        <f t="shared" si="467"/>
        <v>44</v>
      </c>
      <c r="Y306" s="53">
        <v>45425</v>
      </c>
    </row>
    <row r="307" spans="2:25" x14ac:dyDescent="0.15">
      <c r="B307" s="7" t="s">
        <v>226</v>
      </c>
      <c r="C307" s="33">
        <v>1</v>
      </c>
      <c r="D307" s="27"/>
      <c r="E307" s="43">
        <f t="shared" si="448"/>
        <v>1</v>
      </c>
      <c r="F307" s="37"/>
      <c r="G307" s="10"/>
      <c r="H307" s="43">
        <f t="shared" si="449"/>
        <v>0</v>
      </c>
      <c r="I307" s="37">
        <v>1</v>
      </c>
      <c r="J307" s="10"/>
      <c r="K307" s="43">
        <f t="shared" si="450"/>
        <v>1</v>
      </c>
      <c r="L307" s="8">
        <f t="shared" si="439"/>
        <v>2</v>
      </c>
      <c r="M307" s="53">
        <v>45425</v>
      </c>
      <c r="N307" s="7" t="s">
        <v>220</v>
      </c>
      <c r="O307" s="30">
        <v>6</v>
      </c>
      <c r="P307" s="25">
        <v>6</v>
      </c>
      <c r="Q307" s="43">
        <f t="shared" si="464"/>
        <v>12</v>
      </c>
      <c r="R307" s="35">
        <v>9</v>
      </c>
      <c r="S307" s="8">
        <v>9</v>
      </c>
      <c r="T307" s="43">
        <f t="shared" si="465"/>
        <v>18</v>
      </c>
      <c r="U307" s="35">
        <v>9</v>
      </c>
      <c r="V307" s="8">
        <v>9</v>
      </c>
      <c r="W307" s="43">
        <f t="shared" si="466"/>
        <v>18</v>
      </c>
      <c r="X307" s="8">
        <f t="shared" si="467"/>
        <v>48</v>
      </c>
      <c r="Y307" s="53">
        <v>45429</v>
      </c>
    </row>
    <row r="308" spans="2:25" x14ac:dyDescent="0.15">
      <c r="B308" s="7" t="s">
        <v>12</v>
      </c>
      <c r="C308" s="33">
        <v>1</v>
      </c>
      <c r="D308" s="27"/>
      <c r="E308" s="43">
        <f t="shared" si="448"/>
        <v>1</v>
      </c>
      <c r="F308" s="37"/>
      <c r="G308" s="10"/>
      <c r="H308" s="43">
        <f t="shared" si="449"/>
        <v>0</v>
      </c>
      <c r="I308" s="37"/>
      <c r="J308" s="10"/>
      <c r="K308" s="43">
        <f t="shared" si="450"/>
        <v>0</v>
      </c>
      <c r="L308" s="8">
        <f t="shared" si="439"/>
        <v>1</v>
      </c>
      <c r="M308" s="53">
        <v>45423</v>
      </c>
      <c r="N308" s="7" t="s">
        <v>30</v>
      </c>
      <c r="O308" s="30">
        <v>2</v>
      </c>
      <c r="P308" s="25"/>
      <c r="Q308" s="43">
        <f t="shared" si="464"/>
        <v>2</v>
      </c>
      <c r="R308" s="35">
        <v>1</v>
      </c>
      <c r="S308" s="8"/>
      <c r="T308" s="43">
        <f t="shared" si="465"/>
        <v>1</v>
      </c>
      <c r="U308" s="35">
        <v>8</v>
      </c>
      <c r="V308" s="8">
        <v>1</v>
      </c>
      <c r="W308" s="43">
        <f t="shared" si="466"/>
        <v>9</v>
      </c>
      <c r="X308" s="8">
        <f t="shared" si="467"/>
        <v>12</v>
      </c>
      <c r="Y308" s="53">
        <v>45427</v>
      </c>
    </row>
    <row r="309" spans="2:25" x14ac:dyDescent="0.15">
      <c r="B309" s="7" t="s">
        <v>221</v>
      </c>
      <c r="C309" s="30"/>
      <c r="D309" s="25">
        <v>2</v>
      </c>
      <c r="E309" s="43">
        <f t="shared" si="448"/>
        <v>2</v>
      </c>
      <c r="F309" s="35"/>
      <c r="G309" s="8"/>
      <c r="H309" s="43">
        <f t="shared" si="449"/>
        <v>0</v>
      </c>
      <c r="I309" s="35"/>
      <c r="J309" s="8"/>
      <c r="K309" s="43">
        <f t="shared" si="450"/>
        <v>0</v>
      </c>
      <c r="L309" s="8">
        <f t="shared" si="439"/>
        <v>2</v>
      </c>
      <c r="M309" s="53">
        <v>45427</v>
      </c>
      <c r="N309" s="7" t="s">
        <v>217</v>
      </c>
      <c r="O309" s="30"/>
      <c r="P309" s="25">
        <v>1</v>
      </c>
      <c r="Q309" s="43">
        <f t="shared" si="464"/>
        <v>1</v>
      </c>
      <c r="R309" s="35"/>
      <c r="S309" s="8"/>
      <c r="T309" s="43">
        <f t="shared" si="465"/>
        <v>0</v>
      </c>
      <c r="U309" s="35"/>
      <c r="V309" s="8"/>
      <c r="W309" s="43">
        <f t="shared" si="466"/>
        <v>0</v>
      </c>
      <c r="X309" s="8">
        <f t="shared" si="467"/>
        <v>1</v>
      </c>
      <c r="Y309" s="53">
        <v>45429</v>
      </c>
    </row>
    <row r="310" spans="2:25" x14ac:dyDescent="0.15">
      <c r="B310" s="7" t="s">
        <v>12</v>
      </c>
      <c r="C310" s="30"/>
      <c r="D310" s="25"/>
      <c r="E310" s="43">
        <f t="shared" si="448"/>
        <v>0</v>
      </c>
      <c r="F310" s="35"/>
      <c r="G310" s="8">
        <v>1</v>
      </c>
      <c r="H310" s="43">
        <f t="shared" si="449"/>
        <v>1</v>
      </c>
      <c r="I310" s="35"/>
      <c r="J310" s="8"/>
      <c r="K310" s="43">
        <f t="shared" si="450"/>
        <v>0</v>
      </c>
      <c r="L310" s="8">
        <f t="shared" si="439"/>
        <v>1</v>
      </c>
      <c r="M310" s="53">
        <v>45426</v>
      </c>
      <c r="N310" s="7" t="s">
        <v>31</v>
      </c>
      <c r="O310" s="30">
        <v>5</v>
      </c>
      <c r="P310" s="25">
        <v>7</v>
      </c>
      <c r="Q310" s="43">
        <f t="shared" si="464"/>
        <v>12</v>
      </c>
      <c r="R310" s="35">
        <v>5</v>
      </c>
      <c r="S310" s="8">
        <v>7</v>
      </c>
      <c r="T310" s="43">
        <f t="shared" si="465"/>
        <v>12</v>
      </c>
      <c r="U310" s="35">
        <v>4</v>
      </c>
      <c r="V310" s="8">
        <v>11</v>
      </c>
      <c r="W310" s="43">
        <f t="shared" si="466"/>
        <v>15</v>
      </c>
      <c r="X310" s="8">
        <f t="shared" si="467"/>
        <v>39</v>
      </c>
      <c r="Y310" s="53">
        <v>45428</v>
      </c>
    </row>
    <row r="311" spans="2:25" x14ac:dyDescent="0.15">
      <c r="B311" s="7" t="s">
        <v>12</v>
      </c>
      <c r="C311" s="33"/>
      <c r="D311" s="27"/>
      <c r="E311" s="43">
        <f t="shared" si="448"/>
        <v>0</v>
      </c>
      <c r="F311" s="37"/>
      <c r="G311" s="10">
        <v>2</v>
      </c>
      <c r="H311" s="43">
        <f t="shared" si="449"/>
        <v>2</v>
      </c>
      <c r="I311" s="37"/>
      <c r="J311" s="10"/>
      <c r="K311" s="43">
        <f t="shared" si="450"/>
        <v>0</v>
      </c>
      <c r="L311" s="8">
        <f t="shared" si="439"/>
        <v>2</v>
      </c>
      <c r="M311" s="53">
        <v>45428</v>
      </c>
      <c r="N311" s="7" t="s">
        <v>33</v>
      </c>
      <c r="O311" s="30">
        <v>3</v>
      </c>
      <c r="P311" s="25">
        <v>7</v>
      </c>
      <c r="Q311" s="43">
        <f t="shared" si="464"/>
        <v>10</v>
      </c>
      <c r="R311" s="35"/>
      <c r="S311" s="8">
        <v>2</v>
      </c>
      <c r="T311" s="43">
        <f t="shared" si="465"/>
        <v>2</v>
      </c>
      <c r="U311" s="35"/>
      <c r="V311" s="8">
        <v>2</v>
      </c>
      <c r="W311" s="43">
        <f t="shared" si="466"/>
        <v>2</v>
      </c>
      <c r="X311" s="8">
        <f t="shared" si="467"/>
        <v>14</v>
      </c>
      <c r="Y311" s="53">
        <v>45429</v>
      </c>
    </row>
    <row r="312" spans="2:25" x14ac:dyDescent="0.15">
      <c r="B312" s="7" t="s">
        <v>12</v>
      </c>
      <c r="C312" s="33"/>
      <c r="D312" s="27"/>
      <c r="E312" s="43">
        <f t="shared" si="448"/>
        <v>0</v>
      </c>
      <c r="F312" s="37"/>
      <c r="G312" s="10"/>
      <c r="H312" s="43">
        <f t="shared" si="449"/>
        <v>0</v>
      </c>
      <c r="I312" s="37">
        <v>1</v>
      </c>
      <c r="J312" s="10">
        <v>1</v>
      </c>
      <c r="K312" s="43">
        <f t="shared" si="450"/>
        <v>2</v>
      </c>
      <c r="L312" s="8">
        <f t="shared" si="439"/>
        <v>2</v>
      </c>
      <c r="M312" s="53">
        <v>45429</v>
      </c>
      <c r="N312" s="7" t="s">
        <v>34</v>
      </c>
      <c r="O312" s="30"/>
      <c r="P312" s="25"/>
      <c r="Q312" s="43">
        <f t="shared" si="464"/>
        <v>0</v>
      </c>
      <c r="R312" s="35">
        <v>2</v>
      </c>
      <c r="S312" s="8"/>
      <c r="T312" s="43">
        <f t="shared" si="465"/>
        <v>2</v>
      </c>
      <c r="U312" s="35">
        <v>5</v>
      </c>
      <c r="V312" s="8">
        <v>5</v>
      </c>
      <c r="W312" s="43">
        <f t="shared" si="466"/>
        <v>10</v>
      </c>
      <c r="X312" s="8">
        <f t="shared" si="467"/>
        <v>12</v>
      </c>
      <c r="Y312" s="53">
        <v>45429</v>
      </c>
    </row>
    <row r="313" spans="2:25" x14ac:dyDescent="0.15">
      <c r="B313" s="7" t="s">
        <v>12</v>
      </c>
      <c r="C313" s="33"/>
      <c r="D313" s="27"/>
      <c r="E313" s="43">
        <f t="shared" si="448"/>
        <v>0</v>
      </c>
      <c r="F313" s="37"/>
      <c r="G313" s="10"/>
      <c r="H313" s="43">
        <f t="shared" si="449"/>
        <v>0</v>
      </c>
      <c r="I313" s="37"/>
      <c r="J313" s="10">
        <v>1</v>
      </c>
      <c r="K313" s="43">
        <f t="shared" si="450"/>
        <v>1</v>
      </c>
      <c r="L313" s="8">
        <f t="shared" si="439"/>
        <v>1</v>
      </c>
      <c r="M313" s="53">
        <v>45432</v>
      </c>
      <c r="N313" s="7" t="s">
        <v>36</v>
      </c>
      <c r="O313" s="30"/>
      <c r="P313" s="25">
        <v>7</v>
      </c>
      <c r="Q313" s="43">
        <f t="shared" si="464"/>
        <v>7</v>
      </c>
      <c r="R313" s="35">
        <v>4</v>
      </c>
      <c r="S313" s="8">
        <v>6</v>
      </c>
      <c r="T313" s="43">
        <f t="shared" si="465"/>
        <v>10</v>
      </c>
      <c r="U313" s="35">
        <v>2</v>
      </c>
      <c r="V313" s="8">
        <v>7</v>
      </c>
      <c r="W313" s="43">
        <f t="shared" si="466"/>
        <v>9</v>
      </c>
      <c r="X313" s="8">
        <f t="shared" si="467"/>
        <v>26</v>
      </c>
      <c r="Y313" s="53">
        <v>45432</v>
      </c>
    </row>
    <row r="314" spans="2:25" x14ac:dyDescent="0.15">
      <c r="B314" s="7" t="s">
        <v>227</v>
      </c>
      <c r="C314" s="33">
        <v>1</v>
      </c>
      <c r="D314" s="27">
        <v>2</v>
      </c>
      <c r="E314" s="43">
        <f t="shared" si="448"/>
        <v>3</v>
      </c>
      <c r="F314" s="37">
        <v>1</v>
      </c>
      <c r="G314" s="10">
        <v>2</v>
      </c>
      <c r="H314" s="43">
        <f t="shared" si="449"/>
        <v>3</v>
      </c>
      <c r="I314" s="37">
        <v>1</v>
      </c>
      <c r="J314" s="10">
        <v>2</v>
      </c>
      <c r="K314" s="43">
        <f t="shared" si="450"/>
        <v>3</v>
      </c>
      <c r="L314" s="8">
        <f t="shared" si="439"/>
        <v>9</v>
      </c>
      <c r="M314" s="53">
        <v>45432</v>
      </c>
      <c r="N314" s="7" t="s">
        <v>28</v>
      </c>
      <c r="O314" s="30"/>
      <c r="P314" s="25">
        <v>5</v>
      </c>
      <c r="Q314" s="43">
        <f t="shared" si="464"/>
        <v>5</v>
      </c>
      <c r="R314" s="35">
        <v>10</v>
      </c>
      <c r="S314" s="8">
        <v>10</v>
      </c>
      <c r="T314" s="43">
        <f t="shared" si="465"/>
        <v>20</v>
      </c>
      <c r="U314" s="35">
        <v>5</v>
      </c>
      <c r="V314" s="8">
        <v>5</v>
      </c>
      <c r="W314" s="43">
        <f t="shared" si="466"/>
        <v>10</v>
      </c>
      <c r="X314" s="8">
        <f t="shared" si="467"/>
        <v>35</v>
      </c>
      <c r="Y314" s="53">
        <v>45430</v>
      </c>
    </row>
    <row r="315" spans="2:25" x14ac:dyDescent="0.15">
      <c r="B315" s="7"/>
      <c r="C315" s="33"/>
      <c r="D315" s="27"/>
      <c r="E315" s="43">
        <f t="shared" si="448"/>
        <v>0</v>
      </c>
      <c r="F315" s="37"/>
      <c r="G315" s="10"/>
      <c r="H315" s="43">
        <f t="shared" si="449"/>
        <v>0</v>
      </c>
      <c r="I315" s="37"/>
      <c r="J315" s="10"/>
      <c r="K315" s="43">
        <f t="shared" si="450"/>
        <v>0</v>
      </c>
      <c r="L315" s="8">
        <f t="shared" si="439"/>
        <v>0</v>
      </c>
      <c r="N315" s="7" t="s">
        <v>41</v>
      </c>
      <c r="O315" s="30">
        <v>5</v>
      </c>
      <c r="P315" s="25"/>
      <c r="Q315" s="43">
        <f t="shared" si="464"/>
        <v>5</v>
      </c>
      <c r="R315" s="35">
        <v>6</v>
      </c>
      <c r="S315" s="8">
        <v>6</v>
      </c>
      <c r="T315" s="43">
        <f t="shared" si="465"/>
        <v>12</v>
      </c>
      <c r="U315" s="35">
        <v>4</v>
      </c>
      <c r="V315" s="8"/>
      <c r="W315" s="43">
        <f t="shared" si="466"/>
        <v>4</v>
      </c>
      <c r="X315" s="8">
        <f t="shared" si="467"/>
        <v>21</v>
      </c>
      <c r="Y315" s="53">
        <v>45434</v>
      </c>
    </row>
    <row r="316" spans="2:25" x14ac:dyDescent="0.15">
      <c r="B316" s="7"/>
      <c r="C316" s="30"/>
      <c r="D316" s="25"/>
      <c r="E316" s="43">
        <f t="shared" si="448"/>
        <v>0</v>
      </c>
      <c r="F316" s="35"/>
      <c r="G316" s="8"/>
      <c r="H316" s="43">
        <f t="shared" si="449"/>
        <v>0</v>
      </c>
      <c r="I316" s="35"/>
      <c r="J316" s="8"/>
      <c r="K316" s="43">
        <f t="shared" si="450"/>
        <v>0</v>
      </c>
      <c r="L316" s="8">
        <f t="shared" si="439"/>
        <v>0</v>
      </c>
      <c r="N316" s="7" t="s">
        <v>42</v>
      </c>
      <c r="O316" s="30">
        <v>9</v>
      </c>
      <c r="P316" s="25"/>
      <c r="Q316" s="43">
        <f t="shared" si="464"/>
        <v>9</v>
      </c>
      <c r="R316" s="35">
        <v>3</v>
      </c>
      <c r="S316" s="8"/>
      <c r="T316" s="43">
        <f t="shared" si="465"/>
        <v>3</v>
      </c>
      <c r="U316" s="35">
        <v>4</v>
      </c>
      <c r="V316" s="8">
        <v>2</v>
      </c>
      <c r="W316" s="43">
        <f t="shared" si="466"/>
        <v>6</v>
      </c>
      <c r="X316" s="8">
        <f t="shared" si="467"/>
        <v>18</v>
      </c>
      <c r="Y316" s="53">
        <v>45435</v>
      </c>
    </row>
    <row r="317" spans="2:25" x14ac:dyDescent="0.15">
      <c r="B317" s="7"/>
      <c r="C317" s="30"/>
      <c r="D317" s="25"/>
      <c r="E317" s="43">
        <f t="shared" si="448"/>
        <v>0</v>
      </c>
      <c r="F317" s="35"/>
      <c r="G317" s="8"/>
      <c r="H317" s="43">
        <f t="shared" si="449"/>
        <v>0</v>
      </c>
      <c r="I317" s="35"/>
      <c r="J317" s="8"/>
      <c r="K317" s="43">
        <f t="shared" si="450"/>
        <v>0</v>
      </c>
      <c r="L317" s="8">
        <f t="shared" si="439"/>
        <v>0</v>
      </c>
      <c r="N317" s="7"/>
      <c r="O317" s="30"/>
      <c r="P317" s="25"/>
      <c r="Q317" s="43">
        <f t="shared" ref="Q317" si="468">SUM(O317:P317)</f>
        <v>0</v>
      </c>
      <c r="R317" s="35"/>
      <c r="S317" s="8"/>
      <c r="T317" s="43">
        <f t="shared" ref="T317" si="469">SUM(R317:S317)</f>
        <v>0</v>
      </c>
      <c r="U317" s="35"/>
      <c r="V317" s="8"/>
      <c r="W317" s="43">
        <f t="shared" ref="W317" si="470">SUM(U317:V317)</f>
        <v>0</v>
      </c>
      <c r="X317" s="8">
        <f t="shared" ref="X317" si="471">SUM(W317,T317,Q317)</f>
        <v>0</v>
      </c>
    </row>
    <row r="318" spans="2:25" x14ac:dyDescent="0.15">
      <c r="B318" s="7"/>
      <c r="C318" s="30"/>
      <c r="D318" s="25"/>
      <c r="E318" s="43">
        <f t="shared" si="448"/>
        <v>0</v>
      </c>
      <c r="F318" s="35"/>
      <c r="G318" s="8"/>
      <c r="H318" s="43">
        <f t="shared" si="449"/>
        <v>0</v>
      </c>
      <c r="I318" s="35"/>
      <c r="J318" s="8"/>
      <c r="K318" s="43">
        <f t="shared" si="450"/>
        <v>0</v>
      </c>
      <c r="L318" s="8">
        <f t="shared" si="439"/>
        <v>0</v>
      </c>
      <c r="N318" s="7" t="s">
        <v>153</v>
      </c>
      <c r="O318" s="30"/>
      <c r="P318" s="25"/>
      <c r="Q318" s="43">
        <f t="shared" ref="Q318:Q319" si="472">SUM(O318:P318)</f>
        <v>0</v>
      </c>
      <c r="R318" s="35"/>
      <c r="S318" s="8"/>
      <c r="T318" s="43">
        <f t="shared" si="445"/>
        <v>0</v>
      </c>
      <c r="U318" s="35"/>
      <c r="V318" s="8"/>
      <c r="W318" s="43">
        <f t="shared" si="446"/>
        <v>0</v>
      </c>
      <c r="X318" s="8">
        <f t="shared" si="447"/>
        <v>0</v>
      </c>
      <c r="Y318" s="52" t="s">
        <v>154</v>
      </c>
    </row>
    <row r="319" spans="2:25" x14ac:dyDescent="0.15">
      <c r="B319" s="7"/>
      <c r="C319" s="30"/>
      <c r="D319" s="25"/>
      <c r="E319" s="43">
        <f t="shared" si="448"/>
        <v>0</v>
      </c>
      <c r="F319" s="35"/>
      <c r="G319" s="8"/>
      <c r="H319" s="43">
        <f t="shared" si="449"/>
        <v>0</v>
      </c>
      <c r="I319" s="35"/>
      <c r="J319" s="8"/>
      <c r="K319" s="43">
        <f t="shared" si="450"/>
        <v>0</v>
      </c>
      <c r="L319" s="8">
        <f t="shared" si="439"/>
        <v>0</v>
      </c>
      <c r="N319" s="7" t="s">
        <v>170</v>
      </c>
      <c r="O319" s="30"/>
      <c r="P319" s="25"/>
      <c r="Q319" s="43">
        <f t="shared" si="472"/>
        <v>0</v>
      </c>
      <c r="R319" s="30"/>
      <c r="S319" s="25"/>
      <c r="T319" s="43">
        <f t="shared" si="445"/>
        <v>0</v>
      </c>
      <c r="U319" s="35"/>
      <c r="V319" s="8"/>
      <c r="W319" s="43">
        <f t="shared" si="446"/>
        <v>0</v>
      </c>
      <c r="X319" s="8">
        <f t="shared" si="447"/>
        <v>0</v>
      </c>
      <c r="Y319" s="52" t="s">
        <v>171</v>
      </c>
    </row>
    <row r="320" spans="2:25" x14ac:dyDescent="0.15">
      <c r="B320" s="7"/>
      <c r="C320" s="30"/>
      <c r="D320" s="25"/>
      <c r="E320" s="43">
        <f t="shared" si="448"/>
        <v>0</v>
      </c>
      <c r="F320" s="35"/>
      <c r="G320" s="8"/>
      <c r="H320" s="43">
        <f t="shared" si="449"/>
        <v>0</v>
      </c>
      <c r="I320" s="35"/>
      <c r="J320" s="8"/>
      <c r="K320" s="43">
        <f t="shared" si="450"/>
        <v>0</v>
      </c>
      <c r="L320" s="8">
        <f t="shared" si="439"/>
        <v>0</v>
      </c>
      <c r="N320" s="7" t="s">
        <v>182</v>
      </c>
      <c r="O320" s="30"/>
      <c r="P320" s="25"/>
      <c r="Q320" s="43">
        <f t="shared" si="444"/>
        <v>0</v>
      </c>
      <c r="R320" s="30"/>
      <c r="S320" s="25"/>
      <c r="T320" s="43">
        <f t="shared" si="445"/>
        <v>0</v>
      </c>
      <c r="U320" s="35"/>
      <c r="V320" s="8"/>
      <c r="W320" s="43">
        <f t="shared" si="446"/>
        <v>0</v>
      </c>
      <c r="X320" s="8">
        <f t="shared" si="447"/>
        <v>0</v>
      </c>
      <c r="Y320" s="52" t="s">
        <v>183</v>
      </c>
    </row>
    <row r="321" spans="2:25" ht="14.25" thickBot="1" x14ac:dyDescent="0.2">
      <c r="B321" s="7"/>
      <c r="C321" s="30"/>
      <c r="D321" s="25"/>
      <c r="E321" s="43">
        <f t="shared" si="448"/>
        <v>0</v>
      </c>
      <c r="F321" s="35"/>
      <c r="G321" s="8"/>
      <c r="H321" s="43">
        <f t="shared" si="449"/>
        <v>0</v>
      </c>
      <c r="I321" s="35"/>
      <c r="J321" s="8"/>
      <c r="K321" s="43">
        <f t="shared" si="450"/>
        <v>0</v>
      </c>
      <c r="L321" s="8">
        <f t="shared" si="439"/>
        <v>0</v>
      </c>
      <c r="M321" s="53"/>
      <c r="N321" s="7" t="s">
        <v>194</v>
      </c>
      <c r="O321" s="30"/>
      <c r="P321" s="25"/>
      <c r="Q321" s="43">
        <f t="shared" si="444"/>
        <v>0</v>
      </c>
      <c r="R321" s="30"/>
      <c r="S321" s="25"/>
      <c r="T321" s="43">
        <f t="shared" si="445"/>
        <v>0</v>
      </c>
      <c r="U321" s="35"/>
      <c r="V321" s="8"/>
      <c r="W321" s="43">
        <f t="shared" si="446"/>
        <v>0</v>
      </c>
      <c r="X321" s="8">
        <f t="shared" si="447"/>
        <v>0</v>
      </c>
      <c r="Y321" s="52" t="s">
        <v>196</v>
      </c>
    </row>
    <row r="322" spans="2:25" ht="14.25" thickBot="1" x14ac:dyDescent="0.2">
      <c r="B322" s="5" t="s">
        <v>1</v>
      </c>
      <c r="C322" s="32">
        <f>SUM(C297:C321)</f>
        <v>3</v>
      </c>
      <c r="D322" s="19">
        <f>SUM(D297:D321)</f>
        <v>6</v>
      </c>
      <c r="E322" s="44">
        <f t="shared" si="448"/>
        <v>9</v>
      </c>
      <c r="F322" s="32">
        <f>SUM(F297:F321)</f>
        <v>6</v>
      </c>
      <c r="G322" s="19">
        <f>SUM(G297:G321)</f>
        <v>12</v>
      </c>
      <c r="H322" s="44">
        <f t="shared" si="449"/>
        <v>18</v>
      </c>
      <c r="I322" s="32">
        <f>SUM(I297:I321)</f>
        <v>12</v>
      </c>
      <c r="J322" s="19">
        <f>SUM(J297:J321)</f>
        <v>5</v>
      </c>
      <c r="K322" s="44">
        <f t="shared" si="450"/>
        <v>17</v>
      </c>
      <c r="L322" s="4">
        <f t="shared" si="439"/>
        <v>44</v>
      </c>
      <c r="N322" s="5" t="s">
        <v>1</v>
      </c>
      <c r="O322" s="32">
        <f>SUM(O297:O321)</f>
        <v>161</v>
      </c>
      <c r="P322" s="19">
        <f t="shared" ref="P322" si="473">SUM(P297:P321)</f>
        <v>233</v>
      </c>
      <c r="Q322" s="44">
        <f t="shared" ref="Q322" si="474">SUM(Q297:Q321)</f>
        <v>394</v>
      </c>
      <c r="R322" s="32">
        <f t="shared" ref="R322" si="475">SUM(R297:R321)</f>
        <v>145</v>
      </c>
      <c r="S322" s="19">
        <f t="shared" ref="S322" si="476">SUM(S297:S321)</f>
        <v>175</v>
      </c>
      <c r="T322" s="44">
        <f t="shared" ref="T322" si="477">SUM(T297:T321)</f>
        <v>320</v>
      </c>
      <c r="U322" s="32">
        <f t="shared" ref="U322" si="478">SUM(U297:U321)</f>
        <v>160</v>
      </c>
      <c r="V322" s="19">
        <f t="shared" ref="V322" si="479">SUM(V297:V321)</f>
        <v>181</v>
      </c>
      <c r="W322" s="44">
        <f t="shared" ref="W322" si="480">SUM(W297:W321)</f>
        <v>341</v>
      </c>
      <c r="X322" s="4">
        <f t="shared" ref="X322" si="481">SUM(X297:X321)</f>
        <v>1055</v>
      </c>
    </row>
    <row r="323" spans="2:25" ht="14.25" thickBot="1" x14ac:dyDescent="0.2">
      <c r="B323" s="3" t="s">
        <v>0</v>
      </c>
      <c r="C323" s="34">
        <f>+C296-C322</f>
        <v>15</v>
      </c>
      <c r="D323" s="2">
        <f>+D296-D322</f>
        <v>12</v>
      </c>
      <c r="E323" s="45">
        <f t="shared" si="448"/>
        <v>27</v>
      </c>
      <c r="F323" s="34">
        <f>+F296-F322</f>
        <v>17</v>
      </c>
      <c r="G323" s="2">
        <f>+G296-G322</f>
        <v>17</v>
      </c>
      <c r="H323" s="45">
        <f t="shared" si="449"/>
        <v>34</v>
      </c>
      <c r="I323" s="34">
        <f>+I296-I322</f>
        <v>14</v>
      </c>
      <c r="J323" s="2">
        <f>+J296-J322</f>
        <v>19</v>
      </c>
      <c r="K323" s="45">
        <f t="shared" si="450"/>
        <v>33</v>
      </c>
      <c r="L323" s="2">
        <f t="shared" si="439"/>
        <v>94</v>
      </c>
      <c r="N323" s="3" t="s">
        <v>0</v>
      </c>
      <c r="O323" s="34">
        <f>+O296-O322</f>
        <v>396</v>
      </c>
      <c r="P323" s="2">
        <f t="shared" ref="P323" si="482">+P296-P322</f>
        <v>413</v>
      </c>
      <c r="Q323" s="45">
        <f t="shared" ref="Q323" si="483">+Q296-Q322</f>
        <v>809</v>
      </c>
      <c r="R323" s="34">
        <f t="shared" ref="R323" si="484">+R296-R322</f>
        <v>363</v>
      </c>
      <c r="S323" s="2">
        <f t="shared" ref="S323" si="485">+S296-S322</f>
        <v>456</v>
      </c>
      <c r="T323" s="45">
        <f t="shared" ref="T323" si="486">+T296-T322</f>
        <v>819</v>
      </c>
      <c r="U323" s="34">
        <f t="shared" ref="U323" si="487">+U296-U322</f>
        <v>342</v>
      </c>
      <c r="V323" s="2">
        <f t="shared" ref="V323" si="488">+V296-V322</f>
        <v>474</v>
      </c>
      <c r="W323" s="45">
        <f t="shared" ref="W323" si="489">+W296-W322</f>
        <v>816</v>
      </c>
      <c r="X323" s="2">
        <f t="shared" ref="X323" si="490">+X296-X322</f>
        <v>2444</v>
      </c>
    </row>
    <row r="327" spans="2:25" ht="18.75" x14ac:dyDescent="0.2">
      <c r="B327" s="23" t="s">
        <v>11</v>
      </c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N327" s="47" t="s">
        <v>25</v>
      </c>
      <c r="O327" s="48"/>
      <c r="P327" s="48"/>
      <c r="Q327" s="48"/>
      <c r="R327" s="48"/>
      <c r="S327" s="48"/>
      <c r="T327" s="48"/>
      <c r="U327" s="48"/>
      <c r="V327" s="48"/>
      <c r="W327" s="48"/>
      <c r="X327" s="48"/>
    </row>
    <row r="328" spans="2:25" ht="15" thickBot="1" x14ac:dyDescent="0.2">
      <c r="B328" s="22" t="s">
        <v>147</v>
      </c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N328" s="49" t="s">
        <v>148</v>
      </c>
      <c r="O328" s="48"/>
      <c r="P328" s="48"/>
      <c r="Q328" s="48"/>
      <c r="R328" s="48"/>
      <c r="S328" s="48"/>
      <c r="T328" s="48"/>
      <c r="U328" s="48"/>
      <c r="V328" s="48"/>
      <c r="W328" s="48"/>
      <c r="X328" s="48"/>
    </row>
    <row r="329" spans="2:25" ht="14.25" thickBot="1" x14ac:dyDescent="0.2">
      <c r="B329" s="20"/>
      <c r="C329" s="208" t="s">
        <v>9</v>
      </c>
      <c r="D329" s="209"/>
      <c r="E329" s="210"/>
      <c r="F329" s="208" t="s">
        <v>8</v>
      </c>
      <c r="G329" s="209"/>
      <c r="H329" s="210"/>
      <c r="I329" s="208" t="s">
        <v>7</v>
      </c>
      <c r="J329" s="209"/>
      <c r="K329" s="210"/>
      <c r="L329" s="19"/>
      <c r="N329" s="20"/>
      <c r="O329" s="208" t="s">
        <v>9</v>
      </c>
      <c r="P329" s="209"/>
      <c r="Q329" s="210"/>
      <c r="R329" s="208" t="s">
        <v>8</v>
      </c>
      <c r="S329" s="209"/>
      <c r="T329" s="210"/>
      <c r="U329" s="208" t="s">
        <v>7</v>
      </c>
      <c r="V329" s="209"/>
      <c r="W329" s="210"/>
      <c r="X329" s="19"/>
    </row>
    <row r="330" spans="2:25" ht="14.25" thickBot="1" x14ac:dyDescent="0.2">
      <c r="B330" s="18"/>
      <c r="C330" s="28" t="s">
        <v>6</v>
      </c>
      <c r="D330" s="17" t="s">
        <v>5</v>
      </c>
      <c r="E330" s="38" t="s">
        <v>4</v>
      </c>
      <c r="F330" s="28" t="s">
        <v>6</v>
      </c>
      <c r="G330" s="17" t="s">
        <v>5</v>
      </c>
      <c r="H330" s="38" t="s">
        <v>4</v>
      </c>
      <c r="I330" s="28" t="s">
        <v>6</v>
      </c>
      <c r="J330" s="17" t="s">
        <v>5</v>
      </c>
      <c r="K330" s="38" t="s">
        <v>4</v>
      </c>
      <c r="L330" s="17" t="s">
        <v>4</v>
      </c>
      <c r="N330" s="18"/>
      <c r="O330" s="28" t="s">
        <v>6</v>
      </c>
      <c r="P330" s="17" t="s">
        <v>5</v>
      </c>
      <c r="Q330" s="38" t="s">
        <v>4</v>
      </c>
      <c r="R330" s="28" t="s">
        <v>6</v>
      </c>
      <c r="S330" s="17" t="s">
        <v>5</v>
      </c>
      <c r="T330" s="38" t="s">
        <v>4</v>
      </c>
      <c r="U330" s="28" t="s">
        <v>6</v>
      </c>
      <c r="V330" s="17" t="s">
        <v>5</v>
      </c>
      <c r="W330" s="38" t="s">
        <v>4</v>
      </c>
      <c r="X330" s="17" t="s">
        <v>4</v>
      </c>
    </row>
    <row r="331" spans="2:25" x14ac:dyDescent="0.15">
      <c r="B331" s="66" t="s">
        <v>0</v>
      </c>
      <c r="C331" s="67">
        <f>C323</f>
        <v>15</v>
      </c>
      <c r="D331" s="68">
        <f t="shared" ref="D331:K331" si="491">D323</f>
        <v>12</v>
      </c>
      <c r="E331" s="69">
        <f t="shared" si="491"/>
        <v>27</v>
      </c>
      <c r="F331" s="67">
        <f t="shared" si="491"/>
        <v>17</v>
      </c>
      <c r="G331" s="68">
        <f t="shared" si="491"/>
        <v>17</v>
      </c>
      <c r="H331" s="69">
        <f t="shared" si="491"/>
        <v>34</v>
      </c>
      <c r="I331" s="67">
        <f t="shared" si="491"/>
        <v>14</v>
      </c>
      <c r="J331" s="68">
        <f t="shared" si="491"/>
        <v>19</v>
      </c>
      <c r="K331" s="69">
        <f t="shared" si="491"/>
        <v>33</v>
      </c>
      <c r="L331" s="70">
        <f>SUM(K331,H331,E331)</f>
        <v>94</v>
      </c>
      <c r="N331" s="66" t="s">
        <v>0</v>
      </c>
      <c r="O331" s="72">
        <f>O323</f>
        <v>396</v>
      </c>
      <c r="P331" s="80">
        <f t="shared" ref="P331:X331" si="492">P323</f>
        <v>413</v>
      </c>
      <c r="Q331" s="69">
        <f t="shared" si="492"/>
        <v>809</v>
      </c>
      <c r="R331" s="72">
        <f t="shared" si="492"/>
        <v>363</v>
      </c>
      <c r="S331" s="80">
        <f t="shared" si="492"/>
        <v>456</v>
      </c>
      <c r="T331" s="69">
        <f t="shared" si="492"/>
        <v>819</v>
      </c>
      <c r="U331" s="72">
        <f t="shared" si="492"/>
        <v>342</v>
      </c>
      <c r="V331" s="80">
        <f t="shared" si="492"/>
        <v>474</v>
      </c>
      <c r="W331" s="69">
        <f t="shared" si="492"/>
        <v>816</v>
      </c>
      <c r="X331" s="70">
        <f t="shared" si="492"/>
        <v>2444</v>
      </c>
    </row>
    <row r="332" spans="2:25" x14ac:dyDescent="0.15">
      <c r="B332" s="16" t="s">
        <v>3</v>
      </c>
      <c r="C332" s="30">
        <v>41</v>
      </c>
      <c r="D332" s="25">
        <v>17</v>
      </c>
      <c r="E332" s="40">
        <f t="shared" ref="E332:E364" si="493">SUM(C332:D332)</f>
        <v>58</v>
      </c>
      <c r="F332" s="35">
        <v>20</v>
      </c>
      <c r="G332" s="8">
        <v>6</v>
      </c>
      <c r="H332" s="40">
        <f t="shared" ref="H332:H364" si="494">SUM(F332:G332)</f>
        <v>26</v>
      </c>
      <c r="I332" s="35">
        <v>21</v>
      </c>
      <c r="J332" s="8">
        <v>6</v>
      </c>
      <c r="K332" s="40">
        <f t="shared" ref="K332:K364" si="495">SUM(I332:J332)</f>
        <v>27</v>
      </c>
      <c r="L332" s="9">
        <f t="shared" ref="L332:L364" si="496">SUM(K332,H332,E332)</f>
        <v>111</v>
      </c>
      <c r="M332" s="53">
        <v>45437</v>
      </c>
      <c r="N332" s="16" t="s">
        <v>3</v>
      </c>
      <c r="O332" s="62"/>
      <c r="P332" s="81"/>
      <c r="Q332" s="40">
        <f t="shared" ref="Q332:Q357" si="497">SUM(O332:P332)</f>
        <v>0</v>
      </c>
      <c r="R332" s="78"/>
      <c r="S332" s="82"/>
      <c r="T332" s="40">
        <f t="shared" ref="T332:T357" si="498">SUM(R332:S332)</f>
        <v>0</v>
      </c>
      <c r="U332" s="78"/>
      <c r="V332" s="82"/>
      <c r="W332" s="40">
        <f t="shared" ref="W332:W357" si="499">SUM(U332:V332)</f>
        <v>0</v>
      </c>
      <c r="X332" s="25">
        <f t="shared" ref="X332:X357" si="500">SUM(W332,T332,Q332)</f>
        <v>0</v>
      </c>
    </row>
    <row r="333" spans="2:25" x14ac:dyDescent="0.15">
      <c r="B333" s="16" t="s">
        <v>3</v>
      </c>
      <c r="C333" s="30"/>
      <c r="D333" s="25"/>
      <c r="E333" s="40">
        <f t="shared" si="493"/>
        <v>0</v>
      </c>
      <c r="F333" s="35"/>
      <c r="G333" s="8"/>
      <c r="H333" s="40">
        <f t="shared" si="494"/>
        <v>0</v>
      </c>
      <c r="I333" s="35">
        <v>10</v>
      </c>
      <c r="J333" s="8"/>
      <c r="K333" s="40">
        <f t="shared" si="495"/>
        <v>10</v>
      </c>
      <c r="L333" s="9">
        <f t="shared" si="496"/>
        <v>10</v>
      </c>
      <c r="M333" s="53">
        <v>45444</v>
      </c>
      <c r="N333" s="16" t="s">
        <v>3</v>
      </c>
      <c r="O333" s="62"/>
      <c r="P333" s="81"/>
      <c r="Q333" s="40">
        <f t="shared" ref="Q333:Q335" si="501">SUM(O333:P333)</f>
        <v>0</v>
      </c>
      <c r="R333" s="78"/>
      <c r="S333" s="82"/>
      <c r="T333" s="40">
        <f t="shared" ref="T333:T335" si="502">SUM(R333:S333)</f>
        <v>0</v>
      </c>
      <c r="U333" s="78"/>
      <c r="V333" s="82"/>
      <c r="W333" s="40">
        <f t="shared" ref="W333:W335" si="503">SUM(U333:V333)</f>
        <v>0</v>
      </c>
      <c r="X333" s="25">
        <f t="shared" ref="X333:X335" si="504">SUM(W333,T333,Q333)</f>
        <v>0</v>
      </c>
    </row>
    <row r="334" spans="2:25" x14ac:dyDescent="0.15">
      <c r="B334" s="16" t="s">
        <v>3</v>
      </c>
      <c r="C334" s="30"/>
      <c r="D334" s="25">
        <v>15</v>
      </c>
      <c r="E334" s="40">
        <f t="shared" si="493"/>
        <v>15</v>
      </c>
      <c r="F334" s="35"/>
      <c r="G334" s="8"/>
      <c r="H334" s="40">
        <f t="shared" si="494"/>
        <v>0</v>
      </c>
      <c r="I334" s="35"/>
      <c r="J334" s="8"/>
      <c r="K334" s="40">
        <f t="shared" si="495"/>
        <v>0</v>
      </c>
      <c r="L334" s="9">
        <f t="shared" si="496"/>
        <v>15</v>
      </c>
      <c r="M334" s="53">
        <v>45447</v>
      </c>
      <c r="N334" s="16" t="s">
        <v>3</v>
      </c>
      <c r="O334" s="62"/>
      <c r="P334" s="81"/>
      <c r="Q334" s="40">
        <f t="shared" ref="Q334" si="505">SUM(O334:P334)</f>
        <v>0</v>
      </c>
      <c r="R334" s="78"/>
      <c r="S334" s="82"/>
      <c r="T334" s="40">
        <f t="shared" ref="T334" si="506">SUM(R334:S334)</f>
        <v>0</v>
      </c>
      <c r="U334" s="78"/>
      <c r="V334" s="82"/>
      <c r="W334" s="40">
        <f t="shared" ref="W334" si="507">SUM(U334:V334)</f>
        <v>0</v>
      </c>
      <c r="X334" s="25">
        <f t="shared" ref="X334" si="508">SUM(W334,T334,Q334)</f>
        <v>0</v>
      </c>
    </row>
    <row r="335" spans="2:25" x14ac:dyDescent="0.15">
      <c r="B335" s="16" t="s">
        <v>3</v>
      </c>
      <c r="C335" s="30"/>
      <c r="D335" s="25"/>
      <c r="E335" s="40">
        <f t="shared" si="493"/>
        <v>0</v>
      </c>
      <c r="F335" s="35"/>
      <c r="G335" s="8"/>
      <c r="H335" s="40">
        <f t="shared" si="494"/>
        <v>0</v>
      </c>
      <c r="I335" s="35"/>
      <c r="J335" s="8">
        <v>10</v>
      </c>
      <c r="K335" s="40">
        <f t="shared" si="495"/>
        <v>10</v>
      </c>
      <c r="L335" s="9">
        <f t="shared" si="496"/>
        <v>10</v>
      </c>
      <c r="M335" s="53">
        <v>45448</v>
      </c>
      <c r="N335" s="16" t="s">
        <v>3</v>
      </c>
      <c r="O335" s="62"/>
      <c r="P335" s="81"/>
      <c r="Q335" s="40">
        <f t="shared" si="501"/>
        <v>0</v>
      </c>
      <c r="R335" s="78"/>
      <c r="S335" s="82"/>
      <c r="T335" s="40">
        <f t="shared" si="502"/>
        <v>0</v>
      </c>
      <c r="U335" s="78"/>
      <c r="V335" s="82"/>
      <c r="W335" s="40">
        <f t="shared" si="503"/>
        <v>0</v>
      </c>
      <c r="X335" s="25">
        <f t="shared" si="504"/>
        <v>0</v>
      </c>
    </row>
    <row r="336" spans="2:25" ht="14.25" thickBot="1" x14ac:dyDescent="0.2">
      <c r="B336" s="15" t="s">
        <v>3</v>
      </c>
      <c r="C336" s="31"/>
      <c r="D336" s="26">
        <v>10</v>
      </c>
      <c r="E336" s="41">
        <f t="shared" si="493"/>
        <v>10</v>
      </c>
      <c r="F336" s="36"/>
      <c r="G336" s="6">
        <v>10</v>
      </c>
      <c r="H336" s="41">
        <f t="shared" si="494"/>
        <v>10</v>
      </c>
      <c r="I336" s="36">
        <v>5</v>
      </c>
      <c r="J336" s="6"/>
      <c r="K336" s="41">
        <f t="shared" si="495"/>
        <v>5</v>
      </c>
      <c r="L336" s="14">
        <f t="shared" si="496"/>
        <v>25</v>
      </c>
      <c r="M336" s="53">
        <v>45454</v>
      </c>
      <c r="N336" s="75" t="s">
        <v>3</v>
      </c>
      <c r="O336" s="76"/>
      <c r="P336" s="83"/>
      <c r="Q336" s="41">
        <f t="shared" si="497"/>
        <v>0</v>
      </c>
      <c r="R336" s="76"/>
      <c r="S336" s="83"/>
      <c r="T336" s="41">
        <f t="shared" si="498"/>
        <v>0</v>
      </c>
      <c r="U336" s="76"/>
      <c r="V336" s="83"/>
      <c r="W336" s="41">
        <f t="shared" si="499"/>
        <v>0</v>
      </c>
      <c r="X336" s="77">
        <f t="shared" si="500"/>
        <v>0</v>
      </c>
    </row>
    <row r="337" spans="2:25" ht="14.25" thickBot="1" x14ac:dyDescent="0.2">
      <c r="B337" s="5" t="s">
        <v>2</v>
      </c>
      <c r="C337" s="32">
        <f>SUM(C331:C336)</f>
        <v>56</v>
      </c>
      <c r="D337" s="19">
        <f>SUM(D331:D336)</f>
        <v>54</v>
      </c>
      <c r="E337" s="42">
        <f t="shared" si="493"/>
        <v>110</v>
      </c>
      <c r="F337" s="32">
        <f>SUM(F331:F336)</f>
        <v>37</v>
      </c>
      <c r="G337" s="19">
        <f>SUM(G331:G336)</f>
        <v>33</v>
      </c>
      <c r="H337" s="42">
        <f t="shared" si="494"/>
        <v>70</v>
      </c>
      <c r="I337" s="32">
        <f>SUM(I331:I336)</f>
        <v>50</v>
      </c>
      <c r="J337" s="19">
        <f>SUM(J331:J336)</f>
        <v>35</v>
      </c>
      <c r="K337" s="42">
        <f t="shared" si="495"/>
        <v>85</v>
      </c>
      <c r="L337" s="13">
        <f t="shared" si="496"/>
        <v>265</v>
      </c>
      <c r="N337" s="63" t="s">
        <v>2</v>
      </c>
      <c r="O337" s="32">
        <f>SUM(O331:O336)</f>
        <v>396</v>
      </c>
      <c r="P337" s="19">
        <f t="shared" ref="P337" si="509">SUM(P331:P336)</f>
        <v>413</v>
      </c>
      <c r="Q337" s="42">
        <f t="shared" ref="Q337" si="510">SUM(Q331:Q336)</f>
        <v>809</v>
      </c>
      <c r="R337" s="32">
        <f t="shared" ref="R337" si="511">SUM(R331:R336)</f>
        <v>363</v>
      </c>
      <c r="S337" s="19">
        <f t="shared" ref="S337" si="512">SUM(S331:S336)</f>
        <v>456</v>
      </c>
      <c r="T337" s="42">
        <f t="shared" ref="T337" si="513">SUM(T331:T336)</f>
        <v>819</v>
      </c>
      <c r="U337" s="32">
        <f t="shared" ref="U337" si="514">SUM(U331:U336)</f>
        <v>342</v>
      </c>
      <c r="V337" s="19">
        <f t="shared" ref="V337" si="515">SUM(V331:V336)</f>
        <v>474</v>
      </c>
      <c r="W337" s="42">
        <f t="shared" ref="W337" si="516">SUM(W331:W336)</f>
        <v>816</v>
      </c>
      <c r="X337" s="13">
        <f t="shared" ref="X337" si="517">SUM(X331:X336)</f>
        <v>2444</v>
      </c>
    </row>
    <row r="338" spans="2:25" x14ac:dyDescent="0.15">
      <c r="B338" s="7" t="s">
        <v>43</v>
      </c>
      <c r="C338" s="30">
        <v>2</v>
      </c>
      <c r="D338" s="25">
        <v>3</v>
      </c>
      <c r="E338" s="43">
        <f t="shared" si="493"/>
        <v>5</v>
      </c>
      <c r="F338" s="35">
        <v>2</v>
      </c>
      <c r="G338" s="8">
        <v>2</v>
      </c>
      <c r="H338" s="43">
        <f t="shared" si="494"/>
        <v>4</v>
      </c>
      <c r="I338" s="35">
        <v>2</v>
      </c>
      <c r="J338" s="8">
        <v>2</v>
      </c>
      <c r="K338" s="43">
        <f t="shared" si="495"/>
        <v>4</v>
      </c>
      <c r="L338" s="8">
        <f t="shared" si="496"/>
        <v>13</v>
      </c>
      <c r="M338" s="53">
        <v>45436</v>
      </c>
      <c r="N338" s="7" t="s">
        <v>225</v>
      </c>
      <c r="O338" s="30">
        <v>4</v>
      </c>
      <c r="P338" s="25"/>
      <c r="Q338" s="43">
        <f t="shared" si="497"/>
        <v>4</v>
      </c>
      <c r="R338" s="35"/>
      <c r="S338" s="8"/>
      <c r="T338" s="43">
        <f t="shared" si="498"/>
        <v>0</v>
      </c>
      <c r="U338" s="35"/>
      <c r="V338" s="8">
        <v>1</v>
      </c>
      <c r="W338" s="43">
        <f t="shared" si="499"/>
        <v>1</v>
      </c>
      <c r="X338" s="8">
        <f t="shared" si="500"/>
        <v>5</v>
      </c>
      <c r="Y338" s="53">
        <v>45439</v>
      </c>
    </row>
    <row r="339" spans="2:25" x14ac:dyDescent="0.15">
      <c r="B339" s="7" t="s">
        <v>12</v>
      </c>
      <c r="C339" s="30"/>
      <c r="D339" s="25"/>
      <c r="E339" s="43">
        <f t="shared" si="493"/>
        <v>0</v>
      </c>
      <c r="F339" s="35"/>
      <c r="G339" s="8">
        <v>1</v>
      </c>
      <c r="H339" s="43">
        <f t="shared" si="494"/>
        <v>1</v>
      </c>
      <c r="I339" s="35"/>
      <c r="J339" s="8"/>
      <c r="K339" s="43">
        <f t="shared" si="495"/>
        <v>0</v>
      </c>
      <c r="L339" s="8">
        <f t="shared" si="496"/>
        <v>1</v>
      </c>
      <c r="M339" s="53">
        <v>45434</v>
      </c>
      <c r="N339" s="7" t="s">
        <v>213</v>
      </c>
      <c r="O339" s="30"/>
      <c r="P339" s="25"/>
      <c r="Q339" s="43">
        <f t="shared" si="497"/>
        <v>0</v>
      </c>
      <c r="R339" s="35"/>
      <c r="S339" s="8"/>
      <c r="T339" s="43">
        <f t="shared" si="498"/>
        <v>0</v>
      </c>
      <c r="U339" s="35">
        <v>20</v>
      </c>
      <c r="V339" s="8"/>
      <c r="W339" s="43">
        <f t="shared" si="499"/>
        <v>20</v>
      </c>
      <c r="X339" s="8">
        <f t="shared" si="500"/>
        <v>20</v>
      </c>
      <c r="Y339" s="53">
        <v>45439</v>
      </c>
    </row>
    <row r="340" spans="2:25" x14ac:dyDescent="0.15">
      <c r="B340" s="7" t="s">
        <v>45</v>
      </c>
      <c r="C340" s="30"/>
      <c r="D340" s="25">
        <v>4</v>
      </c>
      <c r="E340" s="43">
        <f t="shared" si="493"/>
        <v>4</v>
      </c>
      <c r="F340" s="35"/>
      <c r="G340" s="8">
        <v>2</v>
      </c>
      <c r="H340" s="43">
        <f t="shared" si="494"/>
        <v>2</v>
      </c>
      <c r="I340" s="35">
        <v>2</v>
      </c>
      <c r="J340" s="8"/>
      <c r="K340" s="43">
        <f t="shared" si="495"/>
        <v>2</v>
      </c>
      <c r="L340" s="8">
        <f t="shared" si="496"/>
        <v>8</v>
      </c>
      <c r="M340" s="53">
        <v>45439</v>
      </c>
      <c r="N340" s="7" t="s">
        <v>44</v>
      </c>
      <c r="O340" s="30"/>
      <c r="P340" s="25">
        <v>3</v>
      </c>
      <c r="Q340" s="43">
        <f t="shared" si="497"/>
        <v>3</v>
      </c>
      <c r="R340" s="35">
        <v>5</v>
      </c>
      <c r="S340" s="8">
        <v>4</v>
      </c>
      <c r="T340" s="43">
        <f t="shared" si="498"/>
        <v>9</v>
      </c>
      <c r="U340" s="35">
        <v>8</v>
      </c>
      <c r="V340" s="8">
        <v>6</v>
      </c>
      <c r="W340" s="43">
        <f t="shared" si="499"/>
        <v>14</v>
      </c>
      <c r="X340" s="8">
        <f t="shared" si="500"/>
        <v>26</v>
      </c>
      <c r="Y340" s="53">
        <v>45436</v>
      </c>
    </row>
    <row r="341" spans="2:25" x14ac:dyDescent="0.15">
      <c r="B341" s="7" t="s">
        <v>12</v>
      </c>
      <c r="C341" s="30"/>
      <c r="D341" s="25"/>
      <c r="E341" s="43">
        <f t="shared" si="493"/>
        <v>0</v>
      </c>
      <c r="F341" s="35">
        <v>1</v>
      </c>
      <c r="G341" s="8"/>
      <c r="H341" s="43">
        <f t="shared" si="494"/>
        <v>1</v>
      </c>
      <c r="I341" s="35"/>
      <c r="J341" s="8"/>
      <c r="K341" s="43">
        <f t="shared" si="495"/>
        <v>0</v>
      </c>
      <c r="L341" s="8">
        <f t="shared" si="496"/>
        <v>1</v>
      </c>
      <c r="M341" s="53">
        <v>45436</v>
      </c>
      <c r="N341" s="7" t="s">
        <v>28</v>
      </c>
      <c r="O341" s="30">
        <v>41</v>
      </c>
      <c r="P341" s="25">
        <v>17</v>
      </c>
      <c r="Q341" s="43">
        <f t="shared" ref="Q341" si="518">SUM(O341:P341)</f>
        <v>58</v>
      </c>
      <c r="R341" s="35">
        <v>20</v>
      </c>
      <c r="S341" s="8">
        <v>6</v>
      </c>
      <c r="T341" s="43">
        <f t="shared" si="498"/>
        <v>26</v>
      </c>
      <c r="U341" s="35">
        <v>21</v>
      </c>
      <c r="V341" s="8">
        <v>6</v>
      </c>
      <c r="W341" s="43">
        <f t="shared" si="499"/>
        <v>27</v>
      </c>
      <c r="X341" s="8">
        <f t="shared" si="500"/>
        <v>111</v>
      </c>
      <c r="Y341" s="53">
        <v>45437</v>
      </c>
    </row>
    <row r="342" spans="2:25" x14ac:dyDescent="0.15">
      <c r="B342" s="7" t="s">
        <v>49</v>
      </c>
      <c r="C342" s="30"/>
      <c r="D342" s="25">
        <v>5</v>
      </c>
      <c r="E342" s="43">
        <f t="shared" si="493"/>
        <v>5</v>
      </c>
      <c r="F342" s="35">
        <v>4</v>
      </c>
      <c r="G342" s="8">
        <v>6</v>
      </c>
      <c r="H342" s="43">
        <f t="shared" si="494"/>
        <v>10</v>
      </c>
      <c r="I342" s="35">
        <v>2</v>
      </c>
      <c r="J342" s="8">
        <v>2</v>
      </c>
      <c r="K342" s="43">
        <f t="shared" si="495"/>
        <v>4</v>
      </c>
      <c r="L342" s="8">
        <f t="shared" si="496"/>
        <v>19</v>
      </c>
      <c r="M342" s="53">
        <v>45441</v>
      </c>
      <c r="N342" s="7" t="s">
        <v>229</v>
      </c>
      <c r="O342" s="30">
        <v>1</v>
      </c>
      <c r="P342" s="25"/>
      <c r="Q342" s="43">
        <f t="shared" ref="Q342" si="519">SUM(O342:P342)</f>
        <v>1</v>
      </c>
      <c r="R342" s="35"/>
      <c r="S342" s="8"/>
      <c r="T342" s="43">
        <f t="shared" ref="T342:T343" si="520">SUM(R342:S342)</f>
        <v>0</v>
      </c>
      <c r="U342" s="35">
        <v>1</v>
      </c>
      <c r="V342" s="8"/>
      <c r="W342" s="43">
        <f t="shared" ref="W342:W343" si="521">SUM(U342:V342)</f>
        <v>1</v>
      </c>
      <c r="X342" s="8">
        <f t="shared" ref="X342:X343" si="522">SUM(W342,T342,Q342)</f>
        <v>2</v>
      </c>
      <c r="Y342" s="53">
        <v>45443</v>
      </c>
    </row>
    <row r="343" spans="2:25" x14ac:dyDescent="0.15">
      <c r="B343" s="7" t="s">
        <v>12</v>
      </c>
      <c r="C343" s="30">
        <v>1</v>
      </c>
      <c r="D343" s="25"/>
      <c r="E343" s="43">
        <f t="shared" si="493"/>
        <v>1</v>
      </c>
      <c r="F343" s="35">
        <v>2</v>
      </c>
      <c r="G343" s="8">
        <v>2</v>
      </c>
      <c r="H343" s="43">
        <f t="shared" si="494"/>
        <v>4</v>
      </c>
      <c r="I343" s="35"/>
      <c r="J343" s="8"/>
      <c r="K343" s="43">
        <f t="shared" si="495"/>
        <v>0</v>
      </c>
      <c r="L343" s="8">
        <f t="shared" si="496"/>
        <v>5</v>
      </c>
      <c r="M343" s="53">
        <v>45439</v>
      </c>
      <c r="N343" s="7" t="s">
        <v>28</v>
      </c>
      <c r="O343" s="30"/>
      <c r="P343" s="25"/>
      <c r="Q343" s="43">
        <f t="shared" ref="Q343" si="523">SUM(O343:P343)</f>
        <v>0</v>
      </c>
      <c r="R343" s="35"/>
      <c r="S343" s="8"/>
      <c r="T343" s="43">
        <f t="shared" si="520"/>
        <v>0</v>
      </c>
      <c r="U343" s="35">
        <v>10</v>
      </c>
      <c r="V343" s="8"/>
      <c r="W343" s="43">
        <f t="shared" si="521"/>
        <v>10</v>
      </c>
      <c r="X343" s="8">
        <f t="shared" si="522"/>
        <v>10</v>
      </c>
      <c r="Y343" s="53">
        <v>45444</v>
      </c>
    </row>
    <row r="344" spans="2:25" x14ac:dyDescent="0.15">
      <c r="B344" s="7" t="s">
        <v>50</v>
      </c>
      <c r="C344" s="30"/>
      <c r="D344" s="25">
        <v>2</v>
      </c>
      <c r="E344" s="43">
        <f t="shared" si="493"/>
        <v>2</v>
      </c>
      <c r="F344" s="35"/>
      <c r="G344" s="8"/>
      <c r="H344" s="43">
        <f t="shared" si="494"/>
        <v>0</v>
      </c>
      <c r="I344" s="35">
        <v>3</v>
      </c>
      <c r="J344" s="8"/>
      <c r="K344" s="43">
        <f t="shared" si="495"/>
        <v>3</v>
      </c>
      <c r="L344" s="8">
        <f t="shared" si="496"/>
        <v>5</v>
      </c>
      <c r="M344" s="53">
        <v>45442</v>
      </c>
      <c r="N344" s="7" t="s">
        <v>28</v>
      </c>
      <c r="O344" s="30"/>
      <c r="P344" s="25">
        <v>15</v>
      </c>
      <c r="Q344" s="43">
        <f t="shared" si="497"/>
        <v>15</v>
      </c>
      <c r="R344" s="35"/>
      <c r="S344" s="8"/>
      <c r="T344" s="43">
        <f t="shared" si="498"/>
        <v>0</v>
      </c>
      <c r="U344" s="35"/>
      <c r="V344" s="8"/>
      <c r="W344" s="43">
        <f t="shared" si="499"/>
        <v>0</v>
      </c>
      <c r="X344" s="8">
        <f t="shared" si="500"/>
        <v>15</v>
      </c>
      <c r="Y344" s="53">
        <v>45447</v>
      </c>
    </row>
    <row r="345" spans="2:25" x14ac:dyDescent="0.15">
      <c r="B345" s="7" t="s">
        <v>12</v>
      </c>
      <c r="C345" s="30"/>
      <c r="D345" s="25"/>
      <c r="E345" s="43">
        <f t="shared" si="493"/>
        <v>0</v>
      </c>
      <c r="F345" s="35"/>
      <c r="G345" s="8"/>
      <c r="H345" s="43">
        <f t="shared" si="494"/>
        <v>0</v>
      </c>
      <c r="I345" s="35">
        <v>2</v>
      </c>
      <c r="J345" s="8"/>
      <c r="K345" s="43">
        <f t="shared" si="495"/>
        <v>2</v>
      </c>
      <c r="L345" s="8">
        <f t="shared" si="496"/>
        <v>2</v>
      </c>
      <c r="M345" s="53">
        <v>45440</v>
      </c>
      <c r="N345" s="7" t="s">
        <v>238</v>
      </c>
      <c r="O345" s="30"/>
      <c r="P345" s="25">
        <v>5</v>
      </c>
      <c r="Q345" s="43">
        <f t="shared" si="497"/>
        <v>5</v>
      </c>
      <c r="R345" s="35"/>
      <c r="S345" s="8"/>
      <c r="T345" s="43">
        <f t="shared" si="498"/>
        <v>0</v>
      </c>
      <c r="U345" s="35">
        <v>1</v>
      </c>
      <c r="V345" s="8"/>
      <c r="W345" s="43">
        <f t="shared" si="499"/>
        <v>1</v>
      </c>
      <c r="X345" s="8">
        <f t="shared" si="500"/>
        <v>6</v>
      </c>
      <c r="Y345" s="53">
        <v>45450</v>
      </c>
    </row>
    <row r="346" spans="2:25" x14ac:dyDescent="0.15">
      <c r="B346" s="7" t="s">
        <v>51</v>
      </c>
      <c r="C346" s="30"/>
      <c r="D346" s="25">
        <v>2</v>
      </c>
      <c r="E346" s="43">
        <f t="shared" si="493"/>
        <v>2</v>
      </c>
      <c r="F346" s="35"/>
      <c r="G346" s="8"/>
      <c r="H346" s="43">
        <f t="shared" si="494"/>
        <v>0</v>
      </c>
      <c r="I346" s="35">
        <v>5</v>
      </c>
      <c r="J346" s="8">
        <v>3</v>
      </c>
      <c r="K346" s="43">
        <f t="shared" si="495"/>
        <v>8</v>
      </c>
      <c r="L346" s="8">
        <f t="shared" si="496"/>
        <v>10</v>
      </c>
      <c r="M346" s="53">
        <v>45443</v>
      </c>
      <c r="N346" s="7" t="s">
        <v>28</v>
      </c>
      <c r="O346" s="30"/>
      <c r="P346" s="25"/>
      <c r="Q346" s="43">
        <f t="shared" ref="Q346" si="524">SUM(O346:P346)</f>
        <v>0</v>
      </c>
      <c r="R346" s="35"/>
      <c r="S346" s="8"/>
      <c r="T346" s="43">
        <f t="shared" si="498"/>
        <v>0</v>
      </c>
      <c r="U346" s="35"/>
      <c r="V346" s="8">
        <v>10</v>
      </c>
      <c r="W346" s="43">
        <f t="shared" si="499"/>
        <v>10</v>
      </c>
      <c r="X346" s="8">
        <f t="shared" si="500"/>
        <v>10</v>
      </c>
      <c r="Y346" s="53">
        <v>45448</v>
      </c>
    </row>
    <row r="347" spans="2:25" x14ac:dyDescent="0.15">
      <c r="B347" s="7" t="s">
        <v>54</v>
      </c>
      <c r="C347" s="30">
        <v>2</v>
      </c>
      <c r="D347" s="25">
        <v>1</v>
      </c>
      <c r="E347" s="43">
        <f t="shared" si="493"/>
        <v>3</v>
      </c>
      <c r="F347" s="35"/>
      <c r="G347" s="8"/>
      <c r="H347" s="43">
        <f t="shared" si="494"/>
        <v>0</v>
      </c>
      <c r="I347" s="35">
        <v>9</v>
      </c>
      <c r="J347" s="8">
        <v>3</v>
      </c>
      <c r="K347" s="43">
        <f t="shared" si="495"/>
        <v>12</v>
      </c>
      <c r="L347" s="8">
        <f t="shared" si="496"/>
        <v>15</v>
      </c>
      <c r="M347" s="53">
        <v>45443</v>
      </c>
      <c r="N347" s="7" t="s">
        <v>59</v>
      </c>
      <c r="O347" s="30">
        <v>2</v>
      </c>
      <c r="P347" s="25">
        <v>1</v>
      </c>
      <c r="Q347" s="43">
        <f t="shared" si="497"/>
        <v>3</v>
      </c>
      <c r="R347" s="35">
        <v>7</v>
      </c>
      <c r="S347" s="8">
        <v>6</v>
      </c>
      <c r="T347" s="43">
        <f t="shared" si="498"/>
        <v>13</v>
      </c>
      <c r="U347" s="35">
        <v>4</v>
      </c>
      <c r="V347" s="8">
        <v>2</v>
      </c>
      <c r="W347" s="43">
        <f t="shared" si="499"/>
        <v>6</v>
      </c>
      <c r="X347" s="8">
        <f t="shared" si="500"/>
        <v>22</v>
      </c>
      <c r="Y347" s="53">
        <v>45450</v>
      </c>
    </row>
    <row r="348" spans="2:25" x14ac:dyDescent="0.15">
      <c r="B348" s="7" t="s">
        <v>55</v>
      </c>
      <c r="C348" s="30">
        <v>3</v>
      </c>
      <c r="D348" s="25">
        <v>1</v>
      </c>
      <c r="E348" s="43">
        <f t="shared" si="493"/>
        <v>4</v>
      </c>
      <c r="F348" s="35">
        <v>5</v>
      </c>
      <c r="G348" s="8"/>
      <c r="H348" s="43">
        <f t="shared" si="494"/>
        <v>5</v>
      </c>
      <c r="I348" s="35">
        <v>9</v>
      </c>
      <c r="J348" s="8">
        <v>2</v>
      </c>
      <c r="K348" s="43">
        <f t="shared" si="495"/>
        <v>11</v>
      </c>
      <c r="L348" s="8">
        <f t="shared" si="496"/>
        <v>20</v>
      </c>
      <c r="M348" s="53">
        <v>45446</v>
      </c>
      <c r="N348" s="7" t="s">
        <v>219</v>
      </c>
      <c r="O348" s="30"/>
      <c r="P348" s="25"/>
      <c r="Q348" s="43">
        <f t="shared" si="497"/>
        <v>0</v>
      </c>
      <c r="R348" s="35">
        <v>10</v>
      </c>
      <c r="S348" s="8">
        <v>15</v>
      </c>
      <c r="T348" s="43">
        <f t="shared" si="498"/>
        <v>25</v>
      </c>
      <c r="U348" s="35">
        <v>20</v>
      </c>
      <c r="V348" s="8">
        <v>50</v>
      </c>
      <c r="W348" s="43">
        <f t="shared" si="499"/>
        <v>70</v>
      </c>
      <c r="X348" s="8">
        <f t="shared" si="500"/>
        <v>95</v>
      </c>
      <c r="Y348" s="53">
        <v>45447</v>
      </c>
    </row>
    <row r="349" spans="2:25" x14ac:dyDescent="0.15">
      <c r="B349" s="7" t="s">
        <v>12</v>
      </c>
      <c r="C349" s="30"/>
      <c r="D349" s="25"/>
      <c r="E349" s="43">
        <f t="shared" si="493"/>
        <v>0</v>
      </c>
      <c r="F349" s="35">
        <v>1</v>
      </c>
      <c r="G349" s="8"/>
      <c r="H349" s="43">
        <f t="shared" si="494"/>
        <v>1</v>
      </c>
      <c r="I349" s="35"/>
      <c r="J349" s="8"/>
      <c r="K349" s="43">
        <f t="shared" si="495"/>
        <v>0</v>
      </c>
      <c r="L349" s="8">
        <f t="shared" si="496"/>
        <v>1</v>
      </c>
      <c r="M349" s="53">
        <v>45443</v>
      </c>
      <c r="N349" s="7" t="s">
        <v>223</v>
      </c>
      <c r="O349" s="30">
        <v>6</v>
      </c>
      <c r="P349" s="25"/>
      <c r="Q349" s="43">
        <f t="shared" si="497"/>
        <v>6</v>
      </c>
      <c r="R349" s="35">
        <v>15</v>
      </c>
      <c r="S349" s="8"/>
      <c r="T349" s="43">
        <f t="shared" si="498"/>
        <v>15</v>
      </c>
      <c r="U349" s="35"/>
      <c r="V349" s="8"/>
      <c r="W349" s="43">
        <f t="shared" si="499"/>
        <v>0</v>
      </c>
      <c r="X349" s="8">
        <f t="shared" si="500"/>
        <v>21</v>
      </c>
      <c r="Y349" s="53">
        <v>45456</v>
      </c>
    </row>
    <row r="350" spans="2:25" x14ac:dyDescent="0.15">
      <c r="B350" s="7" t="s">
        <v>56</v>
      </c>
      <c r="C350" s="30">
        <v>2</v>
      </c>
      <c r="D350" s="25">
        <v>4</v>
      </c>
      <c r="E350" s="43">
        <f t="shared" si="493"/>
        <v>6</v>
      </c>
      <c r="F350" s="35"/>
      <c r="G350" s="8">
        <v>1</v>
      </c>
      <c r="H350" s="43">
        <f t="shared" si="494"/>
        <v>1</v>
      </c>
      <c r="I350" s="35"/>
      <c r="J350" s="8">
        <v>5</v>
      </c>
      <c r="K350" s="43">
        <f t="shared" si="495"/>
        <v>5</v>
      </c>
      <c r="L350" s="8">
        <f t="shared" si="496"/>
        <v>12</v>
      </c>
      <c r="M350" s="53">
        <v>45448</v>
      </c>
      <c r="N350" s="7" t="s">
        <v>242</v>
      </c>
      <c r="O350" s="30">
        <v>40</v>
      </c>
      <c r="P350" s="25">
        <v>45</v>
      </c>
      <c r="Q350" s="43">
        <f t="shared" si="497"/>
        <v>85</v>
      </c>
      <c r="R350" s="35">
        <v>35</v>
      </c>
      <c r="S350" s="8">
        <v>45</v>
      </c>
      <c r="T350" s="43">
        <f t="shared" si="498"/>
        <v>80</v>
      </c>
      <c r="U350" s="35">
        <v>35</v>
      </c>
      <c r="V350" s="8">
        <v>45</v>
      </c>
      <c r="W350" s="43">
        <f t="shared" si="499"/>
        <v>80</v>
      </c>
      <c r="X350" s="8">
        <f t="shared" si="500"/>
        <v>245</v>
      </c>
      <c r="Y350" s="53">
        <v>45456</v>
      </c>
    </row>
    <row r="351" spans="2:25" x14ac:dyDescent="0.15">
      <c r="B351" s="7" t="s">
        <v>12</v>
      </c>
      <c r="C351" s="30"/>
      <c r="D351" s="25">
        <v>1</v>
      </c>
      <c r="E351" s="43">
        <f t="shared" si="493"/>
        <v>1</v>
      </c>
      <c r="F351" s="35"/>
      <c r="G351" s="8"/>
      <c r="H351" s="43">
        <f t="shared" si="494"/>
        <v>0</v>
      </c>
      <c r="I351" s="35"/>
      <c r="J351" s="8"/>
      <c r="K351" s="43">
        <f t="shared" si="495"/>
        <v>0</v>
      </c>
      <c r="L351" s="8">
        <f t="shared" si="496"/>
        <v>1</v>
      </c>
      <c r="M351" s="53">
        <v>45446</v>
      </c>
      <c r="N351" s="7" t="s">
        <v>28</v>
      </c>
      <c r="O351" s="30"/>
      <c r="P351" s="25">
        <v>10</v>
      </c>
      <c r="Q351" s="43">
        <f t="shared" si="497"/>
        <v>10</v>
      </c>
      <c r="R351" s="35"/>
      <c r="S351" s="8">
        <v>10</v>
      </c>
      <c r="T351" s="43">
        <f t="shared" si="498"/>
        <v>10</v>
      </c>
      <c r="U351" s="35">
        <v>5</v>
      </c>
      <c r="V351" s="8"/>
      <c r="W351" s="43">
        <f t="shared" si="499"/>
        <v>5</v>
      </c>
      <c r="X351" s="8">
        <f t="shared" si="500"/>
        <v>25</v>
      </c>
      <c r="Y351" s="53">
        <v>45454</v>
      </c>
    </row>
    <row r="352" spans="2:25" x14ac:dyDescent="0.15">
      <c r="B352" s="7" t="s">
        <v>237</v>
      </c>
      <c r="C352" s="30"/>
      <c r="D352" s="25">
        <v>9</v>
      </c>
      <c r="E352" s="43">
        <f t="shared" si="493"/>
        <v>9</v>
      </c>
      <c r="F352" s="35"/>
      <c r="G352" s="8"/>
      <c r="H352" s="43">
        <f t="shared" si="494"/>
        <v>0</v>
      </c>
      <c r="I352" s="35"/>
      <c r="J352" s="8"/>
      <c r="K352" s="43">
        <f t="shared" si="495"/>
        <v>0</v>
      </c>
      <c r="L352" s="8">
        <f t="shared" si="496"/>
        <v>9</v>
      </c>
      <c r="M352" s="53">
        <v>45448</v>
      </c>
      <c r="N352" s="7" t="s">
        <v>67</v>
      </c>
      <c r="O352" s="30">
        <v>3</v>
      </c>
      <c r="P352" s="25">
        <v>4</v>
      </c>
      <c r="Q352" s="43">
        <f t="shared" si="497"/>
        <v>7</v>
      </c>
      <c r="R352" s="35">
        <v>1</v>
      </c>
      <c r="S352" s="8">
        <v>7</v>
      </c>
      <c r="T352" s="43">
        <f t="shared" si="498"/>
        <v>8</v>
      </c>
      <c r="U352" s="35">
        <v>4</v>
      </c>
      <c r="V352" s="8">
        <v>4</v>
      </c>
      <c r="W352" s="43">
        <f t="shared" si="499"/>
        <v>8</v>
      </c>
      <c r="X352" s="8">
        <f t="shared" si="500"/>
        <v>23</v>
      </c>
      <c r="Y352" s="53">
        <v>45456</v>
      </c>
    </row>
    <row r="353" spans="2:25" x14ac:dyDescent="0.15">
      <c r="B353" s="7" t="s">
        <v>58</v>
      </c>
      <c r="C353" s="30"/>
      <c r="D353" s="25"/>
      <c r="E353" s="43">
        <f t="shared" si="493"/>
        <v>0</v>
      </c>
      <c r="F353" s="35">
        <v>1</v>
      </c>
      <c r="G353" s="8"/>
      <c r="H353" s="43">
        <f t="shared" si="494"/>
        <v>1</v>
      </c>
      <c r="I353" s="35"/>
      <c r="J353" s="8">
        <v>6</v>
      </c>
      <c r="K353" s="43">
        <f t="shared" si="495"/>
        <v>6</v>
      </c>
      <c r="L353" s="8">
        <f t="shared" si="496"/>
        <v>7</v>
      </c>
      <c r="M353" s="53">
        <v>45449</v>
      </c>
      <c r="N353" s="7" t="s">
        <v>244</v>
      </c>
      <c r="O353" s="30">
        <v>3</v>
      </c>
      <c r="P353" s="25"/>
      <c r="Q353" s="43">
        <f t="shared" si="497"/>
        <v>3</v>
      </c>
      <c r="R353" s="35">
        <v>12</v>
      </c>
      <c r="S353" s="8">
        <v>15</v>
      </c>
      <c r="T353" s="43">
        <f t="shared" si="498"/>
        <v>27</v>
      </c>
      <c r="U353" s="35">
        <v>15</v>
      </c>
      <c r="V353" s="8">
        <v>15</v>
      </c>
      <c r="W353" s="43">
        <f t="shared" si="499"/>
        <v>30</v>
      </c>
      <c r="X353" s="8">
        <f t="shared" si="500"/>
        <v>60</v>
      </c>
      <c r="Y353" s="53">
        <v>45456</v>
      </c>
    </row>
    <row r="354" spans="2:25" x14ac:dyDescent="0.15">
      <c r="B354" s="7" t="s">
        <v>241</v>
      </c>
      <c r="C354" s="30"/>
      <c r="D354" s="25"/>
      <c r="E354" s="43">
        <f t="shared" si="493"/>
        <v>0</v>
      </c>
      <c r="F354" s="35"/>
      <c r="G354" s="8">
        <v>1</v>
      </c>
      <c r="H354" s="43">
        <f t="shared" si="494"/>
        <v>1</v>
      </c>
      <c r="I354" s="35"/>
      <c r="J354" s="8"/>
      <c r="K354" s="43">
        <f t="shared" si="495"/>
        <v>0</v>
      </c>
      <c r="L354" s="8">
        <f t="shared" si="496"/>
        <v>1</v>
      </c>
      <c r="M354" s="53">
        <v>45450</v>
      </c>
      <c r="N354" s="7" t="s">
        <v>68</v>
      </c>
      <c r="O354" s="30">
        <v>3</v>
      </c>
      <c r="P354" s="25">
        <v>5</v>
      </c>
      <c r="Q354" s="43">
        <f t="shared" si="497"/>
        <v>8</v>
      </c>
      <c r="R354" s="35">
        <v>2</v>
      </c>
      <c r="S354" s="8">
        <v>6</v>
      </c>
      <c r="T354" s="43">
        <f t="shared" si="498"/>
        <v>8</v>
      </c>
      <c r="U354" s="35">
        <v>3</v>
      </c>
      <c r="V354" s="8">
        <v>19</v>
      </c>
      <c r="W354" s="43">
        <f t="shared" si="499"/>
        <v>22</v>
      </c>
      <c r="X354" s="8">
        <f t="shared" si="500"/>
        <v>38</v>
      </c>
      <c r="Y354" s="53">
        <v>45457</v>
      </c>
    </row>
    <row r="355" spans="2:25" x14ac:dyDescent="0.15">
      <c r="B355" s="7" t="s">
        <v>12</v>
      </c>
      <c r="C355" s="30"/>
      <c r="D355" s="25"/>
      <c r="E355" s="43">
        <f t="shared" si="493"/>
        <v>0</v>
      </c>
      <c r="F355" s="35">
        <v>1</v>
      </c>
      <c r="G355" s="8"/>
      <c r="H355" s="43">
        <f t="shared" si="494"/>
        <v>1</v>
      </c>
      <c r="I355" s="35"/>
      <c r="J355" s="8"/>
      <c r="K355" s="43">
        <f t="shared" si="495"/>
        <v>0</v>
      </c>
      <c r="L355" s="8">
        <f t="shared" si="496"/>
        <v>1</v>
      </c>
      <c r="M355" s="53">
        <v>45449</v>
      </c>
      <c r="N355" s="7" t="s">
        <v>69</v>
      </c>
      <c r="O355" s="30">
        <v>6</v>
      </c>
      <c r="P355" s="25">
        <v>2</v>
      </c>
      <c r="Q355" s="43">
        <f t="shared" si="497"/>
        <v>8</v>
      </c>
      <c r="R355" s="35">
        <v>15</v>
      </c>
      <c r="S355" s="8">
        <v>11</v>
      </c>
      <c r="T355" s="43">
        <f t="shared" si="498"/>
        <v>26</v>
      </c>
      <c r="U355" s="35">
        <v>11</v>
      </c>
      <c r="V355" s="8">
        <v>7</v>
      </c>
      <c r="W355" s="43">
        <f t="shared" si="499"/>
        <v>18</v>
      </c>
      <c r="X355" s="8">
        <f t="shared" si="500"/>
        <v>52</v>
      </c>
      <c r="Y355" s="53">
        <v>45457</v>
      </c>
    </row>
    <row r="356" spans="2:25" x14ac:dyDescent="0.15">
      <c r="B356" s="7" t="s">
        <v>62</v>
      </c>
      <c r="C356" s="30">
        <v>5</v>
      </c>
      <c r="D356" s="25"/>
      <c r="E356" s="43">
        <f t="shared" si="493"/>
        <v>5</v>
      </c>
      <c r="F356" s="35">
        <v>3</v>
      </c>
      <c r="G356" s="8"/>
      <c r="H356" s="43">
        <f t="shared" si="494"/>
        <v>3</v>
      </c>
      <c r="I356" s="35">
        <v>3</v>
      </c>
      <c r="J356" s="8"/>
      <c r="K356" s="43">
        <f t="shared" si="495"/>
        <v>3</v>
      </c>
      <c r="L356" s="8">
        <f t="shared" si="496"/>
        <v>11</v>
      </c>
      <c r="M356" s="53">
        <v>45453</v>
      </c>
      <c r="N356" s="7" t="s">
        <v>245</v>
      </c>
      <c r="O356" s="30">
        <v>10</v>
      </c>
      <c r="P356" s="25"/>
      <c r="Q356" s="43">
        <f t="shared" si="497"/>
        <v>10</v>
      </c>
      <c r="R356" s="35"/>
      <c r="S356" s="8">
        <v>20</v>
      </c>
      <c r="T356" s="43">
        <f t="shared" si="498"/>
        <v>20</v>
      </c>
      <c r="U356" s="35"/>
      <c r="V356" s="8"/>
      <c r="W356" s="43">
        <f t="shared" si="499"/>
        <v>0</v>
      </c>
      <c r="X356" s="8">
        <f t="shared" si="500"/>
        <v>30</v>
      </c>
      <c r="Y356" s="53">
        <v>45471</v>
      </c>
    </row>
    <row r="357" spans="2:25" x14ac:dyDescent="0.15">
      <c r="B357" s="7" t="s">
        <v>65</v>
      </c>
      <c r="C357" s="30"/>
      <c r="D357" s="25">
        <v>3</v>
      </c>
      <c r="E357" s="43">
        <f t="shared" si="493"/>
        <v>3</v>
      </c>
      <c r="F357" s="35">
        <v>2</v>
      </c>
      <c r="G357" s="8">
        <v>4</v>
      </c>
      <c r="H357" s="43">
        <f t="shared" si="494"/>
        <v>6</v>
      </c>
      <c r="I357" s="35"/>
      <c r="J357" s="8"/>
      <c r="K357" s="43">
        <f t="shared" si="495"/>
        <v>0</v>
      </c>
      <c r="L357" s="8">
        <f t="shared" si="496"/>
        <v>9</v>
      </c>
      <c r="M357" s="53">
        <v>45455</v>
      </c>
      <c r="N357" s="7" t="s">
        <v>228</v>
      </c>
      <c r="O357" s="30">
        <v>20</v>
      </c>
      <c r="P357" s="25"/>
      <c r="Q357" s="43">
        <f t="shared" si="497"/>
        <v>20</v>
      </c>
      <c r="R357" s="35">
        <v>30</v>
      </c>
      <c r="S357" s="8">
        <v>20</v>
      </c>
      <c r="T357" s="43">
        <f t="shared" si="498"/>
        <v>50</v>
      </c>
      <c r="U357" s="35">
        <v>15</v>
      </c>
      <c r="V357" s="8">
        <v>35</v>
      </c>
      <c r="W357" s="43">
        <f t="shared" si="499"/>
        <v>50</v>
      </c>
      <c r="X357" s="8">
        <f t="shared" si="500"/>
        <v>120</v>
      </c>
      <c r="Y357" s="53">
        <v>45462</v>
      </c>
    </row>
    <row r="358" spans="2:25" x14ac:dyDescent="0.15">
      <c r="B358" s="7" t="s">
        <v>12</v>
      </c>
      <c r="C358" s="30">
        <v>2</v>
      </c>
      <c r="D358" s="25">
        <v>2</v>
      </c>
      <c r="E358" s="43">
        <f t="shared" si="493"/>
        <v>4</v>
      </c>
      <c r="F358" s="35"/>
      <c r="G358" s="8"/>
      <c r="H358" s="43">
        <f t="shared" si="494"/>
        <v>0</v>
      </c>
      <c r="I358" s="35">
        <f>1+1</f>
        <v>2</v>
      </c>
      <c r="J358" s="8">
        <v>1</v>
      </c>
      <c r="K358" s="43">
        <f t="shared" si="495"/>
        <v>3</v>
      </c>
      <c r="L358" s="8">
        <f t="shared" si="496"/>
        <v>7</v>
      </c>
      <c r="M358" s="53">
        <v>45453</v>
      </c>
      <c r="N358" s="7"/>
      <c r="O358" s="30"/>
      <c r="P358" s="25"/>
      <c r="Q358" s="43">
        <f t="shared" ref="Q358" si="525">SUM(O358:P358)</f>
        <v>0</v>
      </c>
      <c r="R358" s="35"/>
      <c r="S358" s="8"/>
      <c r="T358" s="43">
        <f t="shared" ref="T358" si="526">SUM(R358:S358)</f>
        <v>0</v>
      </c>
      <c r="U358" s="35"/>
      <c r="V358" s="8"/>
      <c r="W358" s="43">
        <f t="shared" ref="W358" si="527">SUM(U358:V358)</f>
        <v>0</v>
      </c>
      <c r="X358" s="8">
        <f t="shared" ref="X358" si="528">SUM(W358,T358,Q358)</f>
        <v>0</v>
      </c>
      <c r="Y358" s="53"/>
    </row>
    <row r="359" spans="2:25" x14ac:dyDescent="0.15">
      <c r="B359" s="7" t="s">
        <v>12</v>
      </c>
      <c r="C359" s="30"/>
      <c r="D359" s="25"/>
      <c r="E359" s="43">
        <f t="shared" si="493"/>
        <v>0</v>
      </c>
      <c r="F359" s="35"/>
      <c r="G359" s="8">
        <v>6</v>
      </c>
      <c r="H359" s="43">
        <f t="shared" si="494"/>
        <v>6</v>
      </c>
      <c r="I359" s="35"/>
      <c r="J359" s="8"/>
      <c r="K359" s="43">
        <f t="shared" si="495"/>
        <v>0</v>
      </c>
      <c r="L359" s="8">
        <f t="shared" si="496"/>
        <v>6</v>
      </c>
      <c r="M359" s="53">
        <v>45454</v>
      </c>
      <c r="N359" s="7"/>
      <c r="O359" s="30"/>
      <c r="P359" s="25"/>
      <c r="Q359" s="43">
        <f t="shared" ref="Q359:Q360" si="529">SUM(O359:P359)</f>
        <v>0</v>
      </c>
      <c r="R359" s="35"/>
      <c r="S359" s="8"/>
      <c r="T359" s="43">
        <f t="shared" ref="T359:T360" si="530">SUM(R359:S359)</f>
        <v>0</v>
      </c>
      <c r="U359" s="35"/>
      <c r="V359" s="8"/>
      <c r="W359" s="43">
        <f t="shared" ref="W359:W360" si="531">SUM(U359:V359)</f>
        <v>0</v>
      </c>
      <c r="X359" s="8">
        <f t="shared" ref="X359:X360" si="532">SUM(W359,T359,Q359)</f>
        <v>0</v>
      </c>
    </row>
    <row r="360" spans="2:25" x14ac:dyDescent="0.15">
      <c r="B360" s="7" t="s">
        <v>12</v>
      </c>
      <c r="C360" s="30">
        <v>1</v>
      </c>
      <c r="D360" s="25"/>
      <c r="E360" s="43">
        <f t="shared" si="493"/>
        <v>1</v>
      </c>
      <c r="F360" s="35">
        <v>2</v>
      </c>
      <c r="G360" s="8">
        <v>2</v>
      </c>
      <c r="H360" s="43">
        <f t="shared" si="494"/>
        <v>4</v>
      </c>
      <c r="I360" s="35"/>
      <c r="J360" s="8"/>
      <c r="K360" s="43">
        <f t="shared" si="495"/>
        <v>0</v>
      </c>
      <c r="L360" s="8">
        <f t="shared" si="496"/>
        <v>5</v>
      </c>
      <c r="M360" s="53">
        <v>45455</v>
      </c>
      <c r="N360" s="7"/>
      <c r="O360" s="30"/>
      <c r="P360" s="25"/>
      <c r="Q360" s="43">
        <f t="shared" si="529"/>
        <v>0</v>
      </c>
      <c r="R360" s="35"/>
      <c r="S360" s="8"/>
      <c r="T360" s="43">
        <f t="shared" si="530"/>
        <v>0</v>
      </c>
      <c r="U360" s="35"/>
      <c r="V360" s="8"/>
      <c r="W360" s="43">
        <f t="shared" si="531"/>
        <v>0</v>
      </c>
      <c r="X360" s="8">
        <f t="shared" si="532"/>
        <v>0</v>
      </c>
    </row>
    <row r="361" spans="2:25" x14ac:dyDescent="0.15">
      <c r="B361" s="7"/>
      <c r="C361" s="30"/>
      <c r="D361" s="25"/>
      <c r="E361" s="43">
        <f t="shared" si="493"/>
        <v>0</v>
      </c>
      <c r="F361" s="35"/>
      <c r="G361" s="8"/>
      <c r="H361" s="43">
        <f t="shared" si="494"/>
        <v>0</v>
      </c>
      <c r="I361" s="35"/>
      <c r="J361" s="8"/>
      <c r="K361" s="43">
        <f t="shared" si="495"/>
        <v>0</v>
      </c>
      <c r="L361" s="8">
        <f t="shared" si="496"/>
        <v>0</v>
      </c>
      <c r="M361" s="53"/>
      <c r="N361" s="7" t="s">
        <v>195</v>
      </c>
      <c r="O361" s="30"/>
      <c r="P361" s="25"/>
      <c r="Q361" s="43">
        <f t="shared" ref="Q361:Q362" si="533">SUM(O361:P361)</f>
        <v>0</v>
      </c>
      <c r="R361" s="30"/>
      <c r="S361" s="25"/>
      <c r="T361" s="43">
        <f t="shared" ref="T361:T362" si="534">SUM(R361:S361)</f>
        <v>0</v>
      </c>
      <c r="U361" s="35"/>
      <c r="V361" s="8"/>
      <c r="W361" s="43">
        <f t="shared" ref="W361:W362" si="535">SUM(U361:V361)</f>
        <v>0</v>
      </c>
      <c r="X361" s="8">
        <f t="shared" ref="X361:X362" si="536">SUM(W361,T361,Q361)</f>
        <v>0</v>
      </c>
      <c r="Y361" s="52" t="s">
        <v>197</v>
      </c>
    </row>
    <row r="362" spans="2:25" ht="14.25" thickBot="1" x14ac:dyDescent="0.2">
      <c r="B362" s="7"/>
      <c r="C362" s="30"/>
      <c r="D362" s="25"/>
      <c r="E362" s="43">
        <f t="shared" si="493"/>
        <v>0</v>
      </c>
      <c r="F362" s="35"/>
      <c r="G362" s="8"/>
      <c r="H362" s="43">
        <f t="shared" si="494"/>
        <v>0</v>
      </c>
      <c r="I362" s="35"/>
      <c r="J362" s="8"/>
      <c r="K362" s="43">
        <f t="shared" si="495"/>
        <v>0</v>
      </c>
      <c r="L362" s="8">
        <f t="shared" si="496"/>
        <v>0</v>
      </c>
      <c r="M362" s="53"/>
      <c r="N362" s="7" t="s">
        <v>203</v>
      </c>
      <c r="O362" s="30"/>
      <c r="P362" s="25"/>
      <c r="Q362" s="43">
        <f t="shared" si="533"/>
        <v>0</v>
      </c>
      <c r="R362" s="30"/>
      <c r="S362" s="25"/>
      <c r="T362" s="43">
        <f t="shared" si="534"/>
        <v>0</v>
      </c>
      <c r="U362" s="35"/>
      <c r="V362" s="8"/>
      <c r="W362" s="43">
        <f t="shared" si="535"/>
        <v>0</v>
      </c>
      <c r="X362" s="8">
        <f t="shared" si="536"/>
        <v>0</v>
      </c>
      <c r="Y362" s="52" t="s">
        <v>204</v>
      </c>
    </row>
    <row r="363" spans="2:25" ht="14.25" thickBot="1" x14ac:dyDescent="0.2">
      <c r="B363" s="5" t="s">
        <v>1</v>
      </c>
      <c r="C363" s="32">
        <f>SUM(C338:C362)</f>
        <v>18</v>
      </c>
      <c r="D363" s="19">
        <f>SUM(D338:D362)</f>
        <v>37</v>
      </c>
      <c r="E363" s="44">
        <f t="shared" si="493"/>
        <v>55</v>
      </c>
      <c r="F363" s="32">
        <f>SUM(F338:F362)</f>
        <v>24</v>
      </c>
      <c r="G363" s="19">
        <f>SUM(G338:G362)</f>
        <v>27</v>
      </c>
      <c r="H363" s="44">
        <f t="shared" si="494"/>
        <v>51</v>
      </c>
      <c r="I363" s="32">
        <f>SUM(I338:I362)</f>
        <v>39</v>
      </c>
      <c r="J363" s="19">
        <f>SUM(J338:J362)</f>
        <v>24</v>
      </c>
      <c r="K363" s="44">
        <f t="shared" si="495"/>
        <v>63</v>
      </c>
      <c r="L363" s="4">
        <f t="shared" si="496"/>
        <v>169</v>
      </c>
      <c r="N363" s="5" t="s">
        <v>1</v>
      </c>
      <c r="O363" s="32">
        <f>SUM(O338:O362)</f>
        <v>139</v>
      </c>
      <c r="P363" s="19">
        <f t="shared" ref="P363" si="537">SUM(P338:P362)</f>
        <v>107</v>
      </c>
      <c r="Q363" s="44">
        <f t="shared" ref="Q363" si="538">SUM(Q338:Q362)</f>
        <v>246</v>
      </c>
      <c r="R363" s="32">
        <f t="shared" ref="R363" si="539">SUM(R338:R362)</f>
        <v>152</v>
      </c>
      <c r="S363" s="19">
        <f t="shared" ref="S363" si="540">SUM(S338:S362)</f>
        <v>165</v>
      </c>
      <c r="T363" s="44">
        <f t="shared" ref="T363" si="541">SUM(T338:T362)</f>
        <v>317</v>
      </c>
      <c r="U363" s="32">
        <f t="shared" ref="U363" si="542">SUM(U338:U362)</f>
        <v>173</v>
      </c>
      <c r="V363" s="19">
        <f t="shared" ref="V363" si="543">SUM(V338:V362)</f>
        <v>200</v>
      </c>
      <c r="W363" s="44">
        <f t="shared" ref="W363" si="544">SUM(W338:W362)</f>
        <v>373</v>
      </c>
      <c r="X363" s="4">
        <f t="shared" ref="X363" si="545">SUM(X338:X362)</f>
        <v>936</v>
      </c>
    </row>
    <row r="364" spans="2:25" ht="14.25" thickBot="1" x14ac:dyDescent="0.2">
      <c r="B364" s="3" t="s">
        <v>0</v>
      </c>
      <c r="C364" s="34">
        <f>+C337-C363</f>
        <v>38</v>
      </c>
      <c r="D364" s="2">
        <f>+D337-D363</f>
        <v>17</v>
      </c>
      <c r="E364" s="45">
        <f t="shared" si="493"/>
        <v>55</v>
      </c>
      <c r="F364" s="34">
        <f>+F337-F363</f>
        <v>13</v>
      </c>
      <c r="G364" s="2">
        <f>+G337-G363</f>
        <v>6</v>
      </c>
      <c r="H364" s="45">
        <f t="shared" si="494"/>
        <v>19</v>
      </c>
      <c r="I364" s="34">
        <f>+I337-I363</f>
        <v>11</v>
      </c>
      <c r="J364" s="2">
        <f>+J337-J363</f>
        <v>11</v>
      </c>
      <c r="K364" s="45">
        <f t="shared" si="495"/>
        <v>22</v>
      </c>
      <c r="L364" s="2">
        <f t="shared" si="496"/>
        <v>96</v>
      </c>
      <c r="N364" s="3" t="s">
        <v>0</v>
      </c>
      <c r="O364" s="34">
        <f>+O337-O363</f>
        <v>257</v>
      </c>
      <c r="P364" s="2">
        <f t="shared" ref="P364" si="546">+P337-P363</f>
        <v>306</v>
      </c>
      <c r="Q364" s="45">
        <f t="shared" ref="Q364" si="547">+Q337-Q363</f>
        <v>563</v>
      </c>
      <c r="R364" s="34">
        <f t="shared" ref="R364" si="548">+R337-R363</f>
        <v>211</v>
      </c>
      <c r="S364" s="2">
        <f t="shared" ref="S364" si="549">+S337-S363</f>
        <v>291</v>
      </c>
      <c r="T364" s="45">
        <f t="shared" ref="T364" si="550">+T337-T363</f>
        <v>502</v>
      </c>
      <c r="U364" s="34">
        <f t="shared" ref="U364" si="551">+U337-U363</f>
        <v>169</v>
      </c>
      <c r="V364" s="2">
        <f t="shared" ref="V364" si="552">+V337-V363</f>
        <v>274</v>
      </c>
      <c r="W364" s="45">
        <f t="shared" ref="W364" si="553">+W337-W363</f>
        <v>443</v>
      </c>
      <c r="X364" s="2">
        <f t="shared" ref="X364" si="554">+X337-X363</f>
        <v>1508</v>
      </c>
    </row>
    <row r="365" spans="2:25" x14ac:dyDescent="0.15">
      <c r="O365" s="85"/>
      <c r="P365" s="85"/>
      <c r="Q365" s="85"/>
      <c r="R365" s="85"/>
      <c r="S365" s="85"/>
      <c r="T365" s="85"/>
      <c r="U365" s="85"/>
      <c r="V365" s="85"/>
      <c r="W365" s="85"/>
      <c r="X365" s="85"/>
    </row>
    <row r="366" spans="2:25" x14ac:dyDescent="0.15">
      <c r="N366" s="100"/>
      <c r="O366" s="87"/>
      <c r="P366" s="86"/>
      <c r="Q366" s="87"/>
      <c r="R366" s="86"/>
      <c r="S366" s="86"/>
      <c r="T366" s="87"/>
      <c r="U366" s="87"/>
      <c r="V366" s="87"/>
      <c r="W366" s="87"/>
      <c r="X366" s="87"/>
    </row>
    <row r="367" spans="2:25" x14ac:dyDescent="0.15">
      <c r="N367" s="99"/>
      <c r="Q367" s="85"/>
      <c r="R367" s="89"/>
      <c r="S367" s="89"/>
      <c r="T367" s="85"/>
      <c r="U367" s="89"/>
      <c r="V367" s="89"/>
      <c r="W367" s="85"/>
    </row>
    <row r="368" spans="2:25" ht="18.75" x14ac:dyDescent="0.2">
      <c r="B368" s="23" t="s">
        <v>11</v>
      </c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N368" s="47" t="s">
        <v>25</v>
      </c>
      <c r="O368" s="48"/>
      <c r="P368" s="48"/>
      <c r="Q368" s="48"/>
      <c r="R368" s="48"/>
      <c r="S368" s="48"/>
      <c r="T368" s="48"/>
      <c r="U368" s="48"/>
      <c r="V368" s="48"/>
      <c r="W368" s="48"/>
      <c r="X368" s="48"/>
    </row>
    <row r="369" spans="2:25" ht="15" thickBot="1" x14ac:dyDescent="0.2">
      <c r="B369" s="22" t="s">
        <v>147</v>
      </c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N369" s="49" t="s">
        <v>148</v>
      </c>
      <c r="O369" s="48"/>
      <c r="P369" s="48"/>
      <c r="Q369" s="48"/>
      <c r="R369" s="48"/>
      <c r="S369" s="48"/>
      <c r="T369" s="48"/>
      <c r="U369" s="48"/>
      <c r="V369" s="48"/>
      <c r="W369" s="48"/>
      <c r="X369" s="48"/>
    </row>
    <row r="370" spans="2:25" ht="14.25" thickBot="1" x14ac:dyDescent="0.2">
      <c r="B370" s="20"/>
      <c r="C370" s="208" t="s">
        <v>9</v>
      </c>
      <c r="D370" s="209"/>
      <c r="E370" s="210"/>
      <c r="F370" s="208" t="s">
        <v>8</v>
      </c>
      <c r="G370" s="209"/>
      <c r="H370" s="210"/>
      <c r="I370" s="208" t="s">
        <v>7</v>
      </c>
      <c r="J370" s="209"/>
      <c r="K370" s="210"/>
      <c r="L370" s="19"/>
      <c r="N370" s="20"/>
      <c r="O370" s="208" t="s">
        <v>9</v>
      </c>
      <c r="P370" s="209"/>
      <c r="Q370" s="210"/>
      <c r="R370" s="208" t="s">
        <v>8</v>
      </c>
      <c r="S370" s="209"/>
      <c r="T370" s="210"/>
      <c r="U370" s="208" t="s">
        <v>7</v>
      </c>
      <c r="V370" s="209"/>
      <c r="W370" s="210"/>
      <c r="X370" s="19"/>
    </row>
    <row r="371" spans="2:25" ht="14.25" thickBot="1" x14ac:dyDescent="0.2">
      <c r="B371" s="18"/>
      <c r="C371" s="28" t="s">
        <v>6</v>
      </c>
      <c r="D371" s="17" t="s">
        <v>5</v>
      </c>
      <c r="E371" s="38" t="s">
        <v>4</v>
      </c>
      <c r="F371" s="28" t="s">
        <v>6</v>
      </c>
      <c r="G371" s="17" t="s">
        <v>5</v>
      </c>
      <c r="H371" s="38" t="s">
        <v>4</v>
      </c>
      <c r="I371" s="28" t="s">
        <v>6</v>
      </c>
      <c r="J371" s="17" t="s">
        <v>5</v>
      </c>
      <c r="K371" s="38" t="s">
        <v>4</v>
      </c>
      <c r="L371" s="17" t="s">
        <v>4</v>
      </c>
      <c r="N371" s="18"/>
      <c r="O371" s="28" t="s">
        <v>6</v>
      </c>
      <c r="P371" s="17" t="s">
        <v>5</v>
      </c>
      <c r="Q371" s="38" t="s">
        <v>4</v>
      </c>
      <c r="R371" s="28" t="s">
        <v>6</v>
      </c>
      <c r="S371" s="17" t="s">
        <v>5</v>
      </c>
      <c r="T371" s="38" t="s">
        <v>4</v>
      </c>
      <c r="U371" s="28" t="s">
        <v>6</v>
      </c>
      <c r="V371" s="17" t="s">
        <v>5</v>
      </c>
      <c r="W371" s="38" t="s">
        <v>4</v>
      </c>
      <c r="X371" s="17" t="s">
        <v>4</v>
      </c>
    </row>
    <row r="372" spans="2:25" x14ac:dyDescent="0.15">
      <c r="B372" s="66" t="s">
        <v>0</v>
      </c>
      <c r="C372" s="67">
        <f>C364</f>
        <v>38</v>
      </c>
      <c r="D372" s="68">
        <f t="shared" ref="D372:K372" si="555">D364</f>
        <v>17</v>
      </c>
      <c r="E372" s="69">
        <f t="shared" si="555"/>
        <v>55</v>
      </c>
      <c r="F372" s="67">
        <f t="shared" si="555"/>
        <v>13</v>
      </c>
      <c r="G372" s="68">
        <f t="shared" si="555"/>
        <v>6</v>
      </c>
      <c r="H372" s="69">
        <f t="shared" si="555"/>
        <v>19</v>
      </c>
      <c r="I372" s="67">
        <f t="shared" si="555"/>
        <v>11</v>
      </c>
      <c r="J372" s="68">
        <f t="shared" si="555"/>
        <v>11</v>
      </c>
      <c r="K372" s="69">
        <f t="shared" si="555"/>
        <v>22</v>
      </c>
      <c r="L372" s="70">
        <f>SUM(K372,H372,E372)</f>
        <v>96</v>
      </c>
      <c r="N372" s="66" t="s">
        <v>0</v>
      </c>
      <c r="O372" s="72">
        <f>O364</f>
        <v>257</v>
      </c>
      <c r="P372" s="80">
        <f t="shared" ref="P372:X372" si="556">P364</f>
        <v>306</v>
      </c>
      <c r="Q372" s="69">
        <f t="shared" si="556"/>
        <v>563</v>
      </c>
      <c r="R372" s="72">
        <f t="shared" si="556"/>
        <v>211</v>
      </c>
      <c r="S372" s="80">
        <f t="shared" si="556"/>
        <v>291</v>
      </c>
      <c r="T372" s="69">
        <f t="shared" si="556"/>
        <v>502</v>
      </c>
      <c r="U372" s="72">
        <f t="shared" si="556"/>
        <v>169</v>
      </c>
      <c r="V372" s="80">
        <f t="shared" si="556"/>
        <v>274</v>
      </c>
      <c r="W372" s="69">
        <f t="shared" si="556"/>
        <v>443</v>
      </c>
      <c r="X372" s="70">
        <f t="shared" si="556"/>
        <v>1508</v>
      </c>
    </row>
    <row r="373" spans="2:25" x14ac:dyDescent="0.15">
      <c r="B373" s="16" t="s">
        <v>57</v>
      </c>
      <c r="C373" s="30"/>
      <c r="D373" s="25">
        <v>1</v>
      </c>
      <c r="E373" s="40">
        <f t="shared" ref="E373:E405" si="557">SUM(C373:D373)</f>
        <v>1</v>
      </c>
      <c r="F373" s="35"/>
      <c r="G373" s="8"/>
      <c r="H373" s="40">
        <f t="shared" ref="H373:H405" si="558">SUM(F373:G373)</f>
        <v>0</v>
      </c>
      <c r="I373" s="35">
        <v>3</v>
      </c>
      <c r="J373" s="8">
        <v>3</v>
      </c>
      <c r="K373" s="40">
        <f t="shared" ref="K373:K405" si="559">SUM(I373:J373)</f>
        <v>6</v>
      </c>
      <c r="L373" s="9">
        <f t="shared" ref="L373:L405" si="560">SUM(K373,H373,E373)</f>
        <v>7</v>
      </c>
      <c r="M373" s="53">
        <v>45456</v>
      </c>
      <c r="N373" s="16" t="s">
        <v>3</v>
      </c>
      <c r="O373" s="62"/>
      <c r="P373" s="81"/>
      <c r="Q373" s="40">
        <f t="shared" ref="Q373:Q400" si="561">SUM(O373:P373)</f>
        <v>0</v>
      </c>
      <c r="R373" s="78"/>
      <c r="S373" s="82"/>
      <c r="T373" s="40">
        <f t="shared" ref="T373:T400" si="562">SUM(R373:S373)</f>
        <v>0</v>
      </c>
      <c r="U373" s="78"/>
      <c r="V373" s="82"/>
      <c r="W373" s="40">
        <f t="shared" ref="W373:W400" si="563">SUM(U373:V373)</f>
        <v>0</v>
      </c>
      <c r="X373" s="25">
        <f t="shared" ref="X373:X400" si="564">SUM(W373,T373,Q373)</f>
        <v>0</v>
      </c>
    </row>
    <row r="374" spans="2:25" x14ac:dyDescent="0.15">
      <c r="B374" s="16" t="s">
        <v>3</v>
      </c>
      <c r="C374" s="30"/>
      <c r="D374" s="25"/>
      <c r="E374" s="40">
        <f t="shared" si="557"/>
        <v>0</v>
      </c>
      <c r="F374" s="35">
        <v>5</v>
      </c>
      <c r="G374" s="8">
        <v>5</v>
      </c>
      <c r="H374" s="40">
        <f t="shared" si="558"/>
        <v>10</v>
      </c>
      <c r="I374" s="35">
        <v>5</v>
      </c>
      <c r="J374" s="8"/>
      <c r="K374" s="40">
        <f t="shared" si="559"/>
        <v>5</v>
      </c>
      <c r="L374" s="9">
        <f t="shared" si="560"/>
        <v>15</v>
      </c>
      <c r="M374" s="53">
        <v>45458</v>
      </c>
      <c r="N374" s="55" t="s">
        <v>3</v>
      </c>
      <c r="O374" s="62"/>
      <c r="P374" s="81"/>
      <c r="Q374" s="40">
        <f t="shared" si="561"/>
        <v>0</v>
      </c>
      <c r="R374" s="78"/>
      <c r="S374" s="82"/>
      <c r="T374" s="40">
        <f t="shared" si="562"/>
        <v>0</v>
      </c>
      <c r="U374" s="78"/>
      <c r="V374" s="82"/>
      <c r="W374" s="40">
        <f t="shared" si="563"/>
        <v>0</v>
      </c>
      <c r="X374" s="25">
        <f t="shared" si="564"/>
        <v>0</v>
      </c>
    </row>
    <row r="375" spans="2:25" x14ac:dyDescent="0.15">
      <c r="B375" s="16" t="s">
        <v>3</v>
      </c>
      <c r="C375" s="30"/>
      <c r="D375" s="25"/>
      <c r="E375" s="40">
        <f t="shared" si="557"/>
        <v>0</v>
      </c>
      <c r="F375" s="35">
        <v>10</v>
      </c>
      <c r="G375" s="8">
        <v>15</v>
      </c>
      <c r="H375" s="40">
        <f t="shared" si="558"/>
        <v>25</v>
      </c>
      <c r="I375" s="35"/>
      <c r="J375" s="8"/>
      <c r="K375" s="40">
        <f t="shared" si="559"/>
        <v>0</v>
      </c>
      <c r="L375" s="9">
        <f t="shared" si="560"/>
        <v>25</v>
      </c>
      <c r="M375" s="53">
        <v>45461</v>
      </c>
      <c r="N375" s="55" t="s">
        <v>3</v>
      </c>
      <c r="O375" s="62"/>
      <c r="P375" s="81"/>
      <c r="Q375" s="40">
        <f t="shared" si="561"/>
        <v>0</v>
      </c>
      <c r="R375" s="78"/>
      <c r="S375" s="82"/>
      <c r="T375" s="40">
        <f t="shared" si="562"/>
        <v>0</v>
      </c>
      <c r="U375" s="78"/>
      <c r="V375" s="82"/>
      <c r="W375" s="40">
        <f t="shared" si="563"/>
        <v>0</v>
      </c>
      <c r="X375" s="25">
        <f t="shared" si="564"/>
        <v>0</v>
      </c>
    </row>
    <row r="376" spans="2:25" x14ac:dyDescent="0.15">
      <c r="B376" s="16" t="s">
        <v>57</v>
      </c>
      <c r="C376" s="30"/>
      <c r="D376" s="25"/>
      <c r="E376" s="40">
        <f t="shared" si="557"/>
        <v>0</v>
      </c>
      <c r="F376" s="35"/>
      <c r="G376" s="8"/>
      <c r="H376" s="40">
        <f t="shared" si="558"/>
        <v>0</v>
      </c>
      <c r="I376" s="35"/>
      <c r="J376" s="8">
        <v>2</v>
      </c>
      <c r="K376" s="40">
        <f t="shared" si="559"/>
        <v>2</v>
      </c>
      <c r="L376" s="9">
        <f t="shared" si="560"/>
        <v>2</v>
      </c>
      <c r="M376" s="53">
        <v>45469</v>
      </c>
      <c r="N376" s="55" t="s">
        <v>3</v>
      </c>
      <c r="O376" s="62"/>
      <c r="P376" s="81"/>
      <c r="Q376" s="40">
        <f t="shared" ref="Q376" si="565">SUM(O376:P376)</f>
        <v>0</v>
      </c>
      <c r="R376" s="78"/>
      <c r="S376" s="82"/>
      <c r="T376" s="40">
        <f t="shared" ref="T376" si="566">SUM(R376:S376)</f>
        <v>0</v>
      </c>
      <c r="U376" s="78"/>
      <c r="V376" s="82"/>
      <c r="W376" s="40">
        <f t="shared" ref="W376" si="567">SUM(U376:V376)</f>
        <v>0</v>
      </c>
      <c r="X376" s="25">
        <f t="shared" ref="X376" si="568">SUM(W376,T376,Q376)</f>
        <v>0</v>
      </c>
    </row>
    <row r="377" spans="2:25" ht="14.25" thickBot="1" x14ac:dyDescent="0.2">
      <c r="B377" s="15" t="s">
        <v>3</v>
      </c>
      <c r="C377" s="31"/>
      <c r="D377" s="26"/>
      <c r="E377" s="41">
        <f t="shared" si="557"/>
        <v>0</v>
      </c>
      <c r="F377" s="36"/>
      <c r="G377" s="6"/>
      <c r="H377" s="41">
        <f t="shared" si="558"/>
        <v>0</v>
      </c>
      <c r="I377" s="36"/>
      <c r="J377" s="6"/>
      <c r="K377" s="41">
        <f t="shared" si="559"/>
        <v>0</v>
      </c>
      <c r="L377" s="14">
        <f t="shared" si="560"/>
        <v>0</v>
      </c>
      <c r="N377" s="75" t="s">
        <v>3</v>
      </c>
      <c r="O377" s="76"/>
      <c r="P377" s="83"/>
      <c r="Q377" s="41">
        <f t="shared" si="561"/>
        <v>0</v>
      </c>
      <c r="R377" s="76"/>
      <c r="S377" s="83"/>
      <c r="T377" s="41">
        <f t="shared" si="562"/>
        <v>0</v>
      </c>
      <c r="U377" s="76"/>
      <c r="V377" s="83"/>
      <c r="W377" s="41">
        <f t="shared" si="563"/>
        <v>0</v>
      </c>
      <c r="X377" s="77">
        <f t="shared" si="564"/>
        <v>0</v>
      </c>
    </row>
    <row r="378" spans="2:25" ht="14.25" thickBot="1" x14ac:dyDescent="0.2">
      <c r="B378" s="5" t="s">
        <v>2</v>
      </c>
      <c r="C378" s="32">
        <f>SUM(C372:C377)</f>
        <v>38</v>
      </c>
      <c r="D378" s="19">
        <f>SUM(D372:D377)</f>
        <v>18</v>
      </c>
      <c r="E378" s="42">
        <f t="shared" si="557"/>
        <v>56</v>
      </c>
      <c r="F378" s="32">
        <f>SUM(F372:F377)</f>
        <v>28</v>
      </c>
      <c r="G378" s="19">
        <f>SUM(G372:G377)</f>
        <v>26</v>
      </c>
      <c r="H378" s="42">
        <f t="shared" si="558"/>
        <v>54</v>
      </c>
      <c r="I378" s="32">
        <f>SUM(I372:I377)</f>
        <v>19</v>
      </c>
      <c r="J378" s="19">
        <f>SUM(J372:J377)</f>
        <v>16</v>
      </c>
      <c r="K378" s="42">
        <f t="shared" si="559"/>
        <v>35</v>
      </c>
      <c r="L378" s="13">
        <f t="shared" si="560"/>
        <v>145</v>
      </c>
      <c r="N378" s="63" t="s">
        <v>2</v>
      </c>
      <c r="O378" s="32">
        <f>SUM(O372:O377)</f>
        <v>257</v>
      </c>
      <c r="P378" s="19">
        <f t="shared" ref="P378" si="569">SUM(P372:P377)</f>
        <v>306</v>
      </c>
      <c r="Q378" s="42">
        <f t="shared" ref="Q378" si="570">SUM(Q372:Q377)</f>
        <v>563</v>
      </c>
      <c r="R378" s="32">
        <f t="shared" ref="R378" si="571">SUM(R372:R377)</f>
        <v>211</v>
      </c>
      <c r="S378" s="19">
        <f t="shared" ref="S378" si="572">SUM(S372:S377)</f>
        <v>291</v>
      </c>
      <c r="T378" s="42">
        <f t="shared" ref="T378" si="573">SUM(T372:T377)</f>
        <v>502</v>
      </c>
      <c r="U378" s="32">
        <f t="shared" ref="U378" si="574">SUM(U372:U377)</f>
        <v>169</v>
      </c>
      <c r="V378" s="19">
        <f t="shared" ref="V378" si="575">SUM(V372:V377)</f>
        <v>274</v>
      </c>
      <c r="W378" s="42">
        <f t="shared" ref="W378" si="576">SUM(W372:W377)</f>
        <v>443</v>
      </c>
      <c r="X378" s="13">
        <f t="shared" ref="X378" si="577">SUM(X372:X377)</f>
        <v>1508</v>
      </c>
    </row>
    <row r="379" spans="2:25" x14ac:dyDescent="0.15">
      <c r="B379" s="7" t="s">
        <v>70</v>
      </c>
      <c r="C379" s="30"/>
      <c r="D379" s="25">
        <v>2</v>
      </c>
      <c r="E379" s="43">
        <f t="shared" si="557"/>
        <v>2</v>
      </c>
      <c r="F379" s="35"/>
      <c r="G379" s="8"/>
      <c r="H379" s="43">
        <f t="shared" si="558"/>
        <v>0</v>
      </c>
      <c r="I379" s="35"/>
      <c r="J379" s="8"/>
      <c r="K379" s="43">
        <f t="shared" si="559"/>
        <v>0</v>
      </c>
      <c r="L379" s="8">
        <f t="shared" si="560"/>
        <v>2</v>
      </c>
      <c r="M379" s="53">
        <v>45460</v>
      </c>
      <c r="N379" s="7" t="s">
        <v>234</v>
      </c>
      <c r="O379" s="30">
        <v>3</v>
      </c>
      <c r="P379" s="25"/>
      <c r="Q379" s="43">
        <f t="shared" si="561"/>
        <v>3</v>
      </c>
      <c r="R379" s="35"/>
      <c r="S379" s="8">
        <v>10</v>
      </c>
      <c r="T379" s="43">
        <f t="shared" si="562"/>
        <v>10</v>
      </c>
      <c r="U379" s="35">
        <v>5</v>
      </c>
      <c r="V379" s="8">
        <v>20</v>
      </c>
      <c r="W379" s="43">
        <f t="shared" si="563"/>
        <v>25</v>
      </c>
      <c r="X379" s="8">
        <f t="shared" si="564"/>
        <v>38</v>
      </c>
      <c r="Y379" s="53">
        <v>45468</v>
      </c>
    </row>
    <row r="380" spans="2:25" x14ac:dyDescent="0.15">
      <c r="B380" s="7" t="s">
        <v>12</v>
      </c>
      <c r="C380" s="30"/>
      <c r="D380" s="25"/>
      <c r="E380" s="43">
        <f t="shared" si="557"/>
        <v>0</v>
      </c>
      <c r="F380" s="35">
        <v>2</v>
      </c>
      <c r="G380" s="8"/>
      <c r="H380" s="43">
        <f t="shared" si="558"/>
        <v>2</v>
      </c>
      <c r="I380" s="35"/>
      <c r="J380" s="8"/>
      <c r="K380" s="43">
        <f t="shared" si="559"/>
        <v>0</v>
      </c>
      <c r="L380" s="8">
        <f t="shared" si="560"/>
        <v>2</v>
      </c>
      <c r="M380" s="53">
        <v>45457</v>
      </c>
      <c r="N380" s="7" t="s">
        <v>243</v>
      </c>
      <c r="O380" s="30">
        <v>3</v>
      </c>
      <c r="P380" s="25">
        <v>1</v>
      </c>
      <c r="Q380" s="43">
        <f t="shared" si="561"/>
        <v>4</v>
      </c>
      <c r="R380" s="35"/>
      <c r="S380" s="8"/>
      <c r="T380" s="43">
        <f t="shared" si="562"/>
        <v>0</v>
      </c>
      <c r="U380" s="35"/>
      <c r="V380" s="8"/>
      <c r="W380" s="43">
        <f t="shared" si="563"/>
        <v>0</v>
      </c>
      <c r="X380" s="8">
        <f t="shared" si="564"/>
        <v>4</v>
      </c>
      <c r="Y380" s="53">
        <v>45460</v>
      </c>
    </row>
    <row r="381" spans="2:25" x14ac:dyDescent="0.15">
      <c r="B381" s="7" t="s">
        <v>12</v>
      </c>
      <c r="C381" s="30"/>
      <c r="D381" s="25"/>
      <c r="E381" s="43">
        <f t="shared" si="557"/>
        <v>0</v>
      </c>
      <c r="F381" s="35">
        <v>1</v>
      </c>
      <c r="G381" s="8">
        <v>2</v>
      </c>
      <c r="H381" s="43">
        <f t="shared" si="558"/>
        <v>3</v>
      </c>
      <c r="I381" s="35"/>
      <c r="J381" s="8"/>
      <c r="K381" s="43">
        <f t="shared" si="559"/>
        <v>0</v>
      </c>
      <c r="L381" s="8">
        <f t="shared" si="560"/>
        <v>3</v>
      </c>
      <c r="M381" s="53">
        <v>45458</v>
      </c>
      <c r="N381" s="7" t="s">
        <v>28</v>
      </c>
      <c r="O381" s="30"/>
      <c r="P381" s="25"/>
      <c r="Q381" s="43">
        <f t="shared" ref="Q381:Q396" si="578">SUM(O381:P381)</f>
        <v>0</v>
      </c>
      <c r="R381" s="35">
        <v>5</v>
      </c>
      <c r="S381" s="8">
        <v>5</v>
      </c>
      <c r="T381" s="43">
        <f t="shared" ref="T381:T396" si="579">SUM(R381:S381)</f>
        <v>10</v>
      </c>
      <c r="U381" s="35">
        <v>5</v>
      </c>
      <c r="V381" s="8"/>
      <c r="W381" s="43">
        <f t="shared" ref="W381:W396" si="580">SUM(U381:V381)</f>
        <v>5</v>
      </c>
      <c r="X381" s="8">
        <f t="shared" ref="X381:X396" si="581">SUM(W381,T381,Q381)</f>
        <v>15</v>
      </c>
      <c r="Y381" s="53">
        <v>45461</v>
      </c>
    </row>
    <row r="382" spans="2:25" x14ac:dyDescent="0.15">
      <c r="B382" s="7" t="s">
        <v>246</v>
      </c>
      <c r="C382" s="30"/>
      <c r="D382" s="25"/>
      <c r="E382" s="43">
        <f t="shared" si="557"/>
        <v>0</v>
      </c>
      <c r="F382" s="35">
        <v>4</v>
      </c>
      <c r="G382" s="8">
        <v>3</v>
      </c>
      <c r="H382" s="43">
        <f t="shared" si="558"/>
        <v>7</v>
      </c>
      <c r="I382" s="35">
        <v>5</v>
      </c>
      <c r="J382" s="8"/>
      <c r="K382" s="43">
        <f t="shared" si="559"/>
        <v>5</v>
      </c>
      <c r="L382" s="8">
        <f t="shared" si="560"/>
        <v>12</v>
      </c>
      <c r="M382" s="53">
        <v>45458</v>
      </c>
      <c r="N382" s="7" t="s">
        <v>71</v>
      </c>
      <c r="O382" s="30">
        <v>3</v>
      </c>
      <c r="P382" s="25">
        <v>2</v>
      </c>
      <c r="Q382" s="43">
        <f t="shared" si="578"/>
        <v>5</v>
      </c>
      <c r="R382" s="35">
        <v>3</v>
      </c>
      <c r="S382" s="8"/>
      <c r="T382" s="43">
        <f t="shared" si="579"/>
        <v>3</v>
      </c>
      <c r="U382" s="35">
        <v>12</v>
      </c>
      <c r="V382" s="8">
        <v>2</v>
      </c>
      <c r="W382" s="43">
        <f t="shared" si="580"/>
        <v>14</v>
      </c>
      <c r="X382" s="8">
        <f t="shared" si="581"/>
        <v>22</v>
      </c>
      <c r="Y382" s="53">
        <v>45462</v>
      </c>
    </row>
    <row r="383" spans="2:25" x14ac:dyDescent="0.15">
      <c r="B383" s="7" t="s">
        <v>12</v>
      </c>
      <c r="C383" s="30"/>
      <c r="D383" s="25"/>
      <c r="E383" s="43">
        <f t="shared" si="557"/>
        <v>0</v>
      </c>
      <c r="F383" s="35">
        <v>2</v>
      </c>
      <c r="G383" s="8">
        <v>3</v>
      </c>
      <c r="H383" s="43">
        <f t="shared" si="558"/>
        <v>5</v>
      </c>
      <c r="I383" s="35"/>
      <c r="J383" s="8">
        <v>2</v>
      </c>
      <c r="K383" s="43">
        <f t="shared" si="559"/>
        <v>2</v>
      </c>
      <c r="L383" s="8">
        <f t="shared" si="560"/>
        <v>7</v>
      </c>
      <c r="M383" s="53">
        <v>45460</v>
      </c>
      <c r="N383" s="7" t="s">
        <v>28</v>
      </c>
      <c r="O383" s="30"/>
      <c r="P383" s="25"/>
      <c r="Q383" s="43">
        <f t="shared" si="578"/>
        <v>0</v>
      </c>
      <c r="R383" s="35">
        <v>10</v>
      </c>
      <c r="S383" s="8">
        <v>15</v>
      </c>
      <c r="T383" s="43">
        <f t="shared" si="579"/>
        <v>25</v>
      </c>
      <c r="U383" s="35"/>
      <c r="V383" s="8"/>
      <c r="W383" s="43">
        <f t="shared" si="580"/>
        <v>0</v>
      </c>
      <c r="X383" s="8">
        <f t="shared" si="581"/>
        <v>25</v>
      </c>
      <c r="Y383" s="53">
        <v>45461</v>
      </c>
    </row>
    <row r="384" spans="2:25" x14ac:dyDescent="0.15">
      <c r="B384" s="7" t="s">
        <v>12</v>
      </c>
      <c r="C384" s="30"/>
      <c r="D384" s="25"/>
      <c r="E384" s="43">
        <f t="shared" si="557"/>
        <v>0</v>
      </c>
      <c r="F384" s="35"/>
      <c r="G384" s="8">
        <v>3</v>
      </c>
      <c r="H384" s="43">
        <f t="shared" si="558"/>
        <v>3</v>
      </c>
      <c r="I384" s="35"/>
      <c r="J384" s="8"/>
      <c r="K384" s="43">
        <f t="shared" si="559"/>
        <v>0</v>
      </c>
      <c r="L384" s="8">
        <f t="shared" si="560"/>
        <v>3</v>
      </c>
      <c r="M384" s="53">
        <v>45461</v>
      </c>
      <c r="N384" s="7" t="s">
        <v>247</v>
      </c>
      <c r="O384" s="30">
        <v>1</v>
      </c>
      <c r="P384" s="25">
        <v>2</v>
      </c>
      <c r="Q384" s="43">
        <f t="shared" si="578"/>
        <v>3</v>
      </c>
      <c r="R384" s="35"/>
      <c r="S384" s="8"/>
      <c r="T384" s="43">
        <f t="shared" si="579"/>
        <v>0</v>
      </c>
      <c r="U384" s="35">
        <v>1</v>
      </c>
      <c r="V384" s="8">
        <v>3</v>
      </c>
      <c r="W384" s="43">
        <f t="shared" si="580"/>
        <v>4</v>
      </c>
      <c r="X384" s="8">
        <f t="shared" si="581"/>
        <v>7</v>
      </c>
      <c r="Y384" s="53">
        <v>45467</v>
      </c>
    </row>
    <row r="385" spans="2:25" x14ac:dyDescent="0.15">
      <c r="B385" s="7" t="s">
        <v>12</v>
      </c>
      <c r="C385" s="30"/>
      <c r="D385" s="25"/>
      <c r="E385" s="43">
        <f t="shared" si="557"/>
        <v>0</v>
      </c>
      <c r="F385" s="35"/>
      <c r="G385" s="8">
        <v>1</v>
      </c>
      <c r="H385" s="43">
        <f t="shared" si="558"/>
        <v>1</v>
      </c>
      <c r="I385" s="35"/>
      <c r="J385" s="8"/>
      <c r="K385" s="43">
        <f t="shared" si="559"/>
        <v>0</v>
      </c>
      <c r="L385" s="8">
        <f t="shared" si="560"/>
        <v>1</v>
      </c>
      <c r="M385" s="53">
        <v>45462</v>
      </c>
      <c r="N385" s="7" t="s">
        <v>72</v>
      </c>
      <c r="O385" s="30"/>
      <c r="P385" s="25">
        <v>12</v>
      </c>
      <c r="Q385" s="43">
        <f t="shared" si="578"/>
        <v>12</v>
      </c>
      <c r="R385" s="35">
        <v>8</v>
      </c>
      <c r="S385" s="8">
        <v>5</v>
      </c>
      <c r="T385" s="43">
        <f t="shared" si="579"/>
        <v>13</v>
      </c>
      <c r="U385" s="35">
        <v>4</v>
      </c>
      <c r="V385" s="8"/>
      <c r="W385" s="43">
        <f t="shared" si="580"/>
        <v>4</v>
      </c>
      <c r="X385" s="8">
        <f t="shared" si="581"/>
        <v>29</v>
      </c>
      <c r="Y385" s="53">
        <v>45463</v>
      </c>
    </row>
    <row r="386" spans="2:25" x14ac:dyDescent="0.15">
      <c r="B386" s="7" t="s">
        <v>12</v>
      </c>
      <c r="C386" s="30"/>
      <c r="D386" s="25"/>
      <c r="E386" s="43">
        <f t="shared" si="557"/>
        <v>0</v>
      </c>
      <c r="F386" s="35"/>
      <c r="G386" s="8"/>
      <c r="H386" s="43">
        <f t="shared" si="558"/>
        <v>0</v>
      </c>
      <c r="I386" s="35">
        <v>1</v>
      </c>
      <c r="J386" s="8"/>
      <c r="K386" s="43">
        <f t="shared" si="559"/>
        <v>1</v>
      </c>
      <c r="L386" s="8">
        <f t="shared" si="560"/>
        <v>1</v>
      </c>
      <c r="M386" s="53">
        <v>45463</v>
      </c>
      <c r="N386" s="7" t="s">
        <v>73</v>
      </c>
      <c r="O386" s="30">
        <v>1</v>
      </c>
      <c r="P386" s="25">
        <v>2</v>
      </c>
      <c r="Q386" s="43">
        <f t="shared" si="578"/>
        <v>3</v>
      </c>
      <c r="R386" s="35">
        <v>2</v>
      </c>
      <c r="S386" s="8">
        <v>7</v>
      </c>
      <c r="T386" s="43">
        <f t="shared" si="579"/>
        <v>9</v>
      </c>
      <c r="U386" s="35">
        <v>7</v>
      </c>
      <c r="V386" s="8">
        <v>8</v>
      </c>
      <c r="W386" s="43">
        <f t="shared" si="580"/>
        <v>15</v>
      </c>
      <c r="X386" s="8">
        <f t="shared" si="581"/>
        <v>27</v>
      </c>
      <c r="Y386" s="53">
        <v>45464</v>
      </c>
    </row>
    <row r="387" spans="2:25" x14ac:dyDescent="0.15">
      <c r="B387" s="7" t="s">
        <v>77</v>
      </c>
      <c r="C387" s="30">
        <v>1</v>
      </c>
      <c r="D387" s="25"/>
      <c r="E387" s="43">
        <f t="shared" si="557"/>
        <v>1</v>
      </c>
      <c r="F387" s="35">
        <v>4</v>
      </c>
      <c r="G387" s="8"/>
      <c r="H387" s="43">
        <f t="shared" si="558"/>
        <v>4</v>
      </c>
      <c r="I387" s="35"/>
      <c r="J387" s="8"/>
      <c r="K387" s="43">
        <f t="shared" si="559"/>
        <v>0</v>
      </c>
      <c r="L387" s="8">
        <f t="shared" si="560"/>
        <v>5</v>
      </c>
      <c r="M387" s="53">
        <v>45469</v>
      </c>
      <c r="N387" s="7" t="s">
        <v>245</v>
      </c>
      <c r="O387" s="30"/>
      <c r="P387" s="25"/>
      <c r="Q387" s="43">
        <f t="shared" si="578"/>
        <v>0</v>
      </c>
      <c r="R387" s="35"/>
      <c r="S387" s="8"/>
      <c r="T387" s="43">
        <f t="shared" si="579"/>
        <v>0</v>
      </c>
      <c r="U387" s="35"/>
      <c r="V387" s="8">
        <v>8</v>
      </c>
      <c r="W387" s="43">
        <f t="shared" si="580"/>
        <v>8</v>
      </c>
      <c r="X387" s="8">
        <f t="shared" si="581"/>
        <v>8</v>
      </c>
      <c r="Y387" s="53">
        <v>45470</v>
      </c>
    </row>
    <row r="388" spans="2:25" x14ac:dyDescent="0.15">
      <c r="B388" s="7" t="s">
        <v>12</v>
      </c>
      <c r="C388" s="30">
        <v>1</v>
      </c>
      <c r="D388" s="25"/>
      <c r="E388" s="43">
        <f t="shared" si="557"/>
        <v>1</v>
      </c>
      <c r="F388" s="35"/>
      <c r="G388" s="8">
        <v>1</v>
      </c>
      <c r="H388" s="43">
        <f t="shared" si="558"/>
        <v>1</v>
      </c>
      <c r="I388" s="35">
        <v>1</v>
      </c>
      <c r="J388" s="8"/>
      <c r="K388" s="43">
        <f t="shared" si="559"/>
        <v>1</v>
      </c>
      <c r="L388" s="8">
        <f t="shared" si="560"/>
        <v>3</v>
      </c>
      <c r="M388" s="53">
        <v>45467</v>
      </c>
      <c r="N388" s="7" t="s">
        <v>74</v>
      </c>
      <c r="O388" s="30">
        <v>5</v>
      </c>
      <c r="P388" s="25">
        <v>9</v>
      </c>
      <c r="Q388" s="43">
        <f t="shared" si="578"/>
        <v>14</v>
      </c>
      <c r="R388" s="35">
        <v>1</v>
      </c>
      <c r="S388" s="8">
        <v>3</v>
      </c>
      <c r="T388" s="43">
        <f t="shared" si="579"/>
        <v>4</v>
      </c>
      <c r="U388" s="35">
        <v>2</v>
      </c>
      <c r="V388" s="8">
        <v>13</v>
      </c>
      <c r="W388" s="43">
        <f t="shared" si="580"/>
        <v>15</v>
      </c>
      <c r="X388" s="8">
        <f t="shared" si="581"/>
        <v>33</v>
      </c>
      <c r="Y388" s="53">
        <v>45464</v>
      </c>
    </row>
    <row r="389" spans="2:25" x14ac:dyDescent="0.15">
      <c r="B389" s="7" t="s">
        <v>12</v>
      </c>
      <c r="C389" s="33">
        <v>2</v>
      </c>
      <c r="D389" s="27">
        <v>2</v>
      </c>
      <c r="E389" s="43">
        <f t="shared" si="557"/>
        <v>4</v>
      </c>
      <c r="F389" s="37">
        <v>1</v>
      </c>
      <c r="G389" s="10">
        <v>3</v>
      </c>
      <c r="H389" s="43">
        <f t="shared" si="558"/>
        <v>4</v>
      </c>
      <c r="I389" s="37">
        <v>1</v>
      </c>
      <c r="J389" s="10">
        <v>3</v>
      </c>
      <c r="K389" s="43">
        <f t="shared" si="559"/>
        <v>4</v>
      </c>
      <c r="L389" s="8">
        <f t="shared" si="560"/>
        <v>12</v>
      </c>
      <c r="M389" s="53">
        <v>45469</v>
      </c>
      <c r="N389" s="7" t="s">
        <v>75</v>
      </c>
      <c r="O389" s="30">
        <v>1</v>
      </c>
      <c r="P389" s="25"/>
      <c r="Q389" s="43">
        <f t="shared" si="578"/>
        <v>1</v>
      </c>
      <c r="R389" s="35">
        <v>1</v>
      </c>
      <c r="S389" s="8"/>
      <c r="T389" s="43">
        <f t="shared" si="579"/>
        <v>1</v>
      </c>
      <c r="U389" s="35">
        <v>4</v>
      </c>
      <c r="V389" s="8">
        <v>5</v>
      </c>
      <c r="W389" s="43">
        <f t="shared" si="580"/>
        <v>9</v>
      </c>
      <c r="X389" s="8">
        <f t="shared" si="581"/>
        <v>11</v>
      </c>
      <c r="Y389" s="53">
        <v>45467</v>
      </c>
    </row>
    <row r="390" spans="2:25" x14ac:dyDescent="0.15">
      <c r="B390" s="7" t="s">
        <v>12</v>
      </c>
      <c r="C390" s="33"/>
      <c r="D390" s="27"/>
      <c r="E390" s="43">
        <f t="shared" si="557"/>
        <v>0</v>
      </c>
      <c r="F390" s="37"/>
      <c r="G390" s="10"/>
      <c r="H390" s="43">
        <f t="shared" si="558"/>
        <v>0</v>
      </c>
      <c r="I390" s="37">
        <v>1</v>
      </c>
      <c r="J390" s="10"/>
      <c r="K390" s="43">
        <f t="shared" si="559"/>
        <v>1</v>
      </c>
      <c r="L390" s="8">
        <f t="shared" si="560"/>
        <v>1</v>
      </c>
      <c r="M390" s="53">
        <v>45471</v>
      </c>
      <c r="N390" s="7" t="s">
        <v>248</v>
      </c>
      <c r="O390" s="30"/>
      <c r="P390" s="25"/>
      <c r="Q390" s="43">
        <f t="shared" si="578"/>
        <v>0</v>
      </c>
      <c r="R390" s="35"/>
      <c r="S390" s="8"/>
      <c r="T390" s="43">
        <f t="shared" si="579"/>
        <v>0</v>
      </c>
      <c r="U390" s="35">
        <v>2</v>
      </c>
      <c r="V390" s="8"/>
      <c r="W390" s="43">
        <f t="shared" si="580"/>
        <v>2</v>
      </c>
      <c r="X390" s="8">
        <f t="shared" si="581"/>
        <v>2</v>
      </c>
      <c r="Y390" s="53">
        <v>45471</v>
      </c>
    </row>
    <row r="391" spans="2:25" x14ac:dyDescent="0.15">
      <c r="B391" s="7" t="s">
        <v>12</v>
      </c>
      <c r="C391" s="30"/>
      <c r="D391" s="25"/>
      <c r="E391" s="43">
        <f t="shared" si="557"/>
        <v>0</v>
      </c>
      <c r="F391" s="35"/>
      <c r="G391" s="8"/>
      <c r="H391" s="43">
        <f t="shared" si="558"/>
        <v>0</v>
      </c>
      <c r="I391" s="35">
        <v>1</v>
      </c>
      <c r="J391" s="8"/>
      <c r="K391" s="43">
        <f t="shared" si="559"/>
        <v>1</v>
      </c>
      <c r="L391" s="8">
        <f t="shared" si="560"/>
        <v>1</v>
      </c>
      <c r="M391" s="53">
        <v>45475</v>
      </c>
      <c r="N391" s="7" t="s">
        <v>79</v>
      </c>
      <c r="O391" s="30">
        <v>2</v>
      </c>
      <c r="P391" s="25">
        <v>3</v>
      </c>
      <c r="Q391" s="43">
        <f t="shared" si="578"/>
        <v>5</v>
      </c>
      <c r="R391" s="35">
        <v>5</v>
      </c>
      <c r="S391" s="8">
        <v>2</v>
      </c>
      <c r="T391" s="43">
        <f t="shared" si="579"/>
        <v>7</v>
      </c>
      <c r="U391" s="35"/>
      <c r="V391" s="8">
        <v>4</v>
      </c>
      <c r="W391" s="43">
        <f t="shared" si="580"/>
        <v>4</v>
      </c>
      <c r="X391" s="8">
        <f t="shared" si="581"/>
        <v>16</v>
      </c>
      <c r="Y391" s="53">
        <v>45470</v>
      </c>
    </row>
    <row r="392" spans="2:25" x14ac:dyDescent="0.15">
      <c r="B392" s="7"/>
      <c r="C392" s="33"/>
      <c r="D392" s="27"/>
      <c r="E392" s="43">
        <f t="shared" si="557"/>
        <v>0</v>
      </c>
      <c r="F392" s="37"/>
      <c r="G392" s="10"/>
      <c r="H392" s="43">
        <f t="shared" si="558"/>
        <v>0</v>
      </c>
      <c r="I392" s="37"/>
      <c r="J392" s="10"/>
      <c r="K392" s="43">
        <f t="shared" si="559"/>
        <v>0</v>
      </c>
      <c r="L392" s="8">
        <f t="shared" si="560"/>
        <v>0</v>
      </c>
      <c r="N392" s="7" t="s">
        <v>250</v>
      </c>
      <c r="O392" s="30">
        <v>80</v>
      </c>
      <c r="P392" s="25">
        <v>105</v>
      </c>
      <c r="Q392" s="43">
        <f t="shared" si="578"/>
        <v>185</v>
      </c>
      <c r="R392" s="35">
        <v>130</v>
      </c>
      <c r="S392" s="8">
        <v>75</v>
      </c>
      <c r="T392" s="43">
        <f t="shared" si="579"/>
        <v>205</v>
      </c>
      <c r="U392" s="35">
        <v>25</v>
      </c>
      <c r="V392" s="8">
        <v>0</v>
      </c>
      <c r="W392" s="43">
        <f t="shared" si="580"/>
        <v>25</v>
      </c>
      <c r="X392" s="8">
        <f t="shared" si="581"/>
        <v>415</v>
      </c>
      <c r="Y392" s="53">
        <v>45470</v>
      </c>
    </row>
    <row r="393" spans="2:25" x14ac:dyDescent="0.15">
      <c r="B393" s="7"/>
      <c r="C393" s="33"/>
      <c r="D393" s="27"/>
      <c r="E393" s="43">
        <f t="shared" si="557"/>
        <v>0</v>
      </c>
      <c r="F393" s="37"/>
      <c r="G393" s="10"/>
      <c r="H393" s="43">
        <f t="shared" si="558"/>
        <v>0</v>
      </c>
      <c r="I393" s="37"/>
      <c r="J393" s="10"/>
      <c r="K393" s="43">
        <f t="shared" si="559"/>
        <v>0</v>
      </c>
      <c r="L393" s="8">
        <f t="shared" si="560"/>
        <v>0</v>
      </c>
      <c r="N393" s="7" t="s">
        <v>80</v>
      </c>
      <c r="O393" s="30"/>
      <c r="P393" s="25"/>
      <c r="Q393" s="43">
        <f t="shared" si="578"/>
        <v>0</v>
      </c>
      <c r="R393" s="35"/>
      <c r="S393" s="8"/>
      <c r="T393" s="43">
        <f t="shared" si="579"/>
        <v>0</v>
      </c>
      <c r="U393" s="35">
        <v>4</v>
      </c>
      <c r="V393" s="8">
        <v>1</v>
      </c>
      <c r="W393" s="43">
        <f t="shared" si="580"/>
        <v>5</v>
      </c>
      <c r="X393" s="8">
        <f t="shared" si="581"/>
        <v>5</v>
      </c>
      <c r="Y393" s="53">
        <v>45471</v>
      </c>
    </row>
    <row r="394" spans="2:25" x14ac:dyDescent="0.15">
      <c r="B394" s="7"/>
      <c r="C394" s="33"/>
      <c r="D394" s="27"/>
      <c r="E394" s="43">
        <f t="shared" si="557"/>
        <v>0</v>
      </c>
      <c r="F394" s="37"/>
      <c r="G394" s="10"/>
      <c r="H394" s="43">
        <f t="shared" si="558"/>
        <v>0</v>
      </c>
      <c r="I394" s="37"/>
      <c r="J394" s="10"/>
      <c r="K394" s="43">
        <f t="shared" si="559"/>
        <v>0</v>
      </c>
      <c r="L394" s="8">
        <f t="shared" si="560"/>
        <v>0</v>
      </c>
      <c r="N394" s="7" t="s">
        <v>81</v>
      </c>
      <c r="O394" s="30"/>
      <c r="P394" s="25">
        <v>2</v>
      </c>
      <c r="Q394" s="43">
        <f t="shared" si="578"/>
        <v>2</v>
      </c>
      <c r="R394" s="35"/>
      <c r="S394" s="8"/>
      <c r="T394" s="43">
        <f t="shared" si="579"/>
        <v>0</v>
      </c>
      <c r="U394" s="35">
        <v>9</v>
      </c>
      <c r="V394" s="8"/>
      <c r="W394" s="43">
        <f t="shared" si="580"/>
        <v>9</v>
      </c>
      <c r="X394" s="8">
        <f t="shared" si="581"/>
        <v>11</v>
      </c>
      <c r="Y394" s="53">
        <v>45471</v>
      </c>
    </row>
    <row r="395" spans="2:25" x14ac:dyDescent="0.15">
      <c r="B395" s="7"/>
      <c r="C395" s="33"/>
      <c r="D395" s="27"/>
      <c r="E395" s="43">
        <f t="shared" si="557"/>
        <v>0</v>
      </c>
      <c r="F395" s="37"/>
      <c r="G395" s="10"/>
      <c r="H395" s="43">
        <f t="shared" si="558"/>
        <v>0</v>
      </c>
      <c r="I395" s="37"/>
      <c r="J395" s="10"/>
      <c r="K395" s="43">
        <f t="shared" si="559"/>
        <v>0</v>
      </c>
      <c r="L395" s="8">
        <f t="shared" si="560"/>
        <v>0</v>
      </c>
      <c r="N395" s="7" t="s">
        <v>251</v>
      </c>
      <c r="O395" s="30">
        <v>10</v>
      </c>
      <c r="P395" s="25"/>
      <c r="Q395" s="43">
        <f t="shared" si="578"/>
        <v>10</v>
      </c>
      <c r="R395" s="35"/>
      <c r="S395" s="8">
        <v>10</v>
      </c>
      <c r="T395" s="43">
        <f t="shared" si="579"/>
        <v>10</v>
      </c>
      <c r="U395" s="35">
        <v>30</v>
      </c>
      <c r="V395" s="8">
        <v>20</v>
      </c>
      <c r="W395" s="43">
        <f t="shared" si="580"/>
        <v>50</v>
      </c>
      <c r="X395" s="8">
        <f t="shared" si="581"/>
        <v>70</v>
      </c>
      <c r="Y395" s="53">
        <v>45472</v>
      </c>
    </row>
    <row r="396" spans="2:25" x14ac:dyDescent="0.15">
      <c r="B396" s="7"/>
      <c r="C396" s="33"/>
      <c r="D396" s="27"/>
      <c r="E396" s="43">
        <f t="shared" si="557"/>
        <v>0</v>
      </c>
      <c r="F396" s="37"/>
      <c r="G396" s="10"/>
      <c r="H396" s="43">
        <f t="shared" si="558"/>
        <v>0</v>
      </c>
      <c r="I396" s="37"/>
      <c r="J396" s="10"/>
      <c r="K396" s="43">
        <f t="shared" si="559"/>
        <v>0</v>
      </c>
      <c r="L396" s="8">
        <f t="shared" si="560"/>
        <v>0</v>
      </c>
      <c r="N396" s="7" t="s">
        <v>82</v>
      </c>
      <c r="O396" s="30">
        <v>2</v>
      </c>
      <c r="P396" s="25">
        <v>3</v>
      </c>
      <c r="Q396" s="43">
        <f t="shared" si="578"/>
        <v>5</v>
      </c>
      <c r="R396" s="35"/>
      <c r="S396" s="8">
        <v>2</v>
      </c>
      <c r="T396" s="43">
        <f t="shared" si="579"/>
        <v>2</v>
      </c>
      <c r="U396" s="35">
        <v>2</v>
      </c>
      <c r="V396" s="8"/>
      <c r="W396" s="43">
        <f t="shared" si="580"/>
        <v>2</v>
      </c>
      <c r="X396" s="8">
        <f t="shared" si="581"/>
        <v>9</v>
      </c>
      <c r="Y396" s="53">
        <v>45474</v>
      </c>
    </row>
    <row r="397" spans="2:25" x14ac:dyDescent="0.15">
      <c r="B397" s="7"/>
      <c r="C397" s="33"/>
      <c r="D397" s="27"/>
      <c r="E397" s="43">
        <f t="shared" si="557"/>
        <v>0</v>
      </c>
      <c r="F397" s="37"/>
      <c r="G397" s="10"/>
      <c r="H397" s="43">
        <f t="shared" si="558"/>
        <v>0</v>
      </c>
      <c r="I397" s="37"/>
      <c r="J397" s="10"/>
      <c r="K397" s="43">
        <f t="shared" si="559"/>
        <v>0</v>
      </c>
      <c r="L397" s="8">
        <f t="shared" si="560"/>
        <v>0</v>
      </c>
      <c r="N397" s="7" t="s">
        <v>83</v>
      </c>
      <c r="O397" s="30"/>
      <c r="P397" s="25">
        <v>2</v>
      </c>
      <c r="Q397" s="43">
        <f t="shared" si="561"/>
        <v>2</v>
      </c>
      <c r="R397" s="35"/>
      <c r="S397" s="8">
        <v>1</v>
      </c>
      <c r="T397" s="43">
        <f t="shared" si="562"/>
        <v>1</v>
      </c>
      <c r="U397" s="35">
        <v>1</v>
      </c>
      <c r="V397" s="8"/>
      <c r="W397" s="43">
        <f t="shared" si="563"/>
        <v>1</v>
      </c>
      <c r="X397" s="8">
        <f t="shared" si="564"/>
        <v>4</v>
      </c>
      <c r="Y397" s="53">
        <v>45476</v>
      </c>
    </row>
    <row r="398" spans="2:25" x14ac:dyDescent="0.15">
      <c r="B398" s="7"/>
      <c r="C398" s="30"/>
      <c r="D398" s="25"/>
      <c r="E398" s="43">
        <f t="shared" si="557"/>
        <v>0</v>
      </c>
      <c r="F398" s="35"/>
      <c r="G398" s="8"/>
      <c r="H398" s="43">
        <f t="shared" si="558"/>
        <v>0</v>
      </c>
      <c r="I398" s="35"/>
      <c r="J398" s="8"/>
      <c r="K398" s="43">
        <f t="shared" si="559"/>
        <v>0</v>
      </c>
      <c r="L398" s="8">
        <f t="shared" si="560"/>
        <v>0</v>
      </c>
      <c r="N398" s="7"/>
      <c r="O398" s="33"/>
      <c r="P398" s="27"/>
      <c r="Q398" s="43">
        <f t="shared" si="561"/>
        <v>0</v>
      </c>
      <c r="R398" s="37"/>
      <c r="S398" s="10"/>
      <c r="T398" s="43">
        <f t="shared" si="562"/>
        <v>0</v>
      </c>
      <c r="U398" s="37"/>
      <c r="V398" s="10"/>
      <c r="W398" s="43">
        <f t="shared" si="563"/>
        <v>0</v>
      </c>
      <c r="X398" s="8">
        <f t="shared" si="564"/>
        <v>0</v>
      </c>
    </row>
    <row r="399" spans="2:25" x14ac:dyDescent="0.15">
      <c r="B399" s="7"/>
      <c r="C399" s="30"/>
      <c r="D399" s="25"/>
      <c r="E399" s="43">
        <f t="shared" si="557"/>
        <v>0</v>
      </c>
      <c r="F399" s="35"/>
      <c r="G399" s="8"/>
      <c r="H399" s="43">
        <f t="shared" si="558"/>
        <v>0</v>
      </c>
      <c r="I399" s="35"/>
      <c r="J399" s="8"/>
      <c r="K399" s="43">
        <f t="shared" si="559"/>
        <v>0</v>
      </c>
      <c r="L399" s="8">
        <f t="shared" si="560"/>
        <v>0</v>
      </c>
      <c r="N399" s="115" t="s">
        <v>200</v>
      </c>
      <c r="O399" s="116"/>
      <c r="P399" s="112"/>
      <c r="Q399" s="117">
        <f t="shared" si="561"/>
        <v>0</v>
      </c>
      <c r="R399" s="118"/>
      <c r="S399" s="119"/>
      <c r="T399" s="117">
        <f t="shared" si="562"/>
        <v>0</v>
      </c>
      <c r="U399" s="118"/>
      <c r="V399" s="119"/>
      <c r="W399" s="117">
        <f t="shared" si="563"/>
        <v>0</v>
      </c>
      <c r="X399" s="119">
        <f t="shared" si="564"/>
        <v>0</v>
      </c>
    </row>
    <row r="400" spans="2:25" x14ac:dyDescent="0.15">
      <c r="B400" s="7"/>
      <c r="C400" s="30"/>
      <c r="D400" s="25"/>
      <c r="E400" s="43">
        <f t="shared" si="557"/>
        <v>0</v>
      </c>
      <c r="F400" s="35"/>
      <c r="G400" s="8"/>
      <c r="H400" s="43">
        <f t="shared" si="558"/>
        <v>0</v>
      </c>
      <c r="I400" s="35"/>
      <c r="J400" s="8"/>
      <c r="K400" s="43">
        <f t="shared" si="559"/>
        <v>0</v>
      </c>
      <c r="L400" s="8">
        <f t="shared" si="560"/>
        <v>0</v>
      </c>
      <c r="N400" s="7" t="s">
        <v>176</v>
      </c>
      <c r="O400" s="30"/>
      <c r="P400" s="25"/>
      <c r="Q400" s="43">
        <f t="shared" si="561"/>
        <v>0</v>
      </c>
      <c r="R400" s="35"/>
      <c r="S400" s="8"/>
      <c r="T400" s="43">
        <f t="shared" si="562"/>
        <v>0</v>
      </c>
      <c r="U400" s="35"/>
      <c r="V400" s="8"/>
      <c r="W400" s="43">
        <f t="shared" si="563"/>
        <v>0</v>
      </c>
      <c r="X400" s="8">
        <f t="shared" si="564"/>
        <v>0</v>
      </c>
      <c r="Y400" s="52" t="s">
        <v>199</v>
      </c>
    </row>
    <row r="401" spans="2:25" x14ac:dyDescent="0.15">
      <c r="B401" s="7"/>
      <c r="C401" s="30"/>
      <c r="D401" s="25"/>
      <c r="E401" s="43">
        <f t="shared" si="557"/>
        <v>0</v>
      </c>
      <c r="F401" s="35"/>
      <c r="G401" s="8"/>
      <c r="H401" s="43">
        <f t="shared" si="558"/>
        <v>0</v>
      </c>
      <c r="I401" s="35"/>
      <c r="J401" s="8"/>
      <c r="K401" s="43">
        <f t="shared" si="559"/>
        <v>0</v>
      </c>
      <c r="L401" s="8">
        <f t="shared" si="560"/>
        <v>0</v>
      </c>
      <c r="N401" s="115" t="s">
        <v>158</v>
      </c>
      <c r="O401" s="116"/>
      <c r="P401" s="112"/>
      <c r="Q401" s="117">
        <f t="shared" ref="Q401:Q403" si="582">SUM(O401:P401)</f>
        <v>0</v>
      </c>
      <c r="R401" s="118"/>
      <c r="S401" s="119"/>
      <c r="T401" s="117">
        <f t="shared" ref="T401:T403" si="583">SUM(R401:S401)</f>
        <v>0</v>
      </c>
      <c r="U401" s="116"/>
      <c r="V401" s="112"/>
      <c r="W401" s="117">
        <f t="shared" ref="W401:W403" si="584">SUM(U401:V401)</f>
        <v>0</v>
      </c>
      <c r="X401" s="119">
        <f t="shared" ref="X401:X403" si="585">SUM(W401,T401,Q401)</f>
        <v>0</v>
      </c>
      <c r="Y401" s="101"/>
    </row>
    <row r="402" spans="2:25" x14ac:dyDescent="0.15">
      <c r="B402" s="7"/>
      <c r="C402" s="30"/>
      <c r="D402" s="25"/>
      <c r="E402" s="43">
        <f t="shared" si="557"/>
        <v>0</v>
      </c>
      <c r="F402" s="35"/>
      <c r="G402" s="8"/>
      <c r="H402" s="43">
        <f t="shared" si="558"/>
        <v>0</v>
      </c>
      <c r="I402" s="35"/>
      <c r="J402" s="8"/>
      <c r="K402" s="43">
        <f t="shared" si="559"/>
        <v>0</v>
      </c>
      <c r="L402" s="8">
        <f t="shared" si="560"/>
        <v>0</v>
      </c>
      <c r="N402" s="7" t="s">
        <v>150</v>
      </c>
      <c r="O402" s="30"/>
      <c r="P402" s="25"/>
      <c r="Q402" s="43">
        <f t="shared" si="582"/>
        <v>0</v>
      </c>
      <c r="R402" s="35"/>
      <c r="S402" s="8"/>
      <c r="T402" s="43">
        <f t="shared" si="583"/>
        <v>0</v>
      </c>
      <c r="U402" s="35"/>
      <c r="V402" s="8"/>
      <c r="W402" s="43">
        <f t="shared" si="584"/>
        <v>0</v>
      </c>
      <c r="X402" s="8">
        <f t="shared" si="585"/>
        <v>0</v>
      </c>
      <c r="Y402" s="52" t="s">
        <v>151</v>
      </c>
    </row>
    <row r="403" spans="2:25" ht="14.25" thickBot="1" x14ac:dyDescent="0.2">
      <c r="B403" s="7"/>
      <c r="C403" s="30"/>
      <c r="D403" s="25"/>
      <c r="E403" s="43">
        <f t="shared" si="557"/>
        <v>0</v>
      </c>
      <c r="F403" s="35"/>
      <c r="G403" s="8"/>
      <c r="H403" s="43">
        <f t="shared" si="558"/>
        <v>0</v>
      </c>
      <c r="I403" s="35"/>
      <c r="J403" s="8"/>
      <c r="K403" s="43">
        <f t="shared" si="559"/>
        <v>0</v>
      </c>
      <c r="L403" s="8">
        <f t="shared" si="560"/>
        <v>0</v>
      </c>
      <c r="M403" s="53"/>
      <c r="N403" s="7" t="s">
        <v>124</v>
      </c>
      <c r="O403" s="30"/>
      <c r="P403" s="25"/>
      <c r="Q403" s="43">
        <f t="shared" si="582"/>
        <v>0</v>
      </c>
      <c r="R403" s="35"/>
      <c r="S403" s="8"/>
      <c r="T403" s="43">
        <f t="shared" si="583"/>
        <v>0</v>
      </c>
      <c r="U403" s="35"/>
      <c r="V403" s="8"/>
      <c r="W403" s="43">
        <f t="shared" si="584"/>
        <v>0</v>
      </c>
      <c r="X403" s="8">
        <f t="shared" si="585"/>
        <v>0</v>
      </c>
      <c r="Y403" s="52" t="s">
        <v>138</v>
      </c>
    </row>
    <row r="404" spans="2:25" ht="14.25" thickBot="1" x14ac:dyDescent="0.2">
      <c r="B404" s="5" t="s">
        <v>1</v>
      </c>
      <c r="C404" s="32">
        <f>SUM(C379:C403)</f>
        <v>4</v>
      </c>
      <c r="D404" s="19">
        <f>SUM(D379:D403)</f>
        <v>4</v>
      </c>
      <c r="E404" s="44">
        <f t="shared" si="557"/>
        <v>8</v>
      </c>
      <c r="F404" s="32">
        <f>SUM(F379:F403)</f>
        <v>14</v>
      </c>
      <c r="G404" s="19">
        <f>SUM(G379:G403)</f>
        <v>16</v>
      </c>
      <c r="H404" s="44">
        <f t="shared" si="558"/>
        <v>30</v>
      </c>
      <c r="I404" s="32">
        <f>SUM(I379:I403)</f>
        <v>10</v>
      </c>
      <c r="J404" s="19">
        <f>SUM(J379:J403)</f>
        <v>5</v>
      </c>
      <c r="K404" s="44">
        <f t="shared" si="559"/>
        <v>15</v>
      </c>
      <c r="L404" s="4">
        <f t="shared" si="560"/>
        <v>53</v>
      </c>
      <c r="N404" s="5" t="s">
        <v>1</v>
      </c>
      <c r="O404" s="32">
        <f>SUM(O379:O403)</f>
        <v>111</v>
      </c>
      <c r="P404" s="19">
        <f t="shared" ref="P404" si="586">SUM(P379:P403)</f>
        <v>143</v>
      </c>
      <c r="Q404" s="44">
        <f t="shared" ref="Q404" si="587">SUM(Q379:Q403)</f>
        <v>254</v>
      </c>
      <c r="R404" s="32">
        <f t="shared" ref="R404" si="588">SUM(R379:R403)</f>
        <v>165</v>
      </c>
      <c r="S404" s="19">
        <f t="shared" ref="S404" si="589">SUM(S379:S403)</f>
        <v>135</v>
      </c>
      <c r="T404" s="44">
        <f t="shared" ref="T404" si="590">SUM(T379:T403)</f>
        <v>300</v>
      </c>
      <c r="U404" s="32">
        <f t="shared" ref="U404" si="591">SUM(U379:U403)</f>
        <v>113</v>
      </c>
      <c r="V404" s="19">
        <f t="shared" ref="V404" si="592">SUM(V379:V403)</f>
        <v>84</v>
      </c>
      <c r="W404" s="44">
        <f t="shared" ref="W404" si="593">SUM(W379:W403)</f>
        <v>197</v>
      </c>
      <c r="X404" s="4">
        <f t="shared" ref="X404" si="594">SUM(X379:X403)</f>
        <v>751</v>
      </c>
    </row>
    <row r="405" spans="2:25" ht="14.25" thickBot="1" x14ac:dyDescent="0.2">
      <c r="B405" s="3" t="s">
        <v>0</v>
      </c>
      <c r="C405" s="34">
        <f>+C378-C404</f>
        <v>34</v>
      </c>
      <c r="D405" s="2">
        <f>+D378-D404</f>
        <v>14</v>
      </c>
      <c r="E405" s="45">
        <f t="shared" si="557"/>
        <v>48</v>
      </c>
      <c r="F405" s="34">
        <f>+F378-F404</f>
        <v>14</v>
      </c>
      <c r="G405" s="2">
        <f>+G378-G404</f>
        <v>10</v>
      </c>
      <c r="H405" s="45">
        <f t="shared" si="558"/>
        <v>24</v>
      </c>
      <c r="I405" s="34">
        <f>+I378-I404</f>
        <v>9</v>
      </c>
      <c r="J405" s="2">
        <f>+J378-J404</f>
        <v>11</v>
      </c>
      <c r="K405" s="45">
        <f t="shared" si="559"/>
        <v>20</v>
      </c>
      <c r="L405" s="2">
        <f t="shared" si="560"/>
        <v>92</v>
      </c>
      <c r="N405" s="3" t="s">
        <v>0</v>
      </c>
      <c r="O405" s="34">
        <f>+O378-O404</f>
        <v>146</v>
      </c>
      <c r="P405" s="2">
        <f t="shared" ref="P405" si="595">+P378-P404</f>
        <v>163</v>
      </c>
      <c r="Q405" s="45">
        <f t="shared" ref="Q405" si="596">+Q378-Q404</f>
        <v>309</v>
      </c>
      <c r="R405" s="34">
        <f t="shared" ref="R405" si="597">+R378-R404</f>
        <v>46</v>
      </c>
      <c r="S405" s="2">
        <f t="shared" ref="S405" si="598">+S378-S404</f>
        <v>156</v>
      </c>
      <c r="T405" s="45">
        <f t="shared" ref="T405" si="599">+T378-T404</f>
        <v>202</v>
      </c>
      <c r="U405" s="34">
        <f t="shared" ref="U405" si="600">+U378-U404</f>
        <v>56</v>
      </c>
      <c r="V405" s="2">
        <f t="shared" ref="V405" si="601">+V378-V404</f>
        <v>190</v>
      </c>
      <c r="W405" s="45">
        <f t="shared" ref="W405" si="602">+W378-W404</f>
        <v>246</v>
      </c>
      <c r="X405" s="2">
        <f t="shared" ref="X405" si="603">+X378-X404</f>
        <v>757</v>
      </c>
    </row>
    <row r="406" spans="2:25" x14ac:dyDescent="0.15">
      <c r="O406" s="85">
        <f>O405/$Q$405*100</f>
        <v>47.249190938511326</v>
      </c>
      <c r="P406" s="85">
        <f t="shared" ref="P406:Q406" si="604">P405/$Q$405*100</f>
        <v>52.750809061488667</v>
      </c>
      <c r="Q406" s="85">
        <f t="shared" si="604"/>
        <v>100</v>
      </c>
      <c r="R406" s="85">
        <f>R405/$T$405*100</f>
        <v>22.772277227722775</v>
      </c>
      <c r="S406" s="85">
        <f t="shared" ref="S406:T406" si="605">S405/$T$405*100</f>
        <v>77.227722772277232</v>
      </c>
      <c r="T406" s="85">
        <f t="shared" si="605"/>
        <v>100</v>
      </c>
      <c r="U406" s="85">
        <f>U405/$W$405*100</f>
        <v>22.76422764227642</v>
      </c>
      <c r="V406" s="85">
        <f t="shared" ref="V406:W406" si="606">V405/$W$405*100</f>
        <v>77.235772357723576</v>
      </c>
      <c r="W406" s="85">
        <f t="shared" si="606"/>
        <v>100</v>
      </c>
      <c r="X406" s="85"/>
    </row>
    <row r="407" spans="2:25" x14ac:dyDescent="0.15">
      <c r="N407" s="100" t="s">
        <v>193</v>
      </c>
      <c r="O407" s="87">
        <v>48.8</v>
      </c>
      <c r="P407" s="86">
        <v>51.2</v>
      </c>
      <c r="Q407" s="87">
        <v>100</v>
      </c>
      <c r="R407" s="86">
        <v>50.3</v>
      </c>
      <c r="S407" s="86">
        <v>49.7</v>
      </c>
      <c r="T407" s="87">
        <v>100</v>
      </c>
      <c r="U407" s="87">
        <v>53</v>
      </c>
      <c r="V407" s="87">
        <v>47</v>
      </c>
      <c r="W407" s="87">
        <v>100</v>
      </c>
      <c r="X407" s="87"/>
    </row>
    <row r="408" spans="2:25" x14ac:dyDescent="0.15">
      <c r="N408" s="99"/>
      <c r="Q408" s="85">
        <f>Q405/X405*100</f>
        <v>40.819022457067369</v>
      </c>
      <c r="R408" s="89"/>
      <c r="S408" s="89"/>
      <c r="T408" s="85">
        <f>T405/X405*100</f>
        <v>26.684280052840158</v>
      </c>
      <c r="U408" s="89">
        <v>50</v>
      </c>
      <c r="V408" s="89">
        <v>50</v>
      </c>
      <c r="W408" s="85">
        <f>W405/X405*100</f>
        <v>32.496697490092465</v>
      </c>
    </row>
    <row r="409" spans="2:25" ht="18.75" x14ac:dyDescent="0.2">
      <c r="B409" s="23" t="s">
        <v>11</v>
      </c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N409" s="47" t="s">
        <v>25</v>
      </c>
      <c r="O409" s="48"/>
      <c r="P409" s="48"/>
      <c r="Q409" s="48"/>
      <c r="R409" s="48"/>
      <c r="S409" s="48"/>
      <c r="T409" s="48"/>
      <c r="U409" s="48"/>
      <c r="V409" s="48"/>
      <c r="W409" s="48"/>
      <c r="X409" s="48"/>
    </row>
    <row r="410" spans="2:25" ht="15" thickBot="1" x14ac:dyDescent="0.2">
      <c r="B410" s="22" t="s">
        <v>147</v>
      </c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N410" s="49" t="s">
        <v>148</v>
      </c>
      <c r="O410" s="48"/>
      <c r="P410" s="48"/>
      <c r="Q410" s="48"/>
      <c r="R410" s="48"/>
      <c r="S410" s="48"/>
      <c r="T410" s="48"/>
      <c r="U410" s="48"/>
      <c r="V410" s="48"/>
      <c r="W410" s="48"/>
      <c r="X410" s="48"/>
    </row>
    <row r="411" spans="2:25" ht="14.25" thickBot="1" x14ac:dyDescent="0.2">
      <c r="B411" s="20"/>
      <c r="C411" s="208" t="s">
        <v>9</v>
      </c>
      <c r="D411" s="209"/>
      <c r="E411" s="210"/>
      <c r="F411" s="208" t="s">
        <v>8</v>
      </c>
      <c r="G411" s="209"/>
      <c r="H411" s="210"/>
      <c r="I411" s="208" t="s">
        <v>7</v>
      </c>
      <c r="J411" s="209"/>
      <c r="K411" s="210"/>
      <c r="L411" s="19"/>
      <c r="N411" s="20"/>
      <c r="O411" s="208" t="s">
        <v>9</v>
      </c>
      <c r="P411" s="209"/>
      <c r="Q411" s="210"/>
      <c r="R411" s="208" t="s">
        <v>8</v>
      </c>
      <c r="S411" s="209"/>
      <c r="T411" s="210"/>
      <c r="U411" s="208" t="s">
        <v>7</v>
      </c>
      <c r="V411" s="209"/>
      <c r="W411" s="210"/>
      <c r="X411" s="19"/>
    </row>
    <row r="412" spans="2:25" ht="14.25" thickBot="1" x14ac:dyDescent="0.2">
      <c r="B412" s="18"/>
      <c r="C412" s="28" t="s">
        <v>6</v>
      </c>
      <c r="D412" s="17" t="s">
        <v>5</v>
      </c>
      <c r="E412" s="38" t="s">
        <v>4</v>
      </c>
      <c r="F412" s="28" t="s">
        <v>6</v>
      </c>
      <c r="G412" s="17" t="s">
        <v>5</v>
      </c>
      <c r="H412" s="38" t="s">
        <v>4</v>
      </c>
      <c r="I412" s="28" t="s">
        <v>6</v>
      </c>
      <c r="J412" s="17" t="s">
        <v>5</v>
      </c>
      <c r="K412" s="38" t="s">
        <v>4</v>
      </c>
      <c r="L412" s="17" t="s">
        <v>4</v>
      </c>
      <c r="N412" s="18"/>
      <c r="O412" s="28" t="s">
        <v>6</v>
      </c>
      <c r="P412" s="17" t="s">
        <v>5</v>
      </c>
      <c r="Q412" s="38" t="s">
        <v>4</v>
      </c>
      <c r="R412" s="28" t="s">
        <v>6</v>
      </c>
      <c r="S412" s="17" t="s">
        <v>5</v>
      </c>
      <c r="T412" s="38" t="s">
        <v>4</v>
      </c>
      <c r="U412" s="28" t="s">
        <v>6</v>
      </c>
      <c r="V412" s="17" t="s">
        <v>5</v>
      </c>
      <c r="W412" s="38" t="s">
        <v>4</v>
      </c>
      <c r="X412" s="17" t="s">
        <v>4</v>
      </c>
    </row>
    <row r="413" spans="2:25" x14ac:dyDescent="0.15">
      <c r="B413" s="66" t="s">
        <v>0</v>
      </c>
      <c r="C413" s="67">
        <f>C405</f>
        <v>34</v>
      </c>
      <c r="D413" s="68">
        <f t="shared" ref="D413:K413" si="607">D405</f>
        <v>14</v>
      </c>
      <c r="E413" s="69">
        <f t="shared" si="607"/>
        <v>48</v>
      </c>
      <c r="F413" s="67">
        <f t="shared" si="607"/>
        <v>14</v>
      </c>
      <c r="G413" s="68">
        <f t="shared" si="607"/>
        <v>10</v>
      </c>
      <c r="H413" s="69">
        <f t="shared" si="607"/>
        <v>24</v>
      </c>
      <c r="I413" s="67">
        <f t="shared" si="607"/>
        <v>9</v>
      </c>
      <c r="J413" s="68">
        <f t="shared" si="607"/>
        <v>11</v>
      </c>
      <c r="K413" s="69">
        <f t="shared" si="607"/>
        <v>20</v>
      </c>
      <c r="L413" s="70">
        <f>SUM(K413,H413,E413)</f>
        <v>92</v>
      </c>
      <c r="N413" s="66" t="s">
        <v>0</v>
      </c>
      <c r="O413" s="72">
        <f>O405</f>
        <v>146</v>
      </c>
      <c r="P413" s="80">
        <f t="shared" ref="P413:X413" si="608">P405</f>
        <v>163</v>
      </c>
      <c r="Q413" s="69">
        <f t="shared" si="608"/>
        <v>309</v>
      </c>
      <c r="R413" s="72">
        <f t="shared" si="608"/>
        <v>46</v>
      </c>
      <c r="S413" s="80">
        <f t="shared" si="608"/>
        <v>156</v>
      </c>
      <c r="T413" s="69">
        <f t="shared" si="608"/>
        <v>202</v>
      </c>
      <c r="U413" s="72">
        <f t="shared" si="608"/>
        <v>56</v>
      </c>
      <c r="V413" s="80">
        <f t="shared" si="608"/>
        <v>190</v>
      </c>
      <c r="W413" s="69">
        <f t="shared" si="608"/>
        <v>246</v>
      </c>
      <c r="X413" s="70">
        <f t="shared" si="608"/>
        <v>757</v>
      </c>
    </row>
    <row r="414" spans="2:25" x14ac:dyDescent="0.15">
      <c r="B414" s="16" t="s">
        <v>3</v>
      </c>
      <c r="C414" s="30"/>
      <c r="D414" s="25"/>
      <c r="E414" s="40">
        <f t="shared" ref="E414:E446" si="609">SUM(C414:D414)</f>
        <v>0</v>
      </c>
      <c r="F414" s="35">
        <v>5</v>
      </c>
      <c r="G414" s="8">
        <v>5</v>
      </c>
      <c r="H414" s="40">
        <f t="shared" ref="H414:H446" si="610">SUM(F414:G414)</f>
        <v>10</v>
      </c>
      <c r="I414" s="35">
        <v>10</v>
      </c>
      <c r="J414" s="8">
        <v>10</v>
      </c>
      <c r="K414" s="40">
        <f t="shared" ref="K414:K446" si="611">SUM(I414:J414)</f>
        <v>20</v>
      </c>
      <c r="L414" s="9">
        <f t="shared" ref="L414:L446" si="612">SUM(K414,H414,E414)</f>
        <v>30</v>
      </c>
      <c r="M414" s="53">
        <v>45478</v>
      </c>
      <c r="N414" s="16" t="s">
        <v>3</v>
      </c>
      <c r="O414" s="62"/>
      <c r="P414" s="81"/>
      <c r="Q414" s="40">
        <f t="shared" ref="Q414" si="613">SUM(O414:P414)</f>
        <v>0</v>
      </c>
      <c r="R414" s="78"/>
      <c r="S414" s="82"/>
      <c r="T414" s="40">
        <f t="shared" ref="T414" si="614">SUM(R414:S414)</f>
        <v>0</v>
      </c>
      <c r="U414" s="78"/>
      <c r="V414" s="82"/>
      <c r="W414" s="40">
        <f t="shared" ref="W414" si="615">SUM(U414:V414)</f>
        <v>0</v>
      </c>
      <c r="X414" s="25">
        <f t="shared" ref="X414" si="616">SUM(W414,T414,Q414)</f>
        <v>0</v>
      </c>
    </row>
    <row r="415" spans="2:25" x14ac:dyDescent="0.15">
      <c r="B415" s="16" t="s">
        <v>57</v>
      </c>
      <c r="C415" s="30"/>
      <c r="D415" s="25"/>
      <c r="E415" s="40">
        <f t="shared" si="609"/>
        <v>0</v>
      </c>
      <c r="F415" s="35"/>
      <c r="G415" s="8"/>
      <c r="H415" s="40">
        <f t="shared" si="610"/>
        <v>0</v>
      </c>
      <c r="I415" s="35">
        <v>3</v>
      </c>
      <c r="J415" s="8">
        <v>2</v>
      </c>
      <c r="K415" s="40">
        <f t="shared" si="611"/>
        <v>5</v>
      </c>
      <c r="L415" s="9">
        <f t="shared" si="612"/>
        <v>5</v>
      </c>
      <c r="M415" s="53">
        <v>45477</v>
      </c>
      <c r="N415" s="16" t="s">
        <v>141</v>
      </c>
      <c r="O415" s="62">
        <v>550</v>
      </c>
      <c r="P415" s="81">
        <v>650</v>
      </c>
      <c r="Q415" s="40">
        <f t="shared" ref="Q415:Q444" si="617">SUM(O415:P415)</f>
        <v>1200</v>
      </c>
      <c r="R415" s="78">
        <v>600</v>
      </c>
      <c r="S415" s="82">
        <v>800</v>
      </c>
      <c r="T415" s="40">
        <f t="shared" ref="T415:T444" si="618">SUM(R415:S415)</f>
        <v>1400</v>
      </c>
      <c r="U415" s="78">
        <v>650</v>
      </c>
      <c r="V415" s="82">
        <v>800</v>
      </c>
      <c r="W415" s="40">
        <f t="shared" ref="W415:W444" si="619">SUM(U415:V415)</f>
        <v>1450</v>
      </c>
      <c r="X415" s="25">
        <f t="shared" ref="X415:X444" si="620">SUM(W415,T415,Q415)</f>
        <v>4050</v>
      </c>
      <c r="Y415" s="53" t="s">
        <v>256</v>
      </c>
    </row>
    <row r="416" spans="2:25" x14ac:dyDescent="0.15">
      <c r="B416" s="16" t="s">
        <v>3</v>
      </c>
      <c r="C416" s="30"/>
      <c r="D416" s="25"/>
      <c r="E416" s="40">
        <f t="shared" si="609"/>
        <v>0</v>
      </c>
      <c r="F416" s="35"/>
      <c r="G416" s="8"/>
      <c r="H416" s="40">
        <f t="shared" si="610"/>
        <v>0</v>
      </c>
      <c r="I416" s="35"/>
      <c r="J416" s="8"/>
      <c r="K416" s="40">
        <f t="shared" si="611"/>
        <v>0</v>
      </c>
      <c r="L416" s="9">
        <f t="shared" si="612"/>
        <v>0</v>
      </c>
      <c r="N416" s="55" t="s">
        <v>249</v>
      </c>
      <c r="O416" s="62">
        <v>-50</v>
      </c>
      <c r="P416" s="81">
        <v>-60</v>
      </c>
      <c r="Q416" s="40">
        <f t="shared" si="617"/>
        <v>-110</v>
      </c>
      <c r="R416" s="78">
        <v>-43</v>
      </c>
      <c r="S416" s="82">
        <v>-50</v>
      </c>
      <c r="T416" s="40">
        <f t="shared" si="618"/>
        <v>-93</v>
      </c>
      <c r="U416" s="78">
        <v>-24</v>
      </c>
      <c r="V416" s="82">
        <v>-12</v>
      </c>
      <c r="W416" s="40">
        <f t="shared" si="619"/>
        <v>-36</v>
      </c>
      <c r="X416" s="25">
        <f t="shared" si="620"/>
        <v>-239</v>
      </c>
      <c r="Y416" s="52" t="s">
        <v>216</v>
      </c>
    </row>
    <row r="417" spans="2:25" x14ac:dyDescent="0.15">
      <c r="B417" s="16" t="s">
        <v>3</v>
      </c>
      <c r="C417" s="30"/>
      <c r="D417" s="25"/>
      <c r="E417" s="40">
        <f t="shared" si="609"/>
        <v>0</v>
      </c>
      <c r="F417" s="35"/>
      <c r="G417" s="8"/>
      <c r="H417" s="40">
        <f t="shared" si="610"/>
        <v>0</v>
      </c>
      <c r="I417" s="35"/>
      <c r="J417" s="8"/>
      <c r="K417" s="40">
        <f t="shared" si="611"/>
        <v>0</v>
      </c>
      <c r="L417" s="9">
        <f t="shared" si="612"/>
        <v>0</v>
      </c>
      <c r="N417" s="55" t="s">
        <v>3</v>
      </c>
      <c r="O417" s="62"/>
      <c r="P417" s="81"/>
      <c r="Q417" s="40">
        <f t="shared" si="617"/>
        <v>0</v>
      </c>
      <c r="R417" s="78"/>
      <c r="S417" s="82"/>
      <c r="T417" s="40">
        <f t="shared" si="618"/>
        <v>0</v>
      </c>
      <c r="U417" s="78"/>
      <c r="V417" s="82"/>
      <c r="W417" s="40">
        <f t="shared" si="619"/>
        <v>0</v>
      </c>
      <c r="X417" s="25">
        <f t="shared" si="620"/>
        <v>0</v>
      </c>
    </row>
    <row r="418" spans="2:25" ht="14.25" thickBot="1" x14ac:dyDescent="0.2">
      <c r="B418" s="15" t="s">
        <v>3</v>
      </c>
      <c r="C418" s="31"/>
      <c r="D418" s="26"/>
      <c r="E418" s="41">
        <f t="shared" si="609"/>
        <v>0</v>
      </c>
      <c r="F418" s="36"/>
      <c r="G418" s="6"/>
      <c r="H418" s="41">
        <f t="shared" si="610"/>
        <v>0</v>
      </c>
      <c r="I418" s="36"/>
      <c r="J418" s="6"/>
      <c r="K418" s="41">
        <f t="shared" si="611"/>
        <v>0</v>
      </c>
      <c r="L418" s="14">
        <f t="shared" si="612"/>
        <v>0</v>
      </c>
      <c r="N418" s="75" t="s">
        <v>3</v>
      </c>
      <c r="O418" s="76"/>
      <c r="P418" s="83"/>
      <c r="Q418" s="41">
        <f t="shared" si="617"/>
        <v>0</v>
      </c>
      <c r="R418" s="76"/>
      <c r="S418" s="83"/>
      <c r="T418" s="41">
        <f t="shared" si="618"/>
        <v>0</v>
      </c>
      <c r="U418" s="76"/>
      <c r="V418" s="83"/>
      <c r="W418" s="41">
        <f t="shared" si="619"/>
        <v>0</v>
      </c>
      <c r="X418" s="77">
        <f t="shared" si="620"/>
        <v>0</v>
      </c>
    </row>
    <row r="419" spans="2:25" ht="14.25" thickBot="1" x14ac:dyDescent="0.2">
      <c r="B419" s="5" t="s">
        <v>2</v>
      </c>
      <c r="C419" s="32">
        <f>SUM(C413:C418)</f>
        <v>34</v>
      </c>
      <c r="D419" s="19">
        <f>SUM(D413:D418)</f>
        <v>14</v>
      </c>
      <c r="E419" s="42">
        <f t="shared" si="609"/>
        <v>48</v>
      </c>
      <c r="F419" s="32">
        <f>SUM(F413:F418)</f>
        <v>19</v>
      </c>
      <c r="G419" s="19">
        <f>SUM(G413:G418)</f>
        <v>15</v>
      </c>
      <c r="H419" s="42">
        <f t="shared" si="610"/>
        <v>34</v>
      </c>
      <c r="I419" s="32">
        <f>SUM(I413:I418)</f>
        <v>22</v>
      </c>
      <c r="J419" s="19">
        <f>SUM(J413:J418)</f>
        <v>23</v>
      </c>
      <c r="K419" s="42">
        <f t="shared" si="611"/>
        <v>45</v>
      </c>
      <c r="L419" s="13">
        <f t="shared" si="612"/>
        <v>127</v>
      </c>
      <c r="N419" s="63" t="s">
        <v>2</v>
      </c>
      <c r="O419" s="32">
        <f>SUM(O413:O418)</f>
        <v>646</v>
      </c>
      <c r="P419" s="19">
        <f t="shared" ref="P419" si="621">SUM(P413:P418)</f>
        <v>753</v>
      </c>
      <c r="Q419" s="42">
        <f t="shared" ref="Q419" si="622">SUM(Q413:Q418)</f>
        <v>1399</v>
      </c>
      <c r="R419" s="32">
        <f t="shared" ref="R419" si="623">SUM(R413:R418)</f>
        <v>603</v>
      </c>
      <c r="S419" s="19">
        <f t="shared" ref="S419" si="624">SUM(S413:S418)</f>
        <v>906</v>
      </c>
      <c r="T419" s="42">
        <f t="shared" ref="T419" si="625">SUM(T413:T418)</f>
        <v>1509</v>
      </c>
      <c r="U419" s="32">
        <f t="shared" ref="U419" si="626">SUM(U413:U418)</f>
        <v>682</v>
      </c>
      <c r="V419" s="19">
        <f t="shared" ref="V419" si="627">SUM(V413:V418)</f>
        <v>978</v>
      </c>
      <c r="W419" s="42">
        <f t="shared" ref="W419" si="628">SUM(W413:W418)</f>
        <v>1660</v>
      </c>
      <c r="X419" s="13">
        <f t="shared" ref="X419" si="629">SUM(X413:X418)</f>
        <v>4568</v>
      </c>
    </row>
    <row r="420" spans="2:25" x14ac:dyDescent="0.15">
      <c r="B420" s="7" t="s">
        <v>85</v>
      </c>
      <c r="C420" s="30"/>
      <c r="D420" s="25"/>
      <c r="E420" s="43">
        <f t="shared" si="609"/>
        <v>0</v>
      </c>
      <c r="F420" s="35"/>
      <c r="G420" s="8"/>
      <c r="H420" s="43">
        <f t="shared" si="610"/>
        <v>0</v>
      </c>
      <c r="I420" s="35"/>
      <c r="J420" s="8">
        <v>2</v>
      </c>
      <c r="K420" s="43">
        <f t="shared" si="611"/>
        <v>2</v>
      </c>
      <c r="L420" s="8">
        <f t="shared" si="612"/>
        <v>2</v>
      </c>
      <c r="M420" s="53">
        <v>45478</v>
      </c>
      <c r="N420" s="7" t="s">
        <v>253</v>
      </c>
      <c r="O420" s="30">
        <v>10</v>
      </c>
      <c r="P420" s="25">
        <v>10</v>
      </c>
      <c r="Q420" s="43">
        <f t="shared" si="617"/>
        <v>20</v>
      </c>
      <c r="R420" s="35">
        <v>10</v>
      </c>
      <c r="S420" s="8">
        <v>10</v>
      </c>
      <c r="T420" s="43">
        <f t="shared" si="618"/>
        <v>20</v>
      </c>
      <c r="U420" s="35">
        <v>10</v>
      </c>
      <c r="V420" s="8">
        <v>10</v>
      </c>
      <c r="W420" s="43">
        <f t="shared" si="619"/>
        <v>20</v>
      </c>
      <c r="X420" s="8">
        <f t="shared" si="620"/>
        <v>60</v>
      </c>
      <c r="Y420" s="53">
        <v>45477</v>
      </c>
    </row>
    <row r="421" spans="2:25" x14ac:dyDescent="0.15">
      <c r="B421" s="7" t="s">
        <v>12</v>
      </c>
      <c r="C421" s="30"/>
      <c r="D421" s="25"/>
      <c r="E421" s="43">
        <f t="shared" si="609"/>
        <v>0</v>
      </c>
      <c r="F421" s="35">
        <v>1</v>
      </c>
      <c r="G421" s="8"/>
      <c r="H421" s="43">
        <f t="shared" si="610"/>
        <v>1</v>
      </c>
      <c r="I421" s="35"/>
      <c r="J421" s="8"/>
      <c r="K421" s="43">
        <f t="shared" si="611"/>
        <v>0</v>
      </c>
      <c r="L421" s="8">
        <f t="shared" si="612"/>
        <v>1</v>
      </c>
      <c r="M421" s="53">
        <v>45476</v>
      </c>
      <c r="N421" s="7" t="s">
        <v>252</v>
      </c>
      <c r="O421" s="30">
        <v>2</v>
      </c>
      <c r="P421" s="25">
        <v>3</v>
      </c>
      <c r="Q421" s="43">
        <f t="shared" si="617"/>
        <v>5</v>
      </c>
      <c r="R421" s="35"/>
      <c r="S421" s="8"/>
      <c r="T421" s="43">
        <f t="shared" si="618"/>
        <v>0</v>
      </c>
      <c r="U421" s="35">
        <v>1</v>
      </c>
      <c r="V421" s="8">
        <v>3</v>
      </c>
      <c r="W421" s="43">
        <f t="shared" si="619"/>
        <v>4</v>
      </c>
      <c r="X421" s="8">
        <f t="shared" si="620"/>
        <v>9</v>
      </c>
      <c r="Y421" s="53">
        <v>45481</v>
      </c>
    </row>
    <row r="422" spans="2:25" x14ac:dyDescent="0.15">
      <c r="B422" s="7" t="s">
        <v>86</v>
      </c>
      <c r="C422" s="30"/>
      <c r="D422" s="25"/>
      <c r="E422" s="43">
        <f t="shared" si="609"/>
        <v>0</v>
      </c>
      <c r="F422" s="35">
        <v>1</v>
      </c>
      <c r="G422" s="8">
        <v>1</v>
      </c>
      <c r="H422" s="43">
        <f t="shared" si="610"/>
        <v>2</v>
      </c>
      <c r="I422" s="35">
        <v>3</v>
      </c>
      <c r="J422" s="8">
        <v>1</v>
      </c>
      <c r="K422" s="43">
        <f t="shared" si="611"/>
        <v>4</v>
      </c>
      <c r="L422" s="8">
        <f t="shared" si="612"/>
        <v>6</v>
      </c>
      <c r="M422" s="53">
        <v>45478</v>
      </c>
      <c r="N422" s="7" t="s">
        <v>84</v>
      </c>
      <c r="O422" s="30"/>
      <c r="P422" s="25"/>
      <c r="Q422" s="43">
        <f t="shared" si="617"/>
        <v>0</v>
      </c>
      <c r="R422" s="35"/>
      <c r="S422" s="8">
        <v>2</v>
      </c>
      <c r="T422" s="43">
        <f t="shared" si="618"/>
        <v>2</v>
      </c>
      <c r="U422" s="35">
        <v>2</v>
      </c>
      <c r="V422" s="8"/>
      <c r="W422" s="43">
        <f t="shared" si="619"/>
        <v>2</v>
      </c>
      <c r="X422" s="8">
        <f t="shared" si="620"/>
        <v>4</v>
      </c>
      <c r="Y422" s="53">
        <v>45477</v>
      </c>
    </row>
    <row r="423" spans="2:25" x14ac:dyDescent="0.15">
      <c r="B423" s="7" t="s">
        <v>255</v>
      </c>
      <c r="C423" s="30"/>
      <c r="D423" s="25">
        <v>2</v>
      </c>
      <c r="E423" s="43">
        <f t="shared" si="609"/>
        <v>2</v>
      </c>
      <c r="F423" s="35"/>
      <c r="G423" s="8"/>
      <c r="H423" s="43">
        <f t="shared" si="610"/>
        <v>0</v>
      </c>
      <c r="I423" s="35"/>
      <c r="J423" s="8"/>
      <c r="K423" s="43">
        <f t="shared" si="611"/>
        <v>0</v>
      </c>
      <c r="L423" s="8">
        <f t="shared" si="612"/>
        <v>2</v>
      </c>
      <c r="M423" s="53">
        <v>45477</v>
      </c>
      <c r="N423" s="7" t="s">
        <v>254</v>
      </c>
      <c r="O423" s="30">
        <v>3</v>
      </c>
      <c r="P423" s="25"/>
      <c r="Q423" s="43">
        <f t="shared" si="617"/>
        <v>3</v>
      </c>
      <c r="R423" s="35"/>
      <c r="S423" s="8"/>
      <c r="T423" s="43">
        <f t="shared" si="618"/>
        <v>0</v>
      </c>
      <c r="U423" s="35"/>
      <c r="V423" s="8">
        <v>10</v>
      </c>
      <c r="W423" s="43">
        <f t="shared" si="619"/>
        <v>10</v>
      </c>
      <c r="X423" s="8">
        <f t="shared" si="620"/>
        <v>13</v>
      </c>
      <c r="Y423" s="53">
        <v>45485</v>
      </c>
    </row>
    <row r="424" spans="2:25" x14ac:dyDescent="0.15">
      <c r="B424" s="7" t="s">
        <v>87</v>
      </c>
      <c r="C424" s="30"/>
      <c r="D424" s="25">
        <v>3</v>
      </c>
      <c r="E424" s="43">
        <f t="shared" si="609"/>
        <v>3</v>
      </c>
      <c r="F424" s="35"/>
      <c r="G424" s="8"/>
      <c r="H424" s="43">
        <f t="shared" si="610"/>
        <v>0</v>
      </c>
      <c r="I424" s="35"/>
      <c r="J424" s="8">
        <v>1</v>
      </c>
      <c r="K424" s="43">
        <f t="shared" si="611"/>
        <v>1</v>
      </c>
      <c r="L424" s="8">
        <f t="shared" si="612"/>
        <v>4</v>
      </c>
      <c r="M424" s="53">
        <v>45481</v>
      </c>
      <c r="N424" s="7" t="s">
        <v>28</v>
      </c>
      <c r="O424" s="30"/>
      <c r="P424" s="25"/>
      <c r="Q424" s="43">
        <f t="shared" si="617"/>
        <v>0</v>
      </c>
      <c r="R424" s="35">
        <v>5</v>
      </c>
      <c r="S424" s="8">
        <v>5</v>
      </c>
      <c r="T424" s="43">
        <f t="shared" si="618"/>
        <v>10</v>
      </c>
      <c r="U424" s="35">
        <v>10</v>
      </c>
      <c r="V424" s="8">
        <v>10</v>
      </c>
      <c r="W424" s="43">
        <f t="shared" si="619"/>
        <v>20</v>
      </c>
      <c r="X424" s="8">
        <f t="shared" si="620"/>
        <v>30</v>
      </c>
      <c r="Y424" s="53">
        <v>45478</v>
      </c>
    </row>
    <row r="425" spans="2:25" x14ac:dyDescent="0.15">
      <c r="B425" s="7" t="s">
        <v>12</v>
      </c>
      <c r="C425" s="30"/>
      <c r="D425" s="25"/>
      <c r="E425" s="43">
        <f t="shared" si="609"/>
        <v>0</v>
      </c>
      <c r="F425" s="35"/>
      <c r="G425" s="8">
        <v>1</v>
      </c>
      <c r="H425" s="43">
        <f t="shared" si="610"/>
        <v>1</v>
      </c>
      <c r="I425" s="35">
        <v>1</v>
      </c>
      <c r="J425" s="8">
        <v>3</v>
      </c>
      <c r="K425" s="43">
        <f t="shared" si="611"/>
        <v>4</v>
      </c>
      <c r="L425" s="8">
        <f t="shared" si="612"/>
        <v>5</v>
      </c>
      <c r="M425" s="53">
        <v>45478</v>
      </c>
      <c r="N425" s="7" t="s">
        <v>88</v>
      </c>
      <c r="O425" s="30">
        <v>2</v>
      </c>
      <c r="P425" s="25"/>
      <c r="Q425" s="43">
        <f t="shared" si="617"/>
        <v>2</v>
      </c>
      <c r="R425" s="35">
        <v>1</v>
      </c>
      <c r="S425" s="8">
        <v>1</v>
      </c>
      <c r="T425" s="43">
        <f t="shared" si="618"/>
        <v>2</v>
      </c>
      <c r="U425" s="35">
        <v>2</v>
      </c>
      <c r="V425" s="8"/>
      <c r="W425" s="43">
        <f t="shared" si="619"/>
        <v>2</v>
      </c>
      <c r="X425" s="8">
        <f t="shared" si="620"/>
        <v>6</v>
      </c>
      <c r="Y425" s="53">
        <v>45483</v>
      </c>
    </row>
    <row r="426" spans="2:25" x14ac:dyDescent="0.15">
      <c r="B426" s="7" t="s">
        <v>257</v>
      </c>
      <c r="C426" s="30"/>
      <c r="D426" s="25"/>
      <c r="E426" s="43">
        <f t="shared" si="609"/>
        <v>0</v>
      </c>
      <c r="F426" s="35">
        <v>1</v>
      </c>
      <c r="G426" s="8"/>
      <c r="H426" s="43">
        <f t="shared" si="610"/>
        <v>1</v>
      </c>
      <c r="I426" s="35"/>
      <c r="J426" s="8"/>
      <c r="K426" s="43">
        <f t="shared" si="611"/>
        <v>0</v>
      </c>
      <c r="L426" s="8">
        <f t="shared" si="612"/>
        <v>1</v>
      </c>
      <c r="M426" s="53">
        <v>45478</v>
      </c>
      <c r="N426" s="7" t="s">
        <v>258</v>
      </c>
      <c r="O426" s="30"/>
      <c r="P426" s="25"/>
      <c r="Q426" s="43">
        <f t="shared" si="617"/>
        <v>0</v>
      </c>
      <c r="R426" s="35"/>
      <c r="S426" s="8">
        <v>10</v>
      </c>
      <c r="T426" s="43">
        <f t="shared" si="618"/>
        <v>10</v>
      </c>
      <c r="U426" s="35"/>
      <c r="V426" s="8"/>
      <c r="W426" s="43">
        <f t="shared" si="619"/>
        <v>0</v>
      </c>
      <c r="X426" s="8">
        <f t="shared" si="620"/>
        <v>10</v>
      </c>
      <c r="Y426" s="53">
        <v>45485</v>
      </c>
    </row>
    <row r="427" spans="2:25" x14ac:dyDescent="0.15">
      <c r="B427" s="7" t="s">
        <v>12</v>
      </c>
      <c r="C427" s="30"/>
      <c r="D427" s="25"/>
      <c r="E427" s="43">
        <f t="shared" si="609"/>
        <v>0</v>
      </c>
      <c r="F427" s="35">
        <v>2</v>
      </c>
      <c r="G427" s="8">
        <v>1</v>
      </c>
      <c r="H427" s="43">
        <f t="shared" si="610"/>
        <v>3</v>
      </c>
      <c r="I427" s="35"/>
      <c r="J427" s="8"/>
      <c r="K427" s="43">
        <f t="shared" si="611"/>
        <v>0</v>
      </c>
      <c r="L427" s="8">
        <f t="shared" si="612"/>
        <v>3</v>
      </c>
      <c r="M427" s="53">
        <v>45479</v>
      </c>
      <c r="N427" s="7" t="s">
        <v>259</v>
      </c>
      <c r="O427" s="30">
        <v>2</v>
      </c>
      <c r="P427" s="25">
        <v>2</v>
      </c>
      <c r="Q427" s="43">
        <f t="shared" si="617"/>
        <v>4</v>
      </c>
      <c r="R427" s="35"/>
      <c r="S427" s="8"/>
      <c r="T427" s="43">
        <f t="shared" si="618"/>
        <v>0</v>
      </c>
      <c r="U427" s="35">
        <v>3</v>
      </c>
      <c r="V427" s="8">
        <v>1</v>
      </c>
      <c r="W427" s="43">
        <f t="shared" si="619"/>
        <v>4</v>
      </c>
      <c r="X427" s="8">
        <f t="shared" si="620"/>
        <v>8</v>
      </c>
      <c r="Y427" s="53">
        <v>45485</v>
      </c>
    </row>
    <row r="428" spans="2:25" x14ac:dyDescent="0.15">
      <c r="B428" s="7" t="s">
        <v>12</v>
      </c>
      <c r="C428" s="30">
        <v>1</v>
      </c>
      <c r="D428" s="25"/>
      <c r="E428" s="43">
        <f t="shared" si="609"/>
        <v>1</v>
      </c>
      <c r="F428" s="35"/>
      <c r="G428" s="8"/>
      <c r="H428" s="43">
        <f t="shared" si="610"/>
        <v>0</v>
      </c>
      <c r="I428" s="35"/>
      <c r="J428" s="8"/>
      <c r="K428" s="43">
        <f t="shared" si="611"/>
        <v>0</v>
      </c>
      <c r="L428" s="8">
        <f t="shared" si="612"/>
        <v>1</v>
      </c>
      <c r="M428" s="53">
        <v>45481</v>
      </c>
      <c r="N428" s="7" t="s">
        <v>89</v>
      </c>
      <c r="O428" s="30"/>
      <c r="P428" s="25">
        <v>5</v>
      </c>
      <c r="Q428" s="43">
        <f t="shared" si="617"/>
        <v>5</v>
      </c>
      <c r="R428" s="35">
        <v>2</v>
      </c>
      <c r="S428" s="8"/>
      <c r="T428" s="43">
        <f t="shared" si="618"/>
        <v>2</v>
      </c>
      <c r="U428" s="35"/>
      <c r="V428" s="8">
        <v>3</v>
      </c>
      <c r="W428" s="43">
        <f t="shared" si="619"/>
        <v>3</v>
      </c>
      <c r="X428" s="8">
        <f t="shared" si="620"/>
        <v>10</v>
      </c>
      <c r="Y428" s="53">
        <v>45484</v>
      </c>
    </row>
    <row r="429" spans="2:25" x14ac:dyDescent="0.15">
      <c r="B429" s="7" t="s">
        <v>12</v>
      </c>
      <c r="C429" s="30"/>
      <c r="D429" s="25">
        <v>1</v>
      </c>
      <c r="E429" s="43">
        <f t="shared" si="609"/>
        <v>1</v>
      </c>
      <c r="F429" s="35"/>
      <c r="G429" s="8"/>
      <c r="H429" s="43">
        <f t="shared" si="610"/>
        <v>0</v>
      </c>
      <c r="I429" s="35"/>
      <c r="J429" s="8"/>
      <c r="K429" s="43">
        <f t="shared" si="611"/>
        <v>0</v>
      </c>
      <c r="L429" s="8">
        <f t="shared" si="612"/>
        <v>1</v>
      </c>
      <c r="M429" s="53">
        <v>45482</v>
      </c>
      <c r="N429" s="7" t="s">
        <v>267</v>
      </c>
      <c r="O429" s="30">
        <v>40</v>
      </c>
      <c r="P429" s="25">
        <v>40</v>
      </c>
      <c r="Q429" s="43">
        <f t="shared" si="617"/>
        <v>80</v>
      </c>
      <c r="R429" s="35">
        <v>40</v>
      </c>
      <c r="S429" s="8">
        <v>40</v>
      </c>
      <c r="T429" s="43">
        <f t="shared" si="618"/>
        <v>80</v>
      </c>
      <c r="U429" s="35">
        <v>40</v>
      </c>
      <c r="V429" s="8">
        <v>40</v>
      </c>
      <c r="W429" s="43">
        <f t="shared" si="619"/>
        <v>80</v>
      </c>
      <c r="X429" s="8">
        <f t="shared" si="620"/>
        <v>240</v>
      </c>
      <c r="Y429" s="53">
        <v>45484</v>
      </c>
    </row>
    <row r="430" spans="2:25" x14ac:dyDescent="0.15">
      <c r="B430" s="7" t="s">
        <v>12</v>
      </c>
      <c r="C430" s="33"/>
      <c r="D430" s="27"/>
      <c r="E430" s="43">
        <f t="shared" si="609"/>
        <v>0</v>
      </c>
      <c r="F430" s="37">
        <v>1</v>
      </c>
      <c r="G430" s="10"/>
      <c r="H430" s="43">
        <f t="shared" si="610"/>
        <v>1</v>
      </c>
      <c r="I430" s="37">
        <v>1</v>
      </c>
      <c r="J430" s="10"/>
      <c r="K430" s="43">
        <f t="shared" si="611"/>
        <v>1</v>
      </c>
      <c r="L430" s="8">
        <f t="shared" si="612"/>
        <v>2</v>
      </c>
      <c r="M430" s="53">
        <v>45484</v>
      </c>
      <c r="N430" s="7" t="s">
        <v>90</v>
      </c>
      <c r="O430" s="30">
        <v>3</v>
      </c>
      <c r="P430" s="25"/>
      <c r="Q430" s="43">
        <f t="shared" si="617"/>
        <v>3</v>
      </c>
      <c r="R430" s="35">
        <v>3</v>
      </c>
      <c r="S430" s="8">
        <v>2</v>
      </c>
      <c r="T430" s="43">
        <f t="shared" si="618"/>
        <v>5</v>
      </c>
      <c r="U430" s="35">
        <v>6</v>
      </c>
      <c r="V430" s="8">
        <v>8</v>
      </c>
      <c r="W430" s="43">
        <f t="shared" si="619"/>
        <v>14</v>
      </c>
      <c r="X430" s="8">
        <f t="shared" si="620"/>
        <v>22</v>
      </c>
      <c r="Y430" s="53">
        <v>45485</v>
      </c>
    </row>
    <row r="431" spans="2:25" x14ac:dyDescent="0.15">
      <c r="B431" s="7" t="s">
        <v>12</v>
      </c>
      <c r="C431" s="30"/>
      <c r="D431" s="25"/>
      <c r="E431" s="43">
        <f t="shared" si="609"/>
        <v>0</v>
      </c>
      <c r="F431" s="35">
        <v>1</v>
      </c>
      <c r="G431" s="8">
        <v>1</v>
      </c>
      <c r="H431" s="43">
        <f t="shared" ref="H431" si="630">SUM(F431:G431)</f>
        <v>2</v>
      </c>
      <c r="I431" s="35">
        <v>1</v>
      </c>
      <c r="J431" s="8"/>
      <c r="K431" s="43">
        <f t="shared" ref="K431" si="631">SUM(I431:J431)</f>
        <v>1</v>
      </c>
      <c r="L431" s="8">
        <f t="shared" ref="L431" si="632">SUM(K431,H431,E431)</f>
        <v>3</v>
      </c>
      <c r="M431" s="53">
        <v>45489</v>
      </c>
      <c r="N431" s="7" t="s">
        <v>92</v>
      </c>
      <c r="O431" s="30"/>
      <c r="P431" s="25">
        <v>2</v>
      </c>
      <c r="Q431" s="43">
        <f t="shared" ref="Q431:Q432" si="633">SUM(O431:P431)</f>
        <v>2</v>
      </c>
      <c r="R431" s="35">
        <v>4</v>
      </c>
      <c r="S431" s="8"/>
      <c r="T431" s="43">
        <f t="shared" ref="T431:T432" si="634">SUM(R431:S431)</f>
        <v>4</v>
      </c>
      <c r="U431" s="35">
        <v>4</v>
      </c>
      <c r="V431" s="8">
        <v>1</v>
      </c>
      <c r="W431" s="43">
        <f t="shared" ref="W431:W432" si="635">SUM(U431:V431)</f>
        <v>5</v>
      </c>
      <c r="X431" s="8">
        <f t="shared" ref="X431:X432" si="636">SUM(W431,T431,Q431)</f>
        <v>11</v>
      </c>
      <c r="Y431" s="53">
        <v>45485</v>
      </c>
    </row>
    <row r="432" spans="2:25" x14ac:dyDescent="0.15">
      <c r="B432" s="7" t="s">
        <v>12</v>
      </c>
      <c r="C432" s="30"/>
      <c r="D432" s="25"/>
      <c r="E432" s="43">
        <f t="shared" si="609"/>
        <v>0</v>
      </c>
      <c r="F432" s="35">
        <v>1</v>
      </c>
      <c r="G432" s="8"/>
      <c r="H432" s="43">
        <f t="shared" si="610"/>
        <v>1</v>
      </c>
      <c r="I432" s="35"/>
      <c r="J432" s="8"/>
      <c r="K432" s="43">
        <f t="shared" si="611"/>
        <v>0</v>
      </c>
      <c r="L432" s="8">
        <f t="shared" si="612"/>
        <v>1</v>
      </c>
      <c r="M432" s="53">
        <v>45490</v>
      </c>
      <c r="N432" s="7" t="s">
        <v>266</v>
      </c>
      <c r="O432" s="30"/>
      <c r="P432" s="25"/>
      <c r="Q432" s="43">
        <f t="shared" si="633"/>
        <v>0</v>
      </c>
      <c r="R432" s="35"/>
      <c r="S432" s="8"/>
      <c r="T432" s="43">
        <f t="shared" si="634"/>
        <v>0</v>
      </c>
      <c r="U432" s="35"/>
      <c r="V432" s="8">
        <v>5</v>
      </c>
      <c r="W432" s="43">
        <f t="shared" si="635"/>
        <v>5</v>
      </c>
      <c r="X432" s="8">
        <f t="shared" si="636"/>
        <v>5</v>
      </c>
      <c r="Y432" s="53">
        <v>45489</v>
      </c>
    </row>
    <row r="433" spans="2:25" x14ac:dyDescent="0.15">
      <c r="B433" s="7" t="s">
        <v>12</v>
      </c>
      <c r="C433" s="33">
        <v>1</v>
      </c>
      <c r="D433" s="27">
        <v>2</v>
      </c>
      <c r="E433" s="43">
        <f t="shared" si="609"/>
        <v>3</v>
      </c>
      <c r="F433" s="37"/>
      <c r="G433" s="10"/>
      <c r="H433" s="43">
        <f t="shared" si="610"/>
        <v>0</v>
      </c>
      <c r="I433" s="37"/>
      <c r="J433" s="10"/>
      <c r="K433" s="43">
        <f t="shared" si="611"/>
        <v>0</v>
      </c>
      <c r="L433" s="8">
        <f t="shared" si="612"/>
        <v>3</v>
      </c>
      <c r="M433" s="53">
        <v>45492</v>
      </c>
      <c r="N433" s="7" t="s">
        <v>93</v>
      </c>
      <c r="O433" s="30">
        <v>1</v>
      </c>
      <c r="P433" s="25">
        <v>3</v>
      </c>
      <c r="Q433" s="43">
        <f t="shared" si="617"/>
        <v>4</v>
      </c>
      <c r="R433" s="35">
        <v>3</v>
      </c>
      <c r="S433" s="8">
        <v>1</v>
      </c>
      <c r="T433" s="43">
        <f t="shared" si="618"/>
        <v>4</v>
      </c>
      <c r="U433" s="35"/>
      <c r="V433" s="8">
        <v>3</v>
      </c>
      <c r="W433" s="43">
        <f t="shared" si="619"/>
        <v>3</v>
      </c>
      <c r="X433" s="8">
        <f t="shared" si="620"/>
        <v>11</v>
      </c>
      <c r="Y433" s="53">
        <v>45489</v>
      </c>
    </row>
    <row r="434" spans="2:25" x14ac:dyDescent="0.15">
      <c r="B434" s="7"/>
      <c r="C434" s="33"/>
      <c r="D434" s="27"/>
      <c r="E434" s="43">
        <f t="shared" si="609"/>
        <v>0</v>
      </c>
      <c r="F434" s="37"/>
      <c r="G434" s="10"/>
      <c r="H434" s="43">
        <f t="shared" si="610"/>
        <v>0</v>
      </c>
      <c r="I434" s="37"/>
      <c r="J434" s="10"/>
      <c r="K434" s="43">
        <f t="shared" si="611"/>
        <v>0</v>
      </c>
      <c r="L434" s="8">
        <f t="shared" si="612"/>
        <v>0</v>
      </c>
      <c r="N434" s="7" t="s">
        <v>94</v>
      </c>
      <c r="O434" s="30"/>
      <c r="P434" s="25">
        <v>9</v>
      </c>
      <c r="Q434" s="43">
        <f t="shared" si="617"/>
        <v>9</v>
      </c>
      <c r="R434" s="35"/>
      <c r="S434" s="8">
        <v>1</v>
      </c>
      <c r="T434" s="43">
        <f t="shared" si="618"/>
        <v>1</v>
      </c>
      <c r="U434" s="35"/>
      <c r="V434" s="8">
        <v>4</v>
      </c>
      <c r="W434" s="43">
        <f t="shared" si="619"/>
        <v>4</v>
      </c>
      <c r="X434" s="8">
        <f t="shared" si="620"/>
        <v>14</v>
      </c>
      <c r="Y434" s="53">
        <v>45491</v>
      </c>
    </row>
    <row r="435" spans="2:25" x14ac:dyDescent="0.15">
      <c r="B435" s="7"/>
      <c r="C435" s="33"/>
      <c r="D435" s="27"/>
      <c r="E435" s="43">
        <f t="shared" si="609"/>
        <v>0</v>
      </c>
      <c r="F435" s="37"/>
      <c r="G435" s="10"/>
      <c r="H435" s="43">
        <f t="shared" si="610"/>
        <v>0</v>
      </c>
      <c r="I435" s="37"/>
      <c r="J435" s="10"/>
      <c r="K435" s="43">
        <f t="shared" si="611"/>
        <v>0</v>
      </c>
      <c r="L435" s="8">
        <f t="shared" si="612"/>
        <v>0</v>
      </c>
      <c r="N435" s="7" t="s">
        <v>269</v>
      </c>
      <c r="O435" s="30"/>
      <c r="P435" s="25"/>
      <c r="Q435" s="43">
        <f t="shared" si="617"/>
        <v>0</v>
      </c>
      <c r="R435" s="35"/>
      <c r="S435" s="8">
        <v>10</v>
      </c>
      <c r="T435" s="43">
        <f t="shared" si="618"/>
        <v>10</v>
      </c>
      <c r="U435" s="35"/>
      <c r="V435" s="8">
        <v>20</v>
      </c>
      <c r="W435" s="43">
        <f t="shared" si="619"/>
        <v>20</v>
      </c>
      <c r="X435" s="8">
        <f t="shared" si="620"/>
        <v>30</v>
      </c>
      <c r="Y435" s="53">
        <v>45490</v>
      </c>
    </row>
    <row r="436" spans="2:25" x14ac:dyDescent="0.15">
      <c r="B436" s="7"/>
      <c r="C436" s="33"/>
      <c r="D436" s="27"/>
      <c r="E436" s="43">
        <f t="shared" si="609"/>
        <v>0</v>
      </c>
      <c r="F436" s="37"/>
      <c r="G436" s="10"/>
      <c r="H436" s="43">
        <f t="shared" si="610"/>
        <v>0</v>
      </c>
      <c r="I436" s="37"/>
      <c r="J436" s="10"/>
      <c r="K436" s="43">
        <f t="shared" si="611"/>
        <v>0</v>
      </c>
      <c r="L436" s="8">
        <f t="shared" si="612"/>
        <v>0</v>
      </c>
      <c r="N436" s="7" t="s">
        <v>95</v>
      </c>
      <c r="O436" s="30">
        <v>7</v>
      </c>
      <c r="P436" s="25">
        <v>2</v>
      </c>
      <c r="Q436" s="43">
        <f t="shared" si="617"/>
        <v>9</v>
      </c>
      <c r="R436" s="35">
        <v>10</v>
      </c>
      <c r="S436" s="8">
        <v>2</v>
      </c>
      <c r="T436" s="43">
        <f t="shared" si="618"/>
        <v>12</v>
      </c>
      <c r="U436" s="35"/>
      <c r="V436" s="8"/>
      <c r="W436" s="43">
        <f t="shared" si="619"/>
        <v>0</v>
      </c>
      <c r="X436" s="8">
        <f t="shared" si="620"/>
        <v>21</v>
      </c>
      <c r="Y436" s="53">
        <v>45492</v>
      </c>
    </row>
    <row r="437" spans="2:25" x14ac:dyDescent="0.15">
      <c r="B437" s="7"/>
      <c r="C437" s="33"/>
      <c r="D437" s="27"/>
      <c r="E437" s="43">
        <f t="shared" si="609"/>
        <v>0</v>
      </c>
      <c r="F437" s="37"/>
      <c r="G437" s="10"/>
      <c r="H437" s="43">
        <f t="shared" si="610"/>
        <v>0</v>
      </c>
      <c r="I437" s="37"/>
      <c r="J437" s="10"/>
      <c r="K437" s="43">
        <f t="shared" si="611"/>
        <v>0</v>
      </c>
      <c r="L437" s="8">
        <f t="shared" si="612"/>
        <v>0</v>
      </c>
      <c r="N437" s="7" t="s">
        <v>270</v>
      </c>
      <c r="O437" s="30">
        <v>30</v>
      </c>
      <c r="P437" s="25">
        <v>30</v>
      </c>
      <c r="Q437" s="43">
        <f t="shared" si="617"/>
        <v>60</v>
      </c>
      <c r="R437" s="35">
        <v>45</v>
      </c>
      <c r="S437" s="8">
        <v>30</v>
      </c>
      <c r="T437" s="43">
        <f t="shared" si="618"/>
        <v>75</v>
      </c>
      <c r="U437" s="35">
        <v>25</v>
      </c>
      <c r="V437" s="8">
        <v>45</v>
      </c>
      <c r="W437" s="43">
        <f t="shared" si="619"/>
        <v>70</v>
      </c>
      <c r="X437" s="8">
        <f t="shared" si="620"/>
        <v>205</v>
      </c>
      <c r="Y437" s="53">
        <v>45492</v>
      </c>
    </row>
    <row r="438" spans="2:25" x14ac:dyDescent="0.15">
      <c r="B438" s="7"/>
      <c r="C438" s="33"/>
      <c r="D438" s="27"/>
      <c r="E438" s="43">
        <f t="shared" si="609"/>
        <v>0</v>
      </c>
      <c r="F438" s="37"/>
      <c r="G438" s="10"/>
      <c r="H438" s="43">
        <f t="shared" si="610"/>
        <v>0</v>
      </c>
      <c r="I438" s="37"/>
      <c r="J438" s="10"/>
      <c r="K438" s="43">
        <f t="shared" si="611"/>
        <v>0</v>
      </c>
      <c r="L438" s="8">
        <f t="shared" si="612"/>
        <v>0</v>
      </c>
      <c r="N438" s="7" t="s">
        <v>96</v>
      </c>
      <c r="O438" s="30">
        <v>4</v>
      </c>
      <c r="P438" s="25">
        <v>7</v>
      </c>
      <c r="Q438" s="43">
        <f t="shared" si="617"/>
        <v>11</v>
      </c>
      <c r="R438" s="35">
        <v>1</v>
      </c>
      <c r="S438" s="8">
        <v>2</v>
      </c>
      <c r="T438" s="43">
        <f t="shared" si="618"/>
        <v>3</v>
      </c>
      <c r="U438" s="35">
        <v>5</v>
      </c>
      <c r="V438" s="8"/>
      <c r="W438" s="43">
        <f t="shared" si="619"/>
        <v>5</v>
      </c>
      <c r="X438" s="8">
        <f t="shared" si="620"/>
        <v>19</v>
      </c>
      <c r="Y438" s="53">
        <v>45492</v>
      </c>
    </row>
    <row r="439" spans="2:25" x14ac:dyDescent="0.15">
      <c r="B439" s="7"/>
      <c r="C439" s="30"/>
      <c r="D439" s="25"/>
      <c r="E439" s="43">
        <f t="shared" si="609"/>
        <v>0</v>
      </c>
      <c r="F439" s="35"/>
      <c r="G439" s="8"/>
      <c r="H439" s="43">
        <f t="shared" si="610"/>
        <v>0</v>
      </c>
      <c r="I439" s="35"/>
      <c r="J439" s="8"/>
      <c r="K439" s="43">
        <f t="shared" si="611"/>
        <v>0</v>
      </c>
      <c r="L439" s="8">
        <f t="shared" si="612"/>
        <v>0</v>
      </c>
      <c r="N439" s="7"/>
      <c r="O439" s="33"/>
      <c r="P439" s="27"/>
      <c r="Q439" s="43">
        <f t="shared" ref="Q439" si="637">SUM(O439:P439)</f>
        <v>0</v>
      </c>
      <c r="R439" s="37"/>
      <c r="S439" s="10"/>
      <c r="T439" s="43">
        <f t="shared" ref="T439" si="638">SUM(R439:S439)</f>
        <v>0</v>
      </c>
      <c r="U439" s="37"/>
      <c r="V439" s="10"/>
      <c r="W439" s="43">
        <f t="shared" ref="W439" si="639">SUM(U439:V439)</f>
        <v>0</v>
      </c>
      <c r="X439" s="8">
        <f t="shared" ref="X439" si="640">SUM(W439,T439,Q439)</f>
        <v>0</v>
      </c>
    </row>
    <row r="440" spans="2:25" x14ac:dyDescent="0.15">
      <c r="B440" s="7"/>
      <c r="C440" s="30"/>
      <c r="D440" s="25"/>
      <c r="E440" s="43">
        <f t="shared" si="609"/>
        <v>0</v>
      </c>
      <c r="F440" s="35"/>
      <c r="G440" s="8"/>
      <c r="H440" s="43">
        <f t="shared" si="610"/>
        <v>0</v>
      </c>
      <c r="I440" s="35"/>
      <c r="J440" s="8"/>
      <c r="K440" s="43">
        <f t="shared" si="611"/>
        <v>0</v>
      </c>
      <c r="L440" s="8">
        <f t="shared" si="612"/>
        <v>0</v>
      </c>
      <c r="N440" s="7" t="s">
        <v>235</v>
      </c>
      <c r="O440" s="30"/>
      <c r="P440" s="25"/>
      <c r="Q440" s="43">
        <f t="shared" ref="Q440:Q441" si="641">SUM(O440:P440)</f>
        <v>0</v>
      </c>
      <c r="R440" s="30"/>
      <c r="S440" s="25"/>
      <c r="T440" s="43">
        <f t="shared" ref="T440:T441" si="642">SUM(R440:S440)</f>
        <v>0</v>
      </c>
      <c r="U440" s="35"/>
      <c r="V440" s="8"/>
      <c r="W440" s="43">
        <f t="shared" ref="W440:W441" si="643">SUM(U440:V440)</f>
        <v>0</v>
      </c>
      <c r="X440" s="8">
        <f t="shared" ref="X440:X441" si="644">SUM(W440,T440,Q440)</f>
        <v>0</v>
      </c>
      <c r="Y440" s="52" t="s">
        <v>236</v>
      </c>
    </row>
    <row r="441" spans="2:25" x14ac:dyDescent="0.15">
      <c r="B441" s="7"/>
      <c r="C441" s="30"/>
      <c r="D441" s="25"/>
      <c r="E441" s="43">
        <f t="shared" si="609"/>
        <v>0</v>
      </c>
      <c r="F441" s="35"/>
      <c r="G441" s="8"/>
      <c r="H441" s="43">
        <f t="shared" si="610"/>
        <v>0</v>
      </c>
      <c r="I441" s="35"/>
      <c r="J441" s="8"/>
      <c r="K441" s="43">
        <f t="shared" si="611"/>
        <v>0</v>
      </c>
      <c r="L441" s="8">
        <f t="shared" si="612"/>
        <v>0</v>
      </c>
      <c r="N441" s="7" t="s">
        <v>232</v>
      </c>
      <c r="O441" s="30"/>
      <c r="P441" s="25"/>
      <c r="Q441" s="43">
        <f t="shared" si="641"/>
        <v>0</v>
      </c>
      <c r="R441" s="30"/>
      <c r="S441" s="25"/>
      <c r="T441" s="43">
        <f t="shared" si="642"/>
        <v>0</v>
      </c>
      <c r="U441" s="35"/>
      <c r="V441" s="8"/>
      <c r="W441" s="43">
        <f t="shared" si="643"/>
        <v>0</v>
      </c>
      <c r="X441" s="8">
        <f t="shared" si="644"/>
        <v>0</v>
      </c>
      <c r="Y441" s="52" t="s">
        <v>233</v>
      </c>
    </row>
    <row r="442" spans="2:25" x14ac:dyDescent="0.15">
      <c r="B442" s="7"/>
      <c r="C442" s="30"/>
      <c r="D442" s="25"/>
      <c r="E442" s="43">
        <f t="shared" si="609"/>
        <v>0</v>
      </c>
      <c r="F442" s="35"/>
      <c r="G442" s="8"/>
      <c r="H442" s="43">
        <f t="shared" si="610"/>
        <v>0</v>
      </c>
      <c r="I442" s="35"/>
      <c r="J442" s="8"/>
      <c r="K442" s="43">
        <f t="shared" si="611"/>
        <v>0</v>
      </c>
      <c r="L442" s="8">
        <f t="shared" si="612"/>
        <v>0</v>
      </c>
      <c r="N442" s="7" t="s">
        <v>271</v>
      </c>
      <c r="O442" s="30"/>
      <c r="P442" s="25"/>
      <c r="Q442" s="43">
        <f t="shared" si="617"/>
        <v>0</v>
      </c>
      <c r="R442" s="30"/>
      <c r="S442" s="25"/>
      <c r="T442" s="43">
        <f t="shared" si="618"/>
        <v>0</v>
      </c>
      <c r="U442" s="30"/>
      <c r="V442" s="25"/>
      <c r="W442" s="43">
        <f t="shared" si="619"/>
        <v>0</v>
      </c>
      <c r="X442" s="8">
        <f t="shared" si="620"/>
        <v>0</v>
      </c>
      <c r="Y442" s="53">
        <v>45488</v>
      </c>
    </row>
    <row r="443" spans="2:25" x14ac:dyDescent="0.15">
      <c r="B443" s="7"/>
      <c r="C443" s="30"/>
      <c r="D443" s="25"/>
      <c r="E443" s="43">
        <f t="shared" si="609"/>
        <v>0</v>
      </c>
      <c r="F443" s="35"/>
      <c r="G443" s="8"/>
      <c r="H443" s="43">
        <f t="shared" si="610"/>
        <v>0</v>
      </c>
      <c r="I443" s="35"/>
      <c r="J443" s="8"/>
      <c r="K443" s="43">
        <f t="shared" si="611"/>
        <v>0</v>
      </c>
      <c r="L443" s="8">
        <f t="shared" si="612"/>
        <v>0</v>
      </c>
      <c r="N443" s="115" t="s">
        <v>207</v>
      </c>
      <c r="O443" s="116"/>
      <c r="P443" s="112"/>
      <c r="Q443" s="117">
        <f t="shared" si="617"/>
        <v>0</v>
      </c>
      <c r="R443" s="118"/>
      <c r="S443" s="119"/>
      <c r="T443" s="117">
        <f t="shared" si="618"/>
        <v>0</v>
      </c>
      <c r="U443" s="118"/>
      <c r="V443" s="119"/>
      <c r="W443" s="117">
        <f t="shared" si="619"/>
        <v>0</v>
      </c>
      <c r="X443" s="119">
        <f t="shared" si="620"/>
        <v>0</v>
      </c>
      <c r="Y443" s="101"/>
    </row>
    <row r="444" spans="2:25" ht="14.25" thickBot="1" x14ac:dyDescent="0.2">
      <c r="B444" s="7"/>
      <c r="C444" s="30"/>
      <c r="D444" s="25"/>
      <c r="E444" s="43">
        <f t="shared" si="609"/>
        <v>0</v>
      </c>
      <c r="F444" s="35"/>
      <c r="G444" s="8"/>
      <c r="H444" s="43">
        <f t="shared" si="610"/>
        <v>0</v>
      </c>
      <c r="I444" s="35"/>
      <c r="J444" s="8"/>
      <c r="K444" s="43">
        <f t="shared" si="611"/>
        <v>0</v>
      </c>
      <c r="L444" s="8">
        <f t="shared" si="612"/>
        <v>0</v>
      </c>
      <c r="N444" s="7" t="s">
        <v>276</v>
      </c>
      <c r="O444" s="30"/>
      <c r="P444" s="25"/>
      <c r="Q444" s="43">
        <f t="shared" si="617"/>
        <v>0</v>
      </c>
      <c r="R444" s="35"/>
      <c r="S444" s="8"/>
      <c r="T444" s="43">
        <f t="shared" si="618"/>
        <v>0</v>
      </c>
      <c r="U444" s="35"/>
      <c r="V444" s="8"/>
      <c r="W444" s="43">
        <f t="shared" si="619"/>
        <v>0</v>
      </c>
      <c r="X444" s="8">
        <f t="shared" si="620"/>
        <v>0</v>
      </c>
      <c r="Y444" s="52" t="s">
        <v>175</v>
      </c>
    </row>
    <row r="445" spans="2:25" ht="14.25" thickBot="1" x14ac:dyDescent="0.2">
      <c r="B445" s="5" t="s">
        <v>1</v>
      </c>
      <c r="C445" s="32">
        <f>SUM(C420:C444)</f>
        <v>2</v>
      </c>
      <c r="D445" s="19">
        <f>SUM(D420:D444)</f>
        <v>8</v>
      </c>
      <c r="E445" s="44">
        <f t="shared" si="609"/>
        <v>10</v>
      </c>
      <c r="F445" s="32">
        <f>SUM(F420:F444)</f>
        <v>8</v>
      </c>
      <c r="G445" s="19">
        <f>SUM(G420:G444)</f>
        <v>4</v>
      </c>
      <c r="H445" s="44">
        <f t="shared" si="610"/>
        <v>12</v>
      </c>
      <c r="I445" s="32">
        <f>SUM(I420:I444)</f>
        <v>6</v>
      </c>
      <c r="J445" s="19">
        <f>SUM(J420:J444)</f>
        <v>7</v>
      </c>
      <c r="K445" s="44">
        <f t="shared" si="611"/>
        <v>13</v>
      </c>
      <c r="L445" s="4">
        <f t="shared" si="612"/>
        <v>35</v>
      </c>
      <c r="N445" s="5" t="s">
        <v>1</v>
      </c>
      <c r="O445" s="32">
        <f>SUM(O420:O444)</f>
        <v>104</v>
      </c>
      <c r="P445" s="19">
        <f t="shared" ref="P445" si="645">SUM(P420:P444)</f>
        <v>113</v>
      </c>
      <c r="Q445" s="44">
        <f t="shared" ref="Q445" si="646">SUM(Q420:Q444)</f>
        <v>217</v>
      </c>
      <c r="R445" s="32">
        <f t="shared" ref="R445" si="647">SUM(R420:R444)</f>
        <v>124</v>
      </c>
      <c r="S445" s="19">
        <f t="shared" ref="S445" si="648">SUM(S420:S444)</f>
        <v>116</v>
      </c>
      <c r="T445" s="44">
        <f t="shared" ref="T445" si="649">SUM(T420:T444)</f>
        <v>240</v>
      </c>
      <c r="U445" s="32">
        <f t="shared" ref="U445" si="650">SUM(U420:U444)</f>
        <v>108</v>
      </c>
      <c r="V445" s="19">
        <f t="shared" ref="V445" si="651">SUM(V420:V444)</f>
        <v>163</v>
      </c>
      <c r="W445" s="44">
        <f t="shared" ref="W445" si="652">SUM(W420:W444)</f>
        <v>271</v>
      </c>
      <c r="X445" s="4">
        <f t="shared" ref="X445" si="653">SUM(X420:X444)</f>
        <v>728</v>
      </c>
    </row>
    <row r="446" spans="2:25" ht="14.25" thickBot="1" x14ac:dyDescent="0.2">
      <c r="B446" s="3" t="s">
        <v>0</v>
      </c>
      <c r="C446" s="34">
        <f>+C419-C445</f>
        <v>32</v>
      </c>
      <c r="D446" s="2">
        <f>+D419-D445</f>
        <v>6</v>
      </c>
      <c r="E446" s="45">
        <f t="shared" si="609"/>
        <v>38</v>
      </c>
      <c r="F446" s="34">
        <f>+F419-F445</f>
        <v>11</v>
      </c>
      <c r="G446" s="2">
        <f>+G419-G445</f>
        <v>11</v>
      </c>
      <c r="H446" s="45">
        <f t="shared" si="610"/>
        <v>22</v>
      </c>
      <c r="I446" s="34">
        <f>+I419-I445</f>
        <v>16</v>
      </c>
      <c r="J446" s="2">
        <f>+J419-J445</f>
        <v>16</v>
      </c>
      <c r="K446" s="45">
        <f t="shared" si="611"/>
        <v>32</v>
      </c>
      <c r="L446" s="2">
        <f t="shared" si="612"/>
        <v>92</v>
      </c>
      <c r="N446" s="3" t="s">
        <v>0</v>
      </c>
      <c r="O446" s="34">
        <f>+O419-O445</f>
        <v>542</v>
      </c>
      <c r="P446" s="2">
        <f t="shared" ref="P446" si="654">+P419-P445</f>
        <v>640</v>
      </c>
      <c r="Q446" s="45">
        <f t="shared" ref="Q446" si="655">+Q419-Q445</f>
        <v>1182</v>
      </c>
      <c r="R446" s="34">
        <f t="shared" ref="R446" si="656">+R419-R445</f>
        <v>479</v>
      </c>
      <c r="S446" s="2">
        <f t="shared" ref="S446" si="657">+S419-S445</f>
        <v>790</v>
      </c>
      <c r="T446" s="45">
        <f t="shared" ref="T446" si="658">+T419-T445</f>
        <v>1269</v>
      </c>
      <c r="U446" s="34">
        <f t="shared" ref="U446" si="659">+U419-U445</f>
        <v>574</v>
      </c>
      <c r="V446" s="2">
        <f t="shared" ref="V446" si="660">+V419-V445</f>
        <v>815</v>
      </c>
      <c r="W446" s="45">
        <f t="shared" ref="W446" si="661">+W419-W445</f>
        <v>1389</v>
      </c>
      <c r="X446" s="2">
        <f t="shared" ref="X446" si="662">+X419-X445</f>
        <v>3840</v>
      </c>
    </row>
    <row r="447" spans="2:25" x14ac:dyDescent="0.15">
      <c r="O447" s="85">
        <f>O446/$Q$405*100</f>
        <v>175.40453074433657</v>
      </c>
      <c r="P447" s="85">
        <f t="shared" ref="P447:Q447" si="663">P446/$Q$405*100</f>
        <v>207.11974110032361</v>
      </c>
      <c r="Q447" s="85">
        <f t="shared" si="663"/>
        <v>382.52427184466018</v>
      </c>
      <c r="R447" s="85">
        <f>R446/$T$405*100</f>
        <v>237.12871287128712</v>
      </c>
      <c r="S447" s="85">
        <f t="shared" ref="S447:T447" si="664">S446/$T$405*100</f>
        <v>391.08910891089107</v>
      </c>
      <c r="T447" s="85">
        <f t="shared" si="664"/>
        <v>628.21782178217825</v>
      </c>
      <c r="U447" s="85">
        <f>U446/$W$405*100</f>
        <v>233.33333333333334</v>
      </c>
      <c r="V447" s="85">
        <f t="shared" ref="V447:W447" si="665">V446/$W$405*100</f>
        <v>331.30081300813009</v>
      </c>
      <c r="W447" s="85">
        <f t="shared" si="665"/>
        <v>564.63414634146341</v>
      </c>
      <c r="X447" s="85"/>
    </row>
    <row r="448" spans="2:25" x14ac:dyDescent="0.15">
      <c r="N448" s="100" t="s">
        <v>193</v>
      </c>
      <c r="O448" s="87">
        <v>48.8</v>
      </c>
      <c r="P448" s="86">
        <v>51.2</v>
      </c>
      <c r="Q448" s="87">
        <v>100</v>
      </c>
      <c r="R448" s="86">
        <v>50.3</v>
      </c>
      <c r="S448" s="86">
        <v>49.7</v>
      </c>
      <c r="T448" s="87">
        <v>100</v>
      </c>
      <c r="U448" s="87">
        <v>53</v>
      </c>
      <c r="V448" s="87">
        <v>47</v>
      </c>
      <c r="W448" s="87">
        <v>100</v>
      </c>
      <c r="X448" s="87"/>
    </row>
    <row r="449" spans="2:25" x14ac:dyDescent="0.15">
      <c r="N449" s="99"/>
      <c r="Q449" s="85">
        <f>Q446/X446*100</f>
        <v>30.78125</v>
      </c>
      <c r="R449" s="89"/>
      <c r="S449" s="89"/>
      <c r="T449" s="85">
        <f>T446/X446*100</f>
        <v>33.046875</v>
      </c>
      <c r="U449" s="89">
        <v>50</v>
      </c>
      <c r="V449" s="89">
        <v>50</v>
      </c>
      <c r="W449" s="85">
        <f>W446/X446*100</f>
        <v>36.171875</v>
      </c>
    </row>
    <row r="450" spans="2:25" ht="18.75" x14ac:dyDescent="0.2">
      <c r="B450" s="23" t="s">
        <v>11</v>
      </c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N450" s="47" t="s">
        <v>25</v>
      </c>
      <c r="O450" s="48"/>
      <c r="P450" s="48"/>
      <c r="Q450" s="48"/>
      <c r="R450" s="48"/>
      <c r="S450" s="48"/>
      <c r="T450" s="48"/>
      <c r="U450" s="48"/>
      <c r="V450" s="48"/>
      <c r="W450" s="48"/>
      <c r="X450" s="48"/>
    </row>
    <row r="451" spans="2:25" ht="15" thickBot="1" x14ac:dyDescent="0.2">
      <c r="B451" s="22" t="s">
        <v>147</v>
      </c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N451" s="49" t="s">
        <v>148</v>
      </c>
      <c r="O451" s="48"/>
      <c r="P451" s="48"/>
      <c r="Q451" s="48"/>
      <c r="R451" s="48"/>
      <c r="S451" s="48"/>
      <c r="T451" s="48"/>
      <c r="U451" s="48"/>
      <c r="V451" s="48"/>
      <c r="W451" s="48"/>
      <c r="X451" s="48"/>
    </row>
    <row r="452" spans="2:25" ht="14.25" thickBot="1" x14ac:dyDescent="0.2">
      <c r="B452" s="20"/>
      <c r="C452" s="208" t="s">
        <v>9</v>
      </c>
      <c r="D452" s="209"/>
      <c r="E452" s="210"/>
      <c r="F452" s="208" t="s">
        <v>8</v>
      </c>
      <c r="G452" s="209"/>
      <c r="H452" s="210"/>
      <c r="I452" s="208" t="s">
        <v>7</v>
      </c>
      <c r="J452" s="209"/>
      <c r="K452" s="210"/>
      <c r="L452" s="19"/>
      <c r="N452" s="20"/>
      <c r="O452" s="113" t="s">
        <v>9</v>
      </c>
      <c r="P452" s="114"/>
      <c r="Q452" s="46"/>
      <c r="R452" s="113" t="s">
        <v>8</v>
      </c>
      <c r="S452" s="114"/>
      <c r="T452" s="46"/>
      <c r="U452" s="113" t="s">
        <v>7</v>
      </c>
      <c r="V452" s="114"/>
      <c r="W452" s="46"/>
      <c r="X452" s="19"/>
    </row>
    <row r="453" spans="2:25" ht="14.25" thickBot="1" x14ac:dyDescent="0.2">
      <c r="B453" s="18"/>
      <c r="C453" s="28" t="s">
        <v>6</v>
      </c>
      <c r="D453" s="17" t="s">
        <v>5</v>
      </c>
      <c r="E453" s="38" t="s">
        <v>4</v>
      </c>
      <c r="F453" s="28" t="s">
        <v>6</v>
      </c>
      <c r="G453" s="17" t="s">
        <v>5</v>
      </c>
      <c r="H453" s="38" t="s">
        <v>4</v>
      </c>
      <c r="I453" s="28" t="s">
        <v>6</v>
      </c>
      <c r="J453" s="17" t="s">
        <v>5</v>
      </c>
      <c r="K453" s="38" t="s">
        <v>4</v>
      </c>
      <c r="L453" s="17" t="s">
        <v>4</v>
      </c>
      <c r="N453" s="18"/>
      <c r="O453" s="28" t="s">
        <v>6</v>
      </c>
      <c r="P453" s="17" t="s">
        <v>5</v>
      </c>
      <c r="Q453" s="38" t="s">
        <v>4</v>
      </c>
      <c r="R453" s="28" t="s">
        <v>6</v>
      </c>
      <c r="S453" s="17" t="s">
        <v>5</v>
      </c>
      <c r="T453" s="38" t="s">
        <v>4</v>
      </c>
      <c r="U453" s="28" t="s">
        <v>6</v>
      </c>
      <c r="V453" s="17" t="s">
        <v>5</v>
      </c>
      <c r="W453" s="38" t="s">
        <v>4</v>
      </c>
      <c r="X453" s="17" t="s">
        <v>4</v>
      </c>
    </row>
    <row r="454" spans="2:25" x14ac:dyDescent="0.15">
      <c r="B454" s="66" t="s">
        <v>0</v>
      </c>
      <c r="C454" s="67">
        <f>C446</f>
        <v>32</v>
      </c>
      <c r="D454" s="68">
        <f t="shared" ref="D454:K454" si="666">D446</f>
        <v>6</v>
      </c>
      <c r="E454" s="69">
        <f t="shared" si="666"/>
        <v>38</v>
      </c>
      <c r="F454" s="67">
        <f t="shared" si="666"/>
        <v>11</v>
      </c>
      <c r="G454" s="68">
        <f t="shared" si="666"/>
        <v>11</v>
      </c>
      <c r="H454" s="69">
        <f t="shared" si="666"/>
        <v>22</v>
      </c>
      <c r="I454" s="67">
        <f t="shared" si="666"/>
        <v>16</v>
      </c>
      <c r="J454" s="68">
        <f t="shared" si="666"/>
        <v>16</v>
      </c>
      <c r="K454" s="69">
        <f t="shared" si="666"/>
        <v>32</v>
      </c>
      <c r="L454" s="70">
        <f>SUM(K454,H454,E454)</f>
        <v>92</v>
      </c>
      <c r="N454" s="66" t="s">
        <v>0</v>
      </c>
      <c r="O454" s="72">
        <f>O446</f>
        <v>542</v>
      </c>
      <c r="P454" s="80">
        <f t="shared" ref="P454:X454" si="667">P446</f>
        <v>640</v>
      </c>
      <c r="Q454" s="69">
        <f t="shared" si="667"/>
        <v>1182</v>
      </c>
      <c r="R454" s="72">
        <f t="shared" si="667"/>
        <v>479</v>
      </c>
      <c r="S454" s="80">
        <f t="shared" si="667"/>
        <v>790</v>
      </c>
      <c r="T454" s="69">
        <f t="shared" si="667"/>
        <v>1269</v>
      </c>
      <c r="U454" s="72">
        <f t="shared" si="667"/>
        <v>574</v>
      </c>
      <c r="V454" s="80">
        <f t="shared" si="667"/>
        <v>815</v>
      </c>
      <c r="W454" s="69">
        <f t="shared" si="667"/>
        <v>1389</v>
      </c>
      <c r="X454" s="70">
        <f t="shared" si="667"/>
        <v>3840</v>
      </c>
    </row>
    <row r="455" spans="2:25" x14ac:dyDescent="0.15">
      <c r="B455" s="16" t="s">
        <v>3</v>
      </c>
      <c r="C455" s="30"/>
      <c r="D455" s="25">
        <v>15</v>
      </c>
      <c r="E455" s="40">
        <f t="shared" ref="E455" si="668">SUM(C455:D455)</f>
        <v>15</v>
      </c>
      <c r="F455" s="35">
        <v>10</v>
      </c>
      <c r="G455" s="8">
        <v>10</v>
      </c>
      <c r="H455" s="40">
        <f t="shared" ref="H455" si="669">SUM(F455:G455)</f>
        <v>20</v>
      </c>
      <c r="I455" s="35">
        <v>10</v>
      </c>
      <c r="J455" s="8">
        <v>10</v>
      </c>
      <c r="K455" s="40">
        <f t="shared" ref="K455" si="670">SUM(I455:J455)</f>
        <v>20</v>
      </c>
      <c r="L455" s="9">
        <f t="shared" ref="L455" si="671">SUM(K455,H455,E455)</f>
        <v>55</v>
      </c>
      <c r="M455" s="53">
        <v>45493</v>
      </c>
      <c r="N455" s="16" t="s">
        <v>3</v>
      </c>
      <c r="O455" s="62"/>
      <c r="P455" s="81"/>
      <c r="Q455" s="40">
        <f t="shared" ref="Q455:Q478" si="672">SUM(O455:P455)</f>
        <v>0</v>
      </c>
      <c r="R455" s="78"/>
      <c r="S455" s="82"/>
      <c r="T455" s="40">
        <f t="shared" ref="T455:T478" si="673">SUM(R455:S455)</f>
        <v>0</v>
      </c>
      <c r="U455" s="78"/>
      <c r="V455" s="82"/>
      <c r="W455" s="40">
        <f t="shared" ref="W455:W478" si="674">SUM(U455:V455)</f>
        <v>0</v>
      </c>
      <c r="X455" s="25">
        <f t="shared" ref="X455:X488" si="675">SUM(W455,T455,Q455)</f>
        <v>0</v>
      </c>
    </row>
    <row r="456" spans="2:25" x14ac:dyDescent="0.15">
      <c r="B456" s="16" t="s">
        <v>57</v>
      </c>
      <c r="C456" s="30"/>
      <c r="D456" s="25">
        <v>1</v>
      </c>
      <c r="E456" s="40">
        <f t="shared" ref="E456:E487" si="676">SUM(C456:D456)</f>
        <v>1</v>
      </c>
      <c r="F456" s="35"/>
      <c r="G456" s="8"/>
      <c r="H456" s="40">
        <f t="shared" ref="H456:H487" si="677">SUM(F456:G456)</f>
        <v>0</v>
      </c>
      <c r="I456" s="35">
        <v>1</v>
      </c>
      <c r="J456" s="8">
        <v>1</v>
      </c>
      <c r="K456" s="40">
        <f t="shared" ref="K456:K487" si="678">SUM(I456:J456)</f>
        <v>2</v>
      </c>
      <c r="L456" s="9">
        <f t="shared" ref="L456:L487" si="679">SUM(K456,H456,E456)</f>
        <v>3</v>
      </c>
      <c r="M456" s="53">
        <v>45498</v>
      </c>
      <c r="N456" s="16" t="s">
        <v>3</v>
      </c>
      <c r="O456" s="62">
        <v>100</v>
      </c>
      <c r="P456" s="81"/>
      <c r="Q456" s="40">
        <f t="shared" si="672"/>
        <v>100</v>
      </c>
      <c r="R456" s="78">
        <v>150</v>
      </c>
      <c r="S456" s="82"/>
      <c r="T456" s="40">
        <f t="shared" si="673"/>
        <v>150</v>
      </c>
      <c r="U456" s="78">
        <v>100</v>
      </c>
      <c r="V456" s="82"/>
      <c r="W456" s="40">
        <f t="shared" si="674"/>
        <v>100</v>
      </c>
      <c r="X456" s="25">
        <f t="shared" si="675"/>
        <v>350</v>
      </c>
      <c r="Y456" s="53" t="s">
        <v>286</v>
      </c>
    </row>
    <row r="457" spans="2:25" x14ac:dyDescent="0.15">
      <c r="B457" s="16" t="s">
        <v>291</v>
      </c>
      <c r="C457" s="30">
        <f>2*3</f>
        <v>6</v>
      </c>
      <c r="D457" s="25">
        <f>3*3</f>
        <v>9</v>
      </c>
      <c r="E457" s="40">
        <f t="shared" si="676"/>
        <v>15</v>
      </c>
      <c r="F457" s="35">
        <f>5*3</f>
        <v>15</v>
      </c>
      <c r="G457" s="8">
        <f>4*3</f>
        <v>12</v>
      </c>
      <c r="H457" s="40">
        <f t="shared" si="677"/>
        <v>27</v>
      </c>
      <c r="I457" s="35">
        <f>6*3</f>
        <v>18</v>
      </c>
      <c r="J457" s="8">
        <f>3*3</f>
        <v>9</v>
      </c>
      <c r="K457" s="40">
        <f t="shared" si="678"/>
        <v>27</v>
      </c>
      <c r="L457" s="9">
        <f t="shared" si="679"/>
        <v>69</v>
      </c>
      <c r="M457" s="53">
        <v>45503</v>
      </c>
      <c r="N457" s="55" t="s">
        <v>3</v>
      </c>
      <c r="O457" s="62"/>
      <c r="P457" s="81"/>
      <c r="Q457" s="40">
        <f t="shared" si="672"/>
        <v>0</v>
      </c>
      <c r="R457" s="78"/>
      <c r="S457" s="82"/>
      <c r="T457" s="40">
        <f t="shared" si="673"/>
        <v>0</v>
      </c>
      <c r="U457" s="78"/>
      <c r="V457" s="82"/>
      <c r="W457" s="40">
        <f t="shared" si="674"/>
        <v>0</v>
      </c>
      <c r="X457" s="25">
        <f t="shared" si="675"/>
        <v>0</v>
      </c>
    </row>
    <row r="458" spans="2:25" x14ac:dyDescent="0.15">
      <c r="B458" s="16" t="s">
        <v>3</v>
      </c>
      <c r="C458" s="30"/>
      <c r="D458" s="25"/>
      <c r="E458" s="40">
        <f t="shared" si="676"/>
        <v>0</v>
      </c>
      <c r="F458" s="35"/>
      <c r="G458" s="8"/>
      <c r="H458" s="40">
        <f t="shared" si="677"/>
        <v>0</v>
      </c>
      <c r="I458" s="35"/>
      <c r="J458" s="8"/>
      <c r="K458" s="40">
        <f t="shared" si="678"/>
        <v>0</v>
      </c>
      <c r="L458" s="9">
        <f t="shared" si="679"/>
        <v>0</v>
      </c>
      <c r="N458" s="55" t="s">
        <v>3</v>
      </c>
      <c r="O458" s="62"/>
      <c r="P458" s="81"/>
      <c r="Q458" s="40">
        <f t="shared" si="672"/>
        <v>0</v>
      </c>
      <c r="R458" s="78"/>
      <c r="S458" s="82"/>
      <c r="T458" s="40">
        <f t="shared" si="673"/>
        <v>0</v>
      </c>
      <c r="U458" s="78"/>
      <c r="V458" s="82"/>
      <c r="W458" s="40">
        <f t="shared" si="674"/>
        <v>0</v>
      </c>
      <c r="X458" s="25">
        <f t="shared" si="675"/>
        <v>0</v>
      </c>
    </row>
    <row r="459" spans="2:25" ht="14.25" thickBot="1" x14ac:dyDescent="0.2">
      <c r="B459" s="15" t="s">
        <v>3</v>
      </c>
      <c r="C459" s="31"/>
      <c r="D459" s="26"/>
      <c r="E459" s="41">
        <f t="shared" si="676"/>
        <v>0</v>
      </c>
      <c r="F459" s="36"/>
      <c r="G459" s="6"/>
      <c r="H459" s="41">
        <f t="shared" si="677"/>
        <v>0</v>
      </c>
      <c r="I459" s="36"/>
      <c r="J459" s="6"/>
      <c r="K459" s="41">
        <f t="shared" si="678"/>
        <v>0</v>
      </c>
      <c r="L459" s="14">
        <f t="shared" si="679"/>
        <v>0</v>
      </c>
      <c r="N459" s="75" t="s">
        <v>3</v>
      </c>
      <c r="O459" s="76"/>
      <c r="P459" s="83"/>
      <c r="Q459" s="41">
        <f t="shared" si="672"/>
        <v>0</v>
      </c>
      <c r="R459" s="76"/>
      <c r="S459" s="83"/>
      <c r="T459" s="41">
        <f t="shared" si="673"/>
        <v>0</v>
      </c>
      <c r="U459" s="76"/>
      <c r="V459" s="83"/>
      <c r="W459" s="41">
        <f t="shared" si="674"/>
        <v>0</v>
      </c>
      <c r="X459" s="77">
        <f t="shared" si="675"/>
        <v>0</v>
      </c>
    </row>
    <row r="460" spans="2:25" ht="14.25" thickBot="1" x14ac:dyDescent="0.2">
      <c r="B460" s="5" t="s">
        <v>2</v>
      </c>
      <c r="C460" s="32">
        <f>SUM(C454:C459)</f>
        <v>38</v>
      </c>
      <c r="D460" s="19">
        <f>SUM(D454:D459)</f>
        <v>31</v>
      </c>
      <c r="E460" s="42">
        <f t="shared" si="676"/>
        <v>69</v>
      </c>
      <c r="F460" s="32">
        <f>SUM(F454:F459)</f>
        <v>36</v>
      </c>
      <c r="G460" s="19">
        <f>SUM(G454:G459)</f>
        <v>33</v>
      </c>
      <c r="H460" s="42">
        <f t="shared" si="677"/>
        <v>69</v>
      </c>
      <c r="I460" s="32">
        <f>SUM(I454:I459)</f>
        <v>45</v>
      </c>
      <c r="J460" s="19">
        <f>SUM(J454:J459)</f>
        <v>36</v>
      </c>
      <c r="K460" s="42">
        <f t="shared" si="678"/>
        <v>81</v>
      </c>
      <c r="L460" s="13">
        <f t="shared" si="679"/>
        <v>219</v>
      </c>
      <c r="N460" s="63" t="s">
        <v>2</v>
      </c>
      <c r="O460" s="32">
        <f>SUM(O454:O459)</f>
        <v>642</v>
      </c>
      <c r="P460" s="19">
        <f t="shared" ref="P460" si="680">SUM(P454:P459)</f>
        <v>640</v>
      </c>
      <c r="Q460" s="42">
        <f t="shared" ref="Q460" si="681">SUM(Q454:Q459)</f>
        <v>1282</v>
      </c>
      <c r="R460" s="32">
        <f t="shared" ref="R460" si="682">SUM(R454:R459)</f>
        <v>629</v>
      </c>
      <c r="S460" s="19">
        <f t="shared" ref="S460" si="683">SUM(S454:S459)</f>
        <v>790</v>
      </c>
      <c r="T460" s="42">
        <f t="shared" ref="T460" si="684">SUM(T454:T459)</f>
        <v>1419</v>
      </c>
      <c r="U460" s="32">
        <f t="shared" ref="U460" si="685">SUM(U454:U459)</f>
        <v>674</v>
      </c>
      <c r="V460" s="19">
        <f t="shared" ref="V460" si="686">SUM(V454:V459)</f>
        <v>815</v>
      </c>
      <c r="W460" s="42">
        <f t="shared" ref="W460" si="687">SUM(W454:W459)</f>
        <v>1489</v>
      </c>
      <c r="X460" s="13">
        <f t="shared" ref="X460" si="688">SUM(X454:X459)</f>
        <v>4190</v>
      </c>
    </row>
    <row r="461" spans="2:25" x14ac:dyDescent="0.15">
      <c r="B461" s="7" t="s">
        <v>12</v>
      </c>
      <c r="C461" s="30"/>
      <c r="D461" s="25"/>
      <c r="E461" s="43">
        <f t="shared" si="676"/>
        <v>0</v>
      </c>
      <c r="F461" s="35">
        <v>2</v>
      </c>
      <c r="G461" s="8"/>
      <c r="H461" s="43">
        <f t="shared" si="677"/>
        <v>2</v>
      </c>
      <c r="I461" s="35"/>
      <c r="J461" s="8"/>
      <c r="K461" s="43">
        <f t="shared" si="678"/>
        <v>0</v>
      </c>
      <c r="L461" s="8">
        <f t="shared" si="679"/>
        <v>2</v>
      </c>
      <c r="M461" s="53">
        <v>45493</v>
      </c>
      <c r="N461" s="7" t="s">
        <v>268</v>
      </c>
      <c r="O461" s="30">
        <v>1</v>
      </c>
      <c r="P461" s="25">
        <v>4</v>
      </c>
      <c r="Q461" s="43">
        <f t="shared" si="672"/>
        <v>5</v>
      </c>
      <c r="R461" s="35"/>
      <c r="S461" s="8"/>
      <c r="T461" s="43">
        <f t="shared" si="673"/>
        <v>0</v>
      </c>
      <c r="U461" s="35">
        <v>3</v>
      </c>
      <c r="V461" s="8">
        <v>5</v>
      </c>
      <c r="W461" s="43">
        <f t="shared" si="674"/>
        <v>8</v>
      </c>
      <c r="X461" s="8">
        <f t="shared" si="675"/>
        <v>13</v>
      </c>
      <c r="Y461" s="53">
        <v>45495</v>
      </c>
    </row>
    <row r="462" spans="2:25" x14ac:dyDescent="0.15">
      <c r="B462" s="7" t="s">
        <v>274</v>
      </c>
      <c r="C462" s="30">
        <v>1</v>
      </c>
      <c r="D462" s="25"/>
      <c r="E462" s="43">
        <f t="shared" si="676"/>
        <v>1</v>
      </c>
      <c r="F462" s="35">
        <v>2</v>
      </c>
      <c r="G462" s="8"/>
      <c r="H462" s="43">
        <f t="shared" si="677"/>
        <v>2</v>
      </c>
      <c r="I462" s="35"/>
      <c r="J462" s="8">
        <v>1</v>
      </c>
      <c r="K462" s="43">
        <f t="shared" si="678"/>
        <v>1</v>
      </c>
      <c r="L462" s="8">
        <f t="shared" si="679"/>
        <v>4</v>
      </c>
      <c r="M462" s="53">
        <v>45497</v>
      </c>
      <c r="N462" s="7" t="s">
        <v>272</v>
      </c>
      <c r="O462" s="30">
        <v>10</v>
      </c>
      <c r="P462" s="25">
        <v>14</v>
      </c>
      <c r="Q462" s="43">
        <f t="shared" ref="Q462:Q469" si="689">SUM(O462:P462)</f>
        <v>24</v>
      </c>
      <c r="R462" s="35">
        <v>14</v>
      </c>
      <c r="S462" s="8">
        <v>15</v>
      </c>
      <c r="T462" s="43">
        <f t="shared" ref="T462:T469" si="690">SUM(R462:S462)</f>
        <v>29</v>
      </c>
      <c r="U462" s="35">
        <v>10</v>
      </c>
      <c r="V462" s="8">
        <v>12</v>
      </c>
      <c r="W462" s="43">
        <f t="shared" ref="W462:W469" si="691">SUM(U462:V462)</f>
        <v>22</v>
      </c>
      <c r="X462" s="8">
        <f t="shared" ref="X462:X469" si="692">SUM(W462,T462,Q462)</f>
        <v>75</v>
      </c>
      <c r="Y462" s="53">
        <v>45495</v>
      </c>
    </row>
    <row r="463" spans="2:25" x14ac:dyDescent="0.15">
      <c r="B463" s="7" t="s">
        <v>275</v>
      </c>
      <c r="C463" s="30"/>
      <c r="D463" s="25"/>
      <c r="E463" s="43">
        <f t="shared" si="676"/>
        <v>0</v>
      </c>
      <c r="F463" s="35"/>
      <c r="G463" s="8">
        <v>6</v>
      </c>
      <c r="H463" s="43">
        <f t="shared" si="677"/>
        <v>6</v>
      </c>
      <c r="I463" s="35"/>
      <c r="J463" s="8"/>
      <c r="K463" s="43">
        <f t="shared" si="678"/>
        <v>0</v>
      </c>
      <c r="L463" s="8">
        <f t="shared" si="679"/>
        <v>6</v>
      </c>
      <c r="M463" s="53">
        <v>45496</v>
      </c>
      <c r="N463" s="7" t="s">
        <v>273</v>
      </c>
      <c r="O463" s="30">
        <v>10</v>
      </c>
      <c r="P463" s="25"/>
      <c r="Q463" s="43">
        <f t="shared" si="689"/>
        <v>10</v>
      </c>
      <c r="R463" s="35">
        <v>12</v>
      </c>
      <c r="S463" s="8">
        <v>16</v>
      </c>
      <c r="T463" s="43">
        <f t="shared" si="690"/>
        <v>28</v>
      </c>
      <c r="U463" s="35">
        <v>5</v>
      </c>
      <c r="V463" s="8">
        <v>10</v>
      </c>
      <c r="W463" s="43">
        <f t="shared" si="691"/>
        <v>15</v>
      </c>
      <c r="X463" s="8">
        <f t="shared" si="692"/>
        <v>53</v>
      </c>
      <c r="Y463" s="53">
        <v>45497</v>
      </c>
    </row>
    <row r="464" spans="2:25" x14ac:dyDescent="0.15">
      <c r="B464" s="7" t="s">
        <v>12</v>
      </c>
      <c r="C464" s="30"/>
      <c r="D464" s="25"/>
      <c r="E464" s="43">
        <f t="shared" si="676"/>
        <v>0</v>
      </c>
      <c r="F464" s="35"/>
      <c r="G464" s="8"/>
      <c r="H464" s="43">
        <f t="shared" si="677"/>
        <v>0</v>
      </c>
      <c r="I464" s="35"/>
      <c r="J464" s="8">
        <v>2</v>
      </c>
      <c r="K464" s="43">
        <f t="shared" si="678"/>
        <v>2</v>
      </c>
      <c r="L464" s="8">
        <f t="shared" si="679"/>
        <v>2</v>
      </c>
      <c r="M464" s="53">
        <v>45495</v>
      </c>
      <c r="N464" s="7" t="s">
        <v>97</v>
      </c>
      <c r="O464" s="30"/>
      <c r="P464" s="25"/>
      <c r="Q464" s="43">
        <f t="shared" si="689"/>
        <v>0</v>
      </c>
      <c r="R464" s="35"/>
      <c r="S464" s="8">
        <v>3</v>
      </c>
      <c r="T464" s="43">
        <f t="shared" si="690"/>
        <v>3</v>
      </c>
      <c r="U464" s="35">
        <v>3</v>
      </c>
      <c r="V464" s="8">
        <v>2</v>
      </c>
      <c r="W464" s="43">
        <f t="shared" si="691"/>
        <v>5</v>
      </c>
      <c r="X464" s="8">
        <f t="shared" si="692"/>
        <v>8</v>
      </c>
      <c r="Y464" s="53">
        <v>45495</v>
      </c>
    </row>
    <row r="465" spans="2:25" x14ac:dyDescent="0.15">
      <c r="B465" s="7" t="s">
        <v>278</v>
      </c>
      <c r="C465" s="30"/>
      <c r="D465" s="25"/>
      <c r="E465" s="43">
        <f t="shared" si="676"/>
        <v>0</v>
      </c>
      <c r="F465" s="35">
        <v>1</v>
      </c>
      <c r="G465" s="8">
        <v>2</v>
      </c>
      <c r="H465" s="43">
        <f t="shared" si="677"/>
        <v>3</v>
      </c>
      <c r="I465" s="35">
        <v>3</v>
      </c>
      <c r="J465" s="8">
        <v>2</v>
      </c>
      <c r="K465" s="43">
        <f t="shared" si="678"/>
        <v>5</v>
      </c>
      <c r="L465" s="8">
        <f t="shared" si="679"/>
        <v>8</v>
      </c>
      <c r="M465" s="53">
        <v>45498</v>
      </c>
      <c r="N465" s="7" t="s">
        <v>28</v>
      </c>
      <c r="O465" s="30"/>
      <c r="P465" s="25">
        <v>15</v>
      </c>
      <c r="Q465" s="43">
        <f t="shared" si="689"/>
        <v>15</v>
      </c>
      <c r="R465" s="35">
        <v>10</v>
      </c>
      <c r="S465" s="8">
        <v>10</v>
      </c>
      <c r="T465" s="43">
        <f t="shared" si="690"/>
        <v>20</v>
      </c>
      <c r="U465" s="35">
        <v>10</v>
      </c>
      <c r="V465" s="8">
        <v>10</v>
      </c>
      <c r="W465" s="43">
        <f t="shared" si="691"/>
        <v>20</v>
      </c>
      <c r="X465" s="8">
        <f t="shared" si="692"/>
        <v>55</v>
      </c>
      <c r="Y465" s="53">
        <v>45493</v>
      </c>
    </row>
    <row r="466" spans="2:25" x14ac:dyDescent="0.15">
      <c r="B466" s="7" t="s">
        <v>12</v>
      </c>
      <c r="C466" s="30">
        <v>2</v>
      </c>
      <c r="D466" s="25"/>
      <c r="E466" s="43">
        <f t="shared" si="676"/>
        <v>2</v>
      </c>
      <c r="F466" s="35"/>
      <c r="G466" s="8"/>
      <c r="H466" s="43">
        <f t="shared" si="677"/>
        <v>0</v>
      </c>
      <c r="I466" s="35">
        <v>1</v>
      </c>
      <c r="J466" s="8"/>
      <c r="K466" s="43">
        <f t="shared" si="678"/>
        <v>1</v>
      </c>
      <c r="L466" s="8">
        <f t="shared" si="679"/>
        <v>3</v>
      </c>
      <c r="M466" s="53">
        <v>45496</v>
      </c>
      <c r="N466" s="7" t="s">
        <v>279</v>
      </c>
      <c r="O466" s="30">
        <v>30</v>
      </c>
      <c r="P466" s="25">
        <v>15</v>
      </c>
      <c r="Q466" s="43">
        <f t="shared" si="689"/>
        <v>45</v>
      </c>
      <c r="R466" s="35"/>
      <c r="S466" s="8">
        <v>20</v>
      </c>
      <c r="T466" s="43">
        <f t="shared" si="690"/>
        <v>20</v>
      </c>
      <c r="U466" s="35">
        <v>15</v>
      </c>
      <c r="V466" s="8">
        <v>20</v>
      </c>
      <c r="W466" s="43">
        <f t="shared" si="691"/>
        <v>35</v>
      </c>
      <c r="X466" s="8">
        <f t="shared" si="692"/>
        <v>100</v>
      </c>
      <c r="Y466" s="53">
        <v>45497</v>
      </c>
    </row>
    <row r="467" spans="2:25" x14ac:dyDescent="0.15">
      <c r="B467" s="7" t="s">
        <v>280</v>
      </c>
      <c r="C467" s="30">
        <v>4</v>
      </c>
      <c r="D467" s="25"/>
      <c r="E467" s="43">
        <f t="shared" si="676"/>
        <v>4</v>
      </c>
      <c r="F467" s="35"/>
      <c r="G467" s="8">
        <v>3</v>
      </c>
      <c r="H467" s="43">
        <f t="shared" si="677"/>
        <v>3</v>
      </c>
      <c r="I467" s="35"/>
      <c r="J467" s="8"/>
      <c r="K467" s="43">
        <f t="shared" si="678"/>
        <v>0</v>
      </c>
      <c r="L467" s="8">
        <f t="shared" si="679"/>
        <v>7</v>
      </c>
      <c r="M467" s="53">
        <v>45499</v>
      </c>
      <c r="N467" s="7" t="s">
        <v>277</v>
      </c>
      <c r="O467" s="30">
        <v>1</v>
      </c>
      <c r="P467" s="25">
        <v>1</v>
      </c>
      <c r="Q467" s="43">
        <f t="shared" si="689"/>
        <v>2</v>
      </c>
      <c r="R467" s="35"/>
      <c r="S467" s="8"/>
      <c r="T467" s="43">
        <f t="shared" si="690"/>
        <v>0</v>
      </c>
      <c r="U467" s="35">
        <v>2</v>
      </c>
      <c r="V467" s="8"/>
      <c r="W467" s="43">
        <f t="shared" si="691"/>
        <v>2</v>
      </c>
      <c r="X467" s="8">
        <f t="shared" si="692"/>
        <v>4</v>
      </c>
      <c r="Y467" s="53">
        <v>45502</v>
      </c>
    </row>
    <row r="468" spans="2:25" x14ac:dyDescent="0.15">
      <c r="B468" s="7" t="s">
        <v>12</v>
      </c>
      <c r="C468" s="30"/>
      <c r="D468" s="25"/>
      <c r="E468" s="43">
        <f t="shared" si="676"/>
        <v>0</v>
      </c>
      <c r="F468" s="35"/>
      <c r="G468" s="8">
        <v>2</v>
      </c>
      <c r="H468" s="43">
        <f t="shared" si="677"/>
        <v>2</v>
      </c>
      <c r="I468" s="35">
        <v>3</v>
      </c>
      <c r="J468" s="8">
        <v>1</v>
      </c>
      <c r="K468" s="43">
        <f t="shared" si="678"/>
        <v>4</v>
      </c>
      <c r="L468" s="8">
        <f t="shared" si="679"/>
        <v>6</v>
      </c>
      <c r="M468" s="53">
        <v>45497</v>
      </c>
      <c r="N468" s="7" t="s">
        <v>281</v>
      </c>
      <c r="O468" s="30">
        <v>20</v>
      </c>
      <c r="P468" s="25">
        <v>5</v>
      </c>
      <c r="Q468" s="43">
        <f t="shared" si="689"/>
        <v>25</v>
      </c>
      <c r="R468" s="35">
        <v>20</v>
      </c>
      <c r="S468" s="8"/>
      <c r="T468" s="43">
        <f t="shared" si="690"/>
        <v>20</v>
      </c>
      <c r="U468" s="35"/>
      <c r="V468" s="8">
        <v>10</v>
      </c>
      <c r="W468" s="43">
        <f t="shared" si="691"/>
        <v>10</v>
      </c>
      <c r="X468" s="8">
        <f t="shared" si="692"/>
        <v>55</v>
      </c>
      <c r="Y468" s="53">
        <v>45498</v>
      </c>
    </row>
    <row r="469" spans="2:25" x14ac:dyDescent="0.15">
      <c r="B469" s="7" t="s">
        <v>283</v>
      </c>
      <c r="C469" s="30"/>
      <c r="D469" s="25"/>
      <c r="E469" s="43">
        <f t="shared" si="676"/>
        <v>0</v>
      </c>
      <c r="F469" s="35">
        <v>1</v>
      </c>
      <c r="G469" s="8"/>
      <c r="H469" s="43">
        <f t="shared" si="677"/>
        <v>1</v>
      </c>
      <c r="I469" s="35"/>
      <c r="J469" s="8">
        <v>1</v>
      </c>
      <c r="K469" s="43">
        <f t="shared" si="678"/>
        <v>1</v>
      </c>
      <c r="L469" s="8">
        <f t="shared" si="679"/>
        <v>2</v>
      </c>
      <c r="M469" s="53">
        <v>45499</v>
      </c>
      <c r="N469" s="7" t="s">
        <v>284</v>
      </c>
      <c r="O469" s="30"/>
      <c r="P469" s="25">
        <v>5</v>
      </c>
      <c r="Q469" s="43">
        <f t="shared" si="689"/>
        <v>5</v>
      </c>
      <c r="R469" s="35">
        <v>10</v>
      </c>
      <c r="S469" s="8">
        <v>15</v>
      </c>
      <c r="T469" s="43">
        <f t="shared" si="690"/>
        <v>25</v>
      </c>
      <c r="U469" s="35">
        <v>10</v>
      </c>
      <c r="V469" s="8">
        <v>15</v>
      </c>
      <c r="W469" s="43">
        <f t="shared" si="691"/>
        <v>25</v>
      </c>
      <c r="X469" s="8">
        <f t="shared" si="692"/>
        <v>55</v>
      </c>
      <c r="Y469" s="53">
        <v>45499</v>
      </c>
    </row>
    <row r="470" spans="2:25" x14ac:dyDescent="0.15">
      <c r="B470" s="7" t="s">
        <v>12</v>
      </c>
      <c r="C470" s="30"/>
      <c r="D470" s="25"/>
      <c r="E470" s="43">
        <f t="shared" si="676"/>
        <v>0</v>
      </c>
      <c r="F470" s="35">
        <v>1</v>
      </c>
      <c r="G470" s="8"/>
      <c r="H470" s="43">
        <f t="shared" si="677"/>
        <v>1</v>
      </c>
      <c r="I470" s="35"/>
      <c r="J470" s="8"/>
      <c r="K470" s="43">
        <f t="shared" si="678"/>
        <v>0</v>
      </c>
      <c r="L470" s="8">
        <f t="shared" si="679"/>
        <v>1</v>
      </c>
      <c r="M470" s="53">
        <v>45498</v>
      </c>
      <c r="N470" s="7" t="s">
        <v>285</v>
      </c>
      <c r="O470" s="30"/>
      <c r="P470" s="25">
        <v>2</v>
      </c>
      <c r="Q470" s="43">
        <f t="shared" si="672"/>
        <v>2</v>
      </c>
      <c r="R470" s="35"/>
      <c r="S470" s="8">
        <v>5</v>
      </c>
      <c r="T470" s="43">
        <f t="shared" si="673"/>
        <v>5</v>
      </c>
      <c r="U470" s="35"/>
      <c r="V470" s="8">
        <v>2</v>
      </c>
      <c r="W470" s="43">
        <f t="shared" si="674"/>
        <v>2</v>
      </c>
      <c r="X470" s="8">
        <f t="shared" si="675"/>
        <v>9</v>
      </c>
      <c r="Y470" s="53">
        <v>45500</v>
      </c>
    </row>
    <row r="471" spans="2:25" x14ac:dyDescent="0.15">
      <c r="B471" s="7" t="s">
        <v>102</v>
      </c>
      <c r="C471" s="30"/>
      <c r="D471" s="25"/>
      <c r="E471" s="43">
        <f t="shared" si="676"/>
        <v>0</v>
      </c>
      <c r="F471" s="35">
        <v>1</v>
      </c>
      <c r="G471" s="8"/>
      <c r="H471" s="43">
        <f t="shared" si="677"/>
        <v>1</v>
      </c>
      <c r="I471" s="35"/>
      <c r="J471" s="8"/>
      <c r="K471" s="43">
        <f t="shared" si="678"/>
        <v>0</v>
      </c>
      <c r="L471" s="8">
        <f t="shared" si="679"/>
        <v>1</v>
      </c>
      <c r="M471" s="53">
        <v>45502</v>
      </c>
      <c r="N471" s="7" t="s">
        <v>289</v>
      </c>
      <c r="O471" s="30">
        <v>3</v>
      </c>
      <c r="P471" s="25">
        <v>2</v>
      </c>
      <c r="Q471" s="43">
        <f t="shared" si="672"/>
        <v>5</v>
      </c>
      <c r="R471" s="35"/>
      <c r="S471" s="8"/>
      <c r="T471" s="43">
        <f t="shared" si="673"/>
        <v>0</v>
      </c>
      <c r="U471" s="35">
        <v>2</v>
      </c>
      <c r="V471" s="8">
        <v>3</v>
      </c>
      <c r="W471" s="43">
        <f t="shared" si="674"/>
        <v>5</v>
      </c>
      <c r="X471" s="8">
        <f t="shared" si="675"/>
        <v>10</v>
      </c>
      <c r="Y471" s="53">
        <v>45509</v>
      </c>
    </row>
    <row r="472" spans="2:25" x14ac:dyDescent="0.15">
      <c r="B472" s="7" t="s">
        <v>287</v>
      </c>
      <c r="C472" s="30"/>
      <c r="D472" s="25"/>
      <c r="E472" s="43">
        <f t="shared" si="676"/>
        <v>0</v>
      </c>
      <c r="F472" s="35">
        <v>1</v>
      </c>
      <c r="G472" s="8">
        <v>1</v>
      </c>
      <c r="H472" s="43">
        <f t="shared" si="677"/>
        <v>2</v>
      </c>
      <c r="I472" s="35"/>
      <c r="J472" s="8"/>
      <c r="K472" s="43">
        <f t="shared" si="678"/>
        <v>0</v>
      </c>
      <c r="L472" s="8">
        <f t="shared" si="679"/>
        <v>2</v>
      </c>
      <c r="M472" s="53">
        <v>45504</v>
      </c>
      <c r="N472" s="7" t="s">
        <v>282</v>
      </c>
      <c r="O472" s="30">
        <v>5</v>
      </c>
      <c r="P472" s="25"/>
      <c r="Q472" s="43">
        <f t="shared" si="672"/>
        <v>5</v>
      </c>
      <c r="R472" s="35"/>
      <c r="S472" s="8"/>
      <c r="T472" s="43">
        <f t="shared" si="673"/>
        <v>0</v>
      </c>
      <c r="U472" s="35">
        <v>5</v>
      </c>
      <c r="V472" s="8"/>
      <c r="W472" s="43">
        <f t="shared" si="674"/>
        <v>5</v>
      </c>
      <c r="X472" s="8">
        <f t="shared" si="675"/>
        <v>10</v>
      </c>
      <c r="Y472" s="53">
        <v>45510</v>
      </c>
    </row>
    <row r="473" spans="2:25" x14ac:dyDescent="0.15">
      <c r="B473" s="7" t="s">
        <v>288</v>
      </c>
      <c r="C473" s="30"/>
      <c r="D473" s="25"/>
      <c r="E473" s="43">
        <f t="shared" si="676"/>
        <v>0</v>
      </c>
      <c r="F473" s="35">
        <v>3</v>
      </c>
      <c r="G473" s="8"/>
      <c r="H473" s="43">
        <f t="shared" si="677"/>
        <v>3</v>
      </c>
      <c r="I473" s="35"/>
      <c r="J473" s="8"/>
      <c r="K473" s="43">
        <f t="shared" si="678"/>
        <v>0</v>
      </c>
      <c r="L473" s="8">
        <f t="shared" si="679"/>
        <v>3</v>
      </c>
      <c r="M473" s="53">
        <v>45503</v>
      </c>
      <c r="N473" s="7" t="s">
        <v>295</v>
      </c>
      <c r="O473" s="30">
        <v>2</v>
      </c>
      <c r="P473" s="25">
        <v>4</v>
      </c>
      <c r="Q473" s="43">
        <f t="shared" si="672"/>
        <v>6</v>
      </c>
      <c r="R473" s="35"/>
      <c r="S473" s="8"/>
      <c r="T473" s="43">
        <f t="shared" si="673"/>
        <v>0</v>
      </c>
      <c r="U473" s="35"/>
      <c r="V473" s="8">
        <v>3</v>
      </c>
      <c r="W473" s="43">
        <f t="shared" si="674"/>
        <v>3</v>
      </c>
      <c r="X473" s="8">
        <f t="shared" si="675"/>
        <v>9</v>
      </c>
      <c r="Y473" s="53">
        <v>45513</v>
      </c>
    </row>
    <row r="474" spans="2:25" x14ac:dyDescent="0.15">
      <c r="B474" s="7" t="s">
        <v>12</v>
      </c>
      <c r="C474" s="30">
        <v>2</v>
      </c>
      <c r="D474" s="25"/>
      <c r="E474" s="43">
        <f t="shared" si="676"/>
        <v>2</v>
      </c>
      <c r="F474" s="35"/>
      <c r="G474" s="8">
        <v>2</v>
      </c>
      <c r="H474" s="43">
        <f t="shared" si="677"/>
        <v>2</v>
      </c>
      <c r="I474" s="35">
        <v>3</v>
      </c>
      <c r="J474" s="8">
        <v>1</v>
      </c>
      <c r="K474" s="43">
        <f t="shared" si="678"/>
        <v>4</v>
      </c>
      <c r="L474" s="8">
        <f t="shared" si="679"/>
        <v>8</v>
      </c>
      <c r="M474" s="53">
        <v>45502</v>
      </c>
      <c r="N474" s="7" t="s">
        <v>299</v>
      </c>
      <c r="O474" s="30">
        <v>110</v>
      </c>
      <c r="P474" s="25">
        <v>50</v>
      </c>
      <c r="Q474" s="43">
        <f t="shared" si="672"/>
        <v>160</v>
      </c>
      <c r="R474" s="35">
        <v>140</v>
      </c>
      <c r="S474" s="8">
        <v>110</v>
      </c>
      <c r="T474" s="43">
        <f t="shared" si="673"/>
        <v>250</v>
      </c>
      <c r="U474" s="35">
        <v>60</v>
      </c>
      <c r="V474" s="8">
        <v>130</v>
      </c>
      <c r="W474" s="43">
        <f t="shared" si="674"/>
        <v>190</v>
      </c>
      <c r="X474" s="8">
        <f t="shared" si="675"/>
        <v>600</v>
      </c>
      <c r="Y474" s="53">
        <v>45512</v>
      </c>
    </row>
    <row r="475" spans="2:25" x14ac:dyDescent="0.15">
      <c r="B475" s="7" t="s">
        <v>290</v>
      </c>
      <c r="C475" s="30"/>
      <c r="D475" s="25"/>
      <c r="E475" s="43">
        <f t="shared" si="676"/>
        <v>0</v>
      </c>
      <c r="F475" s="35"/>
      <c r="G475" s="8"/>
      <c r="H475" s="43">
        <f t="shared" si="677"/>
        <v>0</v>
      </c>
      <c r="I475" s="35">
        <v>2</v>
      </c>
      <c r="J475" s="8">
        <v>1</v>
      </c>
      <c r="K475" s="43">
        <f t="shared" si="678"/>
        <v>3</v>
      </c>
      <c r="L475" s="8">
        <f t="shared" si="679"/>
        <v>3</v>
      </c>
      <c r="M475" s="53">
        <v>45505</v>
      </c>
      <c r="N475" s="7" t="s">
        <v>300</v>
      </c>
      <c r="O475" s="30">
        <v>30</v>
      </c>
      <c r="P475" s="25">
        <v>25</v>
      </c>
      <c r="Q475" s="43">
        <f t="shared" si="672"/>
        <v>55</v>
      </c>
      <c r="R475" s="35"/>
      <c r="S475" s="8">
        <v>10</v>
      </c>
      <c r="T475" s="43">
        <f t="shared" si="673"/>
        <v>10</v>
      </c>
      <c r="U475" s="35"/>
      <c r="V475" s="8"/>
      <c r="W475" s="43">
        <f t="shared" si="674"/>
        <v>0</v>
      </c>
      <c r="X475" s="8">
        <f t="shared" si="675"/>
        <v>65</v>
      </c>
      <c r="Y475" s="53">
        <v>45512</v>
      </c>
    </row>
    <row r="476" spans="2:25" x14ac:dyDescent="0.15">
      <c r="B476" s="7" t="s">
        <v>292</v>
      </c>
      <c r="C476" s="30"/>
      <c r="D476" s="25">
        <v>1</v>
      </c>
      <c r="E476" s="43">
        <f t="shared" si="676"/>
        <v>1</v>
      </c>
      <c r="F476" s="35"/>
      <c r="G476" s="8"/>
      <c r="H476" s="43">
        <f t="shared" si="677"/>
        <v>0</v>
      </c>
      <c r="I476" s="35"/>
      <c r="J476" s="8">
        <v>1</v>
      </c>
      <c r="K476" s="43">
        <f t="shared" si="678"/>
        <v>1</v>
      </c>
      <c r="L476" s="8">
        <f t="shared" si="679"/>
        <v>2</v>
      </c>
      <c r="M476" s="53">
        <v>45506</v>
      </c>
      <c r="N476" s="7" t="s">
        <v>301</v>
      </c>
      <c r="O476" s="30">
        <v>30</v>
      </c>
      <c r="P476" s="25">
        <v>20</v>
      </c>
      <c r="Q476" s="43">
        <f t="shared" si="672"/>
        <v>50</v>
      </c>
      <c r="R476" s="35">
        <v>10</v>
      </c>
      <c r="S476" s="8">
        <v>20</v>
      </c>
      <c r="T476" s="43">
        <f t="shared" si="673"/>
        <v>30</v>
      </c>
      <c r="U476" s="35">
        <v>10</v>
      </c>
      <c r="V476" s="8">
        <v>20</v>
      </c>
      <c r="W476" s="43">
        <f t="shared" si="674"/>
        <v>30</v>
      </c>
      <c r="X476" s="8">
        <f t="shared" si="675"/>
        <v>110</v>
      </c>
      <c r="Y476" s="53">
        <v>45513</v>
      </c>
    </row>
    <row r="477" spans="2:25" x14ac:dyDescent="0.15">
      <c r="B477" s="7" t="s">
        <v>12</v>
      </c>
      <c r="C477" s="30"/>
      <c r="D477" s="25">
        <v>2</v>
      </c>
      <c r="E477" s="43">
        <f t="shared" si="676"/>
        <v>2</v>
      </c>
      <c r="F477" s="35"/>
      <c r="G477" s="8"/>
      <c r="H477" s="43">
        <f t="shared" si="677"/>
        <v>0</v>
      </c>
      <c r="I477" s="35">
        <v>1</v>
      </c>
      <c r="J477" s="8">
        <v>2</v>
      </c>
      <c r="K477" s="43">
        <f t="shared" si="678"/>
        <v>3</v>
      </c>
      <c r="L477" s="8">
        <f t="shared" si="679"/>
        <v>5</v>
      </c>
      <c r="M477" s="53">
        <v>45504</v>
      </c>
      <c r="N477" s="7" t="s">
        <v>303</v>
      </c>
      <c r="O477" s="30"/>
      <c r="P477" s="25">
        <v>20</v>
      </c>
      <c r="Q477" s="43">
        <f t="shared" si="672"/>
        <v>20</v>
      </c>
      <c r="R477" s="35"/>
      <c r="S477" s="8"/>
      <c r="T477" s="43">
        <f t="shared" si="673"/>
        <v>0</v>
      </c>
      <c r="U477" s="35"/>
      <c r="V477" s="8"/>
      <c r="W477" s="43">
        <f t="shared" si="674"/>
        <v>0</v>
      </c>
      <c r="X477" s="8">
        <f t="shared" si="675"/>
        <v>20</v>
      </c>
      <c r="Y477" s="53">
        <v>45514</v>
      </c>
    </row>
    <row r="478" spans="2:25" x14ac:dyDescent="0.15">
      <c r="B478" s="7" t="s">
        <v>293</v>
      </c>
      <c r="C478" s="30"/>
      <c r="D478" s="25"/>
      <c r="E478" s="43">
        <f t="shared" si="676"/>
        <v>0</v>
      </c>
      <c r="F478" s="35"/>
      <c r="G478" s="8">
        <v>1</v>
      </c>
      <c r="H478" s="43">
        <f t="shared" si="677"/>
        <v>1</v>
      </c>
      <c r="I478" s="35"/>
      <c r="J478" s="8">
        <v>2</v>
      </c>
      <c r="K478" s="43">
        <f t="shared" si="678"/>
        <v>2</v>
      </c>
      <c r="L478" s="8">
        <f t="shared" si="679"/>
        <v>3</v>
      </c>
      <c r="M478" s="53">
        <v>45506</v>
      </c>
      <c r="N478" s="7" t="s">
        <v>28</v>
      </c>
      <c r="O478" s="30"/>
      <c r="P478" s="25"/>
      <c r="Q478" s="43">
        <f t="shared" si="672"/>
        <v>0</v>
      </c>
      <c r="R478" s="35"/>
      <c r="S478" s="8">
        <v>5</v>
      </c>
      <c r="T478" s="43">
        <f t="shared" si="673"/>
        <v>5</v>
      </c>
      <c r="U478" s="35"/>
      <c r="V478" s="8"/>
      <c r="W478" s="43">
        <f t="shared" si="674"/>
        <v>0</v>
      </c>
      <c r="X478" s="8">
        <f t="shared" si="675"/>
        <v>5</v>
      </c>
      <c r="Y478" s="53">
        <v>45521</v>
      </c>
    </row>
    <row r="479" spans="2:25" x14ac:dyDescent="0.15">
      <c r="B479" s="7" t="s">
        <v>294</v>
      </c>
      <c r="C479" s="30"/>
      <c r="D479" s="25"/>
      <c r="E479" s="43">
        <f t="shared" si="676"/>
        <v>0</v>
      </c>
      <c r="F479" s="35"/>
      <c r="G479" s="8"/>
      <c r="H479" s="43">
        <f t="shared" si="677"/>
        <v>0</v>
      </c>
      <c r="I479" s="35">
        <v>1</v>
      </c>
      <c r="J479" s="8"/>
      <c r="K479" s="43">
        <f t="shared" si="678"/>
        <v>1</v>
      </c>
      <c r="L479" s="8">
        <f t="shared" si="679"/>
        <v>1</v>
      </c>
      <c r="M479" s="53">
        <v>45509</v>
      </c>
      <c r="N479" s="7"/>
      <c r="O479" s="30"/>
      <c r="P479" s="25"/>
      <c r="Q479" s="43">
        <f t="shared" ref="Q479:Q484" si="693">SUM(O479:P479)</f>
        <v>0</v>
      </c>
      <c r="R479" s="35"/>
      <c r="S479" s="8"/>
      <c r="T479" s="43">
        <f t="shared" ref="T479:T484" si="694">SUM(R479:S479)</f>
        <v>0</v>
      </c>
      <c r="U479" s="35"/>
      <c r="V479" s="8"/>
      <c r="W479" s="43">
        <f t="shared" ref="W479:W484" si="695">SUM(U479:V479)</f>
        <v>0</v>
      </c>
      <c r="X479" s="8">
        <f t="shared" ref="X479:X484" si="696">SUM(W479,T479,Q479)</f>
        <v>0</v>
      </c>
    </row>
    <row r="480" spans="2:25" x14ac:dyDescent="0.15">
      <c r="B480" s="7" t="s">
        <v>12</v>
      </c>
      <c r="C480" s="30"/>
      <c r="D480" s="25"/>
      <c r="E480" s="43">
        <f t="shared" si="676"/>
        <v>0</v>
      </c>
      <c r="F480" s="35">
        <v>1</v>
      </c>
      <c r="G480" s="8"/>
      <c r="H480" s="43">
        <f t="shared" si="677"/>
        <v>1</v>
      </c>
      <c r="I480" s="35"/>
      <c r="J480" s="8"/>
      <c r="K480" s="43">
        <f t="shared" si="678"/>
        <v>0</v>
      </c>
      <c r="L480" s="8">
        <f t="shared" si="679"/>
        <v>1</v>
      </c>
      <c r="M480" s="53">
        <v>45506</v>
      </c>
      <c r="N480" s="7"/>
      <c r="O480" s="30"/>
      <c r="P480" s="25"/>
      <c r="Q480" s="43">
        <f t="shared" si="693"/>
        <v>0</v>
      </c>
      <c r="R480" s="35"/>
      <c r="S480" s="8"/>
      <c r="T480" s="43">
        <f t="shared" si="694"/>
        <v>0</v>
      </c>
      <c r="U480" s="35"/>
      <c r="V480" s="8"/>
      <c r="W480" s="43">
        <f t="shared" si="695"/>
        <v>0</v>
      </c>
      <c r="X480" s="8">
        <f t="shared" si="696"/>
        <v>0</v>
      </c>
    </row>
    <row r="481" spans="2:25" x14ac:dyDescent="0.15">
      <c r="B481" s="7" t="s">
        <v>12</v>
      </c>
      <c r="C481" s="30">
        <v>2</v>
      </c>
      <c r="D481" s="25"/>
      <c r="E481" s="43">
        <f t="shared" si="676"/>
        <v>2</v>
      </c>
      <c r="F481" s="35"/>
      <c r="G481" s="8">
        <v>4</v>
      </c>
      <c r="H481" s="43">
        <f t="shared" si="677"/>
        <v>4</v>
      </c>
      <c r="I481" s="35"/>
      <c r="J481" s="8">
        <v>1</v>
      </c>
      <c r="K481" s="43">
        <f t="shared" si="678"/>
        <v>1</v>
      </c>
      <c r="L481" s="8">
        <f t="shared" si="679"/>
        <v>7</v>
      </c>
      <c r="M481" s="53">
        <v>45509</v>
      </c>
      <c r="N481" s="115" t="s">
        <v>263</v>
      </c>
      <c r="O481" s="116"/>
      <c r="P481" s="112"/>
      <c r="Q481" s="117">
        <f t="shared" si="693"/>
        <v>0</v>
      </c>
      <c r="R481" s="116"/>
      <c r="S481" s="112"/>
      <c r="T481" s="117">
        <f t="shared" si="694"/>
        <v>0</v>
      </c>
      <c r="U481" s="118"/>
      <c r="V481" s="119"/>
      <c r="W481" s="117">
        <f t="shared" si="695"/>
        <v>0</v>
      </c>
      <c r="X481" s="119">
        <f t="shared" si="696"/>
        <v>0</v>
      </c>
      <c r="Y481" s="101"/>
    </row>
    <row r="482" spans="2:25" x14ac:dyDescent="0.15">
      <c r="B482" s="7" t="s">
        <v>296</v>
      </c>
      <c r="C482" s="30"/>
      <c r="D482" s="25"/>
      <c r="E482" s="43">
        <f t="shared" si="676"/>
        <v>0</v>
      </c>
      <c r="F482" s="35"/>
      <c r="G482" s="8"/>
      <c r="H482" s="43">
        <f t="shared" si="677"/>
        <v>0</v>
      </c>
      <c r="I482" s="35">
        <v>3</v>
      </c>
      <c r="J482" s="8"/>
      <c r="K482" s="43">
        <f t="shared" si="678"/>
        <v>3</v>
      </c>
      <c r="L482" s="8">
        <f t="shared" si="679"/>
        <v>3</v>
      </c>
      <c r="M482" s="53">
        <v>45512</v>
      </c>
      <c r="N482" s="7" t="s">
        <v>230</v>
      </c>
      <c r="O482" s="30"/>
      <c r="P482" s="25"/>
      <c r="Q482" s="43">
        <f t="shared" si="693"/>
        <v>0</v>
      </c>
      <c r="R482" s="35"/>
      <c r="S482" s="8"/>
      <c r="T482" s="43">
        <f t="shared" si="694"/>
        <v>0</v>
      </c>
      <c r="U482" s="35"/>
      <c r="V482" s="8"/>
      <c r="W482" s="43">
        <f t="shared" si="695"/>
        <v>0</v>
      </c>
      <c r="X482" s="8">
        <f t="shared" si="696"/>
        <v>0</v>
      </c>
      <c r="Y482" s="52" t="s">
        <v>231</v>
      </c>
    </row>
    <row r="483" spans="2:25" x14ac:dyDescent="0.15">
      <c r="B483" s="7" t="s">
        <v>12</v>
      </c>
      <c r="C483" s="30"/>
      <c r="D483" s="25"/>
      <c r="E483" s="43">
        <f t="shared" si="676"/>
        <v>0</v>
      </c>
      <c r="F483" s="35">
        <v>2</v>
      </c>
      <c r="G483" s="8">
        <v>2</v>
      </c>
      <c r="H483" s="43">
        <f t="shared" si="677"/>
        <v>4</v>
      </c>
      <c r="I483" s="35">
        <v>3</v>
      </c>
      <c r="J483" s="8"/>
      <c r="K483" s="43">
        <f t="shared" si="678"/>
        <v>3</v>
      </c>
      <c r="L483" s="8">
        <f t="shared" si="679"/>
        <v>7</v>
      </c>
      <c r="M483" s="53">
        <v>45507</v>
      </c>
      <c r="N483" s="7" t="s">
        <v>308</v>
      </c>
      <c r="O483" s="30"/>
      <c r="P483" s="25"/>
      <c r="Q483" s="43">
        <f t="shared" si="693"/>
        <v>0</v>
      </c>
      <c r="R483" s="35"/>
      <c r="S483" s="8"/>
      <c r="T483" s="43">
        <f t="shared" si="694"/>
        <v>0</v>
      </c>
      <c r="U483" s="35"/>
      <c r="V483" s="8"/>
      <c r="W483" s="43">
        <f t="shared" si="695"/>
        <v>0</v>
      </c>
      <c r="X483" s="8">
        <f t="shared" si="696"/>
        <v>0</v>
      </c>
      <c r="Y483" s="53">
        <v>45509</v>
      </c>
    </row>
    <row r="484" spans="2:25" x14ac:dyDescent="0.15">
      <c r="B484" s="7" t="s">
        <v>116</v>
      </c>
      <c r="C484" s="30"/>
      <c r="D484" s="25"/>
      <c r="E484" s="43">
        <f t="shared" si="676"/>
        <v>0</v>
      </c>
      <c r="F484" s="35"/>
      <c r="G484" s="8"/>
      <c r="H484" s="43">
        <f t="shared" si="677"/>
        <v>0</v>
      </c>
      <c r="I484" s="35"/>
      <c r="J484" s="8">
        <v>1</v>
      </c>
      <c r="K484" s="43">
        <f t="shared" si="678"/>
        <v>1</v>
      </c>
      <c r="L484" s="8">
        <f t="shared" si="679"/>
        <v>1</v>
      </c>
      <c r="M484" s="53">
        <v>45513</v>
      </c>
      <c r="N484" s="7" t="s">
        <v>264</v>
      </c>
      <c r="O484" s="30"/>
      <c r="P484" s="25"/>
      <c r="Q484" s="43">
        <f t="shared" si="693"/>
        <v>0</v>
      </c>
      <c r="R484" s="35"/>
      <c r="S484" s="8"/>
      <c r="T484" s="43">
        <f t="shared" si="694"/>
        <v>0</v>
      </c>
      <c r="U484" s="35"/>
      <c r="V484" s="8"/>
      <c r="W484" s="43">
        <f t="shared" si="695"/>
        <v>0</v>
      </c>
      <c r="X484" s="8">
        <f t="shared" si="696"/>
        <v>0</v>
      </c>
      <c r="Y484" s="52" t="s">
        <v>265</v>
      </c>
    </row>
    <row r="485" spans="2:25" ht="14.25" thickBot="1" x14ac:dyDescent="0.2">
      <c r="B485" s="7" t="s">
        <v>12</v>
      </c>
      <c r="C485" s="30">
        <v>2</v>
      </c>
      <c r="D485" s="25">
        <v>3</v>
      </c>
      <c r="E485" s="43">
        <f t="shared" si="676"/>
        <v>5</v>
      </c>
      <c r="F485" s="35"/>
      <c r="G485" s="8"/>
      <c r="H485" s="43">
        <f t="shared" si="677"/>
        <v>0</v>
      </c>
      <c r="I485" s="35"/>
      <c r="J485" s="8"/>
      <c r="K485" s="43">
        <f t="shared" si="678"/>
        <v>0</v>
      </c>
      <c r="L485" s="8">
        <f t="shared" si="679"/>
        <v>5</v>
      </c>
      <c r="M485" s="53">
        <v>45511</v>
      </c>
      <c r="N485" s="7" t="s">
        <v>240</v>
      </c>
      <c r="O485" s="30"/>
      <c r="P485" s="25"/>
      <c r="Q485" s="43">
        <f t="shared" ref="Q485" si="697">SUM(O485:P485)</f>
        <v>0</v>
      </c>
      <c r="R485" s="35"/>
      <c r="S485" s="8"/>
      <c r="T485" s="43">
        <f t="shared" ref="T485" si="698">SUM(R485:S485)</f>
        <v>0</v>
      </c>
      <c r="U485" s="35"/>
      <c r="V485" s="8"/>
      <c r="W485" s="43">
        <f t="shared" ref="W485" si="699">SUM(U485:V485)</f>
        <v>0</v>
      </c>
      <c r="X485" s="8">
        <f t="shared" ref="X485" si="700">SUM(W485,T485,Q485)</f>
        <v>0</v>
      </c>
      <c r="Y485" s="52" t="s">
        <v>239</v>
      </c>
    </row>
    <row r="486" spans="2:25" ht="14.25" thickBot="1" x14ac:dyDescent="0.2">
      <c r="B486" s="5" t="s">
        <v>1</v>
      </c>
      <c r="C486" s="32">
        <f>SUM(C461:C485)</f>
        <v>13</v>
      </c>
      <c r="D486" s="19">
        <f>SUM(D461:D485)</f>
        <v>6</v>
      </c>
      <c r="E486" s="44">
        <f t="shared" si="676"/>
        <v>19</v>
      </c>
      <c r="F486" s="32">
        <f>SUM(F461:F485)</f>
        <v>15</v>
      </c>
      <c r="G486" s="19">
        <f>SUM(G461:G485)</f>
        <v>23</v>
      </c>
      <c r="H486" s="44">
        <f t="shared" si="677"/>
        <v>38</v>
      </c>
      <c r="I486" s="32">
        <f>SUM(I461:I485)</f>
        <v>20</v>
      </c>
      <c r="J486" s="19">
        <f>SUM(J461:J485)</f>
        <v>16</v>
      </c>
      <c r="K486" s="44">
        <f t="shared" si="678"/>
        <v>36</v>
      </c>
      <c r="L486" s="4">
        <f t="shared" si="679"/>
        <v>93</v>
      </c>
      <c r="N486" s="5" t="s">
        <v>1</v>
      </c>
      <c r="O486" s="32">
        <f>SUM(O461:O485)</f>
        <v>252</v>
      </c>
      <c r="P486" s="19">
        <f t="shared" ref="P486" si="701">SUM(P461:P485)</f>
        <v>182</v>
      </c>
      <c r="Q486" s="44">
        <f t="shared" ref="Q486" si="702">SUM(Q461:Q485)</f>
        <v>434</v>
      </c>
      <c r="R486" s="32">
        <f t="shared" ref="R486" si="703">SUM(R461:R485)</f>
        <v>216</v>
      </c>
      <c r="S486" s="19">
        <f t="shared" ref="S486" si="704">SUM(S461:S485)</f>
        <v>229</v>
      </c>
      <c r="T486" s="44">
        <f t="shared" ref="T486" si="705">SUM(T461:T485)</f>
        <v>445</v>
      </c>
      <c r="U486" s="32">
        <f t="shared" ref="U486" si="706">SUM(U461:U485)</f>
        <v>135</v>
      </c>
      <c r="V486" s="19">
        <f t="shared" ref="V486" si="707">SUM(V461:V485)</f>
        <v>242</v>
      </c>
      <c r="W486" s="44">
        <f t="shared" ref="W486" si="708">SUM(W461:W485)</f>
        <v>377</v>
      </c>
      <c r="X486" s="4">
        <f t="shared" ref="X486" si="709">SUM(X461:X485)</f>
        <v>1256</v>
      </c>
    </row>
    <row r="487" spans="2:25" ht="14.25" thickBot="1" x14ac:dyDescent="0.2">
      <c r="B487" s="3" t="s">
        <v>0</v>
      </c>
      <c r="C487" s="34">
        <f>+C460-C486</f>
        <v>25</v>
      </c>
      <c r="D487" s="2">
        <f>+D460-D486</f>
        <v>25</v>
      </c>
      <c r="E487" s="45">
        <f t="shared" si="676"/>
        <v>50</v>
      </c>
      <c r="F487" s="34">
        <f>+F460-F486</f>
        <v>21</v>
      </c>
      <c r="G487" s="2">
        <f>+G460-G486</f>
        <v>10</v>
      </c>
      <c r="H487" s="45">
        <f t="shared" si="677"/>
        <v>31</v>
      </c>
      <c r="I487" s="34">
        <f>+I460-I486</f>
        <v>25</v>
      </c>
      <c r="J487" s="2">
        <f>+J460-J486</f>
        <v>20</v>
      </c>
      <c r="K487" s="45">
        <f t="shared" si="678"/>
        <v>45</v>
      </c>
      <c r="L487" s="2">
        <f t="shared" si="679"/>
        <v>126</v>
      </c>
      <c r="N487" s="59" t="s">
        <v>0</v>
      </c>
      <c r="O487" s="34">
        <f>+O460-O486</f>
        <v>390</v>
      </c>
      <c r="P487" s="2">
        <f t="shared" ref="P487" si="710">+P460-P486</f>
        <v>458</v>
      </c>
      <c r="Q487" s="45">
        <f t="shared" ref="Q487" si="711">+Q460-Q486</f>
        <v>848</v>
      </c>
      <c r="R487" s="34">
        <f t="shared" ref="R487" si="712">+R460-R486</f>
        <v>413</v>
      </c>
      <c r="S487" s="2">
        <f t="shared" ref="S487" si="713">+S460-S486</f>
        <v>561</v>
      </c>
      <c r="T487" s="45">
        <f t="shared" ref="T487" si="714">+T460-T486</f>
        <v>974</v>
      </c>
      <c r="U487" s="34">
        <f t="shared" ref="U487" si="715">+U460-U486</f>
        <v>539</v>
      </c>
      <c r="V487" s="2">
        <f t="shared" ref="V487" si="716">+V460-V486</f>
        <v>573</v>
      </c>
      <c r="W487" s="45">
        <f t="shared" ref="W487" si="717">+W460-W486</f>
        <v>1112</v>
      </c>
      <c r="X487" s="2">
        <f t="shared" ref="X487" si="718">+X460-X486</f>
        <v>2934</v>
      </c>
    </row>
    <row r="488" spans="2:25" x14ac:dyDescent="0.15">
      <c r="N488" s="120" t="s">
        <v>320</v>
      </c>
      <c r="O488">
        <f>O474+O475+O476</f>
        <v>170</v>
      </c>
      <c r="P488">
        <f>P474+P475+P476+P477</f>
        <v>115</v>
      </c>
      <c r="Q488">
        <f>SUM(O488:P488)</f>
        <v>285</v>
      </c>
      <c r="R488">
        <f>R474+R476</f>
        <v>150</v>
      </c>
      <c r="S488">
        <f>S474+S475+S476</f>
        <v>140</v>
      </c>
      <c r="T488">
        <f>SUM(R488:S488)</f>
        <v>290</v>
      </c>
      <c r="U488">
        <f>U474+U476</f>
        <v>70</v>
      </c>
      <c r="V488">
        <f>V474+V476</f>
        <v>150</v>
      </c>
      <c r="W488">
        <f>SUM(U488:V488)</f>
        <v>220</v>
      </c>
      <c r="X488">
        <f t="shared" si="675"/>
        <v>795</v>
      </c>
    </row>
    <row r="489" spans="2:25" x14ac:dyDescent="0.15">
      <c r="N489" s="120"/>
    </row>
    <row r="491" spans="2:25" ht="18.75" x14ac:dyDescent="0.2">
      <c r="B491" s="23" t="s">
        <v>11</v>
      </c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N491" s="47" t="s">
        <v>25</v>
      </c>
      <c r="O491" s="48"/>
      <c r="P491" s="48"/>
      <c r="Q491" s="48"/>
      <c r="R491" s="48"/>
      <c r="S491" s="48"/>
      <c r="T491" s="48"/>
      <c r="U491" s="48"/>
      <c r="V491" s="48"/>
      <c r="W491" s="48"/>
      <c r="X491" s="48"/>
    </row>
    <row r="492" spans="2:25" ht="15" thickBot="1" x14ac:dyDescent="0.2">
      <c r="B492" s="22" t="s">
        <v>147</v>
      </c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N492" s="49" t="s">
        <v>148</v>
      </c>
      <c r="O492" s="48"/>
      <c r="P492" s="48"/>
      <c r="Q492" s="48"/>
      <c r="R492" s="48"/>
      <c r="S492" s="48"/>
      <c r="T492" s="48"/>
      <c r="U492" s="48"/>
      <c r="V492" s="48"/>
      <c r="W492" s="48"/>
      <c r="X492" s="48"/>
    </row>
    <row r="493" spans="2:25" ht="14.25" thickBot="1" x14ac:dyDescent="0.2">
      <c r="B493" s="20"/>
      <c r="C493" s="208" t="s">
        <v>9</v>
      </c>
      <c r="D493" s="209"/>
      <c r="E493" s="210"/>
      <c r="F493" s="208" t="s">
        <v>8</v>
      </c>
      <c r="G493" s="209"/>
      <c r="H493" s="210"/>
      <c r="I493" s="208" t="s">
        <v>7</v>
      </c>
      <c r="J493" s="209"/>
      <c r="K493" s="210"/>
      <c r="L493" s="19"/>
      <c r="N493" s="20"/>
      <c r="O493" s="113" t="s">
        <v>9</v>
      </c>
      <c r="P493" s="114"/>
      <c r="Q493" s="46"/>
      <c r="R493" s="113" t="s">
        <v>8</v>
      </c>
      <c r="S493" s="114"/>
      <c r="T493" s="46"/>
      <c r="U493" s="113" t="s">
        <v>7</v>
      </c>
      <c r="V493" s="114"/>
      <c r="W493" s="46"/>
      <c r="X493" s="19"/>
    </row>
    <row r="494" spans="2:25" ht="14.25" thickBot="1" x14ac:dyDescent="0.2">
      <c r="B494" s="18"/>
      <c r="C494" s="28" t="s">
        <v>6</v>
      </c>
      <c r="D494" s="17" t="s">
        <v>5</v>
      </c>
      <c r="E494" s="38" t="s">
        <v>4</v>
      </c>
      <c r="F494" s="28" t="s">
        <v>6</v>
      </c>
      <c r="G494" s="17" t="s">
        <v>5</v>
      </c>
      <c r="H494" s="38" t="s">
        <v>4</v>
      </c>
      <c r="I494" s="28" t="s">
        <v>6</v>
      </c>
      <c r="J494" s="17" t="s">
        <v>5</v>
      </c>
      <c r="K494" s="38" t="s">
        <v>4</v>
      </c>
      <c r="L494" s="17" t="s">
        <v>4</v>
      </c>
      <c r="N494" s="18"/>
      <c r="O494" s="28" t="s">
        <v>6</v>
      </c>
      <c r="P494" s="17" t="s">
        <v>5</v>
      </c>
      <c r="Q494" s="38" t="s">
        <v>4</v>
      </c>
      <c r="R494" s="28" t="s">
        <v>6</v>
      </c>
      <c r="S494" s="17" t="s">
        <v>5</v>
      </c>
      <c r="T494" s="38" t="s">
        <v>4</v>
      </c>
      <c r="U494" s="28" t="s">
        <v>6</v>
      </c>
      <c r="V494" s="17" t="s">
        <v>5</v>
      </c>
      <c r="W494" s="38" t="s">
        <v>4</v>
      </c>
      <c r="X494" s="17" t="s">
        <v>4</v>
      </c>
    </row>
    <row r="495" spans="2:25" x14ac:dyDescent="0.15">
      <c r="B495" s="66" t="s">
        <v>0</v>
      </c>
      <c r="C495" s="67">
        <f>C487</f>
        <v>25</v>
      </c>
      <c r="D495" s="68">
        <f t="shared" ref="D495:K495" si="719">D487</f>
        <v>25</v>
      </c>
      <c r="E495" s="69">
        <f t="shared" si="719"/>
        <v>50</v>
      </c>
      <c r="F495" s="67">
        <f t="shared" si="719"/>
        <v>21</v>
      </c>
      <c r="G495" s="68">
        <f t="shared" si="719"/>
        <v>10</v>
      </c>
      <c r="H495" s="69">
        <f t="shared" si="719"/>
        <v>31</v>
      </c>
      <c r="I495" s="67">
        <f t="shared" si="719"/>
        <v>25</v>
      </c>
      <c r="J495" s="68">
        <f t="shared" si="719"/>
        <v>20</v>
      </c>
      <c r="K495" s="69">
        <f t="shared" si="719"/>
        <v>45</v>
      </c>
      <c r="L495" s="70">
        <f>SUM(K495,H495,E495)</f>
        <v>126</v>
      </c>
      <c r="N495" s="66" t="s">
        <v>0</v>
      </c>
      <c r="O495" s="72">
        <f>O487</f>
        <v>390</v>
      </c>
      <c r="P495" s="80">
        <f t="shared" ref="P495:X495" si="720">P487</f>
        <v>458</v>
      </c>
      <c r="Q495" s="69">
        <f t="shared" si="720"/>
        <v>848</v>
      </c>
      <c r="R495" s="72">
        <f t="shared" si="720"/>
        <v>413</v>
      </c>
      <c r="S495" s="80">
        <f t="shared" si="720"/>
        <v>561</v>
      </c>
      <c r="T495" s="69">
        <f t="shared" si="720"/>
        <v>974</v>
      </c>
      <c r="U495" s="72">
        <f t="shared" si="720"/>
        <v>539</v>
      </c>
      <c r="V495" s="80">
        <f t="shared" si="720"/>
        <v>573</v>
      </c>
      <c r="W495" s="69">
        <f t="shared" si="720"/>
        <v>1112</v>
      </c>
      <c r="X495" s="70">
        <f t="shared" si="720"/>
        <v>2934</v>
      </c>
    </row>
    <row r="496" spans="2:25" x14ac:dyDescent="0.15">
      <c r="B496" s="16" t="s">
        <v>57</v>
      </c>
      <c r="C496" s="30"/>
      <c r="D496" s="25"/>
      <c r="E496" s="40">
        <f t="shared" ref="E496" si="721">SUM(C496:D496)</f>
        <v>0</v>
      </c>
      <c r="F496" s="35">
        <v>4</v>
      </c>
      <c r="G496" s="8"/>
      <c r="H496" s="40">
        <f t="shared" ref="H496" si="722">SUM(F496:G496)</f>
        <v>4</v>
      </c>
      <c r="I496" s="35">
        <v>4</v>
      </c>
      <c r="J496" s="8">
        <v>1</v>
      </c>
      <c r="K496" s="40">
        <f t="shared" ref="K496" si="723">SUM(I496:J496)</f>
        <v>5</v>
      </c>
      <c r="L496" s="9">
        <f t="shared" ref="L496" si="724">SUM(K496,H496,E496)</f>
        <v>9</v>
      </c>
      <c r="M496" s="53">
        <v>45512</v>
      </c>
      <c r="N496" s="55" t="s">
        <v>3</v>
      </c>
      <c r="O496" s="62"/>
      <c r="P496" s="81"/>
      <c r="Q496" s="40">
        <f t="shared" ref="Q496" si="725">SUM(O496:P496)</f>
        <v>0</v>
      </c>
      <c r="R496" s="78"/>
      <c r="S496" s="82"/>
      <c r="T496" s="40">
        <f t="shared" ref="T496" si="726">SUM(R496:S496)</f>
        <v>0</v>
      </c>
      <c r="U496" s="78"/>
      <c r="V496" s="82"/>
      <c r="W496" s="40">
        <f t="shared" ref="W496" si="727">SUM(U496:V496)</f>
        <v>0</v>
      </c>
      <c r="X496" s="25">
        <f t="shared" ref="X496" si="728">SUM(W496,T496,Q496)</f>
        <v>0</v>
      </c>
    </row>
    <row r="497" spans="2:25" x14ac:dyDescent="0.15">
      <c r="B497" s="16" t="s">
        <v>3</v>
      </c>
      <c r="C497" s="30"/>
      <c r="D497" s="25"/>
      <c r="E497" s="40">
        <f t="shared" ref="E497:E528" si="729">SUM(C497:D497)</f>
        <v>0</v>
      </c>
      <c r="F497" s="35"/>
      <c r="G497" s="8">
        <v>5</v>
      </c>
      <c r="H497" s="40">
        <f t="shared" ref="H497:H528" si="730">SUM(F497:G497)</f>
        <v>5</v>
      </c>
      <c r="I497" s="35"/>
      <c r="J497" s="8"/>
      <c r="K497" s="40">
        <f t="shared" ref="K497:K528" si="731">SUM(I497:J497)</f>
        <v>0</v>
      </c>
      <c r="L497" s="9">
        <f t="shared" ref="L497:L528" si="732">SUM(K497,H497,E497)</f>
        <v>5</v>
      </c>
      <c r="M497" s="53">
        <v>45521</v>
      </c>
      <c r="N497" s="55" t="s">
        <v>3</v>
      </c>
      <c r="O497" s="62"/>
      <c r="P497" s="81"/>
      <c r="Q497" s="40">
        <f t="shared" ref="Q497" si="733">SUM(O497:P497)</f>
        <v>0</v>
      </c>
      <c r="R497" s="78"/>
      <c r="S497" s="82"/>
      <c r="T497" s="40">
        <f t="shared" ref="T497" si="734">SUM(R497:S497)</f>
        <v>0</v>
      </c>
      <c r="U497" s="78"/>
      <c r="V497" s="82"/>
      <c r="W497" s="40">
        <f t="shared" ref="W497" si="735">SUM(U497:V497)</f>
        <v>0</v>
      </c>
      <c r="X497" s="25">
        <f t="shared" ref="X497" si="736">SUM(W497,T497,Q497)</f>
        <v>0</v>
      </c>
    </row>
    <row r="498" spans="2:25" x14ac:dyDescent="0.15">
      <c r="B498" s="16" t="s">
        <v>313</v>
      </c>
      <c r="C498" s="30">
        <v>3</v>
      </c>
      <c r="D498" s="25"/>
      <c r="E498" s="40">
        <f t="shared" si="729"/>
        <v>3</v>
      </c>
      <c r="F498" s="35">
        <v>1</v>
      </c>
      <c r="G498" s="8">
        <v>4</v>
      </c>
      <c r="H498" s="40">
        <f t="shared" si="730"/>
        <v>5</v>
      </c>
      <c r="I498" s="35">
        <v>1</v>
      </c>
      <c r="J498" s="8">
        <v>1</v>
      </c>
      <c r="K498" s="40">
        <f t="shared" si="731"/>
        <v>2</v>
      </c>
      <c r="L498" s="9">
        <f t="shared" si="732"/>
        <v>10</v>
      </c>
      <c r="M498" s="53">
        <v>45531</v>
      </c>
      <c r="N498" s="55" t="s">
        <v>3</v>
      </c>
      <c r="O498" s="62"/>
      <c r="P498" s="81"/>
      <c r="Q498" s="40">
        <f t="shared" ref="Q498:Q526" si="737">SUM(O498:P498)</f>
        <v>0</v>
      </c>
      <c r="R498" s="78"/>
      <c r="S498" s="82"/>
      <c r="T498" s="40">
        <f t="shared" ref="T498:T526" si="738">SUM(R498:S498)</f>
        <v>0</v>
      </c>
      <c r="U498" s="78"/>
      <c r="V498" s="82"/>
      <c r="W498" s="40">
        <f t="shared" ref="W498:W526" si="739">SUM(U498:V498)</f>
        <v>0</v>
      </c>
      <c r="X498" s="25">
        <f t="shared" ref="X498:X526" si="740">SUM(W498,T498,Q498)</f>
        <v>0</v>
      </c>
    </row>
    <row r="499" spans="2:25" x14ac:dyDescent="0.15">
      <c r="B499" s="16" t="s">
        <v>3</v>
      </c>
      <c r="C499" s="30">
        <v>0</v>
      </c>
      <c r="D499" s="25">
        <v>0</v>
      </c>
      <c r="E499" s="40">
        <f t="shared" si="729"/>
        <v>0</v>
      </c>
      <c r="F499" s="35">
        <v>4</v>
      </c>
      <c r="G499" s="8">
        <v>5</v>
      </c>
      <c r="H499" s="40">
        <f t="shared" si="730"/>
        <v>9</v>
      </c>
      <c r="I499" s="35">
        <v>-4</v>
      </c>
      <c r="J499" s="8">
        <v>0</v>
      </c>
      <c r="K499" s="40">
        <f t="shared" si="731"/>
        <v>-4</v>
      </c>
      <c r="L499" s="9">
        <f t="shared" si="732"/>
        <v>5</v>
      </c>
      <c r="M499" s="53">
        <v>45532</v>
      </c>
      <c r="N499" s="55" t="s">
        <v>3</v>
      </c>
      <c r="O499" s="62"/>
      <c r="P499" s="81"/>
      <c r="Q499" s="40">
        <f t="shared" si="737"/>
        <v>0</v>
      </c>
      <c r="R499" s="78"/>
      <c r="S499" s="82"/>
      <c r="T499" s="40">
        <f t="shared" si="738"/>
        <v>0</v>
      </c>
      <c r="U499" s="78"/>
      <c r="V499" s="82"/>
      <c r="W499" s="40">
        <f t="shared" si="739"/>
        <v>0</v>
      </c>
      <c r="X499" s="25">
        <f t="shared" si="740"/>
        <v>0</v>
      </c>
    </row>
    <row r="500" spans="2:25" ht="14.25" thickBot="1" x14ac:dyDescent="0.2">
      <c r="B500" s="15" t="s">
        <v>3</v>
      </c>
      <c r="C500" s="31"/>
      <c r="D500" s="26"/>
      <c r="E500" s="41">
        <f t="shared" si="729"/>
        <v>0</v>
      </c>
      <c r="F500" s="36"/>
      <c r="G500" s="6"/>
      <c r="H500" s="41">
        <f t="shared" si="730"/>
        <v>0</v>
      </c>
      <c r="I500" s="36"/>
      <c r="J500" s="6"/>
      <c r="K500" s="41">
        <f t="shared" si="731"/>
        <v>0</v>
      </c>
      <c r="L500" s="14">
        <f t="shared" si="732"/>
        <v>0</v>
      </c>
      <c r="N500" s="75" t="s">
        <v>3</v>
      </c>
      <c r="O500" s="76"/>
      <c r="P500" s="83"/>
      <c r="Q500" s="41">
        <f t="shared" si="737"/>
        <v>0</v>
      </c>
      <c r="R500" s="76"/>
      <c r="S500" s="83"/>
      <c r="T500" s="41">
        <f t="shared" si="738"/>
        <v>0</v>
      </c>
      <c r="U500" s="76"/>
      <c r="V500" s="83"/>
      <c r="W500" s="41">
        <f t="shared" si="739"/>
        <v>0</v>
      </c>
      <c r="X500" s="77">
        <f t="shared" si="740"/>
        <v>0</v>
      </c>
    </row>
    <row r="501" spans="2:25" ht="14.25" thickBot="1" x14ac:dyDescent="0.2">
      <c r="B501" s="5" t="s">
        <v>2</v>
      </c>
      <c r="C501" s="32">
        <f>SUM(C495:C500)</f>
        <v>28</v>
      </c>
      <c r="D501" s="19">
        <f>SUM(D495:D500)</f>
        <v>25</v>
      </c>
      <c r="E501" s="42">
        <f t="shared" si="729"/>
        <v>53</v>
      </c>
      <c r="F501" s="32">
        <f>SUM(F495:F500)</f>
        <v>30</v>
      </c>
      <c r="G501" s="19">
        <f>SUM(G495:G500)</f>
        <v>24</v>
      </c>
      <c r="H501" s="42">
        <f t="shared" si="730"/>
        <v>54</v>
      </c>
      <c r="I501" s="32">
        <f>SUM(I495:I500)</f>
        <v>26</v>
      </c>
      <c r="J501" s="19">
        <f>SUM(J495:J500)</f>
        <v>22</v>
      </c>
      <c r="K501" s="42">
        <f t="shared" si="731"/>
        <v>48</v>
      </c>
      <c r="L501" s="13">
        <f t="shared" si="732"/>
        <v>155</v>
      </c>
      <c r="N501" s="63" t="s">
        <v>2</v>
      </c>
      <c r="O501" s="32">
        <f>SUM(O495:O500)</f>
        <v>390</v>
      </c>
      <c r="P501" s="19">
        <f t="shared" ref="P501" si="741">SUM(P495:P500)</f>
        <v>458</v>
      </c>
      <c r="Q501" s="42">
        <f t="shared" ref="Q501" si="742">SUM(Q495:Q500)</f>
        <v>848</v>
      </c>
      <c r="R501" s="32">
        <f t="shared" ref="R501" si="743">SUM(R495:R500)</f>
        <v>413</v>
      </c>
      <c r="S501" s="19">
        <f t="shared" ref="S501" si="744">SUM(S495:S500)</f>
        <v>561</v>
      </c>
      <c r="T501" s="42">
        <f t="shared" ref="T501" si="745">SUM(T495:T500)</f>
        <v>974</v>
      </c>
      <c r="U501" s="32">
        <f t="shared" ref="U501" si="746">SUM(U495:U500)</f>
        <v>539</v>
      </c>
      <c r="V501" s="19">
        <f t="shared" ref="V501" si="747">SUM(V495:V500)</f>
        <v>573</v>
      </c>
      <c r="W501" s="42">
        <f t="shared" ref="W501" si="748">SUM(W495:W500)</f>
        <v>1112</v>
      </c>
      <c r="X501" s="13">
        <f t="shared" ref="X501" si="749">SUM(X495:X500)</f>
        <v>2934</v>
      </c>
    </row>
    <row r="502" spans="2:25" x14ac:dyDescent="0.15">
      <c r="B502" s="7" t="s">
        <v>117</v>
      </c>
      <c r="C502" s="30">
        <v>1</v>
      </c>
      <c r="D502" s="25"/>
      <c r="E502" s="43">
        <f t="shared" si="729"/>
        <v>1</v>
      </c>
      <c r="F502" s="35">
        <v>2</v>
      </c>
      <c r="G502" s="8"/>
      <c r="H502" s="43">
        <f t="shared" si="730"/>
        <v>2</v>
      </c>
      <c r="I502" s="35">
        <v>2</v>
      </c>
      <c r="J502" s="8"/>
      <c r="K502" s="43">
        <f t="shared" si="731"/>
        <v>2</v>
      </c>
      <c r="L502" s="8">
        <f t="shared" si="732"/>
        <v>5</v>
      </c>
      <c r="M502" s="53">
        <v>45513</v>
      </c>
      <c r="N502" s="7" t="s">
        <v>282</v>
      </c>
      <c r="O502" s="30"/>
      <c r="P502" s="25"/>
      <c r="Q502" s="43">
        <f t="shared" ref="Q502:Q508" si="750">SUM(O502:P502)</f>
        <v>0</v>
      </c>
      <c r="R502" s="35"/>
      <c r="S502" s="8">
        <v>10</v>
      </c>
      <c r="T502" s="43">
        <f t="shared" ref="T502:T508" si="751">SUM(R502:S502)</f>
        <v>10</v>
      </c>
      <c r="U502" s="35"/>
      <c r="V502" s="8">
        <v>10</v>
      </c>
      <c r="W502" s="43">
        <f t="shared" ref="W502:W508" si="752">SUM(U502:V502)</f>
        <v>10</v>
      </c>
      <c r="X502" s="8">
        <f t="shared" ref="X502:X508" si="753">SUM(W502,T502,Q502)</f>
        <v>20</v>
      </c>
      <c r="Y502" s="53">
        <v>45523</v>
      </c>
    </row>
    <row r="503" spans="2:25" x14ac:dyDescent="0.15">
      <c r="B503" s="7" t="s">
        <v>12</v>
      </c>
      <c r="C503" s="30"/>
      <c r="D503" s="25"/>
      <c r="E503" s="43">
        <f t="shared" si="729"/>
        <v>0</v>
      </c>
      <c r="F503" s="35"/>
      <c r="G503" s="8"/>
      <c r="H503" s="43">
        <f t="shared" si="730"/>
        <v>0</v>
      </c>
      <c r="I503" s="35">
        <v>1</v>
      </c>
      <c r="J503" s="8"/>
      <c r="K503" s="43">
        <f t="shared" si="731"/>
        <v>1</v>
      </c>
      <c r="L503" s="8">
        <f t="shared" si="732"/>
        <v>1</v>
      </c>
      <c r="M503" s="53">
        <v>45512</v>
      </c>
      <c r="N503" s="7" t="s">
        <v>305</v>
      </c>
      <c r="O503" s="30">
        <v>2</v>
      </c>
      <c r="P503" s="25">
        <v>4</v>
      </c>
      <c r="Q503" s="43">
        <f t="shared" si="750"/>
        <v>6</v>
      </c>
      <c r="R503" s="35"/>
      <c r="S503" s="8"/>
      <c r="T503" s="43">
        <f t="shared" si="751"/>
        <v>0</v>
      </c>
      <c r="U503" s="35"/>
      <c r="V503" s="8">
        <v>2</v>
      </c>
      <c r="W503" s="43">
        <f t="shared" si="752"/>
        <v>2</v>
      </c>
      <c r="X503" s="8">
        <f t="shared" si="753"/>
        <v>8</v>
      </c>
      <c r="Y503" s="53">
        <v>45530</v>
      </c>
    </row>
    <row r="504" spans="2:25" x14ac:dyDescent="0.15">
      <c r="B504" s="7" t="s">
        <v>302</v>
      </c>
      <c r="C504" s="30">
        <v>1</v>
      </c>
      <c r="D504" s="25"/>
      <c r="E504" s="43">
        <f t="shared" si="729"/>
        <v>1</v>
      </c>
      <c r="F504" s="35"/>
      <c r="G504" s="8"/>
      <c r="H504" s="43">
        <f t="shared" si="730"/>
        <v>0</v>
      </c>
      <c r="I504" s="35"/>
      <c r="J504" s="8"/>
      <c r="K504" s="43">
        <f t="shared" si="731"/>
        <v>0</v>
      </c>
      <c r="L504" s="8">
        <f t="shared" si="732"/>
        <v>1</v>
      </c>
      <c r="M504" s="53">
        <v>45520</v>
      </c>
      <c r="N504" s="7" t="s">
        <v>309</v>
      </c>
      <c r="O504" s="30">
        <v>15</v>
      </c>
      <c r="P504" s="25">
        <v>25</v>
      </c>
      <c r="Q504" s="43">
        <f t="shared" ref="Q504" si="754">SUM(O504:P504)</f>
        <v>40</v>
      </c>
      <c r="R504" s="35">
        <v>25</v>
      </c>
      <c r="S504" s="8">
        <v>30</v>
      </c>
      <c r="T504" s="43">
        <f t="shared" ref="T504" si="755">SUM(R504:S504)</f>
        <v>55</v>
      </c>
      <c r="U504" s="35">
        <v>20</v>
      </c>
      <c r="V504" s="8"/>
      <c r="W504" s="43">
        <f t="shared" ref="W504" si="756">SUM(U504:V504)</f>
        <v>20</v>
      </c>
      <c r="X504" s="8">
        <f t="shared" ref="X504" si="757">SUM(W504,T504,Q504)</f>
        <v>115</v>
      </c>
      <c r="Y504" s="53">
        <v>45530</v>
      </c>
    </row>
    <row r="505" spans="2:25" x14ac:dyDescent="0.15">
      <c r="B505" s="7" t="s">
        <v>12</v>
      </c>
      <c r="C505" s="30"/>
      <c r="D505" s="25"/>
      <c r="E505" s="43">
        <f t="shared" si="729"/>
        <v>0</v>
      </c>
      <c r="F505" s="35"/>
      <c r="G505" s="8">
        <v>1</v>
      </c>
      <c r="H505" s="43">
        <f t="shared" si="730"/>
        <v>1</v>
      </c>
      <c r="I505" s="35"/>
      <c r="J505" s="8">
        <v>1</v>
      </c>
      <c r="K505" s="43">
        <f t="shared" si="731"/>
        <v>1</v>
      </c>
      <c r="L505" s="8">
        <f t="shared" si="732"/>
        <v>2</v>
      </c>
      <c r="M505" s="53">
        <v>45513</v>
      </c>
      <c r="N505" s="7" t="s">
        <v>312</v>
      </c>
      <c r="O505" s="30">
        <v>1</v>
      </c>
      <c r="P505" s="25">
        <v>2</v>
      </c>
      <c r="Q505" s="43">
        <f t="shared" si="750"/>
        <v>3</v>
      </c>
      <c r="R505" s="35"/>
      <c r="S505" s="8"/>
      <c r="T505" s="43">
        <f t="shared" si="751"/>
        <v>0</v>
      </c>
      <c r="U505" s="35"/>
      <c r="V505" s="8"/>
      <c r="W505" s="43">
        <f t="shared" si="752"/>
        <v>0</v>
      </c>
      <c r="X505" s="8">
        <f t="shared" si="753"/>
        <v>3</v>
      </c>
      <c r="Y505" s="53">
        <v>45534</v>
      </c>
    </row>
    <row r="506" spans="2:25" x14ac:dyDescent="0.15">
      <c r="B506" s="7" t="s">
        <v>304</v>
      </c>
      <c r="C506" s="30"/>
      <c r="D506" s="25"/>
      <c r="E506" s="43">
        <f t="shared" si="729"/>
        <v>0</v>
      </c>
      <c r="F506" s="35">
        <v>1</v>
      </c>
      <c r="G506" s="8"/>
      <c r="H506" s="43">
        <f t="shared" si="730"/>
        <v>1</v>
      </c>
      <c r="I506" s="35">
        <v>3</v>
      </c>
      <c r="J506" s="8"/>
      <c r="K506" s="43">
        <f t="shared" si="731"/>
        <v>3</v>
      </c>
      <c r="L506" s="8">
        <f t="shared" si="732"/>
        <v>4</v>
      </c>
      <c r="M506" s="53">
        <v>45523</v>
      </c>
      <c r="N506" s="7" t="s">
        <v>314</v>
      </c>
      <c r="O506" s="30">
        <v>50</v>
      </c>
      <c r="P506" s="25">
        <v>50</v>
      </c>
      <c r="Q506" s="43">
        <f t="shared" si="750"/>
        <v>100</v>
      </c>
      <c r="R506" s="35">
        <v>30</v>
      </c>
      <c r="S506" s="8">
        <v>20</v>
      </c>
      <c r="T506" s="43">
        <f t="shared" si="751"/>
        <v>50</v>
      </c>
      <c r="U506" s="35">
        <v>10</v>
      </c>
      <c r="V506" s="8">
        <v>20</v>
      </c>
      <c r="W506" s="43">
        <f t="shared" si="752"/>
        <v>30</v>
      </c>
      <c r="X506" s="8">
        <f t="shared" si="753"/>
        <v>180</v>
      </c>
      <c r="Y506" s="53">
        <v>45534</v>
      </c>
    </row>
    <row r="507" spans="2:25" x14ac:dyDescent="0.15">
      <c r="B507" s="7" t="s">
        <v>12</v>
      </c>
      <c r="C507" s="30"/>
      <c r="D507" s="25">
        <v>1</v>
      </c>
      <c r="E507" s="43">
        <f t="shared" si="729"/>
        <v>1</v>
      </c>
      <c r="F507" s="35"/>
      <c r="G507" s="8"/>
      <c r="H507" s="43">
        <f t="shared" si="730"/>
        <v>0</v>
      </c>
      <c r="I507" s="35"/>
      <c r="J507" s="8"/>
      <c r="K507" s="43">
        <f t="shared" si="731"/>
        <v>0</v>
      </c>
      <c r="L507" s="8">
        <f t="shared" si="732"/>
        <v>1</v>
      </c>
      <c r="M507" s="53">
        <v>45515</v>
      </c>
      <c r="N507" s="7" t="s">
        <v>315</v>
      </c>
      <c r="O507" s="30"/>
      <c r="P507" s="25">
        <v>10</v>
      </c>
      <c r="Q507" s="43">
        <f t="shared" si="750"/>
        <v>10</v>
      </c>
      <c r="R507" s="35"/>
      <c r="S507" s="8">
        <v>10</v>
      </c>
      <c r="T507" s="43">
        <f t="shared" si="751"/>
        <v>10</v>
      </c>
      <c r="U507" s="35">
        <v>10</v>
      </c>
      <c r="V507" s="8"/>
      <c r="W507" s="43">
        <f t="shared" si="752"/>
        <v>10</v>
      </c>
      <c r="X507" s="8">
        <f t="shared" si="753"/>
        <v>30</v>
      </c>
      <c r="Y507" s="53">
        <v>45535</v>
      </c>
    </row>
    <row r="508" spans="2:25" x14ac:dyDescent="0.15">
      <c r="B508" s="7" t="s">
        <v>12</v>
      </c>
      <c r="C508" s="30"/>
      <c r="D508" s="25">
        <v>2</v>
      </c>
      <c r="E508" s="43">
        <f t="shared" si="729"/>
        <v>2</v>
      </c>
      <c r="F508" s="35"/>
      <c r="G508" s="8">
        <v>3</v>
      </c>
      <c r="H508" s="43">
        <f t="shared" si="730"/>
        <v>3</v>
      </c>
      <c r="I508" s="35">
        <v>2</v>
      </c>
      <c r="J508" s="8">
        <v>1</v>
      </c>
      <c r="K508" s="43">
        <f t="shared" si="731"/>
        <v>3</v>
      </c>
      <c r="L508" s="8">
        <f t="shared" si="732"/>
        <v>8</v>
      </c>
      <c r="M508" s="53">
        <v>45520</v>
      </c>
      <c r="N508" s="7" t="s">
        <v>316</v>
      </c>
      <c r="O508" s="30"/>
      <c r="P508" s="25"/>
      <c r="Q508" s="43">
        <f t="shared" si="750"/>
        <v>0</v>
      </c>
      <c r="R508" s="35"/>
      <c r="S508" s="8">
        <v>30</v>
      </c>
      <c r="T508" s="43">
        <f t="shared" si="751"/>
        <v>30</v>
      </c>
      <c r="U508" s="35">
        <v>10</v>
      </c>
      <c r="V508" s="8">
        <v>20</v>
      </c>
      <c r="W508" s="43">
        <f t="shared" si="752"/>
        <v>30</v>
      </c>
      <c r="X508" s="8">
        <f t="shared" si="753"/>
        <v>60</v>
      </c>
      <c r="Y508" s="53">
        <v>45537</v>
      </c>
    </row>
    <row r="509" spans="2:25" x14ac:dyDescent="0.15">
      <c r="B509" s="7" t="s">
        <v>120</v>
      </c>
      <c r="C509" s="30">
        <v>6</v>
      </c>
      <c r="D509" s="25"/>
      <c r="E509" s="43">
        <f t="shared" si="729"/>
        <v>6</v>
      </c>
      <c r="F509" s="35">
        <v>3</v>
      </c>
      <c r="G509" s="8"/>
      <c r="H509" s="43">
        <f t="shared" si="730"/>
        <v>3</v>
      </c>
      <c r="I509" s="35">
        <v>7</v>
      </c>
      <c r="J509" s="8">
        <v>1</v>
      </c>
      <c r="K509" s="43">
        <f t="shared" si="731"/>
        <v>8</v>
      </c>
      <c r="L509" s="8">
        <f t="shared" si="732"/>
        <v>17</v>
      </c>
      <c r="M509" s="53">
        <v>45525</v>
      </c>
      <c r="N509" s="7" t="s">
        <v>317</v>
      </c>
      <c r="O509" s="30">
        <v>2</v>
      </c>
      <c r="P509" s="25">
        <v>4</v>
      </c>
      <c r="Q509" s="43">
        <f t="shared" si="737"/>
        <v>6</v>
      </c>
      <c r="R509" s="35"/>
      <c r="S509" s="8"/>
      <c r="T509" s="43">
        <f t="shared" si="738"/>
        <v>0</v>
      </c>
      <c r="U509" s="35"/>
      <c r="V509" s="8">
        <v>3</v>
      </c>
      <c r="W509" s="43">
        <f t="shared" si="739"/>
        <v>3</v>
      </c>
      <c r="X509" s="8">
        <f t="shared" si="740"/>
        <v>9</v>
      </c>
      <c r="Y509" s="53">
        <v>45544</v>
      </c>
    </row>
    <row r="510" spans="2:25" x14ac:dyDescent="0.15">
      <c r="B510" s="7" t="s">
        <v>122</v>
      </c>
      <c r="C510" s="30"/>
      <c r="D510" s="25"/>
      <c r="E510" s="43">
        <f t="shared" si="729"/>
        <v>0</v>
      </c>
      <c r="F510" s="35">
        <v>2</v>
      </c>
      <c r="G510" s="8"/>
      <c r="H510" s="43">
        <f t="shared" si="730"/>
        <v>2</v>
      </c>
      <c r="I510" s="35"/>
      <c r="J510" s="8"/>
      <c r="K510" s="43">
        <f t="shared" si="731"/>
        <v>0</v>
      </c>
      <c r="L510" s="8">
        <f t="shared" si="732"/>
        <v>2</v>
      </c>
      <c r="M510" s="53">
        <v>45526</v>
      </c>
      <c r="N510" s="7"/>
      <c r="O510" s="30"/>
      <c r="P510" s="25"/>
      <c r="Q510" s="43">
        <f t="shared" si="737"/>
        <v>0</v>
      </c>
      <c r="R510" s="35"/>
      <c r="S510" s="8"/>
      <c r="T510" s="43">
        <f t="shared" si="738"/>
        <v>0</v>
      </c>
      <c r="U510" s="35"/>
      <c r="V510" s="8"/>
      <c r="W510" s="43">
        <f t="shared" si="739"/>
        <v>0</v>
      </c>
      <c r="X510" s="8">
        <f t="shared" si="740"/>
        <v>0</v>
      </c>
    </row>
    <row r="511" spans="2:25" x14ac:dyDescent="0.15">
      <c r="B511" s="7" t="s">
        <v>12</v>
      </c>
      <c r="C511" s="30"/>
      <c r="D511" s="25"/>
      <c r="E511" s="43">
        <f t="shared" si="729"/>
        <v>0</v>
      </c>
      <c r="F511" s="35"/>
      <c r="G511" s="8">
        <v>1</v>
      </c>
      <c r="H511" s="43">
        <f t="shared" si="730"/>
        <v>1</v>
      </c>
      <c r="I511" s="35"/>
      <c r="J511" s="8">
        <v>1</v>
      </c>
      <c r="K511" s="43">
        <f t="shared" si="731"/>
        <v>1</v>
      </c>
      <c r="L511" s="8">
        <f t="shared" si="732"/>
        <v>2</v>
      </c>
      <c r="M511" s="53">
        <v>45524</v>
      </c>
      <c r="N511" s="7"/>
      <c r="O511" s="30"/>
      <c r="P511" s="25"/>
      <c r="Q511" s="43">
        <f t="shared" si="737"/>
        <v>0</v>
      </c>
      <c r="R511" s="35"/>
      <c r="S511" s="8"/>
      <c r="T511" s="43">
        <f t="shared" si="738"/>
        <v>0</v>
      </c>
      <c r="U511" s="35"/>
      <c r="V511" s="8"/>
      <c r="W511" s="43">
        <f t="shared" si="739"/>
        <v>0</v>
      </c>
      <c r="X511" s="8">
        <f t="shared" si="740"/>
        <v>0</v>
      </c>
    </row>
    <row r="512" spans="2:25" x14ac:dyDescent="0.15">
      <c r="B512" s="7" t="s">
        <v>306</v>
      </c>
      <c r="C512" s="30">
        <v>3</v>
      </c>
      <c r="D512" s="25"/>
      <c r="E512" s="43">
        <f t="shared" si="729"/>
        <v>3</v>
      </c>
      <c r="F512" s="35"/>
      <c r="G512" s="8">
        <v>1</v>
      </c>
      <c r="H512" s="43">
        <f t="shared" si="730"/>
        <v>1</v>
      </c>
      <c r="I512" s="35"/>
      <c r="J512" s="8"/>
      <c r="K512" s="43">
        <f t="shared" si="731"/>
        <v>0</v>
      </c>
      <c r="L512" s="8">
        <f t="shared" si="732"/>
        <v>4</v>
      </c>
      <c r="M512" s="53">
        <v>45527</v>
      </c>
      <c r="N512" s="7"/>
      <c r="O512" s="33"/>
      <c r="P512" s="27"/>
      <c r="Q512" s="43">
        <f t="shared" si="737"/>
        <v>0</v>
      </c>
      <c r="R512" s="37"/>
      <c r="S512" s="10"/>
      <c r="T512" s="43">
        <f t="shared" si="738"/>
        <v>0</v>
      </c>
      <c r="U512" s="37"/>
      <c r="V512" s="10"/>
      <c r="W512" s="43">
        <f t="shared" si="739"/>
        <v>0</v>
      </c>
      <c r="X512" s="8">
        <f t="shared" si="740"/>
        <v>0</v>
      </c>
    </row>
    <row r="513" spans="2:25" x14ac:dyDescent="0.15">
      <c r="B513" s="7" t="s">
        <v>12</v>
      </c>
      <c r="C513" s="30"/>
      <c r="D513" s="25"/>
      <c r="E513" s="43">
        <f t="shared" si="729"/>
        <v>0</v>
      </c>
      <c r="F513" s="35"/>
      <c r="G513" s="8">
        <v>1</v>
      </c>
      <c r="H513" s="43">
        <f t="shared" si="730"/>
        <v>1</v>
      </c>
      <c r="I513" s="35"/>
      <c r="J513" s="8"/>
      <c r="K513" s="43">
        <f t="shared" si="731"/>
        <v>0</v>
      </c>
      <c r="L513" s="8">
        <f t="shared" si="732"/>
        <v>1</v>
      </c>
      <c r="M513" s="53">
        <v>45525</v>
      </c>
      <c r="N513" s="7"/>
      <c r="O513" s="33"/>
      <c r="P513" s="27"/>
      <c r="Q513" s="43">
        <f t="shared" si="737"/>
        <v>0</v>
      </c>
      <c r="R513" s="37"/>
      <c r="S513" s="10"/>
      <c r="T513" s="43">
        <f t="shared" si="738"/>
        <v>0</v>
      </c>
      <c r="U513" s="37"/>
      <c r="V513" s="10"/>
      <c r="W513" s="43">
        <f t="shared" si="739"/>
        <v>0</v>
      </c>
      <c r="X513" s="8">
        <f t="shared" si="740"/>
        <v>0</v>
      </c>
    </row>
    <row r="514" spans="2:25" x14ac:dyDescent="0.15">
      <c r="B514" s="7" t="s">
        <v>310</v>
      </c>
      <c r="C514" s="30"/>
      <c r="D514" s="25"/>
      <c r="E514" s="43">
        <f t="shared" si="729"/>
        <v>0</v>
      </c>
      <c r="F514" s="35"/>
      <c r="G514" s="8">
        <v>1</v>
      </c>
      <c r="H514" s="43">
        <f t="shared" si="730"/>
        <v>1</v>
      </c>
      <c r="I514" s="35"/>
      <c r="J514" s="8"/>
      <c r="K514" s="43">
        <f t="shared" si="731"/>
        <v>0</v>
      </c>
      <c r="L514" s="8">
        <f t="shared" si="732"/>
        <v>1</v>
      </c>
      <c r="M514" s="53">
        <v>45530</v>
      </c>
      <c r="N514" s="7"/>
      <c r="O514" s="30"/>
      <c r="P514" s="25"/>
      <c r="Q514" s="43">
        <f t="shared" si="737"/>
        <v>0</v>
      </c>
      <c r="R514" s="35"/>
      <c r="S514" s="8"/>
      <c r="T514" s="43">
        <f t="shared" si="738"/>
        <v>0</v>
      </c>
      <c r="U514" s="35"/>
      <c r="V514" s="8"/>
      <c r="W514" s="43">
        <f t="shared" si="739"/>
        <v>0</v>
      </c>
      <c r="X514" s="8">
        <f t="shared" si="740"/>
        <v>0</v>
      </c>
    </row>
    <row r="515" spans="2:25" x14ac:dyDescent="0.15">
      <c r="B515" s="7" t="s">
        <v>311</v>
      </c>
      <c r="C515" s="30"/>
      <c r="D515" s="25"/>
      <c r="E515" s="43">
        <f t="shared" si="729"/>
        <v>0</v>
      </c>
      <c r="F515" s="35"/>
      <c r="G515" s="8"/>
      <c r="H515" s="43">
        <f t="shared" si="730"/>
        <v>0</v>
      </c>
      <c r="I515" s="35">
        <v>2</v>
      </c>
      <c r="J515" s="8">
        <v>2</v>
      </c>
      <c r="K515" s="43">
        <f t="shared" si="731"/>
        <v>4</v>
      </c>
      <c r="L515" s="8">
        <f t="shared" si="732"/>
        <v>4</v>
      </c>
      <c r="M515" s="53">
        <v>45532</v>
      </c>
      <c r="N515" s="7"/>
      <c r="O515" s="33"/>
      <c r="P515" s="27"/>
      <c r="Q515" s="43">
        <f t="shared" si="737"/>
        <v>0</v>
      </c>
      <c r="R515" s="37"/>
      <c r="S515" s="10"/>
      <c r="T515" s="43">
        <f t="shared" si="738"/>
        <v>0</v>
      </c>
      <c r="U515" s="37"/>
      <c r="V515" s="10"/>
      <c r="W515" s="43">
        <f t="shared" si="739"/>
        <v>0</v>
      </c>
      <c r="X515" s="8">
        <f t="shared" si="740"/>
        <v>0</v>
      </c>
    </row>
    <row r="516" spans="2:25" x14ac:dyDescent="0.15">
      <c r="B516" s="7" t="s">
        <v>127</v>
      </c>
      <c r="C516" s="30">
        <v>2</v>
      </c>
      <c r="D516" s="25"/>
      <c r="E516" s="43">
        <f t="shared" si="729"/>
        <v>2</v>
      </c>
      <c r="F516" s="35"/>
      <c r="G516" s="8">
        <v>1</v>
      </c>
      <c r="H516" s="43">
        <f t="shared" si="730"/>
        <v>1</v>
      </c>
      <c r="I516" s="35"/>
      <c r="J516" s="8"/>
      <c r="K516" s="43">
        <f t="shared" si="731"/>
        <v>0</v>
      </c>
      <c r="L516" s="8">
        <f t="shared" si="732"/>
        <v>3</v>
      </c>
      <c r="M516" s="53">
        <v>45533</v>
      </c>
      <c r="N516" s="7"/>
      <c r="O516" s="33"/>
      <c r="P516" s="27"/>
      <c r="Q516" s="43">
        <f t="shared" si="737"/>
        <v>0</v>
      </c>
      <c r="R516" s="37"/>
      <c r="S516" s="10"/>
      <c r="T516" s="43">
        <f t="shared" si="738"/>
        <v>0</v>
      </c>
      <c r="U516" s="37"/>
      <c r="V516" s="10"/>
      <c r="W516" s="43">
        <f t="shared" si="739"/>
        <v>0</v>
      </c>
      <c r="X516" s="8">
        <f t="shared" si="740"/>
        <v>0</v>
      </c>
    </row>
    <row r="517" spans="2:25" x14ac:dyDescent="0.15">
      <c r="B517" s="7" t="s">
        <v>12</v>
      </c>
      <c r="C517" s="33">
        <v>1</v>
      </c>
      <c r="D517" s="27"/>
      <c r="E517" s="43">
        <f t="shared" si="729"/>
        <v>1</v>
      </c>
      <c r="F517" s="37"/>
      <c r="G517" s="10"/>
      <c r="H517" s="43">
        <f t="shared" si="730"/>
        <v>0</v>
      </c>
      <c r="I517" s="37"/>
      <c r="J517" s="10"/>
      <c r="K517" s="43">
        <f t="shared" si="731"/>
        <v>0</v>
      </c>
      <c r="L517" s="8">
        <f t="shared" si="732"/>
        <v>1</v>
      </c>
      <c r="M517" s="53">
        <v>45531</v>
      </c>
      <c r="N517" s="7"/>
      <c r="O517" s="33"/>
      <c r="P517" s="27"/>
      <c r="Q517" s="43">
        <f t="shared" si="737"/>
        <v>0</v>
      </c>
      <c r="R517" s="37"/>
      <c r="S517" s="10"/>
      <c r="T517" s="43">
        <f t="shared" si="738"/>
        <v>0</v>
      </c>
      <c r="U517" s="37"/>
      <c r="V517" s="10"/>
      <c r="W517" s="43">
        <f t="shared" si="739"/>
        <v>0</v>
      </c>
      <c r="X517" s="8">
        <f t="shared" si="740"/>
        <v>0</v>
      </c>
    </row>
    <row r="518" spans="2:25" x14ac:dyDescent="0.15">
      <c r="B518" s="7" t="s">
        <v>128</v>
      </c>
      <c r="C518" s="30">
        <v>2</v>
      </c>
      <c r="D518" s="25"/>
      <c r="E518" s="43">
        <f t="shared" ref="E518:E521" si="758">SUM(C518:D518)</f>
        <v>2</v>
      </c>
      <c r="F518" s="35">
        <v>1</v>
      </c>
      <c r="G518" s="8">
        <v>2</v>
      </c>
      <c r="H518" s="43">
        <f t="shared" ref="H518:H521" si="759">SUM(F518:G518)</f>
        <v>3</v>
      </c>
      <c r="I518" s="35">
        <v>2</v>
      </c>
      <c r="J518" s="8"/>
      <c r="K518" s="43">
        <f t="shared" ref="K518:K521" si="760">SUM(I518:J518)</f>
        <v>2</v>
      </c>
      <c r="L518" s="8">
        <f t="shared" ref="L518:L521" si="761">SUM(K518,H518,E518)</f>
        <v>7</v>
      </c>
      <c r="M518" s="53">
        <v>45534</v>
      </c>
      <c r="N518" s="7"/>
      <c r="O518" s="33"/>
      <c r="P518" s="27"/>
      <c r="Q518" s="43">
        <f t="shared" si="737"/>
        <v>0</v>
      </c>
      <c r="R518" s="37"/>
      <c r="S518" s="10"/>
      <c r="T518" s="43">
        <f t="shared" si="738"/>
        <v>0</v>
      </c>
      <c r="U518" s="37"/>
      <c r="V518" s="10"/>
      <c r="W518" s="43">
        <f t="shared" si="739"/>
        <v>0</v>
      </c>
      <c r="X518" s="8">
        <f t="shared" si="740"/>
        <v>0</v>
      </c>
    </row>
    <row r="519" spans="2:25" x14ac:dyDescent="0.15">
      <c r="B519" s="7" t="s">
        <v>129</v>
      </c>
      <c r="C519" s="30"/>
      <c r="D519" s="25"/>
      <c r="E519" s="43">
        <f t="shared" si="758"/>
        <v>0</v>
      </c>
      <c r="F519" s="35"/>
      <c r="G519" s="8"/>
      <c r="H519" s="43">
        <f t="shared" si="759"/>
        <v>0</v>
      </c>
      <c r="I519" s="35"/>
      <c r="J519" s="8">
        <v>1</v>
      </c>
      <c r="K519" s="43">
        <f t="shared" si="760"/>
        <v>1</v>
      </c>
      <c r="L519" s="8">
        <f t="shared" si="761"/>
        <v>1</v>
      </c>
      <c r="M519" s="53">
        <v>45541</v>
      </c>
      <c r="N519" s="7"/>
      <c r="O519" s="33"/>
      <c r="P519" s="27"/>
      <c r="Q519" s="43">
        <f t="shared" si="737"/>
        <v>0</v>
      </c>
      <c r="R519" s="37"/>
      <c r="S519" s="10"/>
      <c r="T519" s="43">
        <f t="shared" si="738"/>
        <v>0</v>
      </c>
      <c r="U519" s="37"/>
      <c r="V519" s="10"/>
      <c r="W519" s="43">
        <f t="shared" si="739"/>
        <v>0</v>
      </c>
      <c r="X519" s="8">
        <f t="shared" si="740"/>
        <v>0</v>
      </c>
    </row>
    <row r="520" spans="2:25" x14ac:dyDescent="0.15">
      <c r="B520" s="7"/>
      <c r="C520" s="30"/>
      <c r="D520" s="25"/>
      <c r="E520" s="43">
        <f t="shared" si="758"/>
        <v>0</v>
      </c>
      <c r="F520" s="35"/>
      <c r="G520" s="8"/>
      <c r="H520" s="43">
        <f t="shared" si="759"/>
        <v>0</v>
      </c>
      <c r="I520" s="35"/>
      <c r="J520" s="8"/>
      <c r="K520" s="43">
        <f t="shared" si="760"/>
        <v>0</v>
      </c>
      <c r="L520" s="8">
        <f t="shared" si="761"/>
        <v>0</v>
      </c>
      <c r="N520" s="7"/>
      <c r="O520" s="33"/>
      <c r="P520" s="27"/>
      <c r="Q520" s="43">
        <f t="shared" ref="Q520" si="762">SUM(O520:P520)</f>
        <v>0</v>
      </c>
      <c r="R520" s="37"/>
      <c r="S520" s="10"/>
      <c r="T520" s="43">
        <f t="shared" ref="T520" si="763">SUM(R520:S520)</f>
        <v>0</v>
      </c>
      <c r="U520" s="37"/>
      <c r="V520" s="10"/>
      <c r="W520" s="43">
        <f t="shared" ref="W520" si="764">SUM(U520:V520)</f>
        <v>0</v>
      </c>
      <c r="X520" s="8">
        <f t="shared" ref="X520" si="765">SUM(W520,T520,Q520)</f>
        <v>0</v>
      </c>
    </row>
    <row r="521" spans="2:25" x14ac:dyDescent="0.15">
      <c r="B521" s="7"/>
      <c r="C521" s="30"/>
      <c r="D521" s="25"/>
      <c r="E521" s="43">
        <f t="shared" si="758"/>
        <v>0</v>
      </c>
      <c r="F521" s="35"/>
      <c r="G521" s="8"/>
      <c r="H521" s="43">
        <f t="shared" si="759"/>
        <v>0</v>
      </c>
      <c r="I521" s="35"/>
      <c r="J521" s="8"/>
      <c r="K521" s="43">
        <f t="shared" si="760"/>
        <v>0</v>
      </c>
      <c r="L521" s="8">
        <f t="shared" si="761"/>
        <v>0</v>
      </c>
      <c r="N521" s="7"/>
      <c r="O521" s="33"/>
      <c r="P521" s="27"/>
      <c r="Q521" s="43">
        <f t="shared" ref="Q521" si="766">SUM(O521:P521)</f>
        <v>0</v>
      </c>
      <c r="R521" s="37"/>
      <c r="S521" s="10"/>
      <c r="T521" s="43">
        <f t="shared" ref="T521" si="767">SUM(R521:S521)</f>
        <v>0</v>
      </c>
      <c r="U521" s="37"/>
      <c r="V521" s="10"/>
      <c r="W521" s="43">
        <f t="shared" ref="W521" si="768">SUM(U521:V521)</f>
        <v>0</v>
      </c>
      <c r="X521" s="8">
        <f t="shared" ref="X521" si="769">SUM(W521,T521,Q521)</f>
        <v>0</v>
      </c>
    </row>
    <row r="522" spans="2:25" x14ac:dyDescent="0.15">
      <c r="B522" s="7"/>
      <c r="C522" s="30"/>
      <c r="D522" s="25"/>
      <c r="E522" s="43">
        <f t="shared" si="729"/>
        <v>0</v>
      </c>
      <c r="F522" s="35"/>
      <c r="G522" s="8"/>
      <c r="H522" s="43">
        <f t="shared" si="730"/>
        <v>0</v>
      </c>
      <c r="I522" s="35"/>
      <c r="J522" s="8"/>
      <c r="K522" s="43">
        <f t="shared" si="731"/>
        <v>0</v>
      </c>
      <c r="L522" s="8">
        <f t="shared" si="732"/>
        <v>0</v>
      </c>
      <c r="N522" s="7"/>
      <c r="O522" s="33"/>
      <c r="P522" s="27"/>
      <c r="Q522" s="43">
        <f t="shared" ref="Q522:Q524" si="770">SUM(O522:P522)</f>
        <v>0</v>
      </c>
      <c r="R522" s="37"/>
      <c r="S522" s="10"/>
      <c r="T522" s="43">
        <f t="shared" ref="T522:T524" si="771">SUM(R522:S522)</f>
        <v>0</v>
      </c>
      <c r="U522" s="37"/>
      <c r="V522" s="10"/>
      <c r="W522" s="43">
        <f t="shared" ref="W522:W524" si="772">SUM(U522:V522)</f>
        <v>0</v>
      </c>
      <c r="X522" s="8">
        <f t="shared" ref="X522:X524" si="773">SUM(W522,T522,Q522)</f>
        <v>0</v>
      </c>
    </row>
    <row r="523" spans="2:25" x14ac:dyDescent="0.15">
      <c r="B523" s="7"/>
      <c r="C523" s="30"/>
      <c r="D523" s="25"/>
      <c r="E523" s="43">
        <f t="shared" si="729"/>
        <v>0</v>
      </c>
      <c r="F523" s="35"/>
      <c r="G523" s="8"/>
      <c r="H523" s="43">
        <f t="shared" si="730"/>
        <v>0</v>
      </c>
      <c r="I523" s="35"/>
      <c r="J523" s="8"/>
      <c r="K523" s="43">
        <f t="shared" si="731"/>
        <v>0</v>
      </c>
      <c r="L523" s="8">
        <f t="shared" si="732"/>
        <v>0</v>
      </c>
      <c r="N523" s="115" t="s">
        <v>262</v>
      </c>
      <c r="O523" s="116"/>
      <c r="P523" s="112"/>
      <c r="Q523" s="117">
        <f t="shared" si="770"/>
        <v>0</v>
      </c>
      <c r="R523" s="118"/>
      <c r="S523" s="119"/>
      <c r="T523" s="117">
        <f t="shared" si="771"/>
        <v>0</v>
      </c>
      <c r="U523" s="118"/>
      <c r="V523" s="119"/>
      <c r="W523" s="117">
        <f t="shared" si="772"/>
        <v>0</v>
      </c>
      <c r="X523" s="119">
        <f t="shared" si="773"/>
        <v>0</v>
      </c>
    </row>
    <row r="524" spans="2:25" x14ac:dyDescent="0.15">
      <c r="B524" s="7"/>
      <c r="C524" s="30"/>
      <c r="D524" s="25"/>
      <c r="E524" s="43">
        <f t="shared" si="729"/>
        <v>0</v>
      </c>
      <c r="F524" s="35"/>
      <c r="G524" s="8"/>
      <c r="H524" s="43">
        <f t="shared" si="730"/>
        <v>0</v>
      </c>
      <c r="I524" s="35"/>
      <c r="J524" s="8"/>
      <c r="K524" s="43">
        <f t="shared" si="731"/>
        <v>0</v>
      </c>
      <c r="L524" s="8">
        <f t="shared" si="732"/>
        <v>0</v>
      </c>
      <c r="N524" s="7" t="s">
        <v>261</v>
      </c>
      <c r="O524" s="30"/>
      <c r="P524" s="25"/>
      <c r="Q524" s="43">
        <f t="shared" si="770"/>
        <v>0</v>
      </c>
      <c r="R524" s="35"/>
      <c r="S524" s="8"/>
      <c r="T524" s="43">
        <f t="shared" si="771"/>
        <v>0</v>
      </c>
      <c r="U524" s="35"/>
      <c r="V524" s="8"/>
      <c r="W524" s="43">
        <f t="shared" si="772"/>
        <v>0</v>
      </c>
      <c r="X524" s="8">
        <f t="shared" si="773"/>
        <v>0</v>
      </c>
      <c r="Y524" s="101"/>
    </row>
    <row r="525" spans="2:25" x14ac:dyDescent="0.15">
      <c r="B525" s="7"/>
      <c r="C525" s="30"/>
      <c r="D525" s="25"/>
      <c r="E525" s="43">
        <f t="shared" si="729"/>
        <v>0</v>
      </c>
      <c r="F525" s="35"/>
      <c r="G525" s="8"/>
      <c r="H525" s="43">
        <f t="shared" si="730"/>
        <v>0</v>
      </c>
      <c r="I525" s="35"/>
      <c r="J525" s="8"/>
      <c r="K525" s="43">
        <f t="shared" si="731"/>
        <v>0</v>
      </c>
      <c r="L525" s="8">
        <f t="shared" si="732"/>
        <v>0</v>
      </c>
      <c r="N525" s="115" t="s">
        <v>201</v>
      </c>
      <c r="O525" s="116"/>
      <c r="P525" s="112"/>
      <c r="Q525" s="117">
        <f t="shared" si="737"/>
        <v>0</v>
      </c>
      <c r="R525" s="118"/>
      <c r="S525" s="119"/>
      <c r="T525" s="117">
        <f t="shared" si="738"/>
        <v>0</v>
      </c>
      <c r="U525" s="118"/>
      <c r="V525" s="119"/>
      <c r="W525" s="117">
        <f t="shared" si="739"/>
        <v>0</v>
      </c>
      <c r="X525" s="119">
        <f t="shared" si="740"/>
        <v>0</v>
      </c>
    </row>
    <row r="526" spans="2:25" ht="14.25" thickBot="1" x14ac:dyDescent="0.2">
      <c r="B526" s="7"/>
      <c r="C526" s="30"/>
      <c r="D526" s="25"/>
      <c r="E526" s="43">
        <f t="shared" si="729"/>
        <v>0</v>
      </c>
      <c r="F526" s="35"/>
      <c r="G526" s="8"/>
      <c r="H526" s="43">
        <f t="shared" si="730"/>
        <v>0</v>
      </c>
      <c r="I526" s="35"/>
      <c r="J526" s="8"/>
      <c r="K526" s="43">
        <f t="shared" si="731"/>
        <v>0</v>
      </c>
      <c r="L526" s="8">
        <f t="shared" si="732"/>
        <v>0</v>
      </c>
      <c r="N526" s="7" t="s">
        <v>319</v>
      </c>
      <c r="O526" s="30"/>
      <c r="P526" s="25"/>
      <c r="Q526" s="43">
        <f t="shared" si="737"/>
        <v>0</v>
      </c>
      <c r="R526" s="35"/>
      <c r="S526" s="8"/>
      <c r="T526" s="43">
        <f t="shared" si="738"/>
        <v>0</v>
      </c>
      <c r="U526" s="35"/>
      <c r="V526" s="8"/>
      <c r="W526" s="43">
        <f t="shared" si="739"/>
        <v>0</v>
      </c>
      <c r="X526" s="8">
        <f t="shared" si="740"/>
        <v>0</v>
      </c>
      <c r="Y526" s="52" t="s">
        <v>260</v>
      </c>
    </row>
    <row r="527" spans="2:25" ht="14.25" thickBot="1" x14ac:dyDescent="0.2">
      <c r="B527" s="5" t="s">
        <v>1</v>
      </c>
      <c r="C527" s="32">
        <f>SUM(C502:C526)</f>
        <v>16</v>
      </c>
      <c r="D527" s="19">
        <f>SUM(D502:D526)</f>
        <v>3</v>
      </c>
      <c r="E527" s="44">
        <f t="shared" si="729"/>
        <v>19</v>
      </c>
      <c r="F527" s="32">
        <f>SUM(F502:F526)</f>
        <v>9</v>
      </c>
      <c r="G527" s="19">
        <f>SUM(G502:G526)</f>
        <v>11</v>
      </c>
      <c r="H527" s="44">
        <f t="shared" si="730"/>
        <v>20</v>
      </c>
      <c r="I527" s="32">
        <f>SUM(I502:I526)</f>
        <v>19</v>
      </c>
      <c r="J527" s="19">
        <f>SUM(J502:J526)</f>
        <v>7</v>
      </c>
      <c r="K527" s="44">
        <f t="shared" si="731"/>
        <v>26</v>
      </c>
      <c r="L527" s="4">
        <f t="shared" si="732"/>
        <v>65</v>
      </c>
      <c r="N527" s="5" t="s">
        <v>1</v>
      </c>
      <c r="O527" s="32">
        <f>SUM(O502:O526)</f>
        <v>70</v>
      </c>
      <c r="P527" s="19">
        <f t="shared" ref="P527" si="774">SUM(P502:P526)</f>
        <v>95</v>
      </c>
      <c r="Q527" s="44">
        <f t="shared" ref="Q527" si="775">SUM(Q502:Q526)</f>
        <v>165</v>
      </c>
      <c r="R527" s="32">
        <f t="shared" ref="R527" si="776">SUM(R502:R526)</f>
        <v>55</v>
      </c>
      <c r="S527" s="19">
        <f t="shared" ref="S527" si="777">SUM(S502:S526)</f>
        <v>100</v>
      </c>
      <c r="T527" s="44">
        <f t="shared" ref="T527" si="778">SUM(T502:T526)</f>
        <v>155</v>
      </c>
      <c r="U527" s="32">
        <f t="shared" ref="U527" si="779">SUM(U502:U526)</f>
        <v>50</v>
      </c>
      <c r="V527" s="19">
        <f t="shared" ref="V527" si="780">SUM(V502:V526)</f>
        <v>55</v>
      </c>
      <c r="W527" s="44">
        <f t="shared" ref="W527" si="781">SUM(W502:W526)</f>
        <v>105</v>
      </c>
      <c r="X527" s="4">
        <f t="shared" ref="X527" si="782">SUM(X502:X526)</f>
        <v>425</v>
      </c>
    </row>
    <row r="528" spans="2:25" ht="14.25" thickBot="1" x14ac:dyDescent="0.2">
      <c r="B528" s="3" t="s">
        <v>0</v>
      </c>
      <c r="C528" s="34">
        <f>+C501-C527</f>
        <v>12</v>
      </c>
      <c r="D528" s="2">
        <f>+D501-D527</f>
        <v>22</v>
      </c>
      <c r="E528" s="45">
        <f t="shared" si="729"/>
        <v>34</v>
      </c>
      <c r="F528" s="34">
        <f>+F501-F527</f>
        <v>21</v>
      </c>
      <c r="G528" s="2">
        <f>+G501-G527</f>
        <v>13</v>
      </c>
      <c r="H528" s="45">
        <f t="shared" si="730"/>
        <v>34</v>
      </c>
      <c r="I528" s="34">
        <f>+I501-I527</f>
        <v>7</v>
      </c>
      <c r="J528" s="2">
        <f>+J501-J527</f>
        <v>15</v>
      </c>
      <c r="K528" s="45">
        <f t="shared" si="731"/>
        <v>22</v>
      </c>
      <c r="L528" s="2">
        <f t="shared" si="732"/>
        <v>90</v>
      </c>
      <c r="N528" s="3" t="s">
        <v>0</v>
      </c>
      <c r="O528" s="34">
        <f>+O501-O527</f>
        <v>320</v>
      </c>
      <c r="P528" s="2">
        <f t="shared" ref="P528" si="783">+P501-P527</f>
        <v>363</v>
      </c>
      <c r="Q528" s="45">
        <f t="shared" ref="Q528" si="784">+Q501-Q527</f>
        <v>683</v>
      </c>
      <c r="R528" s="34">
        <f t="shared" ref="R528" si="785">+R501-R527</f>
        <v>358</v>
      </c>
      <c r="S528" s="2">
        <f t="shared" ref="S528" si="786">+S501-S527</f>
        <v>461</v>
      </c>
      <c r="T528" s="45">
        <f t="shared" ref="T528" si="787">+T501-T527</f>
        <v>819</v>
      </c>
      <c r="U528" s="34">
        <f t="shared" ref="U528" si="788">+U501-U527</f>
        <v>489</v>
      </c>
      <c r="V528" s="2">
        <f t="shared" ref="V528" si="789">+V501-V527</f>
        <v>518</v>
      </c>
      <c r="W528" s="45">
        <f t="shared" ref="W528" si="790">+W501-W527</f>
        <v>1007</v>
      </c>
      <c r="X528" s="2">
        <f t="shared" ref="X528" si="791">+X501-X527</f>
        <v>2509</v>
      </c>
    </row>
    <row r="532" spans="2:25" ht="18.75" x14ac:dyDescent="0.2">
      <c r="B532" s="23" t="s">
        <v>11</v>
      </c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N532" s="47" t="s">
        <v>25</v>
      </c>
      <c r="O532" s="48"/>
      <c r="P532" s="48"/>
      <c r="Q532" s="48"/>
      <c r="R532" s="48"/>
      <c r="S532" s="48"/>
      <c r="T532" s="48"/>
      <c r="U532" s="48"/>
      <c r="V532" s="48"/>
      <c r="W532" s="48"/>
      <c r="X532" s="48"/>
    </row>
    <row r="533" spans="2:25" ht="15" thickBot="1" x14ac:dyDescent="0.2">
      <c r="B533" s="22" t="s">
        <v>147</v>
      </c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N533" s="49" t="s">
        <v>148</v>
      </c>
      <c r="O533" s="48"/>
      <c r="P533" s="48"/>
      <c r="Q533" s="48"/>
      <c r="R533" s="48"/>
      <c r="S533" s="48"/>
      <c r="T533" s="48"/>
      <c r="U533" s="48"/>
      <c r="V533" s="48"/>
      <c r="W533" s="48"/>
      <c r="X533" s="48"/>
    </row>
    <row r="534" spans="2:25" ht="14.25" thickBot="1" x14ac:dyDescent="0.2">
      <c r="B534" s="20"/>
      <c r="C534" s="208" t="s">
        <v>9</v>
      </c>
      <c r="D534" s="209"/>
      <c r="E534" s="210"/>
      <c r="F534" s="208" t="s">
        <v>8</v>
      </c>
      <c r="G534" s="209"/>
      <c r="H534" s="210"/>
      <c r="I534" s="208" t="s">
        <v>7</v>
      </c>
      <c r="J534" s="209"/>
      <c r="K534" s="210"/>
      <c r="L534" s="19"/>
      <c r="N534" s="20"/>
      <c r="O534" s="113" t="s">
        <v>9</v>
      </c>
      <c r="P534" s="114"/>
      <c r="Q534" s="46"/>
      <c r="R534" s="113" t="s">
        <v>8</v>
      </c>
      <c r="S534" s="114"/>
      <c r="T534" s="46"/>
      <c r="U534" s="113" t="s">
        <v>7</v>
      </c>
      <c r="V534" s="114"/>
      <c r="W534" s="46"/>
      <c r="X534" s="19"/>
    </row>
    <row r="535" spans="2:25" ht="14.25" thickBot="1" x14ac:dyDescent="0.2">
      <c r="B535" s="18"/>
      <c r="C535" s="28" t="s">
        <v>6</v>
      </c>
      <c r="D535" s="17" t="s">
        <v>5</v>
      </c>
      <c r="E535" s="38" t="s">
        <v>4</v>
      </c>
      <c r="F535" s="28" t="s">
        <v>6</v>
      </c>
      <c r="G535" s="17" t="s">
        <v>5</v>
      </c>
      <c r="H535" s="38" t="s">
        <v>4</v>
      </c>
      <c r="I535" s="28" t="s">
        <v>6</v>
      </c>
      <c r="J535" s="17" t="s">
        <v>5</v>
      </c>
      <c r="K535" s="38" t="s">
        <v>4</v>
      </c>
      <c r="L535" s="17" t="s">
        <v>4</v>
      </c>
      <c r="N535" s="18"/>
      <c r="O535" s="28" t="s">
        <v>6</v>
      </c>
      <c r="P535" s="17" t="s">
        <v>5</v>
      </c>
      <c r="Q535" s="38" t="s">
        <v>4</v>
      </c>
      <c r="R535" s="28" t="s">
        <v>6</v>
      </c>
      <c r="S535" s="17" t="s">
        <v>5</v>
      </c>
      <c r="T535" s="38" t="s">
        <v>4</v>
      </c>
      <c r="U535" s="28" t="s">
        <v>6</v>
      </c>
      <c r="V535" s="17" t="s">
        <v>5</v>
      </c>
      <c r="W535" s="38" t="s">
        <v>4</v>
      </c>
      <c r="X535" s="17" t="s">
        <v>4</v>
      </c>
    </row>
    <row r="536" spans="2:25" x14ac:dyDescent="0.15">
      <c r="B536" s="66" t="s">
        <v>0</v>
      </c>
      <c r="C536" s="67">
        <f>C528</f>
        <v>12</v>
      </c>
      <c r="D536" s="68">
        <f t="shared" ref="D536:K536" si="792">D528</f>
        <v>22</v>
      </c>
      <c r="E536" s="69">
        <f t="shared" si="792"/>
        <v>34</v>
      </c>
      <c r="F536" s="67">
        <f t="shared" si="792"/>
        <v>21</v>
      </c>
      <c r="G536" s="68">
        <f t="shared" si="792"/>
        <v>13</v>
      </c>
      <c r="H536" s="69">
        <f t="shared" si="792"/>
        <v>34</v>
      </c>
      <c r="I536" s="67">
        <f t="shared" si="792"/>
        <v>7</v>
      </c>
      <c r="J536" s="68">
        <f t="shared" si="792"/>
        <v>15</v>
      </c>
      <c r="K536" s="69">
        <f t="shared" si="792"/>
        <v>22</v>
      </c>
      <c r="L536" s="70">
        <f>SUM(K536,H536,E536)</f>
        <v>90</v>
      </c>
      <c r="N536" s="66" t="s">
        <v>0</v>
      </c>
      <c r="O536" s="72">
        <f>O528</f>
        <v>320</v>
      </c>
      <c r="P536" s="80">
        <f t="shared" ref="P536:X536" si="793">P528</f>
        <v>363</v>
      </c>
      <c r="Q536" s="69">
        <f t="shared" si="793"/>
        <v>683</v>
      </c>
      <c r="R536" s="72">
        <f t="shared" si="793"/>
        <v>358</v>
      </c>
      <c r="S536" s="80">
        <f t="shared" si="793"/>
        <v>461</v>
      </c>
      <c r="T536" s="69">
        <f t="shared" si="793"/>
        <v>819</v>
      </c>
      <c r="U536" s="72">
        <f t="shared" si="793"/>
        <v>489</v>
      </c>
      <c r="V536" s="80">
        <f t="shared" si="793"/>
        <v>518</v>
      </c>
      <c r="W536" s="69">
        <f t="shared" si="793"/>
        <v>1007</v>
      </c>
      <c r="X536" s="70">
        <f t="shared" si="793"/>
        <v>2509</v>
      </c>
    </row>
    <row r="537" spans="2:25" x14ac:dyDescent="0.15">
      <c r="B537" s="16" t="s">
        <v>57</v>
      </c>
      <c r="C537" s="30"/>
      <c r="D537" s="25"/>
      <c r="E537" s="40">
        <f t="shared" ref="E537:E538" si="794">SUM(C537:D537)</f>
        <v>0</v>
      </c>
      <c r="F537" s="35"/>
      <c r="G537" s="8"/>
      <c r="H537" s="40">
        <f t="shared" ref="H537:H538" si="795">SUM(F537:G537)</f>
        <v>0</v>
      </c>
      <c r="I537" s="35">
        <v>1</v>
      </c>
      <c r="J537" s="8"/>
      <c r="K537" s="40">
        <f t="shared" ref="K537:K538" si="796">SUM(I537:J537)</f>
        <v>1</v>
      </c>
      <c r="L537" s="9">
        <f t="shared" ref="L537:L538" si="797">SUM(K537,H537,E537)</f>
        <v>1</v>
      </c>
      <c r="M537" s="53">
        <v>45547</v>
      </c>
      <c r="N537" s="16" t="s">
        <v>222</v>
      </c>
      <c r="O537" s="62">
        <v>31</v>
      </c>
      <c r="P537" s="81">
        <v>10</v>
      </c>
      <c r="Q537" s="40">
        <f t="shared" ref="Q537:Q567" si="798">SUM(O537:P537)</f>
        <v>41</v>
      </c>
      <c r="R537" s="78">
        <v>4</v>
      </c>
      <c r="S537" s="82">
        <v>15</v>
      </c>
      <c r="T537" s="40">
        <f t="shared" ref="T537:T567" si="799">SUM(R537:S537)</f>
        <v>19</v>
      </c>
      <c r="U537" s="78">
        <v>14</v>
      </c>
      <c r="V537" s="82">
        <v>3</v>
      </c>
      <c r="W537" s="40">
        <f t="shared" ref="W537:W567" si="800">SUM(U537:V537)</f>
        <v>17</v>
      </c>
      <c r="X537" s="25">
        <f t="shared" ref="X537:X567" si="801">SUM(W537,T537,Q537)</f>
        <v>77</v>
      </c>
      <c r="Y537" s="53">
        <v>45584</v>
      </c>
    </row>
    <row r="538" spans="2:25" x14ac:dyDescent="0.15">
      <c r="B538" s="16" t="s">
        <v>214</v>
      </c>
      <c r="C538" s="30"/>
      <c r="D538" s="25"/>
      <c r="E538" s="40">
        <f t="shared" si="794"/>
        <v>0</v>
      </c>
      <c r="F538" s="35"/>
      <c r="G538" s="8"/>
      <c r="H538" s="40">
        <f t="shared" si="795"/>
        <v>0</v>
      </c>
      <c r="I538" s="35">
        <v>4</v>
      </c>
      <c r="J538" s="8">
        <v>12</v>
      </c>
      <c r="K538" s="40">
        <f t="shared" si="796"/>
        <v>16</v>
      </c>
      <c r="L538" s="9">
        <f t="shared" si="797"/>
        <v>16</v>
      </c>
      <c r="M538" s="53">
        <v>45553</v>
      </c>
      <c r="N538" s="55" t="s">
        <v>3</v>
      </c>
      <c r="O538" s="62"/>
      <c r="P538" s="81"/>
      <c r="Q538" s="40">
        <f t="shared" si="798"/>
        <v>0</v>
      </c>
      <c r="R538" s="78"/>
      <c r="S538" s="82"/>
      <c r="T538" s="40">
        <f t="shared" si="799"/>
        <v>0</v>
      </c>
      <c r="U538" s="78"/>
      <c r="V538" s="82"/>
      <c r="W538" s="40">
        <f t="shared" si="800"/>
        <v>0</v>
      </c>
      <c r="X538" s="25">
        <f t="shared" si="801"/>
        <v>0</v>
      </c>
    </row>
    <row r="539" spans="2:25" x14ac:dyDescent="0.15">
      <c r="B539" s="16" t="s">
        <v>222</v>
      </c>
      <c r="C539" s="30"/>
      <c r="D539" s="25"/>
      <c r="E539" s="40">
        <f t="shared" ref="E539:E569" si="802">SUM(C539:D539)</f>
        <v>0</v>
      </c>
      <c r="F539" s="35">
        <v>2</v>
      </c>
      <c r="G539" s="8"/>
      <c r="H539" s="40">
        <f t="shared" ref="H539:H569" si="803">SUM(F539:G539)</f>
        <v>2</v>
      </c>
      <c r="I539" s="35"/>
      <c r="J539" s="8"/>
      <c r="K539" s="40">
        <f t="shared" ref="K539:K569" si="804">SUM(I539:J539)</f>
        <v>0</v>
      </c>
      <c r="L539" s="9">
        <f t="shared" ref="L539:L569" si="805">SUM(K539,H539,E539)</f>
        <v>2</v>
      </c>
      <c r="M539" s="53">
        <v>45554</v>
      </c>
      <c r="N539" s="55" t="s">
        <v>3</v>
      </c>
      <c r="O539" s="62"/>
      <c r="P539" s="81"/>
      <c r="Q539" s="40">
        <f t="shared" si="798"/>
        <v>0</v>
      </c>
      <c r="R539" s="78"/>
      <c r="S539" s="82"/>
      <c r="T539" s="40">
        <f t="shared" si="799"/>
        <v>0</v>
      </c>
      <c r="U539" s="78"/>
      <c r="V539" s="82"/>
      <c r="W539" s="40">
        <f t="shared" si="800"/>
        <v>0</v>
      </c>
      <c r="X539" s="25">
        <f t="shared" si="801"/>
        <v>0</v>
      </c>
    </row>
    <row r="540" spans="2:25" x14ac:dyDescent="0.15">
      <c r="B540" s="16" t="s">
        <v>57</v>
      </c>
      <c r="C540" s="30"/>
      <c r="D540" s="25"/>
      <c r="E540" s="40">
        <f t="shared" si="802"/>
        <v>0</v>
      </c>
      <c r="F540" s="35"/>
      <c r="G540" s="8"/>
      <c r="H540" s="40">
        <f t="shared" si="803"/>
        <v>0</v>
      </c>
      <c r="I540" s="35">
        <v>1</v>
      </c>
      <c r="J540" s="8"/>
      <c r="K540" s="40">
        <f t="shared" si="804"/>
        <v>1</v>
      </c>
      <c r="L540" s="9">
        <f t="shared" si="805"/>
        <v>1</v>
      </c>
      <c r="M540" s="53">
        <v>45562</v>
      </c>
      <c r="N540" s="55" t="s">
        <v>3</v>
      </c>
      <c r="O540" s="62"/>
      <c r="P540" s="81"/>
      <c r="Q540" s="40">
        <f t="shared" si="798"/>
        <v>0</v>
      </c>
      <c r="R540" s="78"/>
      <c r="S540" s="82"/>
      <c r="T540" s="40">
        <f t="shared" si="799"/>
        <v>0</v>
      </c>
      <c r="U540" s="78"/>
      <c r="V540" s="82"/>
      <c r="W540" s="40">
        <f t="shared" si="800"/>
        <v>0</v>
      </c>
      <c r="X540" s="25">
        <f t="shared" si="801"/>
        <v>0</v>
      </c>
    </row>
    <row r="541" spans="2:25" ht="14.25" thickBot="1" x14ac:dyDescent="0.2">
      <c r="B541" s="16" t="s">
        <v>222</v>
      </c>
      <c r="C541" s="31">
        <v>1</v>
      </c>
      <c r="D541" s="26">
        <v>2</v>
      </c>
      <c r="E541" s="41">
        <f t="shared" si="802"/>
        <v>3</v>
      </c>
      <c r="F541" s="36"/>
      <c r="G541" s="6">
        <v>2</v>
      </c>
      <c r="H541" s="41">
        <f t="shared" si="803"/>
        <v>2</v>
      </c>
      <c r="I541" s="36">
        <v>3</v>
      </c>
      <c r="J541" s="6">
        <v>2</v>
      </c>
      <c r="K541" s="41">
        <f t="shared" si="804"/>
        <v>5</v>
      </c>
      <c r="L541" s="14">
        <f t="shared" si="805"/>
        <v>10</v>
      </c>
      <c r="M541" s="53">
        <v>45582</v>
      </c>
      <c r="N541" s="75" t="s">
        <v>3</v>
      </c>
      <c r="O541" s="76"/>
      <c r="P541" s="83"/>
      <c r="Q541" s="41">
        <f t="shared" si="798"/>
        <v>0</v>
      </c>
      <c r="R541" s="76"/>
      <c r="S541" s="83"/>
      <c r="T541" s="41">
        <f t="shared" si="799"/>
        <v>0</v>
      </c>
      <c r="U541" s="76"/>
      <c r="V541" s="83"/>
      <c r="W541" s="41">
        <f t="shared" si="800"/>
        <v>0</v>
      </c>
      <c r="X541" s="77">
        <f t="shared" si="801"/>
        <v>0</v>
      </c>
    </row>
    <row r="542" spans="2:25" ht="14.25" thickBot="1" x14ac:dyDescent="0.2">
      <c r="B542" s="5" t="s">
        <v>2</v>
      </c>
      <c r="C542" s="32">
        <f>SUM(C536:C541)</f>
        <v>13</v>
      </c>
      <c r="D542" s="19">
        <f>SUM(D536:D541)</f>
        <v>24</v>
      </c>
      <c r="E542" s="42">
        <f t="shared" si="802"/>
        <v>37</v>
      </c>
      <c r="F542" s="32">
        <f>SUM(F536:F541)</f>
        <v>23</v>
      </c>
      <c r="G542" s="19">
        <f>SUM(G536:G541)</f>
        <v>15</v>
      </c>
      <c r="H542" s="42">
        <f t="shared" si="803"/>
        <v>38</v>
      </c>
      <c r="I542" s="32">
        <f>SUM(I536:I541)</f>
        <v>16</v>
      </c>
      <c r="J542" s="19">
        <f>SUM(J536:J541)</f>
        <v>29</v>
      </c>
      <c r="K542" s="42">
        <f t="shared" si="804"/>
        <v>45</v>
      </c>
      <c r="L542" s="13">
        <f t="shared" si="805"/>
        <v>120</v>
      </c>
      <c r="N542" s="63" t="s">
        <v>2</v>
      </c>
      <c r="O542" s="32">
        <f>SUM(O536:O541)</f>
        <v>351</v>
      </c>
      <c r="P542" s="19">
        <f t="shared" ref="P542" si="806">SUM(P536:P541)</f>
        <v>373</v>
      </c>
      <c r="Q542" s="42">
        <f t="shared" ref="Q542" si="807">SUM(Q536:Q541)</f>
        <v>724</v>
      </c>
      <c r="R542" s="32">
        <f t="shared" ref="R542" si="808">SUM(R536:R541)</f>
        <v>362</v>
      </c>
      <c r="S542" s="19">
        <f t="shared" ref="S542" si="809">SUM(S536:S541)</f>
        <v>476</v>
      </c>
      <c r="T542" s="42">
        <f t="shared" ref="T542" si="810">SUM(T536:T541)</f>
        <v>838</v>
      </c>
      <c r="U542" s="32">
        <f t="shared" ref="U542" si="811">SUM(U536:U541)</f>
        <v>503</v>
      </c>
      <c r="V542" s="19">
        <f t="shared" ref="V542" si="812">SUM(V536:V541)</f>
        <v>521</v>
      </c>
      <c r="W542" s="42">
        <f t="shared" ref="W542" si="813">SUM(W536:W541)</f>
        <v>1024</v>
      </c>
      <c r="X542" s="13">
        <f t="shared" ref="X542" si="814">SUM(X536:X541)</f>
        <v>2586</v>
      </c>
    </row>
    <row r="543" spans="2:25" x14ac:dyDescent="0.15">
      <c r="B543" s="7" t="s">
        <v>12</v>
      </c>
      <c r="C543" s="30"/>
      <c r="D543" s="25"/>
      <c r="E543" s="43">
        <f t="shared" ref="E543:E554" si="815">SUM(C543:D543)</f>
        <v>0</v>
      </c>
      <c r="F543" s="35"/>
      <c r="G543" s="8">
        <v>1</v>
      </c>
      <c r="H543" s="43">
        <f t="shared" ref="H543:H554" si="816">SUM(F543:G543)</f>
        <v>1</v>
      </c>
      <c r="I543" s="35"/>
      <c r="J543" s="8"/>
      <c r="K543" s="43">
        <f t="shared" ref="K543:K554" si="817">SUM(I543:J543)</f>
        <v>0</v>
      </c>
      <c r="L543" s="8">
        <f t="shared" ref="L543:L554" si="818">SUM(K543,H543,E543)</f>
        <v>1</v>
      </c>
      <c r="M543" s="53">
        <v>45537</v>
      </c>
      <c r="N543" s="7" t="s">
        <v>307</v>
      </c>
      <c r="O543" s="30">
        <v>5</v>
      </c>
      <c r="P543" s="25">
        <v>10</v>
      </c>
      <c r="Q543" s="43">
        <f t="shared" ref="Q543:Q545" si="819">SUM(O543:P543)</f>
        <v>15</v>
      </c>
      <c r="R543" s="35">
        <v>3</v>
      </c>
      <c r="S543" s="8">
        <v>5</v>
      </c>
      <c r="T543" s="43">
        <f t="shared" ref="T543:T545" si="820">SUM(R543:S543)</f>
        <v>8</v>
      </c>
      <c r="U543" s="35">
        <v>3</v>
      </c>
      <c r="V543" s="8"/>
      <c r="W543" s="43">
        <f t="shared" ref="W543:W545" si="821">SUM(U543:V543)</f>
        <v>3</v>
      </c>
      <c r="X543" s="8">
        <f t="shared" ref="X543:X545" si="822">SUM(W543,T543,Q543)</f>
        <v>26</v>
      </c>
      <c r="Y543" s="53">
        <v>45541</v>
      </c>
    </row>
    <row r="544" spans="2:25" x14ac:dyDescent="0.15">
      <c r="B544" s="7" t="s">
        <v>12</v>
      </c>
      <c r="C544" s="30"/>
      <c r="D544" s="25">
        <v>1</v>
      </c>
      <c r="E544" s="43">
        <f t="shared" si="815"/>
        <v>1</v>
      </c>
      <c r="F544" s="35"/>
      <c r="G544" s="8"/>
      <c r="H544" s="43">
        <f t="shared" si="816"/>
        <v>0</v>
      </c>
      <c r="I544" s="35"/>
      <c r="J544" s="8">
        <v>1</v>
      </c>
      <c r="K544" s="43">
        <f t="shared" si="817"/>
        <v>1</v>
      </c>
      <c r="L544" s="8">
        <f t="shared" si="818"/>
        <v>2</v>
      </c>
      <c r="M544" s="53">
        <v>45541</v>
      </c>
      <c r="N544" s="7" t="s">
        <v>322</v>
      </c>
      <c r="O544" s="30">
        <v>4</v>
      </c>
      <c r="P544" s="25">
        <v>2</v>
      </c>
      <c r="Q544" s="43">
        <f t="shared" si="819"/>
        <v>6</v>
      </c>
      <c r="R544" s="35"/>
      <c r="S544" s="8"/>
      <c r="T544" s="43">
        <f t="shared" si="820"/>
        <v>0</v>
      </c>
      <c r="U544" s="35">
        <v>1</v>
      </c>
      <c r="V544" s="8"/>
      <c r="W544" s="43">
        <f t="shared" si="821"/>
        <v>1</v>
      </c>
      <c r="X544" s="8">
        <f t="shared" si="822"/>
        <v>7</v>
      </c>
      <c r="Y544" s="53">
        <v>45548</v>
      </c>
    </row>
    <row r="545" spans="2:25" x14ac:dyDescent="0.15">
      <c r="B545" s="7" t="s">
        <v>130</v>
      </c>
      <c r="C545" s="30"/>
      <c r="D545" s="25"/>
      <c r="E545" s="43">
        <f t="shared" si="815"/>
        <v>0</v>
      </c>
      <c r="F545" s="35"/>
      <c r="G545" s="8"/>
      <c r="H545" s="43">
        <f t="shared" si="816"/>
        <v>0</v>
      </c>
      <c r="I545" s="35"/>
      <c r="J545" s="8">
        <v>1</v>
      </c>
      <c r="K545" s="43">
        <f t="shared" si="817"/>
        <v>1</v>
      </c>
      <c r="L545" s="8">
        <f t="shared" si="818"/>
        <v>1</v>
      </c>
      <c r="M545" s="53">
        <v>45546</v>
      </c>
      <c r="N545" s="7" t="s">
        <v>324</v>
      </c>
      <c r="O545" s="30"/>
      <c r="P545" s="25"/>
      <c r="Q545" s="43">
        <f t="shared" si="819"/>
        <v>0</v>
      </c>
      <c r="R545" s="35"/>
      <c r="S545" s="8">
        <v>3</v>
      </c>
      <c r="T545" s="43">
        <f t="shared" si="820"/>
        <v>3</v>
      </c>
      <c r="U545" s="35"/>
      <c r="V545" s="8"/>
      <c r="W545" s="43">
        <f t="shared" si="821"/>
        <v>0</v>
      </c>
      <c r="X545" s="8">
        <f t="shared" si="822"/>
        <v>3</v>
      </c>
      <c r="Y545" s="53">
        <v>45554</v>
      </c>
    </row>
    <row r="546" spans="2:25" x14ac:dyDescent="0.15">
      <c r="B546" s="7" t="s">
        <v>321</v>
      </c>
      <c r="C546" s="30"/>
      <c r="D546" s="25"/>
      <c r="E546" s="43">
        <f t="shared" si="815"/>
        <v>0</v>
      </c>
      <c r="F546" s="35"/>
      <c r="G546" s="8"/>
      <c r="H546" s="43">
        <f t="shared" si="816"/>
        <v>0</v>
      </c>
      <c r="I546" s="35"/>
      <c r="J546" s="8">
        <v>3</v>
      </c>
      <c r="K546" s="43">
        <f t="shared" si="817"/>
        <v>3</v>
      </c>
      <c r="L546" s="8">
        <f t="shared" si="818"/>
        <v>3</v>
      </c>
      <c r="M546" s="53">
        <v>45546</v>
      </c>
      <c r="N546" s="7" t="s">
        <v>325</v>
      </c>
      <c r="O546" s="30">
        <v>8</v>
      </c>
      <c r="P546" s="25">
        <v>6</v>
      </c>
      <c r="Q546" s="43">
        <f t="shared" si="798"/>
        <v>14</v>
      </c>
      <c r="R546" s="35"/>
      <c r="S546" s="8"/>
      <c r="T546" s="43">
        <f t="shared" si="799"/>
        <v>0</v>
      </c>
      <c r="U546" s="35">
        <v>4</v>
      </c>
      <c r="V546" s="8">
        <v>2</v>
      </c>
      <c r="W546" s="43">
        <f t="shared" si="800"/>
        <v>6</v>
      </c>
      <c r="X546" s="8">
        <f t="shared" si="801"/>
        <v>20</v>
      </c>
      <c r="Y546" s="53">
        <v>45560</v>
      </c>
    </row>
    <row r="547" spans="2:25" x14ac:dyDescent="0.15">
      <c r="B547" s="7" t="s">
        <v>323</v>
      </c>
      <c r="C547" s="30"/>
      <c r="D547" s="25"/>
      <c r="E547" s="43">
        <f t="shared" si="815"/>
        <v>0</v>
      </c>
      <c r="F547" s="35">
        <v>1</v>
      </c>
      <c r="G547" s="8"/>
      <c r="H547" s="43">
        <f t="shared" si="816"/>
        <v>1</v>
      </c>
      <c r="I547" s="35"/>
      <c r="J547" s="8"/>
      <c r="K547" s="43">
        <f t="shared" si="817"/>
        <v>0</v>
      </c>
      <c r="L547" s="8">
        <f t="shared" si="818"/>
        <v>1</v>
      </c>
      <c r="M547" s="53">
        <v>45552</v>
      </c>
      <c r="N547" s="7" t="s">
        <v>28</v>
      </c>
      <c r="O547" s="30">
        <v>1</v>
      </c>
      <c r="P547" s="25">
        <v>2</v>
      </c>
      <c r="Q547" s="43">
        <f t="shared" si="798"/>
        <v>3</v>
      </c>
      <c r="R547" s="35"/>
      <c r="S547" s="8"/>
      <c r="T547" s="43">
        <f t="shared" si="799"/>
        <v>0</v>
      </c>
      <c r="U547" s="35"/>
      <c r="V547" s="8">
        <v>1</v>
      </c>
      <c r="W547" s="43">
        <f t="shared" si="800"/>
        <v>1</v>
      </c>
      <c r="X547" s="8">
        <f t="shared" si="801"/>
        <v>4</v>
      </c>
      <c r="Y547" s="53">
        <v>45693</v>
      </c>
    </row>
    <row r="548" spans="2:25" x14ac:dyDescent="0.15">
      <c r="B548" s="7" t="s">
        <v>12</v>
      </c>
      <c r="C548" s="30">
        <v>1</v>
      </c>
      <c r="D548" s="25"/>
      <c r="E548" s="43">
        <f t="shared" si="815"/>
        <v>1</v>
      </c>
      <c r="F548" s="35"/>
      <c r="G548" s="8"/>
      <c r="H548" s="43">
        <f t="shared" si="816"/>
        <v>0</v>
      </c>
      <c r="I548" s="35"/>
      <c r="J548" s="8"/>
      <c r="K548" s="43">
        <f t="shared" si="817"/>
        <v>0</v>
      </c>
      <c r="L548" s="8">
        <f t="shared" si="818"/>
        <v>1</v>
      </c>
      <c r="M548" s="53">
        <v>45548</v>
      </c>
      <c r="N548" s="7"/>
      <c r="O548" s="30"/>
      <c r="P548" s="25"/>
      <c r="Q548" s="43">
        <f t="shared" si="798"/>
        <v>0</v>
      </c>
      <c r="R548" s="35"/>
      <c r="S548" s="8"/>
      <c r="T548" s="43">
        <f t="shared" si="799"/>
        <v>0</v>
      </c>
      <c r="U548" s="35"/>
      <c r="V548" s="8"/>
      <c r="W548" s="43">
        <f t="shared" si="800"/>
        <v>0</v>
      </c>
      <c r="X548" s="8">
        <f t="shared" si="801"/>
        <v>0</v>
      </c>
    </row>
    <row r="549" spans="2:25" x14ac:dyDescent="0.15">
      <c r="B549" s="7" t="s">
        <v>134</v>
      </c>
      <c r="C549" s="30"/>
      <c r="D549" s="25"/>
      <c r="E549" s="43">
        <f t="shared" ref="E549" si="823">SUM(C549:D549)</f>
        <v>0</v>
      </c>
      <c r="F549" s="35"/>
      <c r="G549" s="8"/>
      <c r="H549" s="43">
        <f t="shared" ref="H549" si="824">SUM(F549:G549)</f>
        <v>0</v>
      </c>
      <c r="I549" s="35">
        <v>1</v>
      </c>
      <c r="J549" s="8"/>
      <c r="K549" s="43">
        <f t="shared" ref="K549" si="825">SUM(I549:J549)</f>
        <v>1</v>
      </c>
      <c r="L549" s="8">
        <f t="shared" ref="L549" si="826">SUM(K549,H549,E549)</f>
        <v>1</v>
      </c>
      <c r="M549" s="53">
        <v>45555</v>
      </c>
      <c r="N549" s="7"/>
      <c r="O549" s="33"/>
      <c r="P549" s="27"/>
      <c r="Q549" s="43">
        <f t="shared" si="798"/>
        <v>0</v>
      </c>
      <c r="R549" s="37"/>
      <c r="S549" s="10"/>
      <c r="T549" s="43">
        <f t="shared" si="799"/>
        <v>0</v>
      </c>
      <c r="U549" s="37"/>
      <c r="V549" s="10"/>
      <c r="W549" s="43">
        <f t="shared" si="800"/>
        <v>0</v>
      </c>
      <c r="X549" s="8">
        <f t="shared" si="801"/>
        <v>0</v>
      </c>
    </row>
    <row r="550" spans="2:25" x14ac:dyDescent="0.15">
      <c r="B550" s="7" t="s">
        <v>135</v>
      </c>
      <c r="C550" s="30"/>
      <c r="D550" s="25">
        <v>1</v>
      </c>
      <c r="E550" s="43">
        <f t="shared" si="815"/>
        <v>1</v>
      </c>
      <c r="F550" s="35"/>
      <c r="G550" s="8"/>
      <c r="H550" s="43">
        <f t="shared" si="816"/>
        <v>0</v>
      </c>
      <c r="I550" s="35"/>
      <c r="J550" s="8">
        <v>1</v>
      </c>
      <c r="K550" s="43">
        <f t="shared" si="817"/>
        <v>1</v>
      </c>
      <c r="L550" s="8">
        <f t="shared" si="818"/>
        <v>2</v>
      </c>
      <c r="M550" s="53">
        <v>45555</v>
      </c>
      <c r="N550" s="7"/>
      <c r="O550" s="33"/>
      <c r="P550" s="27"/>
      <c r="Q550" s="43">
        <f t="shared" si="798"/>
        <v>0</v>
      </c>
      <c r="R550" s="37"/>
      <c r="S550" s="10"/>
      <c r="T550" s="43">
        <f t="shared" si="799"/>
        <v>0</v>
      </c>
      <c r="U550" s="37"/>
      <c r="V550" s="10"/>
      <c r="W550" s="43">
        <f t="shared" si="800"/>
        <v>0</v>
      </c>
      <c r="X550" s="8">
        <f t="shared" si="801"/>
        <v>0</v>
      </c>
    </row>
    <row r="551" spans="2:25" x14ac:dyDescent="0.15">
      <c r="B551" s="7" t="s">
        <v>326</v>
      </c>
      <c r="C551" s="30"/>
      <c r="D551" s="25">
        <v>1</v>
      </c>
      <c r="E551" s="43">
        <f t="shared" si="815"/>
        <v>1</v>
      </c>
      <c r="F551" s="35"/>
      <c r="G551" s="8">
        <v>1</v>
      </c>
      <c r="H551" s="43">
        <f t="shared" si="816"/>
        <v>1</v>
      </c>
      <c r="I551" s="35">
        <v>2</v>
      </c>
      <c r="J551" s="8">
        <v>2</v>
      </c>
      <c r="K551" s="43">
        <f t="shared" si="817"/>
        <v>4</v>
      </c>
      <c r="L551" s="8">
        <f t="shared" si="818"/>
        <v>6</v>
      </c>
      <c r="M551" s="53">
        <v>45555</v>
      </c>
      <c r="N551" s="7"/>
      <c r="O551" s="33"/>
      <c r="P551" s="27"/>
      <c r="Q551" s="43">
        <f t="shared" si="798"/>
        <v>0</v>
      </c>
      <c r="R551" s="37"/>
      <c r="S551" s="10"/>
      <c r="T551" s="43">
        <f t="shared" si="799"/>
        <v>0</v>
      </c>
      <c r="U551" s="37"/>
      <c r="V551" s="10"/>
      <c r="W551" s="43">
        <f t="shared" si="800"/>
        <v>0</v>
      </c>
      <c r="X551" s="8">
        <f t="shared" si="801"/>
        <v>0</v>
      </c>
    </row>
    <row r="552" spans="2:25" x14ac:dyDescent="0.15">
      <c r="B552" s="7" t="s">
        <v>327</v>
      </c>
      <c r="C552" s="30"/>
      <c r="D552" s="25"/>
      <c r="E552" s="43">
        <f t="shared" si="815"/>
        <v>0</v>
      </c>
      <c r="F552" s="35"/>
      <c r="G552" s="8"/>
      <c r="H552" s="43">
        <f t="shared" si="816"/>
        <v>0</v>
      </c>
      <c r="I552" s="35"/>
      <c r="J552" s="8">
        <v>1</v>
      </c>
      <c r="K552" s="43">
        <f t="shared" si="817"/>
        <v>1</v>
      </c>
      <c r="L552" s="8">
        <f t="shared" si="818"/>
        <v>1</v>
      </c>
      <c r="M552" s="53">
        <v>45559</v>
      </c>
      <c r="N552" s="7"/>
      <c r="O552" s="33"/>
      <c r="P552" s="27"/>
      <c r="Q552" s="43">
        <f t="shared" si="798"/>
        <v>0</v>
      </c>
      <c r="R552" s="37"/>
      <c r="S552" s="10"/>
      <c r="T552" s="43">
        <f t="shared" si="799"/>
        <v>0</v>
      </c>
      <c r="U552" s="37"/>
      <c r="V552" s="10"/>
      <c r="W552" s="43">
        <f t="shared" si="800"/>
        <v>0</v>
      </c>
      <c r="X552" s="8">
        <f t="shared" si="801"/>
        <v>0</v>
      </c>
    </row>
    <row r="553" spans="2:25" x14ac:dyDescent="0.15">
      <c r="B553" s="7" t="s">
        <v>12</v>
      </c>
      <c r="C553" s="30">
        <v>3</v>
      </c>
      <c r="D553" s="25"/>
      <c r="E553" s="43">
        <f t="shared" si="815"/>
        <v>3</v>
      </c>
      <c r="F553" s="35"/>
      <c r="G553" s="8"/>
      <c r="H553" s="43">
        <f t="shared" si="816"/>
        <v>0</v>
      </c>
      <c r="I553" s="35"/>
      <c r="J553" s="8"/>
      <c r="K553" s="43">
        <f t="shared" si="817"/>
        <v>0</v>
      </c>
      <c r="L553" s="8">
        <f t="shared" si="818"/>
        <v>3</v>
      </c>
      <c r="M553" s="53">
        <v>45559</v>
      </c>
      <c r="N553" s="7"/>
      <c r="O553" s="33"/>
      <c r="P553" s="27"/>
      <c r="Q553" s="43">
        <f t="shared" si="798"/>
        <v>0</v>
      </c>
      <c r="R553" s="37"/>
      <c r="S553" s="10"/>
      <c r="T553" s="43">
        <f t="shared" si="799"/>
        <v>0</v>
      </c>
      <c r="U553" s="37"/>
      <c r="V553" s="10"/>
      <c r="W553" s="43">
        <f t="shared" si="800"/>
        <v>0</v>
      </c>
      <c r="X553" s="8">
        <f t="shared" si="801"/>
        <v>0</v>
      </c>
    </row>
    <row r="554" spans="2:25" x14ac:dyDescent="0.15">
      <c r="B554" s="7" t="s">
        <v>142</v>
      </c>
      <c r="C554" s="30"/>
      <c r="D554" s="25">
        <v>2</v>
      </c>
      <c r="E554" s="43">
        <f t="shared" si="815"/>
        <v>2</v>
      </c>
      <c r="F554" s="35"/>
      <c r="G554" s="8"/>
      <c r="H554" s="43">
        <f t="shared" si="816"/>
        <v>0</v>
      </c>
      <c r="I554" s="35"/>
      <c r="J554" s="8"/>
      <c r="K554" s="43">
        <f t="shared" si="817"/>
        <v>0</v>
      </c>
      <c r="L554" s="8">
        <f t="shared" si="818"/>
        <v>2</v>
      </c>
      <c r="M554" s="53">
        <v>45562</v>
      </c>
      <c r="N554" s="7"/>
      <c r="O554" s="33"/>
      <c r="P554" s="27"/>
      <c r="Q554" s="43">
        <f t="shared" si="798"/>
        <v>0</v>
      </c>
      <c r="R554" s="37"/>
      <c r="S554" s="10"/>
      <c r="T554" s="43">
        <f t="shared" si="799"/>
        <v>0</v>
      </c>
      <c r="U554" s="37"/>
      <c r="V554" s="10"/>
      <c r="W554" s="43">
        <f t="shared" si="800"/>
        <v>0</v>
      </c>
      <c r="X554" s="8">
        <f t="shared" si="801"/>
        <v>0</v>
      </c>
    </row>
    <row r="555" spans="2:25" x14ac:dyDescent="0.15">
      <c r="B555" s="7" t="s">
        <v>328</v>
      </c>
      <c r="C555" s="30"/>
      <c r="D555" s="25"/>
      <c r="E555" s="43">
        <f t="shared" si="802"/>
        <v>0</v>
      </c>
      <c r="F555" s="35"/>
      <c r="G555" s="8"/>
      <c r="H555" s="43">
        <f t="shared" si="803"/>
        <v>0</v>
      </c>
      <c r="I555" s="35"/>
      <c r="J555" s="8">
        <v>1</v>
      </c>
      <c r="K555" s="43">
        <f t="shared" si="804"/>
        <v>1</v>
      </c>
      <c r="L555" s="8">
        <f t="shared" si="805"/>
        <v>1</v>
      </c>
      <c r="M555" s="53">
        <v>45562</v>
      </c>
      <c r="N555" s="7"/>
      <c r="O555" s="30"/>
      <c r="P555" s="25"/>
      <c r="Q555" s="43">
        <f t="shared" si="798"/>
        <v>0</v>
      </c>
      <c r="R555" s="35"/>
      <c r="S555" s="8"/>
      <c r="T555" s="43">
        <f t="shared" si="799"/>
        <v>0</v>
      </c>
      <c r="U555" s="35"/>
      <c r="V555" s="8"/>
      <c r="W555" s="43">
        <f t="shared" si="800"/>
        <v>0</v>
      </c>
      <c r="X555" s="8">
        <f t="shared" si="801"/>
        <v>0</v>
      </c>
    </row>
    <row r="556" spans="2:25" x14ac:dyDescent="0.15">
      <c r="B556" s="7" t="s">
        <v>12</v>
      </c>
      <c r="C556" s="30"/>
      <c r="D556" s="25">
        <v>1</v>
      </c>
      <c r="E556" s="43">
        <f t="shared" si="802"/>
        <v>1</v>
      </c>
      <c r="F556" s="35"/>
      <c r="G556" s="8"/>
      <c r="H556" s="43">
        <f t="shared" si="803"/>
        <v>0</v>
      </c>
      <c r="I556" s="35"/>
      <c r="J556" s="8"/>
      <c r="K556" s="43">
        <f t="shared" si="804"/>
        <v>0</v>
      </c>
      <c r="L556" s="8">
        <f t="shared" si="805"/>
        <v>1</v>
      </c>
      <c r="M556" s="53">
        <v>45565</v>
      </c>
      <c r="N556" s="7"/>
      <c r="O556" s="33"/>
      <c r="P556" s="27"/>
      <c r="Q556" s="43">
        <f t="shared" si="798"/>
        <v>0</v>
      </c>
      <c r="R556" s="37"/>
      <c r="S556" s="10"/>
      <c r="T556" s="43">
        <f t="shared" si="799"/>
        <v>0</v>
      </c>
      <c r="U556" s="37"/>
      <c r="V556" s="10"/>
      <c r="W556" s="43">
        <f t="shared" si="800"/>
        <v>0</v>
      </c>
      <c r="X556" s="8">
        <f t="shared" si="801"/>
        <v>0</v>
      </c>
    </row>
    <row r="557" spans="2:25" x14ac:dyDescent="0.15">
      <c r="B557" s="7" t="s">
        <v>12</v>
      </c>
      <c r="C557" s="30"/>
      <c r="D557" s="25">
        <v>1</v>
      </c>
      <c r="E557" s="43">
        <f t="shared" si="802"/>
        <v>1</v>
      </c>
      <c r="F557" s="35"/>
      <c r="G557" s="8"/>
      <c r="H557" s="43">
        <f t="shared" si="803"/>
        <v>0</v>
      </c>
      <c r="I557" s="35"/>
      <c r="J557" s="8"/>
      <c r="K557" s="43">
        <f t="shared" si="804"/>
        <v>0</v>
      </c>
      <c r="L557" s="8">
        <f t="shared" si="805"/>
        <v>1</v>
      </c>
      <c r="M557" s="53">
        <v>45569</v>
      </c>
      <c r="N557" s="7"/>
      <c r="O557" s="33"/>
      <c r="P557" s="27"/>
      <c r="Q557" s="43">
        <f t="shared" si="798"/>
        <v>0</v>
      </c>
      <c r="R557" s="37"/>
      <c r="S557" s="10"/>
      <c r="T557" s="43">
        <f t="shared" si="799"/>
        <v>0</v>
      </c>
      <c r="U557" s="37"/>
      <c r="V557" s="10"/>
      <c r="W557" s="43">
        <f t="shared" si="800"/>
        <v>0</v>
      </c>
      <c r="X557" s="8">
        <f t="shared" si="801"/>
        <v>0</v>
      </c>
    </row>
    <row r="558" spans="2:25" x14ac:dyDescent="0.15">
      <c r="B558" s="7" t="s">
        <v>329</v>
      </c>
      <c r="C558" s="30"/>
      <c r="D558" s="25"/>
      <c r="E558" s="43">
        <f t="shared" si="802"/>
        <v>0</v>
      </c>
      <c r="F558" s="35"/>
      <c r="G558" s="8"/>
      <c r="H558" s="43">
        <f t="shared" si="803"/>
        <v>0</v>
      </c>
      <c r="I558" s="35"/>
      <c r="J558" s="8">
        <v>2</v>
      </c>
      <c r="K558" s="43">
        <f t="shared" si="804"/>
        <v>2</v>
      </c>
      <c r="L558" s="8">
        <f t="shared" si="805"/>
        <v>2</v>
      </c>
      <c r="M558" s="53">
        <v>45575</v>
      </c>
      <c r="N558" s="7"/>
      <c r="O558" s="33"/>
      <c r="P558" s="27"/>
      <c r="Q558" s="43">
        <f t="shared" si="798"/>
        <v>0</v>
      </c>
      <c r="R558" s="37"/>
      <c r="S558" s="10"/>
      <c r="T558" s="43">
        <f t="shared" si="799"/>
        <v>0</v>
      </c>
      <c r="U558" s="37"/>
      <c r="V558" s="10"/>
      <c r="W558" s="43">
        <f t="shared" si="800"/>
        <v>0</v>
      </c>
      <c r="X558" s="8">
        <f t="shared" si="801"/>
        <v>0</v>
      </c>
    </row>
    <row r="559" spans="2:25" x14ac:dyDescent="0.15">
      <c r="B559" s="7" t="s">
        <v>330</v>
      </c>
      <c r="C559" s="30"/>
      <c r="D559" s="25"/>
      <c r="E559" s="43">
        <f t="shared" si="802"/>
        <v>0</v>
      </c>
      <c r="F559" s="35">
        <v>2</v>
      </c>
      <c r="G559" s="8"/>
      <c r="H559" s="43">
        <f t="shared" si="803"/>
        <v>2</v>
      </c>
      <c r="I559" s="35"/>
      <c r="J559" s="8"/>
      <c r="K559" s="43">
        <f t="shared" si="804"/>
        <v>0</v>
      </c>
      <c r="L559" s="8">
        <f t="shared" si="805"/>
        <v>2</v>
      </c>
      <c r="M559" s="53">
        <v>45583</v>
      </c>
      <c r="N559" s="7"/>
      <c r="O559" s="33"/>
      <c r="P559" s="27"/>
      <c r="Q559" s="43">
        <f t="shared" si="798"/>
        <v>0</v>
      </c>
      <c r="R559" s="37"/>
      <c r="S559" s="10"/>
      <c r="T559" s="43">
        <f t="shared" si="799"/>
        <v>0</v>
      </c>
      <c r="U559" s="37"/>
      <c r="V559" s="10"/>
      <c r="W559" s="43">
        <f t="shared" si="800"/>
        <v>0</v>
      </c>
      <c r="X559" s="8">
        <f t="shared" si="801"/>
        <v>0</v>
      </c>
    </row>
    <row r="560" spans="2:25" x14ac:dyDescent="0.15">
      <c r="B560" s="7" t="s">
        <v>331</v>
      </c>
      <c r="C560" s="30"/>
      <c r="D560" s="25"/>
      <c r="E560" s="43">
        <f t="shared" si="802"/>
        <v>0</v>
      </c>
      <c r="F560" s="35"/>
      <c r="G560" s="8"/>
      <c r="H560" s="43">
        <f t="shared" si="803"/>
        <v>0</v>
      </c>
      <c r="I560" s="35">
        <v>2</v>
      </c>
      <c r="J560" s="8"/>
      <c r="K560" s="43">
        <f t="shared" si="804"/>
        <v>2</v>
      </c>
      <c r="L560" s="8">
        <f t="shared" si="805"/>
        <v>2</v>
      </c>
      <c r="M560" s="53">
        <v>45588</v>
      </c>
      <c r="N560" s="7"/>
      <c r="O560" s="33"/>
      <c r="P560" s="27"/>
      <c r="Q560" s="43">
        <f t="shared" si="798"/>
        <v>0</v>
      </c>
      <c r="R560" s="37"/>
      <c r="S560" s="10"/>
      <c r="T560" s="43">
        <f t="shared" si="799"/>
        <v>0</v>
      </c>
      <c r="U560" s="37"/>
      <c r="V560" s="10"/>
      <c r="W560" s="43">
        <f t="shared" si="800"/>
        <v>0</v>
      </c>
      <c r="X560" s="8">
        <f t="shared" si="801"/>
        <v>0</v>
      </c>
    </row>
    <row r="561" spans="2:25" x14ac:dyDescent="0.15">
      <c r="B561" s="7" t="s">
        <v>12</v>
      </c>
      <c r="C561" s="30"/>
      <c r="D561" s="25">
        <v>2</v>
      </c>
      <c r="E561" s="43">
        <f t="shared" si="802"/>
        <v>2</v>
      </c>
      <c r="F561" s="35"/>
      <c r="G561" s="8"/>
      <c r="H561" s="43">
        <f t="shared" si="803"/>
        <v>0</v>
      </c>
      <c r="I561" s="35"/>
      <c r="J561" s="8"/>
      <c r="K561" s="43">
        <f t="shared" si="804"/>
        <v>0</v>
      </c>
      <c r="L561" s="8">
        <f t="shared" si="805"/>
        <v>2</v>
      </c>
      <c r="M561" s="53">
        <v>45590</v>
      </c>
      <c r="N561" s="7"/>
      <c r="O561" s="33"/>
      <c r="P561" s="27"/>
      <c r="Q561" s="43">
        <f t="shared" si="798"/>
        <v>0</v>
      </c>
      <c r="R561" s="37"/>
      <c r="S561" s="10"/>
      <c r="T561" s="43">
        <f t="shared" si="799"/>
        <v>0</v>
      </c>
      <c r="U561" s="37"/>
      <c r="V561" s="10"/>
      <c r="W561" s="43">
        <f t="shared" si="800"/>
        <v>0</v>
      </c>
      <c r="X561" s="8">
        <f t="shared" si="801"/>
        <v>0</v>
      </c>
    </row>
    <row r="562" spans="2:25" x14ac:dyDescent="0.15">
      <c r="B562" s="7" t="s">
        <v>12</v>
      </c>
      <c r="C562" s="30">
        <v>2</v>
      </c>
      <c r="D562" s="25">
        <v>1</v>
      </c>
      <c r="E562" s="43">
        <f t="shared" si="802"/>
        <v>3</v>
      </c>
      <c r="F562" s="35"/>
      <c r="G562" s="8"/>
      <c r="H562" s="43">
        <f t="shared" si="803"/>
        <v>0</v>
      </c>
      <c r="I562" s="35"/>
      <c r="J562" s="8"/>
      <c r="K562" s="43">
        <f t="shared" si="804"/>
        <v>0</v>
      </c>
      <c r="L562" s="8">
        <f t="shared" si="805"/>
        <v>3</v>
      </c>
      <c r="M562" s="53">
        <v>45593</v>
      </c>
      <c r="N562" s="7"/>
      <c r="O562" s="33"/>
      <c r="P562" s="27"/>
      <c r="Q562" s="43">
        <f t="shared" si="798"/>
        <v>0</v>
      </c>
      <c r="R562" s="37"/>
      <c r="S562" s="10"/>
      <c r="T562" s="43">
        <f t="shared" si="799"/>
        <v>0</v>
      </c>
      <c r="U562" s="37"/>
      <c r="V562" s="10"/>
      <c r="W562" s="43">
        <f t="shared" si="800"/>
        <v>0</v>
      </c>
      <c r="X562" s="8">
        <f t="shared" si="801"/>
        <v>0</v>
      </c>
    </row>
    <row r="563" spans="2:25" x14ac:dyDescent="0.15">
      <c r="B563" s="7" t="s">
        <v>12</v>
      </c>
      <c r="C563" s="30"/>
      <c r="D563" s="25">
        <v>2</v>
      </c>
      <c r="E563" s="43">
        <f t="shared" si="802"/>
        <v>2</v>
      </c>
      <c r="F563" s="35"/>
      <c r="G563" s="8"/>
      <c r="H563" s="43">
        <f t="shared" si="803"/>
        <v>0</v>
      </c>
      <c r="I563" s="35"/>
      <c r="J563" s="8"/>
      <c r="K563" s="43">
        <f t="shared" si="804"/>
        <v>0</v>
      </c>
      <c r="L563" s="8">
        <f t="shared" si="805"/>
        <v>2</v>
      </c>
      <c r="M563" s="53">
        <v>45601</v>
      </c>
      <c r="N563" s="7"/>
      <c r="O563" s="33"/>
      <c r="P563" s="27"/>
      <c r="Q563" s="43">
        <f t="shared" ref="Q563:Q564" si="827">SUM(O563:P563)</f>
        <v>0</v>
      </c>
      <c r="R563" s="37"/>
      <c r="S563" s="10"/>
      <c r="T563" s="43">
        <f t="shared" ref="T563:T564" si="828">SUM(R563:S563)</f>
        <v>0</v>
      </c>
      <c r="U563" s="37"/>
      <c r="V563" s="10"/>
      <c r="W563" s="43">
        <f t="shared" ref="W563:W564" si="829">SUM(U563:V563)</f>
        <v>0</v>
      </c>
      <c r="X563" s="8">
        <f t="shared" ref="X563:X564" si="830">SUM(W563,T563,Q563)</f>
        <v>0</v>
      </c>
    </row>
    <row r="564" spans="2:25" x14ac:dyDescent="0.15">
      <c r="B564" s="7" t="s">
        <v>12</v>
      </c>
      <c r="C564" s="30"/>
      <c r="D564" s="25"/>
      <c r="E564" s="43">
        <f t="shared" si="802"/>
        <v>0</v>
      </c>
      <c r="F564" s="35"/>
      <c r="G564" s="8"/>
      <c r="H564" s="43">
        <f t="shared" si="803"/>
        <v>0</v>
      </c>
      <c r="I564" s="35"/>
      <c r="J564" s="8">
        <v>1</v>
      </c>
      <c r="K564" s="43">
        <f t="shared" si="804"/>
        <v>1</v>
      </c>
      <c r="L564" s="8">
        <f t="shared" si="805"/>
        <v>1</v>
      </c>
      <c r="M564" s="53">
        <v>45615</v>
      </c>
      <c r="N564" s="7"/>
      <c r="O564" s="33"/>
      <c r="P564" s="27"/>
      <c r="Q564" s="43">
        <f t="shared" si="827"/>
        <v>0</v>
      </c>
      <c r="R564" s="37"/>
      <c r="S564" s="10"/>
      <c r="T564" s="43">
        <f t="shared" si="828"/>
        <v>0</v>
      </c>
      <c r="U564" s="37"/>
      <c r="V564" s="10"/>
      <c r="W564" s="43">
        <f t="shared" si="829"/>
        <v>0</v>
      </c>
      <c r="X564" s="8">
        <f t="shared" si="830"/>
        <v>0</v>
      </c>
    </row>
    <row r="565" spans="2:25" x14ac:dyDescent="0.15">
      <c r="B565" s="7" t="s">
        <v>341</v>
      </c>
      <c r="C565" s="30">
        <v>-1</v>
      </c>
      <c r="D565" s="25">
        <v>-2</v>
      </c>
      <c r="E565" s="43">
        <f t="shared" si="802"/>
        <v>-3</v>
      </c>
      <c r="F565" s="35"/>
      <c r="G565" s="8"/>
      <c r="H565" s="43">
        <f t="shared" si="803"/>
        <v>0</v>
      </c>
      <c r="I565" s="35"/>
      <c r="J565" s="8">
        <v>-1</v>
      </c>
      <c r="K565" s="43">
        <f t="shared" si="804"/>
        <v>-1</v>
      </c>
      <c r="L565" s="8">
        <f t="shared" si="805"/>
        <v>-4</v>
      </c>
      <c r="M565" s="53">
        <v>45693</v>
      </c>
      <c r="N565" s="7"/>
      <c r="O565" s="33"/>
      <c r="P565" s="27"/>
      <c r="Q565" s="43">
        <f t="shared" ref="Q565:Q566" si="831">SUM(O565:P565)</f>
        <v>0</v>
      </c>
      <c r="R565" s="37"/>
      <c r="S565" s="10"/>
      <c r="T565" s="43">
        <f t="shared" ref="T565:T566" si="832">SUM(R565:S565)</f>
        <v>0</v>
      </c>
      <c r="U565" s="37"/>
      <c r="V565" s="10"/>
      <c r="W565" s="43">
        <f t="shared" ref="W565:W566" si="833">SUM(U565:V565)</f>
        <v>0</v>
      </c>
      <c r="X565" s="8">
        <f t="shared" ref="X565:X566" si="834">SUM(W565,T565,Q565)</f>
        <v>0</v>
      </c>
    </row>
    <row r="566" spans="2:25" x14ac:dyDescent="0.15">
      <c r="B566" s="7"/>
      <c r="C566" s="30"/>
      <c r="D566" s="25"/>
      <c r="E566" s="43">
        <f t="shared" si="802"/>
        <v>0</v>
      </c>
      <c r="F566" s="35"/>
      <c r="G566" s="8"/>
      <c r="H566" s="43">
        <f t="shared" si="803"/>
        <v>0</v>
      </c>
      <c r="I566" s="35"/>
      <c r="J566" s="8"/>
      <c r="K566" s="43">
        <f t="shared" si="804"/>
        <v>0</v>
      </c>
      <c r="L566" s="8">
        <f t="shared" si="805"/>
        <v>0</v>
      </c>
      <c r="N566" s="7"/>
      <c r="O566" s="33"/>
      <c r="P566" s="27"/>
      <c r="Q566" s="43">
        <f t="shared" si="831"/>
        <v>0</v>
      </c>
      <c r="R566" s="37"/>
      <c r="S566" s="10"/>
      <c r="T566" s="43">
        <f t="shared" si="832"/>
        <v>0</v>
      </c>
      <c r="U566" s="37"/>
      <c r="V566" s="10"/>
      <c r="W566" s="43">
        <f t="shared" si="833"/>
        <v>0</v>
      </c>
      <c r="X566" s="8">
        <f t="shared" si="834"/>
        <v>0</v>
      </c>
    </row>
    <row r="567" spans="2:25" ht="14.25" thickBot="1" x14ac:dyDescent="0.2">
      <c r="B567" s="7"/>
      <c r="C567" s="30"/>
      <c r="D567" s="25"/>
      <c r="E567" s="43">
        <f t="shared" si="802"/>
        <v>0</v>
      </c>
      <c r="F567" s="35"/>
      <c r="G567" s="8"/>
      <c r="H567" s="43">
        <f t="shared" si="803"/>
        <v>0</v>
      </c>
      <c r="I567" s="35"/>
      <c r="J567" s="8"/>
      <c r="K567" s="43">
        <f t="shared" si="804"/>
        <v>0</v>
      </c>
      <c r="L567" s="8">
        <f t="shared" si="805"/>
        <v>0</v>
      </c>
      <c r="N567" s="7" t="s">
        <v>297</v>
      </c>
      <c r="O567" s="30"/>
      <c r="P567" s="25"/>
      <c r="Q567" s="43">
        <f t="shared" si="798"/>
        <v>0</v>
      </c>
      <c r="R567" s="35"/>
      <c r="S567" s="8"/>
      <c r="T567" s="43">
        <f t="shared" si="799"/>
        <v>0</v>
      </c>
      <c r="U567" s="35"/>
      <c r="V567" s="8"/>
      <c r="W567" s="43">
        <f t="shared" si="800"/>
        <v>0</v>
      </c>
      <c r="X567" s="8">
        <f t="shared" si="801"/>
        <v>0</v>
      </c>
      <c r="Y567" s="52" t="s">
        <v>298</v>
      </c>
    </row>
    <row r="568" spans="2:25" ht="14.25" thickBot="1" x14ac:dyDescent="0.2">
      <c r="B568" s="5" t="s">
        <v>1</v>
      </c>
      <c r="C568" s="32">
        <f>SUM(C543:C567)</f>
        <v>5</v>
      </c>
      <c r="D568" s="19">
        <f>SUM(D543:D567)</f>
        <v>10</v>
      </c>
      <c r="E568" s="44">
        <f t="shared" si="802"/>
        <v>15</v>
      </c>
      <c r="F568" s="32">
        <f>SUM(F543:F567)</f>
        <v>3</v>
      </c>
      <c r="G568" s="19">
        <f>SUM(G543:G567)</f>
        <v>2</v>
      </c>
      <c r="H568" s="44">
        <f t="shared" si="803"/>
        <v>5</v>
      </c>
      <c r="I568" s="32">
        <f>SUM(I543:I567)</f>
        <v>5</v>
      </c>
      <c r="J568" s="19">
        <f>SUM(J543:J567)</f>
        <v>12</v>
      </c>
      <c r="K568" s="44">
        <f t="shared" si="804"/>
        <v>17</v>
      </c>
      <c r="L568" s="4">
        <f t="shared" si="805"/>
        <v>37</v>
      </c>
      <c r="N568" s="5" t="s">
        <v>1</v>
      </c>
      <c r="O568" s="32">
        <f>SUM(O543:O567)</f>
        <v>18</v>
      </c>
      <c r="P568" s="19">
        <f t="shared" ref="P568" si="835">SUM(P543:P567)</f>
        <v>20</v>
      </c>
      <c r="Q568" s="44">
        <f t="shared" ref="Q568" si="836">SUM(Q543:Q567)</f>
        <v>38</v>
      </c>
      <c r="R568" s="32">
        <f t="shared" ref="R568" si="837">SUM(R543:R567)</f>
        <v>3</v>
      </c>
      <c r="S568" s="19">
        <f t="shared" ref="S568" si="838">SUM(S543:S567)</f>
        <v>8</v>
      </c>
      <c r="T568" s="44">
        <f t="shared" ref="T568" si="839">SUM(T543:T567)</f>
        <v>11</v>
      </c>
      <c r="U568" s="32">
        <f t="shared" ref="U568" si="840">SUM(U543:U567)</f>
        <v>8</v>
      </c>
      <c r="V568" s="19">
        <f t="shared" ref="V568" si="841">SUM(V543:V567)</f>
        <v>3</v>
      </c>
      <c r="W568" s="44">
        <f t="shared" ref="W568" si="842">SUM(W543:W567)</f>
        <v>11</v>
      </c>
      <c r="X568" s="4">
        <f t="shared" ref="X568" si="843">SUM(X543:X567)</f>
        <v>60</v>
      </c>
    </row>
    <row r="569" spans="2:25" ht="14.25" thickBot="1" x14ac:dyDescent="0.2">
      <c r="B569" s="3" t="s">
        <v>0</v>
      </c>
      <c r="C569" s="34">
        <f>+C542-C568</f>
        <v>8</v>
      </c>
      <c r="D569" s="2">
        <f>+D542-D568</f>
        <v>14</v>
      </c>
      <c r="E569" s="45">
        <f t="shared" si="802"/>
        <v>22</v>
      </c>
      <c r="F569" s="34">
        <f>+F542-F568</f>
        <v>20</v>
      </c>
      <c r="G569" s="2">
        <f>+G542-G568</f>
        <v>13</v>
      </c>
      <c r="H569" s="45">
        <f t="shared" si="803"/>
        <v>33</v>
      </c>
      <c r="I569" s="34">
        <f>+I542-I568</f>
        <v>11</v>
      </c>
      <c r="J569" s="2">
        <f>+J542-J568</f>
        <v>17</v>
      </c>
      <c r="K569" s="45">
        <f t="shared" si="804"/>
        <v>28</v>
      </c>
      <c r="L569" s="2">
        <f t="shared" si="805"/>
        <v>83</v>
      </c>
      <c r="N569" s="3" t="s">
        <v>0</v>
      </c>
      <c r="O569" s="34">
        <f>+O542-O568</f>
        <v>333</v>
      </c>
      <c r="P569" s="2">
        <f t="shared" ref="P569" si="844">+P542-P568</f>
        <v>353</v>
      </c>
      <c r="Q569" s="45">
        <f t="shared" ref="Q569" si="845">+Q542-Q568</f>
        <v>686</v>
      </c>
      <c r="R569" s="34">
        <f t="shared" ref="R569" si="846">+R542-R568</f>
        <v>359</v>
      </c>
      <c r="S569" s="2">
        <f t="shared" ref="S569" si="847">+S542-S568</f>
        <v>468</v>
      </c>
      <c r="T569" s="45">
        <f t="shared" ref="T569" si="848">+T542-T568</f>
        <v>827</v>
      </c>
      <c r="U569" s="34">
        <f t="shared" ref="U569" si="849">+U542-U568</f>
        <v>495</v>
      </c>
      <c r="V569" s="2">
        <f t="shared" ref="V569" si="850">+V542-V568</f>
        <v>518</v>
      </c>
      <c r="W569" s="45">
        <f t="shared" ref="W569" si="851">+W542-W568</f>
        <v>1013</v>
      </c>
      <c r="X569" s="2">
        <f t="shared" ref="X569" si="852">+X542-X568</f>
        <v>2526</v>
      </c>
    </row>
    <row r="570" spans="2:25" x14ac:dyDescent="0.15">
      <c r="N570" s="128" t="s">
        <v>344</v>
      </c>
      <c r="O570" s="89">
        <f>O568+O527+O486+O445+O404+O363+O322+O281</f>
        <v>940</v>
      </c>
      <c r="P570" s="89">
        <f t="shared" ref="P570:X570" si="853">P568+P527+P486+P445+P404+P363+P322+P281</f>
        <v>975</v>
      </c>
      <c r="Q570" s="89">
        <f t="shared" si="853"/>
        <v>1915</v>
      </c>
      <c r="R570" s="89">
        <f t="shared" si="853"/>
        <v>1023</v>
      </c>
      <c r="S570" s="89">
        <f t="shared" si="853"/>
        <v>1066</v>
      </c>
      <c r="T570" s="89">
        <f t="shared" si="853"/>
        <v>2089</v>
      </c>
      <c r="U570" s="89">
        <f t="shared" si="853"/>
        <v>966</v>
      </c>
      <c r="V570" s="89">
        <f t="shared" si="853"/>
        <v>1105</v>
      </c>
      <c r="W570" s="89">
        <f t="shared" si="853"/>
        <v>2071</v>
      </c>
      <c r="X570" s="89">
        <f t="shared" si="853"/>
        <v>6075</v>
      </c>
    </row>
    <row r="571" spans="2:25" x14ac:dyDescent="0.15">
      <c r="N571" s="100" t="s">
        <v>345</v>
      </c>
      <c r="O571" s="87">
        <f>O570/$Q$570*100</f>
        <v>49.086161879895563</v>
      </c>
      <c r="P571" s="87">
        <f t="shared" ref="P571:Q571" si="854">P570/$Q$570*100</f>
        <v>50.913838120104437</v>
      </c>
      <c r="Q571" s="87">
        <f t="shared" si="854"/>
        <v>100</v>
      </c>
      <c r="R571" s="87">
        <f>R570/$T$570*100</f>
        <v>48.970799425562475</v>
      </c>
      <c r="S571" s="87">
        <f t="shared" ref="S571:T571" si="855">S570/$T$570*100</f>
        <v>51.029200574437525</v>
      </c>
      <c r="T571" s="87">
        <f t="shared" si="855"/>
        <v>100</v>
      </c>
      <c r="U571" s="87">
        <f>U570/$W$570*100</f>
        <v>46.644133268952196</v>
      </c>
      <c r="V571" s="87">
        <f t="shared" ref="V571:W571" si="856">V570/$W$570*100</f>
        <v>53.355866731047804</v>
      </c>
      <c r="W571" s="87">
        <f t="shared" si="856"/>
        <v>100</v>
      </c>
    </row>
    <row r="572" spans="2:25" x14ac:dyDescent="0.15">
      <c r="O572" s="86"/>
      <c r="P572" s="86"/>
      <c r="Q572" s="87">
        <f>Q570/X570*100</f>
        <v>31.522633744855966</v>
      </c>
      <c r="R572" s="86"/>
      <c r="S572" s="86"/>
      <c r="T572" s="87">
        <f>T570/X570*100</f>
        <v>34.386831275720162</v>
      </c>
      <c r="U572" s="86"/>
      <c r="V572" s="86"/>
      <c r="W572" s="87">
        <f>W570/X570*100</f>
        <v>34.090534979423872</v>
      </c>
    </row>
    <row r="573" spans="2:25" ht="18.75" x14ac:dyDescent="0.2">
      <c r="B573" s="23" t="s">
        <v>11</v>
      </c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N573" s="47" t="s">
        <v>25</v>
      </c>
      <c r="O573" s="48"/>
      <c r="P573" s="48"/>
      <c r="Q573" s="48"/>
      <c r="R573" s="48"/>
      <c r="S573" s="48"/>
      <c r="T573" s="48"/>
      <c r="U573" s="48"/>
      <c r="V573" s="48"/>
      <c r="W573" s="48"/>
      <c r="X573" s="48"/>
    </row>
    <row r="574" spans="2:25" ht="15" thickBot="1" x14ac:dyDescent="0.2">
      <c r="B574" s="22" t="s">
        <v>147</v>
      </c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N574" s="49" t="s">
        <v>148</v>
      </c>
      <c r="O574" s="48"/>
      <c r="P574" s="48"/>
      <c r="Q574" s="48"/>
      <c r="R574" s="48"/>
      <c r="S574" s="48"/>
      <c r="T574" s="48"/>
      <c r="U574" s="48"/>
      <c r="V574" s="48"/>
      <c r="W574" s="48"/>
      <c r="X574" s="48"/>
    </row>
    <row r="575" spans="2:25" ht="14.25" thickBot="1" x14ac:dyDescent="0.2">
      <c r="B575" s="20"/>
      <c r="C575" s="208" t="s">
        <v>9</v>
      </c>
      <c r="D575" s="209"/>
      <c r="E575" s="210"/>
      <c r="F575" s="208" t="s">
        <v>8</v>
      </c>
      <c r="G575" s="209"/>
      <c r="H575" s="210"/>
      <c r="I575" s="208" t="s">
        <v>7</v>
      </c>
      <c r="J575" s="209"/>
      <c r="K575" s="210"/>
      <c r="L575" s="19"/>
      <c r="N575" s="20"/>
      <c r="O575" s="208" t="s">
        <v>9</v>
      </c>
      <c r="P575" s="209"/>
      <c r="Q575" s="123">
        <v>890</v>
      </c>
      <c r="R575" s="208" t="s">
        <v>8</v>
      </c>
      <c r="S575" s="209"/>
      <c r="T575" s="123">
        <v>980</v>
      </c>
      <c r="U575" s="208" t="s">
        <v>7</v>
      </c>
      <c r="V575" s="209"/>
      <c r="W575" s="123">
        <v>1080</v>
      </c>
      <c r="X575" s="19"/>
    </row>
    <row r="576" spans="2:25" ht="14.25" thickBot="1" x14ac:dyDescent="0.2">
      <c r="B576" s="18"/>
      <c r="C576" s="28" t="s">
        <v>6</v>
      </c>
      <c r="D576" s="17" t="s">
        <v>5</v>
      </c>
      <c r="E576" s="38" t="s">
        <v>4</v>
      </c>
      <c r="F576" s="28" t="s">
        <v>6</v>
      </c>
      <c r="G576" s="17" t="s">
        <v>5</v>
      </c>
      <c r="H576" s="38" t="s">
        <v>4</v>
      </c>
      <c r="I576" s="28" t="s">
        <v>6</v>
      </c>
      <c r="J576" s="17" t="s">
        <v>5</v>
      </c>
      <c r="K576" s="38" t="s">
        <v>4</v>
      </c>
      <c r="L576" s="17" t="s">
        <v>4</v>
      </c>
      <c r="N576" s="18"/>
      <c r="O576" s="28" t="s">
        <v>6</v>
      </c>
      <c r="P576" s="17" t="s">
        <v>5</v>
      </c>
      <c r="Q576" s="38" t="s">
        <v>4</v>
      </c>
      <c r="R576" s="28" t="s">
        <v>6</v>
      </c>
      <c r="S576" s="17" t="s">
        <v>5</v>
      </c>
      <c r="T576" s="38" t="s">
        <v>4</v>
      </c>
      <c r="U576" s="28" t="s">
        <v>6</v>
      </c>
      <c r="V576" s="17" t="s">
        <v>5</v>
      </c>
      <c r="W576" s="38" t="s">
        <v>4</v>
      </c>
      <c r="X576" s="17" t="s">
        <v>4</v>
      </c>
    </row>
    <row r="577" spans="2:25" ht="14.25" thickBot="1" x14ac:dyDescent="0.2">
      <c r="B577" s="124" t="s">
        <v>0</v>
      </c>
      <c r="C577" s="60">
        <f>C569</f>
        <v>8</v>
      </c>
      <c r="D577" s="61">
        <f t="shared" ref="D577:K577" si="857">D569</f>
        <v>14</v>
      </c>
      <c r="E577" s="121">
        <f t="shared" si="857"/>
        <v>22</v>
      </c>
      <c r="F577" s="60">
        <f t="shared" si="857"/>
        <v>20</v>
      </c>
      <c r="G577" s="61">
        <f t="shared" si="857"/>
        <v>13</v>
      </c>
      <c r="H577" s="121">
        <f t="shared" si="857"/>
        <v>33</v>
      </c>
      <c r="I577" s="60">
        <f t="shared" si="857"/>
        <v>11</v>
      </c>
      <c r="J577" s="61">
        <f t="shared" si="857"/>
        <v>17</v>
      </c>
      <c r="K577" s="121">
        <f t="shared" si="857"/>
        <v>28</v>
      </c>
      <c r="L577" s="122">
        <f>SUM(K577,H577,E577)</f>
        <v>83</v>
      </c>
      <c r="N577" s="124" t="s">
        <v>0</v>
      </c>
      <c r="O577" s="72">
        <f>O569</f>
        <v>333</v>
      </c>
      <c r="P577" s="80">
        <f t="shared" ref="P577:X577" si="858">P569</f>
        <v>353</v>
      </c>
      <c r="Q577" s="69">
        <f t="shared" si="858"/>
        <v>686</v>
      </c>
      <c r="R577" s="72">
        <f t="shared" si="858"/>
        <v>359</v>
      </c>
      <c r="S577" s="80">
        <f t="shared" si="858"/>
        <v>468</v>
      </c>
      <c r="T577" s="69">
        <f t="shared" si="858"/>
        <v>827</v>
      </c>
      <c r="U577" s="72">
        <f t="shared" si="858"/>
        <v>495</v>
      </c>
      <c r="V577" s="80">
        <f t="shared" si="858"/>
        <v>518</v>
      </c>
      <c r="W577" s="69">
        <f t="shared" si="858"/>
        <v>1013</v>
      </c>
      <c r="X577" s="70">
        <f t="shared" si="858"/>
        <v>2526</v>
      </c>
    </row>
    <row r="578" spans="2:25" x14ac:dyDescent="0.15">
      <c r="B578" s="55" t="s">
        <v>332</v>
      </c>
      <c r="C578" s="35">
        <v>10</v>
      </c>
      <c r="D578" s="8">
        <v>3</v>
      </c>
      <c r="E578" s="64">
        <f t="shared" ref="E578:E579" si="859">SUM(C578:D578)</f>
        <v>13</v>
      </c>
      <c r="F578" s="35">
        <v>2</v>
      </c>
      <c r="G578" s="8">
        <v>2</v>
      </c>
      <c r="H578" s="64">
        <f t="shared" ref="H578:H610" si="860">SUM(F578:G578)</f>
        <v>4</v>
      </c>
      <c r="I578" s="35"/>
      <c r="J578" s="8"/>
      <c r="K578" s="64">
        <f t="shared" ref="K578:K610" si="861">SUM(I578:J578)</f>
        <v>0</v>
      </c>
      <c r="L578" s="65">
        <f t="shared" ref="L578:L610" si="862">SUM(K578,H578,E578)</f>
        <v>17</v>
      </c>
      <c r="M578" s="53">
        <v>45602</v>
      </c>
      <c r="N578" s="55" t="s">
        <v>3</v>
      </c>
      <c r="O578" s="78"/>
      <c r="P578" s="82"/>
      <c r="Q578" s="64">
        <f t="shared" ref="Q578:Q607" si="863">SUM(O578:P578)</f>
        <v>0</v>
      </c>
      <c r="R578" s="78"/>
      <c r="S578" s="82"/>
      <c r="T578" s="64">
        <f t="shared" ref="T578:T607" si="864">SUM(R578:S578)</f>
        <v>0</v>
      </c>
      <c r="U578" s="78"/>
      <c r="V578" s="82"/>
      <c r="W578" s="64">
        <f t="shared" ref="W578:W607" si="865">SUM(U578:V578)</f>
        <v>0</v>
      </c>
      <c r="X578" s="8">
        <f t="shared" ref="X578:X607" si="866">SUM(W578,T578,Q578)</f>
        <v>0</v>
      </c>
    </row>
    <row r="579" spans="2:25" x14ac:dyDescent="0.15">
      <c r="B579" s="55" t="s">
        <v>318</v>
      </c>
      <c r="C579" s="30"/>
      <c r="D579" s="25">
        <v>2</v>
      </c>
      <c r="E579" s="40">
        <f t="shared" si="859"/>
        <v>2</v>
      </c>
      <c r="F579" s="35">
        <v>1</v>
      </c>
      <c r="G579" s="8"/>
      <c r="H579" s="40">
        <f t="shared" si="860"/>
        <v>1</v>
      </c>
      <c r="I579" s="35"/>
      <c r="J579" s="8">
        <v>1</v>
      </c>
      <c r="K579" s="40">
        <f t="shared" si="861"/>
        <v>1</v>
      </c>
      <c r="L579" s="9">
        <f t="shared" si="862"/>
        <v>4</v>
      </c>
      <c r="M579" s="53">
        <v>45608</v>
      </c>
      <c r="N579" s="55" t="s">
        <v>318</v>
      </c>
      <c r="O579" s="62">
        <v>106</v>
      </c>
      <c r="P579" s="81">
        <v>62</v>
      </c>
      <c r="Q579" s="40">
        <f t="shared" si="863"/>
        <v>168</v>
      </c>
      <c r="R579" s="78">
        <v>129</v>
      </c>
      <c r="S579" s="82">
        <v>106</v>
      </c>
      <c r="T579" s="40">
        <f t="shared" si="864"/>
        <v>235</v>
      </c>
      <c r="U579" s="78">
        <v>69</v>
      </c>
      <c r="V579" s="82">
        <v>129</v>
      </c>
      <c r="W579" s="40">
        <f t="shared" si="865"/>
        <v>198</v>
      </c>
      <c r="X579" s="25">
        <f t="shared" si="866"/>
        <v>601</v>
      </c>
      <c r="Y579" s="53">
        <v>45611</v>
      </c>
    </row>
    <row r="580" spans="2:25" x14ac:dyDescent="0.15">
      <c r="B580" s="16" t="s">
        <v>332</v>
      </c>
      <c r="C580" s="30"/>
      <c r="D580" s="25"/>
      <c r="E580" s="40">
        <f t="shared" ref="E580:E610" si="867">SUM(C580:D580)</f>
        <v>0</v>
      </c>
      <c r="F580" s="35">
        <v>1</v>
      </c>
      <c r="G580" s="8"/>
      <c r="H580" s="40">
        <f t="shared" si="860"/>
        <v>1</v>
      </c>
      <c r="I580" s="35">
        <v>1</v>
      </c>
      <c r="J580" s="8"/>
      <c r="K580" s="40">
        <f t="shared" si="861"/>
        <v>1</v>
      </c>
      <c r="L580" s="9">
        <f t="shared" si="862"/>
        <v>2</v>
      </c>
      <c r="M580" s="53">
        <v>45614</v>
      </c>
      <c r="N580" s="55" t="s">
        <v>3</v>
      </c>
      <c r="O580" s="62"/>
      <c r="P580" s="81"/>
      <c r="Q580" s="40">
        <f t="shared" ref="Q580" si="868">SUM(O580:P580)</f>
        <v>0</v>
      </c>
      <c r="R580" s="78"/>
      <c r="S580" s="82"/>
      <c r="T580" s="40">
        <f t="shared" ref="T580" si="869">SUM(R580:S580)</f>
        <v>0</v>
      </c>
      <c r="U580" s="78"/>
      <c r="V580" s="82"/>
      <c r="W580" s="40">
        <f t="shared" ref="W580" si="870">SUM(U580:V580)</f>
        <v>0</v>
      </c>
      <c r="X580" s="25">
        <f t="shared" ref="X580" si="871">SUM(W580,T580,Q580)</f>
        <v>0</v>
      </c>
    </row>
    <row r="581" spans="2:25" x14ac:dyDescent="0.15">
      <c r="B581" s="16" t="s">
        <v>222</v>
      </c>
      <c r="C581" s="30">
        <v>2</v>
      </c>
      <c r="D581" s="25">
        <v>1</v>
      </c>
      <c r="E581" s="40">
        <f t="shared" si="867"/>
        <v>3</v>
      </c>
      <c r="F581" s="35">
        <v>2</v>
      </c>
      <c r="G581" s="8"/>
      <c r="H581" s="40">
        <f t="shared" si="860"/>
        <v>2</v>
      </c>
      <c r="I581" s="35">
        <v>1</v>
      </c>
      <c r="J581" s="8"/>
      <c r="K581" s="40">
        <f t="shared" si="861"/>
        <v>1</v>
      </c>
      <c r="L581" s="9">
        <f t="shared" si="862"/>
        <v>6</v>
      </c>
      <c r="M581" s="53">
        <v>45615</v>
      </c>
      <c r="N581" s="55" t="s">
        <v>3</v>
      </c>
      <c r="O581" s="62"/>
      <c r="P581" s="81"/>
      <c r="Q581" s="40">
        <f t="shared" si="863"/>
        <v>0</v>
      </c>
      <c r="R581" s="78"/>
      <c r="S581" s="82"/>
      <c r="T581" s="40">
        <f t="shared" si="864"/>
        <v>0</v>
      </c>
      <c r="U581" s="78"/>
      <c r="V581" s="82"/>
      <c r="W581" s="40">
        <f t="shared" si="865"/>
        <v>0</v>
      </c>
      <c r="X581" s="25">
        <f t="shared" si="866"/>
        <v>0</v>
      </c>
    </row>
    <row r="582" spans="2:25" ht="14.25" thickBot="1" x14ac:dyDescent="0.2">
      <c r="B582" s="75" t="s">
        <v>335</v>
      </c>
      <c r="C582" s="76"/>
      <c r="D582" s="83">
        <v>4</v>
      </c>
      <c r="E582" s="41">
        <f t="shared" si="867"/>
        <v>4</v>
      </c>
      <c r="F582" s="76"/>
      <c r="G582" s="83"/>
      <c r="H582" s="41">
        <f t="shared" si="860"/>
        <v>0</v>
      </c>
      <c r="I582" s="76">
        <v>4</v>
      </c>
      <c r="J582" s="83">
        <v>3</v>
      </c>
      <c r="K582" s="41">
        <f t="shared" si="861"/>
        <v>7</v>
      </c>
      <c r="L582" s="77">
        <f t="shared" si="862"/>
        <v>11</v>
      </c>
      <c r="M582" s="53">
        <v>45632</v>
      </c>
      <c r="N582" s="75" t="s">
        <v>3</v>
      </c>
      <c r="O582" s="76"/>
      <c r="P582" s="83"/>
      <c r="Q582" s="41">
        <f t="shared" si="863"/>
        <v>0</v>
      </c>
      <c r="R582" s="76"/>
      <c r="S582" s="83"/>
      <c r="T582" s="41">
        <f t="shared" si="864"/>
        <v>0</v>
      </c>
      <c r="U582" s="76"/>
      <c r="V582" s="83"/>
      <c r="W582" s="41">
        <f t="shared" si="865"/>
        <v>0</v>
      </c>
      <c r="X582" s="77">
        <f t="shared" si="866"/>
        <v>0</v>
      </c>
    </row>
    <row r="583" spans="2:25" ht="14.25" thickBot="1" x14ac:dyDescent="0.2">
      <c r="B583" s="5" t="s">
        <v>2</v>
      </c>
      <c r="C583" s="32">
        <f>SUM(C577:C582)</f>
        <v>20</v>
      </c>
      <c r="D583" s="19">
        <f>SUM(D577:D582)</f>
        <v>24</v>
      </c>
      <c r="E583" s="42">
        <f t="shared" si="867"/>
        <v>44</v>
      </c>
      <c r="F583" s="32">
        <f>SUM(F577:F582)</f>
        <v>26</v>
      </c>
      <c r="G583" s="19">
        <f>SUM(G577:G582)</f>
        <v>15</v>
      </c>
      <c r="H583" s="42">
        <f t="shared" si="860"/>
        <v>41</v>
      </c>
      <c r="I583" s="32">
        <f>SUM(I577:I582)</f>
        <v>17</v>
      </c>
      <c r="J583" s="19">
        <f>SUM(J577:J582)</f>
        <v>21</v>
      </c>
      <c r="K583" s="42">
        <f t="shared" si="861"/>
        <v>38</v>
      </c>
      <c r="L583" s="13">
        <f t="shared" si="862"/>
        <v>123</v>
      </c>
      <c r="N583" s="63" t="s">
        <v>2</v>
      </c>
      <c r="O583" s="32">
        <f>SUM(O577:O582)</f>
        <v>439</v>
      </c>
      <c r="P583" s="19">
        <f t="shared" ref="P583" si="872">SUM(P577:P582)</f>
        <v>415</v>
      </c>
      <c r="Q583" s="42">
        <f t="shared" ref="Q583" si="873">SUM(Q577:Q582)</f>
        <v>854</v>
      </c>
      <c r="R583" s="32">
        <f t="shared" ref="R583" si="874">SUM(R577:R582)</f>
        <v>488</v>
      </c>
      <c r="S583" s="19">
        <f t="shared" ref="S583" si="875">SUM(S577:S582)</f>
        <v>574</v>
      </c>
      <c r="T583" s="42">
        <f t="shared" ref="T583" si="876">SUM(T577:T582)</f>
        <v>1062</v>
      </c>
      <c r="U583" s="32">
        <f t="shared" ref="U583" si="877">SUM(U577:U582)</f>
        <v>564</v>
      </c>
      <c r="V583" s="19">
        <f t="shared" ref="V583" si="878">SUM(V577:V582)</f>
        <v>647</v>
      </c>
      <c r="W583" s="42">
        <f t="shared" ref="W583" si="879">SUM(W577:W582)</f>
        <v>1211</v>
      </c>
      <c r="X583" s="13">
        <f t="shared" ref="X583" si="880">SUM(X577:X582)</f>
        <v>3127</v>
      </c>
    </row>
    <row r="584" spans="2:25" x14ac:dyDescent="0.15">
      <c r="B584" s="7" t="s">
        <v>333</v>
      </c>
      <c r="C584" s="30"/>
      <c r="D584" s="25"/>
      <c r="E584" s="43">
        <f t="shared" ref="E584" si="881">SUM(C584:D584)</f>
        <v>0</v>
      </c>
      <c r="F584" s="35"/>
      <c r="G584" s="8">
        <v>1</v>
      </c>
      <c r="H584" s="43">
        <f t="shared" ref="H584" si="882">SUM(F584:G584)</f>
        <v>1</v>
      </c>
      <c r="I584" s="35"/>
      <c r="J584" s="8"/>
      <c r="K584" s="43">
        <f t="shared" ref="K584" si="883">SUM(I584:J584)</f>
        <v>0</v>
      </c>
      <c r="L584" s="8">
        <f t="shared" ref="L584" si="884">SUM(K584,H584,E584)</f>
        <v>1</v>
      </c>
      <c r="M584" s="53">
        <v>45623</v>
      </c>
      <c r="N584" s="7"/>
      <c r="O584" s="33"/>
      <c r="P584" s="27"/>
      <c r="Q584" s="43">
        <f t="shared" ref="Q584" si="885">SUM(O584:P584)</f>
        <v>0</v>
      </c>
      <c r="R584" s="37"/>
      <c r="S584" s="10"/>
      <c r="T584" s="43">
        <f t="shared" ref="T584" si="886">SUM(R584:S584)</f>
        <v>0</v>
      </c>
      <c r="U584" s="37"/>
      <c r="V584" s="10"/>
      <c r="W584" s="43">
        <f t="shared" ref="W584" si="887">SUM(U584:V584)</f>
        <v>0</v>
      </c>
      <c r="X584" s="8">
        <f t="shared" ref="X584" si="888">SUM(W584,T584,Q584)</f>
        <v>0</v>
      </c>
    </row>
    <row r="585" spans="2:25" x14ac:dyDescent="0.15">
      <c r="B585" s="7" t="s">
        <v>334</v>
      </c>
      <c r="C585" s="30"/>
      <c r="D585" s="25"/>
      <c r="E585" s="43">
        <f t="shared" si="867"/>
        <v>0</v>
      </c>
      <c r="F585" s="35"/>
      <c r="G585" s="8"/>
      <c r="H585" s="43">
        <f t="shared" si="860"/>
        <v>0</v>
      </c>
      <c r="I585" s="35"/>
      <c r="J585" s="8">
        <v>2</v>
      </c>
      <c r="K585" s="43">
        <f t="shared" si="861"/>
        <v>2</v>
      </c>
      <c r="L585" s="8">
        <f t="shared" si="862"/>
        <v>2</v>
      </c>
      <c r="M585" s="53">
        <v>45624</v>
      </c>
      <c r="N585" s="7"/>
      <c r="O585" s="33"/>
      <c r="P585" s="27"/>
      <c r="Q585" s="43">
        <f t="shared" si="863"/>
        <v>0</v>
      </c>
      <c r="R585" s="37"/>
      <c r="S585" s="10"/>
      <c r="T585" s="43">
        <f t="shared" si="864"/>
        <v>0</v>
      </c>
      <c r="U585" s="37"/>
      <c r="V585" s="10"/>
      <c r="W585" s="43">
        <f t="shared" si="865"/>
        <v>0</v>
      </c>
      <c r="X585" s="8">
        <f t="shared" si="866"/>
        <v>0</v>
      </c>
    </row>
    <row r="586" spans="2:25" x14ac:dyDescent="0.15">
      <c r="B586" s="7" t="s">
        <v>336</v>
      </c>
      <c r="C586" s="30"/>
      <c r="D586" s="25">
        <v>1</v>
      </c>
      <c r="E586" s="43">
        <f t="shared" si="867"/>
        <v>1</v>
      </c>
      <c r="F586" s="35"/>
      <c r="G586" s="8"/>
      <c r="H586" s="43">
        <f t="shared" si="860"/>
        <v>0</v>
      </c>
      <c r="I586" s="35"/>
      <c r="J586" s="8"/>
      <c r="K586" s="43">
        <f t="shared" si="861"/>
        <v>0</v>
      </c>
      <c r="L586" s="8">
        <f t="shared" si="862"/>
        <v>1</v>
      </c>
      <c r="M586" s="53">
        <v>45642</v>
      </c>
      <c r="N586" s="7"/>
      <c r="O586" s="33"/>
      <c r="P586" s="27"/>
      <c r="Q586" s="43">
        <f t="shared" si="863"/>
        <v>0</v>
      </c>
      <c r="R586" s="37"/>
      <c r="S586" s="10"/>
      <c r="T586" s="43">
        <f t="shared" si="864"/>
        <v>0</v>
      </c>
      <c r="U586" s="37"/>
      <c r="V586" s="10"/>
      <c r="W586" s="43">
        <f t="shared" si="865"/>
        <v>0</v>
      </c>
      <c r="X586" s="8">
        <f t="shared" si="866"/>
        <v>0</v>
      </c>
    </row>
    <row r="587" spans="2:25" x14ac:dyDescent="0.15">
      <c r="B587" s="7" t="s">
        <v>337</v>
      </c>
      <c r="C587" s="30"/>
      <c r="D587" s="25"/>
      <c r="E587" s="43">
        <f t="shared" si="867"/>
        <v>0</v>
      </c>
      <c r="F587" s="35">
        <v>1</v>
      </c>
      <c r="G587" s="8">
        <v>1</v>
      </c>
      <c r="H587" s="43">
        <f t="shared" si="860"/>
        <v>2</v>
      </c>
      <c r="I587" s="35"/>
      <c r="J587" s="8"/>
      <c r="K587" s="43">
        <f t="shared" si="861"/>
        <v>0</v>
      </c>
      <c r="L587" s="8">
        <f t="shared" si="862"/>
        <v>2</v>
      </c>
      <c r="M587" s="53">
        <v>45642</v>
      </c>
      <c r="N587" s="7"/>
      <c r="O587" s="33"/>
      <c r="P587" s="27"/>
      <c r="Q587" s="43">
        <f t="shared" si="863"/>
        <v>0</v>
      </c>
      <c r="R587" s="37"/>
      <c r="S587" s="10"/>
      <c r="T587" s="43">
        <f t="shared" si="864"/>
        <v>0</v>
      </c>
      <c r="U587" s="37"/>
      <c r="V587" s="10"/>
      <c r="W587" s="43">
        <f t="shared" si="865"/>
        <v>0</v>
      </c>
      <c r="X587" s="8">
        <f t="shared" si="866"/>
        <v>0</v>
      </c>
    </row>
    <row r="588" spans="2:25" x14ac:dyDescent="0.15">
      <c r="B588" s="7" t="s">
        <v>12</v>
      </c>
      <c r="C588" s="30"/>
      <c r="D588" s="25"/>
      <c r="E588" s="43">
        <f t="shared" si="867"/>
        <v>0</v>
      </c>
      <c r="F588" s="35"/>
      <c r="G588" s="8"/>
      <c r="H588" s="43">
        <f t="shared" si="860"/>
        <v>0</v>
      </c>
      <c r="I588" s="35"/>
      <c r="J588" s="8">
        <v>2</v>
      </c>
      <c r="K588" s="43">
        <f t="shared" si="861"/>
        <v>2</v>
      </c>
      <c r="L588" s="8">
        <f t="shared" si="862"/>
        <v>2</v>
      </c>
      <c r="M588" s="53">
        <v>45663</v>
      </c>
      <c r="N588" s="7"/>
      <c r="O588" s="33"/>
      <c r="P588" s="27"/>
      <c r="Q588" s="43">
        <f t="shared" si="863"/>
        <v>0</v>
      </c>
      <c r="R588" s="37"/>
      <c r="S588" s="10"/>
      <c r="T588" s="43">
        <f t="shared" si="864"/>
        <v>0</v>
      </c>
      <c r="U588" s="37"/>
      <c r="V588" s="10"/>
      <c r="W588" s="43">
        <f t="shared" si="865"/>
        <v>0</v>
      </c>
      <c r="X588" s="8">
        <f t="shared" si="866"/>
        <v>0</v>
      </c>
    </row>
    <row r="589" spans="2:25" x14ac:dyDescent="0.15">
      <c r="B589" s="7" t="s">
        <v>12</v>
      </c>
      <c r="C589" s="30"/>
      <c r="D589" s="25"/>
      <c r="E589" s="43">
        <f t="shared" si="867"/>
        <v>0</v>
      </c>
      <c r="F589" s="35"/>
      <c r="G589" s="8">
        <v>1</v>
      </c>
      <c r="H589" s="43">
        <f t="shared" si="860"/>
        <v>1</v>
      </c>
      <c r="I589" s="35"/>
      <c r="J589" s="8"/>
      <c r="K589" s="43">
        <f t="shared" si="861"/>
        <v>0</v>
      </c>
      <c r="L589" s="8">
        <f t="shared" si="862"/>
        <v>1</v>
      </c>
      <c r="M589" s="53">
        <v>45677</v>
      </c>
      <c r="N589" s="7"/>
      <c r="O589" s="33"/>
      <c r="P589" s="27"/>
      <c r="Q589" s="43">
        <f t="shared" si="863"/>
        <v>0</v>
      </c>
      <c r="R589" s="37"/>
      <c r="S589" s="10"/>
      <c r="T589" s="43">
        <f t="shared" si="864"/>
        <v>0</v>
      </c>
      <c r="U589" s="37"/>
      <c r="V589" s="10"/>
      <c r="W589" s="43">
        <f t="shared" si="865"/>
        <v>0</v>
      </c>
      <c r="X589" s="8">
        <f t="shared" si="866"/>
        <v>0</v>
      </c>
    </row>
    <row r="590" spans="2:25" x14ac:dyDescent="0.15">
      <c r="B590" s="7" t="s">
        <v>12</v>
      </c>
      <c r="C590" s="30">
        <v>1</v>
      </c>
      <c r="D590" s="25"/>
      <c r="E590" s="43">
        <f t="shared" si="867"/>
        <v>1</v>
      </c>
      <c r="F590" s="35"/>
      <c r="G590" s="8"/>
      <c r="H590" s="43">
        <f t="shared" si="860"/>
        <v>0</v>
      </c>
      <c r="I590" s="35"/>
      <c r="J590" s="8"/>
      <c r="K590" s="43">
        <f t="shared" si="861"/>
        <v>0</v>
      </c>
      <c r="L590" s="8">
        <f t="shared" si="862"/>
        <v>1</v>
      </c>
      <c r="M590" s="53">
        <v>45694</v>
      </c>
      <c r="N590" s="7"/>
      <c r="O590" s="33"/>
      <c r="P590" s="27"/>
      <c r="Q590" s="43">
        <f t="shared" si="863"/>
        <v>0</v>
      </c>
      <c r="R590" s="37"/>
      <c r="S590" s="10"/>
      <c r="T590" s="43">
        <f t="shared" si="864"/>
        <v>0</v>
      </c>
      <c r="U590" s="37"/>
      <c r="V590" s="10"/>
      <c r="W590" s="43">
        <f t="shared" si="865"/>
        <v>0</v>
      </c>
      <c r="X590" s="8">
        <f t="shared" si="866"/>
        <v>0</v>
      </c>
    </row>
    <row r="591" spans="2:25" x14ac:dyDescent="0.15">
      <c r="B591" s="7" t="s">
        <v>347</v>
      </c>
      <c r="C591" s="30">
        <v>1</v>
      </c>
      <c r="D591" s="25">
        <v>1</v>
      </c>
      <c r="E591" s="43">
        <f t="shared" si="867"/>
        <v>2</v>
      </c>
      <c r="F591" s="35">
        <v>1</v>
      </c>
      <c r="G591" s="8">
        <v>1</v>
      </c>
      <c r="H591" s="43">
        <f t="shared" si="860"/>
        <v>2</v>
      </c>
      <c r="I591" s="35">
        <v>1</v>
      </c>
      <c r="J591" s="8">
        <v>1</v>
      </c>
      <c r="K591" s="43">
        <f t="shared" si="861"/>
        <v>2</v>
      </c>
      <c r="L591" s="8">
        <f t="shared" si="862"/>
        <v>6</v>
      </c>
      <c r="M591" s="53">
        <v>45701</v>
      </c>
      <c r="N591" s="7"/>
      <c r="O591" s="33"/>
      <c r="P591" s="27"/>
      <c r="Q591" s="43">
        <f t="shared" si="863"/>
        <v>0</v>
      </c>
      <c r="R591" s="37"/>
      <c r="S591" s="10"/>
      <c r="T591" s="43">
        <f t="shared" si="864"/>
        <v>0</v>
      </c>
      <c r="U591" s="37"/>
      <c r="V591" s="10"/>
      <c r="W591" s="43">
        <f t="shared" si="865"/>
        <v>0</v>
      </c>
      <c r="X591" s="8">
        <f t="shared" si="866"/>
        <v>0</v>
      </c>
    </row>
    <row r="592" spans="2:25" x14ac:dyDescent="0.15">
      <c r="B592" s="7" t="s">
        <v>12</v>
      </c>
      <c r="C592" s="30"/>
      <c r="D592" s="25"/>
      <c r="E592" s="43">
        <f t="shared" si="867"/>
        <v>0</v>
      </c>
      <c r="F592" s="35"/>
      <c r="G592" s="8"/>
      <c r="H592" s="43">
        <f t="shared" si="860"/>
        <v>0</v>
      </c>
      <c r="I592" s="35"/>
      <c r="J592" s="8">
        <v>1</v>
      </c>
      <c r="K592" s="43">
        <f t="shared" si="861"/>
        <v>1</v>
      </c>
      <c r="L592" s="8">
        <f t="shared" si="862"/>
        <v>1</v>
      </c>
      <c r="M592" s="53">
        <v>45705</v>
      </c>
      <c r="N592" s="7"/>
      <c r="O592" s="33"/>
      <c r="P592" s="27"/>
      <c r="Q592" s="43">
        <f t="shared" si="863"/>
        <v>0</v>
      </c>
      <c r="R592" s="37"/>
      <c r="S592" s="10"/>
      <c r="T592" s="43">
        <f t="shared" si="864"/>
        <v>0</v>
      </c>
      <c r="U592" s="37"/>
      <c r="V592" s="10"/>
      <c r="W592" s="43">
        <f t="shared" si="865"/>
        <v>0</v>
      </c>
      <c r="X592" s="8">
        <f t="shared" si="866"/>
        <v>0</v>
      </c>
    </row>
    <row r="593" spans="2:24" x14ac:dyDescent="0.15">
      <c r="B593" s="7" t="s">
        <v>12</v>
      </c>
      <c r="C593" s="30"/>
      <c r="D593" s="25"/>
      <c r="E593" s="43">
        <f t="shared" si="867"/>
        <v>0</v>
      </c>
      <c r="F593" s="35"/>
      <c r="G593" s="8"/>
      <c r="H593" s="43">
        <f t="shared" si="860"/>
        <v>0</v>
      </c>
      <c r="I593" s="35"/>
      <c r="J593" s="8">
        <v>1</v>
      </c>
      <c r="K593" s="43">
        <f t="shared" si="861"/>
        <v>1</v>
      </c>
      <c r="L593" s="8">
        <f t="shared" si="862"/>
        <v>1</v>
      </c>
      <c r="M593" s="53">
        <v>45707</v>
      </c>
      <c r="N593" s="7"/>
      <c r="O593" s="33"/>
      <c r="P593" s="27"/>
      <c r="Q593" s="43">
        <f t="shared" si="863"/>
        <v>0</v>
      </c>
      <c r="R593" s="37"/>
      <c r="S593" s="10"/>
      <c r="T593" s="43">
        <f t="shared" si="864"/>
        <v>0</v>
      </c>
      <c r="U593" s="37"/>
      <c r="V593" s="10"/>
      <c r="W593" s="43">
        <f t="shared" si="865"/>
        <v>0</v>
      </c>
      <c r="X593" s="8">
        <f t="shared" si="866"/>
        <v>0</v>
      </c>
    </row>
    <row r="594" spans="2:24" x14ac:dyDescent="0.15">
      <c r="B594" s="7" t="s">
        <v>12</v>
      </c>
      <c r="C594" s="30"/>
      <c r="D594" s="25"/>
      <c r="E594" s="43">
        <f t="shared" si="867"/>
        <v>0</v>
      </c>
      <c r="F594" s="35"/>
      <c r="G594" s="8"/>
      <c r="H594" s="43">
        <f t="shared" si="860"/>
        <v>0</v>
      </c>
      <c r="I594" s="35">
        <v>1</v>
      </c>
      <c r="J594" s="8"/>
      <c r="K594" s="43">
        <f t="shared" si="861"/>
        <v>1</v>
      </c>
      <c r="L594" s="8">
        <f t="shared" si="862"/>
        <v>1</v>
      </c>
      <c r="M594" s="53">
        <v>45708</v>
      </c>
      <c r="N594" s="7"/>
      <c r="O594" s="33"/>
      <c r="P594" s="27"/>
      <c r="Q594" s="43">
        <f t="shared" si="863"/>
        <v>0</v>
      </c>
      <c r="R594" s="37"/>
      <c r="S594" s="10"/>
      <c r="T594" s="43">
        <f t="shared" si="864"/>
        <v>0</v>
      </c>
      <c r="U594" s="37"/>
      <c r="V594" s="10"/>
      <c r="W594" s="43">
        <f t="shared" si="865"/>
        <v>0</v>
      </c>
      <c r="X594" s="8">
        <f t="shared" si="866"/>
        <v>0</v>
      </c>
    </row>
    <row r="595" spans="2:24" x14ac:dyDescent="0.15">
      <c r="B595" s="7"/>
      <c r="C595" s="30"/>
      <c r="D595" s="25"/>
      <c r="E595" s="43">
        <f t="shared" si="867"/>
        <v>0</v>
      </c>
      <c r="F595" s="35"/>
      <c r="G595" s="8"/>
      <c r="H595" s="43">
        <f t="shared" si="860"/>
        <v>0</v>
      </c>
      <c r="I595" s="35"/>
      <c r="J595" s="8"/>
      <c r="K595" s="43">
        <f t="shared" si="861"/>
        <v>0</v>
      </c>
      <c r="L595" s="8">
        <f t="shared" si="862"/>
        <v>0</v>
      </c>
      <c r="N595" s="7"/>
      <c r="O595" s="33"/>
      <c r="P595" s="27"/>
      <c r="Q595" s="43">
        <f t="shared" si="863"/>
        <v>0</v>
      </c>
      <c r="R595" s="37"/>
      <c r="S595" s="10"/>
      <c r="T595" s="43">
        <f t="shared" si="864"/>
        <v>0</v>
      </c>
      <c r="U595" s="37"/>
      <c r="V595" s="10"/>
      <c r="W595" s="43">
        <f t="shared" si="865"/>
        <v>0</v>
      </c>
      <c r="X595" s="8">
        <f t="shared" si="866"/>
        <v>0</v>
      </c>
    </row>
    <row r="596" spans="2:24" x14ac:dyDescent="0.15">
      <c r="B596" s="7"/>
      <c r="C596" s="30"/>
      <c r="D596" s="25"/>
      <c r="E596" s="43">
        <f t="shared" si="867"/>
        <v>0</v>
      </c>
      <c r="F596" s="35"/>
      <c r="G596" s="8"/>
      <c r="H596" s="43">
        <f t="shared" si="860"/>
        <v>0</v>
      </c>
      <c r="I596" s="35"/>
      <c r="J596" s="8"/>
      <c r="K596" s="43">
        <f t="shared" si="861"/>
        <v>0</v>
      </c>
      <c r="L596" s="8">
        <f t="shared" si="862"/>
        <v>0</v>
      </c>
      <c r="N596" s="7"/>
      <c r="O596" s="30"/>
      <c r="P596" s="25"/>
      <c r="Q596" s="43">
        <f t="shared" si="863"/>
        <v>0</v>
      </c>
      <c r="R596" s="35"/>
      <c r="S596" s="8"/>
      <c r="T596" s="43">
        <f t="shared" si="864"/>
        <v>0</v>
      </c>
      <c r="U596" s="35"/>
      <c r="V596" s="8"/>
      <c r="W596" s="43">
        <f t="shared" si="865"/>
        <v>0</v>
      </c>
      <c r="X596" s="8">
        <f t="shared" si="866"/>
        <v>0</v>
      </c>
    </row>
    <row r="597" spans="2:24" x14ac:dyDescent="0.15">
      <c r="B597" s="7"/>
      <c r="C597" s="33"/>
      <c r="D597" s="27"/>
      <c r="E597" s="43">
        <f t="shared" si="867"/>
        <v>0</v>
      </c>
      <c r="F597" s="37"/>
      <c r="G597" s="10"/>
      <c r="H597" s="43">
        <f t="shared" si="860"/>
        <v>0</v>
      </c>
      <c r="I597" s="37"/>
      <c r="J597" s="10"/>
      <c r="K597" s="43">
        <f t="shared" si="861"/>
        <v>0</v>
      </c>
      <c r="L597" s="8">
        <f t="shared" si="862"/>
        <v>0</v>
      </c>
      <c r="N597" s="7"/>
      <c r="O597" s="33"/>
      <c r="P597" s="27"/>
      <c r="Q597" s="43">
        <f t="shared" si="863"/>
        <v>0</v>
      </c>
      <c r="R597" s="37"/>
      <c r="S597" s="10"/>
      <c r="T597" s="43">
        <f t="shared" si="864"/>
        <v>0</v>
      </c>
      <c r="U597" s="37"/>
      <c r="V597" s="10"/>
      <c r="W597" s="43">
        <f t="shared" si="865"/>
        <v>0</v>
      </c>
      <c r="X597" s="8">
        <f t="shared" si="866"/>
        <v>0</v>
      </c>
    </row>
    <row r="598" spans="2:24" x14ac:dyDescent="0.15">
      <c r="B598" s="7"/>
      <c r="C598" s="33"/>
      <c r="D598" s="27"/>
      <c r="E598" s="43">
        <f t="shared" si="867"/>
        <v>0</v>
      </c>
      <c r="F598" s="37"/>
      <c r="G598" s="10"/>
      <c r="H598" s="43">
        <f t="shared" si="860"/>
        <v>0</v>
      </c>
      <c r="I598" s="37"/>
      <c r="J598" s="10"/>
      <c r="K598" s="43">
        <f t="shared" si="861"/>
        <v>0</v>
      </c>
      <c r="L598" s="8">
        <f t="shared" si="862"/>
        <v>0</v>
      </c>
      <c r="N598" s="7"/>
      <c r="O598" s="33"/>
      <c r="P598" s="27"/>
      <c r="Q598" s="43">
        <f t="shared" si="863"/>
        <v>0</v>
      </c>
      <c r="R598" s="37"/>
      <c r="S598" s="10"/>
      <c r="T598" s="43">
        <f t="shared" si="864"/>
        <v>0</v>
      </c>
      <c r="U598" s="37"/>
      <c r="V598" s="10"/>
      <c r="W598" s="43">
        <f t="shared" si="865"/>
        <v>0</v>
      </c>
      <c r="X598" s="8">
        <f t="shared" si="866"/>
        <v>0</v>
      </c>
    </row>
    <row r="599" spans="2:24" x14ac:dyDescent="0.15">
      <c r="B599" s="7"/>
      <c r="C599" s="33"/>
      <c r="D599" s="27"/>
      <c r="E599" s="43">
        <f t="shared" si="867"/>
        <v>0</v>
      </c>
      <c r="F599" s="37"/>
      <c r="G599" s="10"/>
      <c r="H599" s="43">
        <f t="shared" si="860"/>
        <v>0</v>
      </c>
      <c r="I599" s="37"/>
      <c r="J599" s="10"/>
      <c r="K599" s="43">
        <f t="shared" si="861"/>
        <v>0</v>
      </c>
      <c r="L599" s="8">
        <f t="shared" si="862"/>
        <v>0</v>
      </c>
      <c r="N599" s="7"/>
      <c r="O599" s="33"/>
      <c r="P599" s="27"/>
      <c r="Q599" s="43">
        <f t="shared" si="863"/>
        <v>0</v>
      </c>
      <c r="R599" s="37"/>
      <c r="S599" s="10"/>
      <c r="T599" s="43">
        <f t="shared" si="864"/>
        <v>0</v>
      </c>
      <c r="U599" s="37"/>
      <c r="V599" s="10"/>
      <c r="W599" s="43">
        <f t="shared" si="865"/>
        <v>0</v>
      </c>
      <c r="X599" s="8">
        <f t="shared" si="866"/>
        <v>0</v>
      </c>
    </row>
    <row r="600" spans="2:24" x14ac:dyDescent="0.15">
      <c r="B600" s="7"/>
      <c r="C600" s="33"/>
      <c r="D600" s="27"/>
      <c r="E600" s="43">
        <f t="shared" si="867"/>
        <v>0</v>
      </c>
      <c r="F600" s="37"/>
      <c r="G600" s="10"/>
      <c r="H600" s="43">
        <f t="shared" si="860"/>
        <v>0</v>
      </c>
      <c r="I600" s="37"/>
      <c r="J600" s="10"/>
      <c r="K600" s="43">
        <f t="shared" si="861"/>
        <v>0</v>
      </c>
      <c r="L600" s="8">
        <f t="shared" si="862"/>
        <v>0</v>
      </c>
      <c r="N600" s="7"/>
      <c r="O600" s="33"/>
      <c r="P600" s="27"/>
      <c r="Q600" s="43">
        <f t="shared" si="863"/>
        <v>0</v>
      </c>
      <c r="R600" s="37"/>
      <c r="S600" s="10"/>
      <c r="T600" s="43">
        <f t="shared" si="864"/>
        <v>0</v>
      </c>
      <c r="U600" s="37"/>
      <c r="V600" s="10"/>
      <c r="W600" s="43">
        <f t="shared" si="865"/>
        <v>0</v>
      </c>
      <c r="X600" s="8">
        <f t="shared" si="866"/>
        <v>0</v>
      </c>
    </row>
    <row r="601" spans="2:24" x14ac:dyDescent="0.15">
      <c r="B601" s="7"/>
      <c r="C601" s="33"/>
      <c r="D601" s="27"/>
      <c r="E601" s="43">
        <f t="shared" si="867"/>
        <v>0</v>
      </c>
      <c r="F601" s="37"/>
      <c r="G601" s="10"/>
      <c r="H601" s="43">
        <f t="shared" si="860"/>
        <v>0</v>
      </c>
      <c r="I601" s="37"/>
      <c r="J601" s="10"/>
      <c r="K601" s="43">
        <f t="shared" si="861"/>
        <v>0</v>
      </c>
      <c r="L601" s="8">
        <f t="shared" si="862"/>
        <v>0</v>
      </c>
      <c r="N601" s="7"/>
      <c r="O601" s="33"/>
      <c r="P601" s="27"/>
      <c r="Q601" s="43">
        <f t="shared" si="863"/>
        <v>0</v>
      </c>
      <c r="R601" s="37"/>
      <c r="S601" s="10"/>
      <c r="T601" s="43">
        <f t="shared" si="864"/>
        <v>0</v>
      </c>
      <c r="U601" s="37"/>
      <c r="V601" s="10"/>
      <c r="W601" s="43">
        <f t="shared" si="865"/>
        <v>0</v>
      </c>
      <c r="X601" s="8">
        <f t="shared" si="866"/>
        <v>0</v>
      </c>
    </row>
    <row r="602" spans="2:24" x14ac:dyDescent="0.15">
      <c r="B602" s="7"/>
      <c r="C602" s="33"/>
      <c r="D602" s="27"/>
      <c r="E602" s="43">
        <f t="shared" si="867"/>
        <v>0</v>
      </c>
      <c r="F602" s="37"/>
      <c r="G602" s="10"/>
      <c r="H602" s="43">
        <f t="shared" si="860"/>
        <v>0</v>
      </c>
      <c r="I602" s="37"/>
      <c r="J602" s="10"/>
      <c r="K602" s="43">
        <f t="shared" si="861"/>
        <v>0</v>
      </c>
      <c r="L602" s="8">
        <f t="shared" si="862"/>
        <v>0</v>
      </c>
      <c r="N602" s="7"/>
      <c r="O602" s="33"/>
      <c r="P602" s="27"/>
      <c r="Q602" s="43">
        <f t="shared" si="863"/>
        <v>0</v>
      </c>
      <c r="R602" s="37"/>
      <c r="S602" s="10"/>
      <c r="T602" s="43">
        <f t="shared" si="864"/>
        <v>0</v>
      </c>
      <c r="U602" s="37"/>
      <c r="V602" s="10"/>
      <c r="W602" s="43">
        <f t="shared" si="865"/>
        <v>0</v>
      </c>
      <c r="X602" s="8">
        <f t="shared" si="866"/>
        <v>0</v>
      </c>
    </row>
    <row r="603" spans="2:24" x14ac:dyDescent="0.15">
      <c r="B603" s="7"/>
      <c r="C603" s="30"/>
      <c r="D603" s="25"/>
      <c r="E603" s="43">
        <f t="shared" si="867"/>
        <v>0</v>
      </c>
      <c r="F603" s="35"/>
      <c r="G603" s="8"/>
      <c r="H603" s="43">
        <f t="shared" si="860"/>
        <v>0</v>
      </c>
      <c r="I603" s="35"/>
      <c r="J603" s="8"/>
      <c r="K603" s="43">
        <f t="shared" si="861"/>
        <v>0</v>
      </c>
      <c r="L603" s="8">
        <f t="shared" si="862"/>
        <v>0</v>
      </c>
      <c r="N603" s="7"/>
      <c r="O603" s="33"/>
      <c r="P603" s="27"/>
      <c r="Q603" s="43">
        <f t="shared" si="863"/>
        <v>0</v>
      </c>
      <c r="R603" s="37"/>
      <c r="S603" s="10"/>
      <c r="T603" s="43">
        <f t="shared" si="864"/>
        <v>0</v>
      </c>
      <c r="U603" s="37"/>
      <c r="V603" s="10"/>
      <c r="W603" s="43">
        <f t="shared" si="865"/>
        <v>0</v>
      </c>
      <c r="X603" s="8">
        <f t="shared" si="866"/>
        <v>0</v>
      </c>
    </row>
    <row r="604" spans="2:24" x14ac:dyDescent="0.15">
      <c r="B604" s="7"/>
      <c r="C604" s="30"/>
      <c r="D604" s="25"/>
      <c r="E604" s="43">
        <f t="shared" si="867"/>
        <v>0</v>
      </c>
      <c r="F604" s="35"/>
      <c r="G604" s="8"/>
      <c r="H604" s="43">
        <f t="shared" si="860"/>
        <v>0</v>
      </c>
      <c r="I604" s="35"/>
      <c r="J604" s="8"/>
      <c r="K604" s="43">
        <f t="shared" si="861"/>
        <v>0</v>
      </c>
      <c r="L604" s="8">
        <f t="shared" si="862"/>
        <v>0</v>
      </c>
      <c r="N604" s="7"/>
      <c r="O604" s="33"/>
      <c r="P604" s="27"/>
      <c r="Q604" s="43">
        <f t="shared" si="863"/>
        <v>0</v>
      </c>
      <c r="R604" s="37"/>
      <c r="S604" s="10"/>
      <c r="T604" s="43">
        <f t="shared" si="864"/>
        <v>0</v>
      </c>
      <c r="U604" s="37"/>
      <c r="V604" s="10"/>
      <c r="W604" s="43">
        <f t="shared" si="865"/>
        <v>0</v>
      </c>
      <c r="X604" s="8">
        <f t="shared" si="866"/>
        <v>0</v>
      </c>
    </row>
    <row r="605" spans="2:24" x14ac:dyDescent="0.15">
      <c r="B605" s="7"/>
      <c r="C605" s="30"/>
      <c r="D605" s="25"/>
      <c r="E605" s="43">
        <f t="shared" si="867"/>
        <v>0</v>
      </c>
      <c r="F605" s="35"/>
      <c r="G605" s="8"/>
      <c r="H605" s="43">
        <f t="shared" si="860"/>
        <v>0</v>
      </c>
      <c r="I605" s="35"/>
      <c r="J605" s="8"/>
      <c r="K605" s="43">
        <f t="shared" si="861"/>
        <v>0</v>
      </c>
      <c r="L605" s="8">
        <f t="shared" si="862"/>
        <v>0</v>
      </c>
      <c r="N605" s="7"/>
      <c r="O605" s="33"/>
      <c r="P605" s="27"/>
      <c r="Q605" s="43">
        <f t="shared" si="863"/>
        <v>0</v>
      </c>
      <c r="R605" s="37"/>
      <c r="S605" s="10"/>
      <c r="T605" s="43">
        <f t="shared" si="864"/>
        <v>0</v>
      </c>
      <c r="U605" s="37"/>
      <c r="V605" s="10"/>
      <c r="W605" s="43">
        <f t="shared" si="865"/>
        <v>0</v>
      </c>
      <c r="X605" s="8">
        <f t="shared" si="866"/>
        <v>0</v>
      </c>
    </row>
    <row r="606" spans="2:24" x14ac:dyDescent="0.15">
      <c r="B606" s="7"/>
      <c r="C606" s="30"/>
      <c r="D606" s="25"/>
      <c r="E606" s="43">
        <f t="shared" si="867"/>
        <v>0</v>
      </c>
      <c r="F606" s="35"/>
      <c r="G606" s="8"/>
      <c r="H606" s="43">
        <f t="shared" si="860"/>
        <v>0</v>
      </c>
      <c r="I606" s="35"/>
      <c r="J606" s="8"/>
      <c r="K606" s="43">
        <f t="shared" si="861"/>
        <v>0</v>
      </c>
      <c r="L606" s="8">
        <f t="shared" si="862"/>
        <v>0</v>
      </c>
      <c r="N606" s="7"/>
      <c r="O606" s="33"/>
      <c r="P606" s="27"/>
      <c r="Q606" s="43">
        <f t="shared" si="863"/>
        <v>0</v>
      </c>
      <c r="R606" s="37"/>
      <c r="S606" s="10"/>
      <c r="T606" s="43">
        <f t="shared" si="864"/>
        <v>0</v>
      </c>
      <c r="U606" s="37"/>
      <c r="V606" s="10"/>
      <c r="W606" s="43">
        <f t="shared" si="865"/>
        <v>0</v>
      </c>
      <c r="X606" s="8">
        <f t="shared" si="866"/>
        <v>0</v>
      </c>
    </row>
    <row r="607" spans="2:24" x14ac:dyDescent="0.15">
      <c r="B607" s="7"/>
      <c r="C607" s="30"/>
      <c r="D607" s="25"/>
      <c r="E607" s="43">
        <f t="shared" si="867"/>
        <v>0</v>
      </c>
      <c r="F607" s="35"/>
      <c r="G607" s="8"/>
      <c r="H607" s="43">
        <f t="shared" si="860"/>
        <v>0</v>
      </c>
      <c r="I607" s="35"/>
      <c r="J607" s="8"/>
      <c r="K607" s="43">
        <f t="shared" si="861"/>
        <v>0</v>
      </c>
      <c r="L607" s="8">
        <f t="shared" si="862"/>
        <v>0</v>
      </c>
      <c r="N607" s="7"/>
      <c r="O607" s="33"/>
      <c r="P607" s="27"/>
      <c r="Q607" s="43">
        <f t="shared" si="863"/>
        <v>0</v>
      </c>
      <c r="R607" s="37"/>
      <c r="S607" s="10"/>
      <c r="T607" s="43">
        <f t="shared" si="864"/>
        <v>0</v>
      </c>
      <c r="U607" s="37"/>
      <c r="V607" s="10"/>
      <c r="W607" s="43">
        <f t="shared" si="865"/>
        <v>0</v>
      </c>
      <c r="X607" s="8">
        <f t="shared" si="866"/>
        <v>0</v>
      </c>
    </row>
    <row r="608" spans="2:24" ht="14.25" thickBot="1" x14ac:dyDescent="0.2">
      <c r="B608" s="7"/>
      <c r="C608" s="30"/>
      <c r="D608" s="25"/>
      <c r="E608" s="43">
        <f t="shared" si="867"/>
        <v>0</v>
      </c>
      <c r="F608" s="35"/>
      <c r="G608" s="8"/>
      <c r="H608" s="43">
        <f t="shared" si="860"/>
        <v>0</v>
      </c>
      <c r="I608" s="35"/>
      <c r="J608" s="8"/>
      <c r="K608" s="43">
        <f t="shared" si="861"/>
        <v>0</v>
      </c>
      <c r="L608" s="8">
        <f t="shared" si="862"/>
        <v>0</v>
      </c>
      <c r="N608" s="7"/>
      <c r="O608" s="33"/>
      <c r="P608" s="27"/>
      <c r="Q608" s="43">
        <f t="shared" ref="Q608" si="889">SUM(O608:P608)</f>
        <v>0</v>
      </c>
      <c r="R608" s="37"/>
      <c r="S608" s="10"/>
      <c r="T608" s="43">
        <f t="shared" ref="T608" si="890">SUM(R608:S608)</f>
        <v>0</v>
      </c>
      <c r="U608" s="37"/>
      <c r="V608" s="10"/>
      <c r="W608" s="43">
        <f t="shared" ref="W608" si="891">SUM(U608:V608)</f>
        <v>0</v>
      </c>
      <c r="X608" s="8">
        <f t="shared" ref="X608" si="892">SUM(W608,T608,Q608)</f>
        <v>0</v>
      </c>
    </row>
    <row r="609" spans="1:24" ht="14.25" thickBot="1" x14ac:dyDescent="0.2">
      <c r="B609" s="5" t="s">
        <v>1</v>
      </c>
      <c r="C609" s="32">
        <f>SUM(C584:C608)</f>
        <v>2</v>
      </c>
      <c r="D609" s="19">
        <f>SUM(D584:D608)</f>
        <v>2</v>
      </c>
      <c r="E609" s="44">
        <f t="shared" si="867"/>
        <v>4</v>
      </c>
      <c r="F609" s="32">
        <f>SUM(F584:F608)</f>
        <v>2</v>
      </c>
      <c r="G609" s="19">
        <f>SUM(G584:G608)</f>
        <v>4</v>
      </c>
      <c r="H609" s="44">
        <f t="shared" si="860"/>
        <v>6</v>
      </c>
      <c r="I609" s="32">
        <f>SUM(I584:I608)</f>
        <v>2</v>
      </c>
      <c r="J609" s="19">
        <f>SUM(J584:J608)</f>
        <v>7</v>
      </c>
      <c r="K609" s="44">
        <f t="shared" si="861"/>
        <v>9</v>
      </c>
      <c r="L609" s="4">
        <f t="shared" si="862"/>
        <v>19</v>
      </c>
      <c r="N609" s="5" t="s">
        <v>1</v>
      </c>
      <c r="O609" s="32">
        <f>SUM(O584:O608)</f>
        <v>0</v>
      </c>
      <c r="P609" s="19">
        <f t="shared" ref="P609" si="893">SUM(P584:P608)</f>
        <v>0</v>
      </c>
      <c r="Q609" s="44">
        <f t="shared" ref="Q609" si="894">SUM(Q584:Q608)</f>
        <v>0</v>
      </c>
      <c r="R609" s="32">
        <f t="shared" ref="R609" si="895">SUM(R584:R608)</f>
        <v>0</v>
      </c>
      <c r="S609" s="19">
        <f t="shared" ref="S609" si="896">SUM(S584:S608)</f>
        <v>0</v>
      </c>
      <c r="T609" s="44">
        <f t="shared" ref="T609" si="897">SUM(T584:T608)</f>
        <v>0</v>
      </c>
      <c r="U609" s="32">
        <f t="shared" ref="U609" si="898">SUM(U584:U608)</f>
        <v>0</v>
      </c>
      <c r="V609" s="19">
        <f t="shared" ref="V609" si="899">SUM(V584:V608)</f>
        <v>0</v>
      </c>
      <c r="W609" s="44">
        <f t="shared" ref="W609" si="900">SUM(W584:W608)</f>
        <v>0</v>
      </c>
      <c r="X609" s="4">
        <f t="shared" ref="X609" si="901">SUM(X584:X608)</f>
        <v>0</v>
      </c>
    </row>
    <row r="610" spans="1:24" ht="14.25" thickBot="1" x14ac:dyDescent="0.2">
      <c r="B610" s="3" t="s">
        <v>0</v>
      </c>
      <c r="C610" s="34">
        <f>+C583-C609</f>
        <v>18</v>
      </c>
      <c r="D610" s="2">
        <f>+D583-D609</f>
        <v>22</v>
      </c>
      <c r="E610" s="45">
        <f t="shared" si="867"/>
        <v>40</v>
      </c>
      <c r="F610" s="34">
        <f>+F583-F609</f>
        <v>24</v>
      </c>
      <c r="G610" s="2">
        <f>+G583-G609</f>
        <v>11</v>
      </c>
      <c r="H610" s="45">
        <f t="shared" si="860"/>
        <v>35</v>
      </c>
      <c r="I610" s="34">
        <f>+I583-I609</f>
        <v>15</v>
      </c>
      <c r="J610" s="2">
        <f>+J583-J609</f>
        <v>14</v>
      </c>
      <c r="K610" s="45">
        <f t="shared" si="861"/>
        <v>29</v>
      </c>
      <c r="L610" s="2">
        <f t="shared" si="862"/>
        <v>104</v>
      </c>
      <c r="N610" s="3" t="s">
        <v>0</v>
      </c>
      <c r="O610" s="34">
        <f>+O583-O609</f>
        <v>439</v>
      </c>
      <c r="P610" s="2">
        <f t="shared" ref="P610" si="902">+P583-P609</f>
        <v>415</v>
      </c>
      <c r="Q610" s="45">
        <f t="shared" ref="Q610" si="903">+Q583-Q609</f>
        <v>854</v>
      </c>
      <c r="R610" s="34">
        <f t="shared" ref="R610" si="904">+R583-R609</f>
        <v>488</v>
      </c>
      <c r="S610" s="2">
        <f t="shared" ref="S610" si="905">+S583-S609</f>
        <v>574</v>
      </c>
      <c r="T610" s="45">
        <f t="shared" ref="T610" si="906">+T583-T609</f>
        <v>1062</v>
      </c>
      <c r="U610" s="34">
        <f t="shared" ref="U610" si="907">+U583-U609</f>
        <v>564</v>
      </c>
      <c r="V610" s="2">
        <f t="shared" ref="V610" si="908">+V583-V609</f>
        <v>647</v>
      </c>
      <c r="W610" s="45">
        <f t="shared" ref="W610" si="909">+W583-W609</f>
        <v>1211</v>
      </c>
      <c r="X610" s="2">
        <f t="shared" ref="X610" si="910">+X583-X609</f>
        <v>3127</v>
      </c>
    </row>
    <row r="613" spans="1:24" ht="30.75" x14ac:dyDescent="0.3">
      <c r="A613" s="211" t="s">
        <v>346</v>
      </c>
      <c r="B613" s="211"/>
      <c r="C613" s="211"/>
      <c r="D613" s="211"/>
      <c r="E613" s="211"/>
      <c r="F613" s="211"/>
      <c r="G613" s="211"/>
      <c r="H613" s="211"/>
      <c r="I613" s="211"/>
      <c r="J613" s="211"/>
      <c r="K613" s="211"/>
      <c r="L613" s="211"/>
      <c r="M613" s="211"/>
      <c r="N613" s="211"/>
      <c r="O613" s="211"/>
      <c r="P613" s="211"/>
      <c r="Q613" s="211"/>
      <c r="R613" s="211"/>
      <c r="S613" s="211"/>
      <c r="T613" s="211"/>
      <c r="U613" s="211"/>
      <c r="V613" s="211"/>
    </row>
    <row r="614" spans="1:24" ht="18.75" x14ac:dyDescent="0.2">
      <c r="B614" s="23" t="s">
        <v>11</v>
      </c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N614" s="47" t="s">
        <v>25</v>
      </c>
      <c r="O614" s="48"/>
      <c r="P614" s="48"/>
      <c r="Q614" s="48"/>
      <c r="R614" s="48"/>
      <c r="S614" s="48"/>
      <c r="T614" s="48"/>
      <c r="U614" s="48"/>
      <c r="V614" s="48"/>
      <c r="W614" s="48"/>
      <c r="X614" s="48"/>
    </row>
    <row r="615" spans="1:24" ht="15" thickBot="1" x14ac:dyDescent="0.2">
      <c r="B615" s="22" t="s">
        <v>147</v>
      </c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N615" s="49" t="s">
        <v>148</v>
      </c>
      <c r="O615" s="48"/>
      <c r="P615" s="48"/>
      <c r="Q615" s="48"/>
      <c r="R615" s="48"/>
      <c r="S615" s="48"/>
      <c r="T615" s="48"/>
      <c r="U615" s="48"/>
      <c r="V615" s="48"/>
      <c r="W615" s="48"/>
      <c r="X615" s="48"/>
    </row>
    <row r="616" spans="1:24" ht="14.25" thickBot="1" x14ac:dyDescent="0.2">
      <c r="B616" s="20"/>
      <c r="C616" s="208" t="s">
        <v>9</v>
      </c>
      <c r="D616" s="209"/>
      <c r="E616" s="210"/>
      <c r="F616" s="208" t="s">
        <v>8</v>
      </c>
      <c r="G616" s="209"/>
      <c r="H616" s="210"/>
      <c r="I616" s="208" t="s">
        <v>7</v>
      </c>
      <c r="J616" s="209"/>
      <c r="K616" s="210"/>
      <c r="L616" s="19"/>
      <c r="N616" s="20"/>
      <c r="O616" s="208" t="s">
        <v>9</v>
      </c>
      <c r="P616" s="209"/>
      <c r="Q616" s="123">
        <v>890</v>
      </c>
      <c r="R616" s="208" t="s">
        <v>8</v>
      </c>
      <c r="S616" s="209"/>
      <c r="T616" s="123">
        <v>980</v>
      </c>
      <c r="U616" s="208" t="s">
        <v>7</v>
      </c>
      <c r="V616" s="209"/>
      <c r="W616" s="123">
        <v>1080</v>
      </c>
      <c r="X616" s="19"/>
    </row>
    <row r="617" spans="1:24" ht="14.25" thickBot="1" x14ac:dyDescent="0.2">
      <c r="B617" s="18"/>
      <c r="C617" s="28" t="s">
        <v>6</v>
      </c>
      <c r="D617" s="17" t="s">
        <v>5</v>
      </c>
      <c r="E617" s="38" t="s">
        <v>4</v>
      </c>
      <c r="F617" s="28" t="s">
        <v>6</v>
      </c>
      <c r="G617" s="17" t="s">
        <v>5</v>
      </c>
      <c r="H617" s="38" t="s">
        <v>4</v>
      </c>
      <c r="I617" s="28" t="s">
        <v>6</v>
      </c>
      <c r="J617" s="17" t="s">
        <v>5</v>
      </c>
      <c r="K617" s="38" t="s">
        <v>4</v>
      </c>
      <c r="L617" s="17" t="s">
        <v>4</v>
      </c>
      <c r="N617" s="18"/>
      <c r="O617" s="28" t="s">
        <v>6</v>
      </c>
      <c r="P617" s="17" t="s">
        <v>5</v>
      </c>
      <c r="Q617" s="38" t="s">
        <v>4</v>
      </c>
      <c r="R617" s="28" t="s">
        <v>6</v>
      </c>
      <c r="S617" s="17" t="s">
        <v>5</v>
      </c>
      <c r="T617" s="38" t="s">
        <v>4</v>
      </c>
      <c r="U617" s="28" t="s">
        <v>6</v>
      </c>
      <c r="V617" s="17" t="s">
        <v>5</v>
      </c>
      <c r="W617" s="38" t="s">
        <v>4</v>
      </c>
      <c r="X617" s="17" t="s">
        <v>4</v>
      </c>
    </row>
    <row r="618" spans="1:24" x14ac:dyDescent="0.15">
      <c r="B618" s="66" t="s">
        <v>0</v>
      </c>
      <c r="C618" s="67">
        <f>C610</f>
        <v>18</v>
      </c>
      <c r="D618" s="68">
        <f t="shared" ref="D618:K618" si="911">D610</f>
        <v>22</v>
      </c>
      <c r="E618" s="69">
        <f t="shared" si="911"/>
        <v>40</v>
      </c>
      <c r="F618" s="67">
        <f t="shared" si="911"/>
        <v>24</v>
      </c>
      <c r="G618" s="68">
        <f t="shared" si="911"/>
        <v>11</v>
      </c>
      <c r="H618" s="69">
        <f t="shared" si="911"/>
        <v>35</v>
      </c>
      <c r="I618" s="67">
        <f t="shared" si="911"/>
        <v>15</v>
      </c>
      <c r="J618" s="68">
        <f t="shared" si="911"/>
        <v>14</v>
      </c>
      <c r="K618" s="69">
        <f t="shared" si="911"/>
        <v>29</v>
      </c>
      <c r="L618" s="70">
        <f>SUM(K618,H618,E618)</f>
        <v>104</v>
      </c>
      <c r="N618" s="66" t="s">
        <v>0</v>
      </c>
      <c r="O618" s="72">
        <f>O610</f>
        <v>439</v>
      </c>
      <c r="P618" s="80">
        <f t="shared" ref="P618:X618" si="912">P610</f>
        <v>415</v>
      </c>
      <c r="Q618" s="69">
        <f t="shared" si="912"/>
        <v>854</v>
      </c>
      <c r="R618" s="72">
        <f t="shared" si="912"/>
        <v>488</v>
      </c>
      <c r="S618" s="80">
        <f t="shared" si="912"/>
        <v>574</v>
      </c>
      <c r="T618" s="69">
        <f t="shared" si="912"/>
        <v>1062</v>
      </c>
      <c r="U618" s="72">
        <f t="shared" si="912"/>
        <v>564</v>
      </c>
      <c r="V618" s="80">
        <f t="shared" si="912"/>
        <v>647</v>
      </c>
      <c r="W618" s="69">
        <f t="shared" si="912"/>
        <v>1211</v>
      </c>
      <c r="X618" s="70">
        <f t="shared" si="912"/>
        <v>3127</v>
      </c>
    </row>
    <row r="619" spans="1:24" x14ac:dyDescent="0.15">
      <c r="B619" s="55" t="s">
        <v>3</v>
      </c>
      <c r="C619" s="30"/>
      <c r="D619" s="25"/>
      <c r="E619" s="40">
        <f t="shared" ref="E619:E620" si="913">SUM(C619:D619)</f>
        <v>0</v>
      </c>
      <c r="F619" s="35"/>
      <c r="G619" s="8"/>
      <c r="H619" s="40">
        <f t="shared" ref="H619:H651" si="914">SUM(F619:G619)</f>
        <v>0</v>
      </c>
      <c r="I619" s="35"/>
      <c r="J619" s="8">
        <v>10</v>
      </c>
      <c r="K619" s="40">
        <f t="shared" ref="K619:K651" si="915">SUM(I619:J619)</f>
        <v>10</v>
      </c>
      <c r="L619" s="9">
        <f t="shared" ref="L619:L651" si="916">SUM(K619,H619,E619)</f>
        <v>10</v>
      </c>
      <c r="M619" s="53">
        <v>45729</v>
      </c>
      <c r="N619" s="55" t="s">
        <v>3</v>
      </c>
      <c r="O619" s="62"/>
      <c r="P619" s="81"/>
      <c r="Q619" s="40">
        <f t="shared" ref="Q619:Q620" si="917">SUM(O619:P619)</f>
        <v>0</v>
      </c>
      <c r="R619" s="78"/>
      <c r="S619" s="82"/>
      <c r="T619" s="40">
        <f t="shared" ref="T619:T620" si="918">SUM(R619:S619)</f>
        <v>0</v>
      </c>
      <c r="U619" s="78"/>
      <c r="V619" s="82"/>
      <c r="W619" s="40">
        <f t="shared" ref="W619:W620" si="919">SUM(U619:V619)</f>
        <v>0</v>
      </c>
      <c r="X619" s="25">
        <f t="shared" ref="X619:X620" si="920">SUM(W619,T619,Q619)</f>
        <v>0</v>
      </c>
    </row>
    <row r="620" spans="1:24" x14ac:dyDescent="0.15">
      <c r="B620" s="55" t="s">
        <v>3</v>
      </c>
      <c r="C620" s="30"/>
      <c r="D620" s="25"/>
      <c r="E620" s="40">
        <f t="shared" si="913"/>
        <v>0</v>
      </c>
      <c r="F620" s="35"/>
      <c r="G620" s="8"/>
      <c r="H620" s="40">
        <f t="shared" si="914"/>
        <v>0</v>
      </c>
      <c r="I620" s="35"/>
      <c r="J620" s="8">
        <v>10</v>
      </c>
      <c r="K620" s="40">
        <f t="shared" si="915"/>
        <v>10</v>
      </c>
      <c r="L620" s="9">
        <f t="shared" si="916"/>
        <v>10</v>
      </c>
      <c r="M620" s="53">
        <v>45741</v>
      </c>
      <c r="N620" s="55" t="s">
        <v>3</v>
      </c>
      <c r="O620" s="62"/>
      <c r="P620" s="81"/>
      <c r="Q620" s="40">
        <f t="shared" si="917"/>
        <v>0</v>
      </c>
      <c r="R620" s="78"/>
      <c r="S620" s="82"/>
      <c r="T620" s="40">
        <f t="shared" si="918"/>
        <v>0</v>
      </c>
      <c r="U620" s="78"/>
      <c r="V620" s="82"/>
      <c r="W620" s="40">
        <f t="shared" si="919"/>
        <v>0</v>
      </c>
      <c r="X620" s="25">
        <f t="shared" si="920"/>
        <v>0</v>
      </c>
    </row>
    <row r="621" spans="1:24" x14ac:dyDescent="0.15">
      <c r="B621" s="55" t="s">
        <v>3</v>
      </c>
      <c r="C621" s="30"/>
      <c r="D621" s="25"/>
      <c r="E621" s="40">
        <f t="shared" ref="E621:E651" si="921">SUM(C621:D621)</f>
        <v>0</v>
      </c>
      <c r="F621" s="35"/>
      <c r="G621" s="8">
        <v>10</v>
      </c>
      <c r="H621" s="40">
        <f t="shared" si="914"/>
        <v>10</v>
      </c>
      <c r="I621" s="35">
        <v>10</v>
      </c>
      <c r="J621" s="8">
        <v>10</v>
      </c>
      <c r="K621" s="40">
        <f t="shared" si="915"/>
        <v>20</v>
      </c>
      <c r="L621" s="9">
        <f t="shared" si="916"/>
        <v>30</v>
      </c>
      <c r="M621" s="53">
        <v>45752</v>
      </c>
      <c r="N621" s="55" t="s">
        <v>3</v>
      </c>
      <c r="O621" s="62"/>
      <c r="P621" s="81"/>
      <c r="Q621" s="40">
        <f t="shared" ref="Q621:Q642" si="922">SUM(O621:P621)</f>
        <v>0</v>
      </c>
      <c r="R621" s="78"/>
      <c r="S621" s="82"/>
      <c r="T621" s="40">
        <f t="shared" ref="T621:T642" si="923">SUM(R621:S621)</f>
        <v>0</v>
      </c>
      <c r="U621" s="78"/>
      <c r="V621" s="82"/>
      <c r="W621" s="40">
        <f t="shared" ref="W621:W642" si="924">SUM(U621:V621)</f>
        <v>0</v>
      </c>
      <c r="X621" s="25">
        <f t="shared" ref="X621:X642" si="925">SUM(W621,T621,Q621)</f>
        <v>0</v>
      </c>
    </row>
    <row r="622" spans="1:24" x14ac:dyDescent="0.15">
      <c r="B622" s="55" t="s">
        <v>3</v>
      </c>
      <c r="C622" s="30"/>
      <c r="D622" s="25"/>
      <c r="E622" s="40">
        <f t="shared" si="921"/>
        <v>0</v>
      </c>
      <c r="F622" s="35"/>
      <c r="G622" s="8"/>
      <c r="H622" s="40">
        <f t="shared" si="914"/>
        <v>0</v>
      </c>
      <c r="I622" s="35">
        <v>10</v>
      </c>
      <c r="J622" s="8"/>
      <c r="K622" s="40">
        <f t="shared" si="915"/>
        <v>10</v>
      </c>
      <c r="L622" s="9">
        <f t="shared" si="916"/>
        <v>10</v>
      </c>
      <c r="M622" s="53">
        <v>45764</v>
      </c>
      <c r="N622" s="55" t="s">
        <v>3</v>
      </c>
      <c r="O622" s="62"/>
      <c r="P622" s="81"/>
      <c r="Q622" s="40">
        <f t="shared" si="922"/>
        <v>0</v>
      </c>
      <c r="R622" s="78"/>
      <c r="S622" s="82"/>
      <c r="T622" s="40">
        <f t="shared" si="923"/>
        <v>0</v>
      </c>
      <c r="U622" s="78"/>
      <c r="V622" s="82"/>
      <c r="W622" s="40">
        <f t="shared" si="924"/>
        <v>0</v>
      </c>
      <c r="X622" s="25">
        <f t="shared" si="925"/>
        <v>0</v>
      </c>
    </row>
    <row r="623" spans="1:24" ht="14.25" thickBot="1" x14ac:dyDescent="0.2">
      <c r="B623" s="55" t="s">
        <v>3</v>
      </c>
      <c r="C623" s="76"/>
      <c r="D623" s="83"/>
      <c r="E623" s="41">
        <f t="shared" si="921"/>
        <v>0</v>
      </c>
      <c r="F623" s="76"/>
      <c r="G623" s="83"/>
      <c r="H623" s="41">
        <f t="shared" si="914"/>
        <v>0</v>
      </c>
      <c r="I623" s="76"/>
      <c r="J623" s="83"/>
      <c r="K623" s="41">
        <f t="shared" si="915"/>
        <v>0</v>
      </c>
      <c r="L623" s="77">
        <f t="shared" si="916"/>
        <v>0</v>
      </c>
      <c r="M623" s="53"/>
      <c r="N623" s="75" t="s">
        <v>3</v>
      </c>
      <c r="O623" s="76"/>
      <c r="P623" s="83"/>
      <c r="Q623" s="41">
        <f t="shared" si="922"/>
        <v>0</v>
      </c>
      <c r="R623" s="76"/>
      <c r="S623" s="83"/>
      <c r="T623" s="41">
        <f t="shared" si="923"/>
        <v>0</v>
      </c>
      <c r="U623" s="76"/>
      <c r="V623" s="83"/>
      <c r="W623" s="41">
        <f t="shared" si="924"/>
        <v>0</v>
      </c>
      <c r="X623" s="77">
        <f t="shared" si="925"/>
        <v>0</v>
      </c>
    </row>
    <row r="624" spans="1:24" ht="14.25" thickBot="1" x14ac:dyDescent="0.2">
      <c r="B624" s="5" t="s">
        <v>2</v>
      </c>
      <c r="C624" s="32">
        <f>SUM(C618:C623)</f>
        <v>18</v>
      </c>
      <c r="D624" s="19">
        <f>SUM(D618:D623)</f>
        <v>22</v>
      </c>
      <c r="E624" s="42">
        <f t="shared" si="921"/>
        <v>40</v>
      </c>
      <c r="F624" s="32">
        <f>SUM(F618:F623)</f>
        <v>24</v>
      </c>
      <c r="G624" s="19">
        <f>SUM(G618:G623)</f>
        <v>21</v>
      </c>
      <c r="H624" s="42">
        <f t="shared" si="914"/>
        <v>45</v>
      </c>
      <c r="I624" s="32">
        <f>SUM(I618:I623)</f>
        <v>35</v>
      </c>
      <c r="J624" s="19">
        <f>SUM(J618:J623)</f>
        <v>44</v>
      </c>
      <c r="K624" s="42">
        <f t="shared" si="915"/>
        <v>79</v>
      </c>
      <c r="L624" s="13">
        <f t="shared" si="916"/>
        <v>164</v>
      </c>
      <c r="N624" s="63" t="s">
        <v>2</v>
      </c>
      <c r="O624" s="32">
        <f>SUM(O618:O623)</f>
        <v>439</v>
      </c>
      <c r="P624" s="19">
        <f t="shared" ref="P624" si="926">SUM(P618:P623)</f>
        <v>415</v>
      </c>
      <c r="Q624" s="42">
        <f t="shared" ref="Q624" si="927">SUM(Q618:Q623)</f>
        <v>854</v>
      </c>
      <c r="R624" s="32">
        <f t="shared" ref="R624" si="928">SUM(R618:R623)</f>
        <v>488</v>
      </c>
      <c r="S624" s="19">
        <f t="shared" ref="S624" si="929">SUM(S618:S623)</f>
        <v>574</v>
      </c>
      <c r="T624" s="42">
        <f t="shared" ref="T624" si="930">SUM(T618:T623)</f>
        <v>1062</v>
      </c>
      <c r="U624" s="32">
        <f t="shared" ref="U624" si="931">SUM(U618:U623)</f>
        <v>564</v>
      </c>
      <c r="V624" s="19">
        <f t="shared" ref="V624" si="932">SUM(V618:V623)</f>
        <v>647</v>
      </c>
      <c r="W624" s="42">
        <f t="shared" ref="W624" si="933">SUM(W618:W623)</f>
        <v>1211</v>
      </c>
      <c r="X624" s="13">
        <f t="shared" ref="X624" si="934">SUM(X618:X623)</f>
        <v>3127</v>
      </c>
    </row>
    <row r="625" spans="2:25" x14ac:dyDescent="0.15">
      <c r="B625" s="7" t="s">
        <v>12</v>
      </c>
      <c r="C625" s="30">
        <v>1</v>
      </c>
      <c r="D625" s="25">
        <v>1</v>
      </c>
      <c r="E625" s="43">
        <f t="shared" ref="E625:E630" si="935">SUM(C625:D625)</f>
        <v>2</v>
      </c>
      <c r="F625" s="35"/>
      <c r="G625" s="8"/>
      <c r="H625" s="43">
        <f t="shared" ref="H625:H630" si="936">SUM(F625:G625)</f>
        <v>0</v>
      </c>
      <c r="I625" s="35"/>
      <c r="J625" s="8">
        <v>1</v>
      </c>
      <c r="K625" s="43">
        <f t="shared" ref="K625:K630" si="937">SUM(I625:J625)</f>
        <v>1</v>
      </c>
      <c r="L625" s="8">
        <f t="shared" ref="L625:L630" si="938">SUM(K625,H625,E625)</f>
        <v>3</v>
      </c>
      <c r="M625" s="53">
        <v>45719</v>
      </c>
      <c r="N625" s="7" t="s">
        <v>29</v>
      </c>
      <c r="O625" s="30"/>
      <c r="P625" s="25"/>
      <c r="Q625" s="43">
        <f t="shared" si="922"/>
        <v>0</v>
      </c>
      <c r="R625" s="35"/>
      <c r="S625" s="8"/>
      <c r="T625" s="43">
        <f t="shared" si="923"/>
        <v>0</v>
      </c>
      <c r="U625" s="35">
        <v>7</v>
      </c>
      <c r="V625" s="8">
        <v>7</v>
      </c>
      <c r="W625" s="43">
        <f t="shared" si="924"/>
        <v>14</v>
      </c>
      <c r="X625" s="8">
        <f t="shared" si="925"/>
        <v>14</v>
      </c>
      <c r="Y625" s="53">
        <v>45729</v>
      </c>
    </row>
    <row r="626" spans="2:25" x14ac:dyDescent="0.15">
      <c r="B626" s="7" t="s">
        <v>352</v>
      </c>
      <c r="C626" s="30"/>
      <c r="D626" s="25"/>
      <c r="E626" s="43">
        <f t="shared" si="935"/>
        <v>0</v>
      </c>
      <c r="F626" s="35"/>
      <c r="G626" s="8"/>
      <c r="H626" s="43">
        <f t="shared" si="936"/>
        <v>0</v>
      </c>
      <c r="I626" s="35">
        <v>1</v>
      </c>
      <c r="J626" s="8">
        <v>10</v>
      </c>
      <c r="K626" s="43">
        <f t="shared" si="937"/>
        <v>11</v>
      </c>
      <c r="L626" s="8">
        <f t="shared" si="938"/>
        <v>11</v>
      </c>
      <c r="M626" s="53">
        <v>45728</v>
      </c>
      <c r="N626" s="7" t="s">
        <v>30</v>
      </c>
      <c r="O626" s="30"/>
      <c r="P626" s="25"/>
      <c r="Q626" s="43">
        <f t="shared" si="922"/>
        <v>0</v>
      </c>
      <c r="R626" s="35"/>
      <c r="S626" s="8"/>
      <c r="T626" s="43">
        <f t="shared" si="923"/>
        <v>0</v>
      </c>
      <c r="U626" s="35"/>
      <c r="V626" s="8">
        <v>5</v>
      </c>
      <c r="W626" s="43">
        <f t="shared" si="924"/>
        <v>5</v>
      </c>
      <c r="X626" s="8">
        <f t="shared" si="925"/>
        <v>5</v>
      </c>
      <c r="Y626" s="53">
        <v>45730</v>
      </c>
    </row>
    <row r="627" spans="2:25" x14ac:dyDescent="0.15">
      <c r="B627" s="7" t="s">
        <v>12</v>
      </c>
      <c r="C627" s="30"/>
      <c r="D627" s="25"/>
      <c r="E627" s="43">
        <f t="shared" si="935"/>
        <v>0</v>
      </c>
      <c r="F627" s="35"/>
      <c r="G627" s="8"/>
      <c r="H627" s="43">
        <f t="shared" si="936"/>
        <v>0</v>
      </c>
      <c r="I627" s="35">
        <v>1</v>
      </c>
      <c r="J627" s="8"/>
      <c r="K627" s="43">
        <f t="shared" si="937"/>
        <v>1</v>
      </c>
      <c r="L627" s="8">
        <f t="shared" si="938"/>
        <v>1</v>
      </c>
      <c r="M627" s="53">
        <v>45728</v>
      </c>
      <c r="N627" s="7" t="s">
        <v>28</v>
      </c>
      <c r="O627" s="30"/>
      <c r="P627" s="25"/>
      <c r="Q627" s="43">
        <f t="shared" ref="Q627" si="939">SUM(O627:P627)</f>
        <v>0</v>
      </c>
      <c r="R627" s="35"/>
      <c r="S627" s="8"/>
      <c r="T627" s="43">
        <f t="shared" si="923"/>
        <v>0</v>
      </c>
      <c r="U627" s="35"/>
      <c r="V627" s="8">
        <v>10</v>
      </c>
      <c r="W627" s="43">
        <f t="shared" si="924"/>
        <v>10</v>
      </c>
      <c r="X627" s="8">
        <f t="shared" si="925"/>
        <v>10</v>
      </c>
      <c r="Y627" s="53">
        <v>45729</v>
      </c>
    </row>
    <row r="628" spans="2:25" x14ac:dyDescent="0.15">
      <c r="B628" s="7" t="s">
        <v>12</v>
      </c>
      <c r="C628" s="30"/>
      <c r="D628" s="25"/>
      <c r="E628" s="43">
        <f t="shared" si="935"/>
        <v>0</v>
      </c>
      <c r="F628" s="35">
        <v>1</v>
      </c>
      <c r="G628" s="8"/>
      <c r="H628" s="43">
        <f t="shared" si="936"/>
        <v>1</v>
      </c>
      <c r="I628" s="35"/>
      <c r="J628" s="8"/>
      <c r="K628" s="43">
        <f t="shared" si="937"/>
        <v>0</v>
      </c>
      <c r="L628" s="8">
        <f t="shared" si="938"/>
        <v>1</v>
      </c>
      <c r="M628" s="53">
        <v>45730</v>
      </c>
      <c r="N628" s="7" t="s">
        <v>31</v>
      </c>
      <c r="O628" s="30"/>
      <c r="P628" s="25"/>
      <c r="Q628" s="43">
        <f t="shared" si="922"/>
        <v>0</v>
      </c>
      <c r="R628" s="35"/>
      <c r="S628" s="8"/>
      <c r="T628" s="43">
        <f t="shared" si="923"/>
        <v>0</v>
      </c>
      <c r="U628" s="35">
        <v>5</v>
      </c>
      <c r="V628" s="8"/>
      <c r="W628" s="43">
        <f t="shared" si="924"/>
        <v>5</v>
      </c>
      <c r="X628" s="8">
        <f t="shared" si="925"/>
        <v>5</v>
      </c>
      <c r="Y628" s="53">
        <v>45730</v>
      </c>
    </row>
    <row r="629" spans="2:25" x14ac:dyDescent="0.15">
      <c r="B629" s="7" t="s">
        <v>12</v>
      </c>
      <c r="C629" s="30"/>
      <c r="D629" s="25"/>
      <c r="E629" s="43">
        <f t="shared" si="935"/>
        <v>0</v>
      </c>
      <c r="F629" s="35"/>
      <c r="G629" s="8">
        <v>1</v>
      </c>
      <c r="H629" s="43">
        <f t="shared" si="936"/>
        <v>1</v>
      </c>
      <c r="I629" s="35">
        <v>1</v>
      </c>
      <c r="J629" s="8"/>
      <c r="K629" s="43">
        <f t="shared" si="937"/>
        <v>1</v>
      </c>
      <c r="L629" s="8">
        <f t="shared" si="938"/>
        <v>2</v>
      </c>
      <c r="M629" s="53">
        <v>45733</v>
      </c>
      <c r="N629" s="7" t="s">
        <v>33</v>
      </c>
      <c r="O629" s="30"/>
      <c r="P629" s="25"/>
      <c r="Q629" s="43">
        <f t="shared" si="922"/>
        <v>0</v>
      </c>
      <c r="R629" s="35"/>
      <c r="S629" s="8"/>
      <c r="T629" s="43">
        <f t="shared" si="923"/>
        <v>0</v>
      </c>
      <c r="U629" s="35">
        <v>3</v>
      </c>
      <c r="V629" s="8"/>
      <c r="W629" s="43">
        <f t="shared" si="924"/>
        <v>3</v>
      </c>
      <c r="X629" s="8">
        <f t="shared" si="925"/>
        <v>3</v>
      </c>
      <c r="Y629" s="53">
        <v>45733</v>
      </c>
    </row>
    <row r="630" spans="2:25" x14ac:dyDescent="0.15">
      <c r="B630" s="7" t="s">
        <v>12</v>
      </c>
      <c r="C630" s="30"/>
      <c r="D630" s="25"/>
      <c r="E630" s="43">
        <f t="shared" si="935"/>
        <v>0</v>
      </c>
      <c r="F630" s="35"/>
      <c r="G630" s="8"/>
      <c r="H630" s="43">
        <f t="shared" si="936"/>
        <v>0</v>
      </c>
      <c r="I630" s="35"/>
      <c r="J630" s="8">
        <v>1</v>
      </c>
      <c r="K630" s="43">
        <f t="shared" si="937"/>
        <v>1</v>
      </c>
      <c r="L630" s="8">
        <f t="shared" si="938"/>
        <v>1</v>
      </c>
      <c r="M630" s="53">
        <v>45734</v>
      </c>
      <c r="N630" s="7" t="s">
        <v>356</v>
      </c>
      <c r="O630" s="30"/>
      <c r="P630" s="25"/>
      <c r="Q630" s="43">
        <f t="shared" si="922"/>
        <v>0</v>
      </c>
      <c r="R630" s="35"/>
      <c r="S630" s="8"/>
      <c r="T630" s="43">
        <f t="shared" si="923"/>
        <v>0</v>
      </c>
      <c r="U630" s="35"/>
      <c r="V630" s="8">
        <v>10</v>
      </c>
      <c r="W630" s="43">
        <f t="shared" si="924"/>
        <v>10</v>
      </c>
      <c r="X630" s="8">
        <f t="shared" si="925"/>
        <v>10</v>
      </c>
      <c r="Y630" s="53">
        <v>45741</v>
      </c>
    </row>
    <row r="631" spans="2:25" x14ac:dyDescent="0.15">
      <c r="B631" s="7" t="s">
        <v>34</v>
      </c>
      <c r="C631" s="30"/>
      <c r="D631" s="25"/>
      <c r="E631" s="43">
        <f t="shared" si="921"/>
        <v>0</v>
      </c>
      <c r="F631" s="35"/>
      <c r="G631" s="8"/>
      <c r="H631" s="43">
        <f t="shared" si="914"/>
        <v>0</v>
      </c>
      <c r="I631" s="35">
        <v>1</v>
      </c>
      <c r="J631" s="8">
        <v>3</v>
      </c>
      <c r="K631" s="43">
        <f t="shared" si="915"/>
        <v>4</v>
      </c>
      <c r="L631" s="8">
        <f t="shared" si="916"/>
        <v>4</v>
      </c>
      <c r="M631" s="53">
        <v>45737</v>
      </c>
      <c r="N631" s="7" t="s">
        <v>42</v>
      </c>
      <c r="O631" s="30"/>
      <c r="P631" s="25"/>
      <c r="Q631" s="43">
        <f t="shared" si="922"/>
        <v>0</v>
      </c>
      <c r="R631" s="35"/>
      <c r="S631" s="8"/>
      <c r="T631" s="43">
        <f t="shared" si="923"/>
        <v>0</v>
      </c>
      <c r="U631" s="35">
        <v>1</v>
      </c>
      <c r="V631" s="8">
        <v>7</v>
      </c>
      <c r="W631" s="43">
        <f t="shared" si="924"/>
        <v>8</v>
      </c>
      <c r="X631" s="8">
        <f t="shared" si="925"/>
        <v>8</v>
      </c>
      <c r="Y631" s="53">
        <v>45744</v>
      </c>
    </row>
    <row r="632" spans="2:25" x14ac:dyDescent="0.15">
      <c r="B632" s="7" t="s">
        <v>12</v>
      </c>
      <c r="C632" s="30"/>
      <c r="D632" s="25"/>
      <c r="E632" s="43">
        <f t="shared" si="921"/>
        <v>0</v>
      </c>
      <c r="F632" s="35"/>
      <c r="G632" s="8"/>
      <c r="H632" s="43">
        <f t="shared" si="914"/>
        <v>0</v>
      </c>
      <c r="I632" s="35">
        <v>1</v>
      </c>
      <c r="J632" s="8"/>
      <c r="K632" s="43">
        <f t="shared" si="915"/>
        <v>1</v>
      </c>
      <c r="L632" s="8">
        <f t="shared" si="916"/>
        <v>1</v>
      </c>
      <c r="M632" s="53">
        <v>45735</v>
      </c>
      <c r="N632" s="7" t="s">
        <v>361</v>
      </c>
      <c r="O632" s="30">
        <v>5</v>
      </c>
      <c r="P632" s="25">
        <v>5</v>
      </c>
      <c r="Q632" s="43">
        <f t="shared" si="922"/>
        <v>10</v>
      </c>
      <c r="R632" s="35">
        <v>5</v>
      </c>
      <c r="S632" s="8">
        <v>5</v>
      </c>
      <c r="T632" s="43">
        <f t="shared" si="923"/>
        <v>10</v>
      </c>
      <c r="U632" s="35">
        <v>5</v>
      </c>
      <c r="V632" s="8">
        <v>5</v>
      </c>
      <c r="W632" s="43">
        <f t="shared" si="924"/>
        <v>10</v>
      </c>
      <c r="X632" s="8">
        <f t="shared" si="925"/>
        <v>30</v>
      </c>
      <c r="Y632" s="53">
        <v>45756</v>
      </c>
    </row>
    <row r="633" spans="2:25" x14ac:dyDescent="0.15">
      <c r="B633" s="7" t="s">
        <v>36</v>
      </c>
      <c r="C633" s="30"/>
      <c r="D633" s="25"/>
      <c r="E633" s="43">
        <f t="shared" si="921"/>
        <v>0</v>
      </c>
      <c r="F633" s="35"/>
      <c r="G633" s="8"/>
      <c r="H633" s="43">
        <f t="shared" si="914"/>
        <v>0</v>
      </c>
      <c r="I633" s="35"/>
      <c r="J633" s="8">
        <v>3</v>
      </c>
      <c r="K633" s="43">
        <f t="shared" si="915"/>
        <v>3</v>
      </c>
      <c r="L633" s="8">
        <f t="shared" si="916"/>
        <v>3</v>
      </c>
      <c r="M633" s="53">
        <v>45742</v>
      </c>
      <c r="N633" s="7" t="s">
        <v>28</v>
      </c>
      <c r="O633" s="30"/>
      <c r="P633" s="25"/>
      <c r="Q633" s="43">
        <f t="shared" si="922"/>
        <v>0</v>
      </c>
      <c r="R633" s="35"/>
      <c r="S633" s="8">
        <v>10</v>
      </c>
      <c r="T633" s="43">
        <f t="shared" si="923"/>
        <v>10</v>
      </c>
      <c r="U633" s="35">
        <v>10</v>
      </c>
      <c r="V633" s="8">
        <v>10</v>
      </c>
      <c r="W633" s="43">
        <f t="shared" si="924"/>
        <v>20</v>
      </c>
      <c r="X633" s="8">
        <f t="shared" si="925"/>
        <v>30</v>
      </c>
      <c r="Y633" s="53">
        <v>45752</v>
      </c>
    </row>
    <row r="634" spans="2:25" x14ac:dyDescent="0.15">
      <c r="B634" s="7" t="s">
        <v>12</v>
      </c>
      <c r="C634" s="30"/>
      <c r="D634" s="25"/>
      <c r="E634" s="43">
        <f t="shared" si="921"/>
        <v>0</v>
      </c>
      <c r="F634" s="35"/>
      <c r="G634" s="8">
        <v>1</v>
      </c>
      <c r="H634" s="43">
        <f t="shared" si="914"/>
        <v>1</v>
      </c>
      <c r="I634" s="35"/>
      <c r="J634" s="8">
        <f>1+2</f>
        <v>3</v>
      </c>
      <c r="K634" s="43">
        <f t="shared" si="915"/>
        <v>3</v>
      </c>
      <c r="L634" s="8">
        <f t="shared" si="916"/>
        <v>4</v>
      </c>
      <c r="M634" s="53">
        <v>45740</v>
      </c>
      <c r="N634" s="7" t="s">
        <v>28</v>
      </c>
      <c r="O634" s="30"/>
      <c r="P634" s="25"/>
      <c r="Q634" s="43">
        <f t="shared" si="922"/>
        <v>0</v>
      </c>
      <c r="R634" s="35"/>
      <c r="S634" s="8"/>
      <c r="T634" s="43">
        <f t="shared" si="923"/>
        <v>0</v>
      </c>
      <c r="U634" s="35">
        <v>10</v>
      </c>
      <c r="V634" s="8"/>
      <c r="W634" s="43">
        <f t="shared" si="924"/>
        <v>10</v>
      </c>
      <c r="X634" s="8">
        <f t="shared" si="925"/>
        <v>10</v>
      </c>
      <c r="Y634" s="53">
        <v>45764</v>
      </c>
    </row>
    <row r="635" spans="2:25" x14ac:dyDescent="0.15">
      <c r="B635" s="7" t="s">
        <v>41</v>
      </c>
      <c r="C635" s="30"/>
      <c r="D635" s="25"/>
      <c r="E635" s="43">
        <f t="shared" si="921"/>
        <v>0</v>
      </c>
      <c r="F635" s="35"/>
      <c r="G635" s="8"/>
      <c r="H635" s="43">
        <f t="shared" si="914"/>
        <v>0</v>
      </c>
      <c r="I635" s="35"/>
      <c r="J635" s="8">
        <v>1</v>
      </c>
      <c r="K635" s="43">
        <f t="shared" si="915"/>
        <v>1</v>
      </c>
      <c r="L635" s="8">
        <f t="shared" si="916"/>
        <v>1</v>
      </c>
      <c r="M635" s="53">
        <v>45743</v>
      </c>
      <c r="N635" s="7" t="s">
        <v>378</v>
      </c>
      <c r="O635" s="30"/>
      <c r="P635" s="25"/>
      <c r="Q635" s="43">
        <f t="shared" si="922"/>
        <v>0</v>
      </c>
      <c r="R635" s="35"/>
      <c r="S635" s="8">
        <v>1</v>
      </c>
      <c r="T635" s="43">
        <f t="shared" si="923"/>
        <v>1</v>
      </c>
      <c r="U635" s="35"/>
      <c r="V635" s="8"/>
      <c r="W635" s="43">
        <f t="shared" si="924"/>
        <v>0</v>
      </c>
      <c r="X635" s="8">
        <f t="shared" si="925"/>
        <v>1</v>
      </c>
      <c r="Y635" s="53">
        <v>45775</v>
      </c>
    </row>
    <row r="636" spans="2:25" x14ac:dyDescent="0.15">
      <c r="B636" s="7" t="s">
        <v>12</v>
      </c>
      <c r="C636" s="30"/>
      <c r="D636" s="25">
        <v>1</v>
      </c>
      <c r="E636" s="43">
        <f t="shared" si="921"/>
        <v>1</v>
      </c>
      <c r="F636" s="35"/>
      <c r="G636" s="8">
        <v>1</v>
      </c>
      <c r="H636" s="43">
        <f t="shared" si="914"/>
        <v>1</v>
      </c>
      <c r="I636" s="35"/>
      <c r="J636" s="8">
        <v>1</v>
      </c>
      <c r="K636" s="43">
        <f t="shared" si="915"/>
        <v>1</v>
      </c>
      <c r="L636" s="8">
        <f t="shared" si="916"/>
        <v>3</v>
      </c>
      <c r="M636" s="53">
        <v>45741</v>
      </c>
      <c r="N636" s="7" t="s">
        <v>379</v>
      </c>
      <c r="O636" s="30">
        <v>12</v>
      </c>
      <c r="P636" s="25">
        <v>12</v>
      </c>
      <c r="Q636" s="43">
        <f t="shared" si="922"/>
        <v>24</v>
      </c>
      <c r="R636" s="35">
        <v>12</v>
      </c>
      <c r="S636" s="8">
        <v>12</v>
      </c>
      <c r="T636" s="43">
        <f t="shared" si="923"/>
        <v>24</v>
      </c>
      <c r="U636" s="35">
        <v>12</v>
      </c>
      <c r="V636" s="8">
        <v>12</v>
      </c>
      <c r="W636" s="43">
        <f t="shared" si="924"/>
        <v>24</v>
      </c>
      <c r="X636" s="8">
        <f t="shared" si="925"/>
        <v>72</v>
      </c>
      <c r="Y636" s="53">
        <v>45772</v>
      </c>
    </row>
    <row r="637" spans="2:25" x14ac:dyDescent="0.15">
      <c r="B637" s="7" t="s">
        <v>43</v>
      </c>
      <c r="C637" s="30"/>
      <c r="D637" s="25"/>
      <c r="E637" s="43">
        <f t="shared" si="921"/>
        <v>0</v>
      </c>
      <c r="F637" s="35"/>
      <c r="G637" s="8"/>
      <c r="H637" s="43">
        <f t="shared" si="914"/>
        <v>0</v>
      </c>
      <c r="I637" s="35">
        <v>3</v>
      </c>
      <c r="J637" s="8">
        <v>2</v>
      </c>
      <c r="K637" s="43">
        <f t="shared" si="915"/>
        <v>5</v>
      </c>
      <c r="L637" s="8">
        <f t="shared" si="916"/>
        <v>5</v>
      </c>
      <c r="M637" s="53">
        <v>45744</v>
      </c>
      <c r="N637" s="7" t="s">
        <v>382</v>
      </c>
      <c r="O637" s="30">
        <v>20</v>
      </c>
      <c r="P637" s="25">
        <v>15</v>
      </c>
      <c r="Q637" s="43">
        <f t="shared" si="922"/>
        <v>35</v>
      </c>
      <c r="R637" s="35">
        <v>40</v>
      </c>
      <c r="S637" s="8">
        <v>20</v>
      </c>
      <c r="T637" s="43">
        <f t="shared" si="923"/>
        <v>60</v>
      </c>
      <c r="U637" s="35">
        <v>30</v>
      </c>
      <c r="V637" s="8">
        <v>20</v>
      </c>
      <c r="W637" s="43">
        <f t="shared" si="924"/>
        <v>50</v>
      </c>
      <c r="X637" s="8">
        <f t="shared" si="925"/>
        <v>145</v>
      </c>
      <c r="Y637" s="53">
        <v>45772</v>
      </c>
    </row>
    <row r="638" spans="2:25" x14ac:dyDescent="0.15">
      <c r="B638" s="7" t="s">
        <v>12</v>
      </c>
      <c r="C638" s="30"/>
      <c r="D638" s="25"/>
      <c r="E638" s="43">
        <f t="shared" si="921"/>
        <v>0</v>
      </c>
      <c r="F638" s="35">
        <v>1</v>
      </c>
      <c r="G638" s="8"/>
      <c r="H638" s="43">
        <f t="shared" si="914"/>
        <v>1</v>
      </c>
      <c r="I638" s="35"/>
      <c r="J638" s="8">
        <v>1</v>
      </c>
      <c r="K638" s="43">
        <f t="shared" si="915"/>
        <v>1</v>
      </c>
      <c r="L638" s="8">
        <f t="shared" si="916"/>
        <v>2</v>
      </c>
      <c r="M638" s="53">
        <v>45744</v>
      </c>
      <c r="N638" s="7" t="s">
        <v>383</v>
      </c>
      <c r="O638" s="30">
        <v>30</v>
      </c>
      <c r="P638" s="25">
        <v>20</v>
      </c>
      <c r="Q638" s="43">
        <f t="shared" si="922"/>
        <v>50</v>
      </c>
      <c r="R638" s="35">
        <v>10</v>
      </c>
      <c r="S638" s="8">
        <v>15</v>
      </c>
      <c r="T638" s="43">
        <f t="shared" si="923"/>
        <v>25</v>
      </c>
      <c r="U638" s="35">
        <v>10</v>
      </c>
      <c r="V638" s="8">
        <v>20</v>
      </c>
      <c r="W638" s="43">
        <f t="shared" si="924"/>
        <v>30</v>
      </c>
      <c r="X638" s="8">
        <f t="shared" si="925"/>
        <v>105</v>
      </c>
      <c r="Y638" s="53">
        <v>45775</v>
      </c>
    </row>
    <row r="639" spans="2:25" x14ac:dyDescent="0.15">
      <c r="B639" s="7" t="s">
        <v>12</v>
      </c>
      <c r="C639" s="30"/>
      <c r="D639" s="25"/>
      <c r="E639" s="43">
        <f t="shared" si="921"/>
        <v>0</v>
      </c>
      <c r="F639" s="35"/>
      <c r="G639" s="8"/>
      <c r="H639" s="43">
        <f t="shared" si="914"/>
        <v>0</v>
      </c>
      <c r="I639" s="35"/>
      <c r="J639" s="8">
        <v>1</v>
      </c>
      <c r="K639" s="43">
        <f t="shared" si="915"/>
        <v>1</v>
      </c>
      <c r="L639" s="8">
        <f t="shared" si="916"/>
        <v>1</v>
      </c>
      <c r="M639" s="53">
        <v>45745</v>
      </c>
      <c r="N639" s="7" t="s">
        <v>385</v>
      </c>
      <c r="O639" s="30">
        <v>12</v>
      </c>
      <c r="P639" s="25">
        <v>12</v>
      </c>
      <c r="Q639" s="43">
        <f t="shared" si="922"/>
        <v>24</v>
      </c>
      <c r="R639" s="35">
        <v>12</v>
      </c>
      <c r="S639" s="8">
        <v>12</v>
      </c>
      <c r="T639" s="43">
        <f t="shared" si="923"/>
        <v>24</v>
      </c>
      <c r="U639" s="35">
        <v>12</v>
      </c>
      <c r="V639" s="8">
        <v>12</v>
      </c>
      <c r="W639" s="43">
        <f t="shared" si="924"/>
        <v>24</v>
      </c>
      <c r="X639" s="8">
        <f t="shared" si="925"/>
        <v>72</v>
      </c>
      <c r="Y639" s="53">
        <v>45775</v>
      </c>
    </row>
    <row r="640" spans="2:25" x14ac:dyDescent="0.15">
      <c r="B640" s="7" t="s">
        <v>12</v>
      </c>
      <c r="C640" s="30"/>
      <c r="D640" s="25"/>
      <c r="E640" s="43">
        <f t="shared" si="921"/>
        <v>0</v>
      </c>
      <c r="F640" s="35">
        <v>1</v>
      </c>
      <c r="G640" s="8"/>
      <c r="H640" s="43">
        <f t="shared" si="914"/>
        <v>1</v>
      </c>
      <c r="I640" s="35"/>
      <c r="J640" s="8">
        <v>1</v>
      </c>
      <c r="K640" s="43">
        <f t="shared" si="915"/>
        <v>1</v>
      </c>
      <c r="L640" s="8">
        <f t="shared" si="916"/>
        <v>2</v>
      </c>
      <c r="M640" s="53">
        <v>45749</v>
      </c>
      <c r="N640" s="7" t="s">
        <v>386</v>
      </c>
      <c r="O640" s="30">
        <v>18</v>
      </c>
      <c r="P640" s="25">
        <v>24</v>
      </c>
      <c r="Q640" s="43">
        <f t="shared" si="922"/>
        <v>42</v>
      </c>
      <c r="R640" s="35">
        <v>25</v>
      </c>
      <c r="S640" s="8">
        <v>23</v>
      </c>
      <c r="T640" s="43">
        <f t="shared" si="923"/>
        <v>48</v>
      </c>
      <c r="U640" s="35">
        <v>13</v>
      </c>
      <c r="V640" s="8">
        <v>20</v>
      </c>
      <c r="W640" s="43">
        <f t="shared" si="924"/>
        <v>33</v>
      </c>
      <c r="X640" s="8">
        <f t="shared" si="925"/>
        <v>123</v>
      </c>
      <c r="Y640" s="53">
        <v>45777</v>
      </c>
    </row>
    <row r="641" spans="2:25" x14ac:dyDescent="0.15">
      <c r="B641" s="7" t="s">
        <v>12</v>
      </c>
      <c r="C641" s="30"/>
      <c r="D641" s="25"/>
      <c r="E641" s="43">
        <f t="shared" si="921"/>
        <v>0</v>
      </c>
      <c r="F641" s="35">
        <v>1</v>
      </c>
      <c r="G641" s="8"/>
      <c r="H641" s="43">
        <f t="shared" si="914"/>
        <v>1</v>
      </c>
      <c r="I641" s="35">
        <v>1</v>
      </c>
      <c r="J641" s="8"/>
      <c r="K641" s="43">
        <f t="shared" si="915"/>
        <v>1</v>
      </c>
      <c r="L641" s="8">
        <f t="shared" si="916"/>
        <v>2</v>
      </c>
      <c r="M641" s="53">
        <v>45754</v>
      </c>
      <c r="N641" s="7"/>
      <c r="O641" s="30"/>
      <c r="P641" s="25"/>
      <c r="Q641" s="43">
        <f t="shared" si="922"/>
        <v>0</v>
      </c>
      <c r="R641" s="35"/>
      <c r="S641" s="8"/>
      <c r="T641" s="43">
        <f t="shared" si="923"/>
        <v>0</v>
      </c>
      <c r="U641" s="35"/>
      <c r="V641" s="8"/>
      <c r="W641" s="43">
        <f t="shared" si="924"/>
        <v>0</v>
      </c>
      <c r="X641" s="8">
        <f t="shared" si="925"/>
        <v>0</v>
      </c>
    </row>
    <row r="642" spans="2:25" x14ac:dyDescent="0.15">
      <c r="B642" s="7" t="s">
        <v>44</v>
      </c>
      <c r="C642" s="30"/>
      <c r="D642" s="25"/>
      <c r="E642" s="43">
        <f t="shared" si="921"/>
        <v>0</v>
      </c>
      <c r="F642" s="35"/>
      <c r="G642" s="8"/>
      <c r="H642" s="43">
        <f t="shared" si="914"/>
        <v>0</v>
      </c>
      <c r="I642" s="35">
        <v>4</v>
      </c>
      <c r="J642" s="8">
        <v>1</v>
      </c>
      <c r="K642" s="43">
        <f t="shared" si="915"/>
        <v>5</v>
      </c>
      <c r="L642" s="8">
        <f t="shared" si="916"/>
        <v>5</v>
      </c>
      <c r="M642" s="53">
        <v>45758</v>
      </c>
      <c r="N642" s="7"/>
      <c r="O642" s="33"/>
      <c r="P642" s="27"/>
      <c r="Q642" s="43">
        <f t="shared" si="922"/>
        <v>0</v>
      </c>
      <c r="R642" s="37"/>
      <c r="S642" s="10"/>
      <c r="T642" s="43">
        <f t="shared" si="923"/>
        <v>0</v>
      </c>
      <c r="U642" s="37"/>
      <c r="V642" s="10"/>
      <c r="W642" s="43">
        <f t="shared" si="924"/>
        <v>0</v>
      </c>
      <c r="X642" s="8">
        <f t="shared" si="925"/>
        <v>0</v>
      </c>
    </row>
    <row r="643" spans="2:25" x14ac:dyDescent="0.15">
      <c r="B643" s="7" t="s">
        <v>12</v>
      </c>
      <c r="C643" s="30"/>
      <c r="D643" s="25"/>
      <c r="E643" s="43">
        <f t="shared" si="921"/>
        <v>0</v>
      </c>
      <c r="F643" s="35"/>
      <c r="G643" s="8">
        <v>1</v>
      </c>
      <c r="H643" s="43">
        <f t="shared" si="914"/>
        <v>1</v>
      </c>
      <c r="I643" s="35"/>
      <c r="J643" s="8"/>
      <c r="K643" s="43">
        <f t="shared" si="915"/>
        <v>0</v>
      </c>
      <c r="L643" s="8">
        <f t="shared" si="916"/>
        <v>1</v>
      </c>
      <c r="M643" s="53">
        <v>45757</v>
      </c>
      <c r="N643" s="7"/>
      <c r="O643" s="33"/>
      <c r="P643" s="27"/>
      <c r="Q643" s="43">
        <f t="shared" ref="Q643:Q644" si="940">SUM(O643:P643)</f>
        <v>0</v>
      </c>
      <c r="R643" s="37"/>
      <c r="S643" s="10"/>
      <c r="T643" s="43">
        <f t="shared" ref="T643:T644" si="941">SUM(R643:S643)</f>
        <v>0</v>
      </c>
      <c r="U643" s="37"/>
      <c r="V643" s="10"/>
      <c r="W643" s="43">
        <f t="shared" ref="W643:W644" si="942">SUM(U643:V643)</f>
        <v>0</v>
      </c>
      <c r="X643" s="8">
        <f t="shared" ref="X643:X644" si="943">SUM(W643,T643,Q643)</f>
        <v>0</v>
      </c>
    </row>
    <row r="644" spans="2:25" x14ac:dyDescent="0.15">
      <c r="B644" s="7" t="s">
        <v>45</v>
      </c>
      <c r="C644" s="30"/>
      <c r="D644" s="25"/>
      <c r="E644" s="43">
        <f t="shared" si="921"/>
        <v>0</v>
      </c>
      <c r="F644" s="35"/>
      <c r="G644" s="8"/>
      <c r="H644" s="43">
        <f t="shared" si="914"/>
        <v>0</v>
      </c>
      <c r="I644" s="35">
        <v>1</v>
      </c>
      <c r="J644" s="8"/>
      <c r="K644" s="43">
        <f t="shared" si="915"/>
        <v>1</v>
      </c>
      <c r="L644" s="8">
        <f t="shared" si="916"/>
        <v>1</v>
      </c>
      <c r="M644" s="53">
        <v>45761</v>
      </c>
      <c r="N644" s="7" t="s">
        <v>359</v>
      </c>
      <c r="O644" s="30"/>
      <c r="P644" s="25"/>
      <c r="Q644" s="43">
        <f t="shared" si="940"/>
        <v>0</v>
      </c>
      <c r="R644" s="35"/>
      <c r="S644" s="8"/>
      <c r="T644" s="43">
        <f t="shared" si="941"/>
        <v>0</v>
      </c>
      <c r="U644" s="35"/>
      <c r="V644" s="8"/>
      <c r="W644" s="43">
        <f t="shared" si="942"/>
        <v>0</v>
      </c>
      <c r="X644" s="8">
        <f t="shared" si="943"/>
        <v>0</v>
      </c>
      <c r="Y644" s="52" t="s">
        <v>360</v>
      </c>
    </row>
    <row r="645" spans="2:25" x14ac:dyDescent="0.15">
      <c r="B645" s="7" t="s">
        <v>49</v>
      </c>
      <c r="C645" s="30"/>
      <c r="D645" s="25"/>
      <c r="E645" s="43">
        <f t="shared" si="921"/>
        <v>0</v>
      </c>
      <c r="F645" s="35"/>
      <c r="G645" s="8"/>
      <c r="H645" s="43">
        <f t="shared" si="914"/>
        <v>0</v>
      </c>
      <c r="I645" s="35">
        <v>2</v>
      </c>
      <c r="J645" s="8"/>
      <c r="K645" s="43">
        <f t="shared" si="915"/>
        <v>2</v>
      </c>
      <c r="L645" s="8">
        <f t="shared" si="916"/>
        <v>2</v>
      </c>
      <c r="M645" s="53">
        <v>45763</v>
      </c>
      <c r="N645" s="7" t="s">
        <v>339</v>
      </c>
      <c r="O645" s="30"/>
      <c r="P645" s="25"/>
      <c r="Q645" s="43">
        <f t="shared" ref="Q645:Q647" si="944">SUM(O645:P645)</f>
        <v>0</v>
      </c>
      <c r="R645" s="35"/>
      <c r="S645" s="8"/>
      <c r="T645" s="43">
        <f t="shared" ref="T645:T647" si="945">SUM(R645:S645)</f>
        <v>0</v>
      </c>
      <c r="U645" s="35"/>
      <c r="V645" s="8"/>
      <c r="W645" s="43">
        <f t="shared" ref="W645:W647" si="946">SUM(U645:V645)</f>
        <v>0</v>
      </c>
      <c r="X645" s="8">
        <f t="shared" ref="X645:X647" si="947">SUM(W645,T645,Q645)</f>
        <v>0</v>
      </c>
      <c r="Y645" s="52" t="s">
        <v>340</v>
      </c>
    </row>
    <row r="646" spans="2:25" x14ac:dyDescent="0.15">
      <c r="B646" s="7" t="s">
        <v>12</v>
      </c>
      <c r="C646" s="30"/>
      <c r="D646" s="25"/>
      <c r="E646" s="43">
        <f t="shared" si="921"/>
        <v>0</v>
      </c>
      <c r="F646" s="35">
        <v>1</v>
      </c>
      <c r="G646" s="8">
        <v>1</v>
      </c>
      <c r="H646" s="43">
        <f t="shared" si="914"/>
        <v>2</v>
      </c>
      <c r="I646" s="35"/>
      <c r="J646" s="8">
        <v>1</v>
      </c>
      <c r="K646" s="43">
        <f t="shared" si="915"/>
        <v>1</v>
      </c>
      <c r="L646" s="8">
        <f t="shared" si="916"/>
        <v>3</v>
      </c>
      <c r="M646" s="53">
        <v>45761</v>
      </c>
      <c r="N646" s="7" t="s">
        <v>349</v>
      </c>
      <c r="O646" s="30"/>
      <c r="P646" s="25"/>
      <c r="Q646" s="43">
        <f t="shared" si="944"/>
        <v>0</v>
      </c>
      <c r="R646" s="35"/>
      <c r="S646" s="8"/>
      <c r="T646" s="43">
        <f t="shared" si="945"/>
        <v>0</v>
      </c>
      <c r="U646" s="35"/>
      <c r="V646" s="8"/>
      <c r="W646" s="43">
        <f t="shared" si="946"/>
        <v>0</v>
      </c>
      <c r="X646" s="8">
        <f t="shared" si="947"/>
        <v>0</v>
      </c>
      <c r="Y646" s="52" t="s">
        <v>350</v>
      </c>
    </row>
    <row r="647" spans="2:25" x14ac:dyDescent="0.15">
      <c r="B647" s="7" t="s">
        <v>50</v>
      </c>
      <c r="C647" s="30"/>
      <c r="D647" s="25"/>
      <c r="E647" s="43">
        <f t="shared" si="921"/>
        <v>0</v>
      </c>
      <c r="F647" s="35"/>
      <c r="G647" s="8"/>
      <c r="H647" s="43">
        <f t="shared" si="914"/>
        <v>0</v>
      </c>
      <c r="I647" s="35">
        <v>3</v>
      </c>
      <c r="J647" s="8"/>
      <c r="K647" s="43">
        <f t="shared" si="915"/>
        <v>3</v>
      </c>
      <c r="L647" s="8">
        <f t="shared" si="916"/>
        <v>3</v>
      </c>
      <c r="M647" s="53">
        <v>45764</v>
      </c>
      <c r="N647" s="7" t="s">
        <v>354</v>
      </c>
      <c r="O647" s="30"/>
      <c r="P647" s="25"/>
      <c r="Q647" s="43">
        <f t="shared" si="944"/>
        <v>0</v>
      </c>
      <c r="R647" s="30"/>
      <c r="S647" s="25"/>
      <c r="T647" s="43">
        <f t="shared" si="945"/>
        <v>0</v>
      </c>
      <c r="U647" s="30"/>
      <c r="V647" s="25"/>
      <c r="W647" s="43">
        <f t="shared" si="946"/>
        <v>0</v>
      </c>
      <c r="X647" s="8">
        <f t="shared" si="947"/>
        <v>0</v>
      </c>
      <c r="Y647" s="52" t="s">
        <v>353</v>
      </c>
    </row>
    <row r="648" spans="2:25" x14ac:dyDescent="0.15">
      <c r="B648" s="7" t="s">
        <v>12</v>
      </c>
      <c r="C648" s="30">
        <v>6</v>
      </c>
      <c r="D648" s="25">
        <v>1</v>
      </c>
      <c r="E648" s="43">
        <f t="shared" si="921"/>
        <v>7</v>
      </c>
      <c r="F648" s="35"/>
      <c r="G648" s="8"/>
      <c r="H648" s="43">
        <f t="shared" si="914"/>
        <v>0</v>
      </c>
      <c r="I648" s="35"/>
      <c r="J648" s="8"/>
      <c r="K648" s="43">
        <f t="shared" si="915"/>
        <v>0</v>
      </c>
      <c r="L648" s="8">
        <f t="shared" si="916"/>
        <v>7</v>
      </c>
      <c r="M648" s="53">
        <v>45762</v>
      </c>
      <c r="N648" s="115" t="s">
        <v>348</v>
      </c>
      <c r="O648" s="116"/>
      <c r="P648" s="112"/>
      <c r="Q648" s="117">
        <f t="shared" ref="Q648" si="948">SUM(O648:P648)</f>
        <v>0</v>
      </c>
      <c r="R648" s="118"/>
      <c r="S648" s="119"/>
      <c r="T648" s="117">
        <f t="shared" ref="T648" si="949">SUM(R648:S648)</f>
        <v>0</v>
      </c>
      <c r="U648" s="118"/>
      <c r="V648" s="119"/>
      <c r="W648" s="117">
        <f t="shared" ref="W648" si="950">SUM(U648:V648)</f>
        <v>0</v>
      </c>
      <c r="X648" s="119">
        <f t="shared" ref="X648" si="951">SUM(W648,T648,Q648)</f>
        <v>0</v>
      </c>
      <c r="Y648" s="101"/>
    </row>
    <row r="649" spans="2:25" ht="14.25" thickBot="1" x14ac:dyDescent="0.2">
      <c r="B649" s="7" t="s">
        <v>12</v>
      </c>
      <c r="C649" s="30"/>
      <c r="D649" s="25"/>
      <c r="E649" s="43">
        <f t="shared" si="921"/>
        <v>0</v>
      </c>
      <c r="F649" s="35"/>
      <c r="G649" s="8">
        <v>1</v>
      </c>
      <c r="H649" s="43">
        <f t="shared" si="914"/>
        <v>1</v>
      </c>
      <c r="I649" s="35"/>
      <c r="J649" s="8">
        <f>1+1</f>
        <v>2</v>
      </c>
      <c r="K649" s="43">
        <f t="shared" si="915"/>
        <v>2</v>
      </c>
      <c r="L649" s="8">
        <f t="shared" si="916"/>
        <v>3</v>
      </c>
      <c r="M649" s="53">
        <v>45763</v>
      </c>
      <c r="N649" s="7" t="s">
        <v>355</v>
      </c>
      <c r="O649" s="30"/>
      <c r="P649" s="25"/>
      <c r="Q649" s="43">
        <f t="shared" ref="Q649" si="952">SUM(O649:P649)</f>
        <v>0</v>
      </c>
      <c r="R649" s="35"/>
      <c r="S649" s="8"/>
      <c r="T649" s="43">
        <f t="shared" ref="T649" si="953">SUM(R649:S649)</f>
        <v>0</v>
      </c>
      <c r="U649" s="35"/>
      <c r="V649" s="8"/>
      <c r="W649" s="43">
        <f t="shared" ref="W649" si="954">SUM(U649:V649)</f>
        <v>0</v>
      </c>
      <c r="X649" s="8">
        <f t="shared" ref="X649" si="955">SUM(W649,T649,Q649)</f>
        <v>0</v>
      </c>
      <c r="Y649" s="52" t="s">
        <v>338</v>
      </c>
    </row>
    <row r="650" spans="2:25" ht="14.25" thickBot="1" x14ac:dyDescent="0.2">
      <c r="B650" s="5" t="s">
        <v>1</v>
      </c>
      <c r="C650" s="32">
        <f>SUM(C625:C649)</f>
        <v>7</v>
      </c>
      <c r="D650" s="19">
        <f>SUM(D625:D649)</f>
        <v>3</v>
      </c>
      <c r="E650" s="44">
        <f t="shared" si="921"/>
        <v>10</v>
      </c>
      <c r="F650" s="32">
        <f>SUM(F625:F649)</f>
        <v>5</v>
      </c>
      <c r="G650" s="19">
        <f>SUM(G625:G649)</f>
        <v>6</v>
      </c>
      <c r="H650" s="44">
        <f t="shared" si="914"/>
        <v>11</v>
      </c>
      <c r="I650" s="32">
        <f>SUM(I625:I649)</f>
        <v>19</v>
      </c>
      <c r="J650" s="19">
        <f>SUM(J625:J649)</f>
        <v>32</v>
      </c>
      <c r="K650" s="44">
        <f t="shared" si="915"/>
        <v>51</v>
      </c>
      <c r="L650" s="4">
        <f t="shared" si="916"/>
        <v>72</v>
      </c>
      <c r="N650" s="5" t="s">
        <v>1</v>
      </c>
      <c r="O650" s="32">
        <f>SUM(O625:O649)</f>
        <v>97</v>
      </c>
      <c r="P650" s="19">
        <f t="shared" ref="P650" si="956">SUM(P625:P649)</f>
        <v>88</v>
      </c>
      <c r="Q650" s="44">
        <f t="shared" ref="Q650" si="957">SUM(Q625:Q649)</f>
        <v>185</v>
      </c>
      <c r="R650" s="32">
        <f t="shared" ref="R650" si="958">SUM(R625:R649)</f>
        <v>104</v>
      </c>
      <c r="S650" s="19">
        <f t="shared" ref="S650" si="959">SUM(S625:S649)</f>
        <v>98</v>
      </c>
      <c r="T650" s="44">
        <f t="shared" ref="T650" si="960">SUM(T625:T649)</f>
        <v>202</v>
      </c>
      <c r="U650" s="32">
        <f t="shared" ref="U650" si="961">SUM(U625:U649)</f>
        <v>118</v>
      </c>
      <c r="V650" s="19">
        <f t="shared" ref="V650" si="962">SUM(V625:V649)</f>
        <v>138</v>
      </c>
      <c r="W650" s="44">
        <f t="shared" ref="W650" si="963">SUM(W625:W649)</f>
        <v>256</v>
      </c>
      <c r="X650" s="4">
        <f t="shared" ref="X650" si="964">SUM(X625:X649)</f>
        <v>643</v>
      </c>
    </row>
    <row r="651" spans="2:25" ht="14.25" thickBot="1" x14ac:dyDescent="0.2">
      <c r="B651" s="3" t="s">
        <v>0</v>
      </c>
      <c r="C651" s="34">
        <f>+C624-C650</f>
        <v>11</v>
      </c>
      <c r="D651" s="2">
        <f>+D624-D650</f>
        <v>19</v>
      </c>
      <c r="E651" s="45">
        <f t="shared" si="921"/>
        <v>30</v>
      </c>
      <c r="F651" s="34">
        <f>+F624-F650</f>
        <v>19</v>
      </c>
      <c r="G651" s="2">
        <f>+G624-G650</f>
        <v>15</v>
      </c>
      <c r="H651" s="45">
        <f t="shared" si="914"/>
        <v>34</v>
      </c>
      <c r="I651" s="34">
        <f>+I624-I650</f>
        <v>16</v>
      </c>
      <c r="J651" s="2">
        <f>+J624-J650</f>
        <v>12</v>
      </c>
      <c r="K651" s="45">
        <f t="shared" si="915"/>
        <v>28</v>
      </c>
      <c r="L651" s="2">
        <f t="shared" si="916"/>
        <v>92</v>
      </c>
      <c r="N651" s="3" t="s">
        <v>0</v>
      </c>
      <c r="O651" s="34">
        <f>+O624-O650</f>
        <v>342</v>
      </c>
      <c r="P651" s="2">
        <f t="shared" ref="P651" si="965">+P624-P650</f>
        <v>327</v>
      </c>
      <c r="Q651" s="45">
        <f t="shared" ref="Q651" si="966">+Q624-Q650</f>
        <v>669</v>
      </c>
      <c r="R651" s="34">
        <f t="shared" ref="R651" si="967">+R624-R650</f>
        <v>384</v>
      </c>
      <c r="S651" s="2">
        <f t="shared" ref="S651" si="968">+S624-S650</f>
        <v>476</v>
      </c>
      <c r="T651" s="45">
        <f t="shared" ref="T651" si="969">+T624-T650</f>
        <v>860</v>
      </c>
      <c r="U651" s="34">
        <f t="shared" ref="U651" si="970">+U624-U650</f>
        <v>446</v>
      </c>
      <c r="V651" s="2">
        <f t="shared" ref="V651" si="971">+V624-V650</f>
        <v>509</v>
      </c>
      <c r="W651" s="45">
        <f t="shared" ref="W651" si="972">+W624-W650</f>
        <v>955</v>
      </c>
      <c r="X651" s="2">
        <f t="shared" ref="X651" si="973">+X624-X650</f>
        <v>2484</v>
      </c>
    </row>
    <row r="655" spans="2:25" ht="18.75" x14ac:dyDescent="0.2">
      <c r="B655" s="23" t="s">
        <v>11</v>
      </c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N655" s="47" t="s">
        <v>25</v>
      </c>
      <c r="O655" s="48"/>
      <c r="P655" s="48"/>
      <c r="Q655" s="48"/>
      <c r="R655" s="48"/>
      <c r="S655" s="48"/>
      <c r="T655" s="48"/>
      <c r="U655" s="48"/>
      <c r="V655" s="48"/>
      <c r="W655" s="48"/>
      <c r="X655" s="48"/>
    </row>
    <row r="656" spans="2:25" ht="15" thickBot="1" x14ac:dyDescent="0.2">
      <c r="B656" s="22" t="s">
        <v>147</v>
      </c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N656" s="49" t="s">
        <v>148</v>
      </c>
      <c r="O656" s="48"/>
      <c r="P656" s="48"/>
      <c r="Q656" s="48"/>
      <c r="R656" s="48"/>
      <c r="S656" s="48"/>
      <c r="T656" s="48"/>
      <c r="U656" s="48"/>
      <c r="V656" s="48"/>
      <c r="W656" s="48"/>
      <c r="X656" s="48"/>
    </row>
    <row r="657" spans="2:25" ht="14.25" thickBot="1" x14ac:dyDescent="0.2">
      <c r="B657" s="20"/>
      <c r="C657" s="208" t="s">
        <v>9</v>
      </c>
      <c r="D657" s="209"/>
      <c r="E657" s="210"/>
      <c r="F657" s="208" t="s">
        <v>8</v>
      </c>
      <c r="G657" s="209"/>
      <c r="H657" s="210"/>
      <c r="I657" s="208" t="s">
        <v>7</v>
      </c>
      <c r="J657" s="209"/>
      <c r="K657" s="210"/>
      <c r="L657" s="19"/>
      <c r="N657" s="20"/>
      <c r="O657" s="208" t="s">
        <v>9</v>
      </c>
      <c r="P657" s="209"/>
      <c r="Q657" s="123">
        <v>890</v>
      </c>
      <c r="R657" s="208" t="s">
        <v>8</v>
      </c>
      <c r="S657" s="209"/>
      <c r="T657" s="123">
        <v>980</v>
      </c>
      <c r="U657" s="208" t="s">
        <v>7</v>
      </c>
      <c r="V657" s="209"/>
      <c r="W657" s="123">
        <v>1080</v>
      </c>
      <c r="X657" s="19"/>
    </row>
    <row r="658" spans="2:25" ht="14.25" thickBot="1" x14ac:dyDescent="0.2">
      <c r="B658" s="18"/>
      <c r="C658" s="28" t="s">
        <v>6</v>
      </c>
      <c r="D658" s="17" t="s">
        <v>5</v>
      </c>
      <c r="E658" s="38" t="s">
        <v>4</v>
      </c>
      <c r="F658" s="28" t="s">
        <v>6</v>
      </c>
      <c r="G658" s="17" t="s">
        <v>5</v>
      </c>
      <c r="H658" s="38" t="s">
        <v>4</v>
      </c>
      <c r="I658" s="28" t="s">
        <v>6</v>
      </c>
      <c r="J658" s="17" t="s">
        <v>5</v>
      </c>
      <c r="K658" s="38" t="s">
        <v>4</v>
      </c>
      <c r="L658" s="17" t="s">
        <v>4</v>
      </c>
      <c r="N658" s="18"/>
      <c r="O658" s="28" t="s">
        <v>6</v>
      </c>
      <c r="P658" s="17" t="s">
        <v>5</v>
      </c>
      <c r="Q658" s="38" t="s">
        <v>4</v>
      </c>
      <c r="R658" s="28" t="s">
        <v>6</v>
      </c>
      <c r="S658" s="17" t="s">
        <v>5</v>
      </c>
      <c r="T658" s="38" t="s">
        <v>4</v>
      </c>
      <c r="U658" s="28" t="s">
        <v>6</v>
      </c>
      <c r="V658" s="17" t="s">
        <v>5</v>
      </c>
      <c r="W658" s="38" t="s">
        <v>4</v>
      </c>
      <c r="X658" s="17" t="s">
        <v>4</v>
      </c>
    </row>
    <row r="659" spans="2:25" x14ac:dyDescent="0.15">
      <c r="B659" s="66" t="s">
        <v>0</v>
      </c>
      <c r="C659" s="67">
        <f>C651</f>
        <v>11</v>
      </c>
      <c r="D659" s="68">
        <f t="shared" ref="D659:K659" si="974">D651</f>
        <v>19</v>
      </c>
      <c r="E659" s="69">
        <f t="shared" si="974"/>
        <v>30</v>
      </c>
      <c r="F659" s="67">
        <f t="shared" si="974"/>
        <v>19</v>
      </c>
      <c r="G659" s="68">
        <f t="shared" si="974"/>
        <v>15</v>
      </c>
      <c r="H659" s="69">
        <f t="shared" si="974"/>
        <v>34</v>
      </c>
      <c r="I659" s="67">
        <f t="shared" si="974"/>
        <v>16</v>
      </c>
      <c r="J659" s="68">
        <f t="shared" si="974"/>
        <v>12</v>
      </c>
      <c r="K659" s="69">
        <f t="shared" si="974"/>
        <v>28</v>
      </c>
      <c r="L659" s="70">
        <f>SUM(K659,H659,E659)</f>
        <v>92</v>
      </c>
      <c r="N659" s="66" t="s">
        <v>0</v>
      </c>
      <c r="O659" s="72">
        <f>O651</f>
        <v>342</v>
      </c>
      <c r="P659" s="80">
        <f t="shared" ref="P659:X659" si="975">P651</f>
        <v>327</v>
      </c>
      <c r="Q659" s="69">
        <f t="shared" si="975"/>
        <v>669</v>
      </c>
      <c r="R659" s="72">
        <f t="shared" si="975"/>
        <v>384</v>
      </c>
      <c r="S659" s="80">
        <f t="shared" si="975"/>
        <v>476</v>
      </c>
      <c r="T659" s="69">
        <f t="shared" si="975"/>
        <v>860</v>
      </c>
      <c r="U659" s="72">
        <f t="shared" si="975"/>
        <v>446</v>
      </c>
      <c r="V659" s="80">
        <f t="shared" si="975"/>
        <v>509</v>
      </c>
      <c r="W659" s="69">
        <f t="shared" si="975"/>
        <v>955</v>
      </c>
      <c r="X659" s="70">
        <f t="shared" si="975"/>
        <v>2484</v>
      </c>
    </row>
    <row r="660" spans="2:25" x14ac:dyDescent="0.15">
      <c r="B660" s="55" t="s">
        <v>3</v>
      </c>
      <c r="C660" s="30"/>
      <c r="D660" s="25"/>
      <c r="E660" s="40">
        <f t="shared" ref="E660:E661" si="976">SUM(C660:D660)</f>
        <v>0</v>
      </c>
      <c r="F660" s="35">
        <v>5</v>
      </c>
      <c r="G660" s="8"/>
      <c r="H660" s="40">
        <f t="shared" ref="H660:H692" si="977">SUM(F660:G660)</f>
        <v>5</v>
      </c>
      <c r="I660" s="35"/>
      <c r="J660" s="8">
        <v>10</v>
      </c>
      <c r="K660" s="40">
        <f t="shared" ref="K660:K692" si="978">SUM(I660:J660)</f>
        <v>10</v>
      </c>
      <c r="L660" s="9">
        <f t="shared" ref="L660:L692" si="979">SUM(K660,H660,E660)</f>
        <v>15</v>
      </c>
      <c r="M660" s="53">
        <v>45775</v>
      </c>
      <c r="N660" s="55" t="s">
        <v>3</v>
      </c>
      <c r="O660" s="62"/>
      <c r="P660" s="81"/>
      <c r="Q660" s="40">
        <f t="shared" ref="Q660:Q683" si="980">SUM(O660:P660)</f>
        <v>0</v>
      </c>
      <c r="R660" s="78"/>
      <c r="S660" s="82"/>
      <c r="T660" s="40">
        <f t="shared" ref="T660:T683" si="981">SUM(R660:S660)</f>
        <v>0</v>
      </c>
      <c r="U660" s="78"/>
      <c r="V660" s="82"/>
      <c r="W660" s="40">
        <f t="shared" ref="W660:W683" si="982">SUM(U660:V660)</f>
        <v>0</v>
      </c>
      <c r="X660" s="25">
        <f t="shared" ref="X660:X683" si="983">SUM(W660,T660,Q660)</f>
        <v>0</v>
      </c>
    </row>
    <row r="661" spans="2:25" x14ac:dyDescent="0.15">
      <c r="B661" s="55" t="s">
        <v>3</v>
      </c>
      <c r="C661" s="30"/>
      <c r="D661" s="25">
        <v>6</v>
      </c>
      <c r="E661" s="40">
        <f t="shared" si="976"/>
        <v>6</v>
      </c>
      <c r="F661" s="35">
        <v>5</v>
      </c>
      <c r="G661" s="8">
        <v>5</v>
      </c>
      <c r="H661" s="40">
        <f t="shared" si="977"/>
        <v>10</v>
      </c>
      <c r="I661" s="35"/>
      <c r="J661" s="8"/>
      <c r="K661" s="40">
        <f t="shared" si="978"/>
        <v>0</v>
      </c>
      <c r="L661" s="9">
        <f t="shared" si="979"/>
        <v>16</v>
      </c>
      <c r="M661" s="53">
        <v>45778</v>
      </c>
      <c r="N661" s="55" t="s">
        <v>388</v>
      </c>
      <c r="O661" s="62">
        <v>650</v>
      </c>
      <c r="P661" s="81">
        <v>750</v>
      </c>
      <c r="Q661" s="40">
        <f t="shared" si="980"/>
        <v>1400</v>
      </c>
      <c r="R661" s="78">
        <v>350</v>
      </c>
      <c r="S661" s="82">
        <v>350</v>
      </c>
      <c r="T661" s="40">
        <f t="shared" si="981"/>
        <v>700</v>
      </c>
      <c r="U661" s="78">
        <v>150</v>
      </c>
      <c r="V661" s="82">
        <v>150</v>
      </c>
      <c r="W661" s="40">
        <f t="shared" si="982"/>
        <v>300</v>
      </c>
      <c r="X661" s="25">
        <f t="shared" si="983"/>
        <v>2400</v>
      </c>
      <c r="Y661" s="53" t="s">
        <v>389</v>
      </c>
    </row>
    <row r="662" spans="2:25" x14ac:dyDescent="0.15">
      <c r="B662" s="55" t="s">
        <v>3</v>
      </c>
      <c r="C662" s="30">
        <v>5</v>
      </c>
      <c r="D662" s="25"/>
      <c r="E662" s="40">
        <f t="shared" ref="E662:E692" si="984">SUM(C662:D662)</f>
        <v>5</v>
      </c>
      <c r="F662" s="35">
        <v>5</v>
      </c>
      <c r="G662" s="8"/>
      <c r="H662" s="40">
        <f t="shared" si="977"/>
        <v>5</v>
      </c>
      <c r="I662" s="35"/>
      <c r="J662" s="8">
        <v>5</v>
      </c>
      <c r="K662" s="40">
        <f t="shared" si="978"/>
        <v>5</v>
      </c>
      <c r="L662" s="9">
        <f t="shared" si="979"/>
        <v>15</v>
      </c>
      <c r="M662" s="53">
        <v>45785</v>
      </c>
      <c r="N662" s="55" t="s">
        <v>3</v>
      </c>
      <c r="O662" s="62"/>
      <c r="P662" s="81"/>
      <c r="Q662" s="40">
        <f t="shared" ref="Q662" si="985">SUM(O662:P662)</f>
        <v>0</v>
      </c>
      <c r="R662" s="78"/>
      <c r="S662" s="82"/>
      <c r="T662" s="40">
        <f t="shared" ref="T662" si="986">SUM(R662:S662)</f>
        <v>0</v>
      </c>
      <c r="U662" s="78"/>
      <c r="V662" s="82"/>
      <c r="W662" s="40">
        <f t="shared" ref="W662" si="987">SUM(U662:V662)</f>
        <v>0</v>
      </c>
      <c r="X662" s="25">
        <f t="shared" ref="X662" si="988">SUM(W662,T662,Q662)</f>
        <v>0</v>
      </c>
      <c r="Y662" s="129"/>
    </row>
    <row r="663" spans="2:25" x14ac:dyDescent="0.15">
      <c r="B663" s="55" t="s">
        <v>3</v>
      </c>
      <c r="C663" s="30"/>
      <c r="D663" s="25"/>
      <c r="E663" s="40">
        <f t="shared" si="984"/>
        <v>0</v>
      </c>
      <c r="F663" s="35">
        <v>10</v>
      </c>
      <c r="G663" s="8"/>
      <c r="H663" s="40">
        <f t="shared" si="977"/>
        <v>10</v>
      </c>
      <c r="I663" s="35"/>
      <c r="J663" s="8"/>
      <c r="K663" s="40">
        <f t="shared" si="978"/>
        <v>0</v>
      </c>
      <c r="L663" s="9">
        <f t="shared" si="979"/>
        <v>10</v>
      </c>
      <c r="M663" s="53">
        <v>45786</v>
      </c>
      <c r="N663" s="55" t="s">
        <v>3</v>
      </c>
      <c r="O663" s="62"/>
      <c r="P663" s="81"/>
      <c r="Q663" s="40">
        <f t="shared" si="980"/>
        <v>0</v>
      </c>
      <c r="R663" s="78"/>
      <c r="S663" s="82"/>
      <c r="T663" s="40">
        <f t="shared" si="981"/>
        <v>0</v>
      </c>
      <c r="U663" s="78"/>
      <c r="V663" s="82"/>
      <c r="W663" s="40">
        <f t="shared" si="982"/>
        <v>0</v>
      </c>
      <c r="X663" s="25">
        <f t="shared" si="983"/>
        <v>0</v>
      </c>
    </row>
    <row r="664" spans="2:25" ht="14.25" thickBot="1" x14ac:dyDescent="0.2">
      <c r="B664" s="137" t="s">
        <v>390</v>
      </c>
      <c r="C664" s="57"/>
      <c r="D664" s="77"/>
      <c r="E664" s="138">
        <f t="shared" ref="E664" si="989">SUM(C664:D664)</f>
        <v>0</v>
      </c>
      <c r="F664" s="57"/>
      <c r="G664" s="77"/>
      <c r="H664" s="138">
        <f t="shared" si="977"/>
        <v>0</v>
      </c>
      <c r="I664" s="57">
        <v>1</v>
      </c>
      <c r="J664" s="77"/>
      <c r="K664" s="138">
        <f t="shared" si="978"/>
        <v>1</v>
      </c>
      <c r="L664" s="77">
        <f t="shared" si="979"/>
        <v>1</v>
      </c>
      <c r="M664" s="53">
        <v>45786</v>
      </c>
      <c r="N664" s="75" t="s">
        <v>3</v>
      </c>
      <c r="O664" s="76"/>
      <c r="P664" s="83"/>
      <c r="Q664" s="41">
        <f t="shared" ref="Q664" si="990">SUM(O664:P664)</f>
        <v>0</v>
      </c>
      <c r="R664" s="76"/>
      <c r="S664" s="83"/>
      <c r="T664" s="41">
        <f t="shared" ref="T664" si="991">SUM(R664:S664)</f>
        <v>0</v>
      </c>
      <c r="U664" s="76"/>
      <c r="V664" s="83"/>
      <c r="W664" s="41">
        <f t="shared" ref="W664" si="992">SUM(U664:V664)</f>
        <v>0</v>
      </c>
      <c r="X664" s="77">
        <f t="shared" ref="X664" si="993">SUM(W664,T664,Q664)</f>
        <v>0</v>
      </c>
    </row>
    <row r="665" spans="2:25" ht="14.25" thickBot="1" x14ac:dyDescent="0.2">
      <c r="B665" s="63" t="s">
        <v>2</v>
      </c>
      <c r="C665" s="73">
        <f>SUM(C659:C664)</f>
        <v>16</v>
      </c>
      <c r="D665" s="74">
        <f>SUM(D659:D664)</f>
        <v>25</v>
      </c>
      <c r="E665" s="42">
        <f t="shared" si="984"/>
        <v>41</v>
      </c>
      <c r="F665" s="73">
        <f>SUM(F659:F664)</f>
        <v>44</v>
      </c>
      <c r="G665" s="74">
        <f>SUM(G659:G664)</f>
        <v>20</v>
      </c>
      <c r="H665" s="42">
        <f t="shared" si="977"/>
        <v>64</v>
      </c>
      <c r="I665" s="73">
        <f>SUM(I659:I664)</f>
        <v>17</v>
      </c>
      <c r="J665" s="74">
        <f>SUM(J659:J664)</f>
        <v>27</v>
      </c>
      <c r="K665" s="42">
        <f t="shared" si="978"/>
        <v>44</v>
      </c>
      <c r="L665" s="13">
        <f t="shared" si="979"/>
        <v>149</v>
      </c>
      <c r="N665" s="63" t="s">
        <v>2</v>
      </c>
      <c r="O665" s="32">
        <f>SUM(O659:O664)</f>
        <v>992</v>
      </c>
      <c r="P665" s="19">
        <f t="shared" ref="P665" si="994">SUM(P659:P664)</f>
        <v>1077</v>
      </c>
      <c r="Q665" s="42">
        <f t="shared" ref="Q665" si="995">SUM(Q659:Q664)</f>
        <v>2069</v>
      </c>
      <c r="R665" s="32">
        <f t="shared" ref="R665" si="996">SUM(R659:R664)</f>
        <v>734</v>
      </c>
      <c r="S665" s="19">
        <f t="shared" ref="S665" si="997">SUM(S659:S664)</f>
        <v>826</v>
      </c>
      <c r="T665" s="42">
        <f t="shared" ref="T665" si="998">SUM(T659:T664)</f>
        <v>1560</v>
      </c>
      <c r="U665" s="32">
        <f t="shared" ref="U665" si="999">SUM(U659:U664)</f>
        <v>596</v>
      </c>
      <c r="V665" s="19">
        <f t="shared" ref="V665" si="1000">SUM(V659:V664)</f>
        <v>659</v>
      </c>
      <c r="W665" s="42">
        <f t="shared" ref="W665" si="1001">SUM(W659:W664)</f>
        <v>1255</v>
      </c>
      <c r="X665" s="13">
        <f t="shared" ref="X665" si="1002">SUM(X659:X664)</f>
        <v>4884</v>
      </c>
    </row>
    <row r="666" spans="2:25" x14ac:dyDescent="0.15">
      <c r="B666" s="7" t="s">
        <v>12</v>
      </c>
      <c r="C666" s="30"/>
      <c r="D666" s="25"/>
      <c r="E666" s="43">
        <f t="shared" si="984"/>
        <v>0</v>
      </c>
      <c r="F666" s="35"/>
      <c r="G666" s="8"/>
      <c r="H666" s="43">
        <f t="shared" si="977"/>
        <v>0</v>
      </c>
      <c r="I666" s="35"/>
      <c r="J666" s="8">
        <v>1</v>
      </c>
      <c r="K666" s="43">
        <f t="shared" si="978"/>
        <v>1</v>
      </c>
      <c r="L666" s="8">
        <f t="shared" si="979"/>
        <v>1</v>
      </c>
      <c r="M666" s="53">
        <v>45764</v>
      </c>
      <c r="N666" s="7" t="s">
        <v>384</v>
      </c>
      <c r="O666" s="30"/>
      <c r="P666" s="25"/>
      <c r="Q666" s="43">
        <f t="shared" si="980"/>
        <v>0</v>
      </c>
      <c r="R666" s="35">
        <v>5</v>
      </c>
      <c r="S666" s="8"/>
      <c r="T666" s="43">
        <f t="shared" si="981"/>
        <v>5</v>
      </c>
      <c r="U666" s="35"/>
      <c r="V666" s="8">
        <v>10</v>
      </c>
      <c r="W666" s="43">
        <f t="shared" si="982"/>
        <v>10</v>
      </c>
      <c r="X666" s="8">
        <f t="shared" si="983"/>
        <v>15</v>
      </c>
      <c r="Y666" s="53">
        <v>45775</v>
      </c>
    </row>
    <row r="667" spans="2:25" x14ac:dyDescent="0.15">
      <c r="B667" s="7" t="s">
        <v>51</v>
      </c>
      <c r="C667" s="30"/>
      <c r="D667" s="25"/>
      <c r="E667" s="43">
        <f t="shared" si="984"/>
        <v>0</v>
      </c>
      <c r="F667" s="35"/>
      <c r="G667" s="8"/>
      <c r="H667" s="43">
        <f t="shared" si="977"/>
        <v>0</v>
      </c>
      <c r="I667" s="35"/>
      <c r="J667" s="8">
        <v>1</v>
      </c>
      <c r="K667" s="43">
        <f t="shared" si="978"/>
        <v>1</v>
      </c>
      <c r="L667" s="8">
        <f t="shared" si="979"/>
        <v>1</v>
      </c>
      <c r="M667" s="53">
        <v>45768</v>
      </c>
      <c r="N667" s="7" t="s">
        <v>28</v>
      </c>
      <c r="O667" s="33"/>
      <c r="P667" s="27">
        <v>6</v>
      </c>
      <c r="Q667" s="43">
        <f t="shared" ref="Q667:Q669" si="1003">SUM(O667:P667)</f>
        <v>6</v>
      </c>
      <c r="R667" s="37">
        <v>5</v>
      </c>
      <c r="S667" s="10">
        <v>5</v>
      </c>
      <c r="T667" s="43">
        <f t="shared" si="981"/>
        <v>10</v>
      </c>
      <c r="U667" s="37"/>
      <c r="V667" s="10"/>
      <c r="W667" s="43">
        <f t="shared" si="982"/>
        <v>0</v>
      </c>
      <c r="X667" s="8">
        <f t="shared" si="983"/>
        <v>16</v>
      </c>
      <c r="Y667" s="53">
        <v>45778</v>
      </c>
    </row>
    <row r="668" spans="2:25" x14ac:dyDescent="0.15">
      <c r="B668" s="7" t="s">
        <v>54</v>
      </c>
      <c r="C668" s="30"/>
      <c r="D668" s="25"/>
      <c r="E668" s="43">
        <f t="shared" si="984"/>
        <v>0</v>
      </c>
      <c r="F668" s="35">
        <v>1</v>
      </c>
      <c r="G668" s="8"/>
      <c r="H668" s="43">
        <f t="shared" si="977"/>
        <v>1</v>
      </c>
      <c r="I668" s="35"/>
      <c r="J668" s="8"/>
      <c r="K668" s="43">
        <f t="shared" si="978"/>
        <v>0</v>
      </c>
      <c r="L668" s="8">
        <f t="shared" si="979"/>
        <v>1</v>
      </c>
      <c r="M668" s="53">
        <v>45770</v>
      </c>
      <c r="N668" s="7" t="s">
        <v>28</v>
      </c>
      <c r="O668" s="30">
        <v>5</v>
      </c>
      <c r="P668" s="25"/>
      <c r="Q668" s="43">
        <f t="shared" si="1003"/>
        <v>5</v>
      </c>
      <c r="R668" s="35">
        <v>5</v>
      </c>
      <c r="S668" s="8"/>
      <c r="T668" s="43">
        <f t="shared" si="981"/>
        <v>5</v>
      </c>
      <c r="U668" s="35"/>
      <c r="V668" s="8">
        <v>5</v>
      </c>
      <c r="W668" s="43">
        <f t="shared" si="982"/>
        <v>5</v>
      </c>
      <c r="X668" s="8">
        <f t="shared" si="983"/>
        <v>15</v>
      </c>
      <c r="Y668" s="53">
        <v>45785</v>
      </c>
    </row>
    <row r="669" spans="2:25" x14ac:dyDescent="0.15">
      <c r="B669" s="7" t="s">
        <v>12</v>
      </c>
      <c r="C669" s="30"/>
      <c r="D669" s="25"/>
      <c r="E669" s="43">
        <f t="shared" si="984"/>
        <v>0</v>
      </c>
      <c r="F669" s="35">
        <f>1+3+1</f>
        <v>5</v>
      </c>
      <c r="G669" s="8">
        <f>1+1</f>
        <v>2</v>
      </c>
      <c r="H669" s="43">
        <f t="shared" si="977"/>
        <v>7</v>
      </c>
      <c r="I669" s="35"/>
      <c r="J669" s="8"/>
      <c r="K669" s="43">
        <f t="shared" si="978"/>
        <v>0</v>
      </c>
      <c r="L669" s="8">
        <f t="shared" si="979"/>
        <v>7</v>
      </c>
      <c r="M669" s="53">
        <v>45768</v>
      </c>
      <c r="N669" s="7" t="s">
        <v>28</v>
      </c>
      <c r="O669" s="30"/>
      <c r="P669" s="25"/>
      <c r="Q669" s="43">
        <f t="shared" si="1003"/>
        <v>0</v>
      </c>
      <c r="R669" s="35">
        <v>10</v>
      </c>
      <c r="S669" s="8"/>
      <c r="T669" s="43">
        <f t="shared" si="981"/>
        <v>10</v>
      </c>
      <c r="U669" s="35"/>
      <c r="V669" s="8"/>
      <c r="W669" s="43">
        <f t="shared" si="982"/>
        <v>0</v>
      </c>
      <c r="X669" s="8">
        <f t="shared" si="983"/>
        <v>10</v>
      </c>
      <c r="Y669" s="53">
        <v>45786</v>
      </c>
    </row>
    <row r="670" spans="2:25" x14ac:dyDescent="0.15">
      <c r="B670" s="7" t="s">
        <v>12</v>
      </c>
      <c r="C670" s="30"/>
      <c r="D670" s="25"/>
      <c r="E670" s="43">
        <f t="shared" si="984"/>
        <v>0</v>
      </c>
      <c r="F670" s="35">
        <v>2</v>
      </c>
      <c r="G670" s="8">
        <v>1</v>
      </c>
      <c r="H670" s="43">
        <f t="shared" si="977"/>
        <v>3</v>
      </c>
      <c r="I670" s="35"/>
      <c r="J670" s="8">
        <v>1</v>
      </c>
      <c r="K670" s="43">
        <f t="shared" si="978"/>
        <v>1</v>
      </c>
      <c r="L670" s="8">
        <f t="shared" si="979"/>
        <v>4</v>
      </c>
      <c r="M670" s="53">
        <v>45769</v>
      </c>
      <c r="N670" s="7" t="s">
        <v>394</v>
      </c>
      <c r="O670" s="30">
        <v>1</v>
      </c>
      <c r="P670" s="25">
        <v>8</v>
      </c>
      <c r="Q670" s="43">
        <f t="shared" si="980"/>
        <v>9</v>
      </c>
      <c r="R670" s="35"/>
      <c r="S670" s="8"/>
      <c r="T670" s="43">
        <f t="shared" si="981"/>
        <v>0</v>
      </c>
      <c r="U670" s="35"/>
      <c r="V670" s="8">
        <v>5</v>
      </c>
      <c r="W670" s="43">
        <f t="shared" si="982"/>
        <v>5</v>
      </c>
      <c r="X670" s="8">
        <f t="shared" si="983"/>
        <v>14</v>
      </c>
      <c r="Y670" s="53">
        <v>45796</v>
      </c>
    </row>
    <row r="671" spans="2:25" x14ac:dyDescent="0.15">
      <c r="B671" s="7" t="s">
        <v>12</v>
      </c>
      <c r="C671" s="30"/>
      <c r="D671" s="25"/>
      <c r="E671" s="43">
        <f t="shared" si="984"/>
        <v>0</v>
      </c>
      <c r="F671" s="35">
        <v>1</v>
      </c>
      <c r="G671" s="8"/>
      <c r="H671" s="43">
        <f t="shared" si="977"/>
        <v>1</v>
      </c>
      <c r="I671" s="35"/>
      <c r="J671" s="8">
        <v>1</v>
      </c>
      <c r="K671" s="43">
        <f t="shared" si="978"/>
        <v>1</v>
      </c>
      <c r="L671" s="8">
        <f t="shared" si="979"/>
        <v>2</v>
      </c>
      <c r="M671" s="53">
        <v>45770</v>
      </c>
      <c r="N671" s="7" t="s">
        <v>28</v>
      </c>
      <c r="O671" s="30"/>
      <c r="P671" s="25"/>
      <c r="Q671" s="43">
        <f t="shared" ref="Q671" si="1004">SUM(O671:P671)</f>
        <v>0</v>
      </c>
      <c r="R671" s="35"/>
      <c r="S671" s="8">
        <v>10</v>
      </c>
      <c r="T671" s="43">
        <f t="shared" si="981"/>
        <v>10</v>
      </c>
      <c r="U671" s="35">
        <v>5</v>
      </c>
      <c r="V671" s="8">
        <v>10</v>
      </c>
      <c r="W671" s="43">
        <f t="shared" si="982"/>
        <v>15</v>
      </c>
      <c r="X671" s="8">
        <f t="shared" si="983"/>
        <v>25</v>
      </c>
      <c r="Y671" s="53">
        <v>45791</v>
      </c>
    </row>
    <row r="672" spans="2:25" x14ac:dyDescent="0.15">
      <c r="B672" s="7" t="s">
        <v>55</v>
      </c>
      <c r="C672" s="30"/>
      <c r="D672" s="25"/>
      <c r="E672" s="43">
        <f t="shared" si="984"/>
        <v>0</v>
      </c>
      <c r="F672" s="35"/>
      <c r="G672" s="8"/>
      <c r="H672" s="43">
        <f t="shared" si="977"/>
        <v>0</v>
      </c>
      <c r="I672" s="35"/>
      <c r="J672" s="8">
        <v>2</v>
      </c>
      <c r="K672" s="43">
        <f t="shared" si="978"/>
        <v>2</v>
      </c>
      <c r="L672" s="8">
        <f t="shared" si="979"/>
        <v>2</v>
      </c>
      <c r="M672" s="53">
        <v>45772</v>
      </c>
      <c r="N672" s="7" t="s">
        <v>397</v>
      </c>
      <c r="O672" s="30">
        <v>10</v>
      </c>
      <c r="P672" s="25">
        <v>10</v>
      </c>
      <c r="Q672" s="43">
        <f t="shared" si="980"/>
        <v>20</v>
      </c>
      <c r="R672" s="35">
        <v>20</v>
      </c>
      <c r="S672" s="8">
        <v>15</v>
      </c>
      <c r="T672" s="43">
        <f t="shared" si="981"/>
        <v>35</v>
      </c>
      <c r="U672" s="35">
        <v>10</v>
      </c>
      <c r="V672" s="8">
        <v>20</v>
      </c>
      <c r="W672" s="43">
        <f t="shared" si="982"/>
        <v>30</v>
      </c>
      <c r="X672" s="8">
        <f t="shared" si="983"/>
        <v>85</v>
      </c>
      <c r="Y672" s="53">
        <v>45797</v>
      </c>
    </row>
    <row r="673" spans="2:25" x14ac:dyDescent="0.15">
      <c r="B673" s="7" t="s">
        <v>12</v>
      </c>
      <c r="C673" s="30"/>
      <c r="D673" s="25"/>
      <c r="E673" s="43">
        <f t="shared" si="984"/>
        <v>0</v>
      </c>
      <c r="F673" s="35"/>
      <c r="G673" s="8"/>
      <c r="H673" s="43">
        <f t="shared" si="977"/>
        <v>0</v>
      </c>
      <c r="I673" s="35"/>
      <c r="J673" s="8">
        <v>2</v>
      </c>
      <c r="K673" s="43">
        <f t="shared" si="978"/>
        <v>2</v>
      </c>
      <c r="L673" s="8">
        <f t="shared" si="979"/>
        <v>2</v>
      </c>
      <c r="M673" s="53">
        <v>45771</v>
      </c>
      <c r="N673" s="7" t="s">
        <v>398</v>
      </c>
      <c r="O673" s="30"/>
      <c r="P673" s="25"/>
      <c r="Q673" s="43">
        <f t="shared" si="980"/>
        <v>0</v>
      </c>
      <c r="R673" s="35">
        <v>6</v>
      </c>
      <c r="S673" s="8">
        <v>3</v>
      </c>
      <c r="T673" s="43">
        <f t="shared" si="981"/>
        <v>9</v>
      </c>
      <c r="U673" s="35">
        <v>6</v>
      </c>
      <c r="V673" s="8"/>
      <c r="W673" s="43">
        <f t="shared" si="982"/>
        <v>6</v>
      </c>
      <c r="X673" s="8">
        <f t="shared" si="983"/>
        <v>15</v>
      </c>
      <c r="Y673" s="53">
        <v>45803</v>
      </c>
    </row>
    <row r="674" spans="2:25" x14ac:dyDescent="0.15">
      <c r="B674" s="7" t="s">
        <v>12</v>
      </c>
      <c r="C674" s="30"/>
      <c r="D674" s="25"/>
      <c r="E674" s="43">
        <f t="shared" si="984"/>
        <v>0</v>
      </c>
      <c r="F674" s="35"/>
      <c r="G674" s="8">
        <v>1</v>
      </c>
      <c r="H674" s="43">
        <f t="shared" si="977"/>
        <v>1</v>
      </c>
      <c r="I674" s="35">
        <v>1</v>
      </c>
      <c r="J674" s="8"/>
      <c r="K674" s="43">
        <f t="shared" si="978"/>
        <v>1</v>
      </c>
      <c r="L674" s="8">
        <f t="shared" si="979"/>
        <v>2</v>
      </c>
      <c r="M674" s="53">
        <v>45772</v>
      </c>
      <c r="N674" s="7" t="s">
        <v>399</v>
      </c>
      <c r="O674" s="30">
        <v>8</v>
      </c>
      <c r="P674" s="25">
        <v>20</v>
      </c>
      <c r="Q674" s="43">
        <f t="shared" si="980"/>
        <v>28</v>
      </c>
      <c r="R674" s="35">
        <v>10</v>
      </c>
      <c r="S674" s="8"/>
      <c r="T674" s="43">
        <f t="shared" si="981"/>
        <v>10</v>
      </c>
      <c r="U674" s="35">
        <v>15</v>
      </c>
      <c r="V674" s="8">
        <v>3</v>
      </c>
      <c r="W674" s="43">
        <f t="shared" si="982"/>
        <v>18</v>
      </c>
      <c r="X674" s="8">
        <f t="shared" si="983"/>
        <v>56</v>
      </c>
      <c r="Y674" s="53">
        <v>45799</v>
      </c>
    </row>
    <row r="675" spans="2:25" x14ac:dyDescent="0.15">
      <c r="B675" s="7" t="s">
        <v>56</v>
      </c>
      <c r="C675" s="30"/>
      <c r="D675" s="25"/>
      <c r="E675" s="43">
        <f t="shared" si="984"/>
        <v>0</v>
      </c>
      <c r="F675" s="35"/>
      <c r="G675" s="8"/>
      <c r="H675" s="43">
        <f t="shared" si="977"/>
        <v>0</v>
      </c>
      <c r="I675" s="35"/>
      <c r="J675" s="8">
        <v>1</v>
      </c>
      <c r="K675" s="43">
        <f t="shared" si="978"/>
        <v>1</v>
      </c>
      <c r="L675" s="8">
        <f t="shared" si="979"/>
        <v>1</v>
      </c>
      <c r="M675" s="53">
        <v>45777</v>
      </c>
      <c r="N675" s="7" t="s">
        <v>403</v>
      </c>
      <c r="O675" s="30">
        <v>2</v>
      </c>
      <c r="P675" s="25">
        <v>4</v>
      </c>
      <c r="Q675" s="43">
        <f t="shared" si="980"/>
        <v>6</v>
      </c>
      <c r="R675" s="35">
        <v>10</v>
      </c>
      <c r="S675" s="8">
        <v>5</v>
      </c>
      <c r="T675" s="43">
        <f t="shared" si="981"/>
        <v>15</v>
      </c>
      <c r="U675" s="35">
        <v>5</v>
      </c>
      <c r="V675" s="8"/>
      <c r="W675" s="43">
        <f t="shared" si="982"/>
        <v>5</v>
      </c>
      <c r="X675" s="8">
        <f t="shared" si="983"/>
        <v>26</v>
      </c>
      <c r="Y675" s="53">
        <v>45800</v>
      </c>
    </row>
    <row r="676" spans="2:25" x14ac:dyDescent="0.15">
      <c r="B676" s="7" t="s">
        <v>12</v>
      </c>
      <c r="C676" s="30"/>
      <c r="D676" s="25"/>
      <c r="E676" s="43">
        <f t="shared" si="984"/>
        <v>0</v>
      </c>
      <c r="F676" s="35">
        <v>1</v>
      </c>
      <c r="G676" s="8"/>
      <c r="H676" s="43">
        <f t="shared" si="977"/>
        <v>1</v>
      </c>
      <c r="I676" s="35"/>
      <c r="J676" s="8">
        <f>1+1</f>
        <v>2</v>
      </c>
      <c r="K676" s="43">
        <f t="shared" si="978"/>
        <v>2</v>
      </c>
      <c r="L676" s="8">
        <f t="shared" si="979"/>
        <v>3</v>
      </c>
      <c r="M676" s="53">
        <v>45775</v>
      </c>
      <c r="N676" s="7" t="s">
        <v>404</v>
      </c>
      <c r="O676" s="30">
        <v>10</v>
      </c>
      <c r="P676" s="25"/>
      <c r="Q676" s="43">
        <f t="shared" si="980"/>
        <v>10</v>
      </c>
      <c r="R676" s="35">
        <v>8</v>
      </c>
      <c r="S676" s="8"/>
      <c r="T676" s="43">
        <f t="shared" si="981"/>
        <v>8</v>
      </c>
      <c r="U676" s="35">
        <v>10</v>
      </c>
      <c r="V676" s="8">
        <v>5</v>
      </c>
      <c r="W676" s="43">
        <f t="shared" si="982"/>
        <v>15</v>
      </c>
      <c r="X676" s="8">
        <f t="shared" si="983"/>
        <v>33</v>
      </c>
      <c r="Y676" s="53">
        <v>45801</v>
      </c>
    </row>
    <row r="677" spans="2:25" x14ac:dyDescent="0.15">
      <c r="B677" s="7" t="s">
        <v>387</v>
      </c>
      <c r="C677" s="30"/>
      <c r="D677" s="25">
        <v>6</v>
      </c>
      <c r="E677" s="43">
        <f t="shared" si="984"/>
        <v>6</v>
      </c>
      <c r="F677" s="35">
        <v>5</v>
      </c>
      <c r="G677" s="8">
        <v>2</v>
      </c>
      <c r="H677" s="43">
        <f t="shared" si="977"/>
        <v>7</v>
      </c>
      <c r="I677" s="35">
        <v>3</v>
      </c>
      <c r="J677" s="8"/>
      <c r="K677" s="43">
        <f t="shared" si="978"/>
        <v>3</v>
      </c>
      <c r="L677" s="8">
        <f t="shared" si="979"/>
        <v>16</v>
      </c>
      <c r="M677" s="53">
        <v>45779</v>
      </c>
      <c r="N677" s="7" t="s">
        <v>410</v>
      </c>
      <c r="O677" s="30">
        <v>140</v>
      </c>
      <c r="P677" s="25">
        <v>140</v>
      </c>
      <c r="Q677" s="43">
        <f t="shared" si="980"/>
        <v>280</v>
      </c>
      <c r="R677" s="35">
        <v>120</v>
      </c>
      <c r="S677" s="8">
        <v>160</v>
      </c>
      <c r="T677" s="43">
        <f t="shared" si="981"/>
        <v>280</v>
      </c>
      <c r="U677" s="35">
        <v>100</v>
      </c>
      <c r="V677" s="8">
        <v>90</v>
      </c>
      <c r="W677" s="43">
        <f t="shared" si="982"/>
        <v>190</v>
      </c>
      <c r="X677" s="8">
        <f t="shared" si="983"/>
        <v>750</v>
      </c>
      <c r="Y677" s="53">
        <v>45805</v>
      </c>
    </row>
    <row r="678" spans="2:25" x14ac:dyDescent="0.15">
      <c r="B678" s="7" t="s">
        <v>12</v>
      </c>
      <c r="C678" s="30"/>
      <c r="D678" s="25"/>
      <c r="E678" s="43">
        <f t="shared" si="984"/>
        <v>0</v>
      </c>
      <c r="F678" s="35"/>
      <c r="G678" s="8">
        <v>1</v>
      </c>
      <c r="H678" s="43">
        <f t="shared" si="977"/>
        <v>1</v>
      </c>
      <c r="I678" s="35">
        <v>1</v>
      </c>
      <c r="J678" s="8"/>
      <c r="K678" s="43">
        <f t="shared" si="978"/>
        <v>1</v>
      </c>
      <c r="L678" s="8">
        <f t="shared" si="979"/>
        <v>2</v>
      </c>
      <c r="M678" s="53">
        <v>45777</v>
      </c>
      <c r="N678" s="7" t="s">
        <v>411</v>
      </c>
      <c r="O678" s="30">
        <v>120</v>
      </c>
      <c r="P678" s="25">
        <v>150</v>
      </c>
      <c r="Q678" s="43">
        <f t="shared" si="980"/>
        <v>270</v>
      </c>
      <c r="R678" s="35">
        <v>230</v>
      </c>
      <c r="S678" s="8">
        <v>140</v>
      </c>
      <c r="T678" s="43">
        <f t="shared" si="981"/>
        <v>370</v>
      </c>
      <c r="U678" s="35">
        <v>100</v>
      </c>
      <c r="V678" s="8">
        <v>90</v>
      </c>
      <c r="W678" s="43">
        <f t="shared" si="982"/>
        <v>190</v>
      </c>
      <c r="X678" s="8">
        <f t="shared" si="983"/>
        <v>830</v>
      </c>
      <c r="Y678" s="53">
        <v>45806</v>
      </c>
    </row>
    <row r="679" spans="2:25" x14ac:dyDescent="0.15">
      <c r="B679" s="7" t="s">
        <v>58</v>
      </c>
      <c r="C679" s="30">
        <v>1</v>
      </c>
      <c r="D679" s="25"/>
      <c r="E679" s="43">
        <f t="shared" si="984"/>
        <v>1</v>
      </c>
      <c r="F679" s="35">
        <v>4</v>
      </c>
      <c r="G679" s="8"/>
      <c r="H679" s="43">
        <f t="shared" si="977"/>
        <v>4</v>
      </c>
      <c r="I679" s="35"/>
      <c r="J679" s="8"/>
      <c r="K679" s="43">
        <f t="shared" si="978"/>
        <v>0</v>
      </c>
      <c r="L679" s="8">
        <f t="shared" si="979"/>
        <v>5</v>
      </c>
      <c r="M679" s="53">
        <v>45779</v>
      </c>
      <c r="N679" s="7" t="s">
        <v>412</v>
      </c>
      <c r="O679" s="30">
        <v>50</v>
      </c>
      <c r="P679" s="25">
        <v>60</v>
      </c>
      <c r="Q679" s="43">
        <f t="shared" si="980"/>
        <v>110</v>
      </c>
      <c r="R679" s="35"/>
      <c r="S679" s="8">
        <v>80</v>
      </c>
      <c r="T679" s="43">
        <f t="shared" si="981"/>
        <v>80</v>
      </c>
      <c r="U679" s="35">
        <v>50</v>
      </c>
      <c r="V679" s="8"/>
      <c r="W679" s="43">
        <f t="shared" si="982"/>
        <v>50</v>
      </c>
      <c r="X679" s="8">
        <f t="shared" si="983"/>
        <v>240</v>
      </c>
      <c r="Y679" s="53">
        <v>45807</v>
      </c>
    </row>
    <row r="680" spans="2:25" x14ac:dyDescent="0.15">
      <c r="B680" s="7" t="s">
        <v>12</v>
      </c>
      <c r="C680" s="33"/>
      <c r="D680" s="27"/>
      <c r="E680" s="43">
        <f t="shared" si="984"/>
        <v>0</v>
      </c>
      <c r="F680" s="37">
        <v>1</v>
      </c>
      <c r="G680" s="10"/>
      <c r="H680" s="43">
        <f t="shared" si="977"/>
        <v>1</v>
      </c>
      <c r="I680" s="37"/>
      <c r="J680" s="10"/>
      <c r="K680" s="43">
        <f t="shared" si="978"/>
        <v>0</v>
      </c>
      <c r="L680" s="8">
        <f t="shared" si="979"/>
        <v>1</v>
      </c>
      <c r="M680" s="53">
        <v>45778</v>
      </c>
      <c r="N680" s="7" t="s">
        <v>413</v>
      </c>
      <c r="O680" s="30">
        <v>30</v>
      </c>
      <c r="P680" s="25"/>
      <c r="Q680" s="43">
        <f t="shared" si="980"/>
        <v>30</v>
      </c>
      <c r="R680" s="35">
        <v>80</v>
      </c>
      <c r="S680" s="8">
        <v>60</v>
      </c>
      <c r="T680" s="43">
        <f t="shared" si="981"/>
        <v>140</v>
      </c>
      <c r="U680" s="35">
        <v>20</v>
      </c>
      <c r="V680" s="8">
        <v>60</v>
      </c>
      <c r="W680" s="43">
        <f t="shared" si="982"/>
        <v>80</v>
      </c>
      <c r="X680" s="8">
        <f t="shared" si="983"/>
        <v>250</v>
      </c>
      <c r="Y680" s="53">
        <v>45808</v>
      </c>
    </row>
    <row r="681" spans="2:25" x14ac:dyDescent="0.15">
      <c r="B681" s="7" t="s">
        <v>12</v>
      </c>
      <c r="C681" s="30">
        <v>2</v>
      </c>
      <c r="D681" s="25"/>
      <c r="E681" s="43">
        <f t="shared" si="984"/>
        <v>2</v>
      </c>
      <c r="F681" s="35">
        <v>1</v>
      </c>
      <c r="G681" s="8"/>
      <c r="H681" s="43">
        <f t="shared" si="977"/>
        <v>1</v>
      </c>
      <c r="I681" s="35"/>
      <c r="J681" s="8"/>
      <c r="K681" s="43">
        <f t="shared" si="978"/>
        <v>0</v>
      </c>
      <c r="L681" s="8">
        <f t="shared" si="979"/>
        <v>3</v>
      </c>
      <c r="M681" s="53">
        <v>45779</v>
      </c>
      <c r="N681" s="7"/>
      <c r="O681" s="30"/>
      <c r="P681" s="25"/>
      <c r="Q681" s="43">
        <f t="shared" si="980"/>
        <v>0</v>
      </c>
      <c r="R681" s="35"/>
      <c r="S681" s="8"/>
      <c r="T681" s="43">
        <f t="shared" si="981"/>
        <v>0</v>
      </c>
      <c r="U681" s="35"/>
      <c r="V681" s="8"/>
      <c r="W681" s="43">
        <f t="shared" si="982"/>
        <v>0</v>
      </c>
      <c r="X681" s="8">
        <f t="shared" si="983"/>
        <v>0</v>
      </c>
    </row>
    <row r="682" spans="2:25" x14ac:dyDescent="0.15">
      <c r="B682" s="7" t="s">
        <v>12</v>
      </c>
      <c r="C682" s="30"/>
      <c r="D682" s="25"/>
      <c r="E682" s="43">
        <f t="shared" si="984"/>
        <v>0</v>
      </c>
      <c r="F682" s="35">
        <f>5+3</f>
        <v>8</v>
      </c>
      <c r="G682" s="8">
        <v>1</v>
      </c>
      <c r="H682" s="43">
        <f t="shared" si="977"/>
        <v>9</v>
      </c>
      <c r="I682" s="35">
        <v>1</v>
      </c>
      <c r="J682" s="8">
        <f>3+1</f>
        <v>4</v>
      </c>
      <c r="K682" s="43">
        <f t="shared" si="978"/>
        <v>5</v>
      </c>
      <c r="L682" s="8">
        <f t="shared" si="979"/>
        <v>14</v>
      </c>
      <c r="M682" s="53">
        <v>45784</v>
      </c>
      <c r="N682" s="7"/>
      <c r="O682" s="30"/>
      <c r="P682" s="25"/>
      <c r="Q682" s="43">
        <f t="shared" si="980"/>
        <v>0</v>
      </c>
      <c r="R682" s="35"/>
      <c r="S682" s="8"/>
      <c r="T682" s="43">
        <f t="shared" si="981"/>
        <v>0</v>
      </c>
      <c r="U682" s="35"/>
      <c r="V682" s="8"/>
      <c r="W682" s="43">
        <f t="shared" si="982"/>
        <v>0</v>
      </c>
      <c r="X682" s="8">
        <f t="shared" si="983"/>
        <v>0</v>
      </c>
    </row>
    <row r="683" spans="2:25" x14ac:dyDescent="0.15">
      <c r="B683" s="7" t="s">
        <v>59</v>
      </c>
      <c r="C683" s="30"/>
      <c r="D683" s="25"/>
      <c r="E683" s="43">
        <f t="shared" si="984"/>
        <v>0</v>
      </c>
      <c r="F683" s="35"/>
      <c r="G683" s="8"/>
      <c r="H683" s="43">
        <f t="shared" si="977"/>
        <v>0</v>
      </c>
      <c r="I683" s="35"/>
      <c r="J683" s="8">
        <v>1</v>
      </c>
      <c r="K683" s="43">
        <f t="shared" si="978"/>
        <v>1</v>
      </c>
      <c r="L683" s="8">
        <f t="shared" si="979"/>
        <v>1</v>
      </c>
      <c r="M683" s="53">
        <v>45786</v>
      </c>
      <c r="N683" s="7"/>
      <c r="O683" s="33"/>
      <c r="P683" s="27"/>
      <c r="Q683" s="43">
        <f t="shared" si="980"/>
        <v>0</v>
      </c>
      <c r="R683" s="37"/>
      <c r="S683" s="10"/>
      <c r="T683" s="43">
        <f t="shared" si="981"/>
        <v>0</v>
      </c>
      <c r="U683" s="37"/>
      <c r="V683" s="10"/>
      <c r="W683" s="43">
        <f t="shared" si="982"/>
        <v>0</v>
      </c>
      <c r="X683" s="8">
        <f t="shared" si="983"/>
        <v>0</v>
      </c>
    </row>
    <row r="684" spans="2:25" x14ac:dyDescent="0.15">
      <c r="B684" s="7" t="s">
        <v>60</v>
      </c>
      <c r="C684" s="30"/>
      <c r="D684" s="25"/>
      <c r="E684" s="43">
        <f t="shared" si="984"/>
        <v>0</v>
      </c>
      <c r="F684" s="35"/>
      <c r="G684" s="8"/>
      <c r="H684" s="43">
        <f t="shared" si="977"/>
        <v>0</v>
      </c>
      <c r="I684" s="35"/>
      <c r="J684" s="8">
        <v>1</v>
      </c>
      <c r="K684" s="43">
        <f t="shared" si="978"/>
        <v>1</v>
      </c>
      <c r="L684" s="8">
        <f t="shared" si="979"/>
        <v>1</v>
      </c>
      <c r="M684" s="53">
        <v>45789</v>
      </c>
      <c r="N684" s="7"/>
      <c r="O684" s="33"/>
      <c r="P684" s="27"/>
      <c r="Q684" s="43">
        <f t="shared" ref="Q684" si="1005">SUM(O684:P684)</f>
        <v>0</v>
      </c>
      <c r="R684" s="37"/>
      <c r="S684" s="10"/>
      <c r="T684" s="43">
        <f t="shared" ref="T684" si="1006">SUM(R684:S684)</f>
        <v>0</v>
      </c>
      <c r="U684" s="37"/>
      <c r="V684" s="10"/>
      <c r="W684" s="43">
        <f t="shared" ref="W684" si="1007">SUM(U684:V684)</f>
        <v>0</v>
      </c>
      <c r="X684" s="8">
        <f t="shared" ref="X684" si="1008">SUM(W684,T684,Q684)</f>
        <v>0</v>
      </c>
    </row>
    <row r="685" spans="2:25" x14ac:dyDescent="0.15">
      <c r="B685" s="7" t="s">
        <v>12</v>
      </c>
      <c r="C685" s="30"/>
      <c r="D685" s="25"/>
      <c r="E685" s="43">
        <f t="shared" si="984"/>
        <v>0</v>
      </c>
      <c r="F685" s="35"/>
      <c r="G685" s="8">
        <v>1</v>
      </c>
      <c r="H685" s="43">
        <f t="shared" si="977"/>
        <v>1</v>
      </c>
      <c r="I685" s="35"/>
      <c r="J685" s="8">
        <v>1</v>
      </c>
      <c r="K685" s="43">
        <f t="shared" si="978"/>
        <v>1</v>
      </c>
      <c r="L685" s="8">
        <f t="shared" si="979"/>
        <v>2</v>
      </c>
      <c r="M685" s="53">
        <v>45786</v>
      </c>
      <c r="N685" s="7"/>
      <c r="O685" s="33"/>
      <c r="P685" s="27"/>
      <c r="Q685" s="43">
        <f t="shared" ref="Q685:Q686" si="1009">SUM(O685:P685)</f>
        <v>0</v>
      </c>
      <c r="R685" s="37"/>
      <c r="S685" s="10"/>
      <c r="T685" s="43">
        <f t="shared" ref="T685:T686" si="1010">SUM(R685:S685)</f>
        <v>0</v>
      </c>
      <c r="U685" s="37"/>
      <c r="V685" s="10"/>
      <c r="W685" s="43">
        <f t="shared" ref="W685:W686" si="1011">SUM(U685:V685)</f>
        <v>0</v>
      </c>
      <c r="X685" s="8">
        <f t="shared" ref="X685:X686" si="1012">SUM(W685,T685,Q685)</f>
        <v>0</v>
      </c>
    </row>
    <row r="686" spans="2:25" x14ac:dyDescent="0.15">
      <c r="B686" s="7" t="s">
        <v>12</v>
      </c>
      <c r="C686" s="30"/>
      <c r="D686" s="25"/>
      <c r="E686" s="43">
        <f t="shared" si="984"/>
        <v>0</v>
      </c>
      <c r="F686" s="35"/>
      <c r="G686" s="8">
        <f>4+2</f>
        <v>6</v>
      </c>
      <c r="H686" s="43">
        <f t="shared" si="977"/>
        <v>6</v>
      </c>
      <c r="I686" s="35">
        <v>1</v>
      </c>
      <c r="J686" s="8">
        <v>3</v>
      </c>
      <c r="K686" s="43">
        <f t="shared" si="978"/>
        <v>4</v>
      </c>
      <c r="L686" s="8">
        <f t="shared" si="979"/>
        <v>10</v>
      </c>
      <c r="M686" s="53">
        <v>45789</v>
      </c>
      <c r="N686" s="7"/>
      <c r="O686" s="33"/>
      <c r="P686" s="27"/>
      <c r="Q686" s="43">
        <f t="shared" si="1009"/>
        <v>0</v>
      </c>
      <c r="R686" s="37"/>
      <c r="S686" s="10"/>
      <c r="T686" s="43">
        <f t="shared" si="1010"/>
        <v>0</v>
      </c>
      <c r="U686" s="37"/>
      <c r="V686" s="10"/>
      <c r="W686" s="43">
        <f t="shared" si="1011"/>
        <v>0</v>
      </c>
      <c r="X686" s="8">
        <f t="shared" si="1012"/>
        <v>0</v>
      </c>
    </row>
    <row r="687" spans="2:25" x14ac:dyDescent="0.15">
      <c r="B687" s="7" t="s">
        <v>12</v>
      </c>
      <c r="C687" s="30"/>
      <c r="D687" s="25"/>
      <c r="E687" s="43">
        <f t="shared" si="984"/>
        <v>0</v>
      </c>
      <c r="F687" s="35"/>
      <c r="G687" s="8">
        <v>1</v>
      </c>
      <c r="H687" s="43">
        <f t="shared" si="977"/>
        <v>1</v>
      </c>
      <c r="I687" s="35"/>
      <c r="J687" s="8"/>
      <c r="K687" s="43">
        <f t="shared" si="978"/>
        <v>0</v>
      </c>
      <c r="L687" s="8">
        <f t="shared" si="979"/>
        <v>1</v>
      </c>
      <c r="M687" s="53">
        <v>45790</v>
      </c>
      <c r="N687" s="115" t="s">
        <v>373</v>
      </c>
      <c r="O687" s="116"/>
      <c r="P687" s="112"/>
      <c r="Q687" s="117">
        <f t="shared" ref="Q687:Q690" si="1013">SUM(O687:P687)</f>
        <v>0</v>
      </c>
      <c r="R687" s="118"/>
      <c r="S687" s="119"/>
      <c r="T687" s="117">
        <f t="shared" ref="T687:T690" si="1014">SUM(R687:S687)</f>
        <v>0</v>
      </c>
      <c r="U687" s="118"/>
      <c r="V687" s="119"/>
      <c r="W687" s="117">
        <f t="shared" ref="W687:W690" si="1015">SUM(U687:V687)</f>
        <v>0</v>
      </c>
      <c r="X687" s="119">
        <f t="shared" ref="X687:X690" si="1016">SUM(W687,T687,Q687)</f>
        <v>0</v>
      </c>
      <c r="Y687" s="101"/>
    </row>
    <row r="688" spans="2:25" x14ac:dyDescent="0.15">
      <c r="B688" s="7" t="s">
        <v>12</v>
      </c>
      <c r="C688" s="30"/>
      <c r="D688" s="25"/>
      <c r="E688" s="43">
        <f t="shared" si="984"/>
        <v>0</v>
      </c>
      <c r="F688" s="35"/>
      <c r="G688" s="8">
        <v>1</v>
      </c>
      <c r="H688" s="43">
        <f t="shared" si="977"/>
        <v>1</v>
      </c>
      <c r="I688" s="35"/>
      <c r="J688" s="8">
        <v>1</v>
      </c>
      <c r="K688" s="43">
        <f t="shared" si="978"/>
        <v>1</v>
      </c>
      <c r="L688" s="8">
        <f t="shared" si="979"/>
        <v>2</v>
      </c>
      <c r="M688" s="53">
        <v>45791</v>
      </c>
      <c r="N688" s="7" t="s">
        <v>358</v>
      </c>
      <c r="O688" s="30"/>
      <c r="P688" s="25"/>
      <c r="Q688" s="43">
        <f t="shared" si="1013"/>
        <v>0</v>
      </c>
      <c r="R688" s="35"/>
      <c r="S688" s="8"/>
      <c r="T688" s="43">
        <f t="shared" si="1014"/>
        <v>0</v>
      </c>
      <c r="U688" s="35"/>
      <c r="V688" s="8"/>
      <c r="W688" s="43">
        <f t="shared" si="1015"/>
        <v>0</v>
      </c>
      <c r="X688" s="8">
        <f t="shared" si="1016"/>
        <v>0</v>
      </c>
      <c r="Y688" s="52" t="s">
        <v>357</v>
      </c>
    </row>
    <row r="689" spans="2:25" x14ac:dyDescent="0.15">
      <c r="B689" s="7" t="s">
        <v>12</v>
      </c>
      <c r="C689" s="30"/>
      <c r="D689" s="25"/>
      <c r="E689" s="43">
        <f t="shared" si="984"/>
        <v>0</v>
      </c>
      <c r="F689" s="35">
        <v>1</v>
      </c>
      <c r="G689" s="8"/>
      <c r="H689" s="43">
        <f t="shared" si="977"/>
        <v>1</v>
      </c>
      <c r="I689" s="35"/>
      <c r="J689" s="8">
        <v>1</v>
      </c>
      <c r="K689" s="43">
        <f t="shared" si="978"/>
        <v>1</v>
      </c>
      <c r="L689" s="8">
        <f t="shared" si="979"/>
        <v>2</v>
      </c>
      <c r="M689" s="53">
        <v>45792</v>
      </c>
      <c r="N689" s="115" t="s">
        <v>343</v>
      </c>
      <c r="O689" s="116"/>
      <c r="P689" s="112"/>
      <c r="Q689" s="117">
        <f t="shared" si="1013"/>
        <v>0</v>
      </c>
      <c r="R689" s="118"/>
      <c r="S689" s="119"/>
      <c r="T689" s="117">
        <f t="shared" si="1014"/>
        <v>0</v>
      </c>
      <c r="U689" s="118"/>
      <c r="V689" s="119"/>
      <c r="W689" s="117">
        <f t="shared" si="1015"/>
        <v>0</v>
      </c>
      <c r="X689" s="119">
        <f t="shared" si="1016"/>
        <v>0</v>
      </c>
    </row>
    <row r="690" spans="2:25" ht="14.25" thickBot="1" x14ac:dyDescent="0.2">
      <c r="B690" s="7" t="s">
        <v>12</v>
      </c>
      <c r="C690" s="30"/>
      <c r="D690" s="25"/>
      <c r="E690" s="43">
        <f t="shared" si="984"/>
        <v>0</v>
      </c>
      <c r="F690" s="35"/>
      <c r="G690" s="8"/>
      <c r="H690" s="43">
        <f t="shared" si="977"/>
        <v>0</v>
      </c>
      <c r="I690" s="35"/>
      <c r="J690" s="8">
        <v>1</v>
      </c>
      <c r="K690" s="43">
        <f t="shared" si="978"/>
        <v>1</v>
      </c>
      <c r="L690" s="8">
        <f t="shared" si="979"/>
        <v>1</v>
      </c>
      <c r="M690" s="53">
        <v>45793</v>
      </c>
      <c r="N690" s="7" t="s">
        <v>416</v>
      </c>
      <c r="O690" s="30">
        <f>295-140-120-35</f>
        <v>0</v>
      </c>
      <c r="P690" s="25">
        <f>250-140-110</f>
        <v>0</v>
      </c>
      <c r="Q690" s="43">
        <f t="shared" si="1013"/>
        <v>0</v>
      </c>
      <c r="R690" s="35"/>
      <c r="S690" s="8"/>
      <c r="T690" s="43">
        <f t="shared" si="1014"/>
        <v>0</v>
      </c>
      <c r="U690" s="35"/>
      <c r="V690" s="8"/>
      <c r="W690" s="43">
        <f t="shared" si="1015"/>
        <v>0</v>
      </c>
      <c r="X690" s="8">
        <f t="shared" si="1016"/>
        <v>0</v>
      </c>
      <c r="Y690" s="52" t="s">
        <v>342</v>
      </c>
    </row>
    <row r="691" spans="2:25" ht="14.25" thickBot="1" x14ac:dyDescent="0.2">
      <c r="B691" s="5" t="s">
        <v>1</v>
      </c>
      <c r="C691" s="32">
        <f>SUM(C666:C690)</f>
        <v>3</v>
      </c>
      <c r="D691" s="19">
        <f>SUM(D666:D690)</f>
        <v>6</v>
      </c>
      <c r="E691" s="44">
        <f t="shared" si="984"/>
        <v>9</v>
      </c>
      <c r="F691" s="32">
        <f>SUM(F666:F690)</f>
        <v>30</v>
      </c>
      <c r="G691" s="19">
        <f>SUM(G666:G690)</f>
        <v>17</v>
      </c>
      <c r="H691" s="44">
        <f t="shared" si="977"/>
        <v>47</v>
      </c>
      <c r="I691" s="32">
        <f>SUM(I666:I690)</f>
        <v>7</v>
      </c>
      <c r="J691" s="19">
        <f>SUM(J666:J690)</f>
        <v>24</v>
      </c>
      <c r="K691" s="44">
        <f t="shared" si="978"/>
        <v>31</v>
      </c>
      <c r="L691" s="4">
        <f t="shared" si="979"/>
        <v>87</v>
      </c>
      <c r="N691" s="5" t="s">
        <v>1</v>
      </c>
      <c r="O691" s="32">
        <f>SUM(O666:O690)</f>
        <v>376</v>
      </c>
      <c r="P691" s="19">
        <f t="shared" ref="P691" si="1017">SUM(P666:P690)</f>
        <v>398</v>
      </c>
      <c r="Q691" s="44">
        <f t="shared" ref="Q691" si="1018">SUM(Q666:Q690)</f>
        <v>774</v>
      </c>
      <c r="R691" s="32">
        <f t="shared" ref="R691" si="1019">SUM(R666:R690)</f>
        <v>509</v>
      </c>
      <c r="S691" s="19">
        <f t="shared" ref="S691" si="1020">SUM(S666:S690)</f>
        <v>478</v>
      </c>
      <c r="T691" s="44">
        <f t="shared" ref="T691" si="1021">SUM(T666:T690)</f>
        <v>987</v>
      </c>
      <c r="U691" s="32">
        <f t="shared" ref="U691" si="1022">SUM(U666:U690)</f>
        <v>321</v>
      </c>
      <c r="V691" s="19">
        <f t="shared" ref="V691" si="1023">SUM(V666:V690)</f>
        <v>298</v>
      </c>
      <c r="W691" s="44">
        <f t="shared" ref="W691" si="1024">SUM(W666:W690)</f>
        <v>619</v>
      </c>
      <c r="X691" s="4">
        <f t="shared" ref="X691" si="1025">SUM(X666:X690)</f>
        <v>2380</v>
      </c>
    </row>
    <row r="692" spans="2:25" ht="14.25" thickBot="1" x14ac:dyDescent="0.2">
      <c r="B692" s="3" t="s">
        <v>0</v>
      </c>
      <c r="C692" s="34">
        <f>+C665-C691</f>
        <v>13</v>
      </c>
      <c r="D692" s="2">
        <f>+D665-D691</f>
        <v>19</v>
      </c>
      <c r="E692" s="45">
        <f t="shared" si="984"/>
        <v>32</v>
      </c>
      <c r="F692" s="34">
        <f>+F665-F691</f>
        <v>14</v>
      </c>
      <c r="G692" s="2">
        <f>+G665-G691</f>
        <v>3</v>
      </c>
      <c r="H692" s="45">
        <f t="shared" si="977"/>
        <v>17</v>
      </c>
      <c r="I692" s="34">
        <f>+I665-I691</f>
        <v>10</v>
      </c>
      <c r="J692" s="2">
        <f>+J665-J691</f>
        <v>3</v>
      </c>
      <c r="K692" s="45">
        <f t="shared" si="978"/>
        <v>13</v>
      </c>
      <c r="L692" s="2">
        <f t="shared" si="979"/>
        <v>62</v>
      </c>
      <c r="N692" s="3" t="s">
        <v>0</v>
      </c>
      <c r="O692" s="34">
        <f>+O665-O691</f>
        <v>616</v>
      </c>
      <c r="P692" s="2">
        <f t="shared" ref="P692" si="1026">+P665-P691</f>
        <v>679</v>
      </c>
      <c r="Q692" s="45">
        <f t="shared" ref="Q692" si="1027">+Q665-Q691</f>
        <v>1295</v>
      </c>
      <c r="R692" s="34">
        <f t="shared" ref="R692" si="1028">+R665-R691</f>
        <v>225</v>
      </c>
      <c r="S692" s="2">
        <f t="shared" ref="S692" si="1029">+S665-S691</f>
        <v>348</v>
      </c>
      <c r="T692" s="45">
        <f t="shared" ref="T692" si="1030">+T665-T691</f>
        <v>573</v>
      </c>
      <c r="U692" s="34">
        <f t="shared" ref="U692" si="1031">+U665-U691</f>
        <v>275</v>
      </c>
      <c r="V692" s="2">
        <f t="shared" ref="V692" si="1032">+V665-V691</f>
        <v>361</v>
      </c>
      <c r="W692" s="45">
        <f t="shared" ref="W692" si="1033">+W665-W691</f>
        <v>636</v>
      </c>
      <c r="X692" s="2">
        <f t="shared" ref="X692" si="1034">+X665-X691</f>
        <v>2504</v>
      </c>
    </row>
    <row r="693" spans="2:25" x14ac:dyDescent="0.15">
      <c r="O693" s="89"/>
      <c r="P693" s="89"/>
      <c r="Q693" s="89"/>
      <c r="R693" s="89"/>
      <c r="S693" s="89"/>
      <c r="T693" s="89"/>
      <c r="U693" s="89"/>
      <c r="V693" s="89"/>
      <c r="W693" s="89"/>
    </row>
    <row r="694" spans="2:25" x14ac:dyDescent="0.15">
      <c r="O694" s="87"/>
      <c r="P694" s="87"/>
      <c r="Q694" s="87"/>
      <c r="R694" s="87"/>
      <c r="S694" s="87"/>
      <c r="T694" s="87"/>
      <c r="U694" s="87"/>
      <c r="V694" s="87"/>
      <c r="W694" s="87"/>
      <c r="X694" s="86"/>
    </row>
    <row r="695" spans="2:25" x14ac:dyDescent="0.15">
      <c r="O695" s="86"/>
      <c r="P695" s="86"/>
      <c r="Q695" s="86"/>
      <c r="R695" s="86"/>
      <c r="S695" s="86"/>
      <c r="T695" s="86"/>
      <c r="U695" s="86"/>
      <c r="V695" s="86"/>
      <c r="W695" s="86"/>
      <c r="X695" s="86"/>
    </row>
    <row r="696" spans="2:25" ht="18.75" x14ac:dyDescent="0.2">
      <c r="B696" s="23" t="s">
        <v>11</v>
      </c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N696" s="47" t="s">
        <v>25</v>
      </c>
      <c r="O696" s="48"/>
      <c r="P696" s="48"/>
      <c r="Q696" s="48"/>
      <c r="R696" s="48"/>
      <c r="S696" s="48"/>
      <c r="T696" s="48"/>
      <c r="U696" s="48"/>
      <c r="V696" s="48"/>
      <c r="W696" s="48"/>
      <c r="X696" s="48"/>
    </row>
    <row r="697" spans="2:25" ht="15" thickBot="1" x14ac:dyDescent="0.2">
      <c r="B697" s="22" t="s">
        <v>147</v>
      </c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N697" s="49" t="s">
        <v>148</v>
      </c>
      <c r="O697" s="48"/>
      <c r="P697" s="48"/>
      <c r="Q697" s="48"/>
      <c r="R697" s="48"/>
      <c r="S697" s="48"/>
      <c r="T697" s="48"/>
      <c r="U697" s="48"/>
      <c r="V697" s="48"/>
      <c r="W697" s="48"/>
      <c r="X697" s="48"/>
    </row>
    <row r="698" spans="2:25" ht="14.25" thickBot="1" x14ac:dyDescent="0.2">
      <c r="B698" s="20"/>
      <c r="C698" s="208" t="s">
        <v>9</v>
      </c>
      <c r="D698" s="209"/>
      <c r="E698" s="210"/>
      <c r="F698" s="208" t="s">
        <v>8</v>
      </c>
      <c r="G698" s="209"/>
      <c r="H698" s="210"/>
      <c r="I698" s="208" t="s">
        <v>7</v>
      </c>
      <c r="J698" s="209"/>
      <c r="K698" s="210"/>
      <c r="L698" s="19"/>
      <c r="N698" s="20"/>
      <c r="O698" s="208" t="s">
        <v>9</v>
      </c>
      <c r="P698" s="209"/>
      <c r="Q698" s="123">
        <v>890</v>
      </c>
      <c r="R698" s="208" t="s">
        <v>8</v>
      </c>
      <c r="S698" s="209"/>
      <c r="T698" s="123">
        <v>980</v>
      </c>
      <c r="U698" s="208" t="s">
        <v>7</v>
      </c>
      <c r="V698" s="209"/>
      <c r="W698" s="123">
        <v>1080</v>
      </c>
      <c r="X698" s="19"/>
    </row>
    <row r="699" spans="2:25" ht="14.25" thickBot="1" x14ac:dyDescent="0.2">
      <c r="B699" s="18"/>
      <c r="C699" s="28" t="s">
        <v>6</v>
      </c>
      <c r="D699" s="17" t="s">
        <v>5</v>
      </c>
      <c r="E699" s="38" t="s">
        <v>4</v>
      </c>
      <c r="F699" s="28" t="s">
        <v>6</v>
      </c>
      <c r="G699" s="17" t="s">
        <v>5</v>
      </c>
      <c r="H699" s="38" t="s">
        <v>4</v>
      </c>
      <c r="I699" s="28" t="s">
        <v>6</v>
      </c>
      <c r="J699" s="17" t="s">
        <v>5</v>
      </c>
      <c r="K699" s="38" t="s">
        <v>4</v>
      </c>
      <c r="L699" s="17" t="s">
        <v>4</v>
      </c>
      <c r="N699" s="18"/>
      <c r="O699" s="28" t="s">
        <v>6</v>
      </c>
      <c r="P699" s="17" t="s">
        <v>5</v>
      </c>
      <c r="Q699" s="38" t="s">
        <v>4</v>
      </c>
      <c r="R699" s="28" t="s">
        <v>6</v>
      </c>
      <c r="S699" s="17" t="s">
        <v>5</v>
      </c>
      <c r="T699" s="38" t="s">
        <v>4</v>
      </c>
      <c r="U699" s="28" t="s">
        <v>6</v>
      </c>
      <c r="V699" s="17" t="s">
        <v>5</v>
      </c>
      <c r="W699" s="38" t="s">
        <v>4</v>
      </c>
      <c r="X699" s="17" t="s">
        <v>4</v>
      </c>
    </row>
    <row r="700" spans="2:25" x14ac:dyDescent="0.15">
      <c r="B700" s="66" t="s">
        <v>0</v>
      </c>
      <c r="C700" s="67">
        <f>C692</f>
        <v>13</v>
      </c>
      <c r="D700" s="68">
        <f t="shared" ref="D700:K700" si="1035">D692</f>
        <v>19</v>
      </c>
      <c r="E700" s="69">
        <f t="shared" si="1035"/>
        <v>32</v>
      </c>
      <c r="F700" s="67">
        <f t="shared" si="1035"/>
        <v>14</v>
      </c>
      <c r="G700" s="68">
        <f t="shared" si="1035"/>
        <v>3</v>
      </c>
      <c r="H700" s="69">
        <f t="shared" si="1035"/>
        <v>17</v>
      </c>
      <c r="I700" s="67">
        <f t="shared" si="1035"/>
        <v>10</v>
      </c>
      <c r="J700" s="68">
        <f t="shared" si="1035"/>
        <v>3</v>
      </c>
      <c r="K700" s="69">
        <f t="shared" si="1035"/>
        <v>13</v>
      </c>
      <c r="L700" s="70">
        <f>SUM(K700,H700,E700)</f>
        <v>62</v>
      </c>
      <c r="N700" s="66" t="s">
        <v>0</v>
      </c>
      <c r="O700" s="72">
        <f>O692</f>
        <v>616</v>
      </c>
      <c r="P700" s="80">
        <f t="shared" ref="P700:X700" si="1036">P692</f>
        <v>679</v>
      </c>
      <c r="Q700" s="69">
        <f t="shared" si="1036"/>
        <v>1295</v>
      </c>
      <c r="R700" s="72">
        <f t="shared" si="1036"/>
        <v>225</v>
      </c>
      <c r="S700" s="80">
        <f t="shared" si="1036"/>
        <v>348</v>
      </c>
      <c r="T700" s="69">
        <f t="shared" si="1036"/>
        <v>573</v>
      </c>
      <c r="U700" s="72">
        <f t="shared" si="1036"/>
        <v>275</v>
      </c>
      <c r="V700" s="80">
        <f t="shared" si="1036"/>
        <v>361</v>
      </c>
      <c r="W700" s="69">
        <f t="shared" si="1036"/>
        <v>636</v>
      </c>
      <c r="X700" s="70">
        <f t="shared" si="1036"/>
        <v>2504</v>
      </c>
    </row>
    <row r="701" spans="2:25" x14ac:dyDescent="0.15">
      <c r="B701" s="55" t="s">
        <v>3</v>
      </c>
      <c r="C701" s="30"/>
      <c r="D701" s="25"/>
      <c r="E701" s="40">
        <f t="shared" ref="E701:E702" si="1037">SUM(C701:D701)</f>
        <v>0</v>
      </c>
      <c r="F701" s="35"/>
      <c r="G701" s="8">
        <v>10</v>
      </c>
      <c r="H701" s="40">
        <f t="shared" ref="H701:H733" si="1038">SUM(F701:G701)</f>
        <v>10</v>
      </c>
      <c r="I701" s="35">
        <v>5</v>
      </c>
      <c r="J701" s="8">
        <v>10</v>
      </c>
      <c r="K701" s="40">
        <f t="shared" ref="K701:K733" si="1039">SUM(I701:J701)</f>
        <v>15</v>
      </c>
      <c r="L701" s="9">
        <f t="shared" ref="L701:L733" si="1040">SUM(K701,H701,E701)</f>
        <v>25</v>
      </c>
      <c r="M701" s="53">
        <v>45791</v>
      </c>
      <c r="N701" s="55" t="s">
        <v>423</v>
      </c>
      <c r="O701" s="62"/>
      <c r="P701" s="81"/>
      <c r="Q701" s="40">
        <f t="shared" ref="Q701" si="1041">SUM(O701:P701)</f>
        <v>0</v>
      </c>
      <c r="R701" s="78"/>
      <c r="S701" s="82">
        <v>6</v>
      </c>
      <c r="T701" s="40">
        <f t="shared" ref="T701" si="1042">SUM(R701:S701)</f>
        <v>6</v>
      </c>
      <c r="U701" s="78">
        <v>15</v>
      </c>
      <c r="V701" s="82">
        <v>14</v>
      </c>
      <c r="W701" s="40">
        <f t="shared" ref="W701" si="1043">SUM(U701:V701)</f>
        <v>29</v>
      </c>
      <c r="X701" s="25">
        <f t="shared" ref="X701" si="1044">SUM(W701,T701,Q701)</f>
        <v>35</v>
      </c>
      <c r="Y701" s="53">
        <v>45815</v>
      </c>
    </row>
    <row r="702" spans="2:25" x14ac:dyDescent="0.15">
      <c r="B702" s="55" t="s">
        <v>57</v>
      </c>
      <c r="C702" s="30"/>
      <c r="D702" s="25"/>
      <c r="E702" s="40">
        <f t="shared" si="1037"/>
        <v>0</v>
      </c>
      <c r="F702" s="35"/>
      <c r="G702" s="8"/>
      <c r="H702" s="40">
        <f t="shared" si="1038"/>
        <v>0</v>
      </c>
      <c r="I702" s="35"/>
      <c r="J702" s="8">
        <v>1</v>
      </c>
      <c r="K702" s="40">
        <f t="shared" si="1039"/>
        <v>1</v>
      </c>
      <c r="L702" s="9">
        <f t="shared" si="1040"/>
        <v>1</v>
      </c>
      <c r="M702" s="53">
        <v>45792</v>
      </c>
      <c r="N702" s="55" t="s">
        <v>3</v>
      </c>
      <c r="O702" s="62"/>
      <c r="P702" s="81"/>
      <c r="Q702" s="40">
        <f t="shared" ref="Q702" si="1045">SUM(O702:P702)</f>
        <v>0</v>
      </c>
      <c r="R702" s="78"/>
      <c r="S702" s="82"/>
      <c r="T702" s="40">
        <f t="shared" ref="T702" si="1046">SUM(R702:S702)</f>
        <v>0</v>
      </c>
      <c r="U702" s="78"/>
      <c r="V702" s="82"/>
      <c r="W702" s="40">
        <f t="shared" ref="W702" si="1047">SUM(U702:V702)</f>
        <v>0</v>
      </c>
      <c r="X702" s="25">
        <f t="shared" ref="X702" si="1048">SUM(W702,T702,Q702)</f>
        <v>0</v>
      </c>
    </row>
    <row r="703" spans="2:25" x14ac:dyDescent="0.15">
      <c r="B703" s="55" t="s">
        <v>3</v>
      </c>
      <c r="C703" s="30">
        <v>10</v>
      </c>
      <c r="D703" s="25">
        <v>1</v>
      </c>
      <c r="E703" s="40">
        <f t="shared" ref="E703:E733" si="1049">SUM(C703:D703)</f>
        <v>11</v>
      </c>
      <c r="F703" s="35">
        <v>7</v>
      </c>
      <c r="G703" s="8">
        <v>6</v>
      </c>
      <c r="H703" s="40">
        <f t="shared" si="1038"/>
        <v>13</v>
      </c>
      <c r="I703" s="35">
        <v>11</v>
      </c>
      <c r="J703" s="8">
        <v>10</v>
      </c>
      <c r="K703" s="40">
        <f t="shared" si="1039"/>
        <v>21</v>
      </c>
      <c r="L703" s="9">
        <f t="shared" si="1040"/>
        <v>45</v>
      </c>
      <c r="M703" s="53">
        <v>45803</v>
      </c>
      <c r="N703" s="55" t="s">
        <v>3</v>
      </c>
      <c r="O703" s="62"/>
      <c r="P703" s="81"/>
      <c r="Q703" s="40">
        <f t="shared" ref="Q703:Q731" si="1050">SUM(O703:P703)</f>
        <v>0</v>
      </c>
      <c r="R703" s="78"/>
      <c r="S703" s="82"/>
      <c r="T703" s="40">
        <f t="shared" ref="T703:T731" si="1051">SUM(R703:S703)</f>
        <v>0</v>
      </c>
      <c r="U703" s="78"/>
      <c r="V703" s="82"/>
      <c r="W703" s="40">
        <f t="shared" ref="W703:W731" si="1052">SUM(U703:V703)</f>
        <v>0</v>
      </c>
      <c r="X703" s="25">
        <f t="shared" ref="X703:X731" si="1053">SUM(W703,T703,Q703)</f>
        <v>0</v>
      </c>
    </row>
    <row r="704" spans="2:25" x14ac:dyDescent="0.15">
      <c r="B704" s="55" t="s">
        <v>3</v>
      </c>
      <c r="C704" s="30"/>
      <c r="D704" s="25"/>
      <c r="E704" s="40">
        <f t="shared" si="1049"/>
        <v>0</v>
      </c>
      <c r="F704" s="35"/>
      <c r="G704" s="8">
        <v>6</v>
      </c>
      <c r="H704" s="40">
        <f t="shared" si="1038"/>
        <v>6</v>
      </c>
      <c r="I704" s="35">
        <v>15</v>
      </c>
      <c r="J704" s="8">
        <v>14</v>
      </c>
      <c r="K704" s="40">
        <f t="shared" si="1039"/>
        <v>29</v>
      </c>
      <c r="L704" s="9">
        <f t="shared" si="1040"/>
        <v>35</v>
      </c>
      <c r="M704" s="53">
        <v>45815</v>
      </c>
      <c r="N704" s="55" t="s">
        <v>419</v>
      </c>
      <c r="O704" s="62"/>
      <c r="P704" s="81"/>
      <c r="Q704" s="40">
        <f t="shared" si="1050"/>
        <v>0</v>
      </c>
      <c r="R704" s="78">
        <v>100</v>
      </c>
      <c r="S704" s="82">
        <v>100</v>
      </c>
      <c r="T704" s="40">
        <f t="shared" si="1051"/>
        <v>200</v>
      </c>
      <c r="U704" s="78"/>
      <c r="V704" s="82"/>
      <c r="W704" s="40">
        <f t="shared" si="1052"/>
        <v>0</v>
      </c>
      <c r="X704" s="25">
        <f t="shared" si="1053"/>
        <v>200</v>
      </c>
      <c r="Y704" s="53" t="s">
        <v>439</v>
      </c>
    </row>
    <row r="705" spans="2:25" ht="14.25" thickBot="1" x14ac:dyDescent="0.2">
      <c r="B705" s="55" t="s">
        <v>3</v>
      </c>
      <c r="C705" s="76">
        <v>1</v>
      </c>
      <c r="D705" s="83"/>
      <c r="E705" s="41">
        <f t="shared" si="1049"/>
        <v>1</v>
      </c>
      <c r="F705" s="76"/>
      <c r="G705" s="83"/>
      <c r="H705" s="41">
        <f t="shared" si="1038"/>
        <v>0</v>
      </c>
      <c r="I705" s="76"/>
      <c r="J705" s="83">
        <v>1</v>
      </c>
      <c r="K705" s="41">
        <f t="shared" si="1039"/>
        <v>1</v>
      </c>
      <c r="L705" s="77">
        <f t="shared" si="1040"/>
        <v>2</v>
      </c>
      <c r="M705" s="53"/>
      <c r="N705" s="75" t="s">
        <v>3</v>
      </c>
      <c r="O705" s="76"/>
      <c r="P705" s="83"/>
      <c r="Q705" s="41">
        <f t="shared" si="1050"/>
        <v>0</v>
      </c>
      <c r="R705" s="76"/>
      <c r="S705" s="83"/>
      <c r="T705" s="41">
        <f t="shared" si="1051"/>
        <v>0</v>
      </c>
      <c r="U705" s="76"/>
      <c r="V705" s="83"/>
      <c r="W705" s="41">
        <f t="shared" si="1052"/>
        <v>0</v>
      </c>
      <c r="X705" s="77">
        <f t="shared" si="1053"/>
        <v>0</v>
      </c>
    </row>
    <row r="706" spans="2:25" ht="14.25" thickBot="1" x14ac:dyDescent="0.2">
      <c r="B706" s="5" t="s">
        <v>2</v>
      </c>
      <c r="C706" s="32">
        <f>SUM(C700:C705)</f>
        <v>24</v>
      </c>
      <c r="D706" s="19">
        <f>SUM(D700:D705)</f>
        <v>20</v>
      </c>
      <c r="E706" s="42">
        <f t="shared" si="1049"/>
        <v>44</v>
      </c>
      <c r="F706" s="32">
        <f>SUM(F700:F705)</f>
        <v>21</v>
      </c>
      <c r="G706" s="19">
        <f>SUM(G700:G705)</f>
        <v>25</v>
      </c>
      <c r="H706" s="42">
        <f t="shared" si="1038"/>
        <v>46</v>
      </c>
      <c r="I706" s="32">
        <f>SUM(I700:I705)</f>
        <v>41</v>
      </c>
      <c r="J706" s="19">
        <f>SUM(J700:J705)</f>
        <v>39</v>
      </c>
      <c r="K706" s="42">
        <f t="shared" si="1039"/>
        <v>80</v>
      </c>
      <c r="L706" s="13">
        <f t="shared" si="1040"/>
        <v>170</v>
      </c>
      <c r="N706" s="63" t="s">
        <v>2</v>
      </c>
      <c r="O706" s="32">
        <f>SUM(O700:O705)</f>
        <v>616</v>
      </c>
      <c r="P706" s="19">
        <f t="shared" ref="P706" si="1054">SUM(P700:P705)</f>
        <v>679</v>
      </c>
      <c r="Q706" s="42">
        <f t="shared" ref="Q706" si="1055">SUM(Q700:Q705)</f>
        <v>1295</v>
      </c>
      <c r="R706" s="32">
        <f t="shared" ref="R706" si="1056">SUM(R700:R705)</f>
        <v>325</v>
      </c>
      <c r="S706" s="19">
        <f t="shared" ref="S706" si="1057">SUM(S700:S705)</f>
        <v>454</v>
      </c>
      <c r="T706" s="42">
        <f t="shared" ref="T706" si="1058">SUM(T700:T705)</f>
        <v>779</v>
      </c>
      <c r="U706" s="32">
        <f t="shared" ref="U706" si="1059">SUM(U700:U705)</f>
        <v>290</v>
      </c>
      <c r="V706" s="19">
        <f t="shared" ref="V706" si="1060">SUM(V700:V705)</f>
        <v>375</v>
      </c>
      <c r="W706" s="42">
        <f t="shared" ref="W706" si="1061">SUM(W700:W705)</f>
        <v>665</v>
      </c>
      <c r="X706" s="13">
        <f t="shared" ref="X706" si="1062">SUM(X700:X705)</f>
        <v>2739</v>
      </c>
    </row>
    <row r="707" spans="2:25" x14ac:dyDescent="0.15">
      <c r="B707" s="7" t="s">
        <v>12</v>
      </c>
      <c r="C707" s="30"/>
      <c r="D707" s="25"/>
      <c r="E707" s="43">
        <f t="shared" si="1049"/>
        <v>0</v>
      </c>
      <c r="F707" s="35"/>
      <c r="G707" s="8"/>
      <c r="H707" s="43">
        <f t="shared" si="1038"/>
        <v>0</v>
      </c>
      <c r="I707" s="35">
        <v>1</v>
      </c>
      <c r="J707" s="8"/>
      <c r="K707" s="43">
        <f t="shared" si="1039"/>
        <v>1</v>
      </c>
      <c r="L707" s="8">
        <f t="shared" si="1040"/>
        <v>1</v>
      </c>
      <c r="M707" s="53">
        <v>45793</v>
      </c>
      <c r="N707" s="7" t="s">
        <v>402</v>
      </c>
      <c r="O707" s="30">
        <v>40</v>
      </c>
      <c r="P707" s="25">
        <v>40</v>
      </c>
      <c r="Q707" s="43">
        <f t="shared" si="1050"/>
        <v>80</v>
      </c>
      <c r="R707" s="35"/>
      <c r="S707" s="8"/>
      <c r="T707" s="43">
        <f t="shared" si="1051"/>
        <v>0</v>
      </c>
      <c r="U707" s="35"/>
      <c r="V707" s="8"/>
      <c r="W707" s="43">
        <f t="shared" si="1052"/>
        <v>0</v>
      </c>
      <c r="X707" s="8">
        <f t="shared" si="1053"/>
        <v>80</v>
      </c>
      <c r="Y707" s="53">
        <v>45806</v>
      </c>
    </row>
    <row r="708" spans="2:25" x14ac:dyDescent="0.15">
      <c r="B708" s="7" t="s">
        <v>62</v>
      </c>
      <c r="C708" s="30">
        <v>2</v>
      </c>
      <c r="D708" s="25"/>
      <c r="E708" s="43">
        <f t="shared" si="1049"/>
        <v>2</v>
      </c>
      <c r="F708" s="35"/>
      <c r="G708" s="8"/>
      <c r="H708" s="43">
        <f t="shared" si="1038"/>
        <v>0</v>
      </c>
      <c r="I708" s="35"/>
      <c r="J708" s="8">
        <v>1</v>
      </c>
      <c r="K708" s="43">
        <f t="shared" si="1039"/>
        <v>1</v>
      </c>
      <c r="L708" s="8">
        <f t="shared" si="1040"/>
        <v>3</v>
      </c>
      <c r="M708" s="53">
        <v>45798</v>
      </c>
      <c r="N708" s="7" t="s">
        <v>28</v>
      </c>
      <c r="O708" s="30">
        <v>10</v>
      </c>
      <c r="P708" s="25">
        <v>1</v>
      </c>
      <c r="Q708" s="40">
        <f t="shared" si="1050"/>
        <v>11</v>
      </c>
      <c r="R708" s="35">
        <v>7</v>
      </c>
      <c r="S708" s="8">
        <v>6</v>
      </c>
      <c r="T708" s="40">
        <f t="shared" si="1051"/>
        <v>13</v>
      </c>
      <c r="U708" s="35">
        <v>11</v>
      </c>
      <c r="V708" s="8">
        <v>10</v>
      </c>
      <c r="W708" s="43">
        <f t="shared" si="1052"/>
        <v>21</v>
      </c>
      <c r="X708" s="8">
        <f t="shared" si="1053"/>
        <v>45</v>
      </c>
      <c r="Y708" s="53">
        <v>45803</v>
      </c>
    </row>
    <row r="709" spans="2:25" x14ac:dyDescent="0.15">
      <c r="B709" s="7" t="s">
        <v>12</v>
      </c>
      <c r="C709" s="30">
        <v>2</v>
      </c>
      <c r="D709" s="25"/>
      <c r="E709" s="43">
        <f t="shared" si="1049"/>
        <v>2</v>
      </c>
      <c r="F709" s="35">
        <v>1</v>
      </c>
      <c r="G709" s="8">
        <v>1</v>
      </c>
      <c r="H709" s="43">
        <f t="shared" si="1038"/>
        <v>2</v>
      </c>
      <c r="I709" s="35"/>
      <c r="J709" s="8">
        <v>1</v>
      </c>
      <c r="K709" s="43">
        <f t="shared" si="1039"/>
        <v>1</v>
      </c>
      <c r="L709" s="8">
        <f t="shared" si="1040"/>
        <v>5</v>
      </c>
      <c r="M709" s="53">
        <v>45796</v>
      </c>
      <c r="N709" s="7" t="s">
        <v>405</v>
      </c>
      <c r="O709" s="30"/>
      <c r="P709" s="25"/>
      <c r="Q709" s="43">
        <f t="shared" si="1050"/>
        <v>0</v>
      </c>
      <c r="R709" s="35"/>
      <c r="S709" s="8"/>
      <c r="T709" s="43">
        <f t="shared" si="1051"/>
        <v>0</v>
      </c>
      <c r="U709" s="35"/>
      <c r="V709" s="8">
        <v>1</v>
      </c>
      <c r="W709" s="43">
        <f t="shared" si="1052"/>
        <v>1</v>
      </c>
      <c r="X709" s="8">
        <f t="shared" si="1053"/>
        <v>1</v>
      </c>
      <c r="Y709" s="53">
        <v>45807</v>
      </c>
    </row>
    <row r="710" spans="2:25" x14ac:dyDescent="0.15">
      <c r="B710" s="7" t="s">
        <v>12</v>
      </c>
      <c r="C710" s="30"/>
      <c r="D710" s="25"/>
      <c r="E710" s="43">
        <f t="shared" si="1049"/>
        <v>0</v>
      </c>
      <c r="F710" s="35"/>
      <c r="G710" s="8"/>
      <c r="H710" s="43">
        <f t="shared" si="1038"/>
        <v>0</v>
      </c>
      <c r="I710" s="35"/>
      <c r="J710" s="8">
        <v>1</v>
      </c>
      <c r="K710" s="43">
        <f t="shared" si="1039"/>
        <v>1</v>
      </c>
      <c r="L710" s="8">
        <f t="shared" si="1040"/>
        <v>1</v>
      </c>
      <c r="M710" s="53">
        <v>45797</v>
      </c>
      <c r="N710" s="7" t="s">
        <v>420</v>
      </c>
      <c r="O710" s="30">
        <v>3</v>
      </c>
      <c r="P710" s="25"/>
      <c r="Q710" s="43">
        <f t="shared" si="1050"/>
        <v>3</v>
      </c>
      <c r="R710" s="35">
        <v>1</v>
      </c>
      <c r="S710" s="8">
        <v>2</v>
      </c>
      <c r="T710" s="43">
        <f t="shared" si="1051"/>
        <v>3</v>
      </c>
      <c r="U710" s="35"/>
      <c r="V710" s="8">
        <v>3</v>
      </c>
      <c r="W710" s="43">
        <f t="shared" si="1052"/>
        <v>3</v>
      </c>
      <c r="X710" s="8">
        <f t="shared" si="1053"/>
        <v>9</v>
      </c>
      <c r="Y710" s="53">
        <v>45814</v>
      </c>
    </row>
    <row r="711" spans="2:25" x14ac:dyDescent="0.15">
      <c r="B711" s="7" t="s">
        <v>12</v>
      </c>
      <c r="C711" s="30"/>
      <c r="D711" s="25"/>
      <c r="E711" s="43">
        <f t="shared" si="1049"/>
        <v>0</v>
      </c>
      <c r="F711" s="35"/>
      <c r="G711" s="8"/>
      <c r="H711" s="43">
        <f t="shared" si="1038"/>
        <v>0</v>
      </c>
      <c r="I711" s="35">
        <v>1</v>
      </c>
      <c r="J711" s="8">
        <v>1</v>
      </c>
      <c r="K711" s="43">
        <f t="shared" si="1039"/>
        <v>2</v>
      </c>
      <c r="L711" s="8">
        <f t="shared" si="1040"/>
        <v>2</v>
      </c>
      <c r="M711" s="53">
        <v>45798</v>
      </c>
      <c r="N711" s="7" t="s">
        <v>421</v>
      </c>
      <c r="O711" s="30">
        <v>10</v>
      </c>
      <c r="P711" s="25"/>
      <c r="Q711" s="43">
        <f t="shared" si="1050"/>
        <v>10</v>
      </c>
      <c r="R711" s="35"/>
      <c r="S711" s="8"/>
      <c r="T711" s="43">
        <f t="shared" si="1051"/>
        <v>0</v>
      </c>
      <c r="U711" s="35"/>
      <c r="V711" s="8"/>
      <c r="W711" s="43">
        <f t="shared" si="1052"/>
        <v>0</v>
      </c>
      <c r="X711" s="8">
        <f t="shared" si="1053"/>
        <v>10</v>
      </c>
      <c r="Y711" s="53">
        <v>45813</v>
      </c>
    </row>
    <row r="712" spans="2:25" x14ac:dyDescent="0.15">
      <c r="B712" s="7" t="s">
        <v>65</v>
      </c>
      <c r="C712" s="30"/>
      <c r="D712" s="25"/>
      <c r="E712" s="43">
        <f t="shared" si="1049"/>
        <v>0</v>
      </c>
      <c r="F712" s="35"/>
      <c r="G712" s="8"/>
      <c r="H712" s="43">
        <f t="shared" si="1038"/>
        <v>0</v>
      </c>
      <c r="I712" s="35">
        <v>1</v>
      </c>
      <c r="J712" s="8"/>
      <c r="K712" s="43">
        <f t="shared" si="1039"/>
        <v>1</v>
      </c>
      <c r="L712" s="8">
        <f t="shared" si="1040"/>
        <v>1</v>
      </c>
      <c r="M712" s="53">
        <v>45800</v>
      </c>
      <c r="N712" s="7" t="s">
        <v>429</v>
      </c>
      <c r="O712" s="30">
        <v>30</v>
      </c>
      <c r="P712" s="25">
        <v>35</v>
      </c>
      <c r="Q712" s="43">
        <f t="shared" si="1050"/>
        <v>65</v>
      </c>
      <c r="R712" s="35">
        <v>35</v>
      </c>
      <c r="S712" s="8">
        <v>35</v>
      </c>
      <c r="T712" s="43">
        <f t="shared" si="1051"/>
        <v>70</v>
      </c>
      <c r="U712" s="35">
        <v>25</v>
      </c>
      <c r="V712" s="8">
        <v>25</v>
      </c>
      <c r="W712" s="43">
        <f t="shared" si="1052"/>
        <v>50</v>
      </c>
      <c r="X712" s="8">
        <f t="shared" si="1053"/>
        <v>185</v>
      </c>
      <c r="Y712" s="53">
        <v>45820</v>
      </c>
    </row>
    <row r="713" spans="2:25" x14ac:dyDescent="0.15">
      <c r="B713" s="7" t="s">
        <v>12</v>
      </c>
      <c r="C713" s="30"/>
      <c r="D713" s="25"/>
      <c r="E713" s="43">
        <f t="shared" si="1049"/>
        <v>0</v>
      </c>
      <c r="F713" s="35">
        <v>1</v>
      </c>
      <c r="G713" s="8"/>
      <c r="H713" s="43">
        <f t="shared" si="1038"/>
        <v>1</v>
      </c>
      <c r="I713" s="35"/>
      <c r="J713" s="8">
        <v>2</v>
      </c>
      <c r="K713" s="43">
        <f t="shared" si="1039"/>
        <v>2</v>
      </c>
      <c r="L713" s="8">
        <f t="shared" si="1040"/>
        <v>3</v>
      </c>
      <c r="M713" s="53">
        <v>45797</v>
      </c>
      <c r="N713" s="7" t="s">
        <v>28</v>
      </c>
      <c r="O713" s="30"/>
      <c r="P713" s="25"/>
      <c r="Q713" s="43">
        <f t="shared" si="1050"/>
        <v>0</v>
      </c>
      <c r="R713" s="35"/>
      <c r="S713" s="8">
        <v>6</v>
      </c>
      <c r="T713" s="43">
        <f t="shared" si="1051"/>
        <v>6</v>
      </c>
      <c r="U713" s="35">
        <v>15</v>
      </c>
      <c r="V713" s="8">
        <v>14</v>
      </c>
      <c r="W713" s="43">
        <f t="shared" si="1052"/>
        <v>29</v>
      </c>
      <c r="X713" s="8">
        <f t="shared" si="1053"/>
        <v>35</v>
      </c>
      <c r="Y713" s="53">
        <v>45815</v>
      </c>
    </row>
    <row r="714" spans="2:25" x14ac:dyDescent="0.15">
      <c r="B714" s="7" t="s">
        <v>67</v>
      </c>
      <c r="C714" s="30"/>
      <c r="D714" s="25"/>
      <c r="E714" s="43">
        <f t="shared" si="1049"/>
        <v>0</v>
      </c>
      <c r="F714" s="35"/>
      <c r="G714" s="8"/>
      <c r="H714" s="43">
        <f t="shared" si="1038"/>
        <v>0</v>
      </c>
      <c r="I714" s="35">
        <v>1</v>
      </c>
      <c r="J714" s="8"/>
      <c r="K714" s="43">
        <f t="shared" si="1039"/>
        <v>1</v>
      </c>
      <c r="L714" s="8">
        <f t="shared" si="1040"/>
        <v>1</v>
      </c>
      <c r="M714" s="53">
        <v>45803</v>
      </c>
      <c r="N714" s="7" t="s">
        <v>424</v>
      </c>
      <c r="O714" s="30"/>
      <c r="P714" s="25"/>
      <c r="Q714" s="43">
        <f t="shared" ref="Q714:Q715" si="1063">SUM(O714:P714)</f>
        <v>0</v>
      </c>
      <c r="R714" s="35">
        <v>1</v>
      </c>
      <c r="S714" s="8">
        <v>1</v>
      </c>
      <c r="T714" s="43">
        <f t="shared" ref="T714:T715" si="1064">SUM(R714:S714)</f>
        <v>2</v>
      </c>
      <c r="U714" s="35"/>
      <c r="V714" s="8">
        <v>1</v>
      </c>
      <c r="W714" s="43">
        <f t="shared" ref="W714:W715" si="1065">SUM(U714:V714)</f>
        <v>1</v>
      </c>
      <c r="X714" s="8">
        <f t="shared" ref="X714:X715" si="1066">SUM(W714,T714,Q714)</f>
        <v>3</v>
      </c>
      <c r="Y714" s="53">
        <v>45821</v>
      </c>
    </row>
    <row r="715" spans="2:25" x14ac:dyDescent="0.15">
      <c r="B715" s="7" t="s">
        <v>12</v>
      </c>
      <c r="C715" s="30">
        <f>4+1</f>
        <v>5</v>
      </c>
      <c r="D715" s="25"/>
      <c r="E715" s="43">
        <f t="shared" si="1049"/>
        <v>5</v>
      </c>
      <c r="F715" s="35">
        <v>1</v>
      </c>
      <c r="G715" s="8">
        <v>1</v>
      </c>
      <c r="H715" s="43">
        <f t="shared" si="1038"/>
        <v>2</v>
      </c>
      <c r="I715" s="35"/>
      <c r="J715" s="8"/>
      <c r="K715" s="43">
        <f t="shared" si="1039"/>
        <v>0</v>
      </c>
      <c r="L715" s="8">
        <f t="shared" si="1040"/>
        <v>7</v>
      </c>
      <c r="M715" s="53">
        <v>45803</v>
      </c>
      <c r="N715" s="7" t="s">
        <v>425</v>
      </c>
      <c r="O715" s="30"/>
      <c r="P715" s="25">
        <v>60</v>
      </c>
      <c r="Q715" s="43">
        <f t="shared" si="1063"/>
        <v>60</v>
      </c>
      <c r="R715" s="35"/>
      <c r="S715" s="8"/>
      <c r="T715" s="43">
        <f t="shared" si="1064"/>
        <v>0</v>
      </c>
      <c r="U715" s="35"/>
      <c r="V715" s="8"/>
      <c r="W715" s="43">
        <f t="shared" si="1065"/>
        <v>0</v>
      </c>
      <c r="X715" s="8">
        <f t="shared" si="1066"/>
        <v>60</v>
      </c>
      <c r="Y715" s="53">
        <v>45820</v>
      </c>
    </row>
    <row r="716" spans="2:25" x14ac:dyDescent="0.15">
      <c r="B716" s="7" t="s">
        <v>12</v>
      </c>
      <c r="C716" s="30"/>
      <c r="D716" s="25"/>
      <c r="E716" s="43">
        <f t="shared" ref="E716:E717" si="1067">SUM(C716:D716)</f>
        <v>0</v>
      </c>
      <c r="F716" s="35">
        <v>1</v>
      </c>
      <c r="G716" s="8"/>
      <c r="H716" s="43">
        <f t="shared" ref="H716:H717" si="1068">SUM(F716:G716)</f>
        <v>1</v>
      </c>
      <c r="I716" s="35"/>
      <c r="J716" s="8">
        <v>1</v>
      </c>
      <c r="K716" s="43">
        <f t="shared" ref="K716:K717" si="1069">SUM(I716:J716)</f>
        <v>1</v>
      </c>
      <c r="L716" s="8">
        <f t="shared" ref="L716:L717" si="1070">SUM(K716,H716,E716)</f>
        <v>2</v>
      </c>
      <c r="M716" s="53">
        <v>45804</v>
      </c>
      <c r="N716" s="7" t="s">
        <v>428</v>
      </c>
      <c r="O716" s="30">
        <v>50</v>
      </c>
      <c r="P716" s="25">
        <v>30</v>
      </c>
      <c r="Q716" s="43">
        <f t="shared" si="1050"/>
        <v>80</v>
      </c>
      <c r="R716" s="35"/>
      <c r="S716" s="8"/>
      <c r="T716" s="43">
        <f t="shared" si="1051"/>
        <v>0</v>
      </c>
      <c r="U716" s="35"/>
      <c r="V716" s="8"/>
      <c r="W716" s="43">
        <f t="shared" si="1052"/>
        <v>0</v>
      </c>
      <c r="X716" s="8">
        <f t="shared" si="1053"/>
        <v>80</v>
      </c>
      <c r="Y716" s="53">
        <v>45821</v>
      </c>
    </row>
    <row r="717" spans="2:25" x14ac:dyDescent="0.15">
      <c r="B717" s="7" t="s">
        <v>12</v>
      </c>
      <c r="C717" s="30"/>
      <c r="D717" s="25"/>
      <c r="E717" s="43">
        <f t="shared" si="1067"/>
        <v>0</v>
      </c>
      <c r="F717" s="35">
        <v>1</v>
      </c>
      <c r="G717" s="8"/>
      <c r="H717" s="43">
        <f t="shared" si="1068"/>
        <v>1</v>
      </c>
      <c r="I717" s="35"/>
      <c r="J717" s="8"/>
      <c r="K717" s="43">
        <f t="shared" si="1069"/>
        <v>0</v>
      </c>
      <c r="L717" s="8">
        <f t="shared" si="1070"/>
        <v>1</v>
      </c>
      <c r="M717" s="53">
        <v>45807</v>
      </c>
      <c r="N717" s="7" t="s">
        <v>430</v>
      </c>
      <c r="O717" s="30"/>
      <c r="P717" s="25">
        <v>3</v>
      </c>
      <c r="Q717" s="43">
        <f t="shared" si="1050"/>
        <v>3</v>
      </c>
      <c r="R717" s="35">
        <v>3</v>
      </c>
      <c r="S717" s="8">
        <v>2</v>
      </c>
      <c r="T717" s="43">
        <f t="shared" si="1051"/>
        <v>5</v>
      </c>
      <c r="U717" s="35">
        <v>2</v>
      </c>
      <c r="V717" s="8">
        <v>1</v>
      </c>
      <c r="W717" s="43">
        <f t="shared" si="1052"/>
        <v>3</v>
      </c>
      <c r="X717" s="8">
        <f t="shared" si="1053"/>
        <v>11</v>
      </c>
      <c r="Y717" s="53">
        <v>45828</v>
      </c>
    </row>
    <row r="718" spans="2:25" x14ac:dyDescent="0.15">
      <c r="B718" s="7" t="s">
        <v>12</v>
      </c>
      <c r="C718" s="30"/>
      <c r="D718" s="25"/>
      <c r="E718" s="43">
        <f t="shared" si="1049"/>
        <v>0</v>
      </c>
      <c r="F718" s="35">
        <v>1</v>
      </c>
      <c r="G718" s="8">
        <v>1</v>
      </c>
      <c r="H718" s="43">
        <f t="shared" si="1038"/>
        <v>2</v>
      </c>
      <c r="I718" s="35"/>
      <c r="J718" s="8">
        <v>2</v>
      </c>
      <c r="K718" s="43">
        <f t="shared" si="1039"/>
        <v>2</v>
      </c>
      <c r="L718" s="8">
        <f t="shared" si="1040"/>
        <v>4</v>
      </c>
      <c r="M718" s="53">
        <v>45808</v>
      </c>
      <c r="N718" s="7" t="s">
        <v>28</v>
      </c>
      <c r="O718" s="30">
        <v>7</v>
      </c>
      <c r="P718" s="25"/>
      <c r="Q718" s="43">
        <f t="shared" ref="Q718" si="1071">SUM(O718:P718)</f>
        <v>7</v>
      </c>
      <c r="R718" s="35">
        <v>10</v>
      </c>
      <c r="S718" s="8">
        <v>5</v>
      </c>
      <c r="T718" s="43">
        <f t="shared" si="1051"/>
        <v>15</v>
      </c>
      <c r="U718" s="35"/>
      <c r="V718" s="8"/>
      <c r="W718" s="43">
        <f t="shared" si="1052"/>
        <v>0</v>
      </c>
      <c r="X718" s="8">
        <f t="shared" si="1053"/>
        <v>22</v>
      </c>
      <c r="Y718" s="53">
        <v>45827</v>
      </c>
    </row>
    <row r="719" spans="2:25" x14ac:dyDescent="0.15">
      <c r="B719" s="7" t="s">
        <v>12</v>
      </c>
      <c r="C719" s="30"/>
      <c r="D719" s="25"/>
      <c r="E719" s="43">
        <f t="shared" si="1049"/>
        <v>0</v>
      </c>
      <c r="F719" s="35">
        <v>1</v>
      </c>
      <c r="G719" s="8">
        <v>1</v>
      </c>
      <c r="H719" s="43">
        <f t="shared" si="1038"/>
        <v>2</v>
      </c>
      <c r="I719" s="35"/>
      <c r="J719" s="8"/>
      <c r="K719" s="43">
        <f t="shared" si="1039"/>
        <v>0</v>
      </c>
      <c r="L719" s="8">
        <f t="shared" si="1040"/>
        <v>2</v>
      </c>
      <c r="M719" s="53">
        <v>45810</v>
      </c>
      <c r="N719" s="7" t="s">
        <v>437</v>
      </c>
      <c r="O719" s="30">
        <v>3</v>
      </c>
      <c r="P719" s="25"/>
      <c r="Q719" s="43">
        <f t="shared" si="1050"/>
        <v>3</v>
      </c>
      <c r="R719" s="35">
        <v>2</v>
      </c>
      <c r="S719" s="8">
        <v>4</v>
      </c>
      <c r="T719" s="43">
        <f t="shared" si="1051"/>
        <v>6</v>
      </c>
      <c r="U719" s="35">
        <v>2</v>
      </c>
      <c r="V719" s="8">
        <v>4</v>
      </c>
      <c r="W719" s="43">
        <f t="shared" si="1052"/>
        <v>6</v>
      </c>
      <c r="X719" s="8">
        <f t="shared" si="1053"/>
        <v>15</v>
      </c>
      <c r="Y719" s="53">
        <v>45835</v>
      </c>
    </row>
    <row r="720" spans="2:25" x14ac:dyDescent="0.15">
      <c r="B720" s="7" t="s">
        <v>12</v>
      </c>
      <c r="C720" s="33">
        <v>1</v>
      </c>
      <c r="D720" s="27">
        <v>1</v>
      </c>
      <c r="E720" s="43">
        <f t="shared" si="1049"/>
        <v>2</v>
      </c>
      <c r="F720" s="37">
        <v>1</v>
      </c>
      <c r="G720" s="10"/>
      <c r="H720" s="43">
        <f t="shared" si="1038"/>
        <v>1</v>
      </c>
      <c r="I720" s="37"/>
      <c r="J720" s="10"/>
      <c r="K720" s="43">
        <f t="shared" si="1039"/>
        <v>0</v>
      </c>
      <c r="L720" s="8">
        <f t="shared" si="1040"/>
        <v>3</v>
      </c>
      <c r="M720" s="53">
        <v>45811</v>
      </c>
      <c r="N720" s="7" t="s">
        <v>440</v>
      </c>
      <c r="O720" s="30">
        <v>200</v>
      </c>
      <c r="P720" s="25">
        <v>200</v>
      </c>
      <c r="Q720" s="43">
        <f t="shared" si="1050"/>
        <v>400</v>
      </c>
      <c r="R720" s="35">
        <v>185</v>
      </c>
      <c r="S720" s="8">
        <v>205</v>
      </c>
      <c r="T720" s="43">
        <f t="shared" si="1051"/>
        <v>390</v>
      </c>
      <c r="U720" s="35">
        <v>125</v>
      </c>
      <c r="V720" s="8">
        <v>125</v>
      </c>
      <c r="W720" s="43">
        <f t="shared" si="1052"/>
        <v>250</v>
      </c>
      <c r="X720" s="8">
        <f t="shared" si="1053"/>
        <v>1040</v>
      </c>
      <c r="Y720" s="53">
        <v>45834</v>
      </c>
    </row>
    <row r="721" spans="2:25" x14ac:dyDescent="0.15">
      <c r="B721" s="7" t="s">
        <v>12</v>
      </c>
      <c r="C721" s="30"/>
      <c r="D721" s="25"/>
      <c r="E721" s="43">
        <f t="shared" si="1049"/>
        <v>0</v>
      </c>
      <c r="F721" s="35"/>
      <c r="G721" s="8">
        <v>1</v>
      </c>
      <c r="H721" s="43">
        <f t="shared" si="1038"/>
        <v>1</v>
      </c>
      <c r="I721" s="35">
        <v>2</v>
      </c>
      <c r="J721" s="8"/>
      <c r="K721" s="43">
        <f t="shared" si="1039"/>
        <v>2</v>
      </c>
      <c r="L721" s="8">
        <f t="shared" si="1040"/>
        <v>3</v>
      </c>
      <c r="M721" s="53">
        <v>45812</v>
      </c>
      <c r="N721" s="7" t="s">
        <v>441</v>
      </c>
      <c r="O721" s="30">
        <v>50</v>
      </c>
      <c r="P721" s="25"/>
      <c r="Q721" s="43">
        <f t="shared" si="1050"/>
        <v>50</v>
      </c>
      <c r="R721" s="35"/>
      <c r="S721" s="8"/>
      <c r="T721" s="43">
        <f t="shared" si="1051"/>
        <v>0</v>
      </c>
      <c r="U721" s="35">
        <v>20</v>
      </c>
      <c r="V721" s="8">
        <v>60</v>
      </c>
      <c r="W721" s="43">
        <f t="shared" si="1052"/>
        <v>80</v>
      </c>
      <c r="X721" s="8">
        <f t="shared" si="1053"/>
        <v>130</v>
      </c>
      <c r="Y721" s="53">
        <v>45835</v>
      </c>
    </row>
    <row r="722" spans="2:25" x14ac:dyDescent="0.15">
      <c r="B722" s="7" t="s">
        <v>68</v>
      </c>
      <c r="C722" s="30"/>
      <c r="D722" s="25"/>
      <c r="E722" s="43">
        <f t="shared" si="1049"/>
        <v>0</v>
      </c>
      <c r="F722" s="35"/>
      <c r="G722" s="8"/>
      <c r="H722" s="43">
        <f t="shared" si="1038"/>
        <v>0</v>
      </c>
      <c r="I722" s="35">
        <v>2</v>
      </c>
      <c r="J722" s="8"/>
      <c r="K722" s="43">
        <f t="shared" si="1039"/>
        <v>2</v>
      </c>
      <c r="L722" s="8">
        <f t="shared" si="1040"/>
        <v>2</v>
      </c>
      <c r="M722" s="53">
        <v>45814</v>
      </c>
      <c r="N722" s="7" t="s">
        <v>438</v>
      </c>
      <c r="O722" s="30">
        <v>8</v>
      </c>
      <c r="P722" s="25">
        <v>5</v>
      </c>
      <c r="Q722" s="43">
        <f t="shared" si="1050"/>
        <v>13</v>
      </c>
      <c r="R722" s="35">
        <v>10</v>
      </c>
      <c r="S722" s="8">
        <v>8</v>
      </c>
      <c r="T722" s="43">
        <f t="shared" si="1051"/>
        <v>18</v>
      </c>
      <c r="U722" s="35"/>
      <c r="V722" s="8">
        <v>5</v>
      </c>
      <c r="W722" s="43">
        <f t="shared" si="1052"/>
        <v>5</v>
      </c>
      <c r="X722" s="8">
        <f t="shared" si="1053"/>
        <v>36</v>
      </c>
      <c r="Y722" s="53">
        <v>45838</v>
      </c>
    </row>
    <row r="723" spans="2:25" x14ac:dyDescent="0.15">
      <c r="B723" s="7" t="s">
        <v>12</v>
      </c>
      <c r="C723" s="30"/>
      <c r="D723" s="25">
        <v>1</v>
      </c>
      <c r="E723" s="43">
        <f t="shared" si="1049"/>
        <v>1</v>
      </c>
      <c r="F723" s="35">
        <v>1</v>
      </c>
      <c r="G723" s="8">
        <v>1</v>
      </c>
      <c r="H723" s="43">
        <f t="shared" si="1038"/>
        <v>2</v>
      </c>
      <c r="I723" s="35">
        <v>1</v>
      </c>
      <c r="J723" s="8">
        <v>1</v>
      </c>
      <c r="K723" s="43">
        <f t="shared" si="1039"/>
        <v>2</v>
      </c>
      <c r="L723" s="8">
        <f t="shared" si="1040"/>
        <v>5</v>
      </c>
      <c r="M723" s="53">
        <v>45814</v>
      </c>
      <c r="N723" s="7" t="s">
        <v>445</v>
      </c>
      <c r="O723" s="30"/>
      <c r="P723" s="25">
        <v>20</v>
      </c>
      <c r="Q723" s="43">
        <f t="shared" si="1050"/>
        <v>20</v>
      </c>
      <c r="R723" s="35"/>
      <c r="S723" s="8"/>
      <c r="T723" s="43">
        <f t="shared" si="1051"/>
        <v>0</v>
      </c>
      <c r="U723" s="35"/>
      <c r="V723" s="8"/>
      <c r="W723" s="43">
        <f t="shared" si="1052"/>
        <v>0</v>
      </c>
      <c r="X723" s="8">
        <f t="shared" si="1053"/>
        <v>20</v>
      </c>
      <c r="Y723" s="53">
        <v>45836</v>
      </c>
    </row>
    <row r="724" spans="2:25" x14ac:dyDescent="0.15">
      <c r="B724" s="7" t="s">
        <v>422</v>
      </c>
      <c r="C724" s="33"/>
      <c r="D724" s="27"/>
      <c r="E724" s="43">
        <f t="shared" si="1049"/>
        <v>0</v>
      </c>
      <c r="F724" s="37"/>
      <c r="G724" s="10"/>
      <c r="H724" s="43">
        <f t="shared" si="1038"/>
        <v>0</v>
      </c>
      <c r="I724" s="37"/>
      <c r="J724" s="10">
        <v>3</v>
      </c>
      <c r="K724" s="43">
        <f t="shared" si="1039"/>
        <v>3</v>
      </c>
      <c r="L724" s="8">
        <f t="shared" si="1040"/>
        <v>3</v>
      </c>
      <c r="M724" s="53">
        <v>45814</v>
      </c>
      <c r="N724" s="7" t="s">
        <v>28</v>
      </c>
      <c r="O724" s="30"/>
      <c r="P724" s="25">
        <v>10</v>
      </c>
      <c r="Q724" s="43">
        <f t="shared" si="1050"/>
        <v>10</v>
      </c>
      <c r="R724" s="35"/>
      <c r="S724" s="8">
        <v>5</v>
      </c>
      <c r="T724" s="43">
        <f t="shared" si="1051"/>
        <v>5</v>
      </c>
      <c r="U724" s="35"/>
      <c r="V724" s="8">
        <v>10</v>
      </c>
      <c r="W724" s="43">
        <f t="shared" si="1052"/>
        <v>10</v>
      </c>
      <c r="X724" s="8">
        <f t="shared" si="1053"/>
        <v>25</v>
      </c>
      <c r="Y724" s="53">
        <v>45838</v>
      </c>
    </row>
    <row r="725" spans="2:25" x14ac:dyDescent="0.15">
      <c r="B725" s="7" t="s">
        <v>12</v>
      </c>
      <c r="C725" s="33"/>
      <c r="D725" s="27"/>
      <c r="E725" s="43">
        <f t="shared" si="1049"/>
        <v>0</v>
      </c>
      <c r="F725" s="37"/>
      <c r="G725" s="10">
        <v>1</v>
      </c>
      <c r="H725" s="43">
        <f t="shared" si="1038"/>
        <v>1</v>
      </c>
      <c r="I725" s="37">
        <v>1</v>
      </c>
      <c r="J725" s="10"/>
      <c r="K725" s="43">
        <f t="shared" si="1039"/>
        <v>1</v>
      </c>
      <c r="L725" s="8">
        <f t="shared" si="1040"/>
        <v>2</v>
      </c>
      <c r="M725" s="53">
        <v>45817</v>
      </c>
      <c r="N725" s="7"/>
      <c r="O725" s="33"/>
      <c r="P725" s="27"/>
      <c r="Q725" s="43">
        <f t="shared" si="1050"/>
        <v>0</v>
      </c>
      <c r="R725" s="37"/>
      <c r="S725" s="10"/>
      <c r="T725" s="43">
        <f t="shared" si="1051"/>
        <v>0</v>
      </c>
      <c r="U725" s="37"/>
      <c r="V725" s="10"/>
      <c r="W725" s="43">
        <f t="shared" si="1052"/>
        <v>0</v>
      </c>
      <c r="X725" s="8">
        <f t="shared" si="1053"/>
        <v>0</v>
      </c>
    </row>
    <row r="726" spans="2:25" x14ac:dyDescent="0.15">
      <c r="B726" s="7" t="s">
        <v>12</v>
      </c>
      <c r="C726" s="30"/>
      <c r="D726" s="25"/>
      <c r="E726" s="43">
        <f t="shared" si="1049"/>
        <v>0</v>
      </c>
      <c r="F726" s="35">
        <v>2</v>
      </c>
      <c r="G726" s="8">
        <v>1</v>
      </c>
      <c r="H726" s="43">
        <f t="shared" si="1038"/>
        <v>3</v>
      </c>
      <c r="I726" s="35"/>
      <c r="J726" s="8">
        <v>2</v>
      </c>
      <c r="K726" s="43">
        <f t="shared" si="1039"/>
        <v>2</v>
      </c>
      <c r="L726" s="8">
        <f t="shared" si="1040"/>
        <v>5</v>
      </c>
      <c r="M726" s="53">
        <v>45819</v>
      </c>
      <c r="N726" s="7" t="s">
        <v>369</v>
      </c>
      <c r="O726" s="30"/>
      <c r="P726" s="25"/>
      <c r="Q726" s="43">
        <f t="shared" si="1050"/>
        <v>0</v>
      </c>
      <c r="R726" s="35"/>
      <c r="S726" s="8"/>
      <c r="T726" s="43">
        <f t="shared" si="1051"/>
        <v>0</v>
      </c>
      <c r="U726" s="35"/>
      <c r="V726" s="8"/>
      <c r="W726" s="43">
        <f t="shared" si="1052"/>
        <v>0</v>
      </c>
      <c r="X726" s="8">
        <f t="shared" si="1053"/>
        <v>0</v>
      </c>
      <c r="Y726" s="53" t="s">
        <v>393</v>
      </c>
    </row>
    <row r="727" spans="2:25" x14ac:dyDescent="0.15">
      <c r="B727" s="7" t="s">
        <v>12</v>
      </c>
      <c r="C727" s="30"/>
      <c r="D727" s="25"/>
      <c r="E727" s="43">
        <f t="shared" si="1049"/>
        <v>0</v>
      </c>
      <c r="F727" s="35"/>
      <c r="G727" s="8">
        <v>1</v>
      </c>
      <c r="H727" s="43">
        <f t="shared" si="1038"/>
        <v>1</v>
      </c>
      <c r="I727" s="35"/>
      <c r="J727" s="8"/>
      <c r="K727" s="43">
        <f t="shared" si="1039"/>
        <v>0</v>
      </c>
      <c r="L727" s="8">
        <f t="shared" si="1040"/>
        <v>1</v>
      </c>
      <c r="M727" s="53">
        <v>45820</v>
      </c>
      <c r="N727" s="7" t="s">
        <v>367</v>
      </c>
      <c r="O727" s="30"/>
      <c r="P727" s="25"/>
      <c r="Q727" s="43">
        <f t="shared" si="1050"/>
        <v>0</v>
      </c>
      <c r="R727" s="35"/>
      <c r="S727" s="8"/>
      <c r="T727" s="43">
        <f t="shared" si="1051"/>
        <v>0</v>
      </c>
      <c r="U727" s="35"/>
      <c r="V727" s="8"/>
      <c r="W727" s="43">
        <f t="shared" si="1052"/>
        <v>0</v>
      </c>
      <c r="X727" s="8">
        <f t="shared" si="1053"/>
        <v>0</v>
      </c>
      <c r="Y727" s="52" t="s">
        <v>368</v>
      </c>
    </row>
    <row r="728" spans="2:25" x14ac:dyDescent="0.15">
      <c r="B728" s="7" t="s">
        <v>12</v>
      </c>
      <c r="C728" s="30"/>
      <c r="D728" s="25"/>
      <c r="E728" s="43">
        <f t="shared" si="1049"/>
        <v>0</v>
      </c>
      <c r="F728" s="35"/>
      <c r="G728" s="8"/>
      <c r="H728" s="43">
        <f t="shared" si="1038"/>
        <v>0</v>
      </c>
      <c r="I728" s="35"/>
      <c r="J728" s="8">
        <v>2</v>
      </c>
      <c r="K728" s="43">
        <f t="shared" si="1039"/>
        <v>2</v>
      </c>
      <c r="L728" s="8">
        <f t="shared" si="1040"/>
        <v>2</v>
      </c>
      <c r="M728" s="53">
        <v>45821</v>
      </c>
      <c r="N728" s="115" t="s">
        <v>364</v>
      </c>
      <c r="O728" s="116"/>
      <c r="P728" s="112"/>
      <c r="Q728" s="117">
        <f t="shared" si="1050"/>
        <v>0</v>
      </c>
      <c r="R728" s="140"/>
      <c r="S728" s="141"/>
      <c r="T728" s="117">
        <f t="shared" si="1051"/>
        <v>0</v>
      </c>
      <c r="U728" s="140"/>
      <c r="V728" s="141"/>
      <c r="W728" s="117">
        <f t="shared" si="1052"/>
        <v>0</v>
      </c>
      <c r="X728" s="119">
        <f t="shared" si="1053"/>
        <v>0</v>
      </c>
    </row>
    <row r="729" spans="2:25" x14ac:dyDescent="0.15">
      <c r="B729" s="7" t="s">
        <v>12</v>
      </c>
      <c r="C729" s="30"/>
      <c r="D729" s="25">
        <v>1</v>
      </c>
      <c r="E729" s="43">
        <f t="shared" si="1049"/>
        <v>1</v>
      </c>
      <c r="F729" s="35"/>
      <c r="G729" s="8"/>
      <c r="H729" s="43">
        <f t="shared" si="1038"/>
        <v>0</v>
      </c>
      <c r="I729" s="35"/>
      <c r="J729" s="8">
        <v>1</v>
      </c>
      <c r="K729" s="43">
        <f t="shared" si="1039"/>
        <v>1</v>
      </c>
      <c r="L729" s="8">
        <f t="shared" si="1040"/>
        <v>2</v>
      </c>
      <c r="M729" s="53">
        <v>45824</v>
      </c>
      <c r="N729" s="7" t="s">
        <v>365</v>
      </c>
      <c r="O729" s="30"/>
      <c r="P729" s="25"/>
      <c r="Q729" s="43">
        <f t="shared" si="1050"/>
        <v>0</v>
      </c>
      <c r="R729" s="142"/>
      <c r="S729" s="143"/>
      <c r="T729" s="117">
        <f t="shared" si="1051"/>
        <v>0</v>
      </c>
      <c r="U729" s="142"/>
      <c r="V729" s="143"/>
      <c r="W729" s="43">
        <f t="shared" si="1052"/>
        <v>0</v>
      </c>
      <c r="X729" s="8">
        <f t="shared" si="1053"/>
        <v>0</v>
      </c>
      <c r="Y729" s="52" t="s">
        <v>366</v>
      </c>
    </row>
    <row r="730" spans="2:25" x14ac:dyDescent="0.15">
      <c r="B730" s="7" t="s">
        <v>69</v>
      </c>
      <c r="C730" s="30">
        <v>4</v>
      </c>
      <c r="D730" s="25">
        <v>5</v>
      </c>
      <c r="E730" s="43">
        <f t="shared" si="1049"/>
        <v>9</v>
      </c>
      <c r="F730" s="35">
        <v>5</v>
      </c>
      <c r="G730" s="8">
        <v>4</v>
      </c>
      <c r="H730" s="43">
        <f t="shared" si="1038"/>
        <v>9</v>
      </c>
      <c r="I730" s="35">
        <v>1</v>
      </c>
      <c r="J730" s="8">
        <v>4</v>
      </c>
      <c r="K730" s="43">
        <f t="shared" si="1039"/>
        <v>5</v>
      </c>
      <c r="L730" s="8">
        <f t="shared" si="1040"/>
        <v>23</v>
      </c>
      <c r="M730" s="53">
        <v>45827</v>
      </c>
      <c r="N730" s="115" t="s">
        <v>377</v>
      </c>
      <c r="O730" s="116"/>
      <c r="P730" s="112"/>
      <c r="Q730" s="117">
        <f t="shared" si="1050"/>
        <v>0</v>
      </c>
      <c r="R730" s="118"/>
      <c r="S730" s="119"/>
      <c r="T730" s="117">
        <f t="shared" si="1051"/>
        <v>0</v>
      </c>
      <c r="U730" s="118"/>
      <c r="V730" s="119"/>
      <c r="W730" s="117">
        <f t="shared" si="1052"/>
        <v>0</v>
      </c>
      <c r="X730" s="119">
        <f t="shared" si="1053"/>
        <v>0</v>
      </c>
    </row>
    <row r="731" spans="2:25" ht="14.25" thickBot="1" x14ac:dyDescent="0.2">
      <c r="B731" s="7" t="s">
        <v>12</v>
      </c>
      <c r="C731" s="30"/>
      <c r="D731" s="25"/>
      <c r="E731" s="43">
        <f t="shared" si="1049"/>
        <v>0</v>
      </c>
      <c r="F731" s="35">
        <v>1</v>
      </c>
      <c r="G731" s="8"/>
      <c r="H731" s="43">
        <f t="shared" si="1038"/>
        <v>1</v>
      </c>
      <c r="I731" s="35"/>
      <c r="J731" s="8"/>
      <c r="K731" s="43">
        <f t="shared" si="1039"/>
        <v>0</v>
      </c>
      <c r="L731" s="8">
        <f t="shared" si="1040"/>
        <v>1</v>
      </c>
      <c r="M731" s="53">
        <v>45825</v>
      </c>
      <c r="N731" s="7" t="s">
        <v>451</v>
      </c>
      <c r="O731" s="30"/>
      <c r="P731" s="25"/>
      <c r="Q731" s="43">
        <f t="shared" si="1050"/>
        <v>0</v>
      </c>
      <c r="R731" s="35"/>
      <c r="S731" s="8"/>
      <c r="T731" s="43">
        <f t="shared" si="1051"/>
        <v>0</v>
      </c>
      <c r="U731" s="35"/>
      <c r="V731" s="8"/>
      <c r="W731" s="43">
        <f t="shared" si="1052"/>
        <v>0</v>
      </c>
      <c r="X731" s="8">
        <f t="shared" si="1053"/>
        <v>0</v>
      </c>
      <c r="Y731" s="52" t="s">
        <v>376</v>
      </c>
    </row>
    <row r="732" spans="2:25" ht="14.25" thickBot="1" x14ac:dyDescent="0.2">
      <c r="B732" s="5" t="s">
        <v>1</v>
      </c>
      <c r="C732" s="32">
        <f>SUM(C707:C731)</f>
        <v>14</v>
      </c>
      <c r="D732" s="19">
        <f>SUM(D707:D731)</f>
        <v>8</v>
      </c>
      <c r="E732" s="44">
        <f t="shared" si="1049"/>
        <v>22</v>
      </c>
      <c r="F732" s="32">
        <f>SUM(F707:F731)</f>
        <v>17</v>
      </c>
      <c r="G732" s="19">
        <f>SUM(G707:G731)</f>
        <v>13</v>
      </c>
      <c r="H732" s="44">
        <f t="shared" si="1038"/>
        <v>30</v>
      </c>
      <c r="I732" s="32">
        <f>SUM(I707:I731)</f>
        <v>11</v>
      </c>
      <c r="J732" s="19">
        <f>SUM(J707:J731)</f>
        <v>22</v>
      </c>
      <c r="K732" s="44">
        <f t="shared" si="1039"/>
        <v>33</v>
      </c>
      <c r="L732" s="4">
        <f t="shared" si="1040"/>
        <v>85</v>
      </c>
      <c r="N732" s="5" t="s">
        <v>1</v>
      </c>
      <c r="O732" s="32">
        <f>SUM(O707:O731)</f>
        <v>411</v>
      </c>
      <c r="P732" s="19">
        <f t="shared" ref="P732" si="1072">SUM(P707:P731)</f>
        <v>404</v>
      </c>
      <c r="Q732" s="44">
        <f t="shared" ref="Q732" si="1073">SUM(Q707:Q731)</f>
        <v>815</v>
      </c>
      <c r="R732" s="32">
        <f t="shared" ref="R732" si="1074">SUM(R707:R731)</f>
        <v>254</v>
      </c>
      <c r="S732" s="19">
        <f t="shared" ref="S732" si="1075">SUM(S707:S731)</f>
        <v>279</v>
      </c>
      <c r="T732" s="44">
        <f t="shared" ref="T732" si="1076">SUM(T707:T731)</f>
        <v>533</v>
      </c>
      <c r="U732" s="32">
        <f t="shared" ref="U732" si="1077">SUM(U707:U731)</f>
        <v>200</v>
      </c>
      <c r="V732" s="19">
        <f t="shared" ref="V732" si="1078">SUM(V707:V731)</f>
        <v>259</v>
      </c>
      <c r="W732" s="44">
        <f t="shared" ref="W732" si="1079">SUM(W707:W731)</f>
        <v>459</v>
      </c>
      <c r="X732" s="4">
        <f t="shared" ref="X732" si="1080">SUM(X707:X731)</f>
        <v>1807</v>
      </c>
    </row>
    <row r="733" spans="2:25" ht="14.25" thickBot="1" x14ac:dyDescent="0.2">
      <c r="B733" s="3" t="s">
        <v>0</v>
      </c>
      <c r="C733" s="34">
        <f>+C706-C732</f>
        <v>10</v>
      </c>
      <c r="D733" s="2">
        <f>+D706-D732</f>
        <v>12</v>
      </c>
      <c r="E733" s="45">
        <f t="shared" si="1049"/>
        <v>22</v>
      </c>
      <c r="F733" s="34">
        <f>+F706-F732</f>
        <v>4</v>
      </c>
      <c r="G733" s="2">
        <f>+G706-G732</f>
        <v>12</v>
      </c>
      <c r="H733" s="45">
        <f t="shared" si="1038"/>
        <v>16</v>
      </c>
      <c r="I733" s="34">
        <f>+I706-I732</f>
        <v>30</v>
      </c>
      <c r="J733" s="2">
        <f>+J706-J732</f>
        <v>17</v>
      </c>
      <c r="K733" s="45">
        <f t="shared" si="1039"/>
        <v>47</v>
      </c>
      <c r="L733" s="2">
        <f t="shared" si="1040"/>
        <v>85</v>
      </c>
      <c r="N733" s="59" t="s">
        <v>0</v>
      </c>
      <c r="O733" s="34">
        <f>+O706-O732</f>
        <v>205</v>
      </c>
      <c r="P733" s="2">
        <f t="shared" ref="P733" si="1081">+P706-P732</f>
        <v>275</v>
      </c>
      <c r="Q733" s="45">
        <f t="shared" ref="Q733" si="1082">+Q706-Q732</f>
        <v>480</v>
      </c>
      <c r="R733" s="34">
        <f t="shared" ref="R733" si="1083">+R706-R732</f>
        <v>71</v>
      </c>
      <c r="S733" s="2">
        <f t="shared" ref="S733" si="1084">+S706-S732</f>
        <v>175</v>
      </c>
      <c r="T733" s="45">
        <f t="shared" ref="T733" si="1085">+T706-T732</f>
        <v>246</v>
      </c>
      <c r="U733" s="34">
        <f t="shared" ref="U733" si="1086">+U706-U732</f>
        <v>90</v>
      </c>
      <c r="V733" s="2">
        <f t="shared" ref="V733" si="1087">+V706-V732</f>
        <v>116</v>
      </c>
      <c r="W733" s="45">
        <f t="shared" ref="W733" si="1088">+W706-W732</f>
        <v>206</v>
      </c>
      <c r="X733" s="2">
        <f t="shared" ref="X733" si="1089">+X706-X732</f>
        <v>932</v>
      </c>
    </row>
    <row r="734" spans="2:25" x14ac:dyDescent="0.15">
      <c r="N734" s="136"/>
      <c r="O734" s="89"/>
      <c r="P734" s="89"/>
      <c r="Q734" s="89"/>
      <c r="R734" s="89"/>
      <c r="S734" s="89"/>
      <c r="T734" s="89"/>
      <c r="U734" s="89"/>
      <c r="V734" s="89"/>
      <c r="W734" s="89"/>
    </row>
    <row r="735" spans="2:25" x14ac:dyDescent="0.15">
      <c r="N735" s="127" t="s">
        <v>415</v>
      </c>
      <c r="O735" s="139">
        <v>265</v>
      </c>
      <c r="P735" s="139">
        <v>242</v>
      </c>
      <c r="Q735" s="139">
        <v>507</v>
      </c>
      <c r="R735" s="139">
        <v>301</v>
      </c>
      <c r="S735" s="139">
        <v>295</v>
      </c>
      <c r="T735" s="139">
        <v>596</v>
      </c>
      <c r="U735" s="139">
        <v>198</v>
      </c>
      <c r="V735" s="139">
        <v>187</v>
      </c>
      <c r="W735" s="139">
        <v>385</v>
      </c>
      <c r="X735" s="139">
        <v>1488</v>
      </c>
    </row>
    <row r="736" spans="2:25" x14ac:dyDescent="0.15">
      <c r="O736" s="86"/>
      <c r="P736" s="86"/>
      <c r="Q736" s="86">
        <v>34.1</v>
      </c>
      <c r="R736" s="86"/>
      <c r="S736" s="86"/>
      <c r="T736" s="86">
        <v>40.1</v>
      </c>
      <c r="U736" s="86"/>
      <c r="V736" s="86"/>
      <c r="W736" s="86">
        <v>25.9</v>
      </c>
      <c r="X736" s="86"/>
    </row>
    <row r="737" spans="2:26" ht="18.75" x14ac:dyDescent="0.2">
      <c r="B737" s="23" t="s">
        <v>11</v>
      </c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N737" s="47" t="s">
        <v>25</v>
      </c>
      <c r="O737" s="48"/>
      <c r="P737" s="48"/>
      <c r="Q737" s="48"/>
      <c r="R737" s="48"/>
      <c r="S737" s="48"/>
      <c r="T737" s="48"/>
      <c r="U737" s="48"/>
      <c r="V737" s="48"/>
      <c r="W737" s="48"/>
      <c r="X737" s="48"/>
    </row>
    <row r="738" spans="2:26" ht="15" thickBot="1" x14ac:dyDescent="0.2">
      <c r="B738" s="22" t="s">
        <v>147</v>
      </c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N738" s="49" t="s">
        <v>148</v>
      </c>
      <c r="O738" s="48"/>
      <c r="P738" s="48"/>
      <c r="Q738" s="48"/>
      <c r="R738" s="48"/>
      <c r="S738" s="48"/>
      <c r="T738" s="48"/>
      <c r="U738" s="48"/>
      <c r="V738" s="48"/>
      <c r="W738" s="48"/>
      <c r="X738" s="48"/>
    </row>
    <row r="739" spans="2:26" ht="14.25" thickBot="1" x14ac:dyDescent="0.2">
      <c r="B739" s="20"/>
      <c r="C739" s="208" t="s">
        <v>9</v>
      </c>
      <c r="D739" s="209"/>
      <c r="E739" s="210"/>
      <c r="F739" s="208" t="s">
        <v>8</v>
      </c>
      <c r="G739" s="209"/>
      <c r="H739" s="210"/>
      <c r="I739" s="208" t="s">
        <v>7</v>
      </c>
      <c r="J739" s="209"/>
      <c r="K739" s="210"/>
      <c r="L739" s="19"/>
      <c r="N739" s="20"/>
      <c r="O739" s="113" t="s">
        <v>9</v>
      </c>
      <c r="P739" s="114"/>
      <c r="Q739" s="123">
        <v>890</v>
      </c>
      <c r="R739" s="113" t="s">
        <v>8</v>
      </c>
      <c r="S739" s="114"/>
      <c r="T739" s="123">
        <v>980</v>
      </c>
      <c r="U739" s="113" t="s">
        <v>7</v>
      </c>
      <c r="V739" s="114"/>
      <c r="W739" s="123">
        <v>1080</v>
      </c>
      <c r="X739" s="19"/>
    </row>
    <row r="740" spans="2:26" ht="14.25" thickBot="1" x14ac:dyDescent="0.2">
      <c r="B740" s="18"/>
      <c r="C740" s="28" t="s">
        <v>6</v>
      </c>
      <c r="D740" s="17" t="s">
        <v>5</v>
      </c>
      <c r="E740" s="38" t="s">
        <v>4</v>
      </c>
      <c r="F740" s="28" t="s">
        <v>6</v>
      </c>
      <c r="G740" s="17" t="s">
        <v>5</v>
      </c>
      <c r="H740" s="38" t="s">
        <v>4</v>
      </c>
      <c r="I740" s="28" t="s">
        <v>6</v>
      </c>
      <c r="J740" s="17" t="s">
        <v>5</v>
      </c>
      <c r="K740" s="38" t="s">
        <v>4</v>
      </c>
      <c r="L740" s="17" t="s">
        <v>4</v>
      </c>
      <c r="N740" s="18"/>
      <c r="O740" s="28" t="s">
        <v>6</v>
      </c>
      <c r="P740" s="17" t="s">
        <v>5</v>
      </c>
      <c r="Q740" s="38" t="s">
        <v>4</v>
      </c>
      <c r="R740" s="28" t="s">
        <v>6</v>
      </c>
      <c r="S740" s="17" t="s">
        <v>5</v>
      </c>
      <c r="T740" s="38" t="s">
        <v>4</v>
      </c>
      <c r="U740" s="28" t="s">
        <v>6</v>
      </c>
      <c r="V740" s="17" t="s">
        <v>5</v>
      </c>
      <c r="W740" s="38" t="s">
        <v>4</v>
      </c>
      <c r="X740" s="17" t="s">
        <v>4</v>
      </c>
    </row>
    <row r="741" spans="2:26" x14ac:dyDescent="0.15">
      <c r="B741" s="66" t="s">
        <v>0</v>
      </c>
      <c r="C741" s="67">
        <f>C733</f>
        <v>10</v>
      </c>
      <c r="D741" s="68">
        <f t="shared" ref="D741:K741" si="1090">D733</f>
        <v>12</v>
      </c>
      <c r="E741" s="69">
        <f t="shared" si="1090"/>
        <v>22</v>
      </c>
      <c r="F741" s="67">
        <f t="shared" si="1090"/>
        <v>4</v>
      </c>
      <c r="G741" s="68">
        <f t="shared" si="1090"/>
        <v>12</v>
      </c>
      <c r="H741" s="69">
        <f t="shared" si="1090"/>
        <v>16</v>
      </c>
      <c r="I741" s="67">
        <f t="shared" si="1090"/>
        <v>30</v>
      </c>
      <c r="J741" s="68">
        <f t="shared" si="1090"/>
        <v>17</v>
      </c>
      <c r="K741" s="69">
        <f t="shared" si="1090"/>
        <v>47</v>
      </c>
      <c r="L741" s="70">
        <f>SUM(K741,H741,E741)</f>
        <v>85</v>
      </c>
      <c r="N741" s="66" t="s">
        <v>0</v>
      </c>
      <c r="O741" s="72">
        <f>O733</f>
        <v>205</v>
      </c>
      <c r="P741" s="80">
        <f t="shared" ref="P741:X741" si="1091">P733</f>
        <v>275</v>
      </c>
      <c r="Q741" s="69">
        <f t="shared" si="1091"/>
        <v>480</v>
      </c>
      <c r="R741" s="72">
        <f t="shared" si="1091"/>
        <v>71</v>
      </c>
      <c r="S741" s="80">
        <f t="shared" si="1091"/>
        <v>175</v>
      </c>
      <c r="T741" s="69">
        <f t="shared" si="1091"/>
        <v>246</v>
      </c>
      <c r="U741" s="72">
        <f t="shared" si="1091"/>
        <v>90</v>
      </c>
      <c r="V741" s="80">
        <f t="shared" si="1091"/>
        <v>116</v>
      </c>
      <c r="W741" s="69">
        <f t="shared" si="1091"/>
        <v>206</v>
      </c>
      <c r="X741" s="70">
        <f t="shared" si="1091"/>
        <v>932</v>
      </c>
    </row>
    <row r="742" spans="2:26" x14ac:dyDescent="0.15">
      <c r="B742" s="55" t="s">
        <v>313</v>
      </c>
      <c r="C742" s="30"/>
      <c r="D742" s="25">
        <v>1</v>
      </c>
      <c r="E742" s="40">
        <f t="shared" ref="E742:E743" si="1092">SUM(C742:D742)</f>
        <v>1</v>
      </c>
      <c r="F742" s="35"/>
      <c r="G742" s="8"/>
      <c r="H742" s="40">
        <f t="shared" ref="H742:H774" si="1093">SUM(F742:G742)</f>
        <v>0</v>
      </c>
      <c r="I742" s="35"/>
      <c r="J742" s="8"/>
      <c r="K742" s="40">
        <f t="shared" ref="K742:K774" si="1094">SUM(I742:J742)</f>
        <v>0</v>
      </c>
      <c r="L742" s="9">
        <f t="shared" ref="L742:L774" si="1095">SUM(K742,H742,E742)</f>
        <v>1</v>
      </c>
      <c r="M742" s="53">
        <v>45826</v>
      </c>
      <c r="N742" s="130" t="s">
        <v>3</v>
      </c>
      <c r="O742" s="131"/>
      <c r="P742" s="132"/>
      <c r="Q742" s="133">
        <f t="shared" ref="Q742:Q760" si="1096">SUM(O742:P742)</f>
        <v>0</v>
      </c>
      <c r="R742" s="134">
        <v>-100</v>
      </c>
      <c r="S742" s="135">
        <v>-100</v>
      </c>
      <c r="T742" s="133">
        <f t="shared" ref="T742:T760" si="1097">SUM(R742:S742)</f>
        <v>-200</v>
      </c>
      <c r="U742" s="134"/>
      <c r="V742" s="135"/>
      <c r="W742" s="133">
        <f t="shared" ref="W742:W760" si="1098">SUM(U742:V742)</f>
        <v>0</v>
      </c>
      <c r="X742" s="126">
        <f t="shared" ref="X742:X760" si="1099">SUM(W742,T742,Q742)</f>
        <v>-200</v>
      </c>
      <c r="Y742" s="71"/>
    </row>
    <row r="743" spans="2:26" x14ac:dyDescent="0.15">
      <c r="B743" s="55" t="s">
        <v>3</v>
      </c>
      <c r="C743" s="30">
        <v>7</v>
      </c>
      <c r="D743" s="25"/>
      <c r="E743" s="40">
        <f t="shared" si="1092"/>
        <v>7</v>
      </c>
      <c r="F743" s="35">
        <v>10</v>
      </c>
      <c r="G743" s="8">
        <v>5</v>
      </c>
      <c r="H743" s="40">
        <f t="shared" si="1093"/>
        <v>15</v>
      </c>
      <c r="I743" s="35"/>
      <c r="J743" s="8"/>
      <c r="K743" s="40">
        <f t="shared" si="1094"/>
        <v>0</v>
      </c>
      <c r="L743" s="9">
        <f t="shared" si="1095"/>
        <v>22</v>
      </c>
      <c r="M743" s="53">
        <v>45827</v>
      </c>
      <c r="N743" s="55" t="s">
        <v>388</v>
      </c>
      <c r="O743" s="62">
        <v>150</v>
      </c>
      <c r="P743" s="81">
        <v>150</v>
      </c>
      <c r="Q743" s="40">
        <f t="shared" si="1096"/>
        <v>300</v>
      </c>
      <c r="R743" s="78">
        <v>250</v>
      </c>
      <c r="S743" s="82">
        <v>250</v>
      </c>
      <c r="T743" s="40">
        <f t="shared" si="1097"/>
        <v>500</v>
      </c>
      <c r="U743" s="78">
        <v>150</v>
      </c>
      <c r="V743" s="82">
        <v>150</v>
      </c>
      <c r="W743" s="40">
        <f t="shared" si="1098"/>
        <v>300</v>
      </c>
      <c r="X743" s="25">
        <f t="shared" si="1099"/>
        <v>1100</v>
      </c>
      <c r="Y743" s="53" t="s">
        <v>448</v>
      </c>
      <c r="Z743" s="89"/>
    </row>
    <row r="744" spans="2:26" x14ac:dyDescent="0.15">
      <c r="B744" s="55" t="s">
        <v>222</v>
      </c>
      <c r="C744" s="30">
        <v>1</v>
      </c>
      <c r="D744" s="25"/>
      <c r="E744" s="40">
        <f t="shared" ref="E744:E774" si="1100">SUM(C744:D744)</f>
        <v>1</v>
      </c>
      <c r="F744" s="35">
        <v>1</v>
      </c>
      <c r="G744" s="8">
        <v>2</v>
      </c>
      <c r="H744" s="40">
        <f t="shared" si="1093"/>
        <v>3</v>
      </c>
      <c r="I744" s="35"/>
      <c r="J744" s="8"/>
      <c r="K744" s="40">
        <f t="shared" si="1094"/>
        <v>0</v>
      </c>
      <c r="L744" s="9">
        <f t="shared" si="1095"/>
        <v>4</v>
      </c>
      <c r="M744" s="53">
        <v>45825</v>
      </c>
      <c r="N744" s="55" t="s">
        <v>3</v>
      </c>
      <c r="O744" s="62">
        <v>200</v>
      </c>
      <c r="P744" s="81">
        <v>200</v>
      </c>
      <c r="Q744" s="40">
        <f t="shared" si="1096"/>
        <v>400</v>
      </c>
      <c r="R744" s="78">
        <v>200</v>
      </c>
      <c r="S744" s="82">
        <v>200</v>
      </c>
      <c r="T744" s="40">
        <f t="shared" si="1097"/>
        <v>400</v>
      </c>
      <c r="U744" s="78">
        <v>100</v>
      </c>
      <c r="V744" s="82">
        <v>200</v>
      </c>
      <c r="W744" s="40">
        <f t="shared" si="1098"/>
        <v>300</v>
      </c>
      <c r="X744" s="25">
        <f t="shared" si="1099"/>
        <v>1100</v>
      </c>
      <c r="Y744" s="53" t="s">
        <v>449</v>
      </c>
    </row>
    <row r="745" spans="2:26" x14ac:dyDescent="0.15">
      <c r="B745" s="55" t="s">
        <v>3</v>
      </c>
      <c r="C745" s="30"/>
      <c r="D745" s="25">
        <v>10</v>
      </c>
      <c r="E745" s="40">
        <f t="shared" si="1100"/>
        <v>10</v>
      </c>
      <c r="F745" s="35"/>
      <c r="G745" s="8">
        <v>5</v>
      </c>
      <c r="H745" s="40">
        <f t="shared" si="1093"/>
        <v>5</v>
      </c>
      <c r="I745" s="35"/>
      <c r="J745" s="8">
        <v>10</v>
      </c>
      <c r="K745" s="40">
        <f t="shared" si="1094"/>
        <v>10</v>
      </c>
      <c r="L745" s="9">
        <f t="shared" si="1095"/>
        <v>25</v>
      </c>
      <c r="M745" s="53">
        <v>45838</v>
      </c>
      <c r="N745" s="16" t="s">
        <v>417</v>
      </c>
      <c r="O745" s="62">
        <v>250</v>
      </c>
      <c r="P745" s="81">
        <v>300</v>
      </c>
      <c r="Q745" s="40">
        <f t="shared" si="1096"/>
        <v>550</v>
      </c>
      <c r="R745" s="62">
        <v>250</v>
      </c>
      <c r="S745" s="81">
        <v>164</v>
      </c>
      <c r="T745" s="40">
        <f t="shared" si="1097"/>
        <v>414</v>
      </c>
      <c r="U745" s="62">
        <v>200</v>
      </c>
      <c r="V745" s="81">
        <v>115</v>
      </c>
      <c r="W745" s="40">
        <f t="shared" si="1098"/>
        <v>315</v>
      </c>
      <c r="X745" s="25">
        <f t="shared" si="1099"/>
        <v>1279</v>
      </c>
      <c r="Y745" s="53" t="s">
        <v>463</v>
      </c>
    </row>
    <row r="746" spans="2:26" ht="14.25" thickBot="1" x14ac:dyDescent="0.2">
      <c r="B746" s="55" t="s">
        <v>3</v>
      </c>
      <c r="C746" s="76">
        <v>5</v>
      </c>
      <c r="D746" s="83"/>
      <c r="E746" s="41">
        <f t="shared" si="1100"/>
        <v>5</v>
      </c>
      <c r="F746" s="76">
        <v>15</v>
      </c>
      <c r="G746" s="83">
        <v>50</v>
      </c>
      <c r="H746" s="41">
        <f t="shared" si="1093"/>
        <v>65</v>
      </c>
      <c r="I746" s="76">
        <v>12</v>
      </c>
      <c r="J746" s="83">
        <v>12</v>
      </c>
      <c r="K746" s="41">
        <f t="shared" si="1094"/>
        <v>24</v>
      </c>
      <c r="L746" s="77">
        <f t="shared" si="1095"/>
        <v>94</v>
      </c>
      <c r="M746" s="53">
        <v>45843</v>
      </c>
      <c r="N746" s="75" t="s">
        <v>418</v>
      </c>
      <c r="O746" s="57">
        <v>200</v>
      </c>
      <c r="P746" s="83">
        <v>200</v>
      </c>
      <c r="Q746" s="41">
        <f t="shared" si="1096"/>
        <v>400</v>
      </c>
      <c r="R746" s="76">
        <v>250</v>
      </c>
      <c r="S746" s="83">
        <v>250</v>
      </c>
      <c r="T746" s="41">
        <f t="shared" si="1097"/>
        <v>500</v>
      </c>
      <c r="U746" s="76">
        <v>150</v>
      </c>
      <c r="V746" s="83">
        <v>150</v>
      </c>
      <c r="W746" s="41">
        <f t="shared" si="1098"/>
        <v>300</v>
      </c>
      <c r="X746" s="77">
        <f t="shared" si="1099"/>
        <v>1200</v>
      </c>
      <c r="Y746" s="53" t="s">
        <v>463</v>
      </c>
      <c r="Z746" s="89"/>
    </row>
    <row r="747" spans="2:26" ht="14.25" thickBot="1" x14ac:dyDescent="0.2">
      <c r="B747" s="5" t="s">
        <v>2</v>
      </c>
      <c r="C747" s="32">
        <f>SUM(C741:C746)</f>
        <v>23</v>
      </c>
      <c r="D747" s="19">
        <f>SUM(D741:D746)</f>
        <v>23</v>
      </c>
      <c r="E747" s="42">
        <f t="shared" si="1100"/>
        <v>46</v>
      </c>
      <c r="F747" s="32">
        <f>SUM(F741:F746)</f>
        <v>30</v>
      </c>
      <c r="G747" s="19">
        <f>SUM(G741:G746)</f>
        <v>74</v>
      </c>
      <c r="H747" s="42">
        <f t="shared" si="1093"/>
        <v>104</v>
      </c>
      <c r="I747" s="32">
        <f>SUM(I741:I746)</f>
        <v>42</v>
      </c>
      <c r="J747" s="19">
        <f>SUM(J741:J746)</f>
        <v>39</v>
      </c>
      <c r="K747" s="42">
        <f t="shared" si="1094"/>
        <v>81</v>
      </c>
      <c r="L747" s="13">
        <f t="shared" si="1095"/>
        <v>231</v>
      </c>
      <c r="N747" s="63" t="s">
        <v>2</v>
      </c>
      <c r="O747" s="32">
        <f>SUM(O741:O746)</f>
        <v>1005</v>
      </c>
      <c r="P747" s="19">
        <f t="shared" ref="P747" si="1101">SUM(P741:P746)</f>
        <v>1125</v>
      </c>
      <c r="Q747" s="42">
        <f t="shared" ref="Q747" si="1102">SUM(Q741:Q746)</f>
        <v>2130</v>
      </c>
      <c r="R747" s="32">
        <f t="shared" ref="R747" si="1103">SUM(R741:R746)</f>
        <v>921</v>
      </c>
      <c r="S747" s="19">
        <f t="shared" ref="S747" si="1104">SUM(S741:S746)</f>
        <v>939</v>
      </c>
      <c r="T747" s="42">
        <f t="shared" ref="T747" si="1105">SUM(T741:T746)</f>
        <v>1860</v>
      </c>
      <c r="U747" s="32">
        <f t="shared" ref="U747" si="1106">SUM(U741:U746)</f>
        <v>690</v>
      </c>
      <c r="V747" s="19">
        <f t="shared" ref="V747" si="1107">SUM(V741:V746)</f>
        <v>731</v>
      </c>
      <c r="W747" s="42">
        <f t="shared" ref="W747" si="1108">SUM(W741:W746)</f>
        <v>1421</v>
      </c>
      <c r="X747" s="13">
        <f t="shared" ref="X747" si="1109">SUM(X741:X746)</f>
        <v>5411</v>
      </c>
    </row>
    <row r="748" spans="2:26" x14ac:dyDescent="0.15">
      <c r="B748" s="7" t="s">
        <v>12</v>
      </c>
      <c r="C748" s="30">
        <v>1</v>
      </c>
      <c r="D748" s="25"/>
      <c r="E748" s="43">
        <f t="shared" si="1100"/>
        <v>1</v>
      </c>
      <c r="F748" s="35"/>
      <c r="G748" s="8"/>
      <c r="H748" s="43">
        <f t="shared" si="1093"/>
        <v>0</v>
      </c>
      <c r="I748" s="35">
        <v>2</v>
      </c>
      <c r="J748" s="8"/>
      <c r="K748" s="43">
        <f t="shared" si="1094"/>
        <v>2</v>
      </c>
      <c r="L748" s="8">
        <f t="shared" si="1095"/>
        <v>3</v>
      </c>
      <c r="M748" s="53">
        <v>45826</v>
      </c>
      <c r="N748" s="7" t="s">
        <v>444</v>
      </c>
      <c r="O748" s="30"/>
      <c r="P748" s="25"/>
      <c r="Q748" s="43">
        <f t="shared" ref="Q748" si="1110">SUM(O748:P748)</f>
        <v>0</v>
      </c>
      <c r="R748" s="35">
        <v>1</v>
      </c>
      <c r="S748" s="8">
        <v>4</v>
      </c>
      <c r="T748" s="43">
        <f t="shared" ref="T748" si="1111">SUM(R748:S748)</f>
        <v>5</v>
      </c>
      <c r="U748" s="35">
        <v>1</v>
      </c>
      <c r="V748" s="8">
        <v>3</v>
      </c>
      <c r="W748" s="43">
        <f t="shared" ref="W748" si="1112">SUM(U748:V748)</f>
        <v>4</v>
      </c>
      <c r="X748" s="8">
        <f t="shared" ref="X748" si="1113">SUM(W748,T748,Q748)</f>
        <v>9</v>
      </c>
      <c r="Y748" s="53">
        <v>45842</v>
      </c>
    </row>
    <row r="749" spans="2:26" x14ac:dyDescent="0.15">
      <c r="B749" s="7" t="s">
        <v>70</v>
      </c>
      <c r="C749" s="30"/>
      <c r="D749" s="25">
        <v>2</v>
      </c>
      <c r="E749" s="43">
        <f t="shared" si="1100"/>
        <v>2</v>
      </c>
      <c r="F749" s="35"/>
      <c r="G749" s="8"/>
      <c r="H749" s="43">
        <f t="shared" si="1093"/>
        <v>0</v>
      </c>
      <c r="I749" s="35"/>
      <c r="J749" s="8"/>
      <c r="K749" s="43">
        <f t="shared" si="1094"/>
        <v>0</v>
      </c>
      <c r="L749" s="8">
        <f t="shared" si="1095"/>
        <v>2</v>
      </c>
      <c r="M749" s="53">
        <v>45831</v>
      </c>
      <c r="N749" s="7" t="s">
        <v>453</v>
      </c>
      <c r="O749" s="30">
        <v>30</v>
      </c>
      <c r="P749" s="25">
        <v>10</v>
      </c>
      <c r="Q749" s="43">
        <f t="shared" si="1096"/>
        <v>40</v>
      </c>
      <c r="R749" s="35">
        <v>100</v>
      </c>
      <c r="S749" s="8">
        <v>20</v>
      </c>
      <c r="T749" s="43">
        <f t="shared" si="1097"/>
        <v>120</v>
      </c>
      <c r="U749" s="35">
        <v>150</v>
      </c>
      <c r="V749" s="8">
        <v>150</v>
      </c>
      <c r="W749" s="43">
        <f t="shared" si="1098"/>
        <v>300</v>
      </c>
      <c r="X749" s="8">
        <f t="shared" si="1099"/>
        <v>460</v>
      </c>
      <c r="Y749" s="53">
        <v>45842</v>
      </c>
    </row>
    <row r="750" spans="2:26" x14ac:dyDescent="0.15">
      <c r="B750" s="7" t="s">
        <v>12</v>
      </c>
      <c r="C750" s="30"/>
      <c r="D750" s="25"/>
      <c r="E750" s="43">
        <f t="shared" si="1100"/>
        <v>0</v>
      </c>
      <c r="F750" s="35">
        <v>1</v>
      </c>
      <c r="G750" s="8"/>
      <c r="H750" s="43">
        <f t="shared" si="1093"/>
        <v>1</v>
      </c>
      <c r="I750" s="35"/>
      <c r="J750" s="8"/>
      <c r="K750" s="43">
        <f t="shared" si="1094"/>
        <v>0</v>
      </c>
      <c r="L750" s="8">
        <f t="shared" si="1095"/>
        <v>1</v>
      </c>
      <c r="M750" s="53">
        <v>45828</v>
      </c>
      <c r="N750" s="7" t="s">
        <v>446</v>
      </c>
      <c r="O750" s="30">
        <v>40</v>
      </c>
      <c r="P750" s="25">
        <v>45</v>
      </c>
      <c r="Q750" s="43">
        <f t="shared" si="1096"/>
        <v>85</v>
      </c>
      <c r="R750" s="35">
        <v>45</v>
      </c>
      <c r="S750" s="8">
        <v>50</v>
      </c>
      <c r="T750" s="43">
        <f t="shared" si="1097"/>
        <v>95</v>
      </c>
      <c r="U750" s="35">
        <v>20</v>
      </c>
      <c r="V750" s="8">
        <v>10</v>
      </c>
      <c r="W750" s="43">
        <f t="shared" si="1098"/>
        <v>30</v>
      </c>
      <c r="X750" s="8">
        <f t="shared" si="1099"/>
        <v>210</v>
      </c>
      <c r="Y750" s="53">
        <v>45842</v>
      </c>
    </row>
    <row r="751" spans="2:26" x14ac:dyDescent="0.15">
      <c r="B751" s="7" t="s">
        <v>71</v>
      </c>
      <c r="C751" s="30"/>
      <c r="D751" s="25">
        <v>3</v>
      </c>
      <c r="E751" s="43">
        <f t="shared" si="1100"/>
        <v>3</v>
      </c>
      <c r="F751" s="35"/>
      <c r="G751" s="8">
        <v>6</v>
      </c>
      <c r="H751" s="43">
        <f t="shared" si="1093"/>
        <v>6</v>
      </c>
      <c r="I751" s="35"/>
      <c r="J751" s="8">
        <v>2</v>
      </c>
      <c r="K751" s="43">
        <f t="shared" si="1094"/>
        <v>2</v>
      </c>
      <c r="L751" s="8">
        <f t="shared" si="1095"/>
        <v>11</v>
      </c>
      <c r="M751" s="53">
        <v>45833</v>
      </c>
      <c r="N751" s="7" t="s">
        <v>447</v>
      </c>
      <c r="O751" s="30"/>
      <c r="P751" s="25"/>
      <c r="Q751" s="43">
        <f t="shared" si="1096"/>
        <v>0</v>
      </c>
      <c r="R751" s="35"/>
      <c r="S751" s="8">
        <v>2</v>
      </c>
      <c r="T751" s="43">
        <f t="shared" si="1097"/>
        <v>2</v>
      </c>
      <c r="U751" s="35"/>
      <c r="V751" s="8">
        <v>8</v>
      </c>
      <c r="W751" s="43">
        <f t="shared" si="1098"/>
        <v>8</v>
      </c>
      <c r="X751" s="8">
        <f t="shared" si="1099"/>
        <v>10</v>
      </c>
      <c r="Y751" s="53">
        <v>45841</v>
      </c>
    </row>
    <row r="752" spans="2:26" x14ac:dyDescent="0.15">
      <c r="B752" s="7" t="s">
        <v>12</v>
      </c>
      <c r="C752" s="30"/>
      <c r="D752" s="25"/>
      <c r="E752" s="43">
        <f t="shared" si="1100"/>
        <v>0</v>
      </c>
      <c r="F752" s="35"/>
      <c r="G752" s="8">
        <v>1</v>
      </c>
      <c r="H752" s="43">
        <f t="shared" si="1093"/>
        <v>1</v>
      </c>
      <c r="I752" s="35"/>
      <c r="J752" s="8"/>
      <c r="K752" s="43">
        <f t="shared" si="1094"/>
        <v>0</v>
      </c>
      <c r="L752" s="8">
        <f t="shared" si="1095"/>
        <v>1</v>
      </c>
      <c r="M752" s="53">
        <v>45831</v>
      </c>
      <c r="N752" s="7" t="s">
        <v>450</v>
      </c>
      <c r="O752" s="30">
        <v>2</v>
      </c>
      <c r="P752" s="25">
        <v>5</v>
      </c>
      <c r="Q752" s="43">
        <f t="shared" si="1096"/>
        <v>7</v>
      </c>
      <c r="R752" s="35">
        <v>10</v>
      </c>
      <c r="S752" s="8">
        <v>6</v>
      </c>
      <c r="T752" s="43">
        <f t="shared" si="1097"/>
        <v>16</v>
      </c>
      <c r="U752" s="35"/>
      <c r="V752" s="8"/>
      <c r="W752" s="43">
        <f t="shared" si="1098"/>
        <v>0</v>
      </c>
      <c r="X752" s="8">
        <f t="shared" si="1099"/>
        <v>23</v>
      </c>
      <c r="Y752" s="53">
        <v>45842</v>
      </c>
    </row>
    <row r="753" spans="2:25" x14ac:dyDescent="0.15">
      <c r="B753" s="7" t="s">
        <v>72</v>
      </c>
      <c r="C753" s="30"/>
      <c r="D753" s="25">
        <v>2</v>
      </c>
      <c r="E753" s="43">
        <f t="shared" si="1100"/>
        <v>2</v>
      </c>
      <c r="F753" s="35"/>
      <c r="G753" s="8">
        <v>2</v>
      </c>
      <c r="H753" s="43">
        <f t="shared" si="1093"/>
        <v>2</v>
      </c>
      <c r="I753" s="35">
        <v>5</v>
      </c>
      <c r="J753" s="8"/>
      <c r="K753" s="43">
        <f t="shared" si="1094"/>
        <v>5</v>
      </c>
      <c r="L753" s="8">
        <f t="shared" si="1095"/>
        <v>9</v>
      </c>
      <c r="M753" s="53">
        <v>45834</v>
      </c>
      <c r="N753" s="7" t="s">
        <v>452</v>
      </c>
      <c r="O753" s="30"/>
      <c r="P753" s="25"/>
      <c r="Q753" s="43">
        <f t="shared" si="1096"/>
        <v>0</v>
      </c>
      <c r="R753" s="35"/>
      <c r="S753" s="8"/>
      <c r="T753" s="43">
        <f t="shared" si="1097"/>
        <v>0</v>
      </c>
      <c r="U753" s="35"/>
      <c r="V753" s="8">
        <v>20</v>
      </c>
      <c r="W753" s="43">
        <f t="shared" si="1098"/>
        <v>20</v>
      </c>
      <c r="X753" s="8">
        <f t="shared" si="1099"/>
        <v>20</v>
      </c>
      <c r="Y753" s="53">
        <v>45845</v>
      </c>
    </row>
    <row r="754" spans="2:25" x14ac:dyDescent="0.15">
      <c r="B754" s="7" t="s">
        <v>73</v>
      </c>
      <c r="C754" s="30"/>
      <c r="D754" s="25"/>
      <c r="E754" s="43">
        <f t="shared" si="1100"/>
        <v>0</v>
      </c>
      <c r="F754" s="35"/>
      <c r="G754" s="8"/>
      <c r="H754" s="43">
        <f t="shared" si="1093"/>
        <v>0</v>
      </c>
      <c r="I754" s="35">
        <v>1</v>
      </c>
      <c r="J754" s="8">
        <v>3</v>
      </c>
      <c r="K754" s="43">
        <f t="shared" si="1094"/>
        <v>4</v>
      </c>
      <c r="L754" s="8">
        <f t="shared" si="1095"/>
        <v>4</v>
      </c>
      <c r="M754" s="53">
        <v>45835</v>
      </c>
      <c r="N754" s="7" t="s">
        <v>454</v>
      </c>
      <c r="O754" s="30"/>
      <c r="P754" s="25"/>
      <c r="Q754" s="43">
        <f t="shared" si="1096"/>
        <v>0</v>
      </c>
      <c r="R754" s="35"/>
      <c r="S754" s="8">
        <v>2</v>
      </c>
      <c r="T754" s="43">
        <f t="shared" si="1097"/>
        <v>2</v>
      </c>
      <c r="U754" s="35"/>
      <c r="V754" s="8"/>
      <c r="W754" s="43">
        <f t="shared" si="1098"/>
        <v>0</v>
      </c>
      <c r="X754" s="8">
        <f t="shared" si="1099"/>
        <v>2</v>
      </c>
      <c r="Y754" s="53">
        <v>45843</v>
      </c>
    </row>
    <row r="755" spans="2:25" x14ac:dyDescent="0.15">
      <c r="B755" s="7" t="s">
        <v>12</v>
      </c>
      <c r="C755" s="30"/>
      <c r="D755" s="25"/>
      <c r="E755" s="43">
        <f t="shared" si="1100"/>
        <v>0</v>
      </c>
      <c r="F755" s="35">
        <v>2</v>
      </c>
      <c r="G755" s="8"/>
      <c r="H755" s="43">
        <f t="shared" si="1093"/>
        <v>2</v>
      </c>
      <c r="I755" s="35"/>
      <c r="J755" s="8"/>
      <c r="K755" s="43">
        <f t="shared" si="1094"/>
        <v>0</v>
      </c>
      <c r="L755" s="8">
        <f t="shared" si="1095"/>
        <v>2</v>
      </c>
      <c r="M755" s="53">
        <v>45833</v>
      </c>
      <c r="N755" s="7" t="s">
        <v>28</v>
      </c>
      <c r="O755" s="30"/>
      <c r="P755" s="25"/>
      <c r="Q755" s="43">
        <f t="shared" si="1096"/>
        <v>0</v>
      </c>
      <c r="R755" s="35">
        <v>15</v>
      </c>
      <c r="S755" s="8">
        <v>50</v>
      </c>
      <c r="T755" s="43">
        <f t="shared" si="1097"/>
        <v>65</v>
      </c>
      <c r="U755" s="35">
        <v>12</v>
      </c>
      <c r="V755" s="8">
        <v>12</v>
      </c>
      <c r="W755" s="43">
        <f t="shared" si="1098"/>
        <v>24</v>
      </c>
      <c r="X755" s="8">
        <f t="shared" si="1099"/>
        <v>89</v>
      </c>
      <c r="Y755" s="53">
        <v>45843</v>
      </c>
    </row>
    <row r="756" spans="2:25" x14ac:dyDescent="0.15">
      <c r="B756" s="7" t="s">
        <v>74</v>
      </c>
      <c r="C756" s="30"/>
      <c r="D756" s="25"/>
      <c r="E756" s="43">
        <f t="shared" si="1100"/>
        <v>0</v>
      </c>
      <c r="F756" s="35"/>
      <c r="G756" s="8"/>
      <c r="H756" s="43">
        <f t="shared" si="1093"/>
        <v>0</v>
      </c>
      <c r="I756" s="35">
        <v>3</v>
      </c>
      <c r="J756" s="8">
        <v>1</v>
      </c>
      <c r="K756" s="43">
        <f t="shared" si="1094"/>
        <v>4</v>
      </c>
      <c r="L756" s="8">
        <f t="shared" si="1095"/>
        <v>4</v>
      </c>
      <c r="M756" s="53">
        <v>45835</v>
      </c>
      <c r="N756" s="7" t="s">
        <v>456</v>
      </c>
      <c r="O756" s="30">
        <v>23</v>
      </c>
      <c r="P756" s="25">
        <v>16</v>
      </c>
      <c r="Q756" s="43">
        <f t="shared" ref="Q756:Q758" si="1114">SUM(O756:P756)</f>
        <v>39</v>
      </c>
      <c r="R756" s="35">
        <v>22</v>
      </c>
      <c r="S756" s="8">
        <v>10</v>
      </c>
      <c r="T756" s="43">
        <f t="shared" ref="T756:T758" si="1115">SUM(R756:S756)</f>
        <v>32</v>
      </c>
      <c r="U756" s="35">
        <v>8</v>
      </c>
      <c r="V756" s="8">
        <v>10</v>
      </c>
      <c r="W756" s="43">
        <f t="shared" ref="W756:W758" si="1116">SUM(U756:V756)</f>
        <v>18</v>
      </c>
      <c r="X756" s="8">
        <f t="shared" ref="X756:X758" si="1117">SUM(W756,T756,Q756)</f>
        <v>89</v>
      </c>
      <c r="Y756" s="53">
        <v>45847</v>
      </c>
    </row>
    <row r="757" spans="2:25" x14ac:dyDescent="0.15">
      <c r="B757" s="7" t="s">
        <v>12</v>
      </c>
      <c r="C757" s="30"/>
      <c r="D757" s="25"/>
      <c r="E757" s="43">
        <f t="shared" si="1100"/>
        <v>0</v>
      </c>
      <c r="F757" s="35"/>
      <c r="G757" s="8"/>
      <c r="H757" s="43">
        <f t="shared" si="1093"/>
        <v>0</v>
      </c>
      <c r="I757" s="35"/>
      <c r="J757" s="8">
        <v>1</v>
      </c>
      <c r="K757" s="43">
        <f t="shared" si="1094"/>
        <v>1</v>
      </c>
      <c r="L757" s="8">
        <f t="shared" si="1095"/>
        <v>1</v>
      </c>
      <c r="M757" s="53">
        <v>45834</v>
      </c>
      <c r="N757" s="7" t="s">
        <v>457</v>
      </c>
      <c r="O757" s="30"/>
      <c r="P757" s="25"/>
      <c r="Q757" s="43">
        <f t="shared" si="1114"/>
        <v>0</v>
      </c>
      <c r="R757" s="35"/>
      <c r="S757" s="8"/>
      <c r="T757" s="43">
        <f t="shared" si="1115"/>
        <v>0</v>
      </c>
      <c r="U757" s="35"/>
      <c r="V757" s="8">
        <v>3</v>
      </c>
      <c r="W757" s="43">
        <f t="shared" si="1116"/>
        <v>3</v>
      </c>
      <c r="X757" s="8">
        <f t="shared" si="1117"/>
        <v>3</v>
      </c>
      <c r="Y757" s="53">
        <v>45846</v>
      </c>
    </row>
    <row r="758" spans="2:25" x14ac:dyDescent="0.15">
      <c r="B758" s="7" t="s">
        <v>75</v>
      </c>
      <c r="C758" s="30"/>
      <c r="D758" s="25"/>
      <c r="E758" s="43">
        <f t="shared" si="1100"/>
        <v>0</v>
      </c>
      <c r="F758" s="35"/>
      <c r="G758" s="8"/>
      <c r="H758" s="43">
        <f t="shared" si="1093"/>
        <v>0</v>
      </c>
      <c r="I758" s="35">
        <v>4</v>
      </c>
      <c r="J758" s="8"/>
      <c r="K758" s="43">
        <f t="shared" si="1094"/>
        <v>4</v>
      </c>
      <c r="L758" s="8">
        <f t="shared" si="1095"/>
        <v>4</v>
      </c>
      <c r="M758" s="53">
        <v>45838</v>
      </c>
      <c r="N758" s="7" t="s">
        <v>28</v>
      </c>
      <c r="O758" s="30"/>
      <c r="P758" s="25">
        <v>10</v>
      </c>
      <c r="Q758" s="43">
        <f t="shared" si="1114"/>
        <v>10</v>
      </c>
      <c r="R758" s="35"/>
      <c r="S758" s="8"/>
      <c r="T758" s="43">
        <f t="shared" si="1115"/>
        <v>0</v>
      </c>
      <c r="U758" s="35"/>
      <c r="V758" s="8"/>
      <c r="W758" s="43">
        <f t="shared" si="1116"/>
        <v>0</v>
      </c>
      <c r="X758" s="8">
        <f t="shared" si="1117"/>
        <v>10</v>
      </c>
      <c r="Y758" s="53">
        <v>45847</v>
      </c>
    </row>
    <row r="759" spans="2:25" x14ac:dyDescent="0.15">
      <c r="B759" s="7" t="s">
        <v>12</v>
      </c>
      <c r="C759" s="30">
        <v>2</v>
      </c>
      <c r="D759" s="25"/>
      <c r="E759" s="43">
        <f t="shared" si="1100"/>
        <v>2</v>
      </c>
      <c r="F759" s="35"/>
      <c r="G759" s="8"/>
      <c r="H759" s="43">
        <f t="shared" si="1093"/>
        <v>0</v>
      </c>
      <c r="I759" s="35"/>
      <c r="J759" s="8"/>
      <c r="K759" s="43">
        <f t="shared" si="1094"/>
        <v>0</v>
      </c>
      <c r="L759" s="8">
        <f t="shared" si="1095"/>
        <v>2</v>
      </c>
      <c r="M759" s="53">
        <v>45835</v>
      </c>
      <c r="N759" s="7" t="s">
        <v>458</v>
      </c>
      <c r="O759" s="30">
        <v>2</v>
      </c>
      <c r="P759" s="25">
        <v>3</v>
      </c>
      <c r="Q759" s="43">
        <f t="shared" ref="Q759" si="1118">SUM(O759:P759)</f>
        <v>5</v>
      </c>
      <c r="R759" s="35">
        <v>1</v>
      </c>
      <c r="S759" s="8"/>
      <c r="T759" s="43">
        <f t="shared" ref="T759" si="1119">SUM(R759:S759)</f>
        <v>1</v>
      </c>
      <c r="U759" s="35">
        <v>2</v>
      </c>
      <c r="V759" s="8">
        <v>2</v>
      </c>
      <c r="W759" s="43">
        <f t="shared" ref="W759" si="1120">SUM(U759:V759)</f>
        <v>4</v>
      </c>
      <c r="X759" s="8">
        <f t="shared" ref="X759" si="1121">SUM(W759,T759,Q759)</f>
        <v>10</v>
      </c>
      <c r="Y759" s="53">
        <v>45849</v>
      </c>
    </row>
    <row r="760" spans="2:25" x14ac:dyDescent="0.15">
      <c r="B760" s="7" t="s">
        <v>77</v>
      </c>
      <c r="C760" s="30"/>
      <c r="D760" s="25">
        <v>4</v>
      </c>
      <c r="E760" s="43">
        <f t="shared" si="1100"/>
        <v>4</v>
      </c>
      <c r="F760" s="35">
        <v>1</v>
      </c>
      <c r="G760" s="8">
        <v>2</v>
      </c>
      <c r="H760" s="43">
        <f t="shared" si="1093"/>
        <v>3</v>
      </c>
      <c r="I760" s="35">
        <v>7</v>
      </c>
      <c r="J760" s="8">
        <v>3</v>
      </c>
      <c r="K760" s="43">
        <f t="shared" si="1094"/>
        <v>10</v>
      </c>
      <c r="L760" s="8">
        <f t="shared" si="1095"/>
        <v>17</v>
      </c>
      <c r="M760" s="53">
        <v>45840</v>
      </c>
      <c r="N760" s="7" t="s">
        <v>459</v>
      </c>
      <c r="O760" s="30"/>
      <c r="P760" s="25">
        <v>4</v>
      </c>
      <c r="Q760" s="43">
        <f t="shared" si="1096"/>
        <v>4</v>
      </c>
      <c r="R760" s="35"/>
      <c r="S760" s="8"/>
      <c r="T760" s="43">
        <f t="shared" si="1097"/>
        <v>0</v>
      </c>
      <c r="U760" s="35">
        <v>15</v>
      </c>
      <c r="V760" s="8">
        <v>15</v>
      </c>
      <c r="W760" s="43">
        <f t="shared" si="1098"/>
        <v>30</v>
      </c>
      <c r="X760" s="8">
        <f t="shared" si="1099"/>
        <v>34</v>
      </c>
      <c r="Y760" s="53">
        <v>45848</v>
      </c>
    </row>
    <row r="761" spans="2:25" x14ac:dyDescent="0.15">
      <c r="B761" s="7" t="s">
        <v>12</v>
      </c>
      <c r="C761" s="30"/>
      <c r="D761" s="25"/>
      <c r="E761" s="43">
        <f t="shared" si="1100"/>
        <v>0</v>
      </c>
      <c r="F761" s="35">
        <v>1</v>
      </c>
      <c r="G761" s="8">
        <v>2</v>
      </c>
      <c r="H761" s="43">
        <f t="shared" si="1093"/>
        <v>3</v>
      </c>
      <c r="I761" s="35">
        <v>1</v>
      </c>
      <c r="J761" s="8">
        <v>1</v>
      </c>
      <c r="K761" s="43">
        <f t="shared" si="1094"/>
        <v>2</v>
      </c>
      <c r="L761" s="8">
        <f t="shared" si="1095"/>
        <v>5</v>
      </c>
      <c r="M761" s="53">
        <v>45838</v>
      </c>
      <c r="N761" s="7" t="s">
        <v>461</v>
      </c>
      <c r="O761" s="30">
        <v>60</v>
      </c>
      <c r="P761" s="25">
        <v>130</v>
      </c>
      <c r="Q761" s="43">
        <f t="shared" ref="Q761" si="1122">SUM(O761:P761)</f>
        <v>190</v>
      </c>
      <c r="R761" s="35">
        <v>40</v>
      </c>
      <c r="S761" s="8">
        <v>80</v>
      </c>
      <c r="T761" s="43">
        <f t="shared" ref="T761:T762" si="1123">SUM(R761:S761)</f>
        <v>120</v>
      </c>
      <c r="U761" s="35"/>
      <c r="V761" s="8"/>
      <c r="W761" s="43">
        <f t="shared" ref="W761:W762" si="1124">SUM(U761:V761)</f>
        <v>0</v>
      </c>
      <c r="X761" s="8">
        <f t="shared" ref="X761:X762" si="1125">SUM(W761,T761,Q761)</f>
        <v>310</v>
      </c>
      <c r="Y761" s="53">
        <v>45848</v>
      </c>
    </row>
    <row r="762" spans="2:25" x14ac:dyDescent="0.15">
      <c r="B762" s="7" t="s">
        <v>79</v>
      </c>
      <c r="C762" s="30"/>
      <c r="D762" s="25"/>
      <c r="E762" s="43">
        <f t="shared" si="1100"/>
        <v>0</v>
      </c>
      <c r="F762" s="35">
        <v>3</v>
      </c>
      <c r="G762" s="8"/>
      <c r="H762" s="43">
        <f t="shared" si="1093"/>
        <v>3</v>
      </c>
      <c r="I762" s="35"/>
      <c r="J762" s="8">
        <v>7</v>
      </c>
      <c r="K762" s="43">
        <f t="shared" si="1094"/>
        <v>7</v>
      </c>
      <c r="L762" s="8">
        <f t="shared" si="1095"/>
        <v>10</v>
      </c>
      <c r="M762" s="53">
        <v>45841</v>
      </c>
      <c r="N762" s="7" t="s">
        <v>28</v>
      </c>
      <c r="O762" s="30">
        <v>10</v>
      </c>
      <c r="P762" s="25"/>
      <c r="Q762" s="43">
        <f t="shared" ref="Q762" si="1126">SUM(O762:P762)</f>
        <v>10</v>
      </c>
      <c r="R762" s="35">
        <v>10</v>
      </c>
      <c r="S762" s="8"/>
      <c r="T762" s="43">
        <f t="shared" si="1123"/>
        <v>10</v>
      </c>
      <c r="U762" s="35">
        <v>10</v>
      </c>
      <c r="V762" s="8"/>
      <c r="W762" s="43">
        <f t="shared" si="1124"/>
        <v>10</v>
      </c>
      <c r="X762" s="8">
        <f t="shared" si="1125"/>
        <v>30</v>
      </c>
      <c r="Y762" s="53">
        <v>45848</v>
      </c>
    </row>
    <row r="763" spans="2:25" x14ac:dyDescent="0.15">
      <c r="B763" s="7" t="s">
        <v>12</v>
      </c>
      <c r="C763" s="30"/>
      <c r="D763" s="25"/>
      <c r="E763" s="43">
        <f t="shared" si="1100"/>
        <v>0</v>
      </c>
      <c r="F763" s="35">
        <v>2</v>
      </c>
      <c r="G763" s="8">
        <v>1</v>
      </c>
      <c r="H763" s="43">
        <f t="shared" si="1093"/>
        <v>3</v>
      </c>
      <c r="I763" s="35"/>
      <c r="J763" s="8">
        <v>1</v>
      </c>
      <c r="K763" s="43">
        <f t="shared" si="1094"/>
        <v>1</v>
      </c>
      <c r="L763" s="8">
        <f t="shared" si="1095"/>
        <v>4</v>
      </c>
      <c r="M763" s="53">
        <v>45839</v>
      </c>
      <c r="N763" s="7" t="s">
        <v>464</v>
      </c>
      <c r="O763" s="30"/>
      <c r="P763" s="25"/>
      <c r="Q763" s="43">
        <f t="shared" ref="Q763" si="1127">SUM(O763:P763)</f>
        <v>0</v>
      </c>
      <c r="R763" s="35">
        <v>10</v>
      </c>
      <c r="S763" s="8"/>
      <c r="T763" s="43">
        <f t="shared" ref="T763" si="1128">SUM(R763:S763)</f>
        <v>10</v>
      </c>
      <c r="U763" s="35"/>
      <c r="V763" s="8"/>
      <c r="W763" s="43">
        <f t="shared" ref="W763" si="1129">SUM(U763:V763)</f>
        <v>0</v>
      </c>
      <c r="X763" s="8">
        <f t="shared" ref="X763" si="1130">SUM(W763,T763,Q763)</f>
        <v>10</v>
      </c>
      <c r="Y763" s="53">
        <v>45850</v>
      </c>
    </row>
    <row r="764" spans="2:25" x14ac:dyDescent="0.15">
      <c r="B764" s="7" t="s">
        <v>80</v>
      </c>
      <c r="C764" s="30"/>
      <c r="D764" s="25"/>
      <c r="E764" s="43">
        <f t="shared" si="1100"/>
        <v>0</v>
      </c>
      <c r="F764" s="35">
        <v>4</v>
      </c>
      <c r="G764" s="8">
        <v>2</v>
      </c>
      <c r="H764" s="43">
        <f t="shared" si="1093"/>
        <v>6</v>
      </c>
      <c r="I764" s="35"/>
      <c r="J764" s="8">
        <v>1</v>
      </c>
      <c r="K764" s="43">
        <f t="shared" si="1094"/>
        <v>1</v>
      </c>
      <c r="L764" s="8">
        <f t="shared" si="1095"/>
        <v>7</v>
      </c>
      <c r="M764" s="53">
        <v>45842</v>
      </c>
      <c r="N764" s="7"/>
      <c r="O764" s="30"/>
      <c r="P764" s="25"/>
      <c r="Q764" s="43">
        <f t="shared" ref="Q764:Q772" si="1131">SUM(O764:P764)</f>
        <v>0</v>
      </c>
      <c r="R764" s="35"/>
      <c r="S764" s="8"/>
      <c r="T764" s="43">
        <f t="shared" ref="T764:T772" si="1132">SUM(R764:S764)</f>
        <v>0</v>
      </c>
      <c r="U764" s="35"/>
      <c r="V764" s="8"/>
      <c r="W764" s="43">
        <f t="shared" ref="W764:W772" si="1133">SUM(U764:V764)</f>
        <v>0</v>
      </c>
      <c r="X764" s="8">
        <f t="shared" ref="X764:X772" si="1134">SUM(W764,T764,Q764)</f>
        <v>0</v>
      </c>
    </row>
    <row r="765" spans="2:25" x14ac:dyDescent="0.15">
      <c r="B765" s="7" t="s">
        <v>12</v>
      </c>
      <c r="C765" s="33"/>
      <c r="D765" s="27">
        <v>1</v>
      </c>
      <c r="E765" s="43">
        <f t="shared" si="1100"/>
        <v>1</v>
      </c>
      <c r="F765" s="37"/>
      <c r="G765" s="10"/>
      <c r="H765" s="43">
        <f t="shared" si="1093"/>
        <v>0</v>
      </c>
      <c r="I765" s="37"/>
      <c r="J765" s="10"/>
      <c r="K765" s="43">
        <f t="shared" si="1094"/>
        <v>0</v>
      </c>
      <c r="L765" s="8">
        <f t="shared" si="1095"/>
        <v>1</v>
      </c>
      <c r="M765" s="53">
        <v>45840</v>
      </c>
      <c r="N765" s="7" t="s">
        <v>414</v>
      </c>
      <c r="O765" s="30"/>
      <c r="P765" s="25"/>
      <c r="Q765" s="43">
        <f t="shared" si="1131"/>
        <v>0</v>
      </c>
      <c r="R765" s="35"/>
      <c r="S765" s="8"/>
      <c r="T765" s="43">
        <f t="shared" si="1132"/>
        <v>0</v>
      </c>
      <c r="U765" s="35"/>
      <c r="V765" s="8"/>
      <c r="W765" s="43">
        <f t="shared" si="1133"/>
        <v>0</v>
      </c>
      <c r="X765" s="8">
        <f t="shared" si="1134"/>
        <v>0</v>
      </c>
      <c r="Y765" s="52" t="s">
        <v>233</v>
      </c>
    </row>
    <row r="766" spans="2:25" x14ac:dyDescent="0.15">
      <c r="B766" s="7" t="s">
        <v>81</v>
      </c>
      <c r="C766" s="30"/>
      <c r="D766" s="25"/>
      <c r="E766" s="43">
        <f t="shared" si="1100"/>
        <v>0</v>
      </c>
      <c r="F766" s="35">
        <v>1</v>
      </c>
      <c r="G766" s="8"/>
      <c r="H766" s="43">
        <f t="shared" si="1093"/>
        <v>1</v>
      </c>
      <c r="I766" s="35"/>
      <c r="J766" s="8"/>
      <c r="K766" s="43">
        <f t="shared" si="1094"/>
        <v>0</v>
      </c>
      <c r="L766" s="8">
        <f t="shared" si="1095"/>
        <v>1</v>
      </c>
      <c r="M766" s="53">
        <v>45842</v>
      </c>
      <c r="N766" s="7" t="s">
        <v>409</v>
      </c>
      <c r="O766" s="30"/>
      <c r="P766" s="25"/>
      <c r="Q766" s="43">
        <f t="shared" si="1131"/>
        <v>0</v>
      </c>
      <c r="R766" s="35"/>
      <c r="S766" s="8"/>
      <c r="T766" s="43">
        <f t="shared" si="1132"/>
        <v>0</v>
      </c>
      <c r="U766" s="35"/>
      <c r="V766" s="8"/>
      <c r="W766" s="43">
        <f t="shared" si="1133"/>
        <v>0</v>
      </c>
      <c r="X766" s="8">
        <f t="shared" si="1134"/>
        <v>0</v>
      </c>
      <c r="Y766" s="52" t="s">
        <v>236</v>
      </c>
    </row>
    <row r="767" spans="2:25" x14ac:dyDescent="0.15">
      <c r="B767" s="7" t="s">
        <v>455</v>
      </c>
      <c r="C767" s="30"/>
      <c r="D767" s="25">
        <v>-1</v>
      </c>
      <c r="E767" s="43">
        <f t="shared" ref="E767" si="1135">SUM(C767:D767)</f>
        <v>-1</v>
      </c>
      <c r="F767" s="35">
        <v>-1</v>
      </c>
      <c r="G767" s="8"/>
      <c r="H767" s="43">
        <f t="shared" si="1093"/>
        <v>-1</v>
      </c>
      <c r="I767" s="35">
        <v>-1</v>
      </c>
      <c r="J767" s="8"/>
      <c r="K767" s="43">
        <f t="shared" si="1094"/>
        <v>-1</v>
      </c>
      <c r="L767" s="8">
        <f t="shared" si="1095"/>
        <v>-3</v>
      </c>
      <c r="M767" s="53">
        <v>45843</v>
      </c>
      <c r="N767" s="115" t="s">
        <v>370</v>
      </c>
      <c r="O767" s="116"/>
      <c r="P767" s="112"/>
      <c r="Q767" s="117">
        <f t="shared" ref="Q767:Q768" si="1136">SUM(O767:P767)</f>
        <v>0</v>
      </c>
      <c r="R767" s="118"/>
      <c r="S767" s="119"/>
      <c r="T767" s="117">
        <f t="shared" ref="T767:T768" si="1137">SUM(R767:S767)</f>
        <v>0</v>
      </c>
      <c r="U767" s="118"/>
      <c r="V767" s="119"/>
      <c r="W767" s="117">
        <f t="shared" ref="W767:W768" si="1138">SUM(U767:V767)</f>
        <v>0</v>
      </c>
      <c r="X767" s="119">
        <f t="shared" ref="X767:X768" si="1139">SUM(W767,T767,Q767)</f>
        <v>0</v>
      </c>
      <c r="Y767" s="101"/>
    </row>
    <row r="768" spans="2:25" x14ac:dyDescent="0.15">
      <c r="B768" s="7" t="s">
        <v>82</v>
      </c>
      <c r="C768" s="30"/>
      <c r="D768" s="25">
        <v>3</v>
      </c>
      <c r="E768" s="43">
        <f t="shared" si="1100"/>
        <v>3</v>
      </c>
      <c r="F768" s="35"/>
      <c r="G768" s="8"/>
      <c r="H768" s="43">
        <f t="shared" si="1093"/>
        <v>0</v>
      </c>
      <c r="I768" s="35"/>
      <c r="J768" s="8"/>
      <c r="K768" s="43">
        <f t="shared" si="1094"/>
        <v>0</v>
      </c>
      <c r="L768" s="8">
        <f t="shared" si="1095"/>
        <v>3</v>
      </c>
      <c r="M768" s="53">
        <v>45847</v>
      </c>
      <c r="N768" s="7" t="s">
        <v>371</v>
      </c>
      <c r="O768" s="30"/>
      <c r="P768" s="25"/>
      <c r="Q768" s="43">
        <f t="shared" si="1136"/>
        <v>0</v>
      </c>
      <c r="R768" s="35"/>
      <c r="S768" s="8"/>
      <c r="T768" s="43">
        <f t="shared" si="1137"/>
        <v>0</v>
      </c>
      <c r="U768" s="35"/>
      <c r="V768" s="8"/>
      <c r="W768" s="43">
        <f t="shared" si="1138"/>
        <v>0</v>
      </c>
      <c r="X768" s="8">
        <f t="shared" si="1139"/>
        <v>0</v>
      </c>
      <c r="Y768" s="52" t="s">
        <v>380</v>
      </c>
    </row>
    <row r="769" spans="2:25" x14ac:dyDescent="0.15">
      <c r="B769" s="7" t="s">
        <v>12</v>
      </c>
      <c r="C769" s="30"/>
      <c r="D769" s="25"/>
      <c r="E769" s="43">
        <f t="shared" si="1100"/>
        <v>0</v>
      </c>
      <c r="F769" s="35">
        <v>1</v>
      </c>
      <c r="G769" s="8"/>
      <c r="H769" s="43">
        <f t="shared" si="1093"/>
        <v>1</v>
      </c>
      <c r="I769" s="35"/>
      <c r="J769" s="8">
        <v>2</v>
      </c>
      <c r="K769" s="43">
        <f t="shared" si="1094"/>
        <v>2</v>
      </c>
      <c r="L769" s="8">
        <f t="shared" si="1095"/>
        <v>3</v>
      </c>
      <c r="M769" s="53">
        <v>45843</v>
      </c>
      <c r="N769" s="115" t="s">
        <v>375</v>
      </c>
      <c r="O769" s="116"/>
      <c r="P769" s="112"/>
      <c r="Q769" s="117">
        <f t="shared" si="1131"/>
        <v>0</v>
      </c>
      <c r="R769" s="118"/>
      <c r="S769" s="119"/>
      <c r="T769" s="117">
        <f t="shared" si="1132"/>
        <v>0</v>
      </c>
      <c r="U769" s="118"/>
      <c r="V769" s="119"/>
      <c r="W769" s="117">
        <f t="shared" si="1133"/>
        <v>0</v>
      </c>
      <c r="X769" s="119">
        <f t="shared" si="1134"/>
        <v>0</v>
      </c>
      <c r="Y769" s="101"/>
    </row>
    <row r="770" spans="2:25" x14ac:dyDescent="0.15">
      <c r="B770" s="7" t="s">
        <v>12</v>
      </c>
      <c r="C770" s="30">
        <v>1</v>
      </c>
      <c r="D770" s="25">
        <f>1+2+1+1</f>
        <v>5</v>
      </c>
      <c r="E770" s="43">
        <f t="shared" si="1100"/>
        <v>6</v>
      </c>
      <c r="F770" s="35"/>
      <c r="G770" s="8"/>
      <c r="H770" s="43">
        <f t="shared" si="1093"/>
        <v>0</v>
      </c>
      <c r="I770" s="35"/>
      <c r="J770" s="8">
        <v>1</v>
      </c>
      <c r="K770" s="43">
        <f t="shared" si="1094"/>
        <v>1</v>
      </c>
      <c r="L770" s="8">
        <f t="shared" si="1095"/>
        <v>7</v>
      </c>
      <c r="M770" s="53">
        <v>45845</v>
      </c>
      <c r="N770" s="7" t="s">
        <v>436</v>
      </c>
      <c r="O770" s="30"/>
      <c r="P770" s="25"/>
      <c r="Q770" s="43">
        <f t="shared" si="1131"/>
        <v>0</v>
      </c>
      <c r="R770" s="35"/>
      <c r="S770" s="8"/>
      <c r="T770" s="43">
        <f t="shared" si="1132"/>
        <v>0</v>
      </c>
      <c r="U770" s="35"/>
      <c r="V770" s="8"/>
      <c r="W770" s="43">
        <f t="shared" si="1133"/>
        <v>0</v>
      </c>
      <c r="X770" s="8">
        <f t="shared" si="1134"/>
        <v>0</v>
      </c>
      <c r="Y770" s="52" t="s">
        <v>381</v>
      </c>
    </row>
    <row r="771" spans="2:25" x14ac:dyDescent="0.15">
      <c r="B771" s="7" t="s">
        <v>83</v>
      </c>
      <c r="C771" s="30"/>
      <c r="D771" s="25">
        <v>1</v>
      </c>
      <c r="E771" s="43">
        <f t="shared" ref="E771:E772" si="1140">SUM(C771:D771)</f>
        <v>1</v>
      </c>
      <c r="F771" s="35"/>
      <c r="G771" s="8"/>
      <c r="H771" s="43">
        <f t="shared" ref="H771:H772" si="1141">SUM(F771:G771)</f>
        <v>0</v>
      </c>
      <c r="I771" s="35"/>
      <c r="J771" s="8"/>
      <c r="K771" s="43">
        <f t="shared" ref="K771:K772" si="1142">SUM(I771:J771)</f>
        <v>0</v>
      </c>
      <c r="L771" s="8">
        <f t="shared" ref="L771:L772" si="1143">SUM(K771,H771,E771)</f>
        <v>1</v>
      </c>
      <c r="M771" s="53">
        <v>45848</v>
      </c>
      <c r="N771" s="115" t="s">
        <v>467</v>
      </c>
      <c r="O771" s="116"/>
      <c r="P771" s="112"/>
      <c r="Q771" s="117">
        <f t="shared" si="1131"/>
        <v>0</v>
      </c>
      <c r="R771" s="118"/>
      <c r="S771" s="119"/>
      <c r="T771" s="117">
        <f t="shared" si="1132"/>
        <v>0</v>
      </c>
      <c r="U771" s="118"/>
      <c r="V771" s="119"/>
      <c r="W771" s="117">
        <f t="shared" si="1133"/>
        <v>0</v>
      </c>
      <c r="X771" s="119">
        <f t="shared" si="1134"/>
        <v>0</v>
      </c>
    </row>
    <row r="772" spans="2:25" ht="14.25" thickBot="1" x14ac:dyDescent="0.2">
      <c r="B772" s="7" t="s">
        <v>12</v>
      </c>
      <c r="C772" s="30"/>
      <c r="D772" s="25"/>
      <c r="E772" s="43">
        <f t="shared" si="1140"/>
        <v>0</v>
      </c>
      <c r="F772" s="35"/>
      <c r="G772" s="8"/>
      <c r="H772" s="43">
        <f t="shared" si="1141"/>
        <v>0</v>
      </c>
      <c r="I772" s="35">
        <v>2</v>
      </c>
      <c r="J772" s="8"/>
      <c r="K772" s="43">
        <f t="shared" si="1142"/>
        <v>2</v>
      </c>
      <c r="L772" s="8">
        <f t="shared" si="1143"/>
        <v>2</v>
      </c>
      <c r="M772" s="53">
        <v>45846</v>
      </c>
      <c r="N772" s="7" t="s">
        <v>468</v>
      </c>
      <c r="O772" s="30"/>
      <c r="P772" s="25"/>
      <c r="Q772" s="43">
        <f t="shared" si="1131"/>
        <v>0</v>
      </c>
      <c r="R772" s="35"/>
      <c r="S772" s="8"/>
      <c r="T772" s="43">
        <f t="shared" si="1132"/>
        <v>0</v>
      </c>
      <c r="U772" s="35"/>
      <c r="V772" s="8"/>
      <c r="W772" s="43">
        <f t="shared" si="1133"/>
        <v>0</v>
      </c>
      <c r="X772" s="8">
        <f t="shared" si="1134"/>
        <v>0</v>
      </c>
      <c r="Y772" s="52" t="s">
        <v>351</v>
      </c>
    </row>
    <row r="773" spans="2:25" ht="14.25" thickBot="1" x14ac:dyDescent="0.2">
      <c r="B773" s="5" t="s">
        <v>1</v>
      </c>
      <c r="C773" s="32">
        <f>SUM(C748:C772)</f>
        <v>4</v>
      </c>
      <c r="D773" s="19">
        <f>SUM(D748:D772)</f>
        <v>20</v>
      </c>
      <c r="E773" s="44">
        <f t="shared" si="1100"/>
        <v>24</v>
      </c>
      <c r="F773" s="32">
        <f>SUM(F748:F772)</f>
        <v>15</v>
      </c>
      <c r="G773" s="19">
        <f>SUM(G748:G772)</f>
        <v>16</v>
      </c>
      <c r="H773" s="44">
        <f t="shared" si="1093"/>
        <v>31</v>
      </c>
      <c r="I773" s="32">
        <f>SUM(I748:I772)</f>
        <v>24</v>
      </c>
      <c r="J773" s="19">
        <f>SUM(J748:J772)</f>
        <v>23</v>
      </c>
      <c r="K773" s="44">
        <f t="shared" si="1094"/>
        <v>47</v>
      </c>
      <c r="L773" s="4">
        <f t="shared" si="1095"/>
        <v>102</v>
      </c>
      <c r="N773" s="5" t="s">
        <v>1</v>
      </c>
      <c r="O773" s="32">
        <f>SUM(O748:O772)</f>
        <v>167</v>
      </c>
      <c r="P773" s="19">
        <f t="shared" ref="P773" si="1144">SUM(P748:P772)</f>
        <v>223</v>
      </c>
      <c r="Q773" s="44">
        <f t="shared" ref="Q773" si="1145">SUM(Q748:Q772)</f>
        <v>390</v>
      </c>
      <c r="R773" s="32">
        <f t="shared" ref="R773" si="1146">SUM(R748:R772)</f>
        <v>254</v>
      </c>
      <c r="S773" s="19">
        <f t="shared" ref="S773" si="1147">SUM(S748:S772)</f>
        <v>224</v>
      </c>
      <c r="T773" s="44">
        <f t="shared" ref="T773" si="1148">SUM(T748:T772)</f>
        <v>478</v>
      </c>
      <c r="U773" s="32">
        <f t="shared" ref="U773" si="1149">SUM(U748:U772)</f>
        <v>218</v>
      </c>
      <c r="V773" s="19">
        <f t="shared" ref="V773" si="1150">SUM(V748:V772)</f>
        <v>233</v>
      </c>
      <c r="W773" s="44">
        <f t="shared" ref="W773" si="1151">SUM(W748:W772)</f>
        <v>451</v>
      </c>
      <c r="X773" s="4">
        <f t="shared" ref="X773" si="1152">SUM(X748:X772)</f>
        <v>1319</v>
      </c>
    </row>
    <row r="774" spans="2:25" ht="14.25" thickBot="1" x14ac:dyDescent="0.2">
      <c r="B774" s="3" t="s">
        <v>0</v>
      </c>
      <c r="C774" s="34">
        <f>+C747-C773</f>
        <v>19</v>
      </c>
      <c r="D774" s="2">
        <f>+D747-D773</f>
        <v>3</v>
      </c>
      <c r="E774" s="45">
        <f t="shared" si="1100"/>
        <v>22</v>
      </c>
      <c r="F774" s="34">
        <f>+F747-F773</f>
        <v>15</v>
      </c>
      <c r="G774" s="2">
        <f>+G747-G773</f>
        <v>58</v>
      </c>
      <c r="H774" s="45">
        <f t="shared" si="1093"/>
        <v>73</v>
      </c>
      <c r="I774" s="34">
        <f>+I747-I773</f>
        <v>18</v>
      </c>
      <c r="J774" s="2">
        <f>+J747-J773</f>
        <v>16</v>
      </c>
      <c r="K774" s="45">
        <f t="shared" si="1094"/>
        <v>34</v>
      </c>
      <c r="L774" s="2">
        <f t="shared" si="1095"/>
        <v>129</v>
      </c>
      <c r="N774" s="3" t="s">
        <v>0</v>
      </c>
      <c r="O774" s="34">
        <f>+O747-O773</f>
        <v>838</v>
      </c>
      <c r="P774" s="2">
        <f t="shared" ref="P774" si="1153">+P747-P773</f>
        <v>902</v>
      </c>
      <c r="Q774" s="45">
        <f t="shared" ref="Q774" si="1154">+Q747-Q773</f>
        <v>1740</v>
      </c>
      <c r="R774" s="34">
        <f t="shared" ref="R774" si="1155">+R747-R773</f>
        <v>667</v>
      </c>
      <c r="S774" s="2">
        <f t="shared" ref="S774" si="1156">+S747-S773</f>
        <v>715</v>
      </c>
      <c r="T774" s="45">
        <f t="shared" ref="T774" si="1157">+T747-T773</f>
        <v>1382</v>
      </c>
      <c r="U774" s="34">
        <f t="shared" ref="U774" si="1158">+U747-U773</f>
        <v>472</v>
      </c>
      <c r="V774" s="2">
        <f t="shared" ref="V774" si="1159">+V747-V773</f>
        <v>498</v>
      </c>
      <c r="W774" s="45">
        <f t="shared" ref="W774" si="1160">+W747-W773</f>
        <v>970</v>
      </c>
      <c r="X774" s="2">
        <f t="shared" ref="X774" si="1161">+X747-X773</f>
        <v>4092</v>
      </c>
    </row>
    <row r="775" spans="2:25" x14ac:dyDescent="0.15">
      <c r="B775" s="1" t="s">
        <v>473</v>
      </c>
      <c r="C775">
        <v>75</v>
      </c>
      <c r="F775">
        <v>0</v>
      </c>
      <c r="I775">
        <v>31</v>
      </c>
      <c r="N775" s="144" t="s">
        <v>372</v>
      </c>
      <c r="O775" s="89">
        <v>130</v>
      </c>
      <c r="P775" s="89">
        <v>145</v>
      </c>
      <c r="Q775" s="89">
        <f>SUM(O775:P775)</f>
        <v>275</v>
      </c>
      <c r="R775" s="89">
        <v>165</v>
      </c>
      <c r="S775" s="89">
        <v>130</v>
      </c>
      <c r="T775" s="89">
        <f>SUM(R775:S775)</f>
        <v>295</v>
      </c>
      <c r="U775" s="89">
        <v>90</v>
      </c>
      <c r="V775" s="89">
        <v>65</v>
      </c>
      <c r="W775" s="89">
        <f>SUM(U775:V775)</f>
        <v>155</v>
      </c>
    </row>
    <row r="776" spans="2:25" x14ac:dyDescent="0.15">
      <c r="N776" s="136"/>
      <c r="O776" s="89"/>
      <c r="P776" s="89"/>
      <c r="Q776" s="89"/>
      <c r="R776" s="89"/>
      <c r="S776" s="89"/>
      <c r="T776" s="89"/>
      <c r="U776" s="89"/>
      <c r="V776" s="89"/>
      <c r="W776" s="89"/>
      <c r="X776" s="89"/>
    </row>
    <row r="777" spans="2:25" x14ac:dyDescent="0.15">
      <c r="N777" s="145"/>
      <c r="O777" s="139"/>
      <c r="P777" s="139"/>
      <c r="Q777" s="139"/>
      <c r="R777" s="139"/>
      <c r="S777" s="139"/>
      <c r="T777" s="139"/>
      <c r="U777" s="139"/>
      <c r="V777" s="139"/>
      <c r="W777" s="139"/>
      <c r="X777" s="139"/>
    </row>
    <row r="778" spans="2:25" ht="18.75" x14ac:dyDescent="0.2">
      <c r="B778" s="23" t="s">
        <v>11</v>
      </c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N778" s="47" t="s">
        <v>25</v>
      </c>
      <c r="O778" s="48"/>
      <c r="P778" s="48"/>
      <c r="Q778" s="48"/>
      <c r="R778" s="48"/>
      <c r="S778" s="48"/>
      <c r="T778" s="48"/>
      <c r="U778" s="48"/>
      <c r="V778" s="48"/>
      <c r="W778" s="48"/>
      <c r="X778" s="48"/>
    </row>
    <row r="779" spans="2:25" ht="15" thickBot="1" x14ac:dyDescent="0.2">
      <c r="B779" s="22" t="s">
        <v>147</v>
      </c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N779" s="49" t="s">
        <v>148</v>
      </c>
      <c r="O779" s="48"/>
      <c r="P779" s="48"/>
      <c r="Q779" s="48"/>
      <c r="R779" s="48"/>
      <c r="S779" s="48"/>
      <c r="T779" s="48"/>
      <c r="U779" s="48"/>
      <c r="V779" s="48"/>
      <c r="W779" s="48"/>
      <c r="X779" s="48"/>
    </row>
    <row r="780" spans="2:25" ht="14.25" thickBot="1" x14ac:dyDescent="0.2">
      <c r="B780" s="20"/>
      <c r="C780" s="208" t="s">
        <v>9</v>
      </c>
      <c r="D780" s="209"/>
      <c r="E780" s="210"/>
      <c r="F780" s="208" t="s">
        <v>8</v>
      </c>
      <c r="G780" s="209"/>
      <c r="H780" s="210"/>
      <c r="I780" s="208" t="s">
        <v>7</v>
      </c>
      <c r="J780" s="209"/>
      <c r="K780" s="210"/>
      <c r="L780" s="19"/>
      <c r="N780" s="20"/>
      <c r="O780" s="113" t="s">
        <v>9</v>
      </c>
      <c r="P780" s="114"/>
      <c r="Q780" s="123">
        <v>890</v>
      </c>
      <c r="R780" s="113" t="s">
        <v>8</v>
      </c>
      <c r="S780" s="114"/>
      <c r="T780" s="123">
        <v>980</v>
      </c>
      <c r="U780" s="113" t="s">
        <v>7</v>
      </c>
      <c r="V780" s="114"/>
      <c r="W780" s="123">
        <v>1080</v>
      </c>
      <c r="X780" s="19"/>
    </row>
    <row r="781" spans="2:25" ht="14.25" thickBot="1" x14ac:dyDescent="0.2">
      <c r="B781" s="18"/>
      <c r="C781" s="28" t="s">
        <v>6</v>
      </c>
      <c r="D781" s="17" t="s">
        <v>5</v>
      </c>
      <c r="E781" s="38" t="s">
        <v>4</v>
      </c>
      <c r="F781" s="28" t="s">
        <v>6</v>
      </c>
      <c r="G781" s="17" t="s">
        <v>5</v>
      </c>
      <c r="H781" s="38" t="s">
        <v>4</v>
      </c>
      <c r="I781" s="28" t="s">
        <v>6</v>
      </c>
      <c r="J781" s="17" t="s">
        <v>5</v>
      </c>
      <c r="K781" s="38" t="s">
        <v>4</v>
      </c>
      <c r="L781" s="17" t="s">
        <v>4</v>
      </c>
      <c r="N781" s="18"/>
      <c r="O781" s="28" t="s">
        <v>6</v>
      </c>
      <c r="P781" s="17" t="s">
        <v>5</v>
      </c>
      <c r="Q781" s="38" t="s">
        <v>4</v>
      </c>
      <c r="R781" s="28" t="s">
        <v>6</v>
      </c>
      <c r="S781" s="17" t="s">
        <v>5</v>
      </c>
      <c r="T781" s="38" t="s">
        <v>4</v>
      </c>
      <c r="U781" s="28" t="s">
        <v>6</v>
      </c>
      <c r="V781" s="17" t="s">
        <v>5</v>
      </c>
      <c r="W781" s="38" t="s">
        <v>4</v>
      </c>
      <c r="X781" s="17" t="s">
        <v>4</v>
      </c>
    </row>
    <row r="782" spans="2:25" x14ac:dyDescent="0.15">
      <c r="B782" s="66" t="s">
        <v>0</v>
      </c>
      <c r="C782" s="67">
        <f>C774</f>
        <v>19</v>
      </c>
      <c r="D782" s="68">
        <f t="shared" ref="D782:K782" si="1162">D774</f>
        <v>3</v>
      </c>
      <c r="E782" s="69">
        <f t="shared" si="1162"/>
        <v>22</v>
      </c>
      <c r="F782" s="67">
        <f t="shared" si="1162"/>
        <v>15</v>
      </c>
      <c r="G782" s="68">
        <f t="shared" si="1162"/>
        <v>58</v>
      </c>
      <c r="H782" s="69">
        <f t="shared" si="1162"/>
        <v>73</v>
      </c>
      <c r="I782" s="67">
        <f t="shared" si="1162"/>
        <v>18</v>
      </c>
      <c r="J782" s="68">
        <f t="shared" si="1162"/>
        <v>16</v>
      </c>
      <c r="K782" s="69">
        <f t="shared" si="1162"/>
        <v>34</v>
      </c>
      <c r="L782" s="70">
        <f>SUM(K782,H782,E782)</f>
        <v>129</v>
      </c>
      <c r="N782" s="66" t="s">
        <v>0</v>
      </c>
      <c r="O782" s="72">
        <f>O774</f>
        <v>838</v>
      </c>
      <c r="P782" s="80">
        <f t="shared" ref="P782:X782" si="1163">P774</f>
        <v>902</v>
      </c>
      <c r="Q782" s="69">
        <f t="shared" si="1163"/>
        <v>1740</v>
      </c>
      <c r="R782" s="72">
        <f t="shared" si="1163"/>
        <v>667</v>
      </c>
      <c r="S782" s="80">
        <f t="shared" si="1163"/>
        <v>715</v>
      </c>
      <c r="T782" s="69">
        <f t="shared" si="1163"/>
        <v>1382</v>
      </c>
      <c r="U782" s="72">
        <f t="shared" si="1163"/>
        <v>472</v>
      </c>
      <c r="V782" s="80">
        <f t="shared" si="1163"/>
        <v>498</v>
      </c>
      <c r="W782" s="69">
        <f t="shared" si="1163"/>
        <v>970</v>
      </c>
      <c r="X782" s="70">
        <f t="shared" si="1163"/>
        <v>4092</v>
      </c>
    </row>
    <row r="783" spans="2:25" x14ac:dyDescent="0.15">
      <c r="B783" s="55" t="s">
        <v>3</v>
      </c>
      <c r="C783" s="30"/>
      <c r="D783" s="25">
        <v>10</v>
      </c>
      <c r="E783" s="40">
        <f t="shared" ref="E783:E784" si="1164">SUM(C783:D783)</f>
        <v>10</v>
      </c>
      <c r="F783" s="35"/>
      <c r="G783" s="8"/>
      <c r="H783" s="40">
        <f t="shared" ref="H783:H815" si="1165">SUM(F783:G783)</f>
        <v>0</v>
      </c>
      <c r="I783" s="35"/>
      <c r="J783" s="8"/>
      <c r="K783" s="40">
        <f t="shared" ref="K783:K815" si="1166">SUM(I783:J783)</f>
        <v>0</v>
      </c>
      <c r="L783" s="9">
        <f t="shared" ref="L783:L815" si="1167">SUM(K783,H783,E783)</f>
        <v>10</v>
      </c>
      <c r="M783" s="53">
        <v>45847</v>
      </c>
      <c r="N783" s="55" t="s">
        <v>3</v>
      </c>
      <c r="O783" s="62"/>
      <c r="P783" s="81"/>
      <c r="Q783" s="40">
        <f t="shared" ref="Q783:Q813" si="1168">SUM(O783:P783)</f>
        <v>0</v>
      </c>
      <c r="R783" s="78"/>
      <c r="S783" s="82"/>
      <c r="T783" s="40">
        <f t="shared" ref="T783:T813" si="1169">SUM(R783:S783)</f>
        <v>0</v>
      </c>
      <c r="U783" s="78"/>
      <c r="V783" s="82"/>
      <c r="W783" s="40">
        <f t="shared" ref="W783:W813" si="1170">SUM(U783:V783)</f>
        <v>0</v>
      </c>
      <c r="X783" s="25">
        <f t="shared" ref="X783:X813" si="1171">SUM(W783,T783,Q783)</f>
        <v>0</v>
      </c>
    </row>
    <row r="784" spans="2:25" x14ac:dyDescent="0.15">
      <c r="B784" s="55" t="s">
        <v>3</v>
      </c>
      <c r="C784" s="30">
        <v>10</v>
      </c>
      <c r="D784" s="25"/>
      <c r="E784" s="40">
        <f t="shared" si="1164"/>
        <v>10</v>
      </c>
      <c r="F784" s="35">
        <v>10</v>
      </c>
      <c r="G784" s="8"/>
      <c r="H784" s="40">
        <f t="shared" si="1165"/>
        <v>10</v>
      </c>
      <c r="I784" s="35">
        <v>10</v>
      </c>
      <c r="J784" s="8"/>
      <c r="K784" s="40">
        <f t="shared" si="1166"/>
        <v>10</v>
      </c>
      <c r="L784" s="9">
        <f t="shared" si="1167"/>
        <v>30</v>
      </c>
      <c r="M784" s="53">
        <v>45848</v>
      </c>
      <c r="N784" s="55" t="s">
        <v>3</v>
      </c>
      <c r="O784" s="78"/>
      <c r="P784" s="82"/>
      <c r="Q784" s="64">
        <f t="shared" ref="Q784:Q785" si="1172">SUM(O784:P784)</f>
        <v>0</v>
      </c>
      <c r="R784" s="78"/>
      <c r="S784" s="82"/>
      <c r="T784" s="64">
        <f t="shared" ref="T784:T785" si="1173">SUM(R784:S784)</f>
        <v>0</v>
      </c>
      <c r="U784" s="78"/>
      <c r="V784" s="82"/>
      <c r="W784" s="64">
        <f t="shared" ref="W784:W785" si="1174">SUM(U784:V784)</f>
        <v>0</v>
      </c>
      <c r="X784" s="8">
        <f t="shared" ref="X784:X785" si="1175">SUM(W784,T784,Q784)</f>
        <v>0</v>
      </c>
    </row>
    <row r="785" spans="2:25" x14ac:dyDescent="0.15">
      <c r="B785" s="55" t="s">
        <v>3</v>
      </c>
      <c r="C785" s="30"/>
      <c r="D785" s="25">
        <v>15</v>
      </c>
      <c r="E785" s="40">
        <f t="shared" ref="E785:E815" si="1176">SUM(C785:D785)</f>
        <v>15</v>
      </c>
      <c r="F785" s="35"/>
      <c r="G785" s="8"/>
      <c r="H785" s="40">
        <f t="shared" si="1165"/>
        <v>0</v>
      </c>
      <c r="I785" s="35"/>
      <c r="J785" s="8">
        <v>15</v>
      </c>
      <c r="K785" s="40">
        <f t="shared" si="1166"/>
        <v>15</v>
      </c>
      <c r="L785" s="9">
        <f t="shared" si="1167"/>
        <v>30</v>
      </c>
      <c r="M785" s="53">
        <v>45849</v>
      </c>
      <c r="N785" s="55" t="s">
        <v>3</v>
      </c>
      <c r="O785" s="78"/>
      <c r="P785" s="82"/>
      <c r="Q785" s="64">
        <f t="shared" si="1172"/>
        <v>0</v>
      </c>
      <c r="R785" s="78"/>
      <c r="S785" s="82"/>
      <c r="T785" s="64">
        <f t="shared" si="1173"/>
        <v>0</v>
      </c>
      <c r="U785" s="78"/>
      <c r="V785" s="82"/>
      <c r="W785" s="64">
        <f t="shared" si="1174"/>
        <v>0</v>
      </c>
      <c r="X785" s="8">
        <f t="shared" si="1175"/>
        <v>0</v>
      </c>
    </row>
    <row r="786" spans="2:25" x14ac:dyDescent="0.15">
      <c r="B786" s="55" t="s">
        <v>3</v>
      </c>
      <c r="C786" s="30">
        <v>5</v>
      </c>
      <c r="D786" s="25">
        <v>10</v>
      </c>
      <c r="E786" s="40">
        <f t="shared" si="1176"/>
        <v>15</v>
      </c>
      <c r="F786" s="35">
        <v>5</v>
      </c>
      <c r="G786" s="8">
        <v>10</v>
      </c>
      <c r="H786" s="40">
        <f t="shared" si="1165"/>
        <v>15</v>
      </c>
      <c r="I786" s="35">
        <v>5</v>
      </c>
      <c r="J786" s="8">
        <v>10</v>
      </c>
      <c r="K786" s="40">
        <f t="shared" si="1166"/>
        <v>15</v>
      </c>
      <c r="L786" s="9">
        <f t="shared" si="1167"/>
        <v>45</v>
      </c>
      <c r="M786" s="53">
        <v>45852</v>
      </c>
      <c r="N786" s="55" t="s">
        <v>3</v>
      </c>
      <c r="O786" s="78"/>
      <c r="P786" s="82"/>
      <c r="Q786" s="64">
        <f t="shared" si="1168"/>
        <v>0</v>
      </c>
      <c r="R786" s="78"/>
      <c r="S786" s="82"/>
      <c r="T786" s="64">
        <f t="shared" si="1169"/>
        <v>0</v>
      </c>
      <c r="U786" s="78"/>
      <c r="V786" s="82"/>
      <c r="W786" s="64">
        <f t="shared" si="1170"/>
        <v>0</v>
      </c>
      <c r="X786" s="8">
        <f t="shared" si="1171"/>
        <v>0</v>
      </c>
    </row>
    <row r="787" spans="2:25" ht="14.25" thickBot="1" x14ac:dyDescent="0.2">
      <c r="B787" s="55" t="s">
        <v>3</v>
      </c>
      <c r="C787" s="76"/>
      <c r="D787" s="83"/>
      <c r="E787" s="41">
        <f t="shared" si="1176"/>
        <v>0</v>
      </c>
      <c r="F787" s="76">
        <v>15</v>
      </c>
      <c r="G787" s="83"/>
      <c r="H787" s="41">
        <f t="shared" si="1165"/>
        <v>15</v>
      </c>
      <c r="I787" s="76">
        <v>20</v>
      </c>
      <c r="J787" s="83">
        <v>15</v>
      </c>
      <c r="K787" s="41">
        <f t="shared" si="1166"/>
        <v>35</v>
      </c>
      <c r="L787" s="77">
        <f t="shared" si="1167"/>
        <v>50</v>
      </c>
      <c r="M787" s="53">
        <v>45853</v>
      </c>
      <c r="N787" s="75" t="s">
        <v>3</v>
      </c>
      <c r="O787" s="76"/>
      <c r="P787" s="83"/>
      <c r="Q787" s="41">
        <f t="shared" si="1168"/>
        <v>0</v>
      </c>
      <c r="R787" s="76"/>
      <c r="S787" s="83"/>
      <c r="T787" s="41">
        <f t="shared" si="1169"/>
        <v>0</v>
      </c>
      <c r="U787" s="76"/>
      <c r="V787" s="83"/>
      <c r="W787" s="41">
        <f t="shared" si="1170"/>
        <v>0</v>
      </c>
      <c r="X787" s="77">
        <f t="shared" si="1171"/>
        <v>0</v>
      </c>
    </row>
    <row r="788" spans="2:25" ht="14.25" thickBot="1" x14ac:dyDescent="0.2">
      <c r="B788" s="5" t="s">
        <v>2</v>
      </c>
      <c r="C788" s="32">
        <f>SUM(C782:C787)</f>
        <v>34</v>
      </c>
      <c r="D788" s="19">
        <f>SUM(D782:D787)</f>
        <v>38</v>
      </c>
      <c r="E788" s="42">
        <f t="shared" si="1176"/>
        <v>72</v>
      </c>
      <c r="F788" s="32">
        <f>SUM(F782:F787)</f>
        <v>45</v>
      </c>
      <c r="G788" s="19">
        <f>SUM(G782:G787)</f>
        <v>68</v>
      </c>
      <c r="H788" s="42">
        <f t="shared" si="1165"/>
        <v>113</v>
      </c>
      <c r="I788" s="32">
        <f>SUM(I782:I787)</f>
        <v>53</v>
      </c>
      <c r="J788" s="19">
        <f>SUM(J782:J787)</f>
        <v>56</v>
      </c>
      <c r="K788" s="42">
        <f t="shared" si="1166"/>
        <v>109</v>
      </c>
      <c r="L788" s="13">
        <f t="shared" si="1167"/>
        <v>294</v>
      </c>
      <c r="N788" s="63" t="s">
        <v>2</v>
      </c>
      <c r="O788" s="32">
        <f>SUM(O782:O787)</f>
        <v>838</v>
      </c>
      <c r="P788" s="19">
        <f t="shared" ref="P788" si="1177">SUM(P782:P787)</f>
        <v>902</v>
      </c>
      <c r="Q788" s="42">
        <f t="shared" ref="Q788" si="1178">SUM(Q782:Q787)</f>
        <v>1740</v>
      </c>
      <c r="R788" s="32">
        <f t="shared" ref="R788" si="1179">SUM(R782:R787)</f>
        <v>667</v>
      </c>
      <c r="S788" s="19">
        <f t="shared" ref="S788" si="1180">SUM(S782:S787)</f>
        <v>715</v>
      </c>
      <c r="T788" s="42">
        <f t="shared" ref="T788" si="1181">SUM(T782:T787)</f>
        <v>1382</v>
      </c>
      <c r="U788" s="32">
        <f t="shared" ref="U788" si="1182">SUM(U782:U787)</f>
        <v>472</v>
      </c>
      <c r="V788" s="19">
        <f t="shared" ref="V788" si="1183">SUM(V782:V787)</f>
        <v>498</v>
      </c>
      <c r="W788" s="42">
        <f t="shared" ref="W788" si="1184">SUM(W782:W787)</f>
        <v>970</v>
      </c>
      <c r="X788" s="13">
        <f t="shared" ref="X788" si="1185">SUM(X782:X787)</f>
        <v>4092</v>
      </c>
    </row>
    <row r="789" spans="2:25" x14ac:dyDescent="0.15">
      <c r="B789" s="7" t="s">
        <v>84</v>
      </c>
      <c r="C789" s="30"/>
      <c r="D789" s="25">
        <v>1</v>
      </c>
      <c r="E789" s="43">
        <f t="shared" ref="E789" si="1186">SUM(C789:D789)</f>
        <v>1</v>
      </c>
      <c r="F789" s="35">
        <v>1</v>
      </c>
      <c r="G789" s="8"/>
      <c r="H789" s="43">
        <f t="shared" ref="H789" si="1187">SUM(F789:G789)</f>
        <v>1</v>
      </c>
      <c r="I789" s="35">
        <v>7</v>
      </c>
      <c r="J789" s="8"/>
      <c r="K789" s="43">
        <f t="shared" ref="K789" si="1188">SUM(I789:J789)</f>
        <v>7</v>
      </c>
      <c r="L789" s="8">
        <f t="shared" ref="L789" si="1189">SUM(K789,H789,E789)</f>
        <v>9</v>
      </c>
      <c r="M789" s="53">
        <v>45849</v>
      </c>
      <c r="N789" s="7" t="s">
        <v>462</v>
      </c>
      <c r="O789" s="30">
        <v>15</v>
      </c>
      <c r="P789" s="25">
        <v>10</v>
      </c>
      <c r="Q789" s="43">
        <f t="shared" si="1168"/>
        <v>25</v>
      </c>
      <c r="R789" s="35">
        <v>20</v>
      </c>
      <c r="S789" s="8">
        <v>15</v>
      </c>
      <c r="T789" s="43">
        <f t="shared" si="1169"/>
        <v>35</v>
      </c>
      <c r="U789" s="35">
        <v>10</v>
      </c>
      <c r="V789" s="8">
        <v>25</v>
      </c>
      <c r="W789" s="43">
        <f t="shared" si="1170"/>
        <v>35</v>
      </c>
      <c r="X789" s="8">
        <f t="shared" si="1171"/>
        <v>95</v>
      </c>
      <c r="Y789" s="53">
        <v>45852</v>
      </c>
    </row>
    <row r="790" spans="2:25" x14ac:dyDescent="0.15">
      <c r="B790" s="7" t="s">
        <v>460</v>
      </c>
      <c r="C790" s="30"/>
      <c r="D790" s="25"/>
      <c r="E790" s="43">
        <f t="shared" si="1176"/>
        <v>0</v>
      </c>
      <c r="F790" s="35"/>
      <c r="G790" s="8"/>
      <c r="H790" s="43">
        <f t="shared" si="1165"/>
        <v>0</v>
      </c>
      <c r="I790" s="35"/>
      <c r="J790" s="8">
        <v>1</v>
      </c>
      <c r="K790" s="43">
        <f t="shared" si="1166"/>
        <v>1</v>
      </c>
      <c r="L790" s="8">
        <f t="shared" si="1167"/>
        <v>1</v>
      </c>
      <c r="M790" s="53">
        <v>45848</v>
      </c>
      <c r="N790" s="7" t="s">
        <v>28</v>
      </c>
      <c r="O790" s="30"/>
      <c r="P790" s="25">
        <v>15</v>
      </c>
      <c r="Q790" s="43">
        <f t="shared" si="1168"/>
        <v>15</v>
      </c>
      <c r="R790" s="35"/>
      <c r="S790" s="8"/>
      <c r="T790" s="43">
        <f t="shared" si="1169"/>
        <v>0</v>
      </c>
      <c r="U790" s="35"/>
      <c r="V790" s="8">
        <v>15</v>
      </c>
      <c r="W790" s="43">
        <f t="shared" si="1170"/>
        <v>15</v>
      </c>
      <c r="X790" s="8">
        <f t="shared" si="1171"/>
        <v>30</v>
      </c>
      <c r="Y790" s="53">
        <v>45849</v>
      </c>
    </row>
    <row r="791" spans="2:25" x14ac:dyDescent="0.15">
      <c r="B791" s="7" t="s">
        <v>85</v>
      </c>
      <c r="C791" s="30"/>
      <c r="D791" s="25">
        <v>6</v>
      </c>
      <c r="E791" s="43">
        <f t="shared" si="1176"/>
        <v>6</v>
      </c>
      <c r="F791" s="35">
        <v>2</v>
      </c>
      <c r="G791" s="8">
        <v>2</v>
      </c>
      <c r="H791" s="43">
        <f t="shared" si="1165"/>
        <v>4</v>
      </c>
      <c r="I791" s="35"/>
      <c r="J791" s="8">
        <v>3</v>
      </c>
      <c r="K791" s="43">
        <f t="shared" si="1166"/>
        <v>3</v>
      </c>
      <c r="L791" s="8">
        <f t="shared" si="1167"/>
        <v>13</v>
      </c>
      <c r="M791" s="53">
        <v>45849</v>
      </c>
      <c r="N791" s="7" t="s">
        <v>466</v>
      </c>
      <c r="O791" s="30"/>
      <c r="P791" s="25">
        <v>10</v>
      </c>
      <c r="Q791" s="43">
        <f t="shared" si="1168"/>
        <v>10</v>
      </c>
      <c r="R791" s="35"/>
      <c r="S791" s="8"/>
      <c r="T791" s="43">
        <f t="shared" si="1169"/>
        <v>0</v>
      </c>
      <c r="U791" s="35"/>
      <c r="V791" s="8"/>
      <c r="W791" s="43">
        <f t="shared" si="1170"/>
        <v>0</v>
      </c>
      <c r="X791" s="8">
        <f t="shared" si="1171"/>
        <v>10</v>
      </c>
      <c r="Y791" s="53">
        <v>45850</v>
      </c>
    </row>
    <row r="792" spans="2:25" x14ac:dyDescent="0.15">
      <c r="B792" s="7" t="s">
        <v>86</v>
      </c>
      <c r="C792" s="30"/>
      <c r="D792" s="25">
        <v>2</v>
      </c>
      <c r="E792" s="43">
        <f t="shared" si="1176"/>
        <v>2</v>
      </c>
      <c r="F792" s="35">
        <v>6</v>
      </c>
      <c r="G792" s="8">
        <v>2</v>
      </c>
      <c r="H792" s="43">
        <f t="shared" si="1165"/>
        <v>8</v>
      </c>
      <c r="I792" s="35">
        <v>3</v>
      </c>
      <c r="J792" s="8">
        <v>13</v>
      </c>
      <c r="K792" s="43">
        <f t="shared" si="1166"/>
        <v>16</v>
      </c>
      <c r="L792" s="8">
        <f t="shared" si="1167"/>
        <v>26</v>
      </c>
      <c r="M792" s="53">
        <v>45852</v>
      </c>
      <c r="N792" s="7" t="s">
        <v>28</v>
      </c>
      <c r="O792" s="30">
        <v>5</v>
      </c>
      <c r="P792" s="25">
        <v>10</v>
      </c>
      <c r="Q792" s="43">
        <f t="shared" si="1168"/>
        <v>15</v>
      </c>
      <c r="R792" s="35">
        <v>5</v>
      </c>
      <c r="S792" s="8">
        <v>10</v>
      </c>
      <c r="T792" s="43">
        <f t="shared" si="1169"/>
        <v>15</v>
      </c>
      <c r="U792" s="35">
        <v>5</v>
      </c>
      <c r="V792" s="8">
        <v>10</v>
      </c>
      <c r="W792" s="43">
        <f t="shared" si="1170"/>
        <v>15</v>
      </c>
      <c r="X792" s="8">
        <f t="shared" si="1171"/>
        <v>45</v>
      </c>
      <c r="Y792" s="53">
        <v>45852</v>
      </c>
    </row>
    <row r="793" spans="2:25" x14ac:dyDescent="0.15">
      <c r="B793" s="7" t="s">
        <v>12</v>
      </c>
      <c r="C793" s="30"/>
      <c r="D793" s="25">
        <v>1</v>
      </c>
      <c r="E793" s="43">
        <f t="shared" si="1176"/>
        <v>1</v>
      </c>
      <c r="F793" s="35"/>
      <c r="G793" s="8"/>
      <c r="H793" s="43">
        <f t="shared" si="1165"/>
        <v>0</v>
      </c>
      <c r="I793" s="35"/>
      <c r="J793" s="8"/>
      <c r="K793" s="43">
        <f t="shared" si="1166"/>
        <v>0</v>
      </c>
      <c r="L793" s="8">
        <f t="shared" si="1167"/>
        <v>1</v>
      </c>
      <c r="M793" s="53">
        <v>45849</v>
      </c>
      <c r="N793" s="7" t="s">
        <v>28</v>
      </c>
      <c r="O793" s="30"/>
      <c r="P793" s="25"/>
      <c r="Q793" s="43">
        <f t="shared" si="1168"/>
        <v>0</v>
      </c>
      <c r="R793" s="35">
        <v>15</v>
      </c>
      <c r="S793" s="8"/>
      <c r="T793" s="43">
        <f t="shared" si="1169"/>
        <v>15</v>
      </c>
      <c r="U793" s="35">
        <v>20</v>
      </c>
      <c r="V793" s="8">
        <v>15</v>
      </c>
      <c r="W793" s="43">
        <f t="shared" si="1170"/>
        <v>35</v>
      </c>
      <c r="X793" s="8">
        <f t="shared" si="1171"/>
        <v>50</v>
      </c>
      <c r="Y793" s="53">
        <v>45853</v>
      </c>
    </row>
    <row r="794" spans="2:25" x14ac:dyDescent="0.15">
      <c r="B794" s="7" t="s">
        <v>87</v>
      </c>
      <c r="C794" s="30">
        <v>4</v>
      </c>
      <c r="D794" s="25">
        <v>6</v>
      </c>
      <c r="E794" s="43">
        <f t="shared" si="1176"/>
        <v>10</v>
      </c>
      <c r="F794" s="35">
        <v>9</v>
      </c>
      <c r="G794" s="8">
        <v>5</v>
      </c>
      <c r="H794" s="43">
        <f t="shared" si="1165"/>
        <v>14</v>
      </c>
      <c r="I794" s="35">
        <v>15</v>
      </c>
      <c r="J794" s="8">
        <v>12</v>
      </c>
      <c r="K794" s="43">
        <f t="shared" si="1166"/>
        <v>27</v>
      </c>
      <c r="L794" s="8">
        <f t="shared" si="1167"/>
        <v>51</v>
      </c>
      <c r="M794" s="53">
        <v>45854</v>
      </c>
      <c r="N794" s="7" t="s">
        <v>465</v>
      </c>
      <c r="O794" s="30">
        <v>3</v>
      </c>
      <c r="P794" s="25">
        <v>2</v>
      </c>
      <c r="Q794" s="43">
        <f t="shared" si="1168"/>
        <v>5</v>
      </c>
      <c r="R794" s="35">
        <v>2</v>
      </c>
      <c r="S794" s="8"/>
      <c r="T794" s="43">
        <f t="shared" si="1169"/>
        <v>2</v>
      </c>
      <c r="U794" s="35">
        <v>2</v>
      </c>
      <c r="V794" s="8">
        <v>3</v>
      </c>
      <c r="W794" s="43">
        <f t="shared" si="1170"/>
        <v>5</v>
      </c>
      <c r="X794" s="8">
        <f t="shared" si="1171"/>
        <v>12</v>
      </c>
      <c r="Y794" s="53">
        <v>45856</v>
      </c>
    </row>
    <row r="795" spans="2:25" x14ac:dyDescent="0.15">
      <c r="B795" s="7" t="s">
        <v>12</v>
      </c>
      <c r="C795" s="30">
        <v>1</v>
      </c>
      <c r="D795" s="25"/>
      <c r="E795" s="43">
        <f t="shared" si="1176"/>
        <v>1</v>
      </c>
      <c r="F795" s="35">
        <v>2</v>
      </c>
      <c r="G795" s="8"/>
      <c r="H795" s="43">
        <f t="shared" si="1165"/>
        <v>2</v>
      </c>
      <c r="I795" s="35"/>
      <c r="J795" s="8">
        <v>1</v>
      </c>
      <c r="K795" s="43">
        <f t="shared" si="1166"/>
        <v>1</v>
      </c>
      <c r="L795" s="8">
        <f t="shared" si="1167"/>
        <v>4</v>
      </c>
      <c r="M795" s="53">
        <v>45852</v>
      </c>
      <c r="N795" s="7" t="s">
        <v>28</v>
      </c>
      <c r="O795" s="30">
        <v>5</v>
      </c>
      <c r="P795" s="25">
        <v>5</v>
      </c>
      <c r="Q795" s="43">
        <f t="shared" si="1168"/>
        <v>10</v>
      </c>
      <c r="R795" s="35">
        <v>31</v>
      </c>
      <c r="S795" s="8"/>
      <c r="T795" s="43">
        <f t="shared" si="1169"/>
        <v>31</v>
      </c>
      <c r="U795" s="35"/>
      <c r="V795" s="8"/>
      <c r="W795" s="43">
        <f t="shared" si="1170"/>
        <v>0</v>
      </c>
      <c r="X795" s="8">
        <f t="shared" si="1171"/>
        <v>41</v>
      </c>
      <c r="Y795" s="53">
        <v>45857</v>
      </c>
    </row>
    <row r="796" spans="2:25" x14ac:dyDescent="0.15">
      <c r="B796" s="7" t="s">
        <v>88</v>
      </c>
      <c r="C796" s="30">
        <v>2</v>
      </c>
      <c r="D796" s="25"/>
      <c r="E796" s="43">
        <f t="shared" si="1176"/>
        <v>2</v>
      </c>
      <c r="F796" s="35">
        <v>2</v>
      </c>
      <c r="G796" s="8">
        <v>9</v>
      </c>
      <c r="H796" s="43">
        <f t="shared" si="1165"/>
        <v>11</v>
      </c>
      <c r="I796" s="35"/>
      <c r="J796" s="8"/>
      <c r="K796" s="43">
        <f t="shared" si="1166"/>
        <v>0</v>
      </c>
      <c r="L796" s="8">
        <f t="shared" si="1167"/>
        <v>13</v>
      </c>
      <c r="M796" s="53">
        <v>45855</v>
      </c>
      <c r="N796" s="7" t="s">
        <v>472</v>
      </c>
      <c r="O796" s="30">
        <v>70</v>
      </c>
      <c r="P796" s="25">
        <v>90</v>
      </c>
      <c r="Q796" s="43">
        <f t="shared" si="1168"/>
        <v>160</v>
      </c>
      <c r="R796" s="35">
        <v>55</v>
      </c>
      <c r="S796" s="8">
        <v>60</v>
      </c>
      <c r="T796" s="43">
        <f t="shared" si="1169"/>
        <v>115</v>
      </c>
      <c r="U796" s="35"/>
      <c r="V796" s="8">
        <v>10</v>
      </c>
      <c r="W796" s="43">
        <f t="shared" si="1170"/>
        <v>10</v>
      </c>
      <c r="X796" s="8">
        <f t="shared" si="1171"/>
        <v>285</v>
      </c>
      <c r="Y796" s="53">
        <v>45862</v>
      </c>
    </row>
    <row r="797" spans="2:25" x14ac:dyDescent="0.15">
      <c r="B797" s="7" t="s">
        <v>12</v>
      </c>
      <c r="C797" s="30"/>
      <c r="D797" s="25"/>
      <c r="E797" s="43">
        <f t="shared" si="1176"/>
        <v>0</v>
      </c>
      <c r="F797" s="35">
        <v>2</v>
      </c>
      <c r="G797" s="8">
        <v>1</v>
      </c>
      <c r="H797" s="43">
        <f t="shared" si="1165"/>
        <v>3</v>
      </c>
      <c r="I797" s="35"/>
      <c r="J797" s="8"/>
      <c r="K797" s="43">
        <f t="shared" si="1166"/>
        <v>0</v>
      </c>
      <c r="L797" s="8">
        <f t="shared" si="1167"/>
        <v>3</v>
      </c>
      <c r="M797" s="53">
        <v>45853</v>
      </c>
      <c r="N797" s="7" t="s">
        <v>476</v>
      </c>
      <c r="O797" s="30">
        <v>20</v>
      </c>
      <c r="P797" s="25"/>
      <c r="Q797" s="43">
        <f t="shared" si="1168"/>
        <v>20</v>
      </c>
      <c r="R797" s="35">
        <v>35</v>
      </c>
      <c r="S797" s="8">
        <v>50</v>
      </c>
      <c r="T797" s="43">
        <f t="shared" si="1169"/>
        <v>85</v>
      </c>
      <c r="U797" s="35">
        <v>15</v>
      </c>
      <c r="V797" s="8">
        <v>50</v>
      </c>
      <c r="W797" s="43">
        <f t="shared" si="1170"/>
        <v>65</v>
      </c>
      <c r="X797" s="8">
        <f t="shared" si="1171"/>
        <v>170</v>
      </c>
      <c r="Y797" s="53">
        <v>45864</v>
      </c>
    </row>
    <row r="798" spans="2:25" x14ac:dyDescent="0.15">
      <c r="B798" s="7" t="s">
        <v>89</v>
      </c>
      <c r="C798" s="30">
        <v>1</v>
      </c>
      <c r="D798" s="25"/>
      <c r="E798" s="43">
        <f t="shared" si="1176"/>
        <v>1</v>
      </c>
      <c r="F798" s="35">
        <v>3</v>
      </c>
      <c r="G798" s="8">
        <v>1</v>
      </c>
      <c r="H798" s="43">
        <f t="shared" si="1165"/>
        <v>4</v>
      </c>
      <c r="I798" s="35">
        <v>6</v>
      </c>
      <c r="J798" s="8"/>
      <c r="K798" s="43">
        <f t="shared" si="1166"/>
        <v>6</v>
      </c>
      <c r="L798" s="8">
        <f t="shared" si="1167"/>
        <v>11</v>
      </c>
      <c r="M798" s="53">
        <v>45856</v>
      </c>
      <c r="N798" s="7" t="s">
        <v>475</v>
      </c>
      <c r="O798" s="30">
        <v>5</v>
      </c>
      <c r="P798" s="25"/>
      <c r="Q798" s="43">
        <f t="shared" si="1168"/>
        <v>5</v>
      </c>
      <c r="R798" s="35"/>
      <c r="S798" s="8"/>
      <c r="T798" s="43"/>
      <c r="U798" s="35">
        <v>20</v>
      </c>
      <c r="V798" s="8">
        <v>10</v>
      </c>
      <c r="W798" s="43">
        <f t="shared" si="1170"/>
        <v>30</v>
      </c>
      <c r="X798" s="8">
        <f t="shared" si="1171"/>
        <v>35</v>
      </c>
      <c r="Y798" s="53">
        <v>45863</v>
      </c>
    </row>
    <row r="799" spans="2:25" x14ac:dyDescent="0.15">
      <c r="B799" s="7" t="s">
        <v>12</v>
      </c>
      <c r="C799" s="30"/>
      <c r="D799" s="25"/>
      <c r="E799" s="43">
        <f t="shared" si="1176"/>
        <v>0</v>
      </c>
      <c r="F799" s="35"/>
      <c r="G799" s="8"/>
      <c r="H799" s="43">
        <f t="shared" si="1165"/>
        <v>0</v>
      </c>
      <c r="I799" s="35"/>
      <c r="J799" s="8">
        <v>1</v>
      </c>
      <c r="K799" s="43">
        <f t="shared" si="1166"/>
        <v>1</v>
      </c>
      <c r="L799" s="8">
        <f t="shared" si="1167"/>
        <v>1</v>
      </c>
      <c r="M799" s="53">
        <v>45854</v>
      </c>
      <c r="N799" s="7" t="s">
        <v>28</v>
      </c>
      <c r="O799" s="30"/>
      <c r="P799" s="25">
        <v>15</v>
      </c>
      <c r="Q799" s="43">
        <f t="shared" ref="Q799:Q801" si="1190">SUM(O799:P799)</f>
        <v>15</v>
      </c>
      <c r="R799" s="35"/>
      <c r="S799" s="8"/>
      <c r="T799" s="43">
        <f t="shared" ref="T799:T801" si="1191">SUM(R799:S799)</f>
        <v>0</v>
      </c>
      <c r="U799" s="35"/>
      <c r="V799" s="8">
        <v>10</v>
      </c>
      <c r="W799" s="43">
        <f t="shared" si="1170"/>
        <v>10</v>
      </c>
      <c r="X799" s="8">
        <f t="shared" si="1171"/>
        <v>25</v>
      </c>
      <c r="Y799" s="53">
        <v>45870</v>
      </c>
    </row>
    <row r="800" spans="2:25" x14ac:dyDescent="0.15">
      <c r="B800" s="7" t="s">
        <v>90</v>
      </c>
      <c r="C800" s="30"/>
      <c r="D800" s="25">
        <v>6</v>
      </c>
      <c r="E800" s="43">
        <f t="shared" si="1176"/>
        <v>6</v>
      </c>
      <c r="F800" s="35">
        <v>4</v>
      </c>
      <c r="G800" s="8">
        <v>4</v>
      </c>
      <c r="H800" s="43">
        <f t="shared" si="1165"/>
        <v>8</v>
      </c>
      <c r="I800" s="35"/>
      <c r="J800" s="8"/>
      <c r="K800" s="43">
        <f t="shared" si="1166"/>
        <v>0</v>
      </c>
      <c r="L800" s="8">
        <f t="shared" si="1167"/>
        <v>14</v>
      </c>
      <c r="M800" s="53">
        <v>45856</v>
      </c>
      <c r="N800" s="7" t="s">
        <v>28</v>
      </c>
      <c r="O800" s="30">
        <v>20</v>
      </c>
      <c r="P800" s="25">
        <v>15</v>
      </c>
      <c r="Q800" s="43">
        <f t="shared" si="1190"/>
        <v>35</v>
      </c>
      <c r="R800" s="35"/>
      <c r="S800" s="8">
        <v>10</v>
      </c>
      <c r="T800" s="43">
        <f t="shared" si="1191"/>
        <v>10</v>
      </c>
      <c r="U800" s="35">
        <v>11</v>
      </c>
      <c r="V800" s="8"/>
      <c r="W800" s="43">
        <f t="shared" si="1170"/>
        <v>11</v>
      </c>
      <c r="X800" s="8">
        <f t="shared" si="1171"/>
        <v>56</v>
      </c>
      <c r="Y800" s="53">
        <v>45871</v>
      </c>
    </row>
    <row r="801" spans="2:25" x14ac:dyDescent="0.15">
      <c r="B801" s="7" t="s">
        <v>12</v>
      </c>
      <c r="C801" s="30"/>
      <c r="D801" s="25">
        <v>1</v>
      </c>
      <c r="E801" s="43">
        <f t="shared" si="1176"/>
        <v>1</v>
      </c>
      <c r="F801" s="35">
        <v>1</v>
      </c>
      <c r="G801" s="8"/>
      <c r="H801" s="43">
        <f t="shared" si="1165"/>
        <v>1</v>
      </c>
      <c r="I801" s="35"/>
      <c r="J801" s="8"/>
      <c r="K801" s="43">
        <f t="shared" si="1166"/>
        <v>0</v>
      </c>
      <c r="L801" s="8">
        <f t="shared" si="1167"/>
        <v>2</v>
      </c>
      <c r="M801" s="53">
        <v>45855</v>
      </c>
      <c r="N801" s="7" t="s">
        <v>28</v>
      </c>
      <c r="O801" s="30"/>
      <c r="P801" s="25">
        <v>10</v>
      </c>
      <c r="Q801" s="43">
        <f t="shared" si="1190"/>
        <v>10</v>
      </c>
      <c r="R801" s="35">
        <v>10</v>
      </c>
      <c r="S801" s="8">
        <v>15</v>
      </c>
      <c r="T801" s="43">
        <f t="shared" si="1191"/>
        <v>25</v>
      </c>
      <c r="U801" s="35">
        <v>20</v>
      </c>
      <c r="V801" s="8">
        <v>15</v>
      </c>
      <c r="W801" s="43">
        <f t="shared" si="1170"/>
        <v>35</v>
      </c>
      <c r="X801" s="8">
        <f t="shared" si="1171"/>
        <v>70</v>
      </c>
      <c r="Y801" s="53">
        <v>45874</v>
      </c>
    </row>
    <row r="802" spans="2:25" x14ac:dyDescent="0.15">
      <c r="B802" s="7" t="s">
        <v>92</v>
      </c>
      <c r="C802" s="30">
        <v>2</v>
      </c>
      <c r="D802" s="25"/>
      <c r="E802" s="43">
        <f t="shared" si="1176"/>
        <v>2</v>
      </c>
      <c r="F802" s="35">
        <v>8</v>
      </c>
      <c r="G802" s="8"/>
      <c r="H802" s="43">
        <f t="shared" si="1165"/>
        <v>8</v>
      </c>
      <c r="I802" s="35"/>
      <c r="J802" s="8"/>
      <c r="K802" s="43">
        <f t="shared" si="1166"/>
        <v>0</v>
      </c>
      <c r="L802" s="8">
        <f t="shared" si="1167"/>
        <v>10</v>
      </c>
      <c r="M802" s="53">
        <v>45860</v>
      </c>
      <c r="N802" s="7"/>
      <c r="O802" s="30"/>
      <c r="P802" s="25"/>
      <c r="Q802" s="43">
        <f t="shared" si="1168"/>
        <v>0</v>
      </c>
      <c r="R802" s="35"/>
      <c r="S802" s="8"/>
      <c r="T802" s="43">
        <f t="shared" si="1169"/>
        <v>0</v>
      </c>
      <c r="U802" s="35"/>
      <c r="V802" s="8"/>
      <c r="W802" s="43">
        <f t="shared" si="1170"/>
        <v>0</v>
      </c>
      <c r="X802" s="8">
        <f t="shared" si="1171"/>
        <v>0</v>
      </c>
    </row>
    <row r="803" spans="2:25" x14ac:dyDescent="0.15">
      <c r="B803" s="7" t="s">
        <v>469</v>
      </c>
      <c r="C803" s="30">
        <v>-5</v>
      </c>
      <c r="D803" s="25">
        <v>-5</v>
      </c>
      <c r="E803" s="43">
        <f t="shared" si="1176"/>
        <v>-10</v>
      </c>
      <c r="F803" s="35">
        <v>-31</v>
      </c>
      <c r="G803" s="8"/>
      <c r="H803" s="43">
        <f t="shared" si="1165"/>
        <v>-31</v>
      </c>
      <c r="I803" s="35"/>
      <c r="J803" s="8"/>
      <c r="K803" s="43">
        <f t="shared" si="1166"/>
        <v>0</v>
      </c>
      <c r="L803" s="8">
        <f t="shared" si="1167"/>
        <v>-41</v>
      </c>
      <c r="M803" s="53">
        <v>45857</v>
      </c>
      <c r="N803" s="7"/>
      <c r="O803" s="33"/>
      <c r="P803" s="27"/>
      <c r="Q803" s="43">
        <f t="shared" si="1168"/>
        <v>0</v>
      </c>
      <c r="R803" s="37"/>
      <c r="S803" s="10"/>
      <c r="T803" s="43">
        <f t="shared" si="1169"/>
        <v>0</v>
      </c>
      <c r="U803" s="37"/>
      <c r="V803" s="10"/>
      <c r="W803" s="43">
        <f t="shared" si="1170"/>
        <v>0</v>
      </c>
      <c r="X803" s="8">
        <f t="shared" si="1171"/>
        <v>0</v>
      </c>
    </row>
    <row r="804" spans="2:25" x14ac:dyDescent="0.15">
      <c r="B804" s="7" t="s">
        <v>93</v>
      </c>
      <c r="C804" s="30"/>
      <c r="D804" s="25"/>
      <c r="E804" s="43">
        <f t="shared" si="1176"/>
        <v>0</v>
      </c>
      <c r="F804" s="35"/>
      <c r="G804" s="8">
        <v>7</v>
      </c>
      <c r="H804" s="43">
        <f t="shared" si="1165"/>
        <v>7</v>
      </c>
      <c r="I804" s="35">
        <v>2</v>
      </c>
      <c r="J804" s="8">
        <v>4</v>
      </c>
      <c r="K804" s="43">
        <f t="shared" si="1166"/>
        <v>6</v>
      </c>
      <c r="L804" s="8">
        <f t="shared" si="1167"/>
        <v>13</v>
      </c>
      <c r="M804" s="53">
        <v>45862</v>
      </c>
      <c r="N804" s="7"/>
      <c r="O804" s="33"/>
      <c r="P804" s="27"/>
      <c r="Q804" s="43">
        <f t="shared" si="1168"/>
        <v>0</v>
      </c>
      <c r="R804" s="37"/>
      <c r="S804" s="10"/>
      <c r="T804" s="43">
        <f t="shared" si="1169"/>
        <v>0</v>
      </c>
      <c r="U804" s="37"/>
      <c r="V804" s="10"/>
      <c r="W804" s="43">
        <f t="shared" si="1170"/>
        <v>0</v>
      </c>
      <c r="X804" s="8">
        <f t="shared" si="1171"/>
        <v>0</v>
      </c>
    </row>
    <row r="805" spans="2:25" x14ac:dyDescent="0.15">
      <c r="B805" s="7" t="s">
        <v>94</v>
      </c>
      <c r="C805" s="30">
        <v>1</v>
      </c>
      <c r="D805" s="25"/>
      <c r="E805" s="43">
        <f t="shared" si="1176"/>
        <v>1</v>
      </c>
      <c r="F805" s="35">
        <v>1</v>
      </c>
      <c r="G805" s="8"/>
      <c r="H805" s="43">
        <f t="shared" si="1165"/>
        <v>1</v>
      </c>
      <c r="I805" s="35">
        <v>3</v>
      </c>
      <c r="J805" s="8">
        <v>4</v>
      </c>
      <c r="K805" s="43">
        <f t="shared" si="1166"/>
        <v>7</v>
      </c>
      <c r="L805" s="8">
        <f t="shared" si="1167"/>
        <v>9</v>
      </c>
      <c r="M805" s="53">
        <v>45863</v>
      </c>
      <c r="N805" s="7"/>
      <c r="O805" s="33"/>
      <c r="P805" s="27"/>
      <c r="Q805" s="43">
        <f t="shared" si="1168"/>
        <v>0</v>
      </c>
      <c r="R805" s="37"/>
      <c r="S805" s="10"/>
      <c r="T805" s="43">
        <f t="shared" si="1169"/>
        <v>0</v>
      </c>
      <c r="U805" s="37"/>
      <c r="V805" s="10"/>
      <c r="W805" s="43">
        <f t="shared" si="1170"/>
        <v>0</v>
      </c>
      <c r="X805" s="8">
        <f t="shared" si="1171"/>
        <v>0</v>
      </c>
    </row>
    <row r="806" spans="2:25" x14ac:dyDescent="0.15">
      <c r="B806" s="7" t="s">
        <v>12</v>
      </c>
      <c r="C806" s="30"/>
      <c r="D806" s="25"/>
      <c r="E806" s="43">
        <f t="shared" si="1176"/>
        <v>0</v>
      </c>
      <c r="F806" s="35">
        <v>1</v>
      </c>
      <c r="G806" s="8">
        <v>1</v>
      </c>
      <c r="H806" s="43">
        <f t="shared" si="1165"/>
        <v>2</v>
      </c>
      <c r="I806" s="35"/>
      <c r="J806" s="8"/>
      <c r="K806" s="43">
        <f t="shared" si="1166"/>
        <v>0</v>
      </c>
      <c r="L806" s="8">
        <f t="shared" si="1167"/>
        <v>2</v>
      </c>
      <c r="M806" s="53">
        <v>45861</v>
      </c>
      <c r="N806" s="155" t="s">
        <v>431</v>
      </c>
      <c r="O806" s="147"/>
      <c r="P806" s="148"/>
      <c r="Q806" s="156">
        <f t="shared" si="1168"/>
        <v>0</v>
      </c>
      <c r="R806" s="150"/>
      <c r="S806" s="151"/>
      <c r="T806" s="156">
        <f t="shared" si="1169"/>
        <v>0</v>
      </c>
      <c r="U806" s="150"/>
      <c r="V806" s="151"/>
      <c r="W806" s="156">
        <f t="shared" si="1170"/>
        <v>0</v>
      </c>
      <c r="X806" s="151">
        <f t="shared" si="1171"/>
        <v>0</v>
      </c>
      <c r="Y806" s="157" t="s">
        <v>432</v>
      </c>
    </row>
    <row r="807" spans="2:25" x14ac:dyDescent="0.15">
      <c r="B807" s="7" t="s">
        <v>95</v>
      </c>
      <c r="C807" s="30"/>
      <c r="D807" s="25">
        <v>5</v>
      </c>
      <c r="E807" s="43">
        <f t="shared" si="1176"/>
        <v>5</v>
      </c>
      <c r="F807" s="35"/>
      <c r="G807" s="8"/>
      <c r="H807" s="43">
        <f t="shared" si="1165"/>
        <v>0</v>
      </c>
      <c r="I807" s="35">
        <v>6</v>
      </c>
      <c r="J807" s="8">
        <v>1</v>
      </c>
      <c r="K807" s="43">
        <f t="shared" si="1166"/>
        <v>7</v>
      </c>
      <c r="L807" s="8">
        <f t="shared" si="1167"/>
        <v>12</v>
      </c>
      <c r="M807" s="53">
        <v>45863</v>
      </c>
      <c r="N807" s="7" t="s">
        <v>400</v>
      </c>
      <c r="O807" s="30"/>
      <c r="P807" s="25"/>
      <c r="Q807" s="43">
        <f t="shared" si="1168"/>
        <v>0</v>
      </c>
      <c r="R807" s="35"/>
      <c r="S807" s="8"/>
      <c r="T807" s="43">
        <f t="shared" si="1169"/>
        <v>0</v>
      </c>
      <c r="U807" s="35"/>
      <c r="V807" s="8"/>
      <c r="W807" s="43">
        <f t="shared" si="1170"/>
        <v>0</v>
      </c>
      <c r="X807" s="8">
        <f t="shared" si="1171"/>
        <v>0</v>
      </c>
      <c r="Y807" s="52" t="s">
        <v>401</v>
      </c>
    </row>
    <row r="808" spans="2:25" x14ac:dyDescent="0.15">
      <c r="B808" s="7" t="s">
        <v>12</v>
      </c>
      <c r="C808" s="30">
        <v>1</v>
      </c>
      <c r="D808" s="25"/>
      <c r="E808" s="43">
        <f t="shared" si="1176"/>
        <v>1</v>
      </c>
      <c r="F808" s="35"/>
      <c r="G808" s="8"/>
      <c r="H808" s="43">
        <f t="shared" si="1165"/>
        <v>0</v>
      </c>
      <c r="I808" s="35"/>
      <c r="J808" s="8"/>
      <c r="K808" s="43">
        <f t="shared" si="1166"/>
        <v>0</v>
      </c>
      <c r="L808" s="8">
        <f t="shared" si="1167"/>
        <v>1</v>
      </c>
      <c r="M808" s="53">
        <v>45862</v>
      </c>
      <c r="N808" s="115" t="s">
        <v>362</v>
      </c>
      <c r="O808" s="116"/>
      <c r="P808" s="112"/>
      <c r="Q808" s="117">
        <f t="shared" si="1168"/>
        <v>0</v>
      </c>
      <c r="R808" s="118"/>
      <c r="S808" s="119"/>
      <c r="T808" s="117">
        <f t="shared" si="1169"/>
        <v>0</v>
      </c>
      <c r="U808" s="118"/>
      <c r="V808" s="119"/>
      <c r="W808" s="117">
        <f t="shared" si="1170"/>
        <v>0</v>
      </c>
      <c r="X808" s="119">
        <f t="shared" si="1171"/>
        <v>0</v>
      </c>
    </row>
    <row r="809" spans="2:25" x14ac:dyDescent="0.15">
      <c r="B809" s="7"/>
      <c r="C809" s="30"/>
      <c r="D809" s="25"/>
      <c r="E809" s="43">
        <f t="shared" si="1176"/>
        <v>0</v>
      </c>
      <c r="F809" s="35"/>
      <c r="G809" s="8"/>
      <c r="H809" s="43">
        <f t="shared" si="1165"/>
        <v>0</v>
      </c>
      <c r="I809" s="35"/>
      <c r="J809" s="8"/>
      <c r="K809" s="43">
        <f t="shared" si="1166"/>
        <v>0</v>
      </c>
      <c r="L809" s="8">
        <f t="shared" si="1167"/>
        <v>0</v>
      </c>
      <c r="N809" s="7" t="s">
        <v>474</v>
      </c>
      <c r="O809" s="30"/>
      <c r="P809" s="25"/>
      <c r="Q809" s="43">
        <f t="shared" si="1168"/>
        <v>0</v>
      </c>
      <c r="R809" s="35"/>
      <c r="S809" s="8"/>
      <c r="T809" s="43">
        <f t="shared" si="1169"/>
        <v>0</v>
      </c>
      <c r="U809" s="35"/>
      <c r="V809" s="8"/>
      <c r="W809" s="43">
        <f t="shared" si="1170"/>
        <v>0</v>
      </c>
      <c r="X809" s="8">
        <f t="shared" si="1171"/>
        <v>0</v>
      </c>
      <c r="Y809" s="52" t="s">
        <v>363</v>
      </c>
    </row>
    <row r="810" spans="2:25" x14ac:dyDescent="0.15">
      <c r="B810" s="7"/>
      <c r="C810" s="30"/>
      <c r="D810" s="25"/>
      <c r="E810" s="43">
        <f t="shared" si="1176"/>
        <v>0</v>
      </c>
      <c r="F810" s="35"/>
      <c r="G810" s="8"/>
      <c r="H810" s="43">
        <f t="shared" si="1165"/>
        <v>0</v>
      </c>
      <c r="I810" s="35"/>
      <c r="J810" s="8"/>
      <c r="K810" s="43">
        <f t="shared" si="1166"/>
        <v>0</v>
      </c>
      <c r="L810" s="8">
        <f t="shared" si="1167"/>
        <v>0</v>
      </c>
      <c r="N810" s="7" t="s">
        <v>391</v>
      </c>
      <c r="O810" s="30"/>
      <c r="P810" s="25"/>
      <c r="Q810" s="43">
        <f t="shared" ref="Q810:Q811" si="1192">SUM(O810:P810)</f>
        <v>0</v>
      </c>
      <c r="R810" s="35"/>
      <c r="S810" s="8"/>
      <c r="T810" s="43">
        <f t="shared" ref="T810:T811" si="1193">SUM(R810:S810)</f>
        <v>0</v>
      </c>
      <c r="U810" s="35"/>
      <c r="V810" s="8"/>
      <c r="W810" s="43">
        <f t="shared" ref="W810:W811" si="1194">SUM(U810:V810)</f>
        <v>0</v>
      </c>
      <c r="X810" s="8">
        <f t="shared" ref="X810:X811" si="1195">SUM(W810,T810,Q810)</f>
        <v>0</v>
      </c>
      <c r="Y810" s="52" t="s">
        <v>392</v>
      </c>
    </row>
    <row r="811" spans="2:25" x14ac:dyDescent="0.15">
      <c r="B811" s="7"/>
      <c r="C811" s="30"/>
      <c r="D811" s="25"/>
      <c r="E811" s="43">
        <f t="shared" si="1176"/>
        <v>0</v>
      </c>
      <c r="F811" s="35"/>
      <c r="G811" s="8"/>
      <c r="H811" s="43">
        <f t="shared" si="1165"/>
        <v>0</v>
      </c>
      <c r="I811" s="35"/>
      <c r="J811" s="8"/>
      <c r="K811" s="43">
        <f t="shared" si="1166"/>
        <v>0</v>
      </c>
      <c r="L811" s="8">
        <f t="shared" si="1167"/>
        <v>0</v>
      </c>
      <c r="N811" s="7" t="s">
        <v>395</v>
      </c>
      <c r="O811" s="30"/>
      <c r="P811" s="25"/>
      <c r="Q811" s="43">
        <f t="shared" si="1192"/>
        <v>0</v>
      </c>
      <c r="R811" s="35"/>
      <c r="S811" s="8"/>
      <c r="T811" s="43">
        <f t="shared" si="1193"/>
        <v>0</v>
      </c>
      <c r="U811" s="35"/>
      <c r="V811" s="8"/>
      <c r="W811" s="43">
        <f t="shared" si="1194"/>
        <v>0</v>
      </c>
      <c r="X811" s="8">
        <f t="shared" si="1195"/>
        <v>0</v>
      </c>
      <c r="Y811" s="52" t="s">
        <v>396</v>
      </c>
    </row>
    <row r="812" spans="2:25" x14ac:dyDescent="0.15">
      <c r="B812" s="7"/>
      <c r="C812" s="30"/>
      <c r="D812" s="25"/>
      <c r="E812" s="43">
        <f t="shared" si="1176"/>
        <v>0</v>
      </c>
      <c r="F812" s="35"/>
      <c r="G812" s="8"/>
      <c r="H812" s="43">
        <f t="shared" si="1165"/>
        <v>0</v>
      </c>
      <c r="I812" s="35"/>
      <c r="J812" s="8"/>
      <c r="K812" s="43">
        <f t="shared" si="1166"/>
        <v>0</v>
      </c>
      <c r="L812" s="8">
        <f t="shared" si="1167"/>
        <v>0</v>
      </c>
      <c r="N812" s="115" t="s">
        <v>406</v>
      </c>
      <c r="O812" s="116"/>
      <c r="P812" s="112"/>
      <c r="Q812" s="117">
        <f t="shared" si="1168"/>
        <v>0</v>
      </c>
      <c r="R812" s="118"/>
      <c r="S812" s="119"/>
      <c r="T812" s="117">
        <f t="shared" si="1169"/>
        <v>0</v>
      </c>
      <c r="U812" s="118"/>
      <c r="V812" s="119"/>
      <c r="W812" s="117">
        <f t="shared" si="1170"/>
        <v>0</v>
      </c>
      <c r="X812" s="119">
        <f t="shared" si="1171"/>
        <v>0</v>
      </c>
    </row>
    <row r="813" spans="2:25" ht="14.25" thickBot="1" x14ac:dyDescent="0.2">
      <c r="B813" s="7"/>
      <c r="C813" s="30"/>
      <c r="D813" s="25"/>
      <c r="E813" s="43">
        <f t="shared" si="1176"/>
        <v>0</v>
      </c>
      <c r="F813" s="35"/>
      <c r="G813" s="8"/>
      <c r="H813" s="43">
        <f t="shared" si="1165"/>
        <v>0</v>
      </c>
      <c r="I813" s="35"/>
      <c r="J813" s="8"/>
      <c r="K813" s="43">
        <f t="shared" si="1166"/>
        <v>0</v>
      </c>
      <c r="L813" s="8">
        <f t="shared" si="1167"/>
        <v>0</v>
      </c>
      <c r="N813" s="7" t="s">
        <v>407</v>
      </c>
      <c r="O813" s="30"/>
      <c r="P813" s="25"/>
      <c r="Q813" s="43">
        <f t="shared" si="1168"/>
        <v>0</v>
      </c>
      <c r="R813" s="35"/>
      <c r="S813" s="8"/>
      <c r="T813" s="43">
        <f t="shared" si="1169"/>
        <v>0</v>
      </c>
      <c r="U813" s="35"/>
      <c r="V813" s="8"/>
      <c r="W813" s="43">
        <f t="shared" si="1170"/>
        <v>0</v>
      </c>
      <c r="X813" s="8">
        <f t="shared" si="1171"/>
        <v>0</v>
      </c>
      <c r="Y813" s="52" t="s">
        <v>408</v>
      </c>
    </row>
    <row r="814" spans="2:25" ht="14.25" thickBot="1" x14ac:dyDescent="0.2">
      <c r="B814" s="5" t="s">
        <v>1</v>
      </c>
      <c r="C814" s="32">
        <f>SUM(C789:C813)</f>
        <v>7</v>
      </c>
      <c r="D814" s="19">
        <f>SUM(D789:D813)</f>
        <v>23</v>
      </c>
      <c r="E814" s="44">
        <f t="shared" si="1176"/>
        <v>30</v>
      </c>
      <c r="F814" s="32">
        <f>SUM(F789:F813)</f>
        <v>11</v>
      </c>
      <c r="G814" s="19">
        <f>SUM(G789:G813)</f>
        <v>32</v>
      </c>
      <c r="H814" s="44">
        <f t="shared" si="1165"/>
        <v>43</v>
      </c>
      <c r="I814" s="32">
        <f>SUM(I789:I813)</f>
        <v>42</v>
      </c>
      <c r="J814" s="19">
        <f>SUM(J789:J813)</f>
        <v>40</v>
      </c>
      <c r="K814" s="44">
        <f t="shared" si="1166"/>
        <v>82</v>
      </c>
      <c r="L814" s="4">
        <f t="shared" si="1167"/>
        <v>155</v>
      </c>
      <c r="N814" s="5" t="s">
        <v>1</v>
      </c>
      <c r="O814" s="32">
        <f>SUM(O789:O813)</f>
        <v>143</v>
      </c>
      <c r="P814" s="19">
        <f t="shared" ref="P814" si="1196">SUM(P789:P813)</f>
        <v>182</v>
      </c>
      <c r="Q814" s="44">
        <f t="shared" ref="Q814" si="1197">SUM(Q789:Q813)</f>
        <v>325</v>
      </c>
      <c r="R814" s="32">
        <f t="shared" ref="R814" si="1198">SUM(R789:R813)</f>
        <v>173</v>
      </c>
      <c r="S814" s="19">
        <f t="shared" ref="S814" si="1199">SUM(S789:S813)</f>
        <v>160</v>
      </c>
      <c r="T814" s="44">
        <f t="shared" ref="T814" si="1200">SUM(T789:T813)</f>
        <v>333</v>
      </c>
      <c r="U814" s="32">
        <f t="shared" ref="U814" si="1201">SUM(U789:U813)</f>
        <v>103</v>
      </c>
      <c r="V814" s="19">
        <f t="shared" ref="V814" si="1202">SUM(V789:V813)</f>
        <v>163</v>
      </c>
      <c r="W814" s="44">
        <f t="shared" ref="W814" si="1203">SUM(W789:W813)</f>
        <v>266</v>
      </c>
      <c r="X814" s="4">
        <f t="shared" ref="X814" si="1204">SUM(X789:X813)</f>
        <v>924</v>
      </c>
    </row>
    <row r="815" spans="2:25" ht="14.25" thickBot="1" x14ac:dyDescent="0.2">
      <c r="B815" s="3" t="s">
        <v>0</v>
      </c>
      <c r="C815" s="34">
        <f>+C788-C814</f>
        <v>27</v>
      </c>
      <c r="D815" s="2">
        <f>+D788-D814</f>
        <v>15</v>
      </c>
      <c r="E815" s="45">
        <f t="shared" si="1176"/>
        <v>42</v>
      </c>
      <c r="F815" s="34">
        <f>+F788-F814</f>
        <v>34</v>
      </c>
      <c r="G815" s="2">
        <f>+G788-G814</f>
        <v>36</v>
      </c>
      <c r="H815" s="45">
        <f t="shared" si="1165"/>
        <v>70</v>
      </c>
      <c r="I815" s="34">
        <f>+I788-I814</f>
        <v>11</v>
      </c>
      <c r="J815" s="2">
        <f>+J788-J814</f>
        <v>16</v>
      </c>
      <c r="K815" s="45">
        <f t="shared" si="1166"/>
        <v>27</v>
      </c>
      <c r="L815" s="2">
        <f t="shared" si="1167"/>
        <v>139</v>
      </c>
      <c r="N815" s="3" t="s">
        <v>0</v>
      </c>
      <c r="O815" s="34">
        <f>+O788-O814</f>
        <v>695</v>
      </c>
      <c r="P815" s="2">
        <f t="shared" ref="P815" si="1205">+P788-P814</f>
        <v>720</v>
      </c>
      <c r="Q815" s="45">
        <f t="shared" ref="Q815" si="1206">+Q788-Q814</f>
        <v>1415</v>
      </c>
      <c r="R815" s="34">
        <f t="shared" ref="R815" si="1207">+R788-R814</f>
        <v>494</v>
      </c>
      <c r="S815" s="2">
        <f t="shared" ref="S815" si="1208">+S788-S814</f>
        <v>555</v>
      </c>
      <c r="T815" s="45">
        <f t="shared" ref="T815" si="1209">+T788-T814</f>
        <v>1049</v>
      </c>
      <c r="U815" s="34">
        <f t="shared" ref="U815" si="1210">+U788-U814</f>
        <v>369</v>
      </c>
      <c r="V815" s="2">
        <f t="shared" ref="V815" si="1211">+V788-V814</f>
        <v>335</v>
      </c>
      <c r="W815" s="45">
        <f t="shared" ref="W815" si="1212">+W788-W814</f>
        <v>704</v>
      </c>
      <c r="X815" s="2">
        <f t="shared" ref="X815" si="1213">+X788-X814</f>
        <v>3168</v>
      </c>
    </row>
    <row r="816" spans="2:25" x14ac:dyDescent="0.15">
      <c r="N816" s="125" t="s">
        <v>374</v>
      </c>
      <c r="O816" s="89">
        <v>170</v>
      </c>
      <c r="P816" s="89">
        <v>115</v>
      </c>
      <c r="Q816" s="89">
        <f>SUM(O816:P816)</f>
        <v>285</v>
      </c>
      <c r="R816" s="89">
        <v>150</v>
      </c>
      <c r="S816" s="89">
        <v>145</v>
      </c>
      <c r="T816" s="89">
        <f>SUM(R816:S816)</f>
        <v>295</v>
      </c>
      <c r="U816" s="89">
        <v>70</v>
      </c>
      <c r="V816" s="89">
        <v>150</v>
      </c>
      <c r="W816" s="89">
        <f>SUM(U816:V816)</f>
        <v>220</v>
      </c>
      <c r="X816" s="89"/>
    </row>
    <row r="817" spans="2:25" x14ac:dyDescent="0.15">
      <c r="N817" s="127" t="s">
        <v>415</v>
      </c>
      <c r="O817" s="139">
        <v>265</v>
      </c>
      <c r="P817" s="139">
        <v>242</v>
      </c>
      <c r="Q817" s="139">
        <v>507</v>
      </c>
      <c r="R817" s="139">
        <v>301</v>
      </c>
      <c r="S817" s="139">
        <v>295</v>
      </c>
      <c r="T817" s="139">
        <v>596</v>
      </c>
      <c r="U817" s="139">
        <v>198</v>
      </c>
      <c r="V817" s="139">
        <v>187</v>
      </c>
      <c r="W817" s="139">
        <v>385</v>
      </c>
      <c r="X817" s="139">
        <v>1488</v>
      </c>
    </row>
    <row r="818" spans="2:25" ht="12.75" customHeight="1" x14ac:dyDescent="0.2">
      <c r="N818" s="84"/>
    </row>
    <row r="819" spans="2:25" ht="18.75" x14ac:dyDescent="0.2">
      <c r="B819" s="23" t="s">
        <v>11</v>
      </c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N819" s="47" t="s">
        <v>25</v>
      </c>
      <c r="O819" s="48"/>
      <c r="P819" s="48"/>
      <c r="Q819" s="48"/>
      <c r="R819" s="48"/>
      <c r="S819" s="48"/>
      <c r="T819" s="48"/>
      <c r="U819" s="48"/>
      <c r="V819" s="48"/>
      <c r="W819" s="48"/>
      <c r="X819" s="48"/>
    </row>
    <row r="820" spans="2:25" ht="15" thickBot="1" x14ac:dyDescent="0.2">
      <c r="B820" s="22" t="s">
        <v>147</v>
      </c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N820" s="49" t="s">
        <v>148</v>
      </c>
      <c r="O820" s="48"/>
      <c r="P820" s="48"/>
      <c r="Q820" s="48"/>
      <c r="R820" s="48"/>
      <c r="S820" s="48"/>
      <c r="T820" s="48"/>
      <c r="U820" s="48"/>
      <c r="V820" s="48"/>
      <c r="W820" s="48"/>
      <c r="X820" s="48"/>
    </row>
    <row r="821" spans="2:25" ht="14.25" thickBot="1" x14ac:dyDescent="0.2">
      <c r="B821" s="20"/>
      <c r="C821" s="208" t="s">
        <v>9</v>
      </c>
      <c r="D821" s="209"/>
      <c r="E821" s="210"/>
      <c r="F821" s="208" t="s">
        <v>8</v>
      </c>
      <c r="G821" s="209"/>
      <c r="H821" s="210"/>
      <c r="I821" s="208" t="s">
        <v>7</v>
      </c>
      <c r="J821" s="209"/>
      <c r="K821" s="210"/>
      <c r="L821" s="19"/>
      <c r="N821" s="20"/>
      <c r="O821" s="113" t="s">
        <v>9</v>
      </c>
      <c r="P821" s="114"/>
      <c r="Q821" s="123">
        <v>890</v>
      </c>
      <c r="R821" s="113" t="s">
        <v>8</v>
      </c>
      <c r="S821" s="114"/>
      <c r="T821" s="123">
        <v>980</v>
      </c>
      <c r="U821" s="113" t="s">
        <v>7</v>
      </c>
      <c r="V821" s="114"/>
      <c r="W821" s="123">
        <v>1080</v>
      </c>
      <c r="X821" s="19"/>
    </row>
    <row r="822" spans="2:25" ht="14.25" thickBot="1" x14ac:dyDescent="0.2">
      <c r="B822" s="18"/>
      <c r="C822" s="28" t="s">
        <v>6</v>
      </c>
      <c r="D822" s="17" t="s">
        <v>5</v>
      </c>
      <c r="E822" s="38" t="s">
        <v>4</v>
      </c>
      <c r="F822" s="28" t="s">
        <v>6</v>
      </c>
      <c r="G822" s="17" t="s">
        <v>5</v>
      </c>
      <c r="H822" s="38" t="s">
        <v>4</v>
      </c>
      <c r="I822" s="28" t="s">
        <v>6</v>
      </c>
      <c r="J822" s="17" t="s">
        <v>5</v>
      </c>
      <c r="K822" s="38" t="s">
        <v>4</v>
      </c>
      <c r="L822" s="17" t="s">
        <v>4</v>
      </c>
      <c r="N822" s="18"/>
      <c r="O822" s="28" t="s">
        <v>6</v>
      </c>
      <c r="P822" s="17" t="s">
        <v>5</v>
      </c>
      <c r="Q822" s="38" t="s">
        <v>4</v>
      </c>
      <c r="R822" s="28" t="s">
        <v>6</v>
      </c>
      <c r="S822" s="17" t="s">
        <v>5</v>
      </c>
      <c r="T822" s="38" t="s">
        <v>4</v>
      </c>
      <c r="U822" s="28" t="s">
        <v>6</v>
      </c>
      <c r="V822" s="17" t="s">
        <v>5</v>
      </c>
      <c r="W822" s="38" t="s">
        <v>4</v>
      </c>
      <c r="X822" s="17" t="s">
        <v>4</v>
      </c>
    </row>
    <row r="823" spans="2:25" x14ac:dyDescent="0.15">
      <c r="B823" s="66" t="s">
        <v>0</v>
      </c>
      <c r="C823" s="67">
        <f>C815</f>
        <v>27</v>
      </c>
      <c r="D823" s="68">
        <f t="shared" ref="D823:K823" si="1214">D815</f>
        <v>15</v>
      </c>
      <c r="E823" s="69">
        <f t="shared" si="1214"/>
        <v>42</v>
      </c>
      <c r="F823" s="67">
        <f t="shared" si="1214"/>
        <v>34</v>
      </c>
      <c r="G823" s="68">
        <f t="shared" si="1214"/>
        <v>36</v>
      </c>
      <c r="H823" s="69">
        <f t="shared" si="1214"/>
        <v>70</v>
      </c>
      <c r="I823" s="67">
        <f t="shared" si="1214"/>
        <v>11</v>
      </c>
      <c r="J823" s="68">
        <f t="shared" si="1214"/>
        <v>16</v>
      </c>
      <c r="K823" s="69">
        <f t="shared" si="1214"/>
        <v>27</v>
      </c>
      <c r="L823" s="70">
        <f>SUM(K823,H823,E823)</f>
        <v>139</v>
      </c>
      <c r="N823" s="66" t="s">
        <v>0</v>
      </c>
      <c r="O823" s="72">
        <f>O815</f>
        <v>695</v>
      </c>
      <c r="P823" s="80">
        <f t="shared" ref="P823:X823" si="1215">P815</f>
        <v>720</v>
      </c>
      <c r="Q823" s="69">
        <f t="shared" si="1215"/>
        <v>1415</v>
      </c>
      <c r="R823" s="72">
        <f t="shared" si="1215"/>
        <v>494</v>
      </c>
      <c r="S823" s="80">
        <f t="shared" si="1215"/>
        <v>555</v>
      </c>
      <c r="T823" s="69">
        <f t="shared" si="1215"/>
        <v>1049</v>
      </c>
      <c r="U823" s="72">
        <f t="shared" si="1215"/>
        <v>369</v>
      </c>
      <c r="V823" s="80">
        <f t="shared" si="1215"/>
        <v>335</v>
      </c>
      <c r="W823" s="69">
        <f t="shared" si="1215"/>
        <v>704</v>
      </c>
      <c r="X823" s="70">
        <f t="shared" si="1215"/>
        <v>3168</v>
      </c>
    </row>
    <row r="824" spans="2:25" x14ac:dyDescent="0.15">
      <c r="B824" s="55" t="s">
        <v>3</v>
      </c>
      <c r="C824" s="30">
        <v>5</v>
      </c>
      <c r="D824" s="25"/>
      <c r="E824" s="40">
        <f t="shared" ref="E824:E825" si="1216">SUM(C824:D824)</f>
        <v>5</v>
      </c>
      <c r="F824" s="35"/>
      <c r="G824" s="8"/>
      <c r="H824" s="40">
        <f t="shared" ref="H824:H856" si="1217">SUM(F824:G824)</f>
        <v>0</v>
      </c>
      <c r="I824" s="35">
        <v>20</v>
      </c>
      <c r="J824" s="8">
        <v>10</v>
      </c>
      <c r="K824" s="40">
        <f t="shared" ref="K824:K856" si="1218">SUM(I824:J824)</f>
        <v>30</v>
      </c>
      <c r="L824" s="9">
        <f t="shared" ref="L824:L856" si="1219">SUM(K824,H824,E824)</f>
        <v>35</v>
      </c>
      <c r="M824" s="53">
        <v>45863</v>
      </c>
      <c r="N824" s="55" t="s">
        <v>3</v>
      </c>
      <c r="O824" s="78"/>
      <c r="P824" s="82"/>
      <c r="Q824" s="64">
        <f t="shared" ref="Q824:Q825" si="1220">SUM(O824:P824)</f>
        <v>0</v>
      </c>
      <c r="R824" s="78"/>
      <c r="S824" s="82"/>
      <c r="T824" s="64">
        <f t="shared" ref="T824:T825" si="1221">SUM(R824:S824)</f>
        <v>0</v>
      </c>
      <c r="U824" s="78"/>
      <c r="V824" s="82"/>
      <c r="W824" s="64">
        <f t="shared" ref="W824:W825" si="1222">SUM(U824:V824)</f>
        <v>0</v>
      </c>
      <c r="X824" s="8">
        <f t="shared" ref="X824:X825" si="1223">SUM(W824,T824,Q824)</f>
        <v>0</v>
      </c>
    </row>
    <row r="825" spans="2:25" x14ac:dyDescent="0.15">
      <c r="B825" s="55" t="s">
        <v>3</v>
      </c>
      <c r="C825" s="30"/>
      <c r="D825" s="25">
        <v>15</v>
      </c>
      <c r="E825" s="40">
        <f t="shared" si="1216"/>
        <v>15</v>
      </c>
      <c r="F825" s="35"/>
      <c r="G825" s="8"/>
      <c r="H825" s="40">
        <f t="shared" si="1217"/>
        <v>0</v>
      </c>
      <c r="I825" s="35"/>
      <c r="J825" s="8">
        <v>10</v>
      </c>
      <c r="K825" s="40">
        <f t="shared" si="1218"/>
        <v>10</v>
      </c>
      <c r="L825" s="9">
        <f t="shared" si="1219"/>
        <v>25</v>
      </c>
      <c r="M825" s="53">
        <v>45870</v>
      </c>
      <c r="N825" s="55" t="s">
        <v>3</v>
      </c>
      <c r="O825" s="78"/>
      <c r="P825" s="82"/>
      <c r="Q825" s="64">
        <f t="shared" si="1220"/>
        <v>0</v>
      </c>
      <c r="R825" s="78"/>
      <c r="S825" s="82"/>
      <c r="T825" s="64">
        <f t="shared" si="1221"/>
        <v>0</v>
      </c>
      <c r="U825" s="78"/>
      <c r="V825" s="82"/>
      <c r="W825" s="64">
        <f t="shared" si="1222"/>
        <v>0</v>
      </c>
      <c r="X825" s="8">
        <f t="shared" si="1223"/>
        <v>0</v>
      </c>
      <c r="Y825" s="53"/>
    </row>
    <row r="826" spans="2:25" x14ac:dyDescent="0.15">
      <c r="B826" s="55" t="s">
        <v>3</v>
      </c>
      <c r="C826" s="30"/>
      <c r="D826" s="25"/>
      <c r="E826" s="40">
        <f t="shared" ref="E826:E856" si="1224">SUM(C826:D826)</f>
        <v>0</v>
      </c>
      <c r="F826" s="35"/>
      <c r="G826" s="8"/>
      <c r="H826" s="40">
        <f t="shared" si="1217"/>
        <v>0</v>
      </c>
      <c r="I826" s="35"/>
      <c r="J826" s="8"/>
      <c r="K826" s="40">
        <f t="shared" si="1218"/>
        <v>0</v>
      </c>
      <c r="L826" s="9">
        <f t="shared" si="1219"/>
        <v>0</v>
      </c>
      <c r="M826" s="53">
        <v>45871</v>
      </c>
      <c r="N826" s="55" t="s">
        <v>3</v>
      </c>
      <c r="O826" s="78"/>
      <c r="P826" s="82"/>
      <c r="Q826" s="64">
        <f t="shared" ref="Q826:Q854" si="1225">SUM(O826:P826)</f>
        <v>0</v>
      </c>
      <c r="R826" s="78"/>
      <c r="S826" s="82"/>
      <c r="T826" s="64">
        <f t="shared" ref="T826:T854" si="1226">SUM(R826:S826)</f>
        <v>0</v>
      </c>
      <c r="U826" s="78"/>
      <c r="V826" s="82"/>
      <c r="W826" s="64">
        <f t="shared" ref="W826:W854" si="1227">SUM(U826:V826)</f>
        <v>0</v>
      </c>
      <c r="X826" s="8">
        <f t="shared" ref="X826:X854" si="1228">SUM(W826,T826,Q826)</f>
        <v>0</v>
      </c>
    </row>
    <row r="827" spans="2:25" x14ac:dyDescent="0.15">
      <c r="B827" s="55" t="s">
        <v>3</v>
      </c>
      <c r="C827" s="30">
        <v>20</v>
      </c>
      <c r="D827" s="25">
        <v>15</v>
      </c>
      <c r="E827" s="40">
        <f t="shared" si="1224"/>
        <v>35</v>
      </c>
      <c r="F827" s="35"/>
      <c r="G827" s="8">
        <v>10</v>
      </c>
      <c r="H827" s="40">
        <f t="shared" si="1217"/>
        <v>10</v>
      </c>
      <c r="I827" s="35">
        <v>11</v>
      </c>
      <c r="J827" s="8"/>
      <c r="K827" s="40">
        <f t="shared" si="1218"/>
        <v>11</v>
      </c>
      <c r="L827" s="9">
        <f t="shared" si="1219"/>
        <v>56</v>
      </c>
      <c r="M827" s="53">
        <v>45871</v>
      </c>
      <c r="N827" s="55" t="s">
        <v>3</v>
      </c>
      <c r="O827" s="62"/>
      <c r="P827" s="81"/>
      <c r="Q827" s="40">
        <f t="shared" si="1225"/>
        <v>0</v>
      </c>
      <c r="R827" s="78"/>
      <c r="S827" s="82"/>
      <c r="T827" s="40">
        <f t="shared" si="1226"/>
        <v>0</v>
      </c>
      <c r="U827" s="78"/>
      <c r="V827" s="82"/>
      <c r="W827" s="40">
        <f t="shared" si="1227"/>
        <v>0</v>
      </c>
      <c r="X827" s="25">
        <f t="shared" si="1228"/>
        <v>0</v>
      </c>
    </row>
    <row r="828" spans="2:25" ht="14.25" thickBot="1" x14ac:dyDescent="0.2">
      <c r="B828" s="55" t="s">
        <v>3</v>
      </c>
      <c r="C828" s="76"/>
      <c r="D828" s="83">
        <v>10</v>
      </c>
      <c r="E828" s="41">
        <f t="shared" si="1224"/>
        <v>10</v>
      </c>
      <c r="F828" s="76">
        <v>10</v>
      </c>
      <c r="G828" s="83">
        <v>15</v>
      </c>
      <c r="H828" s="41">
        <f t="shared" si="1217"/>
        <v>25</v>
      </c>
      <c r="I828" s="76">
        <v>20</v>
      </c>
      <c r="J828" s="83">
        <v>15</v>
      </c>
      <c r="K828" s="41">
        <f t="shared" si="1218"/>
        <v>35</v>
      </c>
      <c r="L828" s="77">
        <f t="shared" si="1219"/>
        <v>70</v>
      </c>
      <c r="M828" s="53">
        <v>45874</v>
      </c>
      <c r="N828" s="75" t="s">
        <v>3</v>
      </c>
      <c r="O828" s="76"/>
      <c r="P828" s="83"/>
      <c r="Q828" s="41">
        <f t="shared" si="1225"/>
        <v>0</v>
      </c>
      <c r="R828" s="76"/>
      <c r="S828" s="83"/>
      <c r="T828" s="41">
        <f t="shared" si="1226"/>
        <v>0</v>
      </c>
      <c r="U828" s="76"/>
      <c r="V828" s="83"/>
      <c r="W828" s="41">
        <f t="shared" si="1227"/>
        <v>0</v>
      </c>
      <c r="X828" s="77">
        <f t="shared" si="1228"/>
        <v>0</v>
      </c>
    </row>
    <row r="829" spans="2:25" ht="14.25" thickBot="1" x14ac:dyDescent="0.2">
      <c r="B829" s="5" t="s">
        <v>2</v>
      </c>
      <c r="C829" s="32">
        <f>SUM(C823:C828)</f>
        <v>52</v>
      </c>
      <c r="D829" s="19">
        <f>SUM(D823:D828)</f>
        <v>55</v>
      </c>
      <c r="E829" s="42">
        <f t="shared" si="1224"/>
        <v>107</v>
      </c>
      <c r="F829" s="32">
        <f>SUM(F823:F828)</f>
        <v>44</v>
      </c>
      <c r="G829" s="19">
        <f>SUM(G823:G828)</f>
        <v>61</v>
      </c>
      <c r="H829" s="42">
        <f t="shared" si="1217"/>
        <v>105</v>
      </c>
      <c r="I829" s="32">
        <f>SUM(I823:I828)</f>
        <v>62</v>
      </c>
      <c r="J829" s="19">
        <f>SUM(J823:J828)</f>
        <v>51</v>
      </c>
      <c r="K829" s="42">
        <f t="shared" si="1218"/>
        <v>113</v>
      </c>
      <c r="L829" s="13">
        <f t="shared" si="1219"/>
        <v>325</v>
      </c>
      <c r="N829" s="63" t="s">
        <v>2</v>
      </c>
      <c r="O829" s="32">
        <f>SUM(O823:O828)</f>
        <v>695</v>
      </c>
      <c r="P829" s="19">
        <f t="shared" ref="P829" si="1229">SUM(P823:P828)</f>
        <v>720</v>
      </c>
      <c r="Q829" s="42">
        <f t="shared" ref="Q829" si="1230">SUM(Q823:Q828)</f>
        <v>1415</v>
      </c>
      <c r="R829" s="32">
        <f t="shared" ref="R829" si="1231">SUM(R823:R828)</f>
        <v>494</v>
      </c>
      <c r="S829" s="19">
        <f t="shared" ref="S829" si="1232">SUM(S823:S828)</f>
        <v>555</v>
      </c>
      <c r="T829" s="42">
        <f t="shared" ref="T829" si="1233">SUM(T823:T828)</f>
        <v>1049</v>
      </c>
      <c r="U829" s="32">
        <f t="shared" ref="U829" si="1234">SUM(U823:U828)</f>
        <v>369</v>
      </c>
      <c r="V829" s="19">
        <f t="shared" ref="V829" si="1235">SUM(V823:V828)</f>
        <v>335</v>
      </c>
      <c r="W829" s="42">
        <f t="shared" ref="W829" si="1236">SUM(W823:W828)</f>
        <v>704</v>
      </c>
      <c r="X829" s="13">
        <f t="shared" ref="X829" si="1237">SUM(X823:X828)</f>
        <v>3168</v>
      </c>
    </row>
    <row r="830" spans="2:25" x14ac:dyDescent="0.15">
      <c r="B830" s="7" t="s">
        <v>96</v>
      </c>
      <c r="C830" s="30">
        <v>2</v>
      </c>
      <c r="D830" s="25">
        <v>3</v>
      </c>
      <c r="E830" s="43">
        <f t="shared" si="1224"/>
        <v>5</v>
      </c>
      <c r="F830" s="35">
        <v>1</v>
      </c>
      <c r="G830" s="8">
        <v>6</v>
      </c>
      <c r="H830" s="43">
        <f t="shared" si="1217"/>
        <v>7</v>
      </c>
      <c r="I830" s="35">
        <v>8</v>
      </c>
      <c r="J830" s="8">
        <v>9</v>
      </c>
      <c r="K830" s="43">
        <f t="shared" si="1218"/>
        <v>17</v>
      </c>
      <c r="L830" s="8">
        <f t="shared" si="1219"/>
        <v>29</v>
      </c>
      <c r="M830" s="53">
        <v>45866</v>
      </c>
      <c r="N830" s="7" t="s">
        <v>483</v>
      </c>
      <c r="O830" s="30"/>
      <c r="P830" s="25">
        <v>5</v>
      </c>
      <c r="Q830" s="43">
        <f t="shared" si="1225"/>
        <v>5</v>
      </c>
      <c r="R830" s="35">
        <v>5</v>
      </c>
      <c r="S830" s="8"/>
      <c r="T830" s="43">
        <f t="shared" si="1226"/>
        <v>5</v>
      </c>
      <c r="U830" s="35"/>
      <c r="V830" s="8"/>
      <c r="W830" s="43">
        <f t="shared" si="1227"/>
        <v>0</v>
      </c>
      <c r="X830" s="8">
        <f t="shared" si="1228"/>
        <v>10</v>
      </c>
      <c r="Y830" s="53">
        <v>45878</v>
      </c>
    </row>
    <row r="831" spans="2:25" x14ac:dyDescent="0.15">
      <c r="B831" s="7" t="s">
        <v>97</v>
      </c>
      <c r="C831" s="30">
        <v>1</v>
      </c>
      <c r="D831" s="25">
        <v>5</v>
      </c>
      <c r="E831" s="43">
        <f t="shared" si="1224"/>
        <v>6</v>
      </c>
      <c r="F831" s="35">
        <v>2</v>
      </c>
      <c r="G831" s="8">
        <v>5</v>
      </c>
      <c r="H831" s="43">
        <f t="shared" si="1217"/>
        <v>7</v>
      </c>
      <c r="I831" s="35"/>
      <c r="J831" s="8"/>
      <c r="K831" s="43">
        <f t="shared" si="1218"/>
        <v>0</v>
      </c>
      <c r="L831" s="8">
        <f t="shared" si="1219"/>
        <v>13</v>
      </c>
      <c r="M831" s="53">
        <v>45868</v>
      </c>
      <c r="N831" s="7" t="s">
        <v>28</v>
      </c>
      <c r="O831" s="30"/>
      <c r="P831" s="25">
        <v>5</v>
      </c>
      <c r="Q831" s="43">
        <f t="shared" si="1225"/>
        <v>5</v>
      </c>
      <c r="R831" s="35"/>
      <c r="S831" s="8">
        <v>5</v>
      </c>
      <c r="T831" s="43">
        <f t="shared" si="1226"/>
        <v>5</v>
      </c>
      <c r="U831" s="35">
        <v>10</v>
      </c>
      <c r="V831" s="8"/>
      <c r="W831" s="43">
        <f t="shared" si="1227"/>
        <v>10</v>
      </c>
      <c r="X831" s="8">
        <f t="shared" si="1228"/>
        <v>20</v>
      </c>
      <c r="Y831" s="53">
        <v>45889</v>
      </c>
    </row>
    <row r="832" spans="2:25" x14ac:dyDescent="0.15">
      <c r="B832" s="7" t="s">
        <v>98</v>
      </c>
      <c r="C832" s="30">
        <v>5</v>
      </c>
      <c r="D832" s="25"/>
      <c r="E832" s="43">
        <f t="shared" si="1224"/>
        <v>5</v>
      </c>
      <c r="F832" s="35"/>
      <c r="G832" s="8">
        <v>2</v>
      </c>
      <c r="H832" s="43">
        <f t="shared" si="1217"/>
        <v>2</v>
      </c>
      <c r="I832" s="35"/>
      <c r="J832" s="8"/>
      <c r="K832" s="43">
        <f t="shared" si="1218"/>
        <v>0</v>
      </c>
      <c r="L832" s="8">
        <f t="shared" si="1219"/>
        <v>7</v>
      </c>
      <c r="M832" s="53">
        <v>45869</v>
      </c>
      <c r="N832" s="7" t="s">
        <v>486</v>
      </c>
      <c r="O832" s="30"/>
      <c r="P832" s="25">
        <v>3</v>
      </c>
      <c r="Q832" s="43">
        <f t="shared" si="1225"/>
        <v>3</v>
      </c>
      <c r="R832" s="35">
        <v>10</v>
      </c>
      <c r="S832" s="8">
        <v>10</v>
      </c>
      <c r="T832" s="43">
        <f t="shared" si="1226"/>
        <v>20</v>
      </c>
      <c r="U832" s="35">
        <v>8</v>
      </c>
      <c r="V832" s="8">
        <v>10</v>
      </c>
      <c r="W832" s="43">
        <f t="shared" si="1227"/>
        <v>18</v>
      </c>
      <c r="X832" s="8">
        <f t="shared" si="1228"/>
        <v>41</v>
      </c>
      <c r="Y832" s="53">
        <v>45894</v>
      </c>
    </row>
    <row r="833" spans="2:25" x14ac:dyDescent="0.15">
      <c r="B833" s="7" t="s">
        <v>12</v>
      </c>
      <c r="C833" s="30"/>
      <c r="D833" s="25"/>
      <c r="E833" s="43">
        <f t="shared" si="1224"/>
        <v>0</v>
      </c>
      <c r="F833" s="35"/>
      <c r="G833" s="8">
        <v>1</v>
      </c>
      <c r="H833" s="43">
        <f t="shared" si="1217"/>
        <v>1</v>
      </c>
      <c r="I833" s="35"/>
      <c r="J833" s="8"/>
      <c r="K833" s="43">
        <f t="shared" si="1218"/>
        <v>0</v>
      </c>
      <c r="L833" s="8">
        <f t="shared" si="1219"/>
        <v>1</v>
      </c>
      <c r="M833" s="53">
        <v>45867</v>
      </c>
      <c r="N833" s="7" t="s">
        <v>28</v>
      </c>
      <c r="O833" s="30">
        <v>10</v>
      </c>
      <c r="P833" s="25">
        <v>5</v>
      </c>
      <c r="Q833" s="43">
        <f t="shared" ref="Q833:Q834" si="1238">SUM(O833:P833)</f>
        <v>15</v>
      </c>
      <c r="R833" s="35"/>
      <c r="S833" s="8">
        <v>10</v>
      </c>
      <c r="T833" s="43">
        <f t="shared" si="1226"/>
        <v>10</v>
      </c>
      <c r="U833" s="35"/>
      <c r="V833" s="8"/>
      <c r="W833" s="43">
        <f t="shared" si="1227"/>
        <v>0</v>
      </c>
      <c r="X833" s="8">
        <f t="shared" si="1228"/>
        <v>25</v>
      </c>
      <c r="Y833" s="53">
        <v>45891</v>
      </c>
    </row>
    <row r="834" spans="2:25" x14ac:dyDescent="0.15">
      <c r="B834" s="7" t="s">
        <v>478</v>
      </c>
      <c r="C834" s="30">
        <v>2</v>
      </c>
      <c r="D834" s="25">
        <v>1</v>
      </c>
      <c r="E834" s="43">
        <f t="shared" si="1224"/>
        <v>3</v>
      </c>
      <c r="F834" s="35">
        <v>1</v>
      </c>
      <c r="G834" s="8">
        <v>4</v>
      </c>
      <c r="H834" s="43">
        <f t="shared" si="1217"/>
        <v>5</v>
      </c>
      <c r="I834" s="35">
        <v>6</v>
      </c>
      <c r="J834" s="8"/>
      <c r="K834" s="43">
        <f t="shared" si="1218"/>
        <v>6</v>
      </c>
      <c r="L834" s="8">
        <f t="shared" si="1219"/>
        <v>14</v>
      </c>
      <c r="M834" s="53">
        <v>45870</v>
      </c>
      <c r="N834" s="7" t="s">
        <v>28</v>
      </c>
      <c r="O834" s="30"/>
      <c r="P834" s="25">
        <v>15</v>
      </c>
      <c r="Q834" s="43">
        <f t="shared" si="1238"/>
        <v>15</v>
      </c>
      <c r="R834" s="35">
        <v>15</v>
      </c>
      <c r="S834" s="8">
        <v>15</v>
      </c>
      <c r="T834" s="43">
        <f t="shared" si="1226"/>
        <v>30</v>
      </c>
      <c r="U834" s="35">
        <v>15</v>
      </c>
      <c r="V834" s="8"/>
      <c r="W834" s="43">
        <f t="shared" si="1227"/>
        <v>15</v>
      </c>
      <c r="X834" s="8">
        <f t="shared" si="1228"/>
        <v>60</v>
      </c>
      <c r="Y834" s="53">
        <v>45895</v>
      </c>
    </row>
    <row r="835" spans="2:25" x14ac:dyDescent="0.15">
      <c r="B835" s="7" t="s">
        <v>12</v>
      </c>
      <c r="C835" s="30"/>
      <c r="D835" s="25">
        <v>1</v>
      </c>
      <c r="E835" s="43">
        <f t="shared" si="1224"/>
        <v>1</v>
      </c>
      <c r="F835" s="35">
        <v>3</v>
      </c>
      <c r="G835" s="8">
        <v>1</v>
      </c>
      <c r="H835" s="43">
        <f t="shared" si="1217"/>
        <v>4</v>
      </c>
      <c r="I835" s="35"/>
      <c r="J835" s="8">
        <f>1+1</f>
        <v>2</v>
      </c>
      <c r="K835" s="43">
        <f t="shared" si="1218"/>
        <v>2</v>
      </c>
      <c r="L835" s="8">
        <f t="shared" si="1219"/>
        <v>7</v>
      </c>
      <c r="M835" s="53">
        <v>45868</v>
      </c>
      <c r="N835" s="7" t="s">
        <v>490</v>
      </c>
      <c r="O835" s="30">
        <v>20</v>
      </c>
      <c r="P835" s="25">
        <v>12</v>
      </c>
      <c r="Q835" s="43">
        <f t="shared" si="1225"/>
        <v>32</v>
      </c>
      <c r="R835" s="35">
        <v>12</v>
      </c>
      <c r="S835" s="8">
        <v>15</v>
      </c>
      <c r="T835" s="43">
        <f t="shared" si="1226"/>
        <v>27</v>
      </c>
      <c r="U835" s="35">
        <v>25</v>
      </c>
      <c r="V835" s="8">
        <v>5</v>
      </c>
      <c r="W835" s="43">
        <f t="shared" si="1227"/>
        <v>30</v>
      </c>
      <c r="X835" s="8">
        <f t="shared" si="1228"/>
        <v>89</v>
      </c>
      <c r="Y835" s="53">
        <v>45897</v>
      </c>
    </row>
    <row r="836" spans="2:25" x14ac:dyDescent="0.15">
      <c r="B836" s="7" t="s">
        <v>280</v>
      </c>
      <c r="C836" s="30">
        <v>3</v>
      </c>
      <c r="D836" s="25">
        <v>5</v>
      </c>
      <c r="E836" s="43">
        <f t="shared" si="1224"/>
        <v>8</v>
      </c>
      <c r="F836" s="35">
        <v>5</v>
      </c>
      <c r="G836" s="8">
        <v>3</v>
      </c>
      <c r="H836" s="43">
        <f t="shared" si="1217"/>
        <v>8</v>
      </c>
      <c r="I836" s="35">
        <v>5</v>
      </c>
      <c r="J836" s="8">
        <v>8</v>
      </c>
      <c r="K836" s="43">
        <f t="shared" si="1218"/>
        <v>13</v>
      </c>
      <c r="L836" s="8">
        <f t="shared" si="1219"/>
        <v>29</v>
      </c>
      <c r="M836" s="53">
        <v>45870</v>
      </c>
      <c r="N836" s="7" t="s">
        <v>491</v>
      </c>
      <c r="O836" s="30"/>
      <c r="P836" s="25">
        <v>15</v>
      </c>
      <c r="Q836" s="43">
        <f t="shared" si="1225"/>
        <v>15</v>
      </c>
      <c r="R836" s="35">
        <v>10</v>
      </c>
      <c r="S836" s="8">
        <v>10</v>
      </c>
      <c r="T836" s="43">
        <f t="shared" si="1226"/>
        <v>20</v>
      </c>
      <c r="U836" s="35">
        <v>4</v>
      </c>
      <c r="V836" s="8"/>
      <c r="W836" s="43">
        <f t="shared" si="1227"/>
        <v>4</v>
      </c>
      <c r="X836" s="8">
        <f t="shared" si="1228"/>
        <v>39</v>
      </c>
      <c r="Y836" s="53">
        <v>45898</v>
      </c>
    </row>
    <row r="837" spans="2:25" x14ac:dyDescent="0.15">
      <c r="B837" s="7" t="s">
        <v>12</v>
      </c>
      <c r="C837" s="30"/>
      <c r="D837" s="25"/>
      <c r="E837" s="43">
        <f t="shared" si="1224"/>
        <v>0</v>
      </c>
      <c r="F837" s="35"/>
      <c r="G837" s="8">
        <v>1</v>
      </c>
      <c r="H837" s="43">
        <f t="shared" si="1217"/>
        <v>1</v>
      </c>
      <c r="I837" s="35"/>
      <c r="J837" s="8"/>
      <c r="K837" s="43">
        <f t="shared" si="1218"/>
        <v>0</v>
      </c>
      <c r="L837" s="8">
        <f t="shared" si="1219"/>
        <v>1</v>
      </c>
      <c r="M837" s="53">
        <v>45869</v>
      </c>
      <c r="N837" s="7" t="s">
        <v>493</v>
      </c>
      <c r="O837" s="30"/>
      <c r="P837" s="25"/>
      <c r="Q837" s="43">
        <f t="shared" si="1225"/>
        <v>0</v>
      </c>
      <c r="R837" s="35">
        <v>10</v>
      </c>
      <c r="S837" s="8">
        <v>10</v>
      </c>
      <c r="T837" s="43">
        <f t="shared" si="1226"/>
        <v>20</v>
      </c>
      <c r="U837" s="35"/>
      <c r="V837" s="8">
        <v>15</v>
      </c>
      <c r="W837" s="43">
        <f t="shared" si="1227"/>
        <v>15</v>
      </c>
      <c r="X837" s="8">
        <f t="shared" si="1228"/>
        <v>35</v>
      </c>
      <c r="Y837" s="53">
        <v>45898</v>
      </c>
    </row>
    <row r="838" spans="2:25" x14ac:dyDescent="0.15">
      <c r="B838" s="7" t="s">
        <v>283</v>
      </c>
      <c r="C838" s="30"/>
      <c r="D838" s="25">
        <v>9</v>
      </c>
      <c r="E838" s="43">
        <f t="shared" si="1224"/>
        <v>9</v>
      </c>
      <c r="F838" s="35">
        <v>8</v>
      </c>
      <c r="G838" s="8">
        <v>8</v>
      </c>
      <c r="H838" s="43">
        <f t="shared" si="1217"/>
        <v>16</v>
      </c>
      <c r="I838" s="35">
        <v>9</v>
      </c>
      <c r="J838" s="8">
        <v>5</v>
      </c>
      <c r="K838" s="43">
        <f t="shared" si="1218"/>
        <v>14</v>
      </c>
      <c r="L838" s="8">
        <f t="shared" si="1219"/>
        <v>39</v>
      </c>
      <c r="M838" s="53">
        <v>45873</v>
      </c>
      <c r="N838" s="7" t="s">
        <v>495</v>
      </c>
      <c r="O838" s="30"/>
      <c r="P838" s="25">
        <v>2</v>
      </c>
      <c r="Q838" s="43">
        <f t="shared" si="1225"/>
        <v>2</v>
      </c>
      <c r="R838" s="35"/>
      <c r="S838" s="8"/>
      <c r="T838" s="43">
        <f t="shared" si="1226"/>
        <v>0</v>
      </c>
      <c r="U838" s="35"/>
      <c r="V838" s="8">
        <v>12</v>
      </c>
      <c r="W838" s="43">
        <f t="shared" si="1227"/>
        <v>12</v>
      </c>
      <c r="X838" s="8">
        <f t="shared" si="1228"/>
        <v>14</v>
      </c>
      <c r="Y838" s="53">
        <v>45899</v>
      </c>
    </row>
    <row r="839" spans="2:25" x14ac:dyDescent="0.15">
      <c r="B839" s="7" t="s">
        <v>12</v>
      </c>
      <c r="C839" s="30"/>
      <c r="D839" s="25"/>
      <c r="E839" s="43">
        <f t="shared" si="1224"/>
        <v>0</v>
      </c>
      <c r="F839" s="35"/>
      <c r="G839" s="8"/>
      <c r="H839" s="43">
        <f t="shared" si="1217"/>
        <v>0</v>
      </c>
      <c r="I839" s="35">
        <v>1</v>
      </c>
      <c r="J839" s="8"/>
      <c r="K839" s="43">
        <f t="shared" si="1218"/>
        <v>1</v>
      </c>
      <c r="L839" s="8">
        <f t="shared" si="1219"/>
        <v>1</v>
      </c>
      <c r="M839" s="53">
        <v>45870</v>
      </c>
      <c r="N839" s="7" t="s">
        <v>28</v>
      </c>
      <c r="O839" s="30">
        <v>40</v>
      </c>
      <c r="P839" s="25"/>
      <c r="Q839" s="43">
        <f t="shared" si="1225"/>
        <v>40</v>
      </c>
      <c r="R839" s="35"/>
      <c r="S839" s="8"/>
      <c r="T839" s="43">
        <f t="shared" si="1226"/>
        <v>0</v>
      </c>
      <c r="U839" s="35"/>
      <c r="V839" s="8"/>
      <c r="W839" s="43">
        <f t="shared" si="1227"/>
        <v>0</v>
      </c>
      <c r="X839" s="8">
        <f t="shared" si="1228"/>
        <v>40</v>
      </c>
      <c r="Y839" s="53">
        <v>45899</v>
      </c>
    </row>
    <row r="840" spans="2:25" x14ac:dyDescent="0.15">
      <c r="B840" s="7" t="s">
        <v>102</v>
      </c>
      <c r="C840" s="30">
        <v>5</v>
      </c>
      <c r="D840" s="25">
        <v>8</v>
      </c>
      <c r="E840" s="43">
        <f t="shared" si="1224"/>
        <v>13</v>
      </c>
      <c r="F840" s="35">
        <v>4</v>
      </c>
      <c r="G840" s="8">
        <v>9</v>
      </c>
      <c r="H840" s="43">
        <f t="shared" si="1217"/>
        <v>13</v>
      </c>
      <c r="I840" s="35">
        <v>13</v>
      </c>
      <c r="J840" s="8">
        <v>5</v>
      </c>
      <c r="K840" s="43">
        <f t="shared" si="1218"/>
        <v>18</v>
      </c>
      <c r="L840" s="8">
        <f t="shared" si="1219"/>
        <v>44</v>
      </c>
      <c r="M840" s="53">
        <v>45875</v>
      </c>
      <c r="N840" s="7"/>
      <c r="O840" s="33"/>
      <c r="P840" s="27"/>
      <c r="Q840" s="43">
        <f t="shared" si="1225"/>
        <v>0</v>
      </c>
      <c r="R840" s="37"/>
      <c r="S840" s="10"/>
      <c r="T840" s="43">
        <f t="shared" si="1226"/>
        <v>0</v>
      </c>
      <c r="U840" s="37"/>
      <c r="V840" s="10"/>
      <c r="W840" s="43">
        <f t="shared" si="1227"/>
        <v>0</v>
      </c>
      <c r="X840" s="8">
        <f t="shared" si="1228"/>
        <v>0</v>
      </c>
    </row>
    <row r="841" spans="2:25" x14ac:dyDescent="0.15">
      <c r="B841" s="7" t="s">
        <v>287</v>
      </c>
      <c r="C841" s="30">
        <v>4</v>
      </c>
      <c r="D841" s="25">
        <v>5</v>
      </c>
      <c r="E841" s="43">
        <f t="shared" si="1224"/>
        <v>9</v>
      </c>
      <c r="F841" s="35">
        <v>2</v>
      </c>
      <c r="G841" s="8"/>
      <c r="H841" s="43">
        <f t="shared" si="1217"/>
        <v>2</v>
      </c>
      <c r="I841" s="35">
        <v>3</v>
      </c>
      <c r="J841" s="8">
        <v>2</v>
      </c>
      <c r="K841" s="43">
        <f t="shared" si="1218"/>
        <v>5</v>
      </c>
      <c r="L841" s="8">
        <f t="shared" si="1219"/>
        <v>16</v>
      </c>
      <c r="M841" s="53">
        <v>45876</v>
      </c>
      <c r="N841" s="7"/>
      <c r="O841" s="33"/>
      <c r="P841" s="27"/>
      <c r="Q841" s="43">
        <f t="shared" si="1225"/>
        <v>0</v>
      </c>
      <c r="R841" s="37"/>
      <c r="S841" s="10"/>
      <c r="T841" s="43">
        <f t="shared" si="1226"/>
        <v>0</v>
      </c>
      <c r="U841" s="37"/>
      <c r="V841" s="10"/>
      <c r="W841" s="43">
        <f t="shared" si="1227"/>
        <v>0</v>
      </c>
      <c r="X841" s="8">
        <f t="shared" si="1228"/>
        <v>0</v>
      </c>
    </row>
    <row r="842" spans="2:25" x14ac:dyDescent="0.15">
      <c r="B842" s="7" t="s">
        <v>12</v>
      </c>
      <c r="C842" s="30"/>
      <c r="D842" s="25"/>
      <c r="E842" s="43">
        <f t="shared" si="1224"/>
        <v>0</v>
      </c>
      <c r="F842" s="35">
        <v>1</v>
      </c>
      <c r="G842" s="8"/>
      <c r="H842" s="43">
        <f t="shared" si="1217"/>
        <v>1</v>
      </c>
      <c r="I842" s="35"/>
      <c r="J842" s="8"/>
      <c r="K842" s="43">
        <f t="shared" si="1218"/>
        <v>0</v>
      </c>
      <c r="L842" s="8">
        <f t="shared" si="1219"/>
        <v>1</v>
      </c>
      <c r="M842" s="53">
        <v>45874</v>
      </c>
      <c r="N842" s="7"/>
      <c r="O842" s="30"/>
      <c r="P842" s="25"/>
      <c r="Q842" s="43">
        <f t="shared" si="1225"/>
        <v>0</v>
      </c>
      <c r="R842" s="35"/>
      <c r="S842" s="8"/>
      <c r="T842" s="43">
        <f t="shared" si="1226"/>
        <v>0</v>
      </c>
      <c r="U842" s="35"/>
      <c r="V842" s="8"/>
      <c r="W842" s="43">
        <f t="shared" si="1227"/>
        <v>0</v>
      </c>
      <c r="X842" s="8">
        <f t="shared" si="1228"/>
        <v>0</v>
      </c>
    </row>
    <row r="843" spans="2:25" x14ac:dyDescent="0.15">
      <c r="B843" s="7" t="s">
        <v>479</v>
      </c>
      <c r="C843" s="30">
        <v>1</v>
      </c>
      <c r="D843" s="25"/>
      <c r="E843" s="43">
        <f t="shared" si="1224"/>
        <v>1</v>
      </c>
      <c r="F843" s="35">
        <v>2</v>
      </c>
      <c r="G843" s="8"/>
      <c r="H843" s="43">
        <f t="shared" si="1217"/>
        <v>2</v>
      </c>
      <c r="I843" s="35">
        <v>1</v>
      </c>
      <c r="J843" s="8"/>
      <c r="K843" s="43">
        <f t="shared" si="1218"/>
        <v>1</v>
      </c>
      <c r="L843" s="8">
        <f t="shared" si="1219"/>
        <v>4</v>
      </c>
      <c r="M843" s="53">
        <v>45877</v>
      </c>
      <c r="N843" s="7"/>
      <c r="O843" s="33"/>
      <c r="P843" s="27"/>
      <c r="Q843" s="43">
        <f t="shared" si="1225"/>
        <v>0</v>
      </c>
      <c r="R843" s="37"/>
      <c r="S843" s="10"/>
      <c r="T843" s="43">
        <f t="shared" si="1226"/>
        <v>0</v>
      </c>
      <c r="U843" s="37"/>
      <c r="V843" s="10"/>
      <c r="W843" s="43">
        <f t="shared" si="1227"/>
        <v>0</v>
      </c>
      <c r="X843" s="8">
        <f t="shared" si="1228"/>
        <v>0</v>
      </c>
    </row>
    <row r="844" spans="2:25" x14ac:dyDescent="0.15">
      <c r="B844" s="7" t="s">
        <v>12</v>
      </c>
      <c r="C844" s="30"/>
      <c r="D844" s="25">
        <f>2+1</f>
        <v>3</v>
      </c>
      <c r="E844" s="43">
        <f t="shared" si="1224"/>
        <v>3</v>
      </c>
      <c r="F844" s="35"/>
      <c r="G844" s="8">
        <v>1</v>
      </c>
      <c r="H844" s="43">
        <f t="shared" si="1217"/>
        <v>1</v>
      </c>
      <c r="I844" s="35"/>
      <c r="J844" s="8"/>
      <c r="K844" s="43">
        <f t="shared" si="1218"/>
        <v>0</v>
      </c>
      <c r="L844" s="8">
        <f t="shared" si="1219"/>
        <v>4</v>
      </c>
      <c r="M844" s="53">
        <v>45875</v>
      </c>
      <c r="N844" s="7"/>
      <c r="O844" s="33"/>
      <c r="P844" s="27"/>
      <c r="Q844" s="43">
        <f t="shared" si="1225"/>
        <v>0</v>
      </c>
      <c r="R844" s="37"/>
      <c r="S844" s="10"/>
      <c r="T844" s="43">
        <f t="shared" si="1226"/>
        <v>0</v>
      </c>
      <c r="U844" s="37"/>
      <c r="V844" s="10"/>
      <c r="W844" s="43">
        <f t="shared" si="1227"/>
        <v>0</v>
      </c>
      <c r="X844" s="8">
        <f t="shared" si="1228"/>
        <v>0</v>
      </c>
    </row>
    <row r="845" spans="2:25" x14ac:dyDescent="0.15">
      <c r="B845" s="7" t="s">
        <v>105</v>
      </c>
      <c r="C845" s="30">
        <v>6</v>
      </c>
      <c r="D845" s="25">
        <v>5</v>
      </c>
      <c r="E845" s="43">
        <f t="shared" si="1224"/>
        <v>11</v>
      </c>
      <c r="F845" s="35">
        <v>3</v>
      </c>
      <c r="G845" s="8">
        <v>3</v>
      </c>
      <c r="H845" s="43">
        <f t="shared" si="1217"/>
        <v>6</v>
      </c>
      <c r="I845" s="35">
        <v>1</v>
      </c>
      <c r="J845" s="8">
        <v>4</v>
      </c>
      <c r="K845" s="43">
        <f t="shared" si="1218"/>
        <v>5</v>
      </c>
      <c r="L845" s="8">
        <f t="shared" si="1219"/>
        <v>22</v>
      </c>
      <c r="M845" s="53">
        <v>45877</v>
      </c>
      <c r="N845" s="7"/>
      <c r="O845" s="33"/>
      <c r="P845" s="27"/>
      <c r="Q845" s="43">
        <f t="shared" si="1225"/>
        <v>0</v>
      </c>
      <c r="R845" s="37"/>
      <c r="S845" s="10"/>
      <c r="T845" s="43">
        <f t="shared" si="1226"/>
        <v>0</v>
      </c>
      <c r="U845" s="37"/>
      <c r="V845" s="10"/>
      <c r="W845" s="43">
        <f t="shared" si="1227"/>
        <v>0</v>
      </c>
      <c r="X845" s="8">
        <f t="shared" si="1228"/>
        <v>0</v>
      </c>
    </row>
    <row r="846" spans="2:25" x14ac:dyDescent="0.15">
      <c r="B846" s="7" t="s">
        <v>12</v>
      </c>
      <c r="C846" s="30"/>
      <c r="D846" s="25"/>
      <c r="E846" s="43">
        <f t="shared" si="1224"/>
        <v>0</v>
      </c>
      <c r="F846" s="35"/>
      <c r="G846" s="8">
        <v>1</v>
      </c>
      <c r="H846" s="43">
        <f t="shared" si="1217"/>
        <v>1</v>
      </c>
      <c r="I846" s="35"/>
      <c r="J846" s="8">
        <v>1</v>
      </c>
      <c r="K846" s="43">
        <f t="shared" si="1218"/>
        <v>1</v>
      </c>
      <c r="L846" s="8">
        <f t="shared" si="1219"/>
        <v>2</v>
      </c>
      <c r="M846" s="53">
        <v>45876</v>
      </c>
      <c r="N846" s="7"/>
      <c r="O846" s="33"/>
      <c r="P846" s="27"/>
      <c r="Q846" s="43">
        <f t="shared" si="1225"/>
        <v>0</v>
      </c>
      <c r="R846" s="37"/>
      <c r="S846" s="10"/>
      <c r="T846" s="43">
        <f t="shared" si="1226"/>
        <v>0</v>
      </c>
      <c r="U846" s="37"/>
      <c r="V846" s="10"/>
      <c r="W846" s="43">
        <f t="shared" si="1227"/>
        <v>0</v>
      </c>
      <c r="X846" s="8">
        <f t="shared" si="1228"/>
        <v>0</v>
      </c>
    </row>
    <row r="847" spans="2:25" x14ac:dyDescent="0.15">
      <c r="B847" s="7" t="s">
        <v>482</v>
      </c>
      <c r="C847" s="30"/>
      <c r="D847" s="25">
        <v>-5</v>
      </c>
      <c r="E847" s="43">
        <f t="shared" si="1224"/>
        <v>-5</v>
      </c>
      <c r="F847" s="35">
        <v>-5</v>
      </c>
      <c r="G847" s="8"/>
      <c r="H847" s="43">
        <f t="shared" si="1217"/>
        <v>-5</v>
      </c>
      <c r="I847" s="35"/>
      <c r="J847" s="8"/>
      <c r="K847" s="43">
        <f t="shared" si="1218"/>
        <v>0</v>
      </c>
      <c r="L847" s="8">
        <f t="shared" si="1219"/>
        <v>-10</v>
      </c>
      <c r="M847" s="53">
        <v>45878</v>
      </c>
      <c r="N847" s="7"/>
      <c r="O847" s="33"/>
      <c r="P847" s="27"/>
      <c r="Q847" s="43">
        <f t="shared" si="1225"/>
        <v>0</v>
      </c>
      <c r="R847" s="37"/>
      <c r="S847" s="10"/>
      <c r="T847" s="43">
        <f t="shared" si="1226"/>
        <v>0</v>
      </c>
      <c r="U847" s="37"/>
      <c r="V847" s="10"/>
      <c r="W847" s="43">
        <f t="shared" si="1227"/>
        <v>0</v>
      </c>
      <c r="X847" s="8">
        <f t="shared" si="1228"/>
        <v>0</v>
      </c>
    </row>
    <row r="848" spans="2:25" x14ac:dyDescent="0.15">
      <c r="B848" s="7" t="s">
        <v>484</v>
      </c>
      <c r="C848" s="33"/>
      <c r="D848" s="27"/>
      <c r="E848" s="43">
        <f t="shared" si="1224"/>
        <v>0</v>
      </c>
      <c r="F848" s="37"/>
      <c r="G848" s="10"/>
      <c r="H848" s="43">
        <f t="shared" si="1217"/>
        <v>0</v>
      </c>
      <c r="I848" s="37">
        <v>-4</v>
      </c>
      <c r="J848" s="10"/>
      <c r="K848" s="43">
        <f t="shared" si="1218"/>
        <v>-4</v>
      </c>
      <c r="L848" s="8">
        <f t="shared" si="1219"/>
        <v>-4</v>
      </c>
      <c r="M848" s="53">
        <v>45874</v>
      </c>
      <c r="N848" s="7"/>
      <c r="O848" s="33"/>
      <c r="P848" s="27"/>
      <c r="Q848" s="43">
        <f t="shared" si="1225"/>
        <v>0</v>
      </c>
      <c r="R848" s="37"/>
      <c r="S848" s="10"/>
      <c r="T848" s="43">
        <f t="shared" si="1226"/>
        <v>0</v>
      </c>
      <c r="U848" s="37"/>
      <c r="V848" s="10"/>
      <c r="W848" s="43">
        <f t="shared" si="1227"/>
        <v>0</v>
      </c>
      <c r="X848" s="8">
        <f t="shared" si="1228"/>
        <v>0</v>
      </c>
    </row>
    <row r="849" spans="2:25" x14ac:dyDescent="0.15">
      <c r="B849" s="7" t="s">
        <v>293</v>
      </c>
      <c r="C849" s="30"/>
      <c r="D849" s="25">
        <v>3</v>
      </c>
      <c r="E849" s="43">
        <f t="shared" si="1224"/>
        <v>3</v>
      </c>
      <c r="F849" s="35">
        <v>3</v>
      </c>
      <c r="G849" s="8">
        <v>2</v>
      </c>
      <c r="H849" s="43">
        <f t="shared" si="1217"/>
        <v>5</v>
      </c>
      <c r="I849" s="35">
        <v>7</v>
      </c>
      <c r="J849" s="8"/>
      <c r="K849" s="43">
        <f t="shared" si="1218"/>
        <v>7</v>
      </c>
      <c r="L849" s="8">
        <f t="shared" si="1219"/>
        <v>15</v>
      </c>
      <c r="M849" s="53">
        <v>45889</v>
      </c>
      <c r="N849" s="125"/>
      <c r="O849" s="33"/>
      <c r="P849" s="27"/>
      <c r="Q849" s="43">
        <f t="shared" si="1225"/>
        <v>0</v>
      </c>
      <c r="R849" s="37"/>
      <c r="S849" s="10"/>
      <c r="T849" s="43">
        <f t="shared" si="1226"/>
        <v>0</v>
      </c>
      <c r="U849" s="37"/>
      <c r="V849" s="10"/>
      <c r="W849" s="43">
        <f t="shared" si="1227"/>
        <v>0</v>
      </c>
      <c r="X849" s="8">
        <f t="shared" si="1228"/>
        <v>0</v>
      </c>
    </row>
    <row r="850" spans="2:25" x14ac:dyDescent="0.15">
      <c r="B850" s="7" t="s">
        <v>12</v>
      </c>
      <c r="C850" s="30"/>
      <c r="D850" s="25">
        <v>3</v>
      </c>
      <c r="E850" s="43">
        <f t="shared" si="1224"/>
        <v>3</v>
      </c>
      <c r="F850" s="35"/>
      <c r="G850" s="8">
        <v>1</v>
      </c>
      <c r="H850" s="43">
        <f t="shared" si="1217"/>
        <v>1</v>
      </c>
      <c r="I850" s="35">
        <v>2</v>
      </c>
      <c r="J850" s="8"/>
      <c r="K850" s="43">
        <f t="shared" si="1218"/>
        <v>2</v>
      </c>
      <c r="L850" s="8">
        <f t="shared" si="1219"/>
        <v>6</v>
      </c>
      <c r="M850" s="53">
        <v>45887</v>
      </c>
      <c r="N850" s="125"/>
      <c r="O850" s="33"/>
      <c r="P850" s="27"/>
      <c r="Q850" s="43">
        <f t="shared" ref="Q850" si="1239">SUM(O850:P850)</f>
        <v>0</v>
      </c>
      <c r="R850" s="37"/>
      <c r="S850" s="10"/>
      <c r="T850" s="43">
        <f t="shared" ref="T850" si="1240">SUM(R850:S850)</f>
        <v>0</v>
      </c>
      <c r="U850" s="37"/>
      <c r="V850" s="10"/>
      <c r="W850" s="43">
        <f t="shared" ref="W850" si="1241">SUM(U850:V850)</f>
        <v>0</v>
      </c>
      <c r="X850" s="8">
        <f t="shared" ref="X850" si="1242">SUM(W850,T850,Q850)</f>
        <v>0</v>
      </c>
    </row>
    <row r="851" spans="2:25" x14ac:dyDescent="0.15">
      <c r="B851" s="7" t="s">
        <v>485</v>
      </c>
      <c r="C851" s="30">
        <v>4</v>
      </c>
      <c r="D851" s="25"/>
      <c r="E851" s="43">
        <f t="shared" si="1224"/>
        <v>4</v>
      </c>
      <c r="F851" s="35"/>
      <c r="G851" s="8">
        <v>1</v>
      </c>
      <c r="H851" s="43">
        <f t="shared" si="1217"/>
        <v>1</v>
      </c>
      <c r="I851" s="35">
        <v>5</v>
      </c>
      <c r="J851" s="8">
        <v>2</v>
      </c>
      <c r="K851" s="43">
        <f t="shared" si="1218"/>
        <v>7</v>
      </c>
      <c r="L851" s="8">
        <f t="shared" si="1219"/>
        <v>12</v>
      </c>
      <c r="M851" s="53">
        <v>45890</v>
      </c>
      <c r="N851" s="7" t="s">
        <v>442</v>
      </c>
      <c r="O851" s="30"/>
      <c r="P851" s="25"/>
      <c r="Q851" s="43">
        <f t="shared" ref="Q851:Q852" si="1243">SUM(O851:P851)</f>
        <v>0</v>
      </c>
      <c r="R851" s="35"/>
      <c r="S851" s="8"/>
      <c r="T851" s="43">
        <f t="shared" ref="T851:T852" si="1244">SUM(R851:S851)</f>
        <v>0</v>
      </c>
      <c r="U851" s="35"/>
      <c r="V851" s="8"/>
      <c r="W851" s="43">
        <f t="shared" ref="W851:W852" si="1245">SUM(U851:V851)</f>
        <v>0</v>
      </c>
      <c r="X851" s="8">
        <f t="shared" ref="X851:X852" si="1246">SUM(W851,T851,Q851)</f>
        <v>0</v>
      </c>
      <c r="Y851" s="52" t="s">
        <v>443</v>
      </c>
    </row>
    <row r="852" spans="2:25" x14ac:dyDescent="0.15">
      <c r="B852" s="7" t="s">
        <v>12</v>
      </c>
      <c r="C852" s="30"/>
      <c r="D852" s="25"/>
      <c r="E852" s="43">
        <f t="shared" si="1224"/>
        <v>0</v>
      </c>
      <c r="F852" s="35"/>
      <c r="G852" s="8">
        <v>1</v>
      </c>
      <c r="H852" s="43">
        <f t="shared" si="1217"/>
        <v>1</v>
      </c>
      <c r="I852" s="35"/>
      <c r="J852" s="8"/>
      <c r="K852" s="43">
        <f t="shared" si="1218"/>
        <v>0</v>
      </c>
      <c r="L852" s="8">
        <f t="shared" si="1219"/>
        <v>1</v>
      </c>
      <c r="M852" s="53">
        <v>45888</v>
      </c>
      <c r="N852" s="7" t="s">
        <v>433</v>
      </c>
      <c r="O852" s="30"/>
      <c r="P852" s="25"/>
      <c r="Q852" s="43">
        <f t="shared" si="1243"/>
        <v>0</v>
      </c>
      <c r="R852" s="35"/>
      <c r="S852" s="8"/>
      <c r="T852" s="43">
        <f t="shared" si="1244"/>
        <v>0</v>
      </c>
      <c r="U852" s="35"/>
      <c r="V852" s="8"/>
      <c r="W852" s="43">
        <f t="shared" si="1245"/>
        <v>0</v>
      </c>
      <c r="X852" s="8">
        <f t="shared" si="1246"/>
        <v>0</v>
      </c>
      <c r="Y852" s="52" t="s">
        <v>434</v>
      </c>
    </row>
    <row r="853" spans="2:25" x14ac:dyDescent="0.15">
      <c r="B853" s="7" t="s">
        <v>3</v>
      </c>
      <c r="C853" s="30"/>
      <c r="D853" s="25">
        <v>-5</v>
      </c>
      <c r="E853" s="43">
        <f t="shared" si="1224"/>
        <v>-5</v>
      </c>
      <c r="F853" s="35"/>
      <c r="G853" s="8">
        <v>-5</v>
      </c>
      <c r="H853" s="43">
        <f t="shared" si="1217"/>
        <v>-5</v>
      </c>
      <c r="I853" s="35">
        <v>-10</v>
      </c>
      <c r="J853" s="8"/>
      <c r="K853" s="43">
        <f t="shared" si="1218"/>
        <v>-10</v>
      </c>
      <c r="L853" s="8">
        <f t="shared" si="1219"/>
        <v>-20</v>
      </c>
      <c r="M853" s="53">
        <v>45889</v>
      </c>
      <c r="N853" s="115" t="s">
        <v>426</v>
      </c>
      <c r="O853" s="116"/>
      <c r="P853" s="112"/>
      <c r="Q853" s="117">
        <f t="shared" si="1225"/>
        <v>0</v>
      </c>
      <c r="R853" s="118"/>
      <c r="S853" s="119"/>
      <c r="T853" s="117">
        <f t="shared" si="1226"/>
        <v>0</v>
      </c>
      <c r="U853" s="118"/>
      <c r="V853" s="119"/>
      <c r="W853" s="117">
        <f t="shared" si="1227"/>
        <v>0</v>
      </c>
      <c r="X853" s="119">
        <f t="shared" si="1228"/>
        <v>0</v>
      </c>
      <c r="Y853" s="101"/>
    </row>
    <row r="854" spans="2:25" ht="14.25" thickBot="1" x14ac:dyDescent="0.2">
      <c r="B854" s="7" t="s">
        <v>296</v>
      </c>
      <c r="C854" s="30"/>
      <c r="D854" s="25"/>
      <c r="E854" s="43">
        <f t="shared" si="1224"/>
        <v>0</v>
      </c>
      <c r="F854" s="35">
        <v>1</v>
      </c>
      <c r="G854" s="8"/>
      <c r="H854" s="43">
        <f t="shared" si="1217"/>
        <v>1</v>
      </c>
      <c r="I854" s="35"/>
      <c r="J854" s="8"/>
      <c r="K854" s="43">
        <f t="shared" si="1218"/>
        <v>0</v>
      </c>
      <c r="L854" s="8">
        <f t="shared" si="1219"/>
        <v>1</v>
      </c>
      <c r="M854" s="53">
        <v>45891</v>
      </c>
      <c r="N854" s="7" t="s">
        <v>435</v>
      </c>
      <c r="O854" s="30"/>
      <c r="P854" s="25"/>
      <c r="Q854" s="43">
        <f t="shared" si="1225"/>
        <v>0</v>
      </c>
      <c r="R854" s="35"/>
      <c r="S854" s="8"/>
      <c r="T854" s="43">
        <f t="shared" si="1226"/>
        <v>0</v>
      </c>
      <c r="U854" s="35"/>
      <c r="V854" s="8"/>
      <c r="W854" s="43">
        <f t="shared" si="1227"/>
        <v>0</v>
      </c>
      <c r="X854" s="8">
        <f t="shared" si="1228"/>
        <v>0</v>
      </c>
      <c r="Y854" s="52" t="s">
        <v>427</v>
      </c>
    </row>
    <row r="855" spans="2:25" ht="14.25" thickBot="1" x14ac:dyDescent="0.2">
      <c r="B855" s="5" t="s">
        <v>1</v>
      </c>
      <c r="C855" s="32">
        <f>SUM(C830:C854)</f>
        <v>33</v>
      </c>
      <c r="D855" s="19">
        <f>SUM(D830:D854)</f>
        <v>41</v>
      </c>
      <c r="E855" s="44">
        <f t="shared" si="1224"/>
        <v>74</v>
      </c>
      <c r="F855" s="32">
        <f>SUM(F830:F854)</f>
        <v>31</v>
      </c>
      <c r="G855" s="19">
        <f>SUM(G830:G854)</f>
        <v>45</v>
      </c>
      <c r="H855" s="44">
        <f t="shared" si="1217"/>
        <v>76</v>
      </c>
      <c r="I855" s="32">
        <f>SUM(I830:I854)</f>
        <v>47</v>
      </c>
      <c r="J855" s="19">
        <f>SUM(J830:J854)</f>
        <v>38</v>
      </c>
      <c r="K855" s="44">
        <f t="shared" si="1218"/>
        <v>85</v>
      </c>
      <c r="L855" s="4">
        <f t="shared" si="1219"/>
        <v>235</v>
      </c>
      <c r="N855" s="5" t="s">
        <v>1</v>
      </c>
      <c r="O855" s="32">
        <f>SUM(O830:O854)</f>
        <v>70</v>
      </c>
      <c r="P855" s="19">
        <f t="shared" ref="P855" si="1247">SUM(P830:P854)</f>
        <v>62</v>
      </c>
      <c r="Q855" s="44">
        <f t="shared" ref="Q855" si="1248">SUM(Q830:Q854)</f>
        <v>132</v>
      </c>
      <c r="R855" s="32">
        <f t="shared" ref="R855" si="1249">SUM(R830:R854)</f>
        <v>62</v>
      </c>
      <c r="S855" s="19">
        <f t="shared" ref="S855" si="1250">SUM(S830:S854)</f>
        <v>75</v>
      </c>
      <c r="T855" s="44">
        <f t="shared" ref="T855" si="1251">SUM(T830:T854)</f>
        <v>137</v>
      </c>
      <c r="U855" s="32">
        <f t="shared" ref="U855" si="1252">SUM(U830:U854)</f>
        <v>62</v>
      </c>
      <c r="V855" s="19">
        <f t="shared" ref="V855" si="1253">SUM(V830:V854)</f>
        <v>42</v>
      </c>
      <c r="W855" s="44">
        <f t="shared" ref="W855" si="1254">SUM(W830:W854)</f>
        <v>104</v>
      </c>
      <c r="X855" s="4">
        <f t="shared" ref="X855" si="1255">SUM(X830:X854)</f>
        <v>373</v>
      </c>
    </row>
    <row r="856" spans="2:25" ht="14.25" thickBot="1" x14ac:dyDescent="0.2">
      <c r="B856" s="3" t="s">
        <v>0</v>
      </c>
      <c r="C856" s="34">
        <f>+C829-C855</f>
        <v>19</v>
      </c>
      <c r="D856" s="2">
        <f>+D829-D855</f>
        <v>14</v>
      </c>
      <c r="E856" s="45">
        <f t="shared" si="1224"/>
        <v>33</v>
      </c>
      <c r="F856" s="34">
        <f>+F829-F855</f>
        <v>13</v>
      </c>
      <c r="G856" s="2">
        <f>+G829-G855</f>
        <v>16</v>
      </c>
      <c r="H856" s="45">
        <f t="shared" si="1217"/>
        <v>29</v>
      </c>
      <c r="I856" s="34">
        <f>+I829-I855</f>
        <v>15</v>
      </c>
      <c r="J856" s="2">
        <f>+J829-J855</f>
        <v>13</v>
      </c>
      <c r="K856" s="45">
        <f t="shared" si="1218"/>
        <v>28</v>
      </c>
      <c r="L856" s="2">
        <f t="shared" si="1219"/>
        <v>90</v>
      </c>
      <c r="N856" s="3" t="s">
        <v>0</v>
      </c>
      <c r="O856" s="34">
        <f>+O829-O855</f>
        <v>625</v>
      </c>
      <c r="P856" s="2">
        <f t="shared" ref="P856" si="1256">+P829-P855</f>
        <v>658</v>
      </c>
      <c r="Q856" s="45">
        <f t="shared" ref="Q856" si="1257">+Q829-Q855</f>
        <v>1283</v>
      </c>
      <c r="R856" s="34">
        <f t="shared" ref="R856" si="1258">+R829-R855</f>
        <v>432</v>
      </c>
      <c r="S856" s="2">
        <f t="shared" ref="S856" si="1259">+S829-S855</f>
        <v>480</v>
      </c>
      <c r="T856" s="45">
        <f t="shared" ref="T856" si="1260">+T829-T855</f>
        <v>912</v>
      </c>
      <c r="U856" s="34">
        <f t="shared" ref="U856" si="1261">+U829-U855</f>
        <v>307</v>
      </c>
      <c r="V856" s="2">
        <f t="shared" ref="V856" si="1262">+V829-V855</f>
        <v>293</v>
      </c>
      <c r="W856" s="45">
        <f t="shared" ref="W856" si="1263">+W829-W855</f>
        <v>600</v>
      </c>
      <c r="X856" s="2">
        <f t="shared" ref="X856" si="1264">+X829-X855</f>
        <v>2795</v>
      </c>
    </row>
    <row r="857" spans="2:25" x14ac:dyDescent="0.15">
      <c r="B857" s="1" t="s">
        <v>473</v>
      </c>
      <c r="C857">
        <v>40</v>
      </c>
      <c r="F857">
        <v>0</v>
      </c>
      <c r="I857">
        <v>0</v>
      </c>
    </row>
    <row r="860" spans="2:25" ht="18.75" x14ac:dyDescent="0.2">
      <c r="B860" s="23" t="s">
        <v>11</v>
      </c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N860" s="47" t="s">
        <v>25</v>
      </c>
      <c r="O860" s="48"/>
      <c r="P860" s="48"/>
      <c r="Q860" s="48"/>
      <c r="R860" s="48"/>
      <c r="S860" s="48"/>
      <c r="T860" s="48"/>
      <c r="U860" s="48"/>
      <c r="V860" s="48"/>
      <c r="W860" s="48"/>
      <c r="X860" s="48"/>
    </row>
    <row r="861" spans="2:25" ht="15" thickBot="1" x14ac:dyDescent="0.2">
      <c r="B861" s="22" t="s">
        <v>147</v>
      </c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N861" s="49" t="s">
        <v>148</v>
      </c>
      <c r="O861" s="48"/>
      <c r="P861" s="48"/>
      <c r="Q861" s="48"/>
      <c r="R861" s="48"/>
      <c r="S861" s="48"/>
      <c r="T861" s="48"/>
      <c r="U861" s="48"/>
      <c r="V861" s="48"/>
      <c r="W861" s="48"/>
      <c r="X861" s="48"/>
    </row>
    <row r="862" spans="2:25" ht="14.25" thickBot="1" x14ac:dyDescent="0.2">
      <c r="B862" s="20"/>
      <c r="C862" s="208" t="s">
        <v>9</v>
      </c>
      <c r="D862" s="209"/>
      <c r="E862" s="210"/>
      <c r="F862" s="208" t="s">
        <v>8</v>
      </c>
      <c r="G862" s="209"/>
      <c r="H862" s="210"/>
      <c r="I862" s="208" t="s">
        <v>7</v>
      </c>
      <c r="J862" s="209"/>
      <c r="K862" s="210"/>
      <c r="L862" s="19"/>
      <c r="N862" s="20"/>
      <c r="O862" s="113" t="s">
        <v>9</v>
      </c>
      <c r="P862" s="114"/>
      <c r="Q862" s="123">
        <v>890</v>
      </c>
      <c r="R862" s="113" t="s">
        <v>8</v>
      </c>
      <c r="S862" s="114"/>
      <c r="T862" s="123">
        <v>980</v>
      </c>
      <c r="U862" s="113" t="s">
        <v>7</v>
      </c>
      <c r="V862" s="114"/>
      <c r="W862" s="123">
        <v>1080</v>
      </c>
      <c r="X862" s="19"/>
    </row>
    <row r="863" spans="2:25" ht="14.25" thickBot="1" x14ac:dyDescent="0.2">
      <c r="B863" s="18"/>
      <c r="C863" s="28" t="s">
        <v>6</v>
      </c>
      <c r="D863" s="17" t="s">
        <v>5</v>
      </c>
      <c r="E863" s="38" t="s">
        <v>4</v>
      </c>
      <c r="F863" s="28" t="s">
        <v>6</v>
      </c>
      <c r="G863" s="17" t="s">
        <v>5</v>
      </c>
      <c r="H863" s="38" t="s">
        <v>4</v>
      </c>
      <c r="I863" s="28" t="s">
        <v>6</v>
      </c>
      <c r="J863" s="17" t="s">
        <v>5</v>
      </c>
      <c r="K863" s="38" t="s">
        <v>4</v>
      </c>
      <c r="L863" s="17" t="s">
        <v>4</v>
      </c>
      <c r="N863" s="18"/>
      <c r="O863" s="28" t="s">
        <v>6</v>
      </c>
      <c r="P863" s="17" t="s">
        <v>5</v>
      </c>
      <c r="Q863" s="38" t="s">
        <v>4</v>
      </c>
      <c r="R863" s="28" t="s">
        <v>6</v>
      </c>
      <c r="S863" s="17" t="s">
        <v>5</v>
      </c>
      <c r="T863" s="38" t="s">
        <v>4</v>
      </c>
      <c r="U863" s="28" t="s">
        <v>6</v>
      </c>
      <c r="V863" s="17" t="s">
        <v>5</v>
      </c>
      <c r="W863" s="38" t="s">
        <v>4</v>
      </c>
      <c r="X863" s="17" t="s">
        <v>4</v>
      </c>
    </row>
    <row r="864" spans="2:25" x14ac:dyDescent="0.15">
      <c r="B864" s="66" t="s">
        <v>0</v>
      </c>
      <c r="C864" s="67">
        <f>C856</f>
        <v>19</v>
      </c>
      <c r="D864" s="68">
        <f t="shared" ref="D864:K864" si="1265">D856</f>
        <v>14</v>
      </c>
      <c r="E864" s="69">
        <f t="shared" si="1265"/>
        <v>33</v>
      </c>
      <c r="F864" s="67">
        <f t="shared" si="1265"/>
        <v>13</v>
      </c>
      <c r="G864" s="68">
        <f t="shared" si="1265"/>
        <v>16</v>
      </c>
      <c r="H864" s="69">
        <f t="shared" si="1265"/>
        <v>29</v>
      </c>
      <c r="I864" s="67">
        <f t="shared" si="1265"/>
        <v>15</v>
      </c>
      <c r="J864" s="68">
        <f t="shared" si="1265"/>
        <v>13</v>
      </c>
      <c r="K864" s="69">
        <f t="shared" si="1265"/>
        <v>28</v>
      </c>
      <c r="L864" s="70">
        <f>SUM(K864,H864,E864)</f>
        <v>90</v>
      </c>
      <c r="N864" s="66" t="s">
        <v>0</v>
      </c>
      <c r="O864" s="72">
        <f>O856</f>
        <v>625</v>
      </c>
      <c r="P864" s="80">
        <f t="shared" ref="P864:X864" si="1266">P856</f>
        <v>658</v>
      </c>
      <c r="Q864" s="69">
        <f t="shared" si="1266"/>
        <v>1283</v>
      </c>
      <c r="R864" s="72">
        <f t="shared" si="1266"/>
        <v>432</v>
      </c>
      <c r="S864" s="80">
        <f t="shared" si="1266"/>
        <v>480</v>
      </c>
      <c r="T864" s="69">
        <f t="shared" si="1266"/>
        <v>912</v>
      </c>
      <c r="U864" s="72">
        <f t="shared" si="1266"/>
        <v>307</v>
      </c>
      <c r="V864" s="80">
        <f t="shared" si="1266"/>
        <v>293</v>
      </c>
      <c r="W864" s="69">
        <f t="shared" si="1266"/>
        <v>600</v>
      </c>
      <c r="X864" s="70">
        <f t="shared" si="1266"/>
        <v>2795</v>
      </c>
    </row>
    <row r="865" spans="2:24" x14ac:dyDescent="0.15">
      <c r="B865" s="55" t="s">
        <v>222</v>
      </c>
      <c r="C865" s="30"/>
      <c r="D865" s="25">
        <v>1</v>
      </c>
      <c r="E865" s="40">
        <f t="shared" ref="E865:E866" si="1267">SUM(C865:D865)</f>
        <v>1</v>
      </c>
      <c r="F865" s="35">
        <v>3</v>
      </c>
      <c r="G865" s="8"/>
      <c r="H865" s="40">
        <f t="shared" ref="H865:H897" si="1268">SUM(F865:G865)</f>
        <v>3</v>
      </c>
      <c r="I865" s="35">
        <v>2</v>
      </c>
      <c r="J865" s="8">
        <v>3</v>
      </c>
      <c r="K865" s="40">
        <f t="shared" ref="K865:K897" si="1269">SUM(I865:J865)</f>
        <v>5</v>
      </c>
      <c r="L865" s="9">
        <f t="shared" ref="L865:L897" si="1270">SUM(K865,H865,E865)</f>
        <v>9</v>
      </c>
      <c r="M865" s="53">
        <v>45887</v>
      </c>
      <c r="N865" s="55" t="s">
        <v>3</v>
      </c>
      <c r="O865" s="62"/>
      <c r="P865" s="81"/>
      <c r="Q865" s="40">
        <f t="shared" ref="Q865:Q867" si="1271">SUM(O865:P865)</f>
        <v>0</v>
      </c>
      <c r="R865" s="78"/>
      <c r="S865" s="82"/>
      <c r="T865" s="40">
        <f t="shared" ref="T865:T890" si="1272">SUM(R865:S865)</f>
        <v>0</v>
      </c>
      <c r="U865" s="78"/>
      <c r="V865" s="82"/>
      <c r="W865" s="40">
        <f t="shared" ref="W865:W890" si="1273">SUM(U865:V865)</f>
        <v>0</v>
      </c>
      <c r="X865" s="25">
        <f t="shared" ref="X865:X890" si="1274">SUM(W865,T865,Q865)</f>
        <v>0</v>
      </c>
    </row>
    <row r="866" spans="2:24" x14ac:dyDescent="0.15">
      <c r="B866" s="55" t="s">
        <v>3</v>
      </c>
      <c r="C866" s="30">
        <v>10</v>
      </c>
      <c r="D866" s="25">
        <v>5</v>
      </c>
      <c r="E866" s="40">
        <f t="shared" si="1267"/>
        <v>15</v>
      </c>
      <c r="F866" s="35"/>
      <c r="G866" s="8">
        <v>10</v>
      </c>
      <c r="H866" s="40">
        <f t="shared" si="1268"/>
        <v>10</v>
      </c>
      <c r="I866" s="35"/>
      <c r="J866" s="8"/>
      <c r="K866" s="40">
        <f t="shared" si="1269"/>
        <v>0</v>
      </c>
      <c r="L866" s="9">
        <f t="shared" si="1270"/>
        <v>25</v>
      </c>
      <c r="M866" s="53">
        <v>45891</v>
      </c>
      <c r="N866" s="55" t="s">
        <v>3</v>
      </c>
      <c r="O866" s="62"/>
      <c r="P866" s="81"/>
      <c r="Q866" s="40">
        <f t="shared" si="1271"/>
        <v>0</v>
      </c>
      <c r="R866" s="78"/>
      <c r="S866" s="82"/>
      <c r="T866" s="40">
        <f t="shared" ref="T866:T867" si="1275">SUM(R866:S866)</f>
        <v>0</v>
      </c>
      <c r="U866" s="78"/>
      <c r="V866" s="82"/>
      <c r="W866" s="40">
        <f t="shared" ref="W866:W867" si="1276">SUM(U866:V866)</f>
        <v>0</v>
      </c>
      <c r="X866" s="25">
        <f t="shared" ref="X866:X867" si="1277">SUM(W866,T866,Q866)</f>
        <v>0</v>
      </c>
    </row>
    <row r="867" spans="2:24" x14ac:dyDescent="0.15">
      <c r="B867" s="55" t="s">
        <v>91</v>
      </c>
      <c r="C867" s="30">
        <v>5</v>
      </c>
      <c r="D867" s="25"/>
      <c r="E867" s="40">
        <f t="shared" ref="E867:E897" si="1278">SUM(C867:D867)</f>
        <v>5</v>
      </c>
      <c r="F867" s="35"/>
      <c r="G867" s="8"/>
      <c r="H867" s="40">
        <f t="shared" si="1268"/>
        <v>0</v>
      </c>
      <c r="I867" s="35"/>
      <c r="J867" s="8">
        <v>5</v>
      </c>
      <c r="K867" s="40">
        <f t="shared" si="1269"/>
        <v>5</v>
      </c>
      <c r="L867" s="9">
        <f t="shared" si="1270"/>
        <v>10</v>
      </c>
      <c r="M867" s="53">
        <v>45890</v>
      </c>
      <c r="N867" s="55" t="s">
        <v>3</v>
      </c>
      <c r="O867" s="62"/>
      <c r="P867" s="81"/>
      <c r="Q867" s="40">
        <f t="shared" si="1271"/>
        <v>0</v>
      </c>
      <c r="R867" s="78"/>
      <c r="S867" s="82"/>
      <c r="T867" s="40">
        <f t="shared" si="1275"/>
        <v>0</v>
      </c>
      <c r="U867" s="78"/>
      <c r="V867" s="82"/>
      <c r="W867" s="40">
        <f t="shared" si="1276"/>
        <v>0</v>
      </c>
      <c r="X867" s="25">
        <f t="shared" si="1277"/>
        <v>0</v>
      </c>
    </row>
    <row r="868" spans="2:24" x14ac:dyDescent="0.15">
      <c r="B868" s="55" t="s">
        <v>3</v>
      </c>
      <c r="C868" s="30"/>
      <c r="D868" s="25">
        <v>15</v>
      </c>
      <c r="E868" s="40">
        <f t="shared" si="1278"/>
        <v>15</v>
      </c>
      <c r="F868" s="35">
        <v>15</v>
      </c>
      <c r="G868" s="8">
        <v>15</v>
      </c>
      <c r="H868" s="40">
        <f t="shared" si="1268"/>
        <v>30</v>
      </c>
      <c r="I868" s="35">
        <v>15</v>
      </c>
      <c r="J868" s="8"/>
      <c r="K868" s="40">
        <f t="shared" si="1269"/>
        <v>15</v>
      </c>
      <c r="L868" s="9">
        <f t="shared" si="1270"/>
        <v>60</v>
      </c>
      <c r="M868" s="53">
        <v>45895</v>
      </c>
      <c r="N868" s="55" t="s">
        <v>3</v>
      </c>
      <c r="O868" s="62"/>
      <c r="P868" s="81"/>
      <c r="Q868" s="40">
        <f t="shared" ref="Q868:Q890" si="1279">SUM(O868:P868)</f>
        <v>0</v>
      </c>
      <c r="R868" s="78"/>
      <c r="S868" s="82"/>
      <c r="T868" s="40">
        <f t="shared" si="1272"/>
        <v>0</v>
      </c>
      <c r="U868" s="78"/>
      <c r="V868" s="82"/>
      <c r="W868" s="40">
        <f t="shared" si="1273"/>
        <v>0</v>
      </c>
      <c r="X868" s="25">
        <f t="shared" si="1274"/>
        <v>0</v>
      </c>
    </row>
    <row r="869" spans="2:24" ht="14.25" thickBot="1" x14ac:dyDescent="0.2">
      <c r="B869" s="55" t="s">
        <v>3</v>
      </c>
      <c r="C869" s="76"/>
      <c r="D869" s="83"/>
      <c r="E869" s="41">
        <f t="shared" si="1278"/>
        <v>0</v>
      </c>
      <c r="F869" s="76">
        <v>10</v>
      </c>
      <c r="G869" s="83">
        <v>10</v>
      </c>
      <c r="H869" s="41">
        <f t="shared" si="1268"/>
        <v>20</v>
      </c>
      <c r="I869" s="76"/>
      <c r="J869" s="83">
        <v>15</v>
      </c>
      <c r="K869" s="41">
        <f t="shared" si="1269"/>
        <v>15</v>
      </c>
      <c r="L869" s="77">
        <f t="shared" si="1270"/>
        <v>35</v>
      </c>
      <c r="M869" s="53">
        <v>45898</v>
      </c>
      <c r="N869" s="75" t="s">
        <v>3</v>
      </c>
      <c r="O869" s="76"/>
      <c r="P869" s="83"/>
      <c r="Q869" s="41">
        <f t="shared" si="1279"/>
        <v>0</v>
      </c>
      <c r="R869" s="76"/>
      <c r="S869" s="83"/>
      <c r="T869" s="41">
        <f t="shared" si="1272"/>
        <v>0</v>
      </c>
      <c r="U869" s="76"/>
      <c r="V869" s="83"/>
      <c r="W869" s="41">
        <f t="shared" si="1273"/>
        <v>0</v>
      </c>
      <c r="X869" s="77">
        <f t="shared" si="1274"/>
        <v>0</v>
      </c>
    </row>
    <row r="870" spans="2:24" ht="14.25" thickBot="1" x14ac:dyDescent="0.2">
      <c r="B870" s="5" t="s">
        <v>2</v>
      </c>
      <c r="C870" s="32">
        <f>SUM(C864:C869)</f>
        <v>34</v>
      </c>
      <c r="D870" s="19">
        <f>SUM(D864:D869)</f>
        <v>35</v>
      </c>
      <c r="E870" s="42">
        <f t="shared" si="1278"/>
        <v>69</v>
      </c>
      <c r="F870" s="32">
        <f>SUM(F864:F869)</f>
        <v>41</v>
      </c>
      <c r="G870" s="19">
        <f>SUM(G864:G869)</f>
        <v>51</v>
      </c>
      <c r="H870" s="42">
        <f t="shared" si="1268"/>
        <v>92</v>
      </c>
      <c r="I870" s="32">
        <f>SUM(I864:I869)</f>
        <v>32</v>
      </c>
      <c r="J870" s="19">
        <f>SUM(J864:J869)</f>
        <v>36</v>
      </c>
      <c r="K870" s="42">
        <f t="shared" si="1269"/>
        <v>68</v>
      </c>
      <c r="L870" s="13">
        <f t="shared" si="1270"/>
        <v>229</v>
      </c>
      <c r="N870" s="63" t="s">
        <v>2</v>
      </c>
      <c r="O870" s="32">
        <f>SUM(O864:O869)</f>
        <v>625</v>
      </c>
      <c r="P870" s="19">
        <f t="shared" ref="P870" si="1280">SUM(P864:P869)</f>
        <v>658</v>
      </c>
      <c r="Q870" s="42">
        <f t="shared" ref="Q870" si="1281">SUM(Q864:Q869)</f>
        <v>1283</v>
      </c>
      <c r="R870" s="32">
        <f t="shared" ref="R870" si="1282">SUM(R864:R869)</f>
        <v>432</v>
      </c>
      <c r="S870" s="19">
        <f t="shared" ref="S870" si="1283">SUM(S864:S869)</f>
        <v>480</v>
      </c>
      <c r="T870" s="42">
        <f t="shared" ref="T870" si="1284">SUM(T864:T869)</f>
        <v>912</v>
      </c>
      <c r="U870" s="32">
        <f t="shared" ref="U870" si="1285">SUM(U864:U869)</f>
        <v>307</v>
      </c>
      <c r="V870" s="19">
        <f t="shared" ref="V870" si="1286">SUM(V864:V869)</f>
        <v>293</v>
      </c>
      <c r="W870" s="42">
        <f t="shared" ref="W870" si="1287">SUM(W864:W869)</f>
        <v>600</v>
      </c>
      <c r="X870" s="13">
        <f t="shared" ref="X870" si="1288">SUM(X864:X869)</f>
        <v>2795</v>
      </c>
    </row>
    <row r="871" spans="2:24" x14ac:dyDescent="0.15">
      <c r="B871" s="7" t="s">
        <v>12</v>
      </c>
      <c r="C871" s="30"/>
      <c r="D871" s="25">
        <v>2</v>
      </c>
      <c r="E871" s="43">
        <f t="shared" si="1278"/>
        <v>2</v>
      </c>
      <c r="F871" s="35"/>
      <c r="G871" s="8"/>
      <c r="H871" s="43">
        <f t="shared" si="1268"/>
        <v>0</v>
      </c>
      <c r="I871" s="35"/>
      <c r="J871" s="8"/>
      <c r="K871" s="43">
        <f t="shared" si="1269"/>
        <v>0</v>
      </c>
      <c r="L871" s="8">
        <f t="shared" si="1270"/>
        <v>2</v>
      </c>
      <c r="M871" s="53">
        <v>45889</v>
      </c>
      <c r="N871" s="7"/>
      <c r="O871" s="33"/>
      <c r="P871" s="27"/>
      <c r="Q871" s="43">
        <f t="shared" si="1279"/>
        <v>0</v>
      </c>
      <c r="R871" s="37"/>
      <c r="S871" s="10"/>
      <c r="T871" s="43">
        <f t="shared" si="1272"/>
        <v>0</v>
      </c>
      <c r="U871" s="37"/>
      <c r="V871" s="10"/>
      <c r="W871" s="43">
        <f t="shared" si="1273"/>
        <v>0</v>
      </c>
      <c r="X871" s="8">
        <f t="shared" si="1274"/>
        <v>0</v>
      </c>
    </row>
    <row r="872" spans="2:24" x14ac:dyDescent="0.15">
      <c r="B872" s="7" t="s">
        <v>116</v>
      </c>
      <c r="C872" s="30">
        <v>3</v>
      </c>
      <c r="D872" s="25">
        <v>5</v>
      </c>
      <c r="E872" s="43">
        <f t="shared" si="1278"/>
        <v>8</v>
      </c>
      <c r="F872" s="35">
        <v>4</v>
      </c>
      <c r="G872" s="8">
        <v>10</v>
      </c>
      <c r="H872" s="43">
        <f t="shared" si="1268"/>
        <v>14</v>
      </c>
      <c r="I872" s="35">
        <v>4</v>
      </c>
      <c r="J872" s="8">
        <v>4</v>
      </c>
      <c r="K872" s="43">
        <f t="shared" si="1269"/>
        <v>8</v>
      </c>
      <c r="L872" s="8">
        <f t="shared" si="1270"/>
        <v>30</v>
      </c>
      <c r="M872" s="53">
        <v>45891</v>
      </c>
      <c r="N872" s="7"/>
      <c r="O872" s="33"/>
      <c r="P872" s="27"/>
      <c r="Q872" s="43">
        <f t="shared" si="1279"/>
        <v>0</v>
      </c>
      <c r="R872" s="37"/>
      <c r="S872" s="10"/>
      <c r="T872" s="43">
        <f t="shared" si="1272"/>
        <v>0</v>
      </c>
      <c r="U872" s="37"/>
      <c r="V872" s="10"/>
      <c r="W872" s="43">
        <f t="shared" si="1273"/>
        <v>0</v>
      </c>
      <c r="X872" s="8">
        <f t="shared" si="1274"/>
        <v>0</v>
      </c>
    </row>
    <row r="873" spans="2:24" x14ac:dyDescent="0.15">
      <c r="B873" s="7" t="s">
        <v>487</v>
      </c>
      <c r="C873" s="30"/>
      <c r="D873" s="25"/>
      <c r="E873" s="43">
        <f t="shared" si="1278"/>
        <v>0</v>
      </c>
      <c r="F873" s="35">
        <v>1</v>
      </c>
      <c r="G873" s="8">
        <v>2</v>
      </c>
      <c r="H873" s="43">
        <f t="shared" si="1268"/>
        <v>3</v>
      </c>
      <c r="I873" s="35">
        <v>3</v>
      </c>
      <c r="J873" s="8">
        <v>2</v>
      </c>
      <c r="K873" s="43">
        <f t="shared" si="1269"/>
        <v>5</v>
      </c>
      <c r="L873" s="8">
        <f t="shared" si="1270"/>
        <v>8</v>
      </c>
      <c r="M873" s="53">
        <v>45894</v>
      </c>
      <c r="N873" s="7"/>
      <c r="O873" s="33"/>
      <c r="P873" s="27"/>
      <c r="Q873" s="43">
        <f t="shared" si="1279"/>
        <v>0</v>
      </c>
      <c r="R873" s="37"/>
      <c r="S873" s="10"/>
      <c r="T873" s="43">
        <f t="shared" si="1272"/>
        <v>0</v>
      </c>
      <c r="U873" s="37"/>
      <c r="V873" s="10"/>
      <c r="W873" s="43">
        <f t="shared" si="1273"/>
        <v>0</v>
      </c>
      <c r="X873" s="8">
        <f t="shared" si="1274"/>
        <v>0</v>
      </c>
    </row>
    <row r="874" spans="2:24" x14ac:dyDescent="0.15">
      <c r="B874" s="7" t="s">
        <v>118</v>
      </c>
      <c r="C874" s="30">
        <v>5</v>
      </c>
      <c r="D874" s="25">
        <v>6</v>
      </c>
      <c r="E874" s="43">
        <f t="shared" si="1278"/>
        <v>11</v>
      </c>
      <c r="F874" s="35">
        <v>7</v>
      </c>
      <c r="G874" s="8">
        <v>6</v>
      </c>
      <c r="H874" s="43">
        <f t="shared" si="1268"/>
        <v>13</v>
      </c>
      <c r="I874" s="35">
        <v>1</v>
      </c>
      <c r="J874" s="8"/>
      <c r="K874" s="43">
        <f t="shared" si="1269"/>
        <v>1</v>
      </c>
      <c r="L874" s="8">
        <f t="shared" si="1270"/>
        <v>25</v>
      </c>
      <c r="M874" s="53">
        <v>45896</v>
      </c>
      <c r="N874" s="7"/>
      <c r="O874" s="33"/>
      <c r="P874" s="27"/>
      <c r="Q874" s="43">
        <f t="shared" si="1279"/>
        <v>0</v>
      </c>
      <c r="R874" s="37"/>
      <c r="S874" s="10"/>
      <c r="T874" s="43">
        <f t="shared" si="1272"/>
        <v>0</v>
      </c>
      <c r="U874" s="37"/>
      <c r="V874" s="10"/>
      <c r="W874" s="43">
        <f t="shared" si="1273"/>
        <v>0</v>
      </c>
      <c r="X874" s="8">
        <f t="shared" si="1274"/>
        <v>0</v>
      </c>
    </row>
    <row r="875" spans="2:24" x14ac:dyDescent="0.15">
      <c r="B875" s="7" t="s">
        <v>12</v>
      </c>
      <c r="C875" s="30"/>
      <c r="D875" s="25"/>
      <c r="E875" s="43">
        <f t="shared" si="1278"/>
        <v>0</v>
      </c>
      <c r="F875" s="35">
        <v>1</v>
      </c>
      <c r="G875" s="8"/>
      <c r="H875" s="43">
        <f t="shared" si="1268"/>
        <v>1</v>
      </c>
      <c r="I875" s="35"/>
      <c r="J875" s="8">
        <f>1+1</f>
        <v>2</v>
      </c>
      <c r="K875" s="43">
        <f t="shared" si="1269"/>
        <v>2</v>
      </c>
      <c r="L875" s="8">
        <f t="shared" si="1270"/>
        <v>3</v>
      </c>
      <c r="M875" s="53">
        <v>45894</v>
      </c>
      <c r="N875" s="7"/>
      <c r="O875" s="33"/>
      <c r="P875" s="27"/>
      <c r="Q875" s="43">
        <f t="shared" si="1279"/>
        <v>0</v>
      </c>
      <c r="R875" s="37"/>
      <c r="S875" s="10"/>
      <c r="T875" s="43">
        <f t="shared" si="1272"/>
        <v>0</v>
      </c>
      <c r="U875" s="37"/>
      <c r="V875" s="10"/>
      <c r="W875" s="43">
        <f t="shared" si="1273"/>
        <v>0</v>
      </c>
      <c r="X875" s="8">
        <f t="shared" si="1274"/>
        <v>0</v>
      </c>
    </row>
    <row r="876" spans="2:24" x14ac:dyDescent="0.15">
      <c r="B876" s="7" t="s">
        <v>488</v>
      </c>
      <c r="C876" s="30">
        <v>3</v>
      </c>
      <c r="D876" s="25">
        <v>1</v>
      </c>
      <c r="E876" s="43">
        <f t="shared" si="1278"/>
        <v>4</v>
      </c>
      <c r="F876" s="35">
        <v>2</v>
      </c>
      <c r="G876" s="8">
        <v>1</v>
      </c>
      <c r="H876" s="43">
        <f t="shared" si="1268"/>
        <v>3</v>
      </c>
      <c r="I876" s="35"/>
      <c r="J876" s="8"/>
      <c r="K876" s="43">
        <f t="shared" si="1269"/>
        <v>0</v>
      </c>
      <c r="L876" s="8">
        <f t="shared" si="1270"/>
        <v>7</v>
      </c>
      <c r="M876" s="53">
        <v>45897</v>
      </c>
      <c r="N876" s="7"/>
      <c r="O876" s="33"/>
      <c r="P876" s="27"/>
      <c r="Q876" s="43">
        <f t="shared" si="1279"/>
        <v>0</v>
      </c>
      <c r="R876" s="37"/>
      <c r="S876" s="10"/>
      <c r="T876" s="43">
        <f t="shared" si="1272"/>
        <v>0</v>
      </c>
      <c r="U876" s="37"/>
      <c r="V876" s="10"/>
      <c r="W876" s="43">
        <f t="shared" si="1273"/>
        <v>0</v>
      </c>
      <c r="X876" s="8">
        <f t="shared" si="1274"/>
        <v>0</v>
      </c>
    </row>
    <row r="877" spans="2:24" x14ac:dyDescent="0.15">
      <c r="B877" s="7" t="s">
        <v>489</v>
      </c>
      <c r="C877" s="30">
        <v>1</v>
      </c>
      <c r="D877" s="25">
        <v>3</v>
      </c>
      <c r="E877" s="43">
        <f t="shared" si="1278"/>
        <v>4</v>
      </c>
      <c r="F877" s="35"/>
      <c r="G877" s="8">
        <v>7</v>
      </c>
      <c r="H877" s="43">
        <f t="shared" si="1268"/>
        <v>7</v>
      </c>
      <c r="I877" s="35">
        <v>5</v>
      </c>
      <c r="J877" s="8">
        <v>5</v>
      </c>
      <c r="K877" s="43">
        <f t="shared" si="1269"/>
        <v>10</v>
      </c>
      <c r="L877" s="8">
        <f t="shared" si="1270"/>
        <v>21</v>
      </c>
      <c r="M877" s="53">
        <v>45898</v>
      </c>
      <c r="N877" s="7"/>
      <c r="O877" s="33"/>
      <c r="P877" s="27"/>
      <c r="Q877" s="43">
        <f t="shared" si="1279"/>
        <v>0</v>
      </c>
      <c r="R877" s="37"/>
      <c r="S877" s="10"/>
      <c r="T877" s="43">
        <f t="shared" si="1272"/>
        <v>0</v>
      </c>
      <c r="U877" s="37"/>
      <c r="V877" s="10"/>
      <c r="W877" s="43">
        <f t="shared" si="1273"/>
        <v>0</v>
      </c>
      <c r="X877" s="8">
        <f t="shared" si="1274"/>
        <v>0</v>
      </c>
    </row>
    <row r="878" spans="2:24" x14ac:dyDescent="0.15">
      <c r="B878" s="7" t="s">
        <v>122</v>
      </c>
      <c r="C878" s="30">
        <v>2</v>
      </c>
      <c r="D878" s="25"/>
      <c r="E878" s="43">
        <f t="shared" si="1278"/>
        <v>2</v>
      </c>
      <c r="F878" s="35">
        <v>2</v>
      </c>
      <c r="G878" s="8">
        <v>1</v>
      </c>
      <c r="H878" s="43">
        <f t="shared" si="1268"/>
        <v>3</v>
      </c>
      <c r="I878" s="35">
        <v>1</v>
      </c>
      <c r="J878" s="8"/>
      <c r="K878" s="43">
        <f t="shared" si="1269"/>
        <v>1</v>
      </c>
      <c r="L878" s="8">
        <f t="shared" si="1270"/>
        <v>6</v>
      </c>
      <c r="M878" s="53">
        <v>45898</v>
      </c>
      <c r="N878" s="7"/>
      <c r="O878" s="33"/>
      <c r="P878" s="27"/>
      <c r="Q878" s="43">
        <f t="shared" si="1279"/>
        <v>0</v>
      </c>
      <c r="R878" s="37"/>
      <c r="S878" s="10"/>
      <c r="T878" s="43">
        <f t="shared" si="1272"/>
        <v>0</v>
      </c>
      <c r="U878" s="37"/>
      <c r="V878" s="10"/>
      <c r="W878" s="43">
        <f t="shared" si="1273"/>
        <v>0</v>
      </c>
      <c r="X878" s="8">
        <f t="shared" si="1274"/>
        <v>0</v>
      </c>
    </row>
    <row r="879" spans="2:24" x14ac:dyDescent="0.15">
      <c r="B879" s="7" t="s">
        <v>492</v>
      </c>
      <c r="C879" s="30"/>
      <c r="D879" s="25">
        <v>-1</v>
      </c>
      <c r="E879" s="43">
        <f t="shared" si="1278"/>
        <v>-1</v>
      </c>
      <c r="F879" s="35"/>
      <c r="G879" s="8">
        <v>-1</v>
      </c>
      <c r="H879" s="43">
        <f t="shared" si="1268"/>
        <v>-1</v>
      </c>
      <c r="I879" s="35"/>
      <c r="J879" s="8">
        <v>-1</v>
      </c>
      <c r="K879" s="43">
        <f t="shared" si="1269"/>
        <v>-1</v>
      </c>
      <c r="L879" s="8">
        <f t="shared" si="1270"/>
        <v>-3</v>
      </c>
      <c r="M879" s="53">
        <v>45895</v>
      </c>
      <c r="N879" s="7"/>
      <c r="O879" s="33"/>
      <c r="P879" s="27"/>
      <c r="Q879" s="43">
        <f t="shared" si="1279"/>
        <v>0</v>
      </c>
      <c r="R879" s="37"/>
      <c r="S879" s="10"/>
      <c r="T879" s="43">
        <f t="shared" si="1272"/>
        <v>0</v>
      </c>
      <c r="U879" s="37"/>
      <c r="V879" s="10"/>
      <c r="W879" s="43">
        <f t="shared" si="1273"/>
        <v>0</v>
      </c>
      <c r="X879" s="8">
        <f t="shared" si="1274"/>
        <v>0</v>
      </c>
    </row>
    <row r="880" spans="2:24" x14ac:dyDescent="0.15">
      <c r="B880" s="7" t="s">
        <v>12</v>
      </c>
      <c r="C880" s="30"/>
      <c r="D880" s="25"/>
      <c r="E880" s="43">
        <f t="shared" ref="E880" si="1289">SUM(C880:D880)</f>
        <v>0</v>
      </c>
      <c r="F880" s="35">
        <v>1</v>
      </c>
      <c r="G880" s="8">
        <v>1</v>
      </c>
      <c r="H880" s="43">
        <f t="shared" ref="H880" si="1290">SUM(F880:G880)</f>
        <v>2</v>
      </c>
      <c r="I880" s="35"/>
      <c r="J880" s="8"/>
      <c r="K880" s="43">
        <f t="shared" ref="K880" si="1291">SUM(I880:J880)</f>
        <v>0</v>
      </c>
      <c r="L880" s="8">
        <f t="shared" ref="L880" si="1292">SUM(K880,H880,E880)</f>
        <v>2</v>
      </c>
      <c r="M880" s="53">
        <v>45898</v>
      </c>
      <c r="N880" s="7"/>
      <c r="O880" s="33"/>
      <c r="P880" s="27"/>
      <c r="Q880" s="43">
        <f t="shared" si="1279"/>
        <v>0</v>
      </c>
      <c r="R880" s="37"/>
      <c r="S880" s="10"/>
      <c r="T880" s="43">
        <f t="shared" si="1272"/>
        <v>0</v>
      </c>
      <c r="U880" s="37"/>
      <c r="V880" s="10"/>
      <c r="W880" s="43">
        <f t="shared" si="1273"/>
        <v>0</v>
      </c>
      <c r="X880" s="8">
        <f t="shared" si="1274"/>
        <v>0</v>
      </c>
    </row>
    <row r="881" spans="2:24" x14ac:dyDescent="0.15">
      <c r="B881" s="7" t="s">
        <v>496</v>
      </c>
      <c r="C881" s="30">
        <v>-40</v>
      </c>
      <c r="D881" s="25"/>
      <c r="E881" s="43">
        <f t="shared" si="1278"/>
        <v>-40</v>
      </c>
      <c r="F881" s="35"/>
      <c r="G881" s="8"/>
      <c r="H881" s="43">
        <f t="shared" si="1268"/>
        <v>0</v>
      </c>
      <c r="I881" s="35"/>
      <c r="J881" s="8"/>
      <c r="K881" s="43">
        <f t="shared" si="1269"/>
        <v>0</v>
      </c>
      <c r="L881" s="8">
        <f t="shared" si="1270"/>
        <v>-40</v>
      </c>
      <c r="M881" s="53">
        <v>45899</v>
      </c>
      <c r="N881" s="7"/>
      <c r="O881" s="33"/>
      <c r="P881" s="27"/>
      <c r="Q881" s="43">
        <f t="shared" si="1279"/>
        <v>0</v>
      </c>
      <c r="R881" s="37"/>
      <c r="S881" s="10"/>
      <c r="T881" s="43">
        <f t="shared" si="1272"/>
        <v>0</v>
      </c>
      <c r="U881" s="37"/>
      <c r="V881" s="10"/>
      <c r="W881" s="43">
        <f t="shared" si="1273"/>
        <v>0</v>
      </c>
      <c r="X881" s="8">
        <f t="shared" si="1274"/>
        <v>0</v>
      </c>
    </row>
    <row r="882" spans="2:24" x14ac:dyDescent="0.15">
      <c r="B882" s="7"/>
      <c r="C882" s="30"/>
      <c r="D882" s="25"/>
      <c r="E882" s="43">
        <f t="shared" si="1278"/>
        <v>0</v>
      </c>
      <c r="F882" s="35"/>
      <c r="G882" s="8"/>
      <c r="H882" s="43">
        <f t="shared" si="1268"/>
        <v>0</v>
      </c>
      <c r="I882" s="35"/>
      <c r="J882" s="8"/>
      <c r="K882" s="43">
        <f t="shared" si="1269"/>
        <v>0</v>
      </c>
      <c r="L882" s="8">
        <f t="shared" si="1270"/>
        <v>0</v>
      </c>
      <c r="N882" s="7"/>
      <c r="O882" s="33"/>
      <c r="P882" s="27"/>
      <c r="Q882" s="43">
        <f t="shared" si="1279"/>
        <v>0</v>
      </c>
      <c r="R882" s="37"/>
      <c r="S882" s="10"/>
      <c r="T882" s="43">
        <f t="shared" si="1272"/>
        <v>0</v>
      </c>
      <c r="U882" s="37"/>
      <c r="V882" s="10"/>
      <c r="W882" s="43">
        <f t="shared" si="1273"/>
        <v>0</v>
      </c>
      <c r="X882" s="8">
        <f t="shared" si="1274"/>
        <v>0</v>
      </c>
    </row>
    <row r="883" spans="2:24" x14ac:dyDescent="0.15">
      <c r="B883" s="7"/>
      <c r="C883" s="30"/>
      <c r="D883" s="25"/>
      <c r="E883" s="43">
        <f t="shared" si="1278"/>
        <v>0</v>
      </c>
      <c r="F883" s="35"/>
      <c r="G883" s="8"/>
      <c r="H883" s="43">
        <f t="shared" si="1268"/>
        <v>0</v>
      </c>
      <c r="I883" s="35"/>
      <c r="J883" s="8"/>
      <c r="K883" s="43">
        <f t="shared" si="1269"/>
        <v>0</v>
      </c>
      <c r="L883" s="8">
        <f t="shared" si="1270"/>
        <v>0</v>
      </c>
      <c r="N883" s="7"/>
      <c r="O883" s="30"/>
      <c r="P883" s="25"/>
      <c r="Q883" s="43">
        <f t="shared" si="1279"/>
        <v>0</v>
      </c>
      <c r="R883" s="35"/>
      <c r="S883" s="8"/>
      <c r="T883" s="43">
        <f t="shared" si="1272"/>
        <v>0</v>
      </c>
      <c r="U883" s="35"/>
      <c r="V883" s="8"/>
      <c r="W883" s="43">
        <f t="shared" si="1273"/>
        <v>0</v>
      </c>
      <c r="X883" s="8">
        <f t="shared" si="1274"/>
        <v>0</v>
      </c>
    </row>
    <row r="884" spans="2:24" x14ac:dyDescent="0.15">
      <c r="B884" s="7"/>
      <c r="C884" s="33"/>
      <c r="D884" s="27"/>
      <c r="E884" s="43">
        <f t="shared" si="1278"/>
        <v>0</v>
      </c>
      <c r="F884" s="37"/>
      <c r="G884" s="10"/>
      <c r="H884" s="43">
        <f t="shared" si="1268"/>
        <v>0</v>
      </c>
      <c r="I884" s="37"/>
      <c r="J884" s="10"/>
      <c r="K884" s="43">
        <f t="shared" si="1269"/>
        <v>0</v>
      </c>
      <c r="L884" s="8">
        <f t="shared" si="1270"/>
        <v>0</v>
      </c>
      <c r="N884" s="7"/>
      <c r="O884" s="33"/>
      <c r="P884" s="27"/>
      <c r="Q884" s="43">
        <f t="shared" si="1279"/>
        <v>0</v>
      </c>
      <c r="R884" s="37"/>
      <c r="S884" s="10"/>
      <c r="T884" s="43">
        <f t="shared" si="1272"/>
        <v>0</v>
      </c>
      <c r="U884" s="37"/>
      <c r="V884" s="10"/>
      <c r="W884" s="43">
        <f t="shared" si="1273"/>
        <v>0</v>
      </c>
      <c r="X884" s="8">
        <f t="shared" si="1274"/>
        <v>0</v>
      </c>
    </row>
    <row r="885" spans="2:24" x14ac:dyDescent="0.15">
      <c r="B885" s="7"/>
      <c r="C885" s="33"/>
      <c r="D885" s="27"/>
      <c r="E885" s="43">
        <f t="shared" si="1278"/>
        <v>0</v>
      </c>
      <c r="F885" s="37"/>
      <c r="G885" s="10"/>
      <c r="H885" s="43">
        <f t="shared" si="1268"/>
        <v>0</v>
      </c>
      <c r="I885" s="37"/>
      <c r="J885" s="10"/>
      <c r="K885" s="43">
        <f t="shared" si="1269"/>
        <v>0</v>
      </c>
      <c r="L885" s="8">
        <f t="shared" si="1270"/>
        <v>0</v>
      </c>
      <c r="N885" s="7"/>
      <c r="O885" s="33"/>
      <c r="P885" s="27"/>
      <c r="Q885" s="43">
        <f t="shared" si="1279"/>
        <v>0</v>
      </c>
      <c r="R885" s="37"/>
      <c r="S885" s="10"/>
      <c r="T885" s="43">
        <f t="shared" si="1272"/>
        <v>0</v>
      </c>
      <c r="U885" s="37"/>
      <c r="V885" s="10"/>
      <c r="W885" s="43">
        <f t="shared" si="1273"/>
        <v>0</v>
      </c>
      <c r="X885" s="8">
        <f t="shared" si="1274"/>
        <v>0</v>
      </c>
    </row>
    <row r="886" spans="2:24" x14ac:dyDescent="0.15">
      <c r="B886" s="7"/>
      <c r="C886" s="33"/>
      <c r="D886" s="27"/>
      <c r="E886" s="43">
        <f t="shared" si="1278"/>
        <v>0</v>
      </c>
      <c r="F886" s="37"/>
      <c r="G886" s="10"/>
      <c r="H886" s="43">
        <f t="shared" si="1268"/>
        <v>0</v>
      </c>
      <c r="I886" s="37"/>
      <c r="J886" s="10"/>
      <c r="K886" s="43">
        <f t="shared" si="1269"/>
        <v>0</v>
      </c>
      <c r="L886" s="8">
        <f t="shared" si="1270"/>
        <v>0</v>
      </c>
      <c r="N886" s="7"/>
      <c r="O886" s="33"/>
      <c r="P886" s="27"/>
      <c r="Q886" s="43">
        <f t="shared" si="1279"/>
        <v>0</v>
      </c>
      <c r="R886" s="37"/>
      <c r="S886" s="10"/>
      <c r="T886" s="43">
        <f t="shared" si="1272"/>
        <v>0</v>
      </c>
      <c r="U886" s="37"/>
      <c r="V886" s="10"/>
      <c r="W886" s="43">
        <f t="shared" si="1273"/>
        <v>0</v>
      </c>
      <c r="X886" s="8">
        <f t="shared" si="1274"/>
        <v>0</v>
      </c>
    </row>
    <row r="887" spans="2:24" x14ac:dyDescent="0.15">
      <c r="B887" s="7"/>
      <c r="C887" s="33"/>
      <c r="D887" s="27"/>
      <c r="E887" s="43">
        <f t="shared" si="1278"/>
        <v>0</v>
      </c>
      <c r="F887" s="37"/>
      <c r="G887" s="10"/>
      <c r="H887" s="43">
        <f t="shared" si="1268"/>
        <v>0</v>
      </c>
      <c r="I887" s="37"/>
      <c r="J887" s="10"/>
      <c r="K887" s="43">
        <f t="shared" si="1269"/>
        <v>0</v>
      </c>
      <c r="L887" s="8">
        <f t="shared" si="1270"/>
        <v>0</v>
      </c>
      <c r="N887" s="7"/>
      <c r="O887" s="33"/>
      <c r="P887" s="27"/>
      <c r="Q887" s="43">
        <f t="shared" si="1279"/>
        <v>0</v>
      </c>
      <c r="R887" s="37"/>
      <c r="S887" s="10"/>
      <c r="T887" s="43">
        <f t="shared" si="1272"/>
        <v>0</v>
      </c>
      <c r="U887" s="37"/>
      <c r="V887" s="10"/>
      <c r="W887" s="43">
        <f t="shared" si="1273"/>
        <v>0</v>
      </c>
      <c r="X887" s="8">
        <f t="shared" si="1274"/>
        <v>0</v>
      </c>
    </row>
    <row r="888" spans="2:24" x14ac:dyDescent="0.15">
      <c r="B888" s="7"/>
      <c r="C888" s="33"/>
      <c r="D888" s="27"/>
      <c r="E888" s="43">
        <f t="shared" si="1278"/>
        <v>0</v>
      </c>
      <c r="F888" s="37"/>
      <c r="G888" s="10"/>
      <c r="H888" s="43">
        <f t="shared" si="1268"/>
        <v>0</v>
      </c>
      <c r="I888" s="37"/>
      <c r="J888" s="10"/>
      <c r="K888" s="43">
        <f t="shared" si="1269"/>
        <v>0</v>
      </c>
      <c r="L888" s="8">
        <f t="shared" si="1270"/>
        <v>0</v>
      </c>
      <c r="N888" s="7"/>
      <c r="O888" s="33"/>
      <c r="P888" s="27"/>
      <c r="Q888" s="43">
        <f t="shared" si="1279"/>
        <v>0</v>
      </c>
      <c r="R888" s="37"/>
      <c r="S888" s="10"/>
      <c r="T888" s="43">
        <f t="shared" si="1272"/>
        <v>0</v>
      </c>
      <c r="U888" s="37"/>
      <c r="V888" s="10"/>
      <c r="W888" s="43">
        <f t="shared" si="1273"/>
        <v>0</v>
      </c>
      <c r="X888" s="8">
        <f t="shared" si="1274"/>
        <v>0</v>
      </c>
    </row>
    <row r="889" spans="2:24" x14ac:dyDescent="0.15">
      <c r="B889" s="7"/>
      <c r="C889" s="33"/>
      <c r="D889" s="27"/>
      <c r="E889" s="43">
        <f t="shared" si="1278"/>
        <v>0</v>
      </c>
      <c r="F889" s="37"/>
      <c r="G889" s="10"/>
      <c r="H889" s="43">
        <f t="shared" si="1268"/>
        <v>0</v>
      </c>
      <c r="I889" s="37"/>
      <c r="J889" s="10"/>
      <c r="K889" s="43">
        <f t="shared" si="1269"/>
        <v>0</v>
      </c>
      <c r="L889" s="8">
        <f t="shared" si="1270"/>
        <v>0</v>
      </c>
      <c r="N889" s="7"/>
      <c r="O889" s="33"/>
      <c r="P889" s="27"/>
      <c r="Q889" s="43">
        <f t="shared" si="1279"/>
        <v>0</v>
      </c>
      <c r="R889" s="37"/>
      <c r="S889" s="10"/>
      <c r="T889" s="43">
        <f t="shared" si="1272"/>
        <v>0</v>
      </c>
      <c r="U889" s="37"/>
      <c r="V889" s="10"/>
      <c r="W889" s="43">
        <f t="shared" si="1273"/>
        <v>0</v>
      </c>
      <c r="X889" s="8">
        <f t="shared" si="1274"/>
        <v>0</v>
      </c>
    </row>
    <row r="890" spans="2:24" x14ac:dyDescent="0.15">
      <c r="B890" s="7"/>
      <c r="C890" s="30"/>
      <c r="D890" s="25"/>
      <c r="E890" s="43">
        <f t="shared" si="1278"/>
        <v>0</v>
      </c>
      <c r="F890" s="35"/>
      <c r="G890" s="8"/>
      <c r="H890" s="43">
        <f t="shared" si="1268"/>
        <v>0</v>
      </c>
      <c r="I890" s="35"/>
      <c r="J890" s="8"/>
      <c r="K890" s="43">
        <f t="shared" si="1269"/>
        <v>0</v>
      </c>
      <c r="L890" s="8">
        <f t="shared" si="1270"/>
        <v>0</v>
      </c>
      <c r="N890" s="125"/>
      <c r="O890" s="33"/>
      <c r="P890" s="27"/>
      <c r="Q890" s="43">
        <f t="shared" si="1279"/>
        <v>0</v>
      </c>
      <c r="R890" s="37"/>
      <c r="S890" s="10"/>
      <c r="T890" s="43">
        <f t="shared" si="1272"/>
        <v>0</v>
      </c>
      <c r="U890" s="37"/>
      <c r="V890" s="10"/>
      <c r="W890" s="43">
        <f t="shared" si="1273"/>
        <v>0</v>
      </c>
      <c r="X890" s="8">
        <f t="shared" si="1274"/>
        <v>0</v>
      </c>
    </row>
    <row r="891" spans="2:24" x14ac:dyDescent="0.15">
      <c r="B891" s="7"/>
      <c r="C891" s="30"/>
      <c r="D891" s="25"/>
      <c r="E891" s="43">
        <f t="shared" si="1278"/>
        <v>0</v>
      </c>
      <c r="F891" s="35"/>
      <c r="G891" s="8"/>
      <c r="H891" s="43">
        <f t="shared" si="1268"/>
        <v>0</v>
      </c>
      <c r="I891" s="35"/>
      <c r="J891" s="8"/>
      <c r="K891" s="43">
        <f t="shared" si="1269"/>
        <v>0</v>
      </c>
      <c r="L891" s="8">
        <f t="shared" si="1270"/>
        <v>0</v>
      </c>
      <c r="N891" s="125"/>
      <c r="O891" s="33"/>
      <c r="P891" s="27"/>
      <c r="Q891" s="43">
        <f t="shared" ref="Q891:Q893" si="1293">SUM(O891:P891)</f>
        <v>0</v>
      </c>
      <c r="R891" s="37"/>
      <c r="S891" s="10"/>
      <c r="T891" s="43">
        <f t="shared" ref="T891:T893" si="1294">SUM(R891:S891)</f>
        <v>0</v>
      </c>
      <c r="U891" s="37"/>
      <c r="V891" s="10"/>
      <c r="W891" s="43">
        <f t="shared" ref="W891:W893" si="1295">SUM(U891:V891)</f>
        <v>0</v>
      </c>
      <c r="X891" s="8">
        <f t="shared" ref="X891:X893" si="1296">SUM(W891,T891,Q891)</f>
        <v>0</v>
      </c>
    </row>
    <row r="892" spans="2:24" x14ac:dyDescent="0.15">
      <c r="B892" s="7"/>
      <c r="C892" s="30"/>
      <c r="D892" s="25"/>
      <c r="E892" s="43">
        <f t="shared" si="1278"/>
        <v>0</v>
      </c>
      <c r="F892" s="35"/>
      <c r="G892" s="8"/>
      <c r="H892" s="43">
        <f t="shared" si="1268"/>
        <v>0</v>
      </c>
      <c r="I892" s="35"/>
      <c r="J892" s="8"/>
      <c r="K892" s="43">
        <f t="shared" si="1269"/>
        <v>0</v>
      </c>
      <c r="L892" s="8">
        <f t="shared" si="1270"/>
        <v>0</v>
      </c>
      <c r="N892" s="125"/>
      <c r="O892" s="33"/>
      <c r="P892" s="27"/>
      <c r="Q892" s="43">
        <f t="shared" si="1293"/>
        <v>0</v>
      </c>
      <c r="R892" s="37"/>
      <c r="S892" s="10"/>
      <c r="T892" s="43">
        <f t="shared" si="1294"/>
        <v>0</v>
      </c>
      <c r="U892" s="37"/>
      <c r="V892" s="10"/>
      <c r="W892" s="43">
        <f t="shared" si="1295"/>
        <v>0</v>
      </c>
      <c r="X892" s="8">
        <f t="shared" si="1296"/>
        <v>0</v>
      </c>
    </row>
    <row r="893" spans="2:24" x14ac:dyDescent="0.15">
      <c r="B893" s="7"/>
      <c r="C893" s="30"/>
      <c r="D893" s="25"/>
      <c r="E893" s="43">
        <f t="shared" si="1278"/>
        <v>0</v>
      </c>
      <c r="F893" s="35"/>
      <c r="G893" s="8"/>
      <c r="H893" s="43">
        <f t="shared" si="1268"/>
        <v>0</v>
      </c>
      <c r="I893" s="35"/>
      <c r="J893" s="8"/>
      <c r="K893" s="43">
        <f t="shared" si="1269"/>
        <v>0</v>
      </c>
      <c r="L893" s="8">
        <f t="shared" si="1270"/>
        <v>0</v>
      </c>
      <c r="N893" s="125"/>
      <c r="O893" s="33"/>
      <c r="P893" s="27"/>
      <c r="Q893" s="43">
        <f t="shared" si="1293"/>
        <v>0</v>
      </c>
      <c r="R893" s="37"/>
      <c r="S893" s="10"/>
      <c r="T893" s="43">
        <f t="shared" si="1294"/>
        <v>0</v>
      </c>
      <c r="U893" s="37"/>
      <c r="V893" s="10"/>
      <c r="W893" s="43">
        <f t="shared" si="1295"/>
        <v>0</v>
      </c>
      <c r="X893" s="8">
        <f t="shared" si="1296"/>
        <v>0</v>
      </c>
    </row>
    <row r="894" spans="2:24" x14ac:dyDescent="0.15">
      <c r="B894" s="7"/>
      <c r="C894" s="30"/>
      <c r="D894" s="25"/>
      <c r="E894" s="43">
        <f t="shared" si="1278"/>
        <v>0</v>
      </c>
      <c r="F894" s="35"/>
      <c r="G894" s="8"/>
      <c r="H894" s="43">
        <f t="shared" si="1268"/>
        <v>0</v>
      </c>
      <c r="I894" s="35"/>
      <c r="J894" s="8"/>
      <c r="K894" s="43">
        <f t="shared" si="1269"/>
        <v>0</v>
      </c>
      <c r="L894" s="8">
        <f t="shared" si="1270"/>
        <v>0</v>
      </c>
      <c r="N894" s="125"/>
      <c r="O894" s="33"/>
      <c r="P894" s="27"/>
      <c r="Q894" s="43">
        <f t="shared" ref="Q894:Q895" si="1297">SUM(O894:P894)</f>
        <v>0</v>
      </c>
      <c r="R894" s="37"/>
      <c r="S894" s="10"/>
      <c r="T894" s="43">
        <f t="shared" ref="T894:T895" si="1298">SUM(R894:S894)</f>
        <v>0</v>
      </c>
      <c r="U894" s="37"/>
      <c r="V894" s="10"/>
      <c r="W894" s="43">
        <f t="shared" ref="W894:W895" si="1299">SUM(U894:V894)</f>
        <v>0</v>
      </c>
      <c r="X894" s="8">
        <f t="shared" ref="X894:X895" si="1300">SUM(W894,T894,Q894)</f>
        <v>0</v>
      </c>
    </row>
    <row r="895" spans="2:24" ht="14.25" thickBot="1" x14ac:dyDescent="0.2">
      <c r="B895" s="7"/>
      <c r="C895" s="30"/>
      <c r="D895" s="25"/>
      <c r="E895" s="43">
        <f t="shared" si="1278"/>
        <v>0</v>
      </c>
      <c r="F895" s="35"/>
      <c r="G895" s="8"/>
      <c r="H895" s="43">
        <f t="shared" si="1268"/>
        <v>0</v>
      </c>
      <c r="I895" s="35"/>
      <c r="J895" s="8"/>
      <c r="K895" s="43">
        <f t="shared" si="1269"/>
        <v>0</v>
      </c>
      <c r="L895" s="8">
        <f t="shared" si="1270"/>
        <v>0</v>
      </c>
      <c r="N895" s="125"/>
      <c r="O895" s="33"/>
      <c r="P895" s="27"/>
      <c r="Q895" s="43">
        <f t="shared" si="1297"/>
        <v>0</v>
      </c>
      <c r="R895" s="37"/>
      <c r="S895" s="10"/>
      <c r="T895" s="43">
        <f t="shared" si="1298"/>
        <v>0</v>
      </c>
      <c r="U895" s="37"/>
      <c r="V895" s="10"/>
      <c r="W895" s="43">
        <f t="shared" si="1299"/>
        <v>0</v>
      </c>
      <c r="X895" s="8">
        <f t="shared" si="1300"/>
        <v>0</v>
      </c>
    </row>
    <row r="896" spans="2:24" ht="14.25" thickBot="1" x14ac:dyDescent="0.2">
      <c r="B896" s="5" t="s">
        <v>1</v>
      </c>
      <c r="C896" s="32">
        <f>SUM(C871:C895)</f>
        <v>-26</v>
      </c>
      <c r="D896" s="19">
        <f>SUM(D871:D895)</f>
        <v>16</v>
      </c>
      <c r="E896" s="44">
        <f t="shared" si="1278"/>
        <v>-10</v>
      </c>
      <c r="F896" s="32">
        <f>SUM(F871:F895)</f>
        <v>18</v>
      </c>
      <c r="G896" s="19">
        <f>SUM(G871:G895)</f>
        <v>27</v>
      </c>
      <c r="H896" s="44">
        <f t="shared" si="1268"/>
        <v>45</v>
      </c>
      <c r="I896" s="32">
        <f>SUM(I871:I895)</f>
        <v>14</v>
      </c>
      <c r="J896" s="19">
        <f>SUM(J871:J895)</f>
        <v>12</v>
      </c>
      <c r="K896" s="44">
        <f t="shared" si="1269"/>
        <v>26</v>
      </c>
      <c r="L896" s="4">
        <f t="shared" si="1270"/>
        <v>61</v>
      </c>
      <c r="N896" s="5" t="s">
        <v>1</v>
      </c>
      <c r="O896" s="32">
        <f>SUM(O871:O895)</f>
        <v>0</v>
      </c>
      <c r="P896" s="19">
        <f t="shared" ref="P896" si="1301">SUM(P871:P895)</f>
        <v>0</v>
      </c>
      <c r="Q896" s="44">
        <f t="shared" ref="Q896" si="1302">SUM(Q871:Q895)</f>
        <v>0</v>
      </c>
      <c r="R896" s="32">
        <f t="shared" ref="R896" si="1303">SUM(R871:R895)</f>
        <v>0</v>
      </c>
      <c r="S896" s="19">
        <f t="shared" ref="S896" si="1304">SUM(S871:S895)</f>
        <v>0</v>
      </c>
      <c r="T896" s="44">
        <f t="shared" ref="T896" si="1305">SUM(T871:T895)</f>
        <v>0</v>
      </c>
      <c r="U896" s="32">
        <f t="shared" ref="U896" si="1306">SUM(U871:U895)</f>
        <v>0</v>
      </c>
      <c r="V896" s="19">
        <f t="shared" ref="V896" si="1307">SUM(V871:V895)</f>
        <v>0</v>
      </c>
      <c r="W896" s="44">
        <f t="shared" ref="W896" si="1308">SUM(W871:W895)</f>
        <v>0</v>
      </c>
      <c r="X896" s="4">
        <f t="shared" ref="X896" si="1309">SUM(X871:X895)</f>
        <v>0</v>
      </c>
    </row>
    <row r="897" spans="2:25" ht="14.25" thickBot="1" x14ac:dyDescent="0.2">
      <c r="B897" s="3" t="s">
        <v>0</v>
      </c>
      <c r="C897" s="34">
        <f>+C870-C896</f>
        <v>60</v>
      </c>
      <c r="D897" s="2">
        <f>+D870-D896</f>
        <v>19</v>
      </c>
      <c r="E897" s="45">
        <f t="shared" si="1278"/>
        <v>79</v>
      </c>
      <c r="F897" s="34">
        <f>+F870-F896</f>
        <v>23</v>
      </c>
      <c r="G897" s="2">
        <f>+G870-G896</f>
        <v>24</v>
      </c>
      <c r="H897" s="45">
        <f t="shared" si="1268"/>
        <v>47</v>
      </c>
      <c r="I897" s="34">
        <f>+I870-I896</f>
        <v>18</v>
      </c>
      <c r="J897" s="2">
        <f>+J870-J896</f>
        <v>24</v>
      </c>
      <c r="K897" s="45">
        <f t="shared" si="1269"/>
        <v>42</v>
      </c>
      <c r="L897" s="2">
        <f t="shared" si="1270"/>
        <v>168</v>
      </c>
      <c r="N897" s="3" t="s">
        <v>0</v>
      </c>
      <c r="O897" s="34">
        <f>+O870-O896</f>
        <v>625</v>
      </c>
      <c r="P897" s="2">
        <f t="shared" ref="P897" si="1310">+P870-P896</f>
        <v>658</v>
      </c>
      <c r="Q897" s="45">
        <f t="shared" ref="Q897" si="1311">+Q870-Q896</f>
        <v>1283</v>
      </c>
      <c r="R897" s="34">
        <f t="shared" ref="R897" si="1312">+R870-R896</f>
        <v>432</v>
      </c>
      <c r="S897" s="2">
        <f t="shared" ref="S897" si="1313">+S870-S896</f>
        <v>480</v>
      </c>
      <c r="T897" s="45">
        <f t="shared" ref="T897" si="1314">+T870-T896</f>
        <v>912</v>
      </c>
      <c r="U897" s="34">
        <f t="shared" ref="U897" si="1315">+U870-U896</f>
        <v>307</v>
      </c>
      <c r="V897" s="2">
        <f t="shared" ref="V897" si="1316">+V870-V896</f>
        <v>293</v>
      </c>
      <c r="W897" s="45">
        <f t="shared" ref="W897" si="1317">+W870-W896</f>
        <v>600</v>
      </c>
      <c r="X897" s="2">
        <f t="shared" ref="X897" si="1318">+X870-X896</f>
        <v>2795</v>
      </c>
    </row>
    <row r="901" spans="2:25" ht="18.75" x14ac:dyDescent="0.2">
      <c r="B901" s="23" t="s">
        <v>11</v>
      </c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N901" s="47" t="s">
        <v>25</v>
      </c>
      <c r="O901" s="48"/>
      <c r="P901" s="48"/>
      <c r="Q901" s="48"/>
      <c r="R901" s="48"/>
      <c r="S901" s="48"/>
      <c r="T901" s="48"/>
      <c r="U901" s="48"/>
      <c r="V901" s="48"/>
      <c r="W901" s="48"/>
      <c r="X901" s="48"/>
    </row>
    <row r="902" spans="2:25" ht="15" thickBot="1" x14ac:dyDescent="0.2">
      <c r="B902" s="22" t="s">
        <v>147</v>
      </c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N902" s="49" t="s">
        <v>148</v>
      </c>
      <c r="O902" s="48"/>
      <c r="P902" s="48"/>
      <c r="Q902" s="48"/>
      <c r="R902" s="48"/>
      <c r="S902" s="48"/>
      <c r="T902" s="48"/>
      <c r="U902" s="48"/>
      <c r="V902" s="48"/>
      <c r="W902" s="48"/>
      <c r="X902" s="48"/>
    </row>
    <row r="903" spans="2:25" ht="14.25" thickBot="1" x14ac:dyDescent="0.2">
      <c r="B903" s="20"/>
      <c r="C903" s="208" t="s">
        <v>9</v>
      </c>
      <c r="D903" s="209"/>
      <c r="E903" s="210"/>
      <c r="F903" s="208" t="s">
        <v>8</v>
      </c>
      <c r="G903" s="209"/>
      <c r="H903" s="210"/>
      <c r="I903" s="208" t="s">
        <v>7</v>
      </c>
      <c r="J903" s="209"/>
      <c r="K903" s="210"/>
      <c r="L903" s="19"/>
      <c r="N903" s="20"/>
      <c r="O903" s="208" t="s">
        <v>9</v>
      </c>
      <c r="P903" s="209"/>
      <c r="Q903" s="123">
        <v>890</v>
      </c>
      <c r="R903" s="208" t="s">
        <v>8</v>
      </c>
      <c r="S903" s="209"/>
      <c r="T903" s="123">
        <v>980</v>
      </c>
      <c r="U903" s="208" t="s">
        <v>7</v>
      </c>
      <c r="V903" s="209"/>
      <c r="W903" s="123">
        <v>1080</v>
      </c>
      <c r="X903" s="19"/>
    </row>
    <row r="904" spans="2:25" ht="14.25" thickBot="1" x14ac:dyDescent="0.2">
      <c r="B904" s="18"/>
      <c r="C904" s="28" t="s">
        <v>6</v>
      </c>
      <c r="D904" s="17" t="s">
        <v>5</v>
      </c>
      <c r="E904" s="38" t="s">
        <v>4</v>
      </c>
      <c r="F904" s="28" t="s">
        <v>6</v>
      </c>
      <c r="G904" s="17" t="s">
        <v>5</v>
      </c>
      <c r="H904" s="38" t="s">
        <v>4</v>
      </c>
      <c r="I904" s="28" t="s">
        <v>6</v>
      </c>
      <c r="J904" s="17" t="s">
        <v>5</v>
      </c>
      <c r="K904" s="38" t="s">
        <v>4</v>
      </c>
      <c r="L904" s="17" t="s">
        <v>4</v>
      </c>
      <c r="N904" s="18"/>
      <c r="O904" s="28" t="s">
        <v>6</v>
      </c>
      <c r="P904" s="17" t="s">
        <v>5</v>
      </c>
      <c r="Q904" s="38" t="s">
        <v>4</v>
      </c>
      <c r="R904" s="28" t="s">
        <v>6</v>
      </c>
      <c r="S904" s="17" t="s">
        <v>5</v>
      </c>
      <c r="T904" s="38" t="s">
        <v>4</v>
      </c>
      <c r="U904" s="28" t="s">
        <v>6</v>
      </c>
      <c r="V904" s="17" t="s">
        <v>5</v>
      </c>
      <c r="W904" s="38" t="s">
        <v>4</v>
      </c>
      <c r="X904" s="17" t="s">
        <v>4</v>
      </c>
    </row>
    <row r="905" spans="2:25" x14ac:dyDescent="0.15">
      <c r="B905" s="66" t="s">
        <v>0</v>
      </c>
      <c r="C905" s="67">
        <f>C897</f>
        <v>60</v>
      </c>
      <c r="D905" s="68">
        <f t="shared" ref="D905:K905" si="1319">D897</f>
        <v>19</v>
      </c>
      <c r="E905" s="69">
        <f t="shared" si="1319"/>
        <v>79</v>
      </c>
      <c r="F905" s="67">
        <f t="shared" si="1319"/>
        <v>23</v>
      </c>
      <c r="G905" s="68">
        <f t="shared" si="1319"/>
        <v>24</v>
      </c>
      <c r="H905" s="69">
        <f t="shared" si="1319"/>
        <v>47</v>
      </c>
      <c r="I905" s="67">
        <f t="shared" si="1319"/>
        <v>18</v>
      </c>
      <c r="J905" s="68">
        <f t="shared" si="1319"/>
        <v>24</v>
      </c>
      <c r="K905" s="69">
        <f t="shared" si="1319"/>
        <v>42</v>
      </c>
      <c r="L905" s="70">
        <f>SUM(K905,H905,E905)</f>
        <v>168</v>
      </c>
      <c r="N905" s="66" t="s">
        <v>0</v>
      </c>
      <c r="O905" s="72">
        <f>O897</f>
        <v>625</v>
      </c>
      <c r="P905" s="80">
        <f t="shared" ref="P905:X905" si="1320">P897</f>
        <v>658</v>
      </c>
      <c r="Q905" s="69">
        <f t="shared" si="1320"/>
        <v>1283</v>
      </c>
      <c r="R905" s="72">
        <f t="shared" si="1320"/>
        <v>432</v>
      </c>
      <c r="S905" s="80">
        <f t="shared" si="1320"/>
        <v>480</v>
      </c>
      <c r="T905" s="69">
        <f t="shared" si="1320"/>
        <v>912</v>
      </c>
      <c r="U905" s="72">
        <f t="shared" si="1320"/>
        <v>307</v>
      </c>
      <c r="V905" s="80">
        <f t="shared" si="1320"/>
        <v>293</v>
      </c>
      <c r="W905" s="69">
        <f t="shared" si="1320"/>
        <v>600</v>
      </c>
      <c r="X905" s="70">
        <f t="shared" si="1320"/>
        <v>2795</v>
      </c>
    </row>
    <row r="906" spans="2:25" x14ac:dyDescent="0.15">
      <c r="B906" s="55" t="s">
        <v>3</v>
      </c>
      <c r="C906" s="30"/>
      <c r="D906" s="25"/>
      <c r="E906" s="40">
        <f t="shared" ref="E906:E907" si="1321">SUM(C906:D906)</f>
        <v>0</v>
      </c>
      <c r="F906" s="35"/>
      <c r="G906" s="8"/>
      <c r="H906" s="40">
        <f t="shared" ref="H906:H938" si="1322">SUM(F906:G906)</f>
        <v>0</v>
      </c>
      <c r="I906" s="35"/>
      <c r="J906" s="8">
        <v>10</v>
      </c>
      <c r="K906" s="40">
        <f t="shared" ref="K906:K938" si="1323">SUM(I906:J906)</f>
        <v>10</v>
      </c>
      <c r="L906" s="9">
        <f t="shared" ref="L906:L938" si="1324">SUM(K906,H906,E906)</f>
        <v>10</v>
      </c>
      <c r="M906" s="53">
        <v>45904</v>
      </c>
      <c r="N906" s="55" t="s">
        <v>3</v>
      </c>
      <c r="O906" s="62"/>
      <c r="P906" s="81"/>
      <c r="Q906" s="40">
        <f t="shared" ref="Q906:Q931" si="1325">SUM(O906:P906)</f>
        <v>0</v>
      </c>
      <c r="R906" s="78"/>
      <c r="S906" s="82"/>
      <c r="T906" s="40">
        <f t="shared" ref="T906:T931" si="1326">SUM(R906:S906)</f>
        <v>0</v>
      </c>
      <c r="U906" s="78"/>
      <c r="V906" s="82"/>
      <c r="W906" s="40">
        <f t="shared" ref="W906:W931" si="1327">SUM(U906:V906)</f>
        <v>0</v>
      </c>
      <c r="X906" s="25">
        <f t="shared" ref="X906:X931" si="1328">SUM(W906,T906,Q906)</f>
        <v>0</v>
      </c>
    </row>
    <row r="907" spans="2:25" x14ac:dyDescent="0.15">
      <c r="B907" s="55" t="s">
        <v>499</v>
      </c>
      <c r="C907" s="30">
        <v>4</v>
      </c>
      <c r="D907" s="25">
        <v>5</v>
      </c>
      <c r="E907" s="40">
        <f t="shared" si="1321"/>
        <v>9</v>
      </c>
      <c r="F907" s="35">
        <v>3</v>
      </c>
      <c r="G907" s="8">
        <v>1</v>
      </c>
      <c r="H907" s="40">
        <f t="shared" si="1322"/>
        <v>4</v>
      </c>
      <c r="I907" s="35">
        <v>4</v>
      </c>
      <c r="J907" s="8">
        <v>2</v>
      </c>
      <c r="K907" s="40">
        <f t="shared" si="1323"/>
        <v>6</v>
      </c>
      <c r="L907" s="9">
        <f t="shared" si="1324"/>
        <v>19</v>
      </c>
      <c r="M907" s="53">
        <v>45903</v>
      </c>
      <c r="N907" s="55" t="s">
        <v>318</v>
      </c>
      <c r="O907" s="78">
        <v>41</v>
      </c>
      <c r="P907" s="82">
        <v>42</v>
      </c>
      <c r="Q907" s="40">
        <f t="shared" si="1325"/>
        <v>83</v>
      </c>
      <c r="R907" s="78">
        <v>44</v>
      </c>
      <c r="S907" s="82">
        <v>33</v>
      </c>
      <c r="T907" s="40">
        <f t="shared" si="1326"/>
        <v>77</v>
      </c>
      <c r="U907" s="78">
        <v>37</v>
      </c>
      <c r="V907" s="82">
        <v>37</v>
      </c>
      <c r="W907" s="40">
        <f t="shared" si="1327"/>
        <v>74</v>
      </c>
      <c r="X907" s="25">
        <f t="shared" si="1328"/>
        <v>234</v>
      </c>
      <c r="Y907" s="53">
        <v>45905</v>
      </c>
    </row>
    <row r="908" spans="2:25" x14ac:dyDescent="0.15">
      <c r="B908" s="55" t="s">
        <v>3</v>
      </c>
      <c r="C908" s="30"/>
      <c r="D908" s="25"/>
      <c r="E908" s="40">
        <f t="shared" ref="E908:E938" si="1329">SUM(C908:D908)</f>
        <v>0</v>
      </c>
      <c r="F908" s="35">
        <v>15</v>
      </c>
      <c r="G908" s="8"/>
      <c r="H908" s="40">
        <f t="shared" si="1322"/>
        <v>15</v>
      </c>
      <c r="I908" s="35">
        <v>17</v>
      </c>
      <c r="J908" s="8"/>
      <c r="K908" s="40">
        <f t="shared" si="1323"/>
        <v>17</v>
      </c>
      <c r="L908" s="9">
        <f t="shared" si="1324"/>
        <v>32</v>
      </c>
      <c r="M908" s="53">
        <v>45906</v>
      </c>
      <c r="N908" s="55" t="s">
        <v>3</v>
      </c>
      <c r="O908" s="62"/>
      <c r="P908" s="81"/>
      <c r="Q908" s="40">
        <f t="shared" ref="Q908" si="1330">SUM(O908:P908)</f>
        <v>0</v>
      </c>
      <c r="R908" s="78"/>
      <c r="S908" s="82"/>
      <c r="T908" s="40">
        <f t="shared" ref="T908" si="1331">SUM(R908:S908)</f>
        <v>0</v>
      </c>
      <c r="U908" s="78"/>
      <c r="V908" s="82"/>
      <c r="W908" s="40">
        <f t="shared" ref="W908" si="1332">SUM(U908:V908)</f>
        <v>0</v>
      </c>
      <c r="X908" s="25">
        <f t="shared" ref="X908" si="1333">SUM(W908,T908,Q908)</f>
        <v>0</v>
      </c>
    </row>
    <row r="909" spans="2:25" x14ac:dyDescent="0.15">
      <c r="B909" s="55" t="s">
        <v>3</v>
      </c>
      <c r="C909" s="30">
        <v>3</v>
      </c>
      <c r="D909" s="25"/>
      <c r="E909" s="40">
        <f t="shared" si="1329"/>
        <v>3</v>
      </c>
      <c r="F909" s="35">
        <v>3</v>
      </c>
      <c r="G909" s="8"/>
      <c r="H909" s="40">
        <f t="shared" si="1322"/>
        <v>3</v>
      </c>
      <c r="I909" s="35">
        <v>3</v>
      </c>
      <c r="J909" s="8"/>
      <c r="K909" s="40">
        <f t="shared" si="1323"/>
        <v>3</v>
      </c>
      <c r="L909" s="9">
        <f t="shared" si="1324"/>
        <v>9</v>
      </c>
      <c r="M909" s="53">
        <v>45910</v>
      </c>
      <c r="N909" s="55" t="s">
        <v>3</v>
      </c>
      <c r="O909" s="62"/>
      <c r="P909" s="81"/>
      <c r="Q909" s="40">
        <f t="shared" si="1325"/>
        <v>0</v>
      </c>
      <c r="R909" s="78"/>
      <c r="S909" s="82"/>
      <c r="T909" s="40">
        <f t="shared" si="1326"/>
        <v>0</v>
      </c>
      <c r="U909" s="78"/>
      <c r="V909" s="82"/>
      <c r="W909" s="40">
        <f t="shared" si="1327"/>
        <v>0</v>
      </c>
      <c r="X909" s="25">
        <f t="shared" si="1328"/>
        <v>0</v>
      </c>
    </row>
    <row r="910" spans="2:25" ht="14.25" thickBot="1" x14ac:dyDescent="0.2">
      <c r="B910" s="55" t="s">
        <v>57</v>
      </c>
      <c r="C910" s="76"/>
      <c r="D910" s="83">
        <v>1</v>
      </c>
      <c r="E910" s="41">
        <f t="shared" si="1329"/>
        <v>1</v>
      </c>
      <c r="F910" s="76">
        <v>1</v>
      </c>
      <c r="G910" s="83"/>
      <c r="H910" s="41">
        <f t="shared" si="1322"/>
        <v>1</v>
      </c>
      <c r="I910" s="76"/>
      <c r="J910" s="83"/>
      <c r="K910" s="41">
        <f t="shared" si="1323"/>
        <v>0</v>
      </c>
      <c r="L910" s="77">
        <f t="shared" si="1324"/>
        <v>2</v>
      </c>
      <c r="M910" s="53">
        <v>45910</v>
      </c>
      <c r="N910" s="75" t="s">
        <v>3</v>
      </c>
      <c r="O910" s="76"/>
      <c r="P910" s="83"/>
      <c r="Q910" s="41">
        <f t="shared" si="1325"/>
        <v>0</v>
      </c>
      <c r="R910" s="76"/>
      <c r="S910" s="83"/>
      <c r="T910" s="41">
        <f t="shared" si="1326"/>
        <v>0</v>
      </c>
      <c r="U910" s="76"/>
      <c r="V910" s="83"/>
      <c r="W910" s="41">
        <f t="shared" si="1327"/>
        <v>0</v>
      </c>
      <c r="X910" s="77">
        <f t="shared" si="1328"/>
        <v>0</v>
      </c>
    </row>
    <row r="911" spans="2:25" ht="14.25" thickBot="1" x14ac:dyDescent="0.2">
      <c r="B911" s="5" t="s">
        <v>2</v>
      </c>
      <c r="C911" s="32">
        <f>SUM(C905:C910)</f>
        <v>67</v>
      </c>
      <c r="D911" s="19">
        <f>SUM(D905:D910)</f>
        <v>25</v>
      </c>
      <c r="E911" s="42">
        <f t="shared" si="1329"/>
        <v>92</v>
      </c>
      <c r="F911" s="32">
        <f>SUM(F905:F910)</f>
        <v>45</v>
      </c>
      <c r="G911" s="19">
        <f>SUM(G905:G910)</f>
        <v>25</v>
      </c>
      <c r="H911" s="42">
        <f t="shared" si="1322"/>
        <v>70</v>
      </c>
      <c r="I911" s="32">
        <f>SUM(I905:I910)</f>
        <v>42</v>
      </c>
      <c r="J911" s="19">
        <f>SUM(J905:J910)</f>
        <v>36</v>
      </c>
      <c r="K911" s="42">
        <f t="shared" si="1323"/>
        <v>78</v>
      </c>
      <c r="L911" s="13">
        <f t="shared" si="1324"/>
        <v>240</v>
      </c>
      <c r="N911" s="63" t="s">
        <v>2</v>
      </c>
      <c r="O911" s="32">
        <f>SUM(O905:O910)</f>
        <v>666</v>
      </c>
      <c r="P911" s="19">
        <f t="shared" ref="P911" si="1334">SUM(P905:P910)</f>
        <v>700</v>
      </c>
      <c r="Q911" s="42">
        <f t="shared" ref="Q911" si="1335">SUM(Q905:Q910)</f>
        <v>1366</v>
      </c>
      <c r="R911" s="32">
        <f t="shared" ref="R911" si="1336">SUM(R905:R910)</f>
        <v>476</v>
      </c>
      <c r="S911" s="19">
        <f t="shared" ref="S911" si="1337">SUM(S905:S910)</f>
        <v>513</v>
      </c>
      <c r="T911" s="42">
        <f t="shared" ref="T911" si="1338">SUM(T905:T910)</f>
        <v>989</v>
      </c>
      <c r="U911" s="32">
        <f t="shared" ref="U911" si="1339">SUM(U905:U910)</f>
        <v>344</v>
      </c>
      <c r="V911" s="19">
        <f t="shared" ref="V911" si="1340">SUM(V905:V910)</f>
        <v>330</v>
      </c>
      <c r="W911" s="42">
        <f t="shared" ref="W911" si="1341">SUM(W905:W910)</f>
        <v>674</v>
      </c>
      <c r="X911" s="13">
        <f t="shared" ref="X911" si="1342">SUM(X905:X910)</f>
        <v>3029</v>
      </c>
    </row>
    <row r="912" spans="2:25" x14ac:dyDescent="0.15">
      <c r="B912" s="7" t="s">
        <v>306</v>
      </c>
      <c r="C912" s="30">
        <v>4</v>
      </c>
      <c r="D912" s="25"/>
      <c r="E912" s="43">
        <f t="shared" si="1329"/>
        <v>4</v>
      </c>
      <c r="F912" s="35">
        <v>8</v>
      </c>
      <c r="G912" s="8">
        <v>5</v>
      </c>
      <c r="H912" s="43">
        <f t="shared" si="1322"/>
        <v>13</v>
      </c>
      <c r="I912" s="35"/>
      <c r="J912" s="8"/>
      <c r="K912" s="43">
        <f t="shared" si="1323"/>
        <v>0</v>
      </c>
      <c r="L912" s="8">
        <f t="shared" si="1324"/>
        <v>17</v>
      </c>
      <c r="M912" s="53">
        <v>45901</v>
      </c>
      <c r="N912" s="7" t="s">
        <v>28</v>
      </c>
      <c r="O912" s="30"/>
      <c r="P912" s="25"/>
      <c r="Q912" s="43">
        <f t="shared" ref="Q912:Q914" si="1343">SUM(O912:P912)</f>
        <v>0</v>
      </c>
      <c r="R912" s="35"/>
      <c r="S912" s="8"/>
      <c r="T912" s="43">
        <f t="shared" ref="T912:T914" si="1344">SUM(R912:S912)</f>
        <v>0</v>
      </c>
      <c r="U912" s="35"/>
      <c r="V912" s="8">
        <v>10</v>
      </c>
      <c r="W912" s="43">
        <f t="shared" ref="W912:W914" si="1345">SUM(U912:V912)</f>
        <v>10</v>
      </c>
      <c r="X912" s="8">
        <f t="shared" ref="X912:X914" si="1346">SUM(W912,T912,Q912)</f>
        <v>10</v>
      </c>
      <c r="Y912" s="53">
        <v>45904</v>
      </c>
    </row>
    <row r="913" spans="2:25" x14ac:dyDescent="0.15">
      <c r="B913" s="7" t="s">
        <v>125</v>
      </c>
      <c r="C913" s="30"/>
      <c r="D913" s="25">
        <v>8</v>
      </c>
      <c r="E913" s="43">
        <f t="shared" si="1329"/>
        <v>8</v>
      </c>
      <c r="F913" s="35">
        <v>1</v>
      </c>
      <c r="G913" s="8">
        <v>2</v>
      </c>
      <c r="H913" s="43">
        <f t="shared" si="1322"/>
        <v>3</v>
      </c>
      <c r="I913" s="35"/>
      <c r="J913" s="8">
        <v>12</v>
      </c>
      <c r="K913" s="43">
        <f t="shared" si="1323"/>
        <v>12</v>
      </c>
      <c r="L913" s="8">
        <f t="shared" si="1324"/>
        <v>23</v>
      </c>
      <c r="M913" s="53">
        <v>45903</v>
      </c>
      <c r="N913" s="7" t="s">
        <v>28</v>
      </c>
      <c r="O913" s="30"/>
      <c r="P913" s="25"/>
      <c r="Q913" s="43">
        <f t="shared" si="1343"/>
        <v>0</v>
      </c>
      <c r="R913" s="35">
        <v>15</v>
      </c>
      <c r="S913" s="8"/>
      <c r="T913" s="43">
        <f t="shared" si="1344"/>
        <v>15</v>
      </c>
      <c r="U913" s="35">
        <v>17</v>
      </c>
      <c r="V913" s="8"/>
      <c r="W913" s="43">
        <f t="shared" si="1345"/>
        <v>17</v>
      </c>
      <c r="X913" s="8">
        <f t="shared" si="1346"/>
        <v>32</v>
      </c>
      <c r="Y913" s="53">
        <v>45906</v>
      </c>
    </row>
    <row r="914" spans="2:25" x14ac:dyDescent="0.15">
      <c r="B914" s="7" t="s">
        <v>12</v>
      </c>
      <c r="C914" s="30"/>
      <c r="D914" s="25"/>
      <c r="E914" s="43">
        <f t="shared" si="1329"/>
        <v>0</v>
      </c>
      <c r="F914" s="35">
        <v>1</v>
      </c>
      <c r="G914" s="8"/>
      <c r="H914" s="43">
        <f t="shared" si="1322"/>
        <v>1</v>
      </c>
      <c r="I914" s="35"/>
      <c r="J914" s="8"/>
      <c r="K914" s="43">
        <f t="shared" si="1323"/>
        <v>0</v>
      </c>
      <c r="L914" s="8">
        <f t="shared" si="1324"/>
        <v>1</v>
      </c>
      <c r="M914" s="53">
        <v>45901</v>
      </c>
      <c r="N914" s="7" t="s">
        <v>28</v>
      </c>
      <c r="O914" s="30">
        <v>3</v>
      </c>
      <c r="P914" s="25"/>
      <c r="Q914" s="43">
        <f t="shared" si="1343"/>
        <v>3</v>
      </c>
      <c r="R914" s="35">
        <v>3</v>
      </c>
      <c r="S914" s="8"/>
      <c r="T914" s="43">
        <f t="shared" si="1344"/>
        <v>3</v>
      </c>
      <c r="U914" s="35">
        <v>3</v>
      </c>
      <c r="V914" s="8"/>
      <c r="W914" s="43">
        <f t="shared" si="1345"/>
        <v>3</v>
      </c>
      <c r="X914" s="8">
        <f t="shared" si="1346"/>
        <v>9</v>
      </c>
      <c r="Y914" s="53">
        <v>45910</v>
      </c>
    </row>
    <row r="915" spans="2:25" x14ac:dyDescent="0.15">
      <c r="B915" s="7" t="s">
        <v>497</v>
      </c>
      <c r="C915" s="30">
        <v>4</v>
      </c>
      <c r="D915" s="25"/>
      <c r="E915" s="43">
        <f t="shared" si="1329"/>
        <v>4</v>
      </c>
      <c r="F915" s="35">
        <v>1</v>
      </c>
      <c r="G915" s="8">
        <v>3</v>
      </c>
      <c r="H915" s="43">
        <f t="shared" si="1322"/>
        <v>4</v>
      </c>
      <c r="I915" s="35">
        <v>3</v>
      </c>
      <c r="J915" s="8">
        <v>3</v>
      </c>
      <c r="K915" s="43">
        <f t="shared" si="1323"/>
        <v>6</v>
      </c>
      <c r="L915" s="8">
        <f t="shared" si="1324"/>
        <v>14</v>
      </c>
      <c r="M915" s="53">
        <v>45904</v>
      </c>
      <c r="N915" s="7" t="s">
        <v>501</v>
      </c>
      <c r="O915" s="30"/>
      <c r="P915" s="25">
        <v>10</v>
      </c>
      <c r="Q915" s="43">
        <f t="shared" si="1325"/>
        <v>10</v>
      </c>
      <c r="R915" s="35">
        <v>5</v>
      </c>
      <c r="S915" s="8"/>
      <c r="T915" s="43">
        <f t="shared" si="1326"/>
        <v>5</v>
      </c>
      <c r="U915" s="35"/>
      <c r="V915" s="8">
        <v>10</v>
      </c>
      <c r="W915" s="43">
        <f t="shared" si="1327"/>
        <v>10</v>
      </c>
      <c r="X915" s="8">
        <f t="shared" si="1328"/>
        <v>25</v>
      </c>
      <c r="Y915" s="53">
        <v>45916</v>
      </c>
    </row>
    <row r="916" spans="2:25" x14ac:dyDescent="0.15">
      <c r="B916" s="7" t="s">
        <v>12</v>
      </c>
      <c r="C916" s="30">
        <v>1</v>
      </c>
      <c r="D916" s="25"/>
      <c r="E916" s="43">
        <f t="shared" si="1329"/>
        <v>1</v>
      </c>
      <c r="F916" s="35"/>
      <c r="G916" s="8"/>
      <c r="H916" s="43">
        <f t="shared" si="1322"/>
        <v>0</v>
      </c>
      <c r="I916" s="35"/>
      <c r="J916" s="8"/>
      <c r="K916" s="43">
        <f t="shared" si="1323"/>
        <v>0</v>
      </c>
      <c r="L916" s="8">
        <f t="shared" si="1324"/>
        <v>1</v>
      </c>
      <c r="M916" s="53">
        <v>45902</v>
      </c>
      <c r="N916" s="7" t="s">
        <v>503</v>
      </c>
      <c r="O916" s="30"/>
      <c r="P916" s="25">
        <v>5</v>
      </c>
      <c r="Q916" s="43">
        <f t="shared" si="1325"/>
        <v>5</v>
      </c>
      <c r="R916" s="35">
        <v>5</v>
      </c>
      <c r="S916" s="8">
        <v>5</v>
      </c>
      <c r="T916" s="43">
        <f t="shared" si="1326"/>
        <v>10</v>
      </c>
      <c r="U916" s="35"/>
      <c r="V916" s="8"/>
      <c r="W916" s="43">
        <f t="shared" si="1327"/>
        <v>0</v>
      </c>
      <c r="X916" s="8">
        <f t="shared" si="1328"/>
        <v>15</v>
      </c>
      <c r="Y916" s="53">
        <v>45919</v>
      </c>
    </row>
    <row r="917" spans="2:25" x14ac:dyDescent="0.15">
      <c r="B917" s="7" t="s">
        <v>498</v>
      </c>
      <c r="C917" s="30"/>
      <c r="D917" s="25"/>
      <c r="E917" s="43">
        <f t="shared" si="1329"/>
        <v>0</v>
      </c>
      <c r="F917" s="35">
        <v>1</v>
      </c>
      <c r="G917" s="8">
        <v>1</v>
      </c>
      <c r="H917" s="43">
        <f t="shared" si="1322"/>
        <v>2</v>
      </c>
      <c r="I917" s="35">
        <v>1</v>
      </c>
      <c r="J917" s="8">
        <v>3</v>
      </c>
      <c r="K917" s="43">
        <f t="shared" si="1323"/>
        <v>4</v>
      </c>
      <c r="L917" s="8">
        <f t="shared" si="1324"/>
        <v>6</v>
      </c>
      <c r="M917" s="53">
        <v>45905</v>
      </c>
      <c r="N917" s="7"/>
      <c r="O917" s="33"/>
      <c r="P917" s="27"/>
      <c r="Q917" s="43">
        <f t="shared" si="1325"/>
        <v>0</v>
      </c>
      <c r="R917" s="37"/>
      <c r="S917" s="10"/>
      <c r="T917" s="43">
        <f t="shared" si="1326"/>
        <v>0</v>
      </c>
      <c r="U917" s="37"/>
      <c r="V917" s="10"/>
      <c r="W917" s="43">
        <f t="shared" si="1327"/>
        <v>0</v>
      </c>
      <c r="X917" s="8">
        <f t="shared" si="1328"/>
        <v>0</v>
      </c>
    </row>
    <row r="918" spans="2:25" x14ac:dyDescent="0.15">
      <c r="B918" s="7" t="s">
        <v>12</v>
      </c>
      <c r="C918" s="30"/>
      <c r="D918" s="25"/>
      <c r="E918" s="43">
        <f t="shared" si="1329"/>
        <v>0</v>
      </c>
      <c r="F918" s="35">
        <v>1</v>
      </c>
      <c r="G918" s="8"/>
      <c r="H918" s="43">
        <f t="shared" si="1322"/>
        <v>1</v>
      </c>
      <c r="I918" s="35"/>
      <c r="J918" s="8"/>
      <c r="K918" s="43">
        <f t="shared" si="1323"/>
        <v>0</v>
      </c>
      <c r="L918" s="8">
        <f t="shared" si="1324"/>
        <v>1</v>
      </c>
      <c r="M918" s="53">
        <v>45903</v>
      </c>
      <c r="N918" s="7"/>
      <c r="O918" s="33"/>
      <c r="P918" s="27"/>
      <c r="Q918" s="43">
        <f t="shared" si="1325"/>
        <v>0</v>
      </c>
      <c r="R918" s="37"/>
      <c r="S918" s="10"/>
      <c r="T918" s="43">
        <f t="shared" si="1326"/>
        <v>0</v>
      </c>
      <c r="U918" s="37"/>
      <c r="V918" s="10"/>
      <c r="W918" s="43">
        <f t="shared" si="1327"/>
        <v>0</v>
      </c>
      <c r="X918" s="8">
        <f t="shared" si="1328"/>
        <v>0</v>
      </c>
    </row>
    <row r="919" spans="2:25" x14ac:dyDescent="0.15">
      <c r="B919" s="7" t="s">
        <v>128</v>
      </c>
      <c r="C919" s="30"/>
      <c r="D919" s="25"/>
      <c r="E919" s="43">
        <f t="shared" si="1329"/>
        <v>0</v>
      </c>
      <c r="F919" s="35">
        <v>2</v>
      </c>
      <c r="G919" s="8"/>
      <c r="H919" s="43">
        <f t="shared" si="1322"/>
        <v>2</v>
      </c>
      <c r="I919" s="35"/>
      <c r="J919" s="8">
        <v>1</v>
      </c>
      <c r="K919" s="43">
        <f t="shared" si="1323"/>
        <v>1</v>
      </c>
      <c r="L919" s="8">
        <f t="shared" si="1324"/>
        <v>3</v>
      </c>
      <c r="M919" s="53">
        <v>45905</v>
      </c>
      <c r="N919" s="7"/>
      <c r="O919" s="33"/>
      <c r="P919" s="27"/>
      <c r="Q919" s="43">
        <f t="shared" si="1325"/>
        <v>0</v>
      </c>
      <c r="R919" s="37"/>
      <c r="S919" s="10"/>
      <c r="T919" s="43">
        <f t="shared" si="1326"/>
        <v>0</v>
      </c>
      <c r="U919" s="37"/>
      <c r="V919" s="10"/>
      <c r="W919" s="43">
        <f t="shared" si="1327"/>
        <v>0</v>
      </c>
      <c r="X919" s="8">
        <f t="shared" si="1328"/>
        <v>0</v>
      </c>
    </row>
    <row r="920" spans="2:25" x14ac:dyDescent="0.15">
      <c r="B920" s="7" t="s">
        <v>129</v>
      </c>
      <c r="C920" s="30"/>
      <c r="D920" s="25"/>
      <c r="E920" s="43">
        <f t="shared" si="1329"/>
        <v>0</v>
      </c>
      <c r="F920" s="35"/>
      <c r="G920" s="8"/>
      <c r="H920" s="43">
        <f t="shared" si="1322"/>
        <v>0</v>
      </c>
      <c r="I920" s="35"/>
      <c r="J920" s="8">
        <v>1</v>
      </c>
      <c r="K920" s="43">
        <f t="shared" si="1323"/>
        <v>1</v>
      </c>
      <c r="L920" s="8">
        <f t="shared" si="1324"/>
        <v>1</v>
      </c>
      <c r="M920" s="53">
        <v>45908</v>
      </c>
      <c r="N920" s="7"/>
      <c r="O920" s="33"/>
      <c r="P920" s="27"/>
      <c r="Q920" s="43">
        <f t="shared" si="1325"/>
        <v>0</v>
      </c>
      <c r="R920" s="37"/>
      <c r="S920" s="10"/>
      <c r="T920" s="43">
        <f t="shared" si="1326"/>
        <v>0</v>
      </c>
      <c r="U920" s="37"/>
      <c r="V920" s="10"/>
      <c r="W920" s="43">
        <f t="shared" si="1327"/>
        <v>0</v>
      </c>
      <c r="X920" s="8">
        <f t="shared" si="1328"/>
        <v>0</v>
      </c>
    </row>
    <row r="921" spans="2:25" x14ac:dyDescent="0.15">
      <c r="B921" s="7" t="s">
        <v>130</v>
      </c>
      <c r="C921" s="30"/>
      <c r="D921" s="25"/>
      <c r="E921" s="43">
        <f t="shared" si="1329"/>
        <v>0</v>
      </c>
      <c r="F921" s="35">
        <v>4</v>
      </c>
      <c r="G921" s="8"/>
      <c r="H921" s="43">
        <f t="shared" si="1322"/>
        <v>4</v>
      </c>
      <c r="I921" s="35">
        <v>2</v>
      </c>
      <c r="J921" s="8"/>
      <c r="K921" s="43">
        <f t="shared" si="1323"/>
        <v>2</v>
      </c>
      <c r="L921" s="8">
        <f t="shared" si="1324"/>
        <v>6</v>
      </c>
      <c r="M921" s="53">
        <v>45910</v>
      </c>
      <c r="N921" s="7"/>
      <c r="O921" s="33"/>
      <c r="P921" s="27"/>
      <c r="Q921" s="43">
        <f t="shared" si="1325"/>
        <v>0</v>
      </c>
      <c r="R921" s="37"/>
      <c r="S921" s="10"/>
      <c r="T921" s="43">
        <f t="shared" si="1326"/>
        <v>0</v>
      </c>
      <c r="U921" s="37"/>
      <c r="V921" s="10"/>
      <c r="W921" s="43">
        <f t="shared" si="1327"/>
        <v>0</v>
      </c>
      <c r="X921" s="8">
        <f t="shared" si="1328"/>
        <v>0</v>
      </c>
    </row>
    <row r="922" spans="2:25" x14ac:dyDescent="0.15">
      <c r="B922" s="7" t="s">
        <v>12</v>
      </c>
      <c r="C922" s="30"/>
      <c r="D922" s="25"/>
      <c r="E922" s="43">
        <f t="shared" si="1329"/>
        <v>0</v>
      </c>
      <c r="F922" s="35"/>
      <c r="G922" s="8"/>
      <c r="H922" s="43">
        <f t="shared" si="1322"/>
        <v>0</v>
      </c>
      <c r="I922" s="35"/>
      <c r="J922" s="8">
        <v>1</v>
      </c>
      <c r="K922" s="43">
        <f t="shared" si="1323"/>
        <v>1</v>
      </c>
      <c r="L922" s="8">
        <f t="shared" si="1324"/>
        <v>1</v>
      </c>
      <c r="M922" s="53">
        <v>45908</v>
      </c>
      <c r="N922" s="7"/>
      <c r="O922" s="33"/>
      <c r="P922" s="27"/>
      <c r="Q922" s="43">
        <f t="shared" si="1325"/>
        <v>0</v>
      </c>
      <c r="R922" s="37"/>
      <c r="S922" s="10"/>
      <c r="T922" s="43">
        <f t="shared" si="1326"/>
        <v>0</v>
      </c>
      <c r="U922" s="37"/>
      <c r="V922" s="10"/>
      <c r="W922" s="43">
        <f t="shared" si="1327"/>
        <v>0</v>
      </c>
      <c r="X922" s="8">
        <f t="shared" si="1328"/>
        <v>0</v>
      </c>
    </row>
    <row r="923" spans="2:25" x14ac:dyDescent="0.15">
      <c r="B923" s="7" t="s">
        <v>500</v>
      </c>
      <c r="C923" s="30"/>
      <c r="D923" s="25"/>
      <c r="E923" s="43">
        <f t="shared" si="1329"/>
        <v>0</v>
      </c>
      <c r="F923" s="35">
        <v>6</v>
      </c>
      <c r="G923" s="8">
        <v>2</v>
      </c>
      <c r="H923" s="43">
        <f t="shared" si="1322"/>
        <v>8</v>
      </c>
      <c r="I923" s="35"/>
      <c r="J923" s="8">
        <v>2</v>
      </c>
      <c r="K923" s="43">
        <f t="shared" si="1323"/>
        <v>2</v>
      </c>
      <c r="L923" s="8">
        <f t="shared" si="1324"/>
        <v>10</v>
      </c>
      <c r="M923" s="53">
        <v>45911</v>
      </c>
      <c r="N923" s="7"/>
      <c r="O923" s="33"/>
      <c r="P923" s="27"/>
      <c r="Q923" s="43">
        <f t="shared" si="1325"/>
        <v>0</v>
      </c>
      <c r="R923" s="37"/>
      <c r="S923" s="10"/>
      <c r="T923" s="43">
        <f t="shared" si="1326"/>
        <v>0</v>
      </c>
      <c r="U923" s="37"/>
      <c r="V923" s="10"/>
      <c r="W923" s="43">
        <f t="shared" si="1327"/>
        <v>0</v>
      </c>
      <c r="X923" s="8">
        <f t="shared" si="1328"/>
        <v>0</v>
      </c>
    </row>
    <row r="924" spans="2:25" x14ac:dyDescent="0.15">
      <c r="B924" s="7" t="s">
        <v>12</v>
      </c>
      <c r="C924" s="30"/>
      <c r="D924" s="25"/>
      <c r="E924" s="43">
        <f t="shared" si="1329"/>
        <v>0</v>
      </c>
      <c r="F924" s="35"/>
      <c r="G924" s="8"/>
      <c r="H924" s="43">
        <f t="shared" si="1322"/>
        <v>0</v>
      </c>
      <c r="I924" s="35"/>
      <c r="J924" s="8">
        <v>1</v>
      </c>
      <c r="K924" s="43">
        <f t="shared" si="1323"/>
        <v>1</v>
      </c>
      <c r="L924" s="8">
        <f t="shared" si="1324"/>
        <v>1</v>
      </c>
      <c r="M924" s="53">
        <v>45909</v>
      </c>
      <c r="N924" s="7"/>
      <c r="O924" s="30"/>
      <c r="P924" s="25"/>
      <c r="Q924" s="43">
        <f t="shared" si="1325"/>
        <v>0</v>
      </c>
      <c r="R924" s="35"/>
      <c r="S924" s="8"/>
      <c r="T924" s="43">
        <f t="shared" si="1326"/>
        <v>0</v>
      </c>
      <c r="U924" s="35"/>
      <c r="V924" s="8"/>
      <c r="W924" s="43">
        <f t="shared" si="1327"/>
        <v>0</v>
      </c>
      <c r="X924" s="8">
        <f t="shared" si="1328"/>
        <v>0</v>
      </c>
    </row>
    <row r="925" spans="2:25" x14ac:dyDescent="0.15">
      <c r="B925" s="7" t="s">
        <v>134</v>
      </c>
      <c r="C925" s="30"/>
      <c r="D925" s="25"/>
      <c r="E925" s="43">
        <f t="shared" si="1329"/>
        <v>0</v>
      </c>
      <c r="F925" s="35">
        <v>2</v>
      </c>
      <c r="G925" s="8"/>
      <c r="H925" s="43">
        <f t="shared" si="1322"/>
        <v>2</v>
      </c>
      <c r="I925" s="35"/>
      <c r="J925" s="8">
        <v>1</v>
      </c>
      <c r="K925" s="43">
        <f t="shared" si="1323"/>
        <v>1</v>
      </c>
      <c r="L925" s="8">
        <f t="shared" si="1324"/>
        <v>3</v>
      </c>
      <c r="M925" s="53">
        <v>45912</v>
      </c>
      <c r="N925" s="7"/>
      <c r="O925" s="33"/>
      <c r="P925" s="27"/>
      <c r="Q925" s="43">
        <f t="shared" si="1325"/>
        <v>0</v>
      </c>
      <c r="R925" s="37"/>
      <c r="S925" s="10"/>
      <c r="T925" s="43">
        <f t="shared" si="1326"/>
        <v>0</v>
      </c>
      <c r="U925" s="37"/>
      <c r="V925" s="10"/>
      <c r="W925" s="43">
        <f t="shared" si="1327"/>
        <v>0</v>
      </c>
      <c r="X925" s="8">
        <f t="shared" si="1328"/>
        <v>0</v>
      </c>
    </row>
    <row r="926" spans="2:25" x14ac:dyDescent="0.15">
      <c r="B926" s="7" t="s">
        <v>12</v>
      </c>
      <c r="C926" s="30"/>
      <c r="D926" s="25"/>
      <c r="E926" s="43">
        <f t="shared" si="1329"/>
        <v>0</v>
      </c>
      <c r="F926" s="35">
        <v>1</v>
      </c>
      <c r="G926" s="8"/>
      <c r="H926" s="43">
        <f t="shared" si="1322"/>
        <v>1</v>
      </c>
      <c r="I926" s="35"/>
      <c r="J926" s="8"/>
      <c r="K926" s="43">
        <f t="shared" si="1323"/>
        <v>0</v>
      </c>
      <c r="L926" s="8">
        <f t="shared" si="1324"/>
        <v>1</v>
      </c>
      <c r="M926" s="53">
        <v>45911</v>
      </c>
      <c r="N926" s="7"/>
      <c r="O926" s="33"/>
      <c r="P926" s="27"/>
      <c r="Q926" s="43">
        <f t="shared" si="1325"/>
        <v>0</v>
      </c>
      <c r="R926" s="37"/>
      <c r="S926" s="10"/>
      <c r="T926" s="43">
        <f t="shared" si="1326"/>
        <v>0</v>
      </c>
      <c r="U926" s="37"/>
      <c r="V926" s="10"/>
      <c r="W926" s="43">
        <f t="shared" si="1327"/>
        <v>0</v>
      </c>
      <c r="X926" s="8">
        <f t="shared" si="1328"/>
        <v>0</v>
      </c>
    </row>
    <row r="927" spans="2:25" x14ac:dyDescent="0.15">
      <c r="B927" s="7" t="s">
        <v>502</v>
      </c>
      <c r="C927" s="30"/>
      <c r="D927" s="25"/>
      <c r="E927" s="43">
        <f t="shared" si="1329"/>
        <v>0</v>
      </c>
      <c r="F927" s="35"/>
      <c r="G927" s="8"/>
      <c r="H927" s="43">
        <f t="shared" si="1322"/>
        <v>0</v>
      </c>
      <c r="I927" s="35"/>
      <c r="J927" s="8">
        <v>2</v>
      </c>
      <c r="K927" s="43">
        <f t="shared" si="1323"/>
        <v>2</v>
      </c>
      <c r="L927" s="8">
        <f t="shared" si="1324"/>
        <v>2</v>
      </c>
      <c r="M927" s="53">
        <v>45916</v>
      </c>
      <c r="N927" s="7"/>
      <c r="O927" s="33"/>
      <c r="P927" s="27"/>
      <c r="Q927" s="43">
        <f t="shared" si="1325"/>
        <v>0</v>
      </c>
      <c r="R927" s="37"/>
      <c r="S927" s="10"/>
      <c r="T927" s="43">
        <f t="shared" si="1326"/>
        <v>0</v>
      </c>
      <c r="U927" s="37"/>
      <c r="V927" s="10"/>
      <c r="W927" s="43">
        <f t="shared" si="1327"/>
        <v>0</v>
      </c>
      <c r="X927" s="8">
        <f t="shared" si="1328"/>
        <v>0</v>
      </c>
    </row>
    <row r="928" spans="2:25" x14ac:dyDescent="0.15">
      <c r="B928" s="7" t="s">
        <v>12</v>
      </c>
      <c r="C928" s="30"/>
      <c r="D928" s="25"/>
      <c r="E928" s="43">
        <f t="shared" si="1329"/>
        <v>0</v>
      </c>
      <c r="F928" s="35"/>
      <c r="G928" s="8"/>
      <c r="H928" s="43">
        <f t="shared" si="1322"/>
        <v>0</v>
      </c>
      <c r="I928" s="35">
        <v>2</v>
      </c>
      <c r="J928" s="8"/>
      <c r="K928" s="43">
        <f t="shared" si="1323"/>
        <v>2</v>
      </c>
      <c r="L928" s="8">
        <f t="shared" si="1324"/>
        <v>2</v>
      </c>
      <c r="M928" s="53">
        <v>45912</v>
      </c>
      <c r="N928" s="7"/>
      <c r="O928" s="33"/>
      <c r="P928" s="27"/>
      <c r="Q928" s="43">
        <f t="shared" si="1325"/>
        <v>0</v>
      </c>
      <c r="R928" s="37"/>
      <c r="S928" s="10"/>
      <c r="T928" s="43">
        <f t="shared" si="1326"/>
        <v>0</v>
      </c>
      <c r="U928" s="37"/>
      <c r="V928" s="10"/>
      <c r="W928" s="43">
        <f t="shared" si="1327"/>
        <v>0</v>
      </c>
      <c r="X928" s="8">
        <f t="shared" si="1328"/>
        <v>0</v>
      </c>
    </row>
    <row r="929" spans="2:26" x14ac:dyDescent="0.15">
      <c r="B929" s="55" t="s">
        <v>499</v>
      </c>
      <c r="C929" s="33"/>
      <c r="D929" s="27"/>
      <c r="E929" s="43">
        <f t="shared" si="1329"/>
        <v>0</v>
      </c>
      <c r="F929" s="37"/>
      <c r="G929" s="10"/>
      <c r="H929" s="43">
        <f t="shared" si="1322"/>
        <v>0</v>
      </c>
      <c r="I929" s="37">
        <v>-1</v>
      </c>
      <c r="J929" s="10"/>
      <c r="K929" s="43">
        <f t="shared" si="1323"/>
        <v>-1</v>
      </c>
      <c r="L929" s="8">
        <f t="shared" si="1324"/>
        <v>-1</v>
      </c>
      <c r="M929" s="53">
        <v>45917</v>
      </c>
      <c r="N929" s="7"/>
      <c r="O929" s="33"/>
      <c r="P929" s="27"/>
      <c r="Q929" s="43">
        <f t="shared" si="1325"/>
        <v>0</v>
      </c>
      <c r="R929" s="37"/>
      <c r="S929" s="10"/>
      <c r="T929" s="43">
        <f t="shared" si="1326"/>
        <v>0</v>
      </c>
      <c r="U929" s="37"/>
      <c r="V929" s="10"/>
      <c r="W929" s="43">
        <f t="shared" si="1327"/>
        <v>0</v>
      </c>
      <c r="X929" s="8">
        <f t="shared" si="1328"/>
        <v>0</v>
      </c>
    </row>
    <row r="930" spans="2:26" x14ac:dyDescent="0.15">
      <c r="B930" s="7" t="s">
        <v>12</v>
      </c>
      <c r="C930" s="33"/>
      <c r="D930" s="27"/>
      <c r="E930" s="43">
        <f t="shared" si="1329"/>
        <v>0</v>
      </c>
      <c r="F930" s="37">
        <v>1</v>
      </c>
      <c r="G930" s="10"/>
      <c r="H930" s="43">
        <f t="shared" si="1322"/>
        <v>1</v>
      </c>
      <c r="I930" s="37">
        <v>1</v>
      </c>
      <c r="J930" s="10"/>
      <c r="K930" s="43">
        <f t="shared" si="1323"/>
        <v>1</v>
      </c>
      <c r="L930" s="8">
        <f t="shared" si="1324"/>
        <v>2</v>
      </c>
      <c r="M930" s="53">
        <v>45917</v>
      </c>
      <c r="N930" s="7"/>
      <c r="O930" s="33"/>
      <c r="P930" s="27"/>
      <c r="Q930" s="43">
        <f t="shared" si="1325"/>
        <v>0</v>
      </c>
      <c r="R930" s="37"/>
      <c r="S930" s="10"/>
      <c r="T930" s="43">
        <f t="shared" si="1326"/>
        <v>0</v>
      </c>
      <c r="U930" s="37"/>
      <c r="V930" s="10"/>
      <c r="W930" s="43">
        <f t="shared" si="1327"/>
        <v>0</v>
      </c>
      <c r="X930" s="8">
        <f t="shared" si="1328"/>
        <v>0</v>
      </c>
    </row>
    <row r="931" spans="2:26" x14ac:dyDescent="0.15">
      <c r="B931" s="7" t="s">
        <v>137</v>
      </c>
      <c r="C931" s="30">
        <v>1</v>
      </c>
      <c r="D931" s="25"/>
      <c r="E931" s="43">
        <f t="shared" si="1329"/>
        <v>1</v>
      </c>
      <c r="F931" s="35"/>
      <c r="G931" s="8"/>
      <c r="H931" s="43">
        <f t="shared" si="1322"/>
        <v>0</v>
      </c>
      <c r="I931" s="35"/>
      <c r="J931" s="8"/>
      <c r="K931" s="43">
        <f t="shared" si="1323"/>
        <v>0</v>
      </c>
      <c r="L931" s="8">
        <f t="shared" si="1324"/>
        <v>1</v>
      </c>
      <c r="M931" s="53">
        <v>45919</v>
      </c>
      <c r="N931" s="125"/>
      <c r="O931" s="33"/>
      <c r="P931" s="27"/>
      <c r="Q931" s="43">
        <f t="shared" si="1325"/>
        <v>0</v>
      </c>
      <c r="R931" s="37"/>
      <c r="S931" s="10"/>
      <c r="T931" s="43">
        <f t="shared" si="1326"/>
        <v>0</v>
      </c>
      <c r="U931" s="37"/>
      <c r="V931" s="10"/>
      <c r="W931" s="43">
        <f t="shared" si="1327"/>
        <v>0</v>
      </c>
      <c r="X931" s="8">
        <f t="shared" si="1328"/>
        <v>0</v>
      </c>
    </row>
    <row r="932" spans="2:26" x14ac:dyDescent="0.15">
      <c r="B932" s="7" t="s">
        <v>12</v>
      </c>
      <c r="C932" s="30"/>
      <c r="D932" s="25"/>
      <c r="E932" s="43">
        <f t="shared" si="1329"/>
        <v>0</v>
      </c>
      <c r="F932" s="35">
        <v>1</v>
      </c>
      <c r="G932" s="8"/>
      <c r="H932" s="43">
        <f t="shared" si="1322"/>
        <v>1</v>
      </c>
      <c r="I932" s="35"/>
      <c r="J932" s="8"/>
      <c r="K932" s="43">
        <f t="shared" si="1323"/>
        <v>0</v>
      </c>
      <c r="L932" s="8">
        <f t="shared" si="1324"/>
        <v>1</v>
      </c>
      <c r="M932" s="53">
        <v>45918</v>
      </c>
      <c r="N932" s="125"/>
      <c r="O932" s="33"/>
      <c r="P932" s="27"/>
      <c r="Q932" s="43">
        <f t="shared" ref="Q932:Q936" si="1347">SUM(O932:P932)</f>
        <v>0</v>
      </c>
      <c r="R932" s="37"/>
      <c r="S932" s="10"/>
      <c r="T932" s="43">
        <f t="shared" ref="T932:T936" si="1348">SUM(R932:S932)</f>
        <v>0</v>
      </c>
      <c r="U932" s="37"/>
      <c r="V932" s="10"/>
      <c r="W932" s="43">
        <f t="shared" ref="W932:W936" si="1349">SUM(U932:V932)</f>
        <v>0</v>
      </c>
      <c r="X932" s="8">
        <f t="shared" ref="X932:X936" si="1350">SUM(W932,T932,Q932)</f>
        <v>0</v>
      </c>
    </row>
    <row r="933" spans="2:26" x14ac:dyDescent="0.15">
      <c r="B933" s="7" t="s">
        <v>142</v>
      </c>
      <c r="C933" s="30">
        <v>4</v>
      </c>
      <c r="D933" s="25"/>
      <c r="E933" s="43">
        <f t="shared" si="1329"/>
        <v>4</v>
      </c>
      <c r="F933" s="35"/>
      <c r="G933" s="8"/>
      <c r="H933" s="43">
        <f t="shared" si="1322"/>
        <v>0</v>
      </c>
      <c r="I933" s="35"/>
      <c r="J933" s="8"/>
      <c r="K933" s="43">
        <f t="shared" si="1323"/>
        <v>0</v>
      </c>
      <c r="L933" s="8">
        <f t="shared" si="1324"/>
        <v>4</v>
      </c>
      <c r="M933" s="53">
        <v>45922</v>
      </c>
      <c r="N933" s="125"/>
      <c r="O933" s="33"/>
      <c r="P933" s="27"/>
      <c r="Q933" s="43">
        <f t="shared" si="1347"/>
        <v>0</v>
      </c>
      <c r="R933" s="37"/>
      <c r="S933" s="10"/>
      <c r="T933" s="43">
        <f t="shared" si="1348"/>
        <v>0</v>
      </c>
      <c r="U933" s="37"/>
      <c r="V933" s="10"/>
      <c r="W933" s="43">
        <f t="shared" si="1349"/>
        <v>0</v>
      </c>
      <c r="X933" s="8">
        <f t="shared" si="1350"/>
        <v>0</v>
      </c>
    </row>
    <row r="934" spans="2:26" x14ac:dyDescent="0.15">
      <c r="B934" s="7" t="s">
        <v>328</v>
      </c>
      <c r="C934" s="30"/>
      <c r="D934" s="25">
        <v>2</v>
      </c>
      <c r="E934" s="43">
        <f t="shared" si="1329"/>
        <v>2</v>
      </c>
      <c r="F934" s="35"/>
      <c r="G934" s="8">
        <v>1</v>
      </c>
      <c r="H934" s="43">
        <f t="shared" si="1322"/>
        <v>1</v>
      </c>
      <c r="I934" s="35"/>
      <c r="J934" s="8"/>
      <c r="K934" s="43">
        <f t="shared" si="1323"/>
        <v>0</v>
      </c>
      <c r="L934" s="8">
        <f t="shared" si="1324"/>
        <v>3</v>
      </c>
      <c r="M934" s="53">
        <v>45924</v>
      </c>
      <c r="N934" s="7"/>
      <c r="O934" s="30"/>
      <c r="P934" s="25"/>
      <c r="Q934" s="43">
        <f t="shared" si="1347"/>
        <v>0</v>
      </c>
      <c r="R934" s="35"/>
      <c r="S934" s="8"/>
      <c r="T934" s="43">
        <f t="shared" si="1348"/>
        <v>0</v>
      </c>
      <c r="U934" s="35"/>
      <c r="V934" s="8"/>
      <c r="W934" s="43">
        <f t="shared" si="1349"/>
        <v>0</v>
      </c>
      <c r="X934" s="8">
        <f t="shared" si="1350"/>
        <v>0</v>
      </c>
    </row>
    <row r="935" spans="2:26" x14ac:dyDescent="0.15">
      <c r="B935" s="7" t="s">
        <v>504</v>
      </c>
      <c r="C935" s="30"/>
      <c r="D935" s="25"/>
      <c r="E935" s="43">
        <f t="shared" si="1329"/>
        <v>0</v>
      </c>
      <c r="F935" s="35"/>
      <c r="G935" s="8">
        <v>1</v>
      </c>
      <c r="H935" s="43">
        <f t="shared" si="1322"/>
        <v>1</v>
      </c>
      <c r="I935" s="35"/>
      <c r="J935" s="8"/>
      <c r="K935" s="43">
        <f t="shared" si="1323"/>
        <v>0</v>
      </c>
      <c r="L935" s="8">
        <f t="shared" si="1324"/>
        <v>1</v>
      </c>
      <c r="M935" s="53">
        <v>45923</v>
      </c>
      <c r="N935" s="7" t="s">
        <v>470</v>
      </c>
      <c r="O935" s="30"/>
      <c r="P935" s="25"/>
      <c r="Q935" s="43">
        <f t="shared" si="1347"/>
        <v>0</v>
      </c>
      <c r="R935" s="35"/>
      <c r="S935" s="8"/>
      <c r="T935" s="43">
        <f t="shared" si="1348"/>
        <v>0</v>
      </c>
      <c r="U935" s="35"/>
      <c r="V935" s="8"/>
      <c r="W935" s="43">
        <f t="shared" si="1349"/>
        <v>0</v>
      </c>
      <c r="X935" s="8">
        <f t="shared" si="1350"/>
        <v>0</v>
      </c>
      <c r="Y935" s="52" t="s">
        <v>471</v>
      </c>
    </row>
    <row r="936" spans="2:26" ht="14.25" thickBot="1" x14ac:dyDescent="0.2">
      <c r="B936" s="7"/>
      <c r="C936" s="30"/>
      <c r="D936" s="25"/>
      <c r="E936" s="43">
        <f t="shared" si="1329"/>
        <v>0</v>
      </c>
      <c r="F936" s="35"/>
      <c r="G936" s="8"/>
      <c r="H936" s="43">
        <f t="shared" si="1322"/>
        <v>0</v>
      </c>
      <c r="I936" s="35"/>
      <c r="J936" s="8"/>
      <c r="K936" s="43">
        <f t="shared" si="1323"/>
        <v>0</v>
      </c>
      <c r="L936" s="8">
        <f t="shared" si="1324"/>
        <v>0</v>
      </c>
      <c r="N936" s="7" t="s">
        <v>480</v>
      </c>
      <c r="O936" s="30"/>
      <c r="P936" s="25"/>
      <c r="Q936" s="43">
        <f t="shared" si="1347"/>
        <v>0</v>
      </c>
      <c r="R936" s="35"/>
      <c r="S936" s="8"/>
      <c r="T936" s="43">
        <f t="shared" si="1348"/>
        <v>0</v>
      </c>
      <c r="U936" s="35"/>
      <c r="V936" s="8"/>
      <c r="W936" s="43">
        <f t="shared" si="1349"/>
        <v>0</v>
      </c>
      <c r="X936" s="8">
        <f t="shared" si="1350"/>
        <v>0</v>
      </c>
      <c r="Y936" s="52" t="s">
        <v>481</v>
      </c>
    </row>
    <row r="937" spans="2:26" ht="14.25" thickBot="1" x14ac:dyDescent="0.2">
      <c r="B937" s="5" t="s">
        <v>1</v>
      </c>
      <c r="C937" s="32">
        <f>SUM(C912:C936)</f>
        <v>14</v>
      </c>
      <c r="D937" s="19">
        <f>SUM(D912:D936)</f>
        <v>10</v>
      </c>
      <c r="E937" s="44">
        <f t="shared" si="1329"/>
        <v>24</v>
      </c>
      <c r="F937" s="32">
        <f>SUM(F912:F936)</f>
        <v>30</v>
      </c>
      <c r="G937" s="19">
        <f>SUM(G912:G936)</f>
        <v>15</v>
      </c>
      <c r="H937" s="44">
        <f t="shared" si="1322"/>
        <v>45</v>
      </c>
      <c r="I937" s="32">
        <f>SUM(I912:I936)</f>
        <v>8</v>
      </c>
      <c r="J937" s="19">
        <f>SUM(J912:J936)</f>
        <v>27</v>
      </c>
      <c r="K937" s="44">
        <f t="shared" si="1323"/>
        <v>35</v>
      </c>
      <c r="L937" s="4">
        <f t="shared" si="1324"/>
        <v>104</v>
      </c>
      <c r="N937" s="5" t="s">
        <v>1</v>
      </c>
      <c r="O937" s="32">
        <f>SUM(O912:O936)</f>
        <v>3</v>
      </c>
      <c r="P937" s="19">
        <f t="shared" ref="P937:X937" si="1351">SUM(P912:P936)</f>
        <v>15</v>
      </c>
      <c r="Q937" s="44">
        <f t="shared" si="1351"/>
        <v>18</v>
      </c>
      <c r="R937" s="32">
        <f t="shared" si="1351"/>
        <v>28</v>
      </c>
      <c r="S937" s="19">
        <f t="shared" si="1351"/>
        <v>5</v>
      </c>
      <c r="T937" s="44">
        <f t="shared" si="1351"/>
        <v>33</v>
      </c>
      <c r="U937" s="32">
        <f t="shared" si="1351"/>
        <v>20</v>
      </c>
      <c r="V937" s="19">
        <f t="shared" si="1351"/>
        <v>20</v>
      </c>
      <c r="W937" s="44">
        <f t="shared" si="1351"/>
        <v>40</v>
      </c>
      <c r="X937" s="4">
        <f t="shared" si="1351"/>
        <v>91</v>
      </c>
    </row>
    <row r="938" spans="2:26" ht="14.25" thickBot="1" x14ac:dyDescent="0.2">
      <c r="B938" s="3" t="s">
        <v>0</v>
      </c>
      <c r="C938" s="34">
        <f>+C911-C937</f>
        <v>53</v>
      </c>
      <c r="D938" s="2">
        <f>+D911-D937</f>
        <v>15</v>
      </c>
      <c r="E938" s="45">
        <f t="shared" si="1329"/>
        <v>68</v>
      </c>
      <c r="F938" s="34">
        <f>+F911-F937</f>
        <v>15</v>
      </c>
      <c r="G938" s="2">
        <f>+G911-G937</f>
        <v>10</v>
      </c>
      <c r="H938" s="45">
        <f t="shared" si="1322"/>
        <v>25</v>
      </c>
      <c r="I938" s="34">
        <f>+I911-I937</f>
        <v>34</v>
      </c>
      <c r="J938" s="2">
        <f>+J911-J937</f>
        <v>9</v>
      </c>
      <c r="K938" s="45">
        <f t="shared" si="1323"/>
        <v>43</v>
      </c>
      <c r="L938" s="2">
        <f t="shared" si="1324"/>
        <v>136</v>
      </c>
      <c r="N938" s="3" t="s">
        <v>0</v>
      </c>
      <c r="O938" s="34">
        <f>+O911-O937</f>
        <v>663</v>
      </c>
      <c r="P938" s="2">
        <f t="shared" ref="P938:X938" si="1352">+P911-P937</f>
        <v>685</v>
      </c>
      <c r="Q938" s="45">
        <f t="shared" si="1352"/>
        <v>1348</v>
      </c>
      <c r="R938" s="34">
        <f t="shared" si="1352"/>
        <v>448</v>
      </c>
      <c r="S938" s="2">
        <f t="shared" si="1352"/>
        <v>508</v>
      </c>
      <c r="T938" s="45">
        <f t="shared" si="1352"/>
        <v>956</v>
      </c>
      <c r="U938" s="34">
        <f t="shared" si="1352"/>
        <v>324</v>
      </c>
      <c r="V938" s="2">
        <f t="shared" si="1352"/>
        <v>310</v>
      </c>
      <c r="W938" s="45">
        <f t="shared" si="1352"/>
        <v>634</v>
      </c>
      <c r="X938" s="2">
        <f t="shared" si="1352"/>
        <v>2938</v>
      </c>
      <c r="Z938" t="s">
        <v>477</v>
      </c>
    </row>
    <row r="942" spans="2:26" ht="18.75" x14ac:dyDescent="0.2">
      <c r="B942" s="23" t="s">
        <v>11</v>
      </c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N942" s="47" t="s">
        <v>25</v>
      </c>
      <c r="O942" s="48"/>
      <c r="P942" s="48"/>
      <c r="Q942" s="48"/>
      <c r="R942" s="48"/>
      <c r="S942" s="48"/>
      <c r="T942" s="48"/>
      <c r="U942" s="48"/>
      <c r="V942" s="48"/>
      <c r="W942" s="48"/>
      <c r="X942" s="48"/>
    </row>
    <row r="943" spans="2:26" ht="15" thickBot="1" x14ac:dyDescent="0.2">
      <c r="B943" s="22" t="s">
        <v>147</v>
      </c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N943" s="49" t="s">
        <v>148</v>
      </c>
      <c r="O943" s="48"/>
      <c r="P943" s="48"/>
      <c r="Q943" s="48"/>
      <c r="R943" s="48"/>
      <c r="S943" s="48"/>
      <c r="T943" s="48"/>
      <c r="U943" s="48"/>
      <c r="V943" s="48"/>
      <c r="W943" s="48"/>
      <c r="X943" s="48"/>
    </row>
    <row r="944" spans="2:26" ht="14.25" thickBot="1" x14ac:dyDescent="0.2">
      <c r="B944" s="20"/>
      <c r="C944" s="208" t="s">
        <v>9</v>
      </c>
      <c r="D944" s="209"/>
      <c r="E944" s="210"/>
      <c r="F944" s="208" t="s">
        <v>8</v>
      </c>
      <c r="G944" s="209"/>
      <c r="H944" s="210"/>
      <c r="I944" s="208" t="s">
        <v>7</v>
      </c>
      <c r="J944" s="209"/>
      <c r="K944" s="210"/>
      <c r="L944" s="19"/>
      <c r="N944" s="20"/>
      <c r="O944" s="208" t="s">
        <v>9</v>
      </c>
      <c r="P944" s="209"/>
      <c r="Q944" s="123">
        <v>890</v>
      </c>
      <c r="R944" s="208" t="s">
        <v>8</v>
      </c>
      <c r="S944" s="209"/>
      <c r="T944" s="123">
        <v>980</v>
      </c>
      <c r="U944" s="208" t="s">
        <v>7</v>
      </c>
      <c r="V944" s="209"/>
      <c r="W944" s="123">
        <v>1080</v>
      </c>
      <c r="X944" s="19"/>
    </row>
    <row r="945" spans="2:25" ht="14.25" thickBot="1" x14ac:dyDescent="0.2">
      <c r="B945" s="18"/>
      <c r="C945" s="28" t="s">
        <v>6</v>
      </c>
      <c r="D945" s="17" t="s">
        <v>5</v>
      </c>
      <c r="E945" s="38" t="s">
        <v>4</v>
      </c>
      <c r="F945" s="28" t="s">
        <v>6</v>
      </c>
      <c r="G945" s="17" t="s">
        <v>5</v>
      </c>
      <c r="H945" s="38" t="s">
        <v>4</v>
      </c>
      <c r="I945" s="28" t="s">
        <v>6</v>
      </c>
      <c r="J945" s="17" t="s">
        <v>5</v>
      </c>
      <c r="K945" s="38" t="s">
        <v>4</v>
      </c>
      <c r="L945" s="17" t="s">
        <v>4</v>
      </c>
      <c r="N945" s="18"/>
      <c r="O945" s="28" t="s">
        <v>6</v>
      </c>
      <c r="P945" s="17" t="s">
        <v>5</v>
      </c>
      <c r="Q945" s="38" t="s">
        <v>4</v>
      </c>
      <c r="R945" s="28" t="s">
        <v>6</v>
      </c>
      <c r="S945" s="17" t="s">
        <v>5</v>
      </c>
      <c r="T945" s="38" t="s">
        <v>4</v>
      </c>
      <c r="U945" s="28" t="s">
        <v>6</v>
      </c>
      <c r="V945" s="17" t="s">
        <v>5</v>
      </c>
      <c r="W945" s="38" t="s">
        <v>4</v>
      </c>
      <c r="X945" s="17" t="s">
        <v>4</v>
      </c>
    </row>
    <row r="946" spans="2:25" x14ac:dyDescent="0.15">
      <c r="B946" s="66" t="s">
        <v>0</v>
      </c>
      <c r="C946" s="67">
        <f>C938</f>
        <v>53</v>
      </c>
      <c r="D946" s="68">
        <f t="shared" ref="D946:K946" si="1353">D938</f>
        <v>15</v>
      </c>
      <c r="E946" s="69">
        <f t="shared" si="1353"/>
        <v>68</v>
      </c>
      <c r="F946" s="67">
        <f t="shared" si="1353"/>
        <v>15</v>
      </c>
      <c r="G946" s="68">
        <f t="shared" si="1353"/>
        <v>10</v>
      </c>
      <c r="H946" s="69">
        <f t="shared" si="1353"/>
        <v>25</v>
      </c>
      <c r="I946" s="67">
        <f t="shared" si="1353"/>
        <v>34</v>
      </c>
      <c r="J946" s="68">
        <f t="shared" si="1353"/>
        <v>9</v>
      </c>
      <c r="K946" s="69">
        <f t="shared" si="1353"/>
        <v>43</v>
      </c>
      <c r="L946" s="70">
        <f>SUM(K946,H946,E946)</f>
        <v>136</v>
      </c>
      <c r="N946" s="66" t="s">
        <v>0</v>
      </c>
      <c r="O946" s="72">
        <f>O938</f>
        <v>663</v>
      </c>
      <c r="P946" s="80">
        <f t="shared" ref="P946:X946" si="1354">P938</f>
        <v>685</v>
      </c>
      <c r="Q946" s="69">
        <f t="shared" si="1354"/>
        <v>1348</v>
      </c>
      <c r="R946" s="72">
        <f t="shared" si="1354"/>
        <v>448</v>
      </c>
      <c r="S946" s="80">
        <f t="shared" si="1354"/>
        <v>508</v>
      </c>
      <c r="T946" s="69">
        <f t="shared" si="1354"/>
        <v>956</v>
      </c>
      <c r="U946" s="72">
        <f t="shared" si="1354"/>
        <v>324</v>
      </c>
      <c r="V946" s="80">
        <f t="shared" si="1354"/>
        <v>310</v>
      </c>
      <c r="W946" s="69">
        <f t="shared" si="1354"/>
        <v>634</v>
      </c>
      <c r="X946" s="70">
        <f t="shared" si="1354"/>
        <v>2938</v>
      </c>
    </row>
    <row r="947" spans="2:25" x14ac:dyDescent="0.15">
      <c r="B947" s="55" t="s">
        <v>57</v>
      </c>
      <c r="C947" s="30"/>
      <c r="D947" s="25"/>
      <c r="E947" s="40">
        <f t="shared" ref="E947:E948" si="1355">SUM(C947:D947)</f>
        <v>0</v>
      </c>
      <c r="F947" s="35"/>
      <c r="G947" s="8"/>
      <c r="H947" s="40">
        <f t="shared" ref="H947:H979" si="1356">SUM(F947:G947)</f>
        <v>0</v>
      </c>
      <c r="I947" s="35"/>
      <c r="J947" s="8">
        <v>1</v>
      </c>
      <c r="K947" s="40">
        <f t="shared" ref="K947:K979" si="1357">SUM(I947:J947)</f>
        <v>1</v>
      </c>
      <c r="L947" s="9">
        <f t="shared" ref="L947:L979" si="1358">SUM(K947,H947,E947)</f>
        <v>1</v>
      </c>
      <c r="M947" s="53">
        <v>45924</v>
      </c>
      <c r="N947" s="55" t="s">
        <v>3</v>
      </c>
      <c r="O947" s="62"/>
      <c r="P947" s="81"/>
      <c r="Q947" s="40">
        <f t="shared" ref="Q947:Q951" si="1359">SUM(O947:P947)</f>
        <v>0</v>
      </c>
      <c r="R947" s="78"/>
      <c r="S947" s="82"/>
      <c r="T947" s="40">
        <f t="shared" ref="T947:T951" si="1360">SUM(R947:S947)</f>
        <v>0</v>
      </c>
      <c r="U947" s="78"/>
      <c r="V947" s="82"/>
      <c r="W947" s="40">
        <f t="shared" ref="W947:W951" si="1361">SUM(U947:V947)</f>
        <v>0</v>
      </c>
      <c r="X947" s="25">
        <f t="shared" ref="X947:X951" si="1362">SUM(W947,T947,Q947)</f>
        <v>0</v>
      </c>
    </row>
    <row r="948" spans="2:25" x14ac:dyDescent="0.15">
      <c r="B948" s="146" t="s">
        <v>3</v>
      </c>
      <c r="C948" s="147"/>
      <c r="D948" s="148"/>
      <c r="E948" s="149">
        <f t="shared" si="1355"/>
        <v>0</v>
      </c>
      <c r="F948" s="150"/>
      <c r="G948" s="151"/>
      <c r="H948" s="149">
        <f t="shared" si="1356"/>
        <v>0</v>
      </c>
      <c r="I948" s="150"/>
      <c r="J948" s="151">
        <v>5</v>
      </c>
      <c r="K948" s="149">
        <f t="shared" si="1357"/>
        <v>5</v>
      </c>
      <c r="L948" s="152">
        <f t="shared" si="1358"/>
        <v>5</v>
      </c>
      <c r="M948" s="153">
        <v>45938</v>
      </c>
      <c r="N948" s="55" t="s">
        <v>3</v>
      </c>
      <c r="O948" s="62"/>
      <c r="P948" s="81"/>
      <c r="Q948" s="40">
        <f t="shared" ref="Q948" si="1363">SUM(O948:P948)</f>
        <v>0</v>
      </c>
      <c r="R948" s="78"/>
      <c r="S948" s="82"/>
      <c r="T948" s="40">
        <f t="shared" ref="T948" si="1364">SUM(R948:S948)</f>
        <v>0</v>
      </c>
      <c r="U948" s="78"/>
      <c r="V948" s="82"/>
      <c r="W948" s="40">
        <f t="shared" ref="W948" si="1365">SUM(U948:V948)</f>
        <v>0</v>
      </c>
      <c r="X948" s="25">
        <f t="shared" ref="X948" si="1366">SUM(W948,T948,Q948)</f>
        <v>0</v>
      </c>
    </row>
    <row r="949" spans="2:25" x14ac:dyDescent="0.15">
      <c r="B949" s="55" t="s">
        <v>57</v>
      </c>
      <c r="C949" s="30"/>
      <c r="D949" s="25"/>
      <c r="E949" s="40">
        <f t="shared" ref="E949:E979" si="1367">SUM(C949:D949)</f>
        <v>0</v>
      </c>
      <c r="F949" s="35">
        <v>1</v>
      </c>
      <c r="G949" s="8"/>
      <c r="H949" s="40">
        <f t="shared" si="1356"/>
        <v>1</v>
      </c>
      <c r="I949" s="35"/>
      <c r="J949" s="8"/>
      <c r="K949" s="40">
        <f t="shared" si="1357"/>
        <v>0</v>
      </c>
      <c r="L949" s="9">
        <f t="shared" si="1358"/>
        <v>1</v>
      </c>
      <c r="M949" s="53">
        <v>45937</v>
      </c>
      <c r="N949" s="55" t="s">
        <v>494</v>
      </c>
      <c r="O949" s="78">
        <v>19</v>
      </c>
      <c r="P949" s="82">
        <v>28</v>
      </c>
      <c r="Q949" s="40">
        <f t="shared" si="1359"/>
        <v>47</v>
      </c>
      <c r="R949" s="78">
        <v>13</v>
      </c>
      <c r="S949" s="82">
        <v>21</v>
      </c>
      <c r="T949" s="40">
        <f t="shared" si="1360"/>
        <v>34</v>
      </c>
      <c r="U949" s="78">
        <v>10</v>
      </c>
      <c r="V949" s="82">
        <v>23</v>
      </c>
      <c r="W949" s="40">
        <f t="shared" si="1361"/>
        <v>33</v>
      </c>
      <c r="X949" s="25">
        <f t="shared" si="1362"/>
        <v>114</v>
      </c>
      <c r="Y949" s="53">
        <v>45947</v>
      </c>
    </row>
    <row r="950" spans="2:25" x14ac:dyDescent="0.15">
      <c r="B950" s="55" t="s">
        <v>318</v>
      </c>
      <c r="C950" s="30">
        <v>7</v>
      </c>
      <c r="D950" s="25">
        <v>12</v>
      </c>
      <c r="E950" s="40">
        <f t="shared" si="1367"/>
        <v>19</v>
      </c>
      <c r="F950" s="35">
        <v>5</v>
      </c>
      <c r="G950" s="8">
        <v>12</v>
      </c>
      <c r="H950" s="40">
        <f t="shared" si="1356"/>
        <v>17</v>
      </c>
      <c r="I950" s="35">
        <v>11</v>
      </c>
      <c r="J950" s="8">
        <v>5</v>
      </c>
      <c r="K950" s="40">
        <f t="shared" si="1357"/>
        <v>16</v>
      </c>
      <c r="L950" s="9">
        <f t="shared" si="1358"/>
        <v>52</v>
      </c>
      <c r="M950" s="53">
        <v>45945</v>
      </c>
      <c r="N950" s="55" t="s">
        <v>507</v>
      </c>
      <c r="O950" s="62">
        <v>14</v>
      </c>
      <c r="P950" s="81">
        <v>5</v>
      </c>
      <c r="Q950" s="40">
        <f t="shared" si="1359"/>
        <v>19</v>
      </c>
      <c r="R950" s="78">
        <v>8</v>
      </c>
      <c r="S950" s="82">
        <v>11</v>
      </c>
      <c r="T950" s="40">
        <f t="shared" si="1360"/>
        <v>19</v>
      </c>
      <c r="U950" s="78">
        <v>12</v>
      </c>
      <c r="V950" s="82">
        <v>6</v>
      </c>
      <c r="W950" s="40">
        <f t="shared" si="1361"/>
        <v>18</v>
      </c>
      <c r="X950" s="25">
        <f t="shared" si="1362"/>
        <v>56</v>
      </c>
      <c r="Y950" s="53">
        <v>45947</v>
      </c>
    </row>
    <row r="951" spans="2:25" ht="14.25" thickBot="1" x14ac:dyDescent="0.2">
      <c r="B951" s="55" t="s">
        <v>222</v>
      </c>
      <c r="C951" s="76"/>
      <c r="D951" s="83"/>
      <c r="E951" s="41">
        <f t="shared" si="1367"/>
        <v>0</v>
      </c>
      <c r="F951" s="76"/>
      <c r="G951" s="83">
        <v>2</v>
      </c>
      <c r="H951" s="41">
        <f t="shared" si="1356"/>
        <v>2</v>
      </c>
      <c r="I951" s="76">
        <v>2</v>
      </c>
      <c r="J951" s="83"/>
      <c r="K951" s="41">
        <f t="shared" si="1357"/>
        <v>2</v>
      </c>
      <c r="L951" s="77">
        <f t="shared" si="1358"/>
        <v>4</v>
      </c>
      <c r="M951" s="53">
        <v>45945</v>
      </c>
      <c r="N951" s="75" t="s">
        <v>517</v>
      </c>
      <c r="O951" s="76">
        <v>7</v>
      </c>
      <c r="P951" s="83"/>
      <c r="Q951" s="41">
        <f t="shared" si="1359"/>
        <v>7</v>
      </c>
      <c r="R951" s="76">
        <v>5</v>
      </c>
      <c r="S951" s="83">
        <v>12</v>
      </c>
      <c r="T951" s="41">
        <f t="shared" si="1360"/>
        <v>17</v>
      </c>
      <c r="U951" s="76">
        <v>11</v>
      </c>
      <c r="V951" s="83">
        <v>5</v>
      </c>
      <c r="W951" s="41">
        <f t="shared" si="1361"/>
        <v>16</v>
      </c>
      <c r="X951" s="77">
        <f t="shared" si="1362"/>
        <v>40</v>
      </c>
      <c r="Y951" s="53">
        <v>45948</v>
      </c>
    </row>
    <row r="952" spans="2:25" ht="14.25" thickBot="1" x14ac:dyDescent="0.2">
      <c r="B952" s="5" t="s">
        <v>2</v>
      </c>
      <c r="C952" s="32">
        <f>SUM(C946:C951)</f>
        <v>60</v>
      </c>
      <c r="D952" s="19">
        <f>SUM(D946:D951)</f>
        <v>27</v>
      </c>
      <c r="E952" s="42">
        <f t="shared" si="1367"/>
        <v>87</v>
      </c>
      <c r="F952" s="32">
        <f>SUM(F946:F951)</f>
        <v>21</v>
      </c>
      <c r="G952" s="19">
        <f>SUM(G946:G951)</f>
        <v>24</v>
      </c>
      <c r="H952" s="42">
        <f t="shared" si="1356"/>
        <v>45</v>
      </c>
      <c r="I952" s="32">
        <f>SUM(I946:I951)</f>
        <v>47</v>
      </c>
      <c r="J952" s="19">
        <f>SUM(J946:J951)</f>
        <v>20</v>
      </c>
      <c r="K952" s="42">
        <f t="shared" si="1357"/>
        <v>67</v>
      </c>
      <c r="L952" s="13">
        <f t="shared" si="1358"/>
        <v>199</v>
      </c>
      <c r="N952" s="63" t="s">
        <v>2</v>
      </c>
      <c r="O952" s="32">
        <f>SUM(O946:O951)</f>
        <v>703</v>
      </c>
      <c r="P952" s="19">
        <f t="shared" ref="P952:X952" si="1368">SUM(P946:P951)</f>
        <v>718</v>
      </c>
      <c r="Q952" s="42">
        <f t="shared" si="1368"/>
        <v>1421</v>
      </c>
      <c r="R952" s="32">
        <f t="shared" si="1368"/>
        <v>474</v>
      </c>
      <c r="S952" s="19">
        <f t="shared" si="1368"/>
        <v>552</v>
      </c>
      <c r="T952" s="42">
        <f t="shared" si="1368"/>
        <v>1026</v>
      </c>
      <c r="U952" s="32">
        <f t="shared" si="1368"/>
        <v>357</v>
      </c>
      <c r="V952" s="19">
        <f t="shared" si="1368"/>
        <v>344</v>
      </c>
      <c r="W952" s="42">
        <f t="shared" si="1368"/>
        <v>701</v>
      </c>
      <c r="X952" s="13">
        <f t="shared" si="1368"/>
        <v>3148</v>
      </c>
    </row>
    <row r="953" spans="2:25" x14ac:dyDescent="0.15">
      <c r="B953" s="7" t="s">
        <v>505</v>
      </c>
      <c r="C953" s="30"/>
      <c r="D953" s="25">
        <v>2</v>
      </c>
      <c r="E953" s="43">
        <f t="shared" ref="E953:E975" si="1369">SUM(C953:D953)</f>
        <v>2</v>
      </c>
      <c r="F953" s="35"/>
      <c r="G953" s="8"/>
      <c r="H953" s="43">
        <f t="shared" ref="H953:H975" si="1370">SUM(F953:G953)</f>
        <v>0</v>
      </c>
      <c r="I953" s="35"/>
      <c r="J953" s="8"/>
      <c r="K953" s="43">
        <f t="shared" ref="K953:K975" si="1371">SUM(I953:J953)</f>
        <v>0</v>
      </c>
      <c r="L953" s="8">
        <f t="shared" ref="L953:L975" si="1372">SUM(K953,H953,E953)</f>
        <v>2</v>
      </c>
      <c r="M953" s="53">
        <v>45926</v>
      </c>
      <c r="N953" s="7" t="s">
        <v>509</v>
      </c>
      <c r="O953" s="30"/>
      <c r="P953" s="25"/>
      <c r="Q953" s="43">
        <f t="shared" ref="Q953:Q957" si="1373">SUM(O953:P953)</f>
        <v>0</v>
      </c>
      <c r="R953" s="35"/>
      <c r="S953" s="8"/>
      <c r="T953" s="43">
        <f t="shared" ref="T953:T957" si="1374">SUM(R953:S953)</f>
        <v>0</v>
      </c>
      <c r="U953" s="35"/>
      <c r="V953" s="8">
        <v>5</v>
      </c>
      <c r="W953" s="43">
        <f t="shared" ref="W953:W957" si="1375">SUM(U953:V953)</f>
        <v>5</v>
      </c>
      <c r="X953" s="8">
        <f t="shared" ref="X953:X957" si="1376">SUM(W953,T953,Q953)</f>
        <v>5</v>
      </c>
      <c r="Y953" s="53">
        <v>45938</v>
      </c>
    </row>
    <row r="954" spans="2:25" x14ac:dyDescent="0.15">
      <c r="B954" s="7" t="s">
        <v>12</v>
      </c>
      <c r="C954" s="30"/>
      <c r="D954" s="25"/>
      <c r="E954" s="43">
        <f t="shared" si="1369"/>
        <v>0</v>
      </c>
      <c r="F954" s="35"/>
      <c r="G954" s="8"/>
      <c r="H954" s="43">
        <f t="shared" si="1370"/>
        <v>0</v>
      </c>
      <c r="I954" s="35"/>
      <c r="J954" s="8">
        <v>3</v>
      </c>
      <c r="K954" s="43">
        <f t="shared" si="1371"/>
        <v>3</v>
      </c>
      <c r="L954" s="8">
        <f t="shared" si="1372"/>
        <v>3</v>
      </c>
      <c r="M954" s="53">
        <v>45924</v>
      </c>
      <c r="N954" s="7" t="s">
        <v>28</v>
      </c>
      <c r="O954" s="30"/>
      <c r="P954" s="25"/>
      <c r="Q954" s="43">
        <f t="shared" si="1373"/>
        <v>0</v>
      </c>
      <c r="R954" s="35"/>
      <c r="S954" s="8"/>
      <c r="T954" s="43">
        <f t="shared" si="1374"/>
        <v>0</v>
      </c>
      <c r="U954" s="35"/>
      <c r="V954" s="8">
        <v>5</v>
      </c>
      <c r="W954" s="43">
        <f t="shared" si="1375"/>
        <v>5</v>
      </c>
      <c r="X954" s="8">
        <f t="shared" si="1376"/>
        <v>5</v>
      </c>
      <c r="Y954" s="53">
        <v>45966</v>
      </c>
    </row>
    <row r="955" spans="2:25" x14ac:dyDescent="0.15">
      <c r="B955" s="7" t="s">
        <v>506</v>
      </c>
      <c r="C955" s="30"/>
      <c r="D955" s="25">
        <v>2</v>
      </c>
      <c r="E955" s="43">
        <f t="shared" si="1369"/>
        <v>2</v>
      </c>
      <c r="F955" s="35">
        <v>1</v>
      </c>
      <c r="G955" s="8"/>
      <c r="H955" s="43">
        <f t="shared" si="1370"/>
        <v>1</v>
      </c>
      <c r="I955" s="35"/>
      <c r="J955" s="8"/>
      <c r="K955" s="43">
        <f t="shared" si="1371"/>
        <v>0</v>
      </c>
      <c r="L955" s="8">
        <f t="shared" si="1372"/>
        <v>3</v>
      </c>
      <c r="M955" s="53">
        <v>45931</v>
      </c>
      <c r="N955" s="155" t="s">
        <v>28</v>
      </c>
      <c r="O955" s="147"/>
      <c r="P955" s="148"/>
      <c r="Q955" s="156">
        <f t="shared" si="1373"/>
        <v>0</v>
      </c>
      <c r="R955" s="150"/>
      <c r="S955" s="151"/>
      <c r="T955" s="156">
        <f t="shared" si="1374"/>
        <v>0</v>
      </c>
      <c r="U955" s="150"/>
      <c r="V955" s="151">
        <v>5</v>
      </c>
      <c r="W955" s="156">
        <f t="shared" si="1375"/>
        <v>5</v>
      </c>
      <c r="X955" s="151">
        <f t="shared" si="1376"/>
        <v>5</v>
      </c>
      <c r="Y955" s="153">
        <v>46044</v>
      </c>
    </row>
    <row r="956" spans="2:25" x14ac:dyDescent="0.15">
      <c r="B956" s="7" t="s">
        <v>331</v>
      </c>
      <c r="C956" s="30"/>
      <c r="D956" s="25"/>
      <c r="E956" s="43">
        <f t="shared" si="1369"/>
        <v>0</v>
      </c>
      <c r="F956" s="35"/>
      <c r="G956" s="8"/>
      <c r="H956" s="43">
        <f t="shared" si="1370"/>
        <v>0</v>
      </c>
      <c r="I956" s="35"/>
      <c r="J956" s="8">
        <v>1</v>
      </c>
      <c r="K956" s="43">
        <f t="shared" si="1371"/>
        <v>1</v>
      </c>
      <c r="L956" s="8">
        <f t="shared" si="1372"/>
        <v>1</v>
      </c>
      <c r="M956" s="53">
        <v>45932</v>
      </c>
      <c r="N956" s="7"/>
      <c r="O956" s="33"/>
      <c r="P956" s="27"/>
      <c r="Q956" s="43">
        <f t="shared" si="1373"/>
        <v>0</v>
      </c>
      <c r="R956" s="37"/>
      <c r="S956" s="10"/>
      <c r="T956" s="43">
        <f t="shared" si="1374"/>
        <v>0</v>
      </c>
      <c r="U956" s="37"/>
      <c r="V956" s="10"/>
      <c r="W956" s="43">
        <f t="shared" si="1375"/>
        <v>0</v>
      </c>
      <c r="X956" s="8">
        <f t="shared" si="1376"/>
        <v>0</v>
      </c>
    </row>
    <row r="957" spans="2:25" x14ac:dyDescent="0.15">
      <c r="B957" s="7" t="s">
        <v>12</v>
      </c>
      <c r="C957" s="30"/>
      <c r="D957" s="25"/>
      <c r="E957" s="43">
        <f t="shared" si="1369"/>
        <v>0</v>
      </c>
      <c r="F957" s="35"/>
      <c r="G957" s="8">
        <v>3</v>
      </c>
      <c r="H957" s="43">
        <f t="shared" si="1370"/>
        <v>3</v>
      </c>
      <c r="I957" s="35"/>
      <c r="J957" s="8"/>
      <c r="K957" s="43">
        <f t="shared" si="1371"/>
        <v>0</v>
      </c>
      <c r="L957" s="8">
        <f t="shared" si="1372"/>
        <v>3</v>
      </c>
      <c r="M957" s="53">
        <v>45930</v>
      </c>
      <c r="N957" s="7"/>
      <c r="O957" s="33"/>
      <c r="P957" s="27"/>
      <c r="Q957" s="43">
        <f t="shared" si="1373"/>
        <v>0</v>
      </c>
      <c r="R957" s="37"/>
      <c r="S957" s="10"/>
      <c r="T957" s="43">
        <f t="shared" si="1374"/>
        <v>0</v>
      </c>
      <c r="U957" s="37"/>
      <c r="V957" s="10"/>
      <c r="W957" s="43">
        <f t="shared" si="1375"/>
        <v>0</v>
      </c>
      <c r="X957" s="8">
        <f t="shared" si="1376"/>
        <v>0</v>
      </c>
    </row>
    <row r="958" spans="2:25" x14ac:dyDescent="0.15">
      <c r="B958" s="7" t="s">
        <v>508</v>
      </c>
      <c r="C958" s="30"/>
      <c r="D958" s="25">
        <v>2</v>
      </c>
      <c r="E958" s="43">
        <f t="shared" si="1369"/>
        <v>2</v>
      </c>
      <c r="F958" s="35"/>
      <c r="G958" s="8"/>
      <c r="H958" s="43">
        <f t="shared" si="1370"/>
        <v>0</v>
      </c>
      <c r="I958" s="35"/>
      <c r="J958" s="8">
        <v>2</v>
      </c>
      <c r="K958" s="43">
        <f t="shared" si="1371"/>
        <v>2</v>
      </c>
      <c r="L958" s="8">
        <f t="shared" si="1372"/>
        <v>4</v>
      </c>
      <c r="M958" s="53">
        <v>45936</v>
      </c>
      <c r="N958" s="7"/>
      <c r="O958" s="33"/>
      <c r="P958" s="27"/>
      <c r="Q958" s="43">
        <f t="shared" ref="Q958:Q975" si="1377">SUM(O958:P958)</f>
        <v>0</v>
      </c>
      <c r="R958" s="37"/>
      <c r="S958" s="10"/>
      <c r="T958" s="43">
        <f t="shared" ref="T958:T975" si="1378">SUM(R958:S958)</f>
        <v>0</v>
      </c>
      <c r="U958" s="37"/>
      <c r="V958" s="10"/>
      <c r="W958" s="43">
        <f t="shared" ref="W958:W975" si="1379">SUM(U958:V958)</f>
        <v>0</v>
      </c>
      <c r="X958" s="8">
        <f t="shared" ref="X958:X975" si="1380">SUM(W958,T958,Q958)</f>
        <v>0</v>
      </c>
    </row>
    <row r="959" spans="2:25" x14ac:dyDescent="0.15">
      <c r="B959" s="7" t="s">
        <v>334</v>
      </c>
      <c r="C959" s="30">
        <v>1</v>
      </c>
      <c r="D959" s="25"/>
      <c r="E959" s="43">
        <f t="shared" si="1369"/>
        <v>1</v>
      </c>
      <c r="F959" s="35"/>
      <c r="G959" s="8"/>
      <c r="H959" s="43">
        <f t="shared" si="1370"/>
        <v>0</v>
      </c>
      <c r="I959" s="35"/>
      <c r="J959" s="8"/>
      <c r="K959" s="43">
        <f t="shared" si="1371"/>
        <v>0</v>
      </c>
      <c r="L959" s="8">
        <f t="shared" si="1372"/>
        <v>1</v>
      </c>
      <c r="M959" s="53">
        <v>45938</v>
      </c>
      <c r="N959" s="7"/>
      <c r="O959" s="33"/>
      <c r="P959" s="27"/>
      <c r="Q959" s="43">
        <f t="shared" si="1377"/>
        <v>0</v>
      </c>
      <c r="R959" s="37"/>
      <c r="S959" s="10"/>
      <c r="T959" s="43">
        <f t="shared" si="1378"/>
        <v>0</v>
      </c>
      <c r="U959" s="37"/>
      <c r="V959" s="10"/>
      <c r="W959" s="43">
        <f t="shared" si="1379"/>
        <v>0</v>
      </c>
      <c r="X959" s="8">
        <f t="shared" si="1380"/>
        <v>0</v>
      </c>
    </row>
    <row r="960" spans="2:25" x14ac:dyDescent="0.15">
      <c r="B960" s="7" t="s">
        <v>12</v>
      </c>
      <c r="C960" s="30">
        <v>1</v>
      </c>
      <c r="D960" s="25"/>
      <c r="E960" s="43">
        <f t="shared" si="1369"/>
        <v>1</v>
      </c>
      <c r="F960" s="35"/>
      <c r="G960" s="8"/>
      <c r="H960" s="43">
        <f t="shared" si="1370"/>
        <v>0</v>
      </c>
      <c r="I960" s="35"/>
      <c r="J960" s="8"/>
      <c r="K960" s="43">
        <f t="shared" si="1371"/>
        <v>0</v>
      </c>
      <c r="L960" s="8">
        <f t="shared" si="1372"/>
        <v>1</v>
      </c>
      <c r="M960" s="53">
        <v>45936</v>
      </c>
      <c r="N960" s="7"/>
      <c r="O960" s="33"/>
      <c r="P960" s="27"/>
      <c r="Q960" s="43">
        <f t="shared" si="1377"/>
        <v>0</v>
      </c>
      <c r="R960" s="37"/>
      <c r="S960" s="10"/>
      <c r="T960" s="43">
        <f t="shared" si="1378"/>
        <v>0</v>
      </c>
      <c r="U960" s="37"/>
      <c r="V960" s="10"/>
      <c r="W960" s="43">
        <f t="shared" si="1379"/>
        <v>0</v>
      </c>
      <c r="X960" s="8">
        <f t="shared" si="1380"/>
        <v>0</v>
      </c>
    </row>
    <row r="961" spans="2:24" x14ac:dyDescent="0.15">
      <c r="B961" s="7" t="s">
        <v>510</v>
      </c>
      <c r="C961" s="30"/>
      <c r="D961" s="25"/>
      <c r="E961" s="43">
        <f t="shared" si="1369"/>
        <v>0</v>
      </c>
      <c r="F961" s="35"/>
      <c r="G961" s="8"/>
      <c r="H961" s="43">
        <f t="shared" si="1370"/>
        <v>0</v>
      </c>
      <c r="I961" s="35"/>
      <c r="J961" s="8">
        <v>1</v>
      </c>
      <c r="K961" s="43">
        <f t="shared" si="1371"/>
        <v>1</v>
      </c>
      <c r="L961" s="8">
        <f t="shared" si="1372"/>
        <v>1</v>
      </c>
      <c r="M961" s="53">
        <v>45940</v>
      </c>
      <c r="N961" s="7"/>
      <c r="O961" s="33"/>
      <c r="P961" s="27"/>
      <c r="Q961" s="43">
        <f t="shared" si="1377"/>
        <v>0</v>
      </c>
      <c r="R961" s="37"/>
      <c r="S961" s="10"/>
      <c r="T961" s="43">
        <f t="shared" si="1378"/>
        <v>0</v>
      </c>
      <c r="U961" s="37"/>
      <c r="V961" s="10"/>
      <c r="W961" s="43">
        <f t="shared" si="1379"/>
        <v>0</v>
      </c>
      <c r="X961" s="8">
        <f t="shared" si="1380"/>
        <v>0</v>
      </c>
    </row>
    <row r="962" spans="2:24" x14ac:dyDescent="0.15">
      <c r="B962" s="7" t="s">
        <v>511</v>
      </c>
      <c r="C962" s="30"/>
      <c r="D962" s="25"/>
      <c r="E962" s="43">
        <f t="shared" si="1369"/>
        <v>0</v>
      </c>
      <c r="F962" s="35"/>
      <c r="G962" s="8"/>
      <c r="H962" s="43">
        <f t="shared" si="1370"/>
        <v>0</v>
      </c>
      <c r="I962" s="35"/>
      <c r="J962" s="8">
        <v>1</v>
      </c>
      <c r="K962" s="43">
        <f t="shared" si="1371"/>
        <v>1</v>
      </c>
      <c r="L962" s="8">
        <f t="shared" si="1372"/>
        <v>1</v>
      </c>
      <c r="M962" s="53">
        <v>45940</v>
      </c>
      <c r="N962" s="7"/>
      <c r="O962" s="33"/>
      <c r="P962" s="27"/>
      <c r="Q962" s="43">
        <f t="shared" si="1377"/>
        <v>0</v>
      </c>
      <c r="R962" s="37"/>
      <c r="S962" s="10"/>
      <c r="T962" s="43">
        <f t="shared" si="1378"/>
        <v>0</v>
      </c>
      <c r="U962" s="37"/>
      <c r="V962" s="10"/>
      <c r="W962" s="43">
        <f t="shared" si="1379"/>
        <v>0</v>
      </c>
      <c r="X962" s="8">
        <f t="shared" si="1380"/>
        <v>0</v>
      </c>
    </row>
    <row r="963" spans="2:24" x14ac:dyDescent="0.15">
      <c r="B963" s="7" t="s">
        <v>512</v>
      </c>
      <c r="C963" s="30"/>
      <c r="D963" s="25"/>
      <c r="E963" s="43">
        <f t="shared" si="1369"/>
        <v>0</v>
      </c>
      <c r="F963" s="35"/>
      <c r="G963" s="8"/>
      <c r="H963" s="43">
        <f t="shared" si="1370"/>
        <v>0</v>
      </c>
      <c r="I963" s="35">
        <v>2</v>
      </c>
      <c r="J963" s="8"/>
      <c r="K963" s="43">
        <f t="shared" si="1371"/>
        <v>2</v>
      </c>
      <c r="L963" s="8">
        <f t="shared" si="1372"/>
        <v>2</v>
      </c>
      <c r="M963" s="53">
        <v>45940</v>
      </c>
      <c r="N963" s="7"/>
      <c r="O963" s="33"/>
      <c r="P963" s="27"/>
      <c r="Q963" s="43">
        <f t="shared" si="1377"/>
        <v>0</v>
      </c>
      <c r="R963" s="37"/>
      <c r="S963" s="10"/>
      <c r="T963" s="43">
        <f t="shared" si="1378"/>
        <v>0</v>
      </c>
      <c r="U963" s="37"/>
      <c r="V963" s="10"/>
      <c r="W963" s="43">
        <f t="shared" si="1379"/>
        <v>0</v>
      </c>
      <c r="X963" s="8">
        <f t="shared" si="1380"/>
        <v>0</v>
      </c>
    </row>
    <row r="964" spans="2:24" x14ac:dyDescent="0.15">
      <c r="B964" s="7" t="s">
        <v>513</v>
      </c>
      <c r="C964" s="30">
        <v>1</v>
      </c>
      <c r="D964" s="25"/>
      <c r="E964" s="43">
        <f t="shared" si="1369"/>
        <v>1</v>
      </c>
      <c r="F964" s="35"/>
      <c r="G964" s="8"/>
      <c r="H964" s="43">
        <f t="shared" si="1370"/>
        <v>0</v>
      </c>
      <c r="I964" s="35"/>
      <c r="J964" s="8"/>
      <c r="K964" s="43">
        <f t="shared" si="1371"/>
        <v>0</v>
      </c>
      <c r="L964" s="8">
        <f t="shared" si="1372"/>
        <v>1</v>
      </c>
      <c r="M964" s="53">
        <v>45944</v>
      </c>
      <c r="N964" s="7"/>
      <c r="O964" s="33"/>
      <c r="P964" s="27"/>
      <c r="Q964" s="43">
        <f t="shared" si="1377"/>
        <v>0</v>
      </c>
      <c r="R964" s="37"/>
      <c r="S964" s="10"/>
      <c r="T964" s="43">
        <f t="shared" si="1378"/>
        <v>0</v>
      </c>
      <c r="U964" s="37"/>
      <c r="V964" s="10"/>
      <c r="W964" s="43">
        <f t="shared" si="1379"/>
        <v>0</v>
      </c>
      <c r="X964" s="8">
        <f t="shared" si="1380"/>
        <v>0</v>
      </c>
    </row>
    <row r="965" spans="2:24" x14ac:dyDescent="0.15">
      <c r="B965" s="7" t="s">
        <v>514</v>
      </c>
      <c r="C965" s="30"/>
      <c r="D965" s="25"/>
      <c r="E965" s="43">
        <f t="shared" si="1369"/>
        <v>0</v>
      </c>
      <c r="F965" s="35"/>
      <c r="G965" s="8"/>
      <c r="H965" s="43">
        <f t="shared" si="1370"/>
        <v>0</v>
      </c>
      <c r="I965" s="35"/>
      <c r="J965" s="8">
        <v>1</v>
      </c>
      <c r="K965" s="43">
        <f t="shared" si="1371"/>
        <v>1</v>
      </c>
      <c r="L965" s="8">
        <f t="shared" si="1372"/>
        <v>1</v>
      </c>
      <c r="M965" s="53">
        <v>45947</v>
      </c>
      <c r="N965" s="7"/>
      <c r="O965" s="30"/>
      <c r="P965" s="25"/>
      <c r="Q965" s="43">
        <f t="shared" si="1377"/>
        <v>0</v>
      </c>
      <c r="R965" s="35"/>
      <c r="S965" s="8"/>
      <c r="T965" s="43">
        <f t="shared" si="1378"/>
        <v>0</v>
      </c>
      <c r="U965" s="35"/>
      <c r="V965" s="8"/>
      <c r="W965" s="43">
        <f t="shared" si="1379"/>
        <v>0</v>
      </c>
      <c r="X965" s="8">
        <f t="shared" si="1380"/>
        <v>0</v>
      </c>
    </row>
    <row r="966" spans="2:24" x14ac:dyDescent="0.15">
      <c r="B966" s="7" t="s">
        <v>12</v>
      </c>
      <c r="C966" s="30"/>
      <c r="D966" s="25"/>
      <c r="E966" s="43">
        <f t="shared" si="1369"/>
        <v>0</v>
      </c>
      <c r="F966" s="35"/>
      <c r="G966" s="8">
        <v>1</v>
      </c>
      <c r="H966" s="43">
        <f t="shared" si="1370"/>
        <v>1</v>
      </c>
      <c r="I966" s="35"/>
      <c r="J966" s="8">
        <v>1</v>
      </c>
      <c r="K966" s="43">
        <f t="shared" si="1371"/>
        <v>1</v>
      </c>
      <c r="L966" s="8">
        <f t="shared" si="1372"/>
        <v>2</v>
      </c>
      <c r="M966" s="53">
        <v>45946</v>
      </c>
      <c r="N966" s="7"/>
      <c r="O966" s="33"/>
      <c r="P966" s="27"/>
      <c r="Q966" s="43">
        <f t="shared" si="1377"/>
        <v>0</v>
      </c>
      <c r="R966" s="37"/>
      <c r="S966" s="10"/>
      <c r="T966" s="43">
        <f t="shared" si="1378"/>
        <v>0</v>
      </c>
      <c r="U966" s="37"/>
      <c r="V966" s="10"/>
      <c r="W966" s="43">
        <f t="shared" si="1379"/>
        <v>0</v>
      </c>
      <c r="X966" s="8">
        <f t="shared" si="1380"/>
        <v>0</v>
      </c>
    </row>
    <row r="967" spans="2:24" x14ac:dyDescent="0.15">
      <c r="B967" s="7" t="s">
        <v>515</v>
      </c>
      <c r="C967" s="30"/>
      <c r="D967" s="25"/>
      <c r="E967" s="43">
        <f t="shared" si="1369"/>
        <v>0</v>
      </c>
      <c r="F967" s="35">
        <v>2</v>
      </c>
      <c r="G967" s="8"/>
      <c r="H967" s="43">
        <f t="shared" si="1370"/>
        <v>2</v>
      </c>
      <c r="I967" s="35"/>
      <c r="J967" s="8"/>
      <c r="K967" s="43">
        <f t="shared" si="1371"/>
        <v>0</v>
      </c>
      <c r="L967" s="8">
        <f t="shared" si="1372"/>
        <v>2</v>
      </c>
      <c r="M967" s="53">
        <v>45950</v>
      </c>
      <c r="N967" s="7"/>
      <c r="O967" s="33"/>
      <c r="P967" s="27"/>
      <c r="Q967" s="43">
        <f t="shared" si="1377"/>
        <v>0</v>
      </c>
      <c r="R967" s="37"/>
      <c r="S967" s="10"/>
      <c r="T967" s="43">
        <f t="shared" si="1378"/>
        <v>0</v>
      </c>
      <c r="U967" s="37"/>
      <c r="V967" s="10"/>
      <c r="W967" s="43">
        <f t="shared" si="1379"/>
        <v>0</v>
      </c>
      <c r="X967" s="8">
        <f t="shared" si="1380"/>
        <v>0</v>
      </c>
    </row>
    <row r="968" spans="2:24" x14ac:dyDescent="0.15">
      <c r="B968" s="7" t="s">
        <v>516</v>
      </c>
      <c r="C968" s="30">
        <v>7</v>
      </c>
      <c r="D968" s="25"/>
      <c r="E968" s="43">
        <f t="shared" si="1369"/>
        <v>7</v>
      </c>
      <c r="F968" s="35">
        <v>5</v>
      </c>
      <c r="G968" s="8">
        <v>12</v>
      </c>
      <c r="H968" s="43">
        <f t="shared" si="1370"/>
        <v>17</v>
      </c>
      <c r="I968" s="35">
        <v>11</v>
      </c>
      <c r="J968" s="8">
        <v>5</v>
      </c>
      <c r="K968" s="43">
        <f t="shared" si="1371"/>
        <v>16</v>
      </c>
      <c r="L968" s="8">
        <f t="shared" si="1372"/>
        <v>40</v>
      </c>
      <c r="M968" s="53">
        <v>45948</v>
      </c>
      <c r="N968" s="7"/>
      <c r="O968" s="33"/>
      <c r="P968" s="27"/>
      <c r="Q968" s="43">
        <f t="shared" si="1377"/>
        <v>0</v>
      </c>
      <c r="R968" s="37"/>
      <c r="S968" s="10"/>
      <c r="T968" s="43">
        <f t="shared" si="1378"/>
        <v>0</v>
      </c>
      <c r="U968" s="37"/>
      <c r="V968" s="10"/>
      <c r="W968" s="43">
        <f t="shared" si="1379"/>
        <v>0</v>
      </c>
      <c r="X968" s="8">
        <f t="shared" si="1380"/>
        <v>0</v>
      </c>
    </row>
    <row r="969" spans="2:24" x14ac:dyDescent="0.15">
      <c r="B969" s="7" t="s">
        <v>515</v>
      </c>
      <c r="C969" s="30">
        <v>1</v>
      </c>
      <c r="D969" s="25"/>
      <c r="E969" s="43">
        <f t="shared" si="1369"/>
        <v>1</v>
      </c>
      <c r="F969" s="35"/>
      <c r="G969" s="8"/>
      <c r="H969" s="43">
        <f t="shared" si="1370"/>
        <v>0</v>
      </c>
      <c r="I969" s="35"/>
      <c r="J969" s="8">
        <v>1</v>
      </c>
      <c r="K969" s="43">
        <f t="shared" si="1371"/>
        <v>1</v>
      </c>
      <c r="L969" s="8">
        <f t="shared" si="1372"/>
        <v>2</v>
      </c>
      <c r="M969" s="53">
        <v>45953</v>
      </c>
      <c r="N969" s="7"/>
      <c r="O969" s="33"/>
      <c r="P969" s="27"/>
      <c r="Q969" s="43">
        <f t="shared" si="1377"/>
        <v>0</v>
      </c>
      <c r="R969" s="37"/>
      <c r="S969" s="10"/>
      <c r="T969" s="43">
        <f t="shared" si="1378"/>
        <v>0</v>
      </c>
      <c r="U969" s="37"/>
      <c r="V969" s="10"/>
      <c r="W969" s="43">
        <f t="shared" si="1379"/>
        <v>0</v>
      </c>
      <c r="X969" s="8">
        <f t="shared" si="1380"/>
        <v>0</v>
      </c>
    </row>
    <row r="970" spans="2:24" x14ac:dyDescent="0.15">
      <c r="B970" s="7" t="s">
        <v>518</v>
      </c>
      <c r="C970" s="30">
        <v>1</v>
      </c>
      <c r="D970" s="25"/>
      <c r="E970" s="43">
        <f t="shared" si="1369"/>
        <v>1</v>
      </c>
      <c r="F970" s="35"/>
      <c r="G970" s="8"/>
      <c r="H970" s="43">
        <f t="shared" si="1370"/>
        <v>0</v>
      </c>
      <c r="I970" s="35"/>
      <c r="J970" s="8">
        <v>1</v>
      </c>
      <c r="K970" s="43">
        <f t="shared" si="1371"/>
        <v>1</v>
      </c>
      <c r="L970" s="8">
        <f t="shared" si="1372"/>
        <v>2</v>
      </c>
      <c r="M970" s="53">
        <v>45954</v>
      </c>
      <c r="N970" s="7"/>
      <c r="O970" s="33"/>
      <c r="P970" s="27"/>
      <c r="Q970" s="43">
        <f t="shared" si="1377"/>
        <v>0</v>
      </c>
      <c r="R970" s="37"/>
      <c r="S970" s="10"/>
      <c r="T970" s="43">
        <f t="shared" si="1378"/>
        <v>0</v>
      </c>
      <c r="U970" s="37"/>
      <c r="V970" s="10"/>
      <c r="W970" s="43">
        <f t="shared" si="1379"/>
        <v>0</v>
      </c>
      <c r="X970" s="8">
        <f t="shared" si="1380"/>
        <v>0</v>
      </c>
    </row>
    <row r="971" spans="2:24" x14ac:dyDescent="0.15">
      <c r="B971" s="7" t="s">
        <v>519</v>
      </c>
      <c r="C971" s="30"/>
      <c r="D971" s="25"/>
      <c r="E971" s="43">
        <f t="shared" si="1369"/>
        <v>0</v>
      </c>
      <c r="F971" s="35"/>
      <c r="G971" s="8"/>
      <c r="H971" s="43">
        <f t="shared" si="1370"/>
        <v>0</v>
      </c>
      <c r="I971" s="35"/>
      <c r="J971" s="8">
        <v>1</v>
      </c>
      <c r="K971" s="43">
        <f t="shared" si="1371"/>
        <v>1</v>
      </c>
      <c r="L971" s="8">
        <f t="shared" si="1372"/>
        <v>1</v>
      </c>
      <c r="M971" s="53">
        <v>45954</v>
      </c>
      <c r="N971" s="7"/>
      <c r="O971" s="33"/>
      <c r="P971" s="27"/>
      <c r="Q971" s="43">
        <f t="shared" si="1377"/>
        <v>0</v>
      </c>
      <c r="R971" s="37"/>
      <c r="S971" s="10"/>
      <c r="T971" s="43">
        <f t="shared" si="1378"/>
        <v>0</v>
      </c>
      <c r="U971" s="37"/>
      <c r="V971" s="10"/>
      <c r="W971" s="43">
        <f t="shared" si="1379"/>
        <v>0</v>
      </c>
      <c r="X971" s="8">
        <f t="shared" si="1380"/>
        <v>0</v>
      </c>
    </row>
    <row r="972" spans="2:24" x14ac:dyDescent="0.15">
      <c r="B972" s="7" t="s">
        <v>520</v>
      </c>
      <c r="C972" s="30"/>
      <c r="D972" s="25"/>
      <c r="E972" s="43">
        <f t="shared" si="1369"/>
        <v>0</v>
      </c>
      <c r="F972" s="35"/>
      <c r="G972" s="8">
        <v>1</v>
      </c>
      <c r="H972" s="43">
        <f t="shared" si="1370"/>
        <v>1</v>
      </c>
      <c r="I972" s="35"/>
      <c r="J972" s="8"/>
      <c r="K972" s="43">
        <f t="shared" si="1371"/>
        <v>0</v>
      </c>
      <c r="L972" s="8">
        <f t="shared" si="1372"/>
        <v>1</v>
      </c>
      <c r="M972" s="53">
        <v>45959</v>
      </c>
      <c r="N972" s="125"/>
      <c r="O972" s="33"/>
      <c r="P972" s="27"/>
      <c r="Q972" s="43">
        <f t="shared" si="1377"/>
        <v>0</v>
      </c>
      <c r="R972" s="37"/>
      <c r="S972" s="10"/>
      <c r="T972" s="43">
        <f t="shared" si="1378"/>
        <v>0</v>
      </c>
      <c r="U972" s="37"/>
      <c r="V972" s="10"/>
      <c r="W972" s="43">
        <f t="shared" si="1379"/>
        <v>0</v>
      </c>
      <c r="X972" s="8">
        <f t="shared" si="1380"/>
        <v>0</v>
      </c>
    </row>
    <row r="973" spans="2:24" x14ac:dyDescent="0.15">
      <c r="B973" s="7" t="s">
        <v>12</v>
      </c>
      <c r="C973" s="30"/>
      <c r="D973" s="25"/>
      <c r="E973" s="43">
        <f t="shared" si="1369"/>
        <v>0</v>
      </c>
      <c r="F973" s="35">
        <v>1</v>
      </c>
      <c r="G973" s="8"/>
      <c r="H973" s="43">
        <f t="shared" si="1370"/>
        <v>1</v>
      </c>
      <c r="I973" s="35"/>
      <c r="J973" s="8"/>
      <c r="K973" s="43">
        <f t="shared" si="1371"/>
        <v>0</v>
      </c>
      <c r="L973" s="8">
        <f t="shared" si="1372"/>
        <v>1</v>
      </c>
      <c r="M973" s="53">
        <v>45957</v>
      </c>
      <c r="N973" s="125"/>
      <c r="O973" s="33"/>
      <c r="P973" s="27"/>
      <c r="Q973" s="43">
        <f t="shared" si="1377"/>
        <v>0</v>
      </c>
      <c r="R973" s="37"/>
      <c r="S973" s="10"/>
      <c r="T973" s="43">
        <f t="shared" si="1378"/>
        <v>0</v>
      </c>
      <c r="U973" s="37"/>
      <c r="V973" s="10"/>
      <c r="W973" s="43">
        <f t="shared" si="1379"/>
        <v>0</v>
      </c>
      <c r="X973" s="8">
        <f t="shared" si="1380"/>
        <v>0</v>
      </c>
    </row>
    <row r="974" spans="2:24" x14ac:dyDescent="0.15">
      <c r="B974" s="7" t="s">
        <v>57</v>
      </c>
      <c r="C974" s="30"/>
      <c r="D974" s="25"/>
      <c r="E974" s="43">
        <f t="shared" si="1369"/>
        <v>0</v>
      </c>
      <c r="F974" s="35"/>
      <c r="G974" s="8"/>
      <c r="H974" s="43">
        <f t="shared" si="1370"/>
        <v>0</v>
      </c>
      <c r="I974" s="35">
        <v>-1</v>
      </c>
      <c r="J974" s="8"/>
      <c r="K974" s="43">
        <f t="shared" si="1371"/>
        <v>-1</v>
      </c>
      <c r="L974" s="8">
        <f t="shared" si="1372"/>
        <v>-1</v>
      </c>
      <c r="M974" s="53">
        <v>45960</v>
      </c>
      <c r="N974" s="125"/>
      <c r="O974" s="33"/>
      <c r="P974" s="27"/>
      <c r="Q974" s="43">
        <f t="shared" si="1377"/>
        <v>0</v>
      </c>
      <c r="R974" s="37"/>
      <c r="S974" s="10"/>
      <c r="T974" s="43">
        <f t="shared" si="1378"/>
        <v>0</v>
      </c>
      <c r="U974" s="37"/>
      <c r="V974" s="10"/>
      <c r="W974" s="43">
        <f t="shared" si="1379"/>
        <v>0</v>
      </c>
      <c r="X974" s="8">
        <f t="shared" si="1380"/>
        <v>0</v>
      </c>
    </row>
    <row r="975" spans="2:24" x14ac:dyDescent="0.15">
      <c r="B975" s="7" t="s">
        <v>521</v>
      </c>
      <c r="C975" s="30"/>
      <c r="D975" s="25"/>
      <c r="E975" s="43">
        <f t="shared" si="1369"/>
        <v>0</v>
      </c>
      <c r="F975" s="35"/>
      <c r="G975" s="8"/>
      <c r="H975" s="43">
        <f t="shared" si="1370"/>
        <v>0</v>
      </c>
      <c r="I975" s="35"/>
      <c r="J975" s="8">
        <v>1</v>
      </c>
      <c r="K975" s="43">
        <f t="shared" si="1371"/>
        <v>1</v>
      </c>
      <c r="L975" s="8">
        <f t="shared" si="1372"/>
        <v>1</v>
      </c>
      <c r="M975" s="53">
        <v>45967</v>
      </c>
      <c r="N975" s="7"/>
      <c r="O975" s="30"/>
      <c r="P975" s="25"/>
      <c r="Q975" s="43">
        <f t="shared" si="1377"/>
        <v>0</v>
      </c>
      <c r="R975" s="35"/>
      <c r="S975" s="8"/>
      <c r="T975" s="43">
        <f t="shared" si="1378"/>
        <v>0</v>
      </c>
      <c r="U975" s="35"/>
      <c r="V975" s="8"/>
      <c r="W975" s="43">
        <f t="shared" si="1379"/>
        <v>0</v>
      </c>
      <c r="X975" s="8">
        <f t="shared" si="1380"/>
        <v>0</v>
      </c>
    </row>
    <row r="976" spans="2:24" x14ac:dyDescent="0.15">
      <c r="B976" s="7" t="s">
        <v>522</v>
      </c>
      <c r="C976" s="30"/>
      <c r="D976" s="25"/>
      <c r="E976" s="43">
        <f t="shared" si="1367"/>
        <v>0</v>
      </c>
      <c r="F976" s="35"/>
      <c r="G976" s="8"/>
      <c r="H976" s="43">
        <f t="shared" si="1356"/>
        <v>0</v>
      </c>
      <c r="I976" s="35"/>
      <c r="J976" s="8">
        <v>-5</v>
      </c>
      <c r="K976" s="43">
        <f t="shared" si="1357"/>
        <v>-5</v>
      </c>
      <c r="L976" s="8">
        <f t="shared" si="1358"/>
        <v>-5</v>
      </c>
      <c r="M976" s="53">
        <v>45966</v>
      </c>
      <c r="N976" s="7"/>
      <c r="O976" s="30"/>
      <c r="P976" s="25"/>
      <c r="Q976" s="43">
        <f t="shared" ref="Q976:Q977" si="1381">SUM(O976:P976)</f>
        <v>0</v>
      </c>
      <c r="R976" s="35"/>
      <c r="S976" s="8"/>
      <c r="T976" s="43">
        <f t="shared" ref="T976:T977" si="1382">SUM(R976:S976)</f>
        <v>0</v>
      </c>
      <c r="U976" s="35"/>
      <c r="V976" s="8"/>
      <c r="W976" s="43">
        <f t="shared" ref="W976:W977" si="1383">SUM(U976:V976)</f>
        <v>0</v>
      </c>
      <c r="X976" s="8">
        <f t="shared" ref="X976:X977" si="1384">SUM(W976,T976,Q976)</f>
        <v>0</v>
      </c>
    </row>
    <row r="977" spans="2:25" ht="14.25" thickBot="1" x14ac:dyDescent="0.2">
      <c r="B977" s="7" t="s">
        <v>57</v>
      </c>
      <c r="C977" s="30">
        <v>-1</v>
      </c>
      <c r="D977" s="25"/>
      <c r="E977" s="43">
        <f t="shared" si="1367"/>
        <v>-1</v>
      </c>
      <c r="F977" s="35"/>
      <c r="G977" s="8"/>
      <c r="H977" s="43">
        <f t="shared" si="1356"/>
        <v>0</v>
      </c>
      <c r="I977" s="35">
        <v>-1</v>
      </c>
      <c r="J977" s="8"/>
      <c r="K977" s="43">
        <f t="shared" si="1357"/>
        <v>-1</v>
      </c>
      <c r="L977" s="8">
        <f t="shared" si="1358"/>
        <v>-2</v>
      </c>
      <c r="M977" s="53">
        <v>45966</v>
      </c>
      <c r="N977" s="7"/>
      <c r="O977" s="30"/>
      <c r="P977" s="25"/>
      <c r="Q977" s="43">
        <f t="shared" si="1381"/>
        <v>0</v>
      </c>
      <c r="R977" s="35"/>
      <c r="S977" s="8"/>
      <c r="T977" s="43">
        <f t="shared" si="1382"/>
        <v>0</v>
      </c>
      <c r="U977" s="35"/>
      <c r="V977" s="8"/>
      <c r="W977" s="43">
        <f t="shared" si="1383"/>
        <v>0</v>
      </c>
      <c r="X977" s="8">
        <f t="shared" si="1384"/>
        <v>0</v>
      </c>
    </row>
    <row r="978" spans="2:25" ht="14.25" thickBot="1" x14ac:dyDescent="0.2">
      <c r="B978" s="5" t="s">
        <v>1</v>
      </c>
      <c r="C978" s="32">
        <f>SUM(C953:C977)</f>
        <v>11</v>
      </c>
      <c r="D978" s="19">
        <f>SUM(D953:D977)</f>
        <v>6</v>
      </c>
      <c r="E978" s="44">
        <f t="shared" si="1367"/>
        <v>17</v>
      </c>
      <c r="F978" s="32">
        <f>SUM(F953:F977)</f>
        <v>9</v>
      </c>
      <c r="G978" s="19">
        <f>SUM(G953:G977)</f>
        <v>17</v>
      </c>
      <c r="H978" s="44">
        <f t="shared" si="1356"/>
        <v>26</v>
      </c>
      <c r="I978" s="32">
        <f>SUM(I953:I977)</f>
        <v>11</v>
      </c>
      <c r="J978" s="19">
        <f>SUM(J953:J977)</f>
        <v>14</v>
      </c>
      <c r="K978" s="44">
        <f t="shared" si="1357"/>
        <v>25</v>
      </c>
      <c r="L978" s="4">
        <f t="shared" si="1358"/>
        <v>68</v>
      </c>
      <c r="N978" s="5" t="s">
        <v>1</v>
      </c>
      <c r="O978" s="32">
        <f>SUM(O953:O977)</f>
        <v>0</v>
      </c>
      <c r="P978" s="19">
        <f t="shared" ref="P978:X978" si="1385">SUM(P953:P977)</f>
        <v>0</v>
      </c>
      <c r="Q978" s="44">
        <f t="shared" si="1385"/>
        <v>0</v>
      </c>
      <c r="R978" s="32">
        <f t="shared" si="1385"/>
        <v>0</v>
      </c>
      <c r="S978" s="19">
        <f t="shared" si="1385"/>
        <v>0</v>
      </c>
      <c r="T978" s="44">
        <f t="shared" si="1385"/>
        <v>0</v>
      </c>
      <c r="U978" s="32">
        <f t="shared" si="1385"/>
        <v>0</v>
      </c>
      <c r="V978" s="19">
        <f t="shared" si="1385"/>
        <v>15</v>
      </c>
      <c r="W978" s="44">
        <f t="shared" si="1385"/>
        <v>15</v>
      </c>
      <c r="X978" s="4">
        <f t="shared" si="1385"/>
        <v>15</v>
      </c>
    </row>
    <row r="979" spans="2:25" ht="14.25" thickBot="1" x14ac:dyDescent="0.2">
      <c r="B979" s="3" t="s">
        <v>0</v>
      </c>
      <c r="C979" s="34">
        <f>+C952-C978</f>
        <v>49</v>
      </c>
      <c r="D979" s="2">
        <f>+D952-D978</f>
        <v>21</v>
      </c>
      <c r="E979" s="45">
        <f t="shared" si="1367"/>
        <v>70</v>
      </c>
      <c r="F979" s="34">
        <f>+F952-F978</f>
        <v>12</v>
      </c>
      <c r="G979" s="2">
        <f>+G952-G978</f>
        <v>7</v>
      </c>
      <c r="H979" s="45">
        <f t="shared" si="1356"/>
        <v>19</v>
      </c>
      <c r="I979" s="34">
        <f>+I952-I978</f>
        <v>36</v>
      </c>
      <c r="J979" s="2">
        <f>+J952-J978</f>
        <v>6</v>
      </c>
      <c r="K979" s="45">
        <f t="shared" si="1357"/>
        <v>42</v>
      </c>
      <c r="L979" s="2">
        <f t="shared" si="1358"/>
        <v>131</v>
      </c>
      <c r="N979" s="3" t="s">
        <v>0</v>
      </c>
      <c r="O979" s="34">
        <f>+O952-O978</f>
        <v>703</v>
      </c>
      <c r="P979" s="2">
        <f t="shared" ref="P979:X979" si="1386">+P952-P978</f>
        <v>718</v>
      </c>
      <c r="Q979" s="45">
        <f t="shared" si="1386"/>
        <v>1421</v>
      </c>
      <c r="R979" s="34">
        <f t="shared" si="1386"/>
        <v>474</v>
      </c>
      <c r="S979" s="2">
        <f t="shared" si="1386"/>
        <v>552</v>
      </c>
      <c r="T979" s="45">
        <f t="shared" si="1386"/>
        <v>1026</v>
      </c>
      <c r="U979" s="34">
        <f t="shared" si="1386"/>
        <v>357</v>
      </c>
      <c r="V979" s="2">
        <f t="shared" si="1386"/>
        <v>329</v>
      </c>
      <c r="W979" s="45">
        <f t="shared" si="1386"/>
        <v>686</v>
      </c>
      <c r="X979" s="2">
        <f t="shared" si="1386"/>
        <v>3133</v>
      </c>
    </row>
    <row r="983" spans="2:25" ht="18.75" x14ac:dyDescent="0.2">
      <c r="B983" s="23" t="s">
        <v>11</v>
      </c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N983" s="47" t="s">
        <v>25</v>
      </c>
      <c r="O983" s="48"/>
      <c r="P983" s="48"/>
      <c r="Q983" s="48"/>
      <c r="R983" s="48"/>
      <c r="S983" s="48"/>
      <c r="T983" s="48"/>
      <c r="U983" s="48"/>
      <c r="V983" s="48"/>
      <c r="W983" s="48"/>
      <c r="X983" s="48"/>
    </row>
    <row r="984" spans="2:25" ht="15" thickBot="1" x14ac:dyDescent="0.2">
      <c r="B984" s="22" t="s">
        <v>147</v>
      </c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N984" s="49" t="s">
        <v>148</v>
      </c>
      <c r="O984" s="48"/>
      <c r="P984" s="48"/>
      <c r="Q984" s="48"/>
      <c r="R984" s="48"/>
      <c r="S984" s="48"/>
      <c r="T984" s="48"/>
      <c r="U984" s="48"/>
      <c r="V984" s="48"/>
      <c r="W984" s="48"/>
      <c r="X984" s="48"/>
    </row>
    <row r="985" spans="2:25" ht="14.25" thickBot="1" x14ac:dyDescent="0.2">
      <c r="B985" s="20"/>
      <c r="C985" s="208" t="s">
        <v>9</v>
      </c>
      <c r="D985" s="209"/>
      <c r="E985" s="210"/>
      <c r="F985" s="208" t="s">
        <v>8</v>
      </c>
      <c r="G985" s="209"/>
      <c r="H985" s="210"/>
      <c r="I985" s="208" t="s">
        <v>7</v>
      </c>
      <c r="J985" s="209"/>
      <c r="K985" s="210"/>
      <c r="L985" s="19"/>
      <c r="N985" s="20"/>
      <c r="O985" s="208" t="s">
        <v>9</v>
      </c>
      <c r="P985" s="209"/>
      <c r="Q985" s="123">
        <v>890</v>
      </c>
      <c r="R985" s="208" t="s">
        <v>8</v>
      </c>
      <c r="S985" s="209"/>
      <c r="T985" s="123">
        <v>980</v>
      </c>
      <c r="U985" s="208" t="s">
        <v>7</v>
      </c>
      <c r="V985" s="209"/>
      <c r="W985" s="123">
        <v>1080</v>
      </c>
      <c r="X985" s="19"/>
    </row>
    <row r="986" spans="2:25" ht="14.25" thickBot="1" x14ac:dyDescent="0.2">
      <c r="B986" s="18"/>
      <c r="C986" s="28" t="s">
        <v>6</v>
      </c>
      <c r="D986" s="17" t="s">
        <v>5</v>
      </c>
      <c r="E986" s="38" t="s">
        <v>4</v>
      </c>
      <c r="F986" s="28" t="s">
        <v>6</v>
      </c>
      <c r="G986" s="17" t="s">
        <v>5</v>
      </c>
      <c r="H986" s="38" t="s">
        <v>4</v>
      </c>
      <c r="I986" s="28" t="s">
        <v>6</v>
      </c>
      <c r="J986" s="17" t="s">
        <v>5</v>
      </c>
      <c r="K986" s="38" t="s">
        <v>4</v>
      </c>
      <c r="L986" s="17" t="s">
        <v>4</v>
      </c>
      <c r="N986" s="18"/>
      <c r="O986" s="28" t="s">
        <v>6</v>
      </c>
      <c r="P986" s="17" t="s">
        <v>5</v>
      </c>
      <c r="Q986" s="38" t="s">
        <v>4</v>
      </c>
      <c r="R986" s="28" t="s">
        <v>6</v>
      </c>
      <c r="S986" s="17" t="s">
        <v>5</v>
      </c>
      <c r="T986" s="38" t="s">
        <v>4</v>
      </c>
      <c r="U986" s="28" t="s">
        <v>6</v>
      </c>
      <c r="V986" s="17" t="s">
        <v>5</v>
      </c>
      <c r="W986" s="38" t="s">
        <v>4</v>
      </c>
      <c r="X986" s="17" t="s">
        <v>4</v>
      </c>
    </row>
    <row r="987" spans="2:25" x14ac:dyDescent="0.15">
      <c r="B987" s="66" t="s">
        <v>0</v>
      </c>
      <c r="C987" s="67">
        <f>C979</f>
        <v>49</v>
      </c>
      <c r="D987" s="68">
        <f t="shared" ref="D987:K987" si="1387">D979</f>
        <v>21</v>
      </c>
      <c r="E987" s="69">
        <f t="shared" si="1387"/>
        <v>70</v>
      </c>
      <c r="F987" s="67">
        <f t="shared" si="1387"/>
        <v>12</v>
      </c>
      <c r="G987" s="68">
        <f t="shared" si="1387"/>
        <v>7</v>
      </c>
      <c r="H987" s="69">
        <f t="shared" si="1387"/>
        <v>19</v>
      </c>
      <c r="I987" s="67">
        <f t="shared" si="1387"/>
        <v>36</v>
      </c>
      <c r="J987" s="68">
        <f t="shared" si="1387"/>
        <v>6</v>
      </c>
      <c r="K987" s="69">
        <f t="shared" si="1387"/>
        <v>42</v>
      </c>
      <c r="L987" s="70">
        <f>SUM(K987,H987,E987)</f>
        <v>131</v>
      </c>
      <c r="N987" s="66" t="s">
        <v>0</v>
      </c>
      <c r="O987" s="72">
        <f>O979</f>
        <v>703</v>
      </c>
      <c r="P987" s="80">
        <f t="shared" ref="P987:X987" si="1388">P979</f>
        <v>718</v>
      </c>
      <c r="Q987" s="69">
        <f t="shared" si="1388"/>
        <v>1421</v>
      </c>
      <c r="R987" s="72">
        <f t="shared" si="1388"/>
        <v>474</v>
      </c>
      <c r="S987" s="80">
        <f t="shared" si="1388"/>
        <v>552</v>
      </c>
      <c r="T987" s="69">
        <f t="shared" si="1388"/>
        <v>1026</v>
      </c>
      <c r="U987" s="72">
        <f t="shared" si="1388"/>
        <v>357</v>
      </c>
      <c r="V987" s="80">
        <f t="shared" si="1388"/>
        <v>329</v>
      </c>
      <c r="W987" s="69">
        <f t="shared" si="1388"/>
        <v>686</v>
      </c>
      <c r="X987" s="70">
        <f t="shared" si="1388"/>
        <v>3133</v>
      </c>
    </row>
    <row r="988" spans="2:25" x14ac:dyDescent="0.15">
      <c r="B988" s="146" t="s">
        <v>524</v>
      </c>
      <c r="C988" s="30"/>
      <c r="D988" s="25">
        <v>1</v>
      </c>
      <c r="E988" s="40">
        <f t="shared" ref="E988:E989" si="1389">SUM(C988:D988)</f>
        <v>1</v>
      </c>
      <c r="F988" s="35">
        <v>1</v>
      </c>
      <c r="G988" s="8">
        <v>3</v>
      </c>
      <c r="H988" s="40">
        <f t="shared" ref="H988:H1020" si="1390">SUM(F988:G988)</f>
        <v>4</v>
      </c>
      <c r="I988" s="35"/>
      <c r="J988" s="8">
        <v>1</v>
      </c>
      <c r="K988" s="40">
        <f t="shared" ref="K988:K1020" si="1391">SUM(I988:J988)</f>
        <v>1</v>
      </c>
      <c r="L988" s="9">
        <f t="shared" ref="L988:L1020" si="1392">SUM(K988,H988,E988)</f>
        <v>6</v>
      </c>
      <c r="M988" s="53">
        <v>45974</v>
      </c>
      <c r="N988" s="55" t="s">
        <v>222</v>
      </c>
      <c r="O988" s="62">
        <v>3</v>
      </c>
      <c r="P988" s="81">
        <v>9</v>
      </c>
      <c r="Q988" s="40">
        <f t="shared" ref="Q988:Q989" si="1393">SUM(O988:P988)</f>
        <v>12</v>
      </c>
      <c r="R988" s="78">
        <v>6</v>
      </c>
      <c r="S988" s="82"/>
      <c r="T988" s="40">
        <f t="shared" ref="T988:T989" si="1394">SUM(R988:S988)</f>
        <v>6</v>
      </c>
      <c r="U988" s="78">
        <v>6</v>
      </c>
      <c r="V988" s="82"/>
      <c r="W988" s="40">
        <f t="shared" ref="W988:W989" si="1395">SUM(U988:V988)</f>
        <v>6</v>
      </c>
      <c r="X988" s="25">
        <f t="shared" ref="X988:X989" si="1396">SUM(W988,T988,Q988)</f>
        <v>24</v>
      </c>
      <c r="Y988" s="53">
        <v>45979</v>
      </c>
    </row>
    <row r="989" spans="2:25" x14ac:dyDescent="0.15">
      <c r="B989" s="146" t="s">
        <v>222</v>
      </c>
      <c r="C989" s="147">
        <v>1</v>
      </c>
      <c r="D989" s="148"/>
      <c r="E989" s="149">
        <f t="shared" si="1389"/>
        <v>1</v>
      </c>
      <c r="F989" s="150">
        <v>1</v>
      </c>
      <c r="G989" s="151"/>
      <c r="H989" s="149">
        <f t="shared" si="1390"/>
        <v>1</v>
      </c>
      <c r="I989" s="150"/>
      <c r="J989" s="151"/>
      <c r="K989" s="149">
        <f t="shared" si="1391"/>
        <v>0</v>
      </c>
      <c r="L989" s="152">
        <f t="shared" si="1392"/>
        <v>2</v>
      </c>
      <c r="M989" s="153">
        <v>45978</v>
      </c>
      <c r="N989" s="55" t="s">
        <v>3</v>
      </c>
      <c r="O989" s="62"/>
      <c r="P989" s="81"/>
      <c r="Q989" s="40">
        <f t="shared" si="1393"/>
        <v>0</v>
      </c>
      <c r="R989" s="78"/>
      <c r="S989" s="82"/>
      <c r="T989" s="40">
        <f t="shared" si="1394"/>
        <v>0</v>
      </c>
      <c r="U989" s="78"/>
      <c r="V989" s="82"/>
      <c r="W989" s="40">
        <f t="shared" si="1395"/>
        <v>0</v>
      </c>
      <c r="X989" s="25">
        <f t="shared" si="1396"/>
        <v>0</v>
      </c>
    </row>
    <row r="990" spans="2:25" x14ac:dyDescent="0.15">
      <c r="B990" s="146" t="s">
        <v>3</v>
      </c>
      <c r="C990" s="147"/>
      <c r="D990" s="148"/>
      <c r="E990" s="149">
        <f t="shared" ref="E990:E1020" si="1397">SUM(C990:D990)</f>
        <v>0</v>
      </c>
      <c r="F990" s="150"/>
      <c r="G990" s="151"/>
      <c r="H990" s="149">
        <f t="shared" si="1390"/>
        <v>0</v>
      </c>
      <c r="I990" s="150"/>
      <c r="J990" s="151">
        <v>5</v>
      </c>
      <c r="K990" s="149">
        <f t="shared" si="1391"/>
        <v>5</v>
      </c>
      <c r="L990" s="152">
        <f t="shared" si="1392"/>
        <v>5</v>
      </c>
      <c r="M990" s="153">
        <v>46044</v>
      </c>
      <c r="N990" s="55" t="s">
        <v>3</v>
      </c>
      <c r="O990" s="62"/>
      <c r="P990" s="81"/>
      <c r="Q990" s="40">
        <f t="shared" ref="Q990:Q992" si="1398">SUM(O990:P990)</f>
        <v>0</v>
      </c>
      <c r="R990" s="78"/>
      <c r="S990" s="82"/>
      <c r="T990" s="40">
        <f t="shared" ref="T990:T992" si="1399">SUM(R990:S990)</f>
        <v>0</v>
      </c>
      <c r="U990" s="78"/>
      <c r="V990" s="82"/>
      <c r="W990" s="40">
        <f t="shared" ref="W990:W992" si="1400">SUM(U990:V990)</f>
        <v>0</v>
      </c>
      <c r="X990" s="25">
        <f t="shared" ref="X990:X992" si="1401">SUM(W990,T990,Q990)</f>
        <v>0</v>
      </c>
    </row>
    <row r="991" spans="2:25" x14ac:dyDescent="0.15">
      <c r="B991" s="146" t="s">
        <v>318</v>
      </c>
      <c r="C991" s="30"/>
      <c r="D991" s="25"/>
      <c r="E991" s="40">
        <f t="shared" si="1397"/>
        <v>0</v>
      </c>
      <c r="F991" s="35">
        <v>1</v>
      </c>
      <c r="G991" s="8"/>
      <c r="H991" s="40">
        <f t="shared" si="1390"/>
        <v>1</v>
      </c>
      <c r="I991" s="35"/>
      <c r="J991" s="8"/>
      <c r="K991" s="40">
        <f t="shared" si="1391"/>
        <v>0</v>
      </c>
      <c r="L991" s="9">
        <f t="shared" si="1392"/>
        <v>1</v>
      </c>
      <c r="M991" s="53">
        <v>46085</v>
      </c>
      <c r="N991" s="55" t="s">
        <v>3</v>
      </c>
      <c r="O991" s="62"/>
      <c r="P991" s="81"/>
      <c r="Q991" s="40">
        <f t="shared" si="1398"/>
        <v>0</v>
      </c>
      <c r="R991" s="78"/>
      <c r="S991" s="82"/>
      <c r="T991" s="40">
        <f t="shared" si="1399"/>
        <v>0</v>
      </c>
      <c r="U991" s="78"/>
      <c r="V991" s="82"/>
      <c r="W991" s="40">
        <f t="shared" si="1400"/>
        <v>0</v>
      </c>
      <c r="X991" s="25">
        <f t="shared" si="1401"/>
        <v>0</v>
      </c>
    </row>
    <row r="992" spans="2:25" ht="14.25" thickBot="1" x14ac:dyDescent="0.2">
      <c r="B992" s="146" t="s">
        <v>3</v>
      </c>
      <c r="C992" s="76"/>
      <c r="D992" s="83"/>
      <c r="E992" s="41">
        <f t="shared" si="1397"/>
        <v>0</v>
      </c>
      <c r="F992" s="76"/>
      <c r="G992" s="83"/>
      <c r="H992" s="41">
        <f t="shared" si="1390"/>
        <v>0</v>
      </c>
      <c r="I992" s="76"/>
      <c r="J992" s="83"/>
      <c r="K992" s="41">
        <f t="shared" si="1391"/>
        <v>0</v>
      </c>
      <c r="L992" s="77">
        <f t="shared" si="1392"/>
        <v>0</v>
      </c>
      <c r="M992" s="53"/>
      <c r="N992" s="75" t="s">
        <v>3</v>
      </c>
      <c r="O992" s="76"/>
      <c r="P992" s="83"/>
      <c r="Q992" s="41">
        <f t="shared" si="1398"/>
        <v>0</v>
      </c>
      <c r="R992" s="76"/>
      <c r="S992" s="83"/>
      <c r="T992" s="41">
        <f t="shared" si="1399"/>
        <v>0</v>
      </c>
      <c r="U992" s="76"/>
      <c r="V992" s="83"/>
      <c r="W992" s="41">
        <f t="shared" si="1400"/>
        <v>0</v>
      </c>
      <c r="X992" s="77">
        <f t="shared" si="1401"/>
        <v>0</v>
      </c>
    </row>
    <row r="993" spans="2:24" ht="14.25" thickBot="1" x14ac:dyDescent="0.2">
      <c r="B993" s="5" t="s">
        <v>2</v>
      </c>
      <c r="C993" s="32">
        <f>SUM(C987:C992)</f>
        <v>50</v>
      </c>
      <c r="D993" s="19">
        <f>SUM(D987:D992)</f>
        <v>22</v>
      </c>
      <c r="E993" s="42">
        <f t="shared" si="1397"/>
        <v>72</v>
      </c>
      <c r="F993" s="32">
        <f>SUM(F987:F992)</f>
        <v>15</v>
      </c>
      <c r="G993" s="19">
        <f>SUM(G987:G992)</f>
        <v>10</v>
      </c>
      <c r="H993" s="42">
        <f t="shared" si="1390"/>
        <v>25</v>
      </c>
      <c r="I993" s="32">
        <f>SUM(I987:I992)</f>
        <v>36</v>
      </c>
      <c r="J993" s="19">
        <f>SUM(J987:J992)</f>
        <v>12</v>
      </c>
      <c r="K993" s="42">
        <f t="shared" si="1391"/>
        <v>48</v>
      </c>
      <c r="L993" s="13">
        <f t="shared" si="1392"/>
        <v>145</v>
      </c>
      <c r="N993" s="63" t="s">
        <v>2</v>
      </c>
      <c r="O993" s="73">
        <f>SUM(O987:O992)</f>
        <v>706</v>
      </c>
      <c r="P993" s="74">
        <f t="shared" ref="P993:X993" si="1402">SUM(P987:P992)</f>
        <v>727</v>
      </c>
      <c r="Q993" s="42">
        <f t="shared" si="1402"/>
        <v>1433</v>
      </c>
      <c r="R993" s="73">
        <f t="shared" si="1402"/>
        <v>480</v>
      </c>
      <c r="S993" s="74">
        <f t="shared" si="1402"/>
        <v>552</v>
      </c>
      <c r="T993" s="42">
        <f t="shared" si="1402"/>
        <v>1032</v>
      </c>
      <c r="U993" s="73">
        <f t="shared" si="1402"/>
        <v>363</v>
      </c>
      <c r="V993" s="74">
        <f t="shared" si="1402"/>
        <v>329</v>
      </c>
      <c r="W993" s="42">
        <f t="shared" si="1402"/>
        <v>692</v>
      </c>
      <c r="X993" s="13">
        <f t="shared" si="1402"/>
        <v>3157</v>
      </c>
    </row>
    <row r="994" spans="2:24" x14ac:dyDescent="0.15">
      <c r="B994" s="7" t="s">
        <v>523</v>
      </c>
      <c r="C994" s="30"/>
      <c r="D994" s="25">
        <v>1</v>
      </c>
      <c r="E994" s="43">
        <f t="shared" si="1397"/>
        <v>1</v>
      </c>
      <c r="F994" s="35"/>
      <c r="G994" s="8"/>
      <c r="H994" s="43">
        <f t="shared" si="1390"/>
        <v>0</v>
      </c>
      <c r="I994" s="35"/>
      <c r="J994" s="8"/>
      <c r="K994" s="43">
        <f t="shared" si="1391"/>
        <v>0</v>
      </c>
      <c r="L994" s="8">
        <f t="shared" si="1392"/>
        <v>1</v>
      </c>
      <c r="M994" s="53">
        <v>45971</v>
      </c>
      <c r="N994" s="7"/>
      <c r="O994" s="33"/>
      <c r="P994" s="27"/>
      <c r="Q994" s="43">
        <f t="shared" ref="Q994:Q995" si="1403">SUM(O994:P994)</f>
        <v>0</v>
      </c>
      <c r="R994" s="37"/>
      <c r="S994" s="10"/>
      <c r="T994" s="43">
        <f t="shared" ref="T994:T995" si="1404">SUM(R994:S994)</f>
        <v>0</v>
      </c>
      <c r="U994" s="37"/>
      <c r="V994" s="10"/>
      <c r="W994" s="43">
        <f t="shared" ref="W994:W995" si="1405">SUM(U994:V994)</f>
        <v>0</v>
      </c>
      <c r="X994" s="8">
        <f t="shared" ref="X994:X995" si="1406">SUM(W994,T994,Q994)</f>
        <v>0</v>
      </c>
    </row>
    <row r="995" spans="2:24" x14ac:dyDescent="0.15">
      <c r="B995" s="7" t="s">
        <v>12</v>
      </c>
      <c r="C995" s="30"/>
      <c r="D995" s="25">
        <v>2</v>
      </c>
      <c r="E995" s="43">
        <f t="shared" si="1397"/>
        <v>2</v>
      </c>
      <c r="F995" s="35"/>
      <c r="G995" s="8"/>
      <c r="H995" s="43">
        <f t="shared" si="1390"/>
        <v>0</v>
      </c>
      <c r="I995" s="35"/>
      <c r="J995" s="8"/>
      <c r="K995" s="43">
        <f t="shared" si="1391"/>
        <v>0</v>
      </c>
      <c r="L995" s="8">
        <f t="shared" si="1392"/>
        <v>2</v>
      </c>
      <c r="M995" s="53">
        <v>45971</v>
      </c>
      <c r="N995" s="7"/>
      <c r="O995" s="33"/>
      <c r="P995" s="27"/>
      <c r="Q995" s="43">
        <f t="shared" si="1403"/>
        <v>0</v>
      </c>
      <c r="R995" s="37"/>
      <c r="S995" s="10"/>
      <c r="T995" s="43">
        <f t="shared" si="1404"/>
        <v>0</v>
      </c>
      <c r="U995" s="37"/>
      <c r="V995" s="10"/>
      <c r="W995" s="43">
        <f t="shared" si="1405"/>
        <v>0</v>
      </c>
      <c r="X995" s="8">
        <f t="shared" si="1406"/>
        <v>0</v>
      </c>
    </row>
    <row r="996" spans="2:24" x14ac:dyDescent="0.15">
      <c r="B996" s="7" t="s">
        <v>525</v>
      </c>
      <c r="C996" s="30">
        <v>1</v>
      </c>
      <c r="D996" s="25"/>
      <c r="E996" s="43">
        <f t="shared" si="1397"/>
        <v>1</v>
      </c>
      <c r="F996" s="35"/>
      <c r="G996" s="8"/>
      <c r="H996" s="43">
        <f t="shared" si="1390"/>
        <v>0</v>
      </c>
      <c r="I996" s="35"/>
      <c r="J996" s="8"/>
      <c r="K996" s="43">
        <f t="shared" si="1391"/>
        <v>0</v>
      </c>
      <c r="L996" s="8">
        <f t="shared" si="1392"/>
        <v>1</v>
      </c>
      <c r="M996" s="53">
        <v>45980</v>
      </c>
      <c r="N996" s="7"/>
      <c r="O996" s="33"/>
      <c r="P996" s="27"/>
      <c r="Q996" s="43">
        <f t="shared" ref="Q996:Q1018" si="1407">SUM(O996:P996)</f>
        <v>0</v>
      </c>
      <c r="R996" s="37"/>
      <c r="S996" s="10"/>
      <c r="T996" s="43">
        <f t="shared" ref="T996:T1018" si="1408">SUM(R996:S996)</f>
        <v>0</v>
      </c>
      <c r="U996" s="37"/>
      <c r="V996" s="10"/>
      <c r="W996" s="43">
        <f t="shared" ref="W996:W1018" si="1409">SUM(U996:V996)</f>
        <v>0</v>
      </c>
      <c r="X996" s="8">
        <f t="shared" ref="X996:X1018" si="1410">SUM(W996,T996,Q996)</f>
        <v>0</v>
      </c>
    </row>
    <row r="997" spans="2:24" x14ac:dyDescent="0.15">
      <c r="B997" s="7" t="s">
        <v>12</v>
      </c>
      <c r="C997" s="30"/>
      <c r="D997" s="25">
        <v>3</v>
      </c>
      <c r="E997" s="43">
        <f t="shared" si="1397"/>
        <v>3</v>
      </c>
      <c r="F997" s="35"/>
      <c r="G997" s="8"/>
      <c r="H997" s="43">
        <f t="shared" si="1390"/>
        <v>0</v>
      </c>
      <c r="I997" s="35"/>
      <c r="J997" s="8"/>
      <c r="K997" s="43">
        <f t="shared" si="1391"/>
        <v>0</v>
      </c>
      <c r="L997" s="8">
        <f t="shared" si="1392"/>
        <v>3</v>
      </c>
      <c r="M997" s="53">
        <v>45978</v>
      </c>
      <c r="N997" s="7"/>
      <c r="O997" s="33"/>
      <c r="P997" s="27"/>
      <c r="Q997" s="43">
        <f t="shared" si="1407"/>
        <v>0</v>
      </c>
      <c r="R997" s="37"/>
      <c r="S997" s="10"/>
      <c r="T997" s="43">
        <f t="shared" si="1408"/>
        <v>0</v>
      </c>
      <c r="U997" s="37"/>
      <c r="V997" s="10"/>
      <c r="W997" s="43">
        <f t="shared" si="1409"/>
        <v>0</v>
      </c>
      <c r="X997" s="8">
        <f t="shared" si="1410"/>
        <v>0</v>
      </c>
    </row>
    <row r="998" spans="2:24" x14ac:dyDescent="0.15">
      <c r="B998" s="7" t="s">
        <v>526</v>
      </c>
      <c r="C998" s="30"/>
      <c r="D998" s="25"/>
      <c r="E998" s="43">
        <f t="shared" si="1397"/>
        <v>0</v>
      </c>
      <c r="F998" s="35"/>
      <c r="G998" s="8"/>
      <c r="H998" s="43">
        <f t="shared" si="1390"/>
        <v>0</v>
      </c>
      <c r="I998" s="35">
        <v>2</v>
      </c>
      <c r="J998" s="8"/>
      <c r="K998" s="43">
        <f t="shared" si="1391"/>
        <v>2</v>
      </c>
      <c r="L998" s="8">
        <f t="shared" si="1392"/>
        <v>2</v>
      </c>
      <c r="M998" s="53">
        <v>45981</v>
      </c>
      <c r="N998" s="7"/>
      <c r="O998" s="33"/>
      <c r="P998" s="27"/>
      <c r="Q998" s="43">
        <f t="shared" si="1407"/>
        <v>0</v>
      </c>
      <c r="R998" s="37"/>
      <c r="S998" s="10"/>
      <c r="T998" s="43">
        <f t="shared" si="1408"/>
        <v>0</v>
      </c>
      <c r="U998" s="37"/>
      <c r="V998" s="10"/>
      <c r="W998" s="43">
        <f t="shared" si="1409"/>
        <v>0</v>
      </c>
      <c r="X998" s="8">
        <f t="shared" si="1410"/>
        <v>0</v>
      </c>
    </row>
    <row r="999" spans="2:24" x14ac:dyDescent="0.15">
      <c r="B999" s="7" t="s">
        <v>12</v>
      </c>
      <c r="C999" s="30"/>
      <c r="D999" s="25">
        <v>1</v>
      </c>
      <c r="E999" s="43">
        <f t="shared" si="1397"/>
        <v>1</v>
      </c>
      <c r="F999" s="35"/>
      <c r="G999" s="8"/>
      <c r="H999" s="43">
        <f t="shared" si="1390"/>
        <v>0</v>
      </c>
      <c r="I999" s="35"/>
      <c r="J999" s="8"/>
      <c r="K999" s="43">
        <f t="shared" si="1391"/>
        <v>0</v>
      </c>
      <c r="L999" s="8">
        <f t="shared" si="1392"/>
        <v>1</v>
      </c>
      <c r="M999" s="53">
        <v>45986</v>
      </c>
      <c r="N999" s="7"/>
      <c r="O999" s="33"/>
      <c r="P999" s="27"/>
      <c r="Q999" s="43">
        <f t="shared" si="1407"/>
        <v>0</v>
      </c>
      <c r="R999" s="37"/>
      <c r="S999" s="10"/>
      <c r="T999" s="43">
        <f t="shared" si="1408"/>
        <v>0</v>
      </c>
      <c r="U999" s="37"/>
      <c r="V999" s="10"/>
      <c r="W999" s="43">
        <f t="shared" si="1409"/>
        <v>0</v>
      </c>
      <c r="X999" s="8">
        <f t="shared" si="1410"/>
        <v>0</v>
      </c>
    </row>
    <row r="1000" spans="2:24" x14ac:dyDescent="0.15">
      <c r="B1000" s="7" t="s">
        <v>527</v>
      </c>
      <c r="C1000" s="30"/>
      <c r="D1000" s="25">
        <v>1</v>
      </c>
      <c r="E1000" s="43">
        <f t="shared" si="1397"/>
        <v>1</v>
      </c>
      <c r="F1000" s="35"/>
      <c r="G1000" s="8">
        <v>1</v>
      </c>
      <c r="H1000" s="43">
        <f t="shared" si="1390"/>
        <v>1</v>
      </c>
      <c r="I1000" s="35"/>
      <c r="J1000" s="8"/>
      <c r="K1000" s="43">
        <f t="shared" si="1391"/>
        <v>0</v>
      </c>
      <c r="L1000" s="8">
        <f t="shared" si="1392"/>
        <v>2</v>
      </c>
      <c r="M1000" s="53">
        <v>45995</v>
      </c>
      <c r="N1000" s="7"/>
      <c r="O1000" s="33"/>
      <c r="P1000" s="27"/>
      <c r="Q1000" s="43">
        <f t="shared" si="1407"/>
        <v>0</v>
      </c>
      <c r="R1000" s="37"/>
      <c r="S1000" s="10"/>
      <c r="T1000" s="43">
        <f t="shared" si="1408"/>
        <v>0</v>
      </c>
      <c r="U1000" s="37"/>
      <c r="V1000" s="10"/>
      <c r="W1000" s="43">
        <f t="shared" si="1409"/>
        <v>0</v>
      </c>
      <c r="X1000" s="8">
        <f t="shared" si="1410"/>
        <v>0</v>
      </c>
    </row>
    <row r="1001" spans="2:24" x14ac:dyDescent="0.15">
      <c r="B1001" s="7" t="s">
        <v>12</v>
      </c>
      <c r="C1001" s="30"/>
      <c r="D1001" s="25"/>
      <c r="E1001" s="43">
        <f t="shared" si="1397"/>
        <v>0</v>
      </c>
      <c r="F1001" s="35">
        <v>2</v>
      </c>
      <c r="G1001" s="8"/>
      <c r="H1001" s="43">
        <f t="shared" si="1390"/>
        <v>2</v>
      </c>
      <c r="I1001" s="35"/>
      <c r="J1001" s="8"/>
      <c r="K1001" s="43">
        <f t="shared" si="1391"/>
        <v>0</v>
      </c>
      <c r="L1001" s="8">
        <f t="shared" si="1392"/>
        <v>2</v>
      </c>
      <c r="M1001" s="53">
        <v>45995</v>
      </c>
      <c r="N1001" s="7"/>
      <c r="O1001" s="33"/>
      <c r="P1001" s="27"/>
      <c r="Q1001" s="43">
        <f t="shared" si="1407"/>
        <v>0</v>
      </c>
      <c r="R1001" s="37"/>
      <c r="S1001" s="10"/>
      <c r="T1001" s="43">
        <f t="shared" si="1408"/>
        <v>0</v>
      </c>
      <c r="U1001" s="37"/>
      <c r="V1001" s="10"/>
      <c r="W1001" s="43">
        <f t="shared" si="1409"/>
        <v>0</v>
      </c>
      <c r="X1001" s="8">
        <f t="shared" si="1410"/>
        <v>0</v>
      </c>
    </row>
    <row r="1002" spans="2:24" x14ac:dyDescent="0.15">
      <c r="B1002" s="7" t="s">
        <v>12</v>
      </c>
      <c r="C1002" s="30">
        <v>1</v>
      </c>
      <c r="D1002" s="25"/>
      <c r="E1002" s="43">
        <f t="shared" si="1397"/>
        <v>1</v>
      </c>
      <c r="F1002" s="35"/>
      <c r="G1002" s="8"/>
      <c r="H1002" s="43">
        <f t="shared" si="1390"/>
        <v>0</v>
      </c>
      <c r="I1002" s="35"/>
      <c r="J1002" s="8"/>
      <c r="K1002" s="43">
        <f t="shared" si="1391"/>
        <v>0</v>
      </c>
      <c r="L1002" s="8">
        <f t="shared" si="1392"/>
        <v>1</v>
      </c>
      <c r="M1002" s="53">
        <v>45999</v>
      </c>
      <c r="N1002" s="7"/>
      <c r="O1002" s="33"/>
      <c r="P1002" s="27"/>
      <c r="Q1002" s="43">
        <f t="shared" si="1407"/>
        <v>0</v>
      </c>
      <c r="R1002" s="37"/>
      <c r="S1002" s="10"/>
      <c r="T1002" s="43">
        <f t="shared" si="1408"/>
        <v>0</v>
      </c>
      <c r="U1002" s="37"/>
      <c r="V1002" s="10"/>
      <c r="W1002" s="43">
        <f t="shared" si="1409"/>
        <v>0</v>
      </c>
      <c r="X1002" s="8">
        <f t="shared" si="1410"/>
        <v>0</v>
      </c>
    </row>
    <row r="1003" spans="2:24" x14ac:dyDescent="0.15">
      <c r="B1003" s="7" t="s">
        <v>12</v>
      </c>
      <c r="C1003" s="30"/>
      <c r="D1003" s="25">
        <v>1</v>
      </c>
      <c r="E1003" s="43">
        <f t="shared" si="1397"/>
        <v>1</v>
      </c>
      <c r="F1003" s="35"/>
      <c r="G1003" s="8"/>
      <c r="H1003" s="43">
        <f t="shared" si="1390"/>
        <v>0</v>
      </c>
      <c r="I1003" s="35"/>
      <c r="J1003" s="8">
        <v>2</v>
      </c>
      <c r="K1003" s="43">
        <f t="shared" si="1391"/>
        <v>2</v>
      </c>
      <c r="L1003" s="8">
        <f t="shared" si="1392"/>
        <v>3</v>
      </c>
      <c r="M1003" s="153">
        <v>46027</v>
      </c>
      <c r="N1003" s="7"/>
      <c r="O1003" s="33"/>
      <c r="P1003" s="27"/>
      <c r="Q1003" s="43">
        <f t="shared" si="1407"/>
        <v>0</v>
      </c>
      <c r="R1003" s="37"/>
      <c r="S1003" s="10"/>
      <c r="T1003" s="43">
        <f t="shared" si="1408"/>
        <v>0</v>
      </c>
      <c r="U1003" s="37"/>
      <c r="V1003" s="10"/>
      <c r="W1003" s="43">
        <f t="shared" si="1409"/>
        <v>0</v>
      </c>
      <c r="X1003" s="8">
        <f t="shared" si="1410"/>
        <v>0</v>
      </c>
    </row>
    <row r="1004" spans="2:24" x14ac:dyDescent="0.15">
      <c r="B1004" s="7" t="s">
        <v>12</v>
      </c>
      <c r="C1004" s="30"/>
      <c r="D1004" s="25">
        <v>1</v>
      </c>
      <c r="E1004" s="43">
        <f t="shared" si="1397"/>
        <v>1</v>
      </c>
      <c r="F1004" s="35"/>
      <c r="G1004" s="8"/>
      <c r="H1004" s="43">
        <f t="shared" si="1390"/>
        <v>0</v>
      </c>
      <c r="I1004" s="35"/>
      <c r="J1004" s="8"/>
      <c r="K1004" s="43">
        <f t="shared" si="1391"/>
        <v>0</v>
      </c>
      <c r="L1004" s="8">
        <f t="shared" si="1392"/>
        <v>1</v>
      </c>
      <c r="M1004" s="53">
        <v>46036</v>
      </c>
      <c r="N1004" s="7"/>
      <c r="O1004" s="33"/>
      <c r="P1004" s="27"/>
      <c r="Q1004" s="43">
        <f t="shared" si="1407"/>
        <v>0</v>
      </c>
      <c r="R1004" s="37"/>
      <c r="S1004" s="10"/>
      <c r="T1004" s="43">
        <f t="shared" si="1408"/>
        <v>0</v>
      </c>
      <c r="U1004" s="37"/>
      <c r="V1004" s="10"/>
      <c r="W1004" s="43">
        <f t="shared" si="1409"/>
        <v>0</v>
      </c>
      <c r="X1004" s="8">
        <f t="shared" si="1410"/>
        <v>0</v>
      </c>
    </row>
    <row r="1005" spans="2:24" x14ac:dyDescent="0.15">
      <c r="B1005" s="7" t="s">
        <v>534</v>
      </c>
      <c r="C1005" s="30"/>
      <c r="D1005" s="25"/>
      <c r="E1005" s="43">
        <f t="shared" si="1397"/>
        <v>0</v>
      </c>
      <c r="F1005" s="35"/>
      <c r="G1005" s="8"/>
      <c r="H1005" s="43">
        <f t="shared" si="1390"/>
        <v>0</v>
      </c>
      <c r="I1005" s="35">
        <v>1</v>
      </c>
      <c r="J1005" s="8"/>
      <c r="K1005" s="43">
        <f t="shared" si="1391"/>
        <v>1</v>
      </c>
      <c r="L1005" s="8">
        <f t="shared" si="1392"/>
        <v>1</v>
      </c>
      <c r="M1005" s="53">
        <v>46038</v>
      </c>
      <c r="N1005" s="7"/>
      <c r="O1005" s="33"/>
      <c r="P1005" s="27"/>
      <c r="Q1005" s="43">
        <f t="shared" si="1407"/>
        <v>0</v>
      </c>
      <c r="R1005" s="37"/>
      <c r="S1005" s="10"/>
      <c r="T1005" s="43">
        <f t="shared" si="1408"/>
        <v>0</v>
      </c>
      <c r="U1005" s="37"/>
      <c r="V1005" s="10"/>
      <c r="W1005" s="43">
        <f t="shared" si="1409"/>
        <v>0</v>
      </c>
      <c r="X1005" s="8">
        <f t="shared" si="1410"/>
        <v>0</v>
      </c>
    </row>
    <row r="1006" spans="2:24" x14ac:dyDescent="0.15">
      <c r="B1006" s="7" t="s">
        <v>12</v>
      </c>
      <c r="C1006" s="30"/>
      <c r="D1006" s="25">
        <v>3</v>
      </c>
      <c r="E1006" s="43">
        <f t="shared" si="1397"/>
        <v>3</v>
      </c>
      <c r="F1006" s="35"/>
      <c r="G1006" s="8"/>
      <c r="H1006" s="43">
        <f t="shared" si="1390"/>
        <v>0</v>
      </c>
      <c r="I1006" s="35"/>
      <c r="J1006" s="8"/>
      <c r="K1006" s="43">
        <f t="shared" si="1391"/>
        <v>0</v>
      </c>
      <c r="L1006" s="8">
        <f t="shared" si="1392"/>
        <v>3</v>
      </c>
      <c r="M1006" s="53">
        <v>46038</v>
      </c>
      <c r="N1006" s="7"/>
      <c r="O1006" s="30"/>
      <c r="P1006" s="25"/>
      <c r="Q1006" s="43">
        <f t="shared" si="1407"/>
        <v>0</v>
      </c>
      <c r="R1006" s="35"/>
      <c r="S1006" s="8"/>
      <c r="T1006" s="43">
        <f t="shared" si="1408"/>
        <v>0</v>
      </c>
      <c r="U1006" s="35"/>
      <c r="V1006" s="8"/>
      <c r="W1006" s="43">
        <f t="shared" si="1409"/>
        <v>0</v>
      </c>
      <c r="X1006" s="8">
        <f t="shared" si="1410"/>
        <v>0</v>
      </c>
    </row>
    <row r="1007" spans="2:24" x14ac:dyDescent="0.15">
      <c r="B1007" s="7" t="s">
        <v>535</v>
      </c>
      <c r="C1007" s="30"/>
      <c r="D1007" s="25"/>
      <c r="E1007" s="43">
        <f t="shared" si="1397"/>
        <v>0</v>
      </c>
      <c r="F1007" s="35">
        <v>1</v>
      </c>
      <c r="G1007" s="8"/>
      <c r="H1007" s="43">
        <f t="shared" si="1390"/>
        <v>1</v>
      </c>
      <c r="I1007" s="35"/>
      <c r="J1007" s="8"/>
      <c r="K1007" s="43">
        <f t="shared" si="1391"/>
        <v>0</v>
      </c>
      <c r="L1007" s="8">
        <f t="shared" si="1392"/>
        <v>1</v>
      </c>
      <c r="M1007" s="53">
        <v>46045</v>
      </c>
      <c r="N1007" s="7"/>
      <c r="O1007" s="33"/>
      <c r="P1007" s="27"/>
      <c r="Q1007" s="43">
        <f t="shared" si="1407"/>
        <v>0</v>
      </c>
      <c r="R1007" s="37"/>
      <c r="S1007" s="10"/>
      <c r="T1007" s="43">
        <f t="shared" si="1408"/>
        <v>0</v>
      </c>
      <c r="U1007" s="37"/>
      <c r="V1007" s="10"/>
      <c r="W1007" s="43">
        <f t="shared" si="1409"/>
        <v>0</v>
      </c>
      <c r="X1007" s="8">
        <f t="shared" si="1410"/>
        <v>0</v>
      </c>
    </row>
    <row r="1008" spans="2:24" x14ac:dyDescent="0.15">
      <c r="B1008" s="7" t="s">
        <v>12</v>
      </c>
      <c r="C1008" s="30"/>
      <c r="D1008" s="25"/>
      <c r="E1008" s="43">
        <f t="shared" si="1397"/>
        <v>0</v>
      </c>
      <c r="F1008" s="35"/>
      <c r="G1008" s="8"/>
      <c r="H1008" s="43">
        <f t="shared" si="1390"/>
        <v>0</v>
      </c>
      <c r="I1008" s="35">
        <v>1</v>
      </c>
      <c r="J1008" s="8"/>
      <c r="K1008" s="43">
        <f t="shared" si="1391"/>
        <v>1</v>
      </c>
      <c r="L1008" s="8">
        <f t="shared" si="1392"/>
        <v>1</v>
      </c>
      <c r="M1008" s="53">
        <v>46059</v>
      </c>
      <c r="N1008" s="7"/>
      <c r="O1008" s="33"/>
      <c r="P1008" s="27"/>
      <c r="Q1008" s="43">
        <f t="shared" si="1407"/>
        <v>0</v>
      </c>
      <c r="R1008" s="37"/>
      <c r="S1008" s="10"/>
      <c r="T1008" s="43">
        <f t="shared" si="1408"/>
        <v>0</v>
      </c>
      <c r="U1008" s="37"/>
      <c r="V1008" s="10"/>
      <c r="W1008" s="43">
        <f t="shared" si="1409"/>
        <v>0</v>
      </c>
      <c r="X1008" s="8">
        <f t="shared" si="1410"/>
        <v>0</v>
      </c>
    </row>
    <row r="1009" spans="2:24" x14ac:dyDescent="0.15">
      <c r="B1009" s="7" t="s">
        <v>12</v>
      </c>
      <c r="C1009" s="30"/>
      <c r="D1009" s="25"/>
      <c r="E1009" s="43">
        <f t="shared" si="1397"/>
        <v>0</v>
      </c>
      <c r="F1009" s="35">
        <v>1</v>
      </c>
      <c r="G1009" s="8"/>
      <c r="H1009" s="43">
        <f t="shared" si="1390"/>
        <v>1</v>
      </c>
      <c r="I1009" s="35"/>
      <c r="J1009" s="8"/>
      <c r="K1009" s="43">
        <f t="shared" si="1391"/>
        <v>0</v>
      </c>
      <c r="L1009" s="8">
        <f t="shared" si="1392"/>
        <v>1</v>
      </c>
      <c r="M1009" s="53">
        <v>46073</v>
      </c>
      <c r="N1009" s="7"/>
      <c r="O1009" s="33"/>
      <c r="P1009" s="27"/>
      <c r="Q1009" s="43">
        <f t="shared" si="1407"/>
        <v>0</v>
      </c>
      <c r="R1009" s="37"/>
      <c r="S1009" s="10"/>
      <c r="T1009" s="43">
        <f t="shared" si="1408"/>
        <v>0</v>
      </c>
      <c r="U1009" s="37"/>
      <c r="V1009" s="10"/>
      <c r="W1009" s="43">
        <f t="shared" si="1409"/>
        <v>0</v>
      </c>
      <c r="X1009" s="8">
        <f t="shared" si="1410"/>
        <v>0</v>
      </c>
    </row>
    <row r="1010" spans="2:24" x14ac:dyDescent="0.15">
      <c r="B1010" s="7" t="s">
        <v>12</v>
      </c>
      <c r="C1010" s="30"/>
      <c r="D1010" s="25"/>
      <c r="E1010" s="43">
        <f t="shared" si="1397"/>
        <v>0</v>
      </c>
      <c r="F1010" s="35"/>
      <c r="G1010" s="8"/>
      <c r="H1010" s="43">
        <f t="shared" si="1390"/>
        <v>0</v>
      </c>
      <c r="I1010" s="35"/>
      <c r="J1010" s="8">
        <v>1</v>
      </c>
      <c r="K1010" s="43">
        <f t="shared" si="1391"/>
        <v>1</v>
      </c>
      <c r="L1010" s="8">
        <f t="shared" si="1392"/>
        <v>1</v>
      </c>
      <c r="M1010" s="53">
        <v>46104</v>
      </c>
      <c r="N1010" s="7"/>
      <c r="O1010" s="33"/>
      <c r="P1010" s="27"/>
      <c r="Q1010" s="43">
        <f t="shared" si="1407"/>
        <v>0</v>
      </c>
      <c r="R1010" s="37"/>
      <c r="S1010" s="10"/>
      <c r="T1010" s="43">
        <f t="shared" si="1408"/>
        <v>0</v>
      </c>
      <c r="U1010" s="37"/>
      <c r="V1010" s="10"/>
      <c r="W1010" s="43">
        <f t="shared" si="1409"/>
        <v>0</v>
      </c>
      <c r="X1010" s="8">
        <f t="shared" si="1410"/>
        <v>0</v>
      </c>
    </row>
    <row r="1011" spans="2:24" x14ac:dyDescent="0.15">
      <c r="B1011" s="7" t="s">
        <v>12</v>
      </c>
      <c r="C1011" s="30"/>
      <c r="D1011" s="25"/>
      <c r="E1011" s="43">
        <f t="shared" si="1397"/>
        <v>0</v>
      </c>
      <c r="F1011" s="35"/>
      <c r="G1011" s="8">
        <v>1</v>
      </c>
      <c r="H1011" s="43">
        <f t="shared" si="1390"/>
        <v>1</v>
      </c>
      <c r="I1011" s="35"/>
      <c r="J1011" s="8"/>
      <c r="K1011" s="43">
        <f t="shared" si="1391"/>
        <v>0</v>
      </c>
      <c r="L1011" s="8">
        <f t="shared" si="1392"/>
        <v>1</v>
      </c>
      <c r="M1011" s="53">
        <v>46107</v>
      </c>
      <c r="N1011" s="7"/>
      <c r="O1011" s="33"/>
      <c r="P1011" s="27"/>
      <c r="Q1011" s="43">
        <f t="shared" si="1407"/>
        <v>0</v>
      </c>
      <c r="R1011" s="37"/>
      <c r="S1011" s="10"/>
      <c r="T1011" s="43">
        <f t="shared" si="1408"/>
        <v>0</v>
      </c>
      <c r="U1011" s="37"/>
      <c r="V1011" s="10"/>
      <c r="W1011" s="43">
        <f t="shared" si="1409"/>
        <v>0</v>
      </c>
      <c r="X1011" s="8">
        <f t="shared" si="1410"/>
        <v>0</v>
      </c>
    </row>
    <row r="1012" spans="2:24" x14ac:dyDescent="0.15">
      <c r="B1012" s="7"/>
      <c r="C1012" s="30"/>
      <c r="D1012" s="25"/>
      <c r="E1012" s="43">
        <f t="shared" si="1397"/>
        <v>0</v>
      </c>
      <c r="F1012" s="35"/>
      <c r="G1012" s="8"/>
      <c r="H1012" s="43">
        <f t="shared" si="1390"/>
        <v>0</v>
      </c>
      <c r="I1012" s="35"/>
      <c r="J1012" s="8"/>
      <c r="K1012" s="43">
        <f t="shared" si="1391"/>
        <v>0</v>
      </c>
      <c r="L1012" s="8">
        <f t="shared" si="1392"/>
        <v>0</v>
      </c>
      <c r="M1012" s="53"/>
      <c r="N1012" s="7"/>
      <c r="O1012" s="33"/>
      <c r="P1012" s="27"/>
      <c r="Q1012" s="43">
        <f t="shared" si="1407"/>
        <v>0</v>
      </c>
      <c r="R1012" s="37"/>
      <c r="S1012" s="10"/>
      <c r="T1012" s="43">
        <f t="shared" si="1408"/>
        <v>0</v>
      </c>
      <c r="U1012" s="37"/>
      <c r="V1012" s="10"/>
      <c r="W1012" s="43">
        <f t="shared" si="1409"/>
        <v>0</v>
      </c>
      <c r="X1012" s="8">
        <f t="shared" si="1410"/>
        <v>0</v>
      </c>
    </row>
    <row r="1013" spans="2:24" x14ac:dyDescent="0.15">
      <c r="B1013" s="7"/>
      <c r="C1013" s="30"/>
      <c r="D1013" s="25"/>
      <c r="E1013" s="43">
        <f t="shared" si="1397"/>
        <v>0</v>
      </c>
      <c r="F1013" s="35"/>
      <c r="G1013" s="8"/>
      <c r="H1013" s="43">
        <f t="shared" si="1390"/>
        <v>0</v>
      </c>
      <c r="I1013" s="35"/>
      <c r="J1013" s="8"/>
      <c r="K1013" s="43">
        <f t="shared" si="1391"/>
        <v>0</v>
      </c>
      <c r="L1013" s="8">
        <f t="shared" si="1392"/>
        <v>0</v>
      </c>
      <c r="M1013" s="53"/>
      <c r="N1013" s="125"/>
      <c r="O1013" s="33"/>
      <c r="P1013" s="27"/>
      <c r="Q1013" s="43">
        <f t="shared" si="1407"/>
        <v>0</v>
      </c>
      <c r="R1013" s="37"/>
      <c r="S1013" s="10"/>
      <c r="T1013" s="43">
        <f t="shared" si="1408"/>
        <v>0</v>
      </c>
      <c r="U1013" s="37"/>
      <c r="V1013" s="10"/>
      <c r="W1013" s="43">
        <f t="shared" si="1409"/>
        <v>0</v>
      </c>
      <c r="X1013" s="8">
        <f t="shared" si="1410"/>
        <v>0</v>
      </c>
    </row>
    <row r="1014" spans="2:24" x14ac:dyDescent="0.15">
      <c r="B1014" s="7"/>
      <c r="C1014" s="30"/>
      <c r="D1014" s="25"/>
      <c r="E1014" s="43">
        <f t="shared" si="1397"/>
        <v>0</v>
      </c>
      <c r="F1014" s="35"/>
      <c r="G1014" s="8"/>
      <c r="H1014" s="43">
        <f t="shared" si="1390"/>
        <v>0</v>
      </c>
      <c r="I1014" s="35"/>
      <c r="J1014" s="8"/>
      <c r="K1014" s="43">
        <f t="shared" si="1391"/>
        <v>0</v>
      </c>
      <c r="L1014" s="8">
        <f t="shared" si="1392"/>
        <v>0</v>
      </c>
      <c r="M1014" s="53"/>
      <c r="N1014" s="125"/>
      <c r="O1014" s="33"/>
      <c r="P1014" s="27"/>
      <c r="Q1014" s="43">
        <f t="shared" si="1407"/>
        <v>0</v>
      </c>
      <c r="R1014" s="37"/>
      <c r="S1014" s="10"/>
      <c r="T1014" s="43">
        <f t="shared" si="1408"/>
        <v>0</v>
      </c>
      <c r="U1014" s="37"/>
      <c r="V1014" s="10"/>
      <c r="W1014" s="43">
        <f t="shared" si="1409"/>
        <v>0</v>
      </c>
      <c r="X1014" s="8">
        <f t="shared" si="1410"/>
        <v>0</v>
      </c>
    </row>
    <row r="1015" spans="2:24" x14ac:dyDescent="0.15">
      <c r="B1015" s="7"/>
      <c r="C1015" s="30"/>
      <c r="D1015" s="25"/>
      <c r="E1015" s="43">
        <f t="shared" si="1397"/>
        <v>0</v>
      </c>
      <c r="F1015" s="35"/>
      <c r="G1015" s="8"/>
      <c r="H1015" s="43">
        <f t="shared" si="1390"/>
        <v>0</v>
      </c>
      <c r="I1015" s="35"/>
      <c r="J1015" s="8"/>
      <c r="K1015" s="43">
        <f t="shared" si="1391"/>
        <v>0</v>
      </c>
      <c r="L1015" s="8">
        <f t="shared" si="1392"/>
        <v>0</v>
      </c>
      <c r="M1015" s="53"/>
      <c r="N1015" s="125"/>
      <c r="O1015" s="33"/>
      <c r="P1015" s="27"/>
      <c r="Q1015" s="43">
        <f t="shared" si="1407"/>
        <v>0</v>
      </c>
      <c r="R1015" s="37"/>
      <c r="S1015" s="10"/>
      <c r="T1015" s="43">
        <f t="shared" si="1408"/>
        <v>0</v>
      </c>
      <c r="U1015" s="37"/>
      <c r="V1015" s="10"/>
      <c r="W1015" s="43">
        <f t="shared" si="1409"/>
        <v>0</v>
      </c>
      <c r="X1015" s="8">
        <f t="shared" si="1410"/>
        <v>0</v>
      </c>
    </row>
    <row r="1016" spans="2:24" x14ac:dyDescent="0.15">
      <c r="B1016" s="7"/>
      <c r="C1016" s="30"/>
      <c r="D1016" s="25"/>
      <c r="E1016" s="43">
        <f t="shared" si="1397"/>
        <v>0</v>
      </c>
      <c r="F1016" s="35"/>
      <c r="G1016" s="8"/>
      <c r="H1016" s="43">
        <f t="shared" si="1390"/>
        <v>0</v>
      </c>
      <c r="I1016" s="35"/>
      <c r="J1016" s="8"/>
      <c r="K1016" s="43">
        <f t="shared" si="1391"/>
        <v>0</v>
      </c>
      <c r="L1016" s="8">
        <f t="shared" si="1392"/>
        <v>0</v>
      </c>
      <c r="M1016" s="53"/>
      <c r="N1016" s="7"/>
      <c r="O1016" s="30"/>
      <c r="P1016" s="25"/>
      <c r="Q1016" s="43">
        <f t="shared" si="1407"/>
        <v>0</v>
      </c>
      <c r="R1016" s="35"/>
      <c r="S1016" s="8"/>
      <c r="T1016" s="43">
        <f t="shared" si="1408"/>
        <v>0</v>
      </c>
      <c r="U1016" s="35"/>
      <c r="V1016" s="8"/>
      <c r="W1016" s="43">
        <f t="shared" si="1409"/>
        <v>0</v>
      </c>
      <c r="X1016" s="8">
        <f t="shared" si="1410"/>
        <v>0</v>
      </c>
    </row>
    <row r="1017" spans="2:24" x14ac:dyDescent="0.15">
      <c r="B1017" s="7"/>
      <c r="C1017" s="30"/>
      <c r="D1017" s="25"/>
      <c r="E1017" s="43">
        <f t="shared" si="1397"/>
        <v>0</v>
      </c>
      <c r="F1017" s="35"/>
      <c r="G1017" s="8"/>
      <c r="H1017" s="43">
        <f t="shared" si="1390"/>
        <v>0</v>
      </c>
      <c r="I1017" s="35"/>
      <c r="J1017" s="8"/>
      <c r="K1017" s="43">
        <f t="shared" si="1391"/>
        <v>0</v>
      </c>
      <c r="L1017" s="8">
        <f t="shared" si="1392"/>
        <v>0</v>
      </c>
      <c r="M1017" s="53"/>
      <c r="N1017" s="7"/>
      <c r="O1017" s="30"/>
      <c r="P1017" s="25"/>
      <c r="Q1017" s="43">
        <f t="shared" si="1407"/>
        <v>0</v>
      </c>
      <c r="R1017" s="35"/>
      <c r="S1017" s="8"/>
      <c r="T1017" s="43">
        <f t="shared" si="1408"/>
        <v>0</v>
      </c>
      <c r="U1017" s="35"/>
      <c r="V1017" s="8"/>
      <c r="W1017" s="43">
        <f t="shared" si="1409"/>
        <v>0</v>
      </c>
      <c r="X1017" s="8">
        <f t="shared" si="1410"/>
        <v>0</v>
      </c>
    </row>
    <row r="1018" spans="2:24" ht="14.25" thickBot="1" x14ac:dyDescent="0.2">
      <c r="B1018" s="7"/>
      <c r="C1018" s="30"/>
      <c r="D1018" s="25"/>
      <c r="E1018" s="43">
        <f t="shared" si="1397"/>
        <v>0</v>
      </c>
      <c r="F1018" s="35"/>
      <c r="G1018" s="8"/>
      <c r="H1018" s="43">
        <f t="shared" si="1390"/>
        <v>0</v>
      </c>
      <c r="I1018" s="35"/>
      <c r="J1018" s="8"/>
      <c r="K1018" s="43">
        <f t="shared" si="1391"/>
        <v>0</v>
      </c>
      <c r="L1018" s="8">
        <f t="shared" si="1392"/>
        <v>0</v>
      </c>
      <c r="N1018" s="7"/>
      <c r="O1018" s="30"/>
      <c r="P1018" s="25"/>
      <c r="Q1018" s="43">
        <f t="shared" si="1407"/>
        <v>0</v>
      </c>
      <c r="R1018" s="35"/>
      <c r="S1018" s="8"/>
      <c r="T1018" s="43">
        <f t="shared" si="1408"/>
        <v>0</v>
      </c>
      <c r="U1018" s="35"/>
      <c r="V1018" s="8"/>
      <c r="W1018" s="43">
        <f t="shared" si="1409"/>
        <v>0</v>
      </c>
      <c r="X1018" s="8">
        <f t="shared" si="1410"/>
        <v>0</v>
      </c>
    </row>
    <row r="1019" spans="2:24" ht="14.25" thickBot="1" x14ac:dyDescent="0.2">
      <c r="B1019" s="5" t="s">
        <v>1</v>
      </c>
      <c r="C1019" s="32">
        <f>SUM(C994:C1018)</f>
        <v>2</v>
      </c>
      <c r="D1019" s="19">
        <f>SUM(D994:D1018)</f>
        <v>13</v>
      </c>
      <c r="E1019" s="44">
        <f t="shared" si="1397"/>
        <v>15</v>
      </c>
      <c r="F1019" s="32">
        <f>SUM(F994:F1018)</f>
        <v>4</v>
      </c>
      <c r="G1019" s="19">
        <f>SUM(G994:G1018)</f>
        <v>2</v>
      </c>
      <c r="H1019" s="44">
        <f t="shared" si="1390"/>
        <v>6</v>
      </c>
      <c r="I1019" s="32">
        <f>SUM(I994:I1018)</f>
        <v>4</v>
      </c>
      <c r="J1019" s="19">
        <f>SUM(J994:J1018)</f>
        <v>3</v>
      </c>
      <c r="K1019" s="44">
        <f t="shared" si="1391"/>
        <v>7</v>
      </c>
      <c r="L1019" s="4">
        <f t="shared" si="1392"/>
        <v>28</v>
      </c>
      <c r="N1019" s="5" t="s">
        <v>1</v>
      </c>
      <c r="O1019" s="32">
        <f>SUM(O994:O1018)</f>
        <v>0</v>
      </c>
      <c r="P1019" s="19">
        <f t="shared" ref="P1019:X1019" si="1411">SUM(P994:P1018)</f>
        <v>0</v>
      </c>
      <c r="Q1019" s="44">
        <f t="shared" si="1411"/>
        <v>0</v>
      </c>
      <c r="R1019" s="32">
        <f t="shared" si="1411"/>
        <v>0</v>
      </c>
      <c r="S1019" s="19">
        <f t="shared" si="1411"/>
        <v>0</v>
      </c>
      <c r="T1019" s="44">
        <f t="shared" si="1411"/>
        <v>0</v>
      </c>
      <c r="U1019" s="32">
        <f t="shared" si="1411"/>
        <v>0</v>
      </c>
      <c r="V1019" s="19">
        <f t="shared" si="1411"/>
        <v>0</v>
      </c>
      <c r="W1019" s="44">
        <f t="shared" si="1411"/>
        <v>0</v>
      </c>
      <c r="X1019" s="4">
        <f t="shared" si="1411"/>
        <v>0</v>
      </c>
    </row>
    <row r="1020" spans="2:24" ht="14.25" thickBot="1" x14ac:dyDescent="0.2">
      <c r="B1020" s="3" t="s">
        <v>0</v>
      </c>
      <c r="C1020" s="34">
        <f>+C993-C1019</f>
        <v>48</v>
      </c>
      <c r="D1020" s="2">
        <f>+D993-D1019</f>
        <v>9</v>
      </c>
      <c r="E1020" s="45">
        <f t="shared" si="1397"/>
        <v>57</v>
      </c>
      <c r="F1020" s="34">
        <f>+F993-F1019</f>
        <v>11</v>
      </c>
      <c r="G1020" s="2">
        <f>+G993-G1019</f>
        <v>8</v>
      </c>
      <c r="H1020" s="45">
        <f t="shared" si="1390"/>
        <v>19</v>
      </c>
      <c r="I1020" s="34">
        <f>+I993-I1019</f>
        <v>32</v>
      </c>
      <c r="J1020" s="2">
        <f>+J993-J1019</f>
        <v>9</v>
      </c>
      <c r="K1020" s="45">
        <f t="shared" si="1391"/>
        <v>41</v>
      </c>
      <c r="L1020" s="2">
        <f t="shared" si="1392"/>
        <v>117</v>
      </c>
      <c r="N1020" s="3" t="s">
        <v>0</v>
      </c>
      <c r="O1020" s="34">
        <f>+O993-O1019</f>
        <v>706</v>
      </c>
      <c r="P1020" s="2">
        <f t="shared" ref="P1020:X1020" si="1412">+P993-P1019</f>
        <v>727</v>
      </c>
      <c r="Q1020" s="45">
        <f t="shared" si="1412"/>
        <v>1433</v>
      </c>
      <c r="R1020" s="34">
        <f t="shared" si="1412"/>
        <v>480</v>
      </c>
      <c r="S1020" s="2">
        <f t="shared" si="1412"/>
        <v>552</v>
      </c>
      <c r="T1020" s="45">
        <f t="shared" si="1412"/>
        <v>1032</v>
      </c>
      <c r="U1020" s="34">
        <f t="shared" si="1412"/>
        <v>363</v>
      </c>
      <c r="V1020" s="2">
        <f t="shared" si="1412"/>
        <v>329</v>
      </c>
      <c r="W1020" s="45">
        <f t="shared" si="1412"/>
        <v>692</v>
      </c>
      <c r="X1020" s="2">
        <f t="shared" si="1412"/>
        <v>3157</v>
      </c>
    </row>
    <row r="1023" spans="2:24" ht="31.5" customHeight="1" x14ac:dyDescent="0.3">
      <c r="B1023" s="212" t="s">
        <v>528</v>
      </c>
      <c r="C1023" s="212"/>
      <c r="D1023" s="212"/>
      <c r="E1023" s="212"/>
      <c r="F1023" s="212"/>
      <c r="G1023" s="212"/>
      <c r="H1023" s="212"/>
      <c r="I1023" s="212"/>
      <c r="J1023" s="212"/>
      <c r="K1023" s="212"/>
      <c r="L1023" s="212"/>
      <c r="M1023" s="212"/>
      <c r="N1023" s="212"/>
      <c r="O1023" s="212"/>
      <c r="P1023" s="212"/>
      <c r="Q1023" s="212"/>
      <c r="R1023" s="212"/>
      <c r="S1023" s="212"/>
      <c r="T1023" s="212"/>
      <c r="U1023" s="212"/>
      <c r="V1023" s="212"/>
      <c r="W1023" s="212"/>
      <c r="X1023" s="212"/>
    </row>
    <row r="1024" spans="2:24" ht="18.75" x14ac:dyDescent="0.2">
      <c r="B1024" s="23" t="s">
        <v>11</v>
      </c>
      <c r="C1024" s="21"/>
      <c r="D1024" s="21"/>
      <c r="E1024" s="21"/>
      <c r="F1024" s="21"/>
      <c r="G1024" s="21"/>
      <c r="H1024" s="21"/>
      <c r="I1024" s="21"/>
      <c r="J1024" s="21"/>
      <c r="K1024" s="21"/>
      <c r="L1024" s="21"/>
      <c r="N1024" s="47" t="s">
        <v>25</v>
      </c>
      <c r="O1024" s="48"/>
      <c r="P1024" s="48"/>
      <c r="Q1024" s="48"/>
      <c r="R1024" s="48"/>
      <c r="S1024" s="48"/>
      <c r="T1024" s="48"/>
      <c r="U1024" s="48"/>
      <c r="V1024" s="48"/>
      <c r="W1024" s="48"/>
      <c r="X1024" s="48"/>
    </row>
    <row r="1025" spans="2:25" ht="15" thickBot="1" x14ac:dyDescent="0.2">
      <c r="B1025" s="22" t="s">
        <v>147</v>
      </c>
      <c r="C1025" s="21"/>
      <c r="D1025" s="21"/>
      <c r="E1025" s="21"/>
      <c r="F1025" s="21"/>
      <c r="G1025" s="21"/>
      <c r="H1025" s="21"/>
      <c r="I1025" s="21"/>
      <c r="J1025" s="21"/>
      <c r="K1025" s="21"/>
      <c r="L1025" s="21"/>
      <c r="N1025" s="49" t="s">
        <v>148</v>
      </c>
      <c r="O1025" s="48"/>
      <c r="P1025" s="48"/>
      <c r="Q1025" s="48"/>
      <c r="R1025" s="48"/>
      <c r="S1025" s="48"/>
      <c r="T1025" s="48"/>
      <c r="U1025" s="48"/>
      <c r="V1025" s="48"/>
      <c r="W1025" s="48"/>
      <c r="X1025" s="48"/>
    </row>
    <row r="1026" spans="2:25" ht="14.25" thickBot="1" x14ac:dyDescent="0.2">
      <c r="B1026" s="20"/>
      <c r="C1026" s="208" t="s">
        <v>9</v>
      </c>
      <c r="D1026" s="209"/>
      <c r="E1026" s="210"/>
      <c r="F1026" s="208" t="s">
        <v>8</v>
      </c>
      <c r="G1026" s="209"/>
      <c r="H1026" s="210"/>
      <c r="I1026" s="208" t="s">
        <v>7</v>
      </c>
      <c r="J1026" s="209"/>
      <c r="K1026" s="210"/>
      <c r="L1026" s="19"/>
      <c r="N1026" s="20"/>
      <c r="O1026" s="208" t="s">
        <v>9</v>
      </c>
      <c r="P1026" s="209"/>
      <c r="Q1026" s="123">
        <v>880</v>
      </c>
      <c r="R1026" s="208" t="s">
        <v>8</v>
      </c>
      <c r="S1026" s="209"/>
      <c r="T1026" s="123">
        <v>980</v>
      </c>
      <c r="U1026" s="208" t="s">
        <v>7</v>
      </c>
      <c r="V1026" s="209"/>
      <c r="W1026" s="123">
        <v>1080</v>
      </c>
      <c r="X1026" s="19"/>
    </row>
    <row r="1027" spans="2:25" ht="14.25" thickBot="1" x14ac:dyDescent="0.2">
      <c r="B1027" s="18"/>
      <c r="C1027" s="28" t="s">
        <v>6</v>
      </c>
      <c r="D1027" s="17" t="s">
        <v>5</v>
      </c>
      <c r="E1027" s="38" t="s">
        <v>4</v>
      </c>
      <c r="F1027" s="28" t="s">
        <v>6</v>
      </c>
      <c r="G1027" s="17" t="s">
        <v>5</v>
      </c>
      <c r="H1027" s="38" t="s">
        <v>4</v>
      </c>
      <c r="I1027" s="28" t="s">
        <v>6</v>
      </c>
      <c r="J1027" s="17" t="s">
        <v>5</v>
      </c>
      <c r="K1027" s="38" t="s">
        <v>4</v>
      </c>
      <c r="L1027" s="17" t="s">
        <v>4</v>
      </c>
      <c r="N1027" s="18"/>
      <c r="O1027" s="28" t="s">
        <v>6</v>
      </c>
      <c r="P1027" s="17" t="s">
        <v>5</v>
      </c>
      <c r="Q1027" s="38" t="s">
        <v>4</v>
      </c>
      <c r="R1027" s="28" t="s">
        <v>6</v>
      </c>
      <c r="S1027" s="17" t="s">
        <v>5</v>
      </c>
      <c r="T1027" s="38" t="s">
        <v>4</v>
      </c>
      <c r="U1027" s="28" t="s">
        <v>6</v>
      </c>
      <c r="V1027" s="17" t="s">
        <v>5</v>
      </c>
      <c r="W1027" s="38" t="s">
        <v>4</v>
      </c>
      <c r="X1027" s="17" t="s">
        <v>4</v>
      </c>
    </row>
    <row r="1028" spans="2:25" x14ac:dyDescent="0.15">
      <c r="B1028" s="66" t="s">
        <v>0</v>
      </c>
      <c r="C1028" s="67">
        <f>C1020</f>
        <v>48</v>
      </c>
      <c r="D1028" s="68">
        <f t="shared" ref="D1028:K1028" si="1413">D1020</f>
        <v>9</v>
      </c>
      <c r="E1028" s="69">
        <f t="shared" si="1413"/>
        <v>57</v>
      </c>
      <c r="F1028" s="67">
        <f t="shared" si="1413"/>
        <v>11</v>
      </c>
      <c r="G1028" s="68">
        <f t="shared" si="1413"/>
        <v>8</v>
      </c>
      <c r="H1028" s="69">
        <f t="shared" si="1413"/>
        <v>19</v>
      </c>
      <c r="I1028" s="67">
        <f t="shared" si="1413"/>
        <v>32</v>
      </c>
      <c r="J1028" s="68">
        <f t="shared" si="1413"/>
        <v>9</v>
      </c>
      <c r="K1028" s="69">
        <f t="shared" si="1413"/>
        <v>41</v>
      </c>
      <c r="L1028" s="70">
        <f>SUM(K1028,H1028,E1028)</f>
        <v>117</v>
      </c>
      <c r="N1028" s="66" t="s">
        <v>0</v>
      </c>
      <c r="O1028" s="72">
        <f>O1020</f>
        <v>706</v>
      </c>
      <c r="P1028" s="80">
        <f t="shared" ref="P1028:X1028" si="1414">P1020</f>
        <v>727</v>
      </c>
      <c r="Q1028" s="69">
        <f t="shared" si="1414"/>
        <v>1433</v>
      </c>
      <c r="R1028" s="72">
        <f t="shared" si="1414"/>
        <v>480</v>
      </c>
      <c r="S1028" s="80">
        <f t="shared" si="1414"/>
        <v>552</v>
      </c>
      <c r="T1028" s="69">
        <f t="shared" si="1414"/>
        <v>1032</v>
      </c>
      <c r="U1028" s="72">
        <f t="shared" si="1414"/>
        <v>363</v>
      </c>
      <c r="V1028" s="80">
        <f t="shared" si="1414"/>
        <v>329</v>
      </c>
      <c r="W1028" s="69">
        <f t="shared" si="1414"/>
        <v>692</v>
      </c>
      <c r="X1028" s="70">
        <f t="shared" si="1414"/>
        <v>3157</v>
      </c>
    </row>
    <row r="1029" spans="2:25" x14ac:dyDescent="0.15">
      <c r="B1029" s="55" t="s">
        <v>3</v>
      </c>
      <c r="C1029" s="30"/>
      <c r="D1029" s="25">
        <v>1</v>
      </c>
      <c r="E1029" s="40">
        <f t="shared" ref="E1029:E1030" si="1415">SUM(C1029:D1029)</f>
        <v>1</v>
      </c>
      <c r="F1029" s="35"/>
      <c r="G1029" s="8"/>
      <c r="H1029" s="40">
        <f t="shared" ref="H1029:H1030" si="1416">SUM(F1029:G1029)</f>
        <v>0</v>
      </c>
      <c r="I1029" s="35"/>
      <c r="J1029" s="8"/>
      <c r="K1029" s="40">
        <f t="shared" ref="K1029:K1030" si="1417">SUM(I1029:J1029)</f>
        <v>0</v>
      </c>
      <c r="L1029" s="9">
        <f t="shared" ref="L1029:L1030" si="1418">SUM(K1029,H1029,E1029)</f>
        <v>1</v>
      </c>
      <c r="M1029" s="53">
        <v>46111</v>
      </c>
      <c r="N1029" s="55" t="s">
        <v>3</v>
      </c>
      <c r="O1029" s="62"/>
      <c r="P1029" s="81"/>
      <c r="Q1029" s="40">
        <f t="shared" ref="Q1029" si="1419">SUM(O1029:P1029)</f>
        <v>0</v>
      </c>
      <c r="R1029" s="78"/>
      <c r="S1029" s="82"/>
      <c r="T1029" s="40">
        <f t="shared" ref="T1029" si="1420">SUM(R1029:S1029)</f>
        <v>0</v>
      </c>
      <c r="U1029" s="78"/>
      <c r="V1029" s="82"/>
      <c r="W1029" s="40">
        <f t="shared" ref="W1029" si="1421">SUM(U1029:V1029)</f>
        <v>0</v>
      </c>
      <c r="X1029" s="25">
        <f t="shared" ref="X1029" si="1422">SUM(W1029,T1029,Q1029)</f>
        <v>0</v>
      </c>
    </row>
    <row r="1030" spans="2:25" x14ac:dyDescent="0.15">
      <c r="B1030" s="146" t="s">
        <v>3</v>
      </c>
      <c r="C1030" s="147"/>
      <c r="D1030" s="148">
        <v>4</v>
      </c>
      <c r="E1030" s="149">
        <f t="shared" si="1415"/>
        <v>4</v>
      </c>
      <c r="F1030" s="150"/>
      <c r="G1030" s="151"/>
      <c r="H1030" s="149">
        <f t="shared" si="1416"/>
        <v>0</v>
      </c>
      <c r="I1030" s="150"/>
      <c r="J1030" s="151"/>
      <c r="K1030" s="149">
        <f t="shared" si="1417"/>
        <v>0</v>
      </c>
      <c r="L1030" s="152">
        <f t="shared" si="1418"/>
        <v>4</v>
      </c>
      <c r="M1030" s="153">
        <v>46120</v>
      </c>
      <c r="N1030" s="55" t="s">
        <v>3</v>
      </c>
      <c r="O1030" s="62"/>
      <c r="P1030" s="81"/>
      <c r="Q1030" s="40">
        <f t="shared" ref="Q1030:Q1032" si="1423">SUM(O1030:P1030)</f>
        <v>0</v>
      </c>
      <c r="R1030" s="78"/>
      <c r="S1030" s="82"/>
      <c r="T1030" s="40">
        <f t="shared" ref="T1030:T1032" si="1424">SUM(R1030:S1030)</f>
        <v>0</v>
      </c>
      <c r="U1030" s="78"/>
      <c r="V1030" s="82"/>
      <c r="W1030" s="40">
        <f t="shared" ref="W1030:W1032" si="1425">SUM(U1030:V1030)</f>
        <v>0</v>
      </c>
      <c r="X1030" s="25">
        <f t="shared" ref="X1030:X1032" si="1426">SUM(W1030,T1030,Q1030)</f>
        <v>0</v>
      </c>
    </row>
    <row r="1031" spans="2:25" x14ac:dyDescent="0.15">
      <c r="B1031" s="146" t="s">
        <v>3</v>
      </c>
      <c r="C1031" s="147"/>
      <c r="D1031" s="148"/>
      <c r="E1031" s="149">
        <f t="shared" ref="E1031:E1061" si="1427">SUM(C1031:D1031)</f>
        <v>0</v>
      </c>
      <c r="F1031" s="150"/>
      <c r="G1031" s="151">
        <v>3</v>
      </c>
      <c r="H1031" s="149">
        <f t="shared" ref="H1031:H1061" si="1428">SUM(F1031:G1031)</f>
        <v>3</v>
      </c>
      <c r="I1031" s="150"/>
      <c r="J1031" s="151"/>
      <c r="K1031" s="149">
        <f t="shared" ref="K1031:K1061" si="1429">SUM(I1031:J1031)</f>
        <v>0</v>
      </c>
      <c r="L1031" s="152">
        <f t="shared" ref="L1031:L1061" si="1430">SUM(K1031,H1031,E1031)</f>
        <v>3</v>
      </c>
      <c r="M1031" s="153">
        <v>46128</v>
      </c>
      <c r="N1031" s="55" t="s">
        <v>3</v>
      </c>
      <c r="O1031" s="62"/>
      <c r="P1031" s="81"/>
      <c r="Q1031" s="40">
        <f t="shared" si="1423"/>
        <v>0</v>
      </c>
      <c r="R1031" s="78"/>
      <c r="S1031" s="82"/>
      <c r="T1031" s="40">
        <f t="shared" si="1424"/>
        <v>0</v>
      </c>
      <c r="U1031" s="78"/>
      <c r="V1031" s="82"/>
      <c r="W1031" s="40">
        <f t="shared" si="1425"/>
        <v>0</v>
      </c>
      <c r="X1031" s="25">
        <f t="shared" si="1426"/>
        <v>0</v>
      </c>
    </row>
    <row r="1032" spans="2:25" x14ac:dyDescent="0.15">
      <c r="B1032" s="146" t="s">
        <v>222</v>
      </c>
      <c r="C1032" s="30"/>
      <c r="D1032" s="25">
        <v>3</v>
      </c>
      <c r="E1032" s="40">
        <f t="shared" si="1427"/>
        <v>3</v>
      </c>
      <c r="F1032" s="35"/>
      <c r="G1032" s="8"/>
      <c r="H1032" s="40">
        <f t="shared" si="1428"/>
        <v>0</v>
      </c>
      <c r="I1032" s="35"/>
      <c r="J1032" s="8"/>
      <c r="K1032" s="40">
        <f t="shared" si="1429"/>
        <v>0</v>
      </c>
      <c r="L1032" s="9">
        <f t="shared" si="1430"/>
        <v>3</v>
      </c>
      <c r="M1032" s="53">
        <v>46129</v>
      </c>
      <c r="N1032" s="55" t="s">
        <v>3</v>
      </c>
      <c r="O1032" s="62"/>
      <c r="P1032" s="81"/>
      <c r="Q1032" s="40">
        <f t="shared" si="1423"/>
        <v>0</v>
      </c>
      <c r="R1032" s="78"/>
      <c r="S1032" s="82"/>
      <c r="T1032" s="40">
        <f t="shared" si="1424"/>
        <v>0</v>
      </c>
      <c r="U1032" s="78"/>
      <c r="V1032" s="82"/>
      <c r="W1032" s="40">
        <f t="shared" si="1425"/>
        <v>0</v>
      </c>
      <c r="X1032" s="25">
        <f t="shared" si="1426"/>
        <v>0</v>
      </c>
    </row>
    <row r="1033" spans="2:25" ht="14.25" thickBot="1" x14ac:dyDescent="0.2">
      <c r="B1033" s="146" t="s">
        <v>3</v>
      </c>
      <c r="C1033" s="182"/>
      <c r="D1033" s="183"/>
      <c r="E1033" s="184">
        <f t="shared" si="1427"/>
        <v>0</v>
      </c>
      <c r="F1033" s="182"/>
      <c r="G1033" s="183">
        <v>5</v>
      </c>
      <c r="H1033" s="184">
        <f t="shared" si="1428"/>
        <v>5</v>
      </c>
      <c r="I1033" s="182"/>
      <c r="J1033" s="183"/>
      <c r="K1033" s="184">
        <f t="shared" si="1429"/>
        <v>0</v>
      </c>
      <c r="L1033" s="185">
        <f t="shared" si="1430"/>
        <v>5</v>
      </c>
      <c r="M1033" s="153">
        <v>46133</v>
      </c>
      <c r="N1033" s="75" t="s">
        <v>3</v>
      </c>
      <c r="O1033" s="57"/>
      <c r="P1033" s="83"/>
      <c r="Q1033" s="41">
        <f t="shared" ref="Q1033" si="1431">SUM(O1033:P1033)</f>
        <v>0</v>
      </c>
      <c r="R1033" s="76"/>
      <c r="S1033" s="83"/>
      <c r="T1033" s="41">
        <f t="shared" ref="T1033" si="1432">SUM(R1033:S1033)</f>
        <v>0</v>
      </c>
      <c r="U1033" s="76"/>
      <c r="V1033" s="83"/>
      <c r="W1033" s="41">
        <f t="shared" ref="W1033" si="1433">SUM(U1033:V1033)</f>
        <v>0</v>
      </c>
      <c r="X1033" s="77">
        <f t="shared" ref="X1033" si="1434">SUM(W1033,T1033,Q1033)</f>
        <v>0</v>
      </c>
    </row>
    <row r="1034" spans="2:25" ht="14.25" thickBot="1" x14ac:dyDescent="0.2">
      <c r="B1034" s="5" t="s">
        <v>2</v>
      </c>
      <c r="C1034" s="32">
        <f>SUM(C1028:C1033)</f>
        <v>48</v>
      </c>
      <c r="D1034" s="19">
        <f>SUM(D1028:D1033)</f>
        <v>17</v>
      </c>
      <c r="E1034" s="42">
        <f t="shared" si="1427"/>
        <v>65</v>
      </c>
      <c r="F1034" s="32">
        <f>SUM(F1028:F1033)</f>
        <v>11</v>
      </c>
      <c r="G1034" s="19">
        <f>SUM(G1028:G1033)</f>
        <v>16</v>
      </c>
      <c r="H1034" s="42">
        <f t="shared" si="1428"/>
        <v>27</v>
      </c>
      <c r="I1034" s="32">
        <f>SUM(I1028:I1033)</f>
        <v>32</v>
      </c>
      <c r="J1034" s="19">
        <f>SUM(J1028:J1033)</f>
        <v>9</v>
      </c>
      <c r="K1034" s="42">
        <f t="shared" si="1429"/>
        <v>41</v>
      </c>
      <c r="L1034" s="13">
        <f t="shared" si="1430"/>
        <v>133</v>
      </c>
      <c r="N1034" s="63" t="s">
        <v>2</v>
      </c>
      <c r="O1034" s="73">
        <f>SUM(O1028:O1033)</f>
        <v>706</v>
      </c>
      <c r="P1034" s="74">
        <f t="shared" ref="P1034:X1034" si="1435">SUM(P1028:P1033)</f>
        <v>727</v>
      </c>
      <c r="Q1034" s="42">
        <f t="shared" si="1435"/>
        <v>1433</v>
      </c>
      <c r="R1034" s="73">
        <f t="shared" si="1435"/>
        <v>480</v>
      </c>
      <c r="S1034" s="74">
        <f t="shared" si="1435"/>
        <v>552</v>
      </c>
      <c r="T1034" s="42">
        <f t="shared" si="1435"/>
        <v>1032</v>
      </c>
      <c r="U1034" s="73">
        <f t="shared" si="1435"/>
        <v>363</v>
      </c>
      <c r="V1034" s="74">
        <f t="shared" si="1435"/>
        <v>329</v>
      </c>
      <c r="W1034" s="42">
        <f t="shared" si="1435"/>
        <v>692</v>
      </c>
      <c r="X1034" s="13">
        <f t="shared" si="1435"/>
        <v>3157</v>
      </c>
    </row>
    <row r="1035" spans="2:25" x14ac:dyDescent="0.15">
      <c r="B1035" s="7" t="s">
        <v>562</v>
      </c>
      <c r="C1035" s="30"/>
      <c r="D1035" s="25">
        <v>1</v>
      </c>
      <c r="E1035" s="43">
        <f t="shared" ref="E1035:E1043" si="1436">SUM(C1035:D1035)</f>
        <v>1</v>
      </c>
      <c r="F1035" s="35"/>
      <c r="G1035" s="8"/>
      <c r="H1035" s="43">
        <f t="shared" ref="H1035:H1043" si="1437">SUM(F1035:G1035)</f>
        <v>0</v>
      </c>
      <c r="I1035" s="35"/>
      <c r="J1035" s="8"/>
      <c r="K1035" s="43">
        <f t="shared" ref="K1035:K1043" si="1438">SUM(I1035:J1035)</f>
        <v>0</v>
      </c>
      <c r="L1035" s="8">
        <f t="shared" ref="L1035:L1043" si="1439">SUM(K1035,H1035,E1035)</f>
        <v>1</v>
      </c>
      <c r="M1035" s="53">
        <v>46108</v>
      </c>
      <c r="N1035" s="7" t="s">
        <v>564</v>
      </c>
      <c r="O1035" s="30">
        <v>10</v>
      </c>
      <c r="P1035" s="25">
        <v>5</v>
      </c>
      <c r="Q1035" s="43">
        <f t="shared" ref="Q1035:Q1049" si="1440">SUM(O1035:P1035)</f>
        <v>15</v>
      </c>
      <c r="R1035" s="35">
        <v>10</v>
      </c>
      <c r="S1035" s="8">
        <v>10</v>
      </c>
      <c r="T1035" s="43">
        <f t="shared" ref="T1035:T1049" si="1441">SUM(R1035:S1035)</f>
        <v>20</v>
      </c>
      <c r="U1035" s="35">
        <v>10</v>
      </c>
      <c r="V1035" s="8">
        <v>10</v>
      </c>
      <c r="W1035" s="43">
        <f t="shared" ref="W1035:W1049" si="1442">SUM(U1035:V1035)</f>
        <v>20</v>
      </c>
      <c r="X1035" s="8">
        <f t="shared" ref="X1035:X1049" si="1443">SUM(W1035,T1035,Q1035)</f>
        <v>55</v>
      </c>
      <c r="Y1035" s="53">
        <v>46112</v>
      </c>
    </row>
    <row r="1036" spans="2:25" x14ac:dyDescent="0.15">
      <c r="B1036" s="7" t="s">
        <v>562</v>
      </c>
      <c r="C1036" s="30"/>
      <c r="D1036" s="25">
        <v>1</v>
      </c>
      <c r="E1036" s="43">
        <f t="shared" si="1436"/>
        <v>1</v>
      </c>
      <c r="F1036" s="35"/>
      <c r="G1036" s="8"/>
      <c r="H1036" s="43">
        <f t="shared" si="1437"/>
        <v>0</v>
      </c>
      <c r="I1036" s="35"/>
      <c r="J1036" s="8"/>
      <c r="K1036" s="43">
        <f t="shared" si="1438"/>
        <v>0</v>
      </c>
      <c r="L1036" s="8">
        <f t="shared" si="1439"/>
        <v>1</v>
      </c>
      <c r="M1036" s="53">
        <v>46113</v>
      </c>
      <c r="N1036" s="7" t="s">
        <v>565</v>
      </c>
      <c r="O1036" s="30"/>
      <c r="P1036" s="25">
        <v>1</v>
      </c>
      <c r="Q1036" s="43">
        <f t="shared" si="1440"/>
        <v>1</v>
      </c>
      <c r="R1036" s="35"/>
      <c r="S1036" s="8"/>
      <c r="T1036" s="43">
        <f t="shared" si="1441"/>
        <v>0</v>
      </c>
      <c r="U1036" s="35"/>
      <c r="V1036" s="8"/>
      <c r="W1036" s="43">
        <f t="shared" si="1442"/>
        <v>0</v>
      </c>
      <c r="X1036" s="8">
        <f t="shared" si="1443"/>
        <v>1</v>
      </c>
      <c r="Y1036" s="53">
        <v>46111</v>
      </c>
    </row>
    <row r="1037" spans="2:25" x14ac:dyDescent="0.15">
      <c r="B1037" s="7" t="s">
        <v>12</v>
      </c>
      <c r="C1037" s="30"/>
      <c r="D1037" s="25"/>
      <c r="E1037" s="43">
        <f t="shared" si="1436"/>
        <v>0</v>
      </c>
      <c r="F1037" s="35"/>
      <c r="G1037" s="8">
        <v>1</v>
      </c>
      <c r="H1037" s="43">
        <f t="shared" si="1437"/>
        <v>1</v>
      </c>
      <c r="I1037" s="35"/>
      <c r="J1037" s="8"/>
      <c r="K1037" s="43">
        <f t="shared" si="1438"/>
        <v>0</v>
      </c>
      <c r="L1037" s="8">
        <f t="shared" si="1439"/>
        <v>1</v>
      </c>
      <c r="M1037" s="53">
        <v>46112</v>
      </c>
      <c r="N1037" s="7" t="s">
        <v>566</v>
      </c>
      <c r="O1037" s="30">
        <v>5</v>
      </c>
      <c r="P1037" s="25"/>
      <c r="Q1037" s="43">
        <f t="shared" si="1440"/>
        <v>5</v>
      </c>
      <c r="R1037" s="35">
        <v>15</v>
      </c>
      <c r="S1037" s="8"/>
      <c r="T1037" s="43">
        <f t="shared" si="1441"/>
        <v>15</v>
      </c>
      <c r="U1037" s="35">
        <v>10</v>
      </c>
      <c r="V1037" s="8">
        <v>25</v>
      </c>
      <c r="W1037" s="43">
        <f t="shared" si="1442"/>
        <v>35</v>
      </c>
      <c r="X1037" s="8">
        <f t="shared" si="1443"/>
        <v>55</v>
      </c>
      <c r="Y1037" s="53">
        <v>46114</v>
      </c>
    </row>
    <row r="1038" spans="2:25" x14ac:dyDescent="0.15">
      <c r="B1038" s="7" t="s">
        <v>575</v>
      </c>
      <c r="C1038" s="30"/>
      <c r="D1038" s="25">
        <v>4</v>
      </c>
      <c r="E1038" s="43">
        <f t="shared" si="1436"/>
        <v>4</v>
      </c>
      <c r="F1038" s="35"/>
      <c r="G1038" s="8"/>
      <c r="H1038" s="43">
        <f t="shared" si="1437"/>
        <v>0</v>
      </c>
      <c r="I1038" s="35"/>
      <c r="J1038" s="8"/>
      <c r="K1038" s="43">
        <f t="shared" si="1438"/>
        <v>0</v>
      </c>
      <c r="L1038" s="8">
        <f t="shared" si="1439"/>
        <v>4</v>
      </c>
      <c r="M1038" s="53">
        <v>46121</v>
      </c>
      <c r="N1038" s="7" t="s">
        <v>569</v>
      </c>
      <c r="O1038" s="30">
        <v>2</v>
      </c>
      <c r="P1038" s="25"/>
      <c r="Q1038" s="43">
        <f t="shared" si="1440"/>
        <v>2</v>
      </c>
      <c r="R1038" s="35">
        <v>1</v>
      </c>
      <c r="S1038" s="8"/>
      <c r="T1038" s="43">
        <f t="shared" si="1441"/>
        <v>1</v>
      </c>
      <c r="U1038" s="35">
        <v>1</v>
      </c>
      <c r="V1038" s="8">
        <v>2</v>
      </c>
      <c r="W1038" s="43">
        <f t="shared" si="1442"/>
        <v>3</v>
      </c>
      <c r="X1038" s="8">
        <f t="shared" si="1443"/>
        <v>6</v>
      </c>
      <c r="Y1038" s="53">
        <v>46115</v>
      </c>
    </row>
    <row r="1039" spans="2:25" x14ac:dyDescent="0.15">
      <c r="B1039" s="7" t="s">
        <v>12</v>
      </c>
      <c r="C1039" s="30"/>
      <c r="D1039" s="25"/>
      <c r="E1039" s="43">
        <f t="shared" si="1436"/>
        <v>0</v>
      </c>
      <c r="F1039" s="35"/>
      <c r="G1039" s="8">
        <v>1</v>
      </c>
      <c r="H1039" s="43">
        <f t="shared" si="1437"/>
        <v>1</v>
      </c>
      <c r="I1039" s="35"/>
      <c r="J1039" s="8">
        <v>1</v>
      </c>
      <c r="K1039" s="43">
        <f t="shared" si="1438"/>
        <v>1</v>
      </c>
      <c r="L1039" s="8">
        <f t="shared" si="1439"/>
        <v>2</v>
      </c>
      <c r="M1039" s="153">
        <v>46120</v>
      </c>
      <c r="N1039" s="7" t="s">
        <v>570</v>
      </c>
      <c r="O1039" s="30"/>
      <c r="P1039" s="25"/>
      <c r="Q1039" s="43">
        <f t="shared" si="1440"/>
        <v>0</v>
      </c>
      <c r="R1039" s="35">
        <v>10</v>
      </c>
      <c r="S1039" s="8">
        <v>10</v>
      </c>
      <c r="T1039" s="43">
        <f t="shared" si="1441"/>
        <v>20</v>
      </c>
      <c r="U1039" s="35"/>
      <c r="V1039" s="8"/>
      <c r="W1039" s="43">
        <f t="shared" si="1442"/>
        <v>0</v>
      </c>
      <c r="X1039" s="8">
        <f t="shared" si="1443"/>
        <v>20</v>
      </c>
      <c r="Y1039" s="53">
        <v>46115</v>
      </c>
    </row>
    <row r="1040" spans="2:25" x14ac:dyDescent="0.15">
      <c r="B1040" s="7" t="s">
        <v>562</v>
      </c>
      <c r="C1040" s="30"/>
      <c r="D1040" s="25"/>
      <c r="E1040" s="43">
        <f t="shared" si="1436"/>
        <v>0</v>
      </c>
      <c r="F1040" s="35"/>
      <c r="G1040" s="8"/>
      <c r="H1040" s="43">
        <f t="shared" si="1437"/>
        <v>0</v>
      </c>
      <c r="I1040" s="35">
        <v>3</v>
      </c>
      <c r="J1040" s="8"/>
      <c r="K1040" s="43">
        <f t="shared" si="1438"/>
        <v>3</v>
      </c>
      <c r="L1040" s="8">
        <f t="shared" si="1439"/>
        <v>3</v>
      </c>
      <c r="M1040" s="53">
        <v>46125</v>
      </c>
      <c r="N1040" s="7" t="s">
        <v>571</v>
      </c>
      <c r="O1040" s="30"/>
      <c r="P1040" s="25">
        <v>4</v>
      </c>
      <c r="Q1040" s="43">
        <f t="shared" si="1440"/>
        <v>4</v>
      </c>
      <c r="R1040" s="35"/>
      <c r="S1040" s="8"/>
      <c r="T1040" s="43">
        <f t="shared" si="1441"/>
        <v>0</v>
      </c>
      <c r="U1040" s="35"/>
      <c r="V1040" s="8"/>
      <c r="W1040" s="43">
        <f t="shared" si="1442"/>
        <v>0</v>
      </c>
      <c r="X1040" s="8">
        <f t="shared" si="1443"/>
        <v>4</v>
      </c>
      <c r="Y1040" s="53">
        <v>46119</v>
      </c>
    </row>
    <row r="1041" spans="2:25" x14ac:dyDescent="0.15">
      <c r="B1041" s="7" t="s">
        <v>12</v>
      </c>
      <c r="C1041" s="30"/>
      <c r="D1041" s="25"/>
      <c r="E1041" s="43">
        <f t="shared" si="1436"/>
        <v>0</v>
      </c>
      <c r="F1041" s="35"/>
      <c r="G1041" s="8"/>
      <c r="H1041" s="43">
        <f t="shared" si="1437"/>
        <v>0</v>
      </c>
      <c r="I1041" s="35">
        <v>1</v>
      </c>
      <c r="J1041" s="8"/>
      <c r="K1041" s="43">
        <f t="shared" si="1438"/>
        <v>1</v>
      </c>
      <c r="L1041" s="8">
        <f t="shared" si="1439"/>
        <v>1</v>
      </c>
      <c r="M1041" s="53">
        <v>46122</v>
      </c>
      <c r="N1041" s="7" t="s">
        <v>562</v>
      </c>
      <c r="O1041" s="30"/>
      <c r="P1041" s="25">
        <v>1</v>
      </c>
      <c r="Q1041" s="43">
        <f t="shared" si="1440"/>
        <v>1</v>
      </c>
      <c r="R1041" s="35">
        <v>1</v>
      </c>
      <c r="S1041" s="8">
        <v>6</v>
      </c>
      <c r="T1041" s="43">
        <f t="shared" si="1441"/>
        <v>7</v>
      </c>
      <c r="U1041" s="35">
        <v>1</v>
      </c>
      <c r="V1041" s="8">
        <v>6</v>
      </c>
      <c r="W1041" s="43">
        <f t="shared" si="1442"/>
        <v>7</v>
      </c>
      <c r="X1041" s="8">
        <f t="shared" si="1443"/>
        <v>15</v>
      </c>
      <c r="Y1041" s="53">
        <v>46120</v>
      </c>
    </row>
    <row r="1042" spans="2:25" x14ac:dyDescent="0.15">
      <c r="B1042" s="7" t="s">
        <v>12</v>
      </c>
      <c r="C1042" s="30"/>
      <c r="D1042" s="25"/>
      <c r="E1042" s="43">
        <f t="shared" si="1436"/>
        <v>0</v>
      </c>
      <c r="F1042" s="35"/>
      <c r="G1042" s="8">
        <v>3</v>
      </c>
      <c r="H1042" s="43">
        <f t="shared" si="1437"/>
        <v>3</v>
      </c>
      <c r="I1042" s="35">
        <v>1</v>
      </c>
      <c r="J1042" s="8">
        <v>2</v>
      </c>
      <c r="K1042" s="43">
        <f t="shared" si="1438"/>
        <v>3</v>
      </c>
      <c r="L1042" s="8">
        <f t="shared" si="1439"/>
        <v>6</v>
      </c>
      <c r="M1042" s="53">
        <v>46125</v>
      </c>
      <c r="N1042" s="7" t="s">
        <v>572</v>
      </c>
      <c r="O1042" s="30"/>
      <c r="P1042" s="25">
        <v>6</v>
      </c>
      <c r="Q1042" s="43">
        <f t="shared" si="1440"/>
        <v>6</v>
      </c>
      <c r="R1042" s="35"/>
      <c r="S1042" s="8"/>
      <c r="T1042" s="43">
        <f t="shared" si="1441"/>
        <v>0</v>
      </c>
      <c r="U1042" s="35"/>
      <c r="V1042" s="8"/>
      <c r="W1042" s="43">
        <f t="shared" si="1442"/>
        <v>0</v>
      </c>
      <c r="X1042" s="8">
        <f t="shared" si="1443"/>
        <v>6</v>
      </c>
      <c r="Y1042" s="53">
        <v>46120</v>
      </c>
    </row>
    <row r="1043" spans="2:25" x14ac:dyDescent="0.15">
      <c r="B1043" s="7" t="s">
        <v>562</v>
      </c>
      <c r="C1043" s="30"/>
      <c r="D1043" s="25"/>
      <c r="E1043" s="43">
        <f t="shared" si="1436"/>
        <v>0</v>
      </c>
      <c r="F1043" s="35"/>
      <c r="G1043" s="8">
        <v>1</v>
      </c>
      <c r="H1043" s="43">
        <f t="shared" si="1437"/>
        <v>1</v>
      </c>
      <c r="I1043" s="35"/>
      <c r="J1043" s="8"/>
      <c r="K1043" s="43">
        <f t="shared" si="1438"/>
        <v>0</v>
      </c>
      <c r="L1043" s="8">
        <f t="shared" si="1439"/>
        <v>1</v>
      </c>
      <c r="M1043" s="53">
        <v>46128</v>
      </c>
      <c r="N1043" s="181" t="s">
        <v>573</v>
      </c>
      <c r="O1043" s="30"/>
      <c r="P1043" s="25"/>
      <c r="Q1043" s="43">
        <f t="shared" si="1440"/>
        <v>0</v>
      </c>
      <c r="R1043" s="35"/>
      <c r="S1043" s="8"/>
      <c r="T1043" s="43">
        <f t="shared" si="1441"/>
        <v>0</v>
      </c>
      <c r="U1043" s="35">
        <v>30</v>
      </c>
      <c r="V1043" s="8">
        <v>30</v>
      </c>
      <c r="W1043" s="43">
        <f t="shared" si="1442"/>
        <v>60</v>
      </c>
      <c r="X1043" s="8">
        <f t="shared" si="1443"/>
        <v>60</v>
      </c>
      <c r="Y1043" s="53">
        <v>46121</v>
      </c>
    </row>
    <row r="1044" spans="2:25" x14ac:dyDescent="0.15">
      <c r="B1044" s="7" t="s">
        <v>12</v>
      </c>
      <c r="C1044" s="30"/>
      <c r="D1044" s="25">
        <v>1</v>
      </c>
      <c r="E1044" s="43">
        <f t="shared" si="1427"/>
        <v>1</v>
      </c>
      <c r="F1044" s="35"/>
      <c r="G1044" s="8"/>
      <c r="H1044" s="43">
        <f t="shared" si="1428"/>
        <v>0</v>
      </c>
      <c r="I1044" s="35"/>
      <c r="J1044" s="8"/>
      <c r="K1044" s="43">
        <f t="shared" si="1429"/>
        <v>0</v>
      </c>
      <c r="L1044" s="8">
        <f t="shared" si="1430"/>
        <v>1</v>
      </c>
      <c r="M1044" s="53">
        <v>46126</v>
      </c>
      <c r="N1044" s="7" t="s">
        <v>562</v>
      </c>
      <c r="O1044" s="30">
        <v>2</v>
      </c>
      <c r="P1044" s="25">
        <v>5</v>
      </c>
      <c r="Q1044" s="43">
        <f t="shared" si="1440"/>
        <v>7</v>
      </c>
      <c r="R1044" s="35"/>
      <c r="S1044" s="8"/>
      <c r="T1044" s="43">
        <f t="shared" si="1441"/>
        <v>0</v>
      </c>
      <c r="U1044" s="35">
        <v>2</v>
      </c>
      <c r="V1044" s="8">
        <v>1</v>
      </c>
      <c r="W1044" s="43">
        <f t="shared" si="1442"/>
        <v>3</v>
      </c>
      <c r="X1044" s="8">
        <f t="shared" si="1443"/>
        <v>10</v>
      </c>
      <c r="Y1044" s="53">
        <v>46121</v>
      </c>
    </row>
    <row r="1045" spans="2:25" x14ac:dyDescent="0.15">
      <c r="B1045" s="7" t="s">
        <v>12</v>
      </c>
      <c r="C1045" s="30"/>
      <c r="D1045" s="25"/>
      <c r="E1045" s="43">
        <f t="shared" si="1427"/>
        <v>0</v>
      </c>
      <c r="F1045" s="35">
        <v>1</v>
      </c>
      <c r="G1045" s="8"/>
      <c r="H1045" s="43">
        <f t="shared" si="1428"/>
        <v>1</v>
      </c>
      <c r="I1045" s="35"/>
      <c r="J1045" s="8"/>
      <c r="K1045" s="43">
        <f t="shared" si="1429"/>
        <v>0</v>
      </c>
      <c r="L1045" s="8">
        <f t="shared" si="1430"/>
        <v>1</v>
      </c>
      <c r="M1045" s="53">
        <v>46127</v>
      </c>
      <c r="N1045" s="7" t="s">
        <v>574</v>
      </c>
      <c r="O1045" s="30">
        <v>12</v>
      </c>
      <c r="P1045" s="25">
        <v>12</v>
      </c>
      <c r="Q1045" s="43">
        <f t="shared" si="1440"/>
        <v>24</v>
      </c>
      <c r="R1045" s="35">
        <v>12</v>
      </c>
      <c r="S1045" s="8">
        <v>12</v>
      </c>
      <c r="T1045" s="43">
        <f t="shared" si="1441"/>
        <v>24</v>
      </c>
      <c r="U1045" s="35">
        <v>12</v>
      </c>
      <c r="V1045" s="8">
        <v>12</v>
      </c>
      <c r="W1045" s="43">
        <f t="shared" si="1442"/>
        <v>24</v>
      </c>
      <c r="X1045" s="8">
        <f t="shared" si="1443"/>
        <v>72</v>
      </c>
      <c r="Y1045" s="53">
        <v>46121</v>
      </c>
    </row>
    <row r="1046" spans="2:25" x14ac:dyDescent="0.15">
      <c r="B1046" s="7" t="s">
        <v>12</v>
      </c>
      <c r="C1046" s="30"/>
      <c r="D1046" s="25">
        <v>2</v>
      </c>
      <c r="E1046" s="43">
        <f t="shared" si="1427"/>
        <v>2</v>
      </c>
      <c r="F1046" s="35"/>
      <c r="G1046" s="8"/>
      <c r="H1046" s="43">
        <f t="shared" si="1428"/>
        <v>0</v>
      </c>
      <c r="I1046" s="35"/>
      <c r="J1046" s="8"/>
      <c r="K1046" s="43">
        <f t="shared" si="1429"/>
        <v>0</v>
      </c>
      <c r="L1046" s="8">
        <f t="shared" si="1430"/>
        <v>2</v>
      </c>
      <c r="M1046" s="53">
        <v>46129</v>
      </c>
      <c r="N1046" s="7" t="s">
        <v>565</v>
      </c>
      <c r="O1046" s="30"/>
      <c r="P1046" s="25">
        <v>4</v>
      </c>
      <c r="Q1046" s="43">
        <f t="shared" si="1440"/>
        <v>4</v>
      </c>
      <c r="R1046" s="35"/>
      <c r="S1046" s="8"/>
      <c r="T1046" s="43">
        <f t="shared" si="1441"/>
        <v>0</v>
      </c>
      <c r="U1046" s="35"/>
      <c r="V1046" s="8"/>
      <c r="W1046" s="43">
        <f t="shared" si="1442"/>
        <v>0</v>
      </c>
      <c r="X1046" s="8">
        <f t="shared" si="1443"/>
        <v>4</v>
      </c>
      <c r="Y1046" s="53">
        <v>46120</v>
      </c>
    </row>
    <row r="1047" spans="2:25" x14ac:dyDescent="0.15">
      <c r="B1047" s="7" t="s">
        <v>12</v>
      </c>
      <c r="C1047" s="30"/>
      <c r="D1047" s="25"/>
      <c r="E1047" s="43">
        <f t="shared" si="1427"/>
        <v>0</v>
      </c>
      <c r="F1047" s="35"/>
      <c r="G1047" s="8">
        <v>3</v>
      </c>
      <c r="H1047" s="43">
        <f t="shared" si="1428"/>
        <v>3</v>
      </c>
      <c r="I1047" s="35">
        <v>5</v>
      </c>
      <c r="J1047" s="8">
        <v>1</v>
      </c>
      <c r="K1047" s="43">
        <f t="shared" si="1429"/>
        <v>6</v>
      </c>
      <c r="L1047" s="8">
        <f t="shared" si="1430"/>
        <v>9</v>
      </c>
      <c r="M1047" s="53">
        <v>46132</v>
      </c>
      <c r="N1047" s="7" t="s">
        <v>562</v>
      </c>
      <c r="O1047" s="30"/>
      <c r="P1047" s="25">
        <v>1</v>
      </c>
      <c r="Q1047" s="43">
        <f t="shared" si="1440"/>
        <v>1</v>
      </c>
      <c r="R1047" s="35"/>
      <c r="S1047" s="8">
        <v>2</v>
      </c>
      <c r="T1047" s="43">
        <f t="shared" si="1441"/>
        <v>2</v>
      </c>
      <c r="U1047" s="35"/>
      <c r="V1047" s="8">
        <v>3</v>
      </c>
      <c r="W1047" s="43">
        <f t="shared" si="1442"/>
        <v>3</v>
      </c>
      <c r="X1047" s="8">
        <f t="shared" si="1443"/>
        <v>6</v>
      </c>
      <c r="Y1047" s="53">
        <v>46122</v>
      </c>
    </row>
    <row r="1048" spans="2:25" x14ac:dyDescent="0.15">
      <c r="B1048" s="7" t="s">
        <v>12</v>
      </c>
      <c r="C1048" s="30"/>
      <c r="D1048" s="25"/>
      <c r="E1048" s="43">
        <f t="shared" si="1427"/>
        <v>0</v>
      </c>
      <c r="F1048" s="35">
        <v>1</v>
      </c>
      <c r="G1048" s="8">
        <v>2</v>
      </c>
      <c r="H1048" s="43">
        <f t="shared" si="1428"/>
        <v>3</v>
      </c>
      <c r="I1048" s="35"/>
      <c r="J1048" s="8"/>
      <c r="K1048" s="43">
        <f t="shared" si="1429"/>
        <v>0</v>
      </c>
      <c r="L1048" s="8">
        <f t="shared" si="1430"/>
        <v>3</v>
      </c>
      <c r="M1048" s="53">
        <v>46133</v>
      </c>
      <c r="N1048" s="7" t="s">
        <v>562</v>
      </c>
      <c r="O1048" s="30"/>
      <c r="P1048" s="25">
        <v>2</v>
      </c>
      <c r="Q1048" s="43">
        <f t="shared" si="1440"/>
        <v>2</v>
      </c>
      <c r="R1048" s="35">
        <v>3</v>
      </c>
      <c r="S1048" s="8"/>
      <c r="T1048" s="43">
        <f t="shared" si="1441"/>
        <v>3</v>
      </c>
      <c r="U1048" s="35">
        <v>2</v>
      </c>
      <c r="V1048" s="8">
        <v>1</v>
      </c>
      <c r="W1048" s="43">
        <f t="shared" si="1442"/>
        <v>3</v>
      </c>
      <c r="X1048" s="8">
        <f t="shared" si="1443"/>
        <v>8</v>
      </c>
      <c r="Y1048" s="53">
        <v>46122</v>
      </c>
    </row>
    <row r="1049" spans="2:25" x14ac:dyDescent="0.15">
      <c r="B1049" s="7"/>
      <c r="C1049" s="30"/>
      <c r="D1049" s="25"/>
      <c r="E1049" s="43">
        <f t="shared" si="1427"/>
        <v>0</v>
      </c>
      <c r="F1049" s="35"/>
      <c r="G1049" s="8"/>
      <c r="H1049" s="43">
        <f t="shared" si="1428"/>
        <v>0</v>
      </c>
      <c r="I1049" s="35"/>
      <c r="J1049" s="8"/>
      <c r="K1049" s="43">
        <f t="shared" si="1429"/>
        <v>0</v>
      </c>
      <c r="L1049" s="8">
        <f t="shared" si="1430"/>
        <v>0</v>
      </c>
      <c r="M1049" s="53"/>
      <c r="N1049" s="7" t="s">
        <v>562</v>
      </c>
      <c r="O1049" s="30">
        <v>1</v>
      </c>
      <c r="P1049" s="25"/>
      <c r="Q1049" s="43">
        <f t="shared" si="1440"/>
        <v>1</v>
      </c>
      <c r="R1049" s="35">
        <v>4</v>
      </c>
      <c r="S1049" s="8">
        <v>2</v>
      </c>
      <c r="T1049" s="43">
        <f t="shared" si="1441"/>
        <v>6</v>
      </c>
      <c r="U1049" s="35">
        <v>1</v>
      </c>
      <c r="V1049" s="8"/>
      <c r="W1049" s="43">
        <f t="shared" si="1442"/>
        <v>1</v>
      </c>
      <c r="X1049" s="8">
        <f t="shared" si="1443"/>
        <v>8</v>
      </c>
      <c r="Y1049" s="53">
        <v>46127</v>
      </c>
    </row>
    <row r="1050" spans="2:25" x14ac:dyDescent="0.15">
      <c r="B1050" s="7"/>
      <c r="C1050" s="30"/>
      <c r="D1050" s="25"/>
      <c r="E1050" s="43">
        <f t="shared" si="1427"/>
        <v>0</v>
      </c>
      <c r="F1050" s="35"/>
      <c r="G1050" s="8"/>
      <c r="H1050" s="43">
        <f t="shared" si="1428"/>
        <v>0</v>
      </c>
      <c r="I1050" s="35"/>
      <c r="J1050" s="8"/>
      <c r="K1050" s="43">
        <f t="shared" si="1429"/>
        <v>0</v>
      </c>
      <c r="L1050" s="8">
        <f t="shared" si="1430"/>
        <v>0</v>
      </c>
      <c r="M1050" s="53"/>
      <c r="N1050" s="7" t="s">
        <v>579</v>
      </c>
      <c r="O1050" s="30"/>
      <c r="P1050" s="25"/>
      <c r="Q1050" s="43">
        <f t="shared" ref="Q1050:Q1055" si="1444">SUM(O1050:P1050)</f>
        <v>0</v>
      </c>
      <c r="R1050" s="35"/>
      <c r="S1050" s="8">
        <v>3</v>
      </c>
      <c r="T1050" s="43">
        <f t="shared" ref="T1050:T1055" si="1445">SUM(R1050:S1050)</f>
        <v>3</v>
      </c>
      <c r="U1050" s="35"/>
      <c r="V1050" s="8"/>
      <c r="W1050" s="43">
        <f t="shared" ref="W1050:W1055" si="1446">SUM(U1050:V1050)</f>
        <v>0</v>
      </c>
      <c r="X1050" s="8">
        <f t="shared" ref="X1050:X1055" si="1447">SUM(W1050,T1050,Q1050)</f>
        <v>3</v>
      </c>
      <c r="Y1050" s="53">
        <v>46128</v>
      </c>
    </row>
    <row r="1051" spans="2:25" x14ac:dyDescent="0.15">
      <c r="B1051" s="7"/>
      <c r="C1051" s="30"/>
      <c r="D1051" s="25"/>
      <c r="E1051" s="43">
        <f t="shared" si="1427"/>
        <v>0</v>
      </c>
      <c r="F1051" s="35"/>
      <c r="G1051" s="8"/>
      <c r="H1051" s="43">
        <f t="shared" si="1428"/>
        <v>0</v>
      </c>
      <c r="I1051" s="35"/>
      <c r="J1051" s="8"/>
      <c r="K1051" s="43">
        <f t="shared" si="1429"/>
        <v>0</v>
      </c>
      <c r="L1051" s="8">
        <f t="shared" si="1430"/>
        <v>0</v>
      </c>
      <c r="M1051" s="53"/>
      <c r="N1051" s="7" t="s">
        <v>562</v>
      </c>
      <c r="O1051" s="30">
        <v>3</v>
      </c>
      <c r="P1051" s="25"/>
      <c r="Q1051" s="43">
        <f t="shared" si="1444"/>
        <v>3</v>
      </c>
      <c r="R1051" s="35">
        <v>3</v>
      </c>
      <c r="S1051" s="8"/>
      <c r="T1051" s="43">
        <f t="shared" si="1445"/>
        <v>3</v>
      </c>
      <c r="U1051" s="35">
        <v>2</v>
      </c>
      <c r="V1051" s="8">
        <v>1</v>
      </c>
      <c r="W1051" s="43">
        <f t="shared" si="1446"/>
        <v>3</v>
      </c>
      <c r="X1051" s="8">
        <f t="shared" si="1447"/>
        <v>9</v>
      </c>
      <c r="Y1051" s="53">
        <v>46134</v>
      </c>
    </row>
    <row r="1052" spans="2:25" x14ac:dyDescent="0.15">
      <c r="B1052" s="7"/>
      <c r="C1052" s="30"/>
      <c r="D1052" s="25"/>
      <c r="E1052" s="43">
        <f t="shared" si="1427"/>
        <v>0</v>
      </c>
      <c r="F1052" s="35"/>
      <c r="G1052" s="8"/>
      <c r="H1052" s="43">
        <f t="shared" si="1428"/>
        <v>0</v>
      </c>
      <c r="I1052" s="35"/>
      <c r="J1052" s="8"/>
      <c r="K1052" s="43">
        <f t="shared" si="1429"/>
        <v>0</v>
      </c>
      <c r="L1052" s="8">
        <f t="shared" si="1430"/>
        <v>0</v>
      </c>
      <c r="M1052" s="53"/>
      <c r="N1052" s="7" t="s">
        <v>584</v>
      </c>
      <c r="O1052" s="30"/>
      <c r="P1052" s="25">
        <v>12</v>
      </c>
      <c r="Q1052" s="43">
        <f t="shared" si="1444"/>
        <v>12</v>
      </c>
      <c r="R1052" s="35">
        <v>3</v>
      </c>
      <c r="S1052" s="8"/>
      <c r="T1052" s="43">
        <f t="shared" si="1445"/>
        <v>3</v>
      </c>
      <c r="U1052" s="35"/>
      <c r="V1052" s="8"/>
      <c r="W1052" s="43">
        <f t="shared" si="1446"/>
        <v>0</v>
      </c>
      <c r="X1052" s="8">
        <f t="shared" si="1447"/>
        <v>15</v>
      </c>
      <c r="Y1052" s="53">
        <v>46135</v>
      </c>
    </row>
    <row r="1053" spans="2:25" ht="13.5" customHeight="1" x14ac:dyDescent="0.15">
      <c r="B1053" s="7"/>
      <c r="C1053" s="30"/>
      <c r="D1053" s="25"/>
      <c r="E1053" s="43">
        <f t="shared" si="1427"/>
        <v>0</v>
      </c>
      <c r="F1053" s="35"/>
      <c r="G1053" s="8"/>
      <c r="H1053" s="43">
        <f t="shared" si="1428"/>
        <v>0</v>
      </c>
      <c r="I1053" s="35"/>
      <c r="J1053" s="8"/>
      <c r="K1053" s="43">
        <f t="shared" si="1429"/>
        <v>0</v>
      </c>
      <c r="L1053" s="8">
        <f t="shared" si="1430"/>
        <v>0</v>
      </c>
      <c r="M1053" s="53"/>
      <c r="N1053" s="155" t="s">
        <v>579</v>
      </c>
      <c r="O1053" s="147"/>
      <c r="P1053" s="148"/>
      <c r="Q1053" s="156">
        <f t="shared" si="1444"/>
        <v>0</v>
      </c>
      <c r="R1053" s="150"/>
      <c r="S1053" s="151">
        <v>5</v>
      </c>
      <c r="T1053" s="156">
        <f t="shared" si="1445"/>
        <v>5</v>
      </c>
      <c r="U1053" s="150"/>
      <c r="V1053" s="151"/>
      <c r="W1053" s="156">
        <f t="shared" si="1446"/>
        <v>0</v>
      </c>
      <c r="X1053" s="151">
        <f t="shared" si="1447"/>
        <v>5</v>
      </c>
      <c r="Y1053" s="153">
        <v>46133</v>
      </c>
    </row>
    <row r="1054" spans="2:25" x14ac:dyDescent="0.15">
      <c r="B1054" s="7"/>
      <c r="C1054" s="30"/>
      <c r="D1054" s="25"/>
      <c r="E1054" s="43">
        <f t="shared" si="1427"/>
        <v>0</v>
      </c>
      <c r="F1054" s="35"/>
      <c r="G1054" s="8"/>
      <c r="H1054" s="43">
        <f t="shared" si="1428"/>
        <v>0</v>
      </c>
      <c r="I1054" s="35"/>
      <c r="J1054" s="8"/>
      <c r="K1054" s="43">
        <f t="shared" si="1429"/>
        <v>0</v>
      </c>
      <c r="L1054" s="8">
        <f t="shared" si="1430"/>
        <v>0</v>
      </c>
      <c r="M1054" s="53"/>
      <c r="N1054" s="7"/>
      <c r="O1054" s="33"/>
      <c r="P1054" s="27"/>
      <c r="Q1054" s="43">
        <f t="shared" si="1444"/>
        <v>0</v>
      </c>
      <c r="R1054" s="37"/>
      <c r="S1054" s="10"/>
      <c r="T1054" s="43">
        <f t="shared" si="1445"/>
        <v>0</v>
      </c>
      <c r="U1054" s="37"/>
      <c r="V1054" s="10"/>
      <c r="W1054" s="43">
        <f t="shared" si="1446"/>
        <v>0</v>
      </c>
      <c r="X1054" s="8">
        <f t="shared" si="1447"/>
        <v>0</v>
      </c>
    </row>
    <row r="1055" spans="2:25" x14ac:dyDescent="0.15">
      <c r="B1055" s="7"/>
      <c r="C1055" s="30"/>
      <c r="D1055" s="25"/>
      <c r="E1055" s="43">
        <f t="shared" si="1427"/>
        <v>0</v>
      </c>
      <c r="F1055" s="35"/>
      <c r="G1055" s="8"/>
      <c r="H1055" s="43">
        <f t="shared" si="1428"/>
        <v>0</v>
      </c>
      <c r="I1055" s="35"/>
      <c r="J1055" s="8"/>
      <c r="K1055" s="43">
        <f t="shared" si="1429"/>
        <v>0</v>
      </c>
      <c r="L1055" s="8">
        <f t="shared" si="1430"/>
        <v>0</v>
      </c>
      <c r="M1055" s="53"/>
      <c r="N1055" s="7"/>
      <c r="O1055" s="33"/>
      <c r="P1055" s="27"/>
      <c r="Q1055" s="43">
        <f t="shared" si="1444"/>
        <v>0</v>
      </c>
      <c r="R1055" s="37"/>
      <c r="S1055" s="10"/>
      <c r="T1055" s="43">
        <f t="shared" si="1445"/>
        <v>0</v>
      </c>
      <c r="U1055" s="37"/>
      <c r="V1055" s="10"/>
      <c r="W1055" s="43">
        <f t="shared" si="1446"/>
        <v>0</v>
      </c>
      <c r="X1055" s="8">
        <f t="shared" si="1447"/>
        <v>0</v>
      </c>
    </row>
    <row r="1056" spans="2:25" x14ac:dyDescent="0.15">
      <c r="B1056" s="7"/>
      <c r="C1056" s="30"/>
      <c r="D1056" s="25"/>
      <c r="E1056" s="43">
        <f t="shared" si="1427"/>
        <v>0</v>
      </c>
      <c r="F1056" s="35"/>
      <c r="G1056" s="8"/>
      <c r="H1056" s="43">
        <f t="shared" si="1428"/>
        <v>0</v>
      </c>
      <c r="I1056" s="35"/>
      <c r="J1056" s="8"/>
      <c r="K1056" s="43">
        <f t="shared" si="1429"/>
        <v>0</v>
      </c>
      <c r="L1056" s="8">
        <f t="shared" si="1430"/>
        <v>0</v>
      </c>
      <c r="M1056" s="53"/>
      <c r="N1056" s="7"/>
      <c r="O1056" s="33"/>
      <c r="P1056" s="27"/>
      <c r="Q1056" s="43">
        <f t="shared" ref="Q1056" si="1448">SUM(O1056:P1056)</f>
        <v>0</v>
      </c>
      <c r="R1056" s="37"/>
      <c r="S1056" s="10"/>
      <c r="T1056" s="43">
        <f t="shared" ref="T1056" si="1449">SUM(R1056:S1056)</f>
        <v>0</v>
      </c>
      <c r="U1056" s="37"/>
      <c r="V1056" s="10"/>
      <c r="W1056" s="43">
        <f t="shared" ref="W1056" si="1450">SUM(U1056:V1056)</f>
        <v>0</v>
      </c>
      <c r="X1056" s="8">
        <f t="shared" ref="X1056" si="1451">SUM(W1056,T1056,Q1056)</f>
        <v>0</v>
      </c>
    </row>
    <row r="1057" spans="2:35" x14ac:dyDescent="0.15">
      <c r="B1057" s="7"/>
      <c r="C1057" s="30"/>
      <c r="D1057" s="25"/>
      <c r="E1057" s="43">
        <f t="shared" si="1427"/>
        <v>0</v>
      </c>
      <c r="F1057" s="35"/>
      <c r="G1057" s="8"/>
      <c r="H1057" s="43">
        <f t="shared" si="1428"/>
        <v>0</v>
      </c>
      <c r="I1057" s="35"/>
      <c r="J1057" s="8"/>
      <c r="K1057" s="43">
        <f t="shared" si="1429"/>
        <v>0</v>
      </c>
      <c r="L1057" s="8">
        <f t="shared" si="1430"/>
        <v>0</v>
      </c>
      <c r="M1057" s="53"/>
      <c r="N1057" s="7" t="s">
        <v>541</v>
      </c>
      <c r="O1057" s="30"/>
      <c r="P1057" s="25"/>
      <c r="Q1057" s="43">
        <f t="shared" ref="Q1057:Q1059" si="1452">SUM(O1057:P1057)</f>
        <v>0</v>
      </c>
      <c r="R1057" s="35"/>
      <c r="S1057" s="8"/>
      <c r="T1057" s="43">
        <f t="shared" ref="T1057:T1059" si="1453">SUM(R1057:S1057)</f>
        <v>0</v>
      </c>
      <c r="U1057" s="35"/>
      <c r="V1057" s="8"/>
      <c r="W1057" s="43">
        <f t="shared" ref="W1057:W1059" si="1454">SUM(U1057:V1057)</f>
        <v>0</v>
      </c>
      <c r="X1057" s="8">
        <f t="shared" ref="X1057:X1059" si="1455">SUM(W1057,T1057,Q1057)</f>
        <v>0</v>
      </c>
      <c r="Y1057" s="52" t="s">
        <v>542</v>
      </c>
    </row>
    <row r="1058" spans="2:35" x14ac:dyDescent="0.15">
      <c r="B1058" s="7"/>
      <c r="C1058" s="30"/>
      <c r="D1058" s="25"/>
      <c r="E1058" s="43">
        <f t="shared" si="1427"/>
        <v>0</v>
      </c>
      <c r="F1058" s="35"/>
      <c r="G1058" s="8"/>
      <c r="H1058" s="43">
        <f t="shared" si="1428"/>
        <v>0</v>
      </c>
      <c r="I1058" s="35"/>
      <c r="J1058" s="8"/>
      <c r="K1058" s="43">
        <f t="shared" si="1429"/>
        <v>0</v>
      </c>
      <c r="L1058" s="8">
        <f t="shared" si="1430"/>
        <v>0</v>
      </c>
      <c r="M1058" s="53"/>
      <c r="N1058" s="115" t="s">
        <v>540</v>
      </c>
      <c r="O1058" s="116"/>
      <c r="P1058" s="112"/>
      <c r="Q1058" s="117">
        <f t="shared" si="1452"/>
        <v>0</v>
      </c>
      <c r="R1058" s="118"/>
      <c r="S1058" s="119"/>
      <c r="T1058" s="117">
        <f t="shared" si="1453"/>
        <v>0</v>
      </c>
      <c r="U1058" s="118"/>
      <c r="V1058" s="119"/>
      <c r="W1058" s="117">
        <f t="shared" si="1454"/>
        <v>0</v>
      </c>
      <c r="X1058" s="119">
        <f t="shared" si="1455"/>
        <v>0</v>
      </c>
      <c r="Y1058" s="101"/>
    </row>
    <row r="1059" spans="2:35" ht="14.25" thickBot="1" x14ac:dyDescent="0.2">
      <c r="B1059" s="7"/>
      <c r="C1059" s="30"/>
      <c r="D1059" s="25"/>
      <c r="E1059" s="43">
        <f t="shared" si="1427"/>
        <v>0</v>
      </c>
      <c r="F1059" s="35"/>
      <c r="G1059" s="8"/>
      <c r="H1059" s="43">
        <f t="shared" si="1428"/>
        <v>0</v>
      </c>
      <c r="I1059" s="35"/>
      <c r="J1059" s="8"/>
      <c r="K1059" s="43">
        <f t="shared" si="1429"/>
        <v>0</v>
      </c>
      <c r="L1059" s="8">
        <f t="shared" si="1430"/>
        <v>0</v>
      </c>
      <c r="N1059" s="7" t="s">
        <v>536</v>
      </c>
      <c r="O1059" s="30"/>
      <c r="P1059" s="25"/>
      <c r="Q1059" s="43">
        <f t="shared" si="1452"/>
        <v>0</v>
      </c>
      <c r="R1059" s="35"/>
      <c r="S1059" s="8"/>
      <c r="T1059" s="43">
        <f t="shared" si="1453"/>
        <v>0</v>
      </c>
      <c r="U1059" s="35"/>
      <c r="V1059" s="8"/>
      <c r="W1059" s="43">
        <f t="shared" si="1454"/>
        <v>0</v>
      </c>
      <c r="X1059" s="8">
        <f t="shared" si="1455"/>
        <v>0</v>
      </c>
      <c r="Y1059" s="52" t="s">
        <v>537</v>
      </c>
    </row>
    <row r="1060" spans="2:35" ht="14.25" thickBot="1" x14ac:dyDescent="0.2">
      <c r="B1060" s="5" t="s">
        <v>1</v>
      </c>
      <c r="C1060" s="32">
        <f>SUM(C1035:C1059)</f>
        <v>0</v>
      </c>
      <c r="D1060" s="19">
        <f>SUM(D1035:D1059)</f>
        <v>9</v>
      </c>
      <c r="E1060" s="44">
        <f t="shared" si="1427"/>
        <v>9</v>
      </c>
      <c r="F1060" s="32">
        <f>SUM(F1035:F1059)</f>
        <v>2</v>
      </c>
      <c r="G1060" s="19">
        <f>SUM(G1035:G1059)</f>
        <v>11</v>
      </c>
      <c r="H1060" s="44">
        <f t="shared" si="1428"/>
        <v>13</v>
      </c>
      <c r="I1060" s="32">
        <f>SUM(I1035:I1059)</f>
        <v>10</v>
      </c>
      <c r="J1060" s="19">
        <f>SUM(J1035:J1059)</f>
        <v>4</v>
      </c>
      <c r="K1060" s="44">
        <f t="shared" si="1429"/>
        <v>14</v>
      </c>
      <c r="L1060" s="4">
        <f t="shared" si="1430"/>
        <v>36</v>
      </c>
      <c r="N1060" s="5" t="s">
        <v>1</v>
      </c>
      <c r="O1060" s="32">
        <f>SUM(O1035:O1059)</f>
        <v>35</v>
      </c>
      <c r="P1060" s="19">
        <f t="shared" ref="P1060:X1060" si="1456">SUM(P1035:P1059)</f>
        <v>53</v>
      </c>
      <c r="Q1060" s="44">
        <f t="shared" si="1456"/>
        <v>88</v>
      </c>
      <c r="R1060" s="32">
        <f t="shared" si="1456"/>
        <v>62</v>
      </c>
      <c r="S1060" s="19">
        <f t="shared" si="1456"/>
        <v>50</v>
      </c>
      <c r="T1060" s="44">
        <f t="shared" si="1456"/>
        <v>112</v>
      </c>
      <c r="U1060" s="32">
        <f t="shared" si="1456"/>
        <v>71</v>
      </c>
      <c r="V1060" s="19">
        <f t="shared" si="1456"/>
        <v>91</v>
      </c>
      <c r="W1060" s="44">
        <f t="shared" si="1456"/>
        <v>162</v>
      </c>
      <c r="X1060" s="4">
        <f t="shared" si="1456"/>
        <v>362</v>
      </c>
    </row>
    <row r="1061" spans="2:35" ht="14.25" thickBot="1" x14ac:dyDescent="0.2">
      <c r="B1061" s="3" t="s">
        <v>0</v>
      </c>
      <c r="C1061" s="34">
        <f>+C1034-C1060</f>
        <v>48</v>
      </c>
      <c r="D1061" s="2">
        <f>+D1034-D1060</f>
        <v>8</v>
      </c>
      <c r="E1061" s="45">
        <f t="shared" si="1427"/>
        <v>56</v>
      </c>
      <c r="F1061" s="34">
        <f>+F1034-F1060</f>
        <v>9</v>
      </c>
      <c r="G1061" s="2">
        <f>+G1034-G1060</f>
        <v>5</v>
      </c>
      <c r="H1061" s="45">
        <f t="shared" si="1428"/>
        <v>14</v>
      </c>
      <c r="I1061" s="34">
        <f>+I1034-I1060</f>
        <v>22</v>
      </c>
      <c r="J1061" s="2">
        <f>+J1034-J1060</f>
        <v>5</v>
      </c>
      <c r="K1061" s="45">
        <f t="shared" si="1429"/>
        <v>27</v>
      </c>
      <c r="L1061" s="2">
        <f t="shared" si="1430"/>
        <v>97</v>
      </c>
      <c r="N1061" s="59" t="s">
        <v>0</v>
      </c>
      <c r="O1061" s="60">
        <f>+O1034-O1060</f>
        <v>671</v>
      </c>
      <c r="P1061" s="61">
        <f t="shared" ref="P1061:X1061" si="1457">+P1034-P1060</f>
        <v>674</v>
      </c>
      <c r="Q1061" s="161">
        <f t="shared" si="1457"/>
        <v>1345</v>
      </c>
      <c r="R1061" s="60">
        <f t="shared" si="1457"/>
        <v>418</v>
      </c>
      <c r="S1061" s="61">
        <f t="shared" si="1457"/>
        <v>502</v>
      </c>
      <c r="T1061" s="161">
        <f t="shared" si="1457"/>
        <v>920</v>
      </c>
      <c r="U1061" s="60">
        <f t="shared" si="1457"/>
        <v>292</v>
      </c>
      <c r="V1061" s="61">
        <f t="shared" si="1457"/>
        <v>238</v>
      </c>
      <c r="W1061" s="161">
        <f t="shared" si="1457"/>
        <v>530</v>
      </c>
      <c r="X1061" s="61">
        <f t="shared" si="1457"/>
        <v>2795</v>
      </c>
    </row>
    <row r="1062" spans="2:35" x14ac:dyDescent="0.15">
      <c r="N1062" s="128" t="s">
        <v>532</v>
      </c>
      <c r="O1062" s="89"/>
      <c r="P1062" s="89"/>
      <c r="Q1062" s="85">
        <v>37.5</v>
      </c>
      <c r="R1062" s="89"/>
      <c r="S1062" s="89"/>
      <c r="T1062" s="85">
        <v>37.299999999999997</v>
      </c>
      <c r="U1062" s="89"/>
      <c r="V1062" s="89"/>
      <c r="W1062" s="85">
        <v>25.2</v>
      </c>
      <c r="Y1062" s="164"/>
      <c r="Z1062" s="81"/>
      <c r="AA1062" s="81"/>
      <c r="AB1062" s="159" t="s">
        <v>4</v>
      </c>
      <c r="AC1062" s="81"/>
      <c r="AD1062" s="81"/>
      <c r="AE1062" s="159" t="s">
        <v>4</v>
      </c>
      <c r="AF1062" s="81"/>
      <c r="AG1062" s="81"/>
      <c r="AH1062" s="159" t="s">
        <v>4</v>
      </c>
      <c r="AI1062" s="159" t="s">
        <v>531</v>
      </c>
    </row>
    <row r="1063" spans="2:35" x14ac:dyDescent="0.15">
      <c r="N1063" s="163" t="s">
        <v>533</v>
      </c>
      <c r="O1063">
        <v>46.2</v>
      </c>
      <c r="P1063">
        <v>53.8</v>
      </c>
      <c r="Q1063" s="87">
        <f>Q1034/X1034*100</f>
        <v>45.391194171681974</v>
      </c>
      <c r="R1063">
        <v>49.8</v>
      </c>
      <c r="S1063">
        <v>50.2</v>
      </c>
      <c r="T1063" s="87">
        <f>T1034/X1034*100</f>
        <v>32.689261957554635</v>
      </c>
      <c r="U1063">
        <v>47.3</v>
      </c>
      <c r="V1063">
        <v>52.7</v>
      </c>
      <c r="W1063" s="87">
        <f>W1034/X1034*100</f>
        <v>21.919543870763384</v>
      </c>
      <c r="Y1063" s="165" t="s">
        <v>529</v>
      </c>
      <c r="Z1063" s="158">
        <v>261</v>
      </c>
      <c r="AA1063" s="158">
        <v>252</v>
      </c>
      <c r="AB1063" s="158">
        <f>SUM(Z1063:AA1063)</f>
        <v>513</v>
      </c>
      <c r="AC1063" s="158">
        <v>292</v>
      </c>
      <c r="AD1063" s="158">
        <v>286</v>
      </c>
      <c r="AE1063" s="158">
        <f>SUM(AC1063:AD1063)</f>
        <v>578</v>
      </c>
      <c r="AF1063" s="158">
        <v>204</v>
      </c>
      <c r="AG1063" s="158">
        <v>188</v>
      </c>
      <c r="AH1063" s="158">
        <f>SUM(AF1063:AG1063)</f>
        <v>392</v>
      </c>
      <c r="AI1063" s="158">
        <f>AB1063+AE1063+AH1063</f>
        <v>1483</v>
      </c>
    </row>
    <row r="1064" spans="2:35" x14ac:dyDescent="0.15">
      <c r="Y1064" s="165" t="s">
        <v>530</v>
      </c>
      <c r="Z1064" s="158">
        <v>78</v>
      </c>
      <c r="AA1064" s="158">
        <v>100</v>
      </c>
      <c r="AB1064" s="158">
        <f>SUM(Z1064:AA1064)</f>
        <v>178</v>
      </c>
      <c r="AC1064" s="158">
        <v>103</v>
      </c>
      <c r="AD1064" s="158">
        <v>118</v>
      </c>
      <c r="AE1064" s="158">
        <f>SUM(AC1064:AD1064)</f>
        <v>221</v>
      </c>
      <c r="AF1064" s="158">
        <v>57</v>
      </c>
      <c r="AG1064" s="158">
        <v>80</v>
      </c>
      <c r="AH1064" s="158">
        <f>SUM(AF1064:AG1064)</f>
        <v>137</v>
      </c>
      <c r="AI1064" s="158">
        <f t="shared" ref="AI1064" si="1458">AB1064+AE1064+AH1064</f>
        <v>536</v>
      </c>
    </row>
    <row r="1065" spans="2:35" ht="18.75" x14ac:dyDescent="0.2">
      <c r="B1065" s="23" t="s">
        <v>11</v>
      </c>
      <c r="C1065" s="21"/>
      <c r="D1065" s="21"/>
      <c r="E1065" s="21"/>
      <c r="F1065" s="21"/>
      <c r="G1065" s="21"/>
      <c r="H1065" s="21"/>
      <c r="I1065" s="21"/>
      <c r="J1065" s="21"/>
      <c r="K1065" s="21"/>
      <c r="L1065" s="21"/>
      <c r="N1065" s="47" t="s">
        <v>25</v>
      </c>
      <c r="O1065" s="48"/>
      <c r="P1065" s="48"/>
      <c r="Q1065" s="48"/>
      <c r="R1065" s="48"/>
      <c r="S1065" s="48"/>
      <c r="T1065" s="48"/>
      <c r="U1065" s="48"/>
      <c r="V1065" s="48"/>
      <c r="W1065" s="48"/>
      <c r="X1065" s="48"/>
      <c r="Z1065" s="158">
        <f>SUM(Z1063:Z1064)</f>
        <v>339</v>
      </c>
      <c r="AA1065" s="158">
        <f t="shared" ref="AA1065:AI1065" si="1459">SUM(AA1063:AA1064)</f>
        <v>352</v>
      </c>
      <c r="AB1065" s="158">
        <f t="shared" si="1459"/>
        <v>691</v>
      </c>
      <c r="AC1065" s="158">
        <f t="shared" si="1459"/>
        <v>395</v>
      </c>
      <c r="AD1065" s="158">
        <f t="shared" si="1459"/>
        <v>404</v>
      </c>
      <c r="AE1065" s="158">
        <f t="shared" si="1459"/>
        <v>799</v>
      </c>
      <c r="AF1065" s="158">
        <f t="shared" si="1459"/>
        <v>261</v>
      </c>
      <c r="AG1065" s="158">
        <f t="shared" si="1459"/>
        <v>268</v>
      </c>
      <c r="AH1065" s="158">
        <f t="shared" si="1459"/>
        <v>529</v>
      </c>
      <c r="AI1065" s="158">
        <f t="shared" si="1459"/>
        <v>2019</v>
      </c>
    </row>
    <row r="1066" spans="2:35" ht="15" thickBot="1" x14ac:dyDescent="0.2">
      <c r="B1066" s="22" t="s">
        <v>147</v>
      </c>
      <c r="C1066" s="21"/>
      <c r="D1066" s="21"/>
      <c r="E1066" s="21"/>
      <c r="F1066" s="21"/>
      <c r="G1066" s="21"/>
      <c r="H1066" s="21"/>
      <c r="I1066" s="21"/>
      <c r="J1066" s="21"/>
      <c r="K1066" s="21"/>
      <c r="L1066" s="21"/>
      <c r="N1066" s="49" t="s">
        <v>148</v>
      </c>
      <c r="O1066" s="48"/>
      <c r="P1066" s="48"/>
      <c r="Q1066" s="48"/>
      <c r="R1066" s="48"/>
      <c r="S1066" s="48"/>
      <c r="T1066" s="48"/>
      <c r="U1066" s="48"/>
      <c r="V1066" s="48"/>
      <c r="W1066" s="48"/>
      <c r="X1066" s="48"/>
    </row>
    <row r="1067" spans="2:35" ht="14.25" thickBot="1" x14ac:dyDescent="0.2">
      <c r="B1067" s="20"/>
      <c r="C1067" s="208" t="s">
        <v>9</v>
      </c>
      <c r="D1067" s="209"/>
      <c r="E1067" s="210"/>
      <c r="F1067" s="208" t="s">
        <v>8</v>
      </c>
      <c r="G1067" s="209"/>
      <c r="H1067" s="210"/>
      <c r="I1067" s="208" t="s">
        <v>7</v>
      </c>
      <c r="J1067" s="209"/>
      <c r="K1067" s="210"/>
      <c r="L1067" s="19"/>
      <c r="N1067" s="20"/>
      <c r="O1067" s="208" t="s">
        <v>9</v>
      </c>
      <c r="P1067" s="209"/>
      <c r="Q1067" s="123">
        <v>880</v>
      </c>
      <c r="R1067" s="208" t="s">
        <v>8</v>
      </c>
      <c r="S1067" s="209"/>
      <c r="T1067" s="123">
        <v>980</v>
      </c>
      <c r="U1067" s="208" t="s">
        <v>7</v>
      </c>
      <c r="V1067" s="209"/>
      <c r="W1067" s="123">
        <v>1080</v>
      </c>
      <c r="X1067" s="19"/>
      <c r="Z1067" s="81"/>
      <c r="AA1067" s="81"/>
      <c r="AB1067" s="159" t="s">
        <v>4</v>
      </c>
      <c r="AC1067" s="81"/>
      <c r="AD1067" s="81"/>
      <c r="AE1067" s="159" t="s">
        <v>4</v>
      </c>
      <c r="AF1067" s="81"/>
      <c r="AG1067" s="81"/>
      <c r="AH1067" s="159" t="s">
        <v>4</v>
      </c>
      <c r="AI1067" s="159" t="s">
        <v>531</v>
      </c>
    </row>
    <row r="1068" spans="2:35" ht="14.25" thickBot="1" x14ac:dyDescent="0.2">
      <c r="B1068" s="18"/>
      <c r="C1068" s="28" t="s">
        <v>6</v>
      </c>
      <c r="D1068" s="17" t="s">
        <v>5</v>
      </c>
      <c r="E1068" s="38" t="s">
        <v>4</v>
      </c>
      <c r="F1068" s="28" t="s">
        <v>6</v>
      </c>
      <c r="G1068" s="17" t="s">
        <v>5</v>
      </c>
      <c r="H1068" s="38" t="s">
        <v>4</v>
      </c>
      <c r="I1068" s="28" t="s">
        <v>6</v>
      </c>
      <c r="J1068" s="17" t="s">
        <v>5</v>
      </c>
      <c r="K1068" s="38" t="s">
        <v>4</v>
      </c>
      <c r="L1068" s="17" t="s">
        <v>4</v>
      </c>
      <c r="N1068" s="18"/>
      <c r="O1068" s="28" t="s">
        <v>6</v>
      </c>
      <c r="P1068" s="17" t="s">
        <v>5</v>
      </c>
      <c r="Q1068" s="38" t="s">
        <v>4</v>
      </c>
      <c r="R1068" s="28" t="s">
        <v>6</v>
      </c>
      <c r="S1068" s="17" t="s">
        <v>5</v>
      </c>
      <c r="T1068" s="38" t="s">
        <v>4</v>
      </c>
      <c r="U1068" s="28" t="s">
        <v>6</v>
      </c>
      <c r="V1068" s="17" t="s">
        <v>5</v>
      </c>
      <c r="W1068" s="38" t="s">
        <v>4</v>
      </c>
      <c r="X1068" s="17" t="s">
        <v>4</v>
      </c>
      <c r="Z1068" s="158">
        <v>65</v>
      </c>
      <c r="AA1068" s="158">
        <v>97</v>
      </c>
      <c r="AB1068" s="158">
        <f>SUM(Z1068:AA1068)</f>
        <v>162</v>
      </c>
      <c r="AC1068" s="158">
        <v>0</v>
      </c>
      <c r="AD1068" s="158">
        <v>0</v>
      </c>
      <c r="AE1068" s="158">
        <f>SUM(AC1068:AD1068)</f>
        <v>0</v>
      </c>
      <c r="AF1068" s="158">
        <v>0</v>
      </c>
      <c r="AG1068" s="158">
        <v>0</v>
      </c>
      <c r="AH1068" s="158">
        <f>SUM(AF1068:AG1068)</f>
        <v>0</v>
      </c>
      <c r="AI1068" s="158">
        <f>AB1068+AE1068+AH1068</f>
        <v>162</v>
      </c>
    </row>
    <row r="1069" spans="2:35" x14ac:dyDescent="0.15">
      <c r="B1069" s="66" t="s">
        <v>0</v>
      </c>
      <c r="C1069" s="67">
        <f>C1061</f>
        <v>48</v>
      </c>
      <c r="D1069" s="68">
        <f t="shared" ref="D1069:K1069" si="1460">D1061</f>
        <v>8</v>
      </c>
      <c r="E1069" s="69">
        <f t="shared" si="1460"/>
        <v>56</v>
      </c>
      <c r="F1069" s="67">
        <f t="shared" si="1460"/>
        <v>9</v>
      </c>
      <c r="G1069" s="68">
        <f t="shared" si="1460"/>
        <v>5</v>
      </c>
      <c r="H1069" s="69">
        <f t="shared" si="1460"/>
        <v>14</v>
      </c>
      <c r="I1069" s="67">
        <f t="shared" si="1460"/>
        <v>22</v>
      </c>
      <c r="J1069" s="68">
        <f t="shared" si="1460"/>
        <v>5</v>
      </c>
      <c r="K1069" s="69">
        <f t="shared" si="1460"/>
        <v>27</v>
      </c>
      <c r="L1069" s="70">
        <f>SUM(K1069,H1069,E1069)</f>
        <v>97</v>
      </c>
      <c r="N1069" s="66" t="s">
        <v>0</v>
      </c>
      <c r="O1069" s="72">
        <f>O1061</f>
        <v>671</v>
      </c>
      <c r="P1069" s="80">
        <f t="shared" ref="P1069:X1069" si="1461">P1061</f>
        <v>674</v>
      </c>
      <c r="Q1069" s="69">
        <f t="shared" si="1461"/>
        <v>1345</v>
      </c>
      <c r="R1069" s="72">
        <f t="shared" si="1461"/>
        <v>418</v>
      </c>
      <c r="S1069" s="80">
        <f t="shared" si="1461"/>
        <v>502</v>
      </c>
      <c r="T1069" s="69">
        <f t="shared" si="1461"/>
        <v>920</v>
      </c>
      <c r="U1069" s="72">
        <f t="shared" si="1461"/>
        <v>292</v>
      </c>
      <c r="V1069" s="80">
        <f t="shared" si="1461"/>
        <v>238</v>
      </c>
      <c r="W1069" s="69">
        <f t="shared" si="1461"/>
        <v>530</v>
      </c>
      <c r="X1069" s="70">
        <f t="shared" si="1461"/>
        <v>2795</v>
      </c>
      <c r="Z1069" s="158">
        <v>220</v>
      </c>
      <c r="AA1069" s="158">
        <v>224</v>
      </c>
      <c r="AB1069" s="158">
        <f>SUM(Z1069:AA1069)</f>
        <v>444</v>
      </c>
      <c r="AC1069" s="158">
        <v>296</v>
      </c>
      <c r="AD1069" s="158">
        <v>250</v>
      </c>
      <c r="AE1069" s="158">
        <f>SUM(AC1069:AD1069)</f>
        <v>546</v>
      </c>
      <c r="AF1069" s="158">
        <v>186</v>
      </c>
      <c r="AG1069" s="158">
        <v>215</v>
      </c>
      <c r="AH1069" s="158">
        <f>SUM(AF1069:AG1069)</f>
        <v>401</v>
      </c>
      <c r="AI1069" s="158">
        <f t="shared" ref="AI1069" si="1462">AB1069+AE1069+AH1069</f>
        <v>1391</v>
      </c>
    </row>
    <row r="1070" spans="2:35" x14ac:dyDescent="0.15">
      <c r="B1070" s="55" t="s">
        <v>3</v>
      </c>
      <c r="C1070" s="30"/>
      <c r="D1070" s="25"/>
      <c r="E1070" s="40">
        <f t="shared" ref="E1070:E1071" si="1463">SUM(C1070:D1070)</f>
        <v>0</v>
      </c>
      <c r="F1070" s="35"/>
      <c r="G1070" s="8">
        <v>5</v>
      </c>
      <c r="H1070" s="40">
        <f t="shared" ref="H1070:H1102" si="1464">SUM(F1070:G1070)</f>
        <v>5</v>
      </c>
      <c r="I1070" s="35"/>
      <c r="J1070" s="8"/>
      <c r="K1070" s="40">
        <f t="shared" ref="K1070:K1102" si="1465">SUM(I1070:J1070)</f>
        <v>0</v>
      </c>
      <c r="L1070" s="9">
        <f t="shared" ref="L1070:L1102" si="1466">SUM(K1070,H1070,E1070)</f>
        <v>5</v>
      </c>
      <c r="M1070" s="53">
        <v>46142</v>
      </c>
      <c r="N1070" s="55" t="s">
        <v>3</v>
      </c>
      <c r="O1070" s="62"/>
      <c r="P1070" s="81"/>
      <c r="Q1070" s="40">
        <f t="shared" ref="Q1070:Q1074" si="1467">SUM(O1070:P1070)</f>
        <v>0</v>
      </c>
      <c r="R1070" s="78"/>
      <c r="S1070" s="82"/>
      <c r="T1070" s="40">
        <f t="shared" ref="T1070:T1074" si="1468">SUM(R1070:S1070)</f>
        <v>0</v>
      </c>
      <c r="U1070" s="78"/>
      <c r="V1070" s="82"/>
      <c r="W1070" s="40">
        <f t="shared" ref="W1070:W1074" si="1469">SUM(U1070:V1070)</f>
        <v>0</v>
      </c>
      <c r="X1070" s="25">
        <f t="shared" ref="X1070:X1074" si="1470">SUM(W1070,T1070,Q1070)</f>
        <v>0</v>
      </c>
      <c r="Z1070" s="158">
        <f>SUM(Z1068:Z1069)</f>
        <v>285</v>
      </c>
      <c r="AA1070" s="158">
        <f t="shared" ref="AA1070:AI1070" si="1471">SUM(AA1068:AA1069)</f>
        <v>321</v>
      </c>
      <c r="AB1070" s="158">
        <f t="shared" si="1471"/>
        <v>606</v>
      </c>
      <c r="AC1070" s="158">
        <f t="shared" si="1471"/>
        <v>296</v>
      </c>
      <c r="AD1070" s="158">
        <f t="shared" si="1471"/>
        <v>250</v>
      </c>
      <c r="AE1070" s="158">
        <f t="shared" si="1471"/>
        <v>546</v>
      </c>
      <c r="AF1070" s="158">
        <f t="shared" si="1471"/>
        <v>186</v>
      </c>
      <c r="AG1070" s="158">
        <f t="shared" si="1471"/>
        <v>215</v>
      </c>
      <c r="AH1070" s="158">
        <f t="shared" si="1471"/>
        <v>401</v>
      </c>
      <c r="AI1070" s="158">
        <f t="shared" si="1471"/>
        <v>1553</v>
      </c>
    </row>
    <row r="1071" spans="2:35" x14ac:dyDescent="0.15">
      <c r="B1071" s="55" t="s">
        <v>3</v>
      </c>
      <c r="C1071" s="30"/>
      <c r="D1071" s="25"/>
      <c r="E1071" s="40">
        <f t="shared" si="1463"/>
        <v>0</v>
      </c>
      <c r="F1071" s="35">
        <v>3</v>
      </c>
      <c r="G1071" s="8"/>
      <c r="H1071" s="40">
        <f t="shared" si="1464"/>
        <v>3</v>
      </c>
      <c r="I1071" s="35"/>
      <c r="J1071" s="8"/>
      <c r="K1071" s="40">
        <f t="shared" si="1465"/>
        <v>0</v>
      </c>
      <c r="L1071" s="9">
        <f t="shared" si="1466"/>
        <v>3</v>
      </c>
      <c r="M1071" s="53">
        <v>46150</v>
      </c>
      <c r="N1071" s="55" t="s">
        <v>3</v>
      </c>
      <c r="O1071" s="62"/>
      <c r="P1071" s="81"/>
      <c r="Q1071" s="40">
        <f t="shared" si="1467"/>
        <v>0</v>
      </c>
      <c r="R1071" s="78"/>
      <c r="S1071" s="82"/>
      <c r="T1071" s="40">
        <f t="shared" si="1468"/>
        <v>0</v>
      </c>
      <c r="U1071" s="78"/>
      <c r="V1071" s="82"/>
      <c r="W1071" s="40">
        <f t="shared" si="1469"/>
        <v>0</v>
      </c>
      <c r="X1071" s="25">
        <f t="shared" si="1470"/>
        <v>0</v>
      </c>
    </row>
    <row r="1072" spans="2:35" x14ac:dyDescent="0.15">
      <c r="B1072" s="146" t="s">
        <v>222</v>
      </c>
      <c r="C1072" s="30"/>
      <c r="D1072" s="25"/>
      <c r="E1072" s="40">
        <f t="shared" ref="E1072:E1102" si="1472">SUM(C1072:D1072)</f>
        <v>0</v>
      </c>
      <c r="F1072" s="35"/>
      <c r="G1072" s="8">
        <v>1</v>
      </c>
      <c r="H1072" s="40">
        <f t="shared" si="1464"/>
        <v>1</v>
      </c>
      <c r="I1072" s="35"/>
      <c r="J1072" s="8"/>
      <c r="K1072" s="40">
        <f t="shared" si="1465"/>
        <v>0</v>
      </c>
      <c r="L1072" s="9">
        <f t="shared" si="1466"/>
        <v>1</v>
      </c>
      <c r="M1072" s="53">
        <v>46157</v>
      </c>
      <c r="N1072" s="55" t="s">
        <v>3</v>
      </c>
      <c r="O1072" s="62"/>
      <c r="P1072" s="81"/>
      <c r="Q1072" s="40">
        <f t="shared" ref="Q1072" si="1473">SUM(O1072:P1072)</f>
        <v>0</v>
      </c>
      <c r="R1072" s="78"/>
      <c r="S1072" s="82"/>
      <c r="T1072" s="40">
        <f t="shared" ref="T1072" si="1474">SUM(R1072:S1072)</f>
        <v>0</v>
      </c>
      <c r="U1072" s="78"/>
      <c r="V1072" s="82"/>
      <c r="W1072" s="40">
        <f t="shared" ref="W1072" si="1475">SUM(U1072:V1072)</f>
        <v>0</v>
      </c>
      <c r="X1072" s="25">
        <f t="shared" ref="X1072" si="1476">SUM(W1072,T1072,Q1072)</f>
        <v>0</v>
      </c>
      <c r="Z1072">
        <v>152</v>
      </c>
      <c r="AA1072">
        <v>199</v>
      </c>
      <c r="AB1072">
        <f>SUM(Z1072:AA1072)</f>
        <v>351</v>
      </c>
      <c r="AC1072">
        <v>132</v>
      </c>
      <c r="AD1072">
        <v>175</v>
      </c>
      <c r="AE1072">
        <f>SUM(AC1072:AD1072)</f>
        <v>307</v>
      </c>
      <c r="AF1072">
        <v>93</v>
      </c>
      <c r="AG1072">
        <v>102</v>
      </c>
      <c r="AH1072">
        <f>SUM(AF1072:AG1072)</f>
        <v>195</v>
      </c>
      <c r="AI1072">
        <f>SUM(AH1072,AE1072,AB1072)</f>
        <v>853</v>
      </c>
    </row>
    <row r="1073" spans="2:35" x14ac:dyDescent="0.15">
      <c r="B1073" s="146" t="s">
        <v>3</v>
      </c>
      <c r="C1073" s="147"/>
      <c r="D1073" s="148"/>
      <c r="E1073" s="149">
        <f t="shared" si="1472"/>
        <v>0</v>
      </c>
      <c r="F1073" s="150">
        <v>5</v>
      </c>
      <c r="G1073" s="151">
        <v>5</v>
      </c>
      <c r="H1073" s="149">
        <f t="shared" si="1464"/>
        <v>10</v>
      </c>
      <c r="I1073" s="150"/>
      <c r="J1073" s="151">
        <v>5</v>
      </c>
      <c r="K1073" s="149">
        <f t="shared" si="1465"/>
        <v>5</v>
      </c>
      <c r="L1073" s="152">
        <f t="shared" si="1466"/>
        <v>15</v>
      </c>
      <c r="M1073" s="153">
        <v>46163</v>
      </c>
      <c r="N1073" s="55" t="s">
        <v>3</v>
      </c>
      <c r="O1073" s="62"/>
      <c r="P1073" s="81"/>
      <c r="Q1073" s="40">
        <f t="shared" si="1467"/>
        <v>0</v>
      </c>
      <c r="R1073" s="78"/>
      <c r="S1073" s="82"/>
      <c r="T1073" s="40">
        <f t="shared" si="1468"/>
        <v>0</v>
      </c>
      <c r="U1073" s="78"/>
      <c r="V1073" s="82"/>
      <c r="W1073" s="40">
        <f t="shared" si="1469"/>
        <v>0</v>
      </c>
      <c r="X1073" s="25">
        <f t="shared" si="1470"/>
        <v>0</v>
      </c>
      <c r="Z1073" s="160">
        <f>Z1072+Z1070+Z1065</f>
        <v>776</v>
      </c>
      <c r="AA1073" s="160">
        <f t="shared" ref="AA1073:AI1073" si="1477">AA1072+AA1070+AA1065</f>
        <v>872</v>
      </c>
      <c r="AB1073" s="160">
        <f t="shared" si="1477"/>
        <v>1648</v>
      </c>
      <c r="AC1073" s="160">
        <f t="shared" si="1477"/>
        <v>823</v>
      </c>
      <c r="AD1073" s="160">
        <f t="shared" si="1477"/>
        <v>829</v>
      </c>
      <c r="AE1073" s="160">
        <f t="shared" si="1477"/>
        <v>1652</v>
      </c>
      <c r="AF1073" s="160">
        <f t="shared" si="1477"/>
        <v>540</v>
      </c>
      <c r="AG1073" s="160">
        <f t="shared" si="1477"/>
        <v>585</v>
      </c>
      <c r="AH1073" s="160">
        <f t="shared" si="1477"/>
        <v>1125</v>
      </c>
      <c r="AI1073" s="160">
        <f t="shared" si="1477"/>
        <v>4425</v>
      </c>
    </row>
    <row r="1074" spans="2:35" ht="14.25" thickBot="1" x14ac:dyDescent="0.2">
      <c r="B1074" s="146" t="s">
        <v>3</v>
      </c>
      <c r="C1074" s="76"/>
      <c r="D1074" s="83"/>
      <c r="E1074" s="41">
        <f t="shared" si="1472"/>
        <v>0</v>
      </c>
      <c r="F1074" s="76"/>
      <c r="G1074" s="83"/>
      <c r="H1074" s="41">
        <f t="shared" si="1464"/>
        <v>0</v>
      </c>
      <c r="I1074" s="76"/>
      <c r="J1074" s="83"/>
      <c r="K1074" s="41">
        <f t="shared" si="1465"/>
        <v>0</v>
      </c>
      <c r="L1074" s="77">
        <f t="shared" si="1466"/>
        <v>0</v>
      </c>
      <c r="N1074" s="75" t="s">
        <v>3</v>
      </c>
      <c r="O1074" s="57"/>
      <c r="P1074" s="83"/>
      <c r="Q1074" s="41">
        <f t="shared" si="1467"/>
        <v>0</v>
      </c>
      <c r="R1074" s="76"/>
      <c r="S1074" s="83"/>
      <c r="T1074" s="41">
        <f t="shared" si="1468"/>
        <v>0</v>
      </c>
      <c r="U1074" s="76"/>
      <c r="V1074" s="83"/>
      <c r="W1074" s="41">
        <f t="shared" si="1469"/>
        <v>0</v>
      </c>
      <c r="X1074" s="77">
        <f t="shared" si="1470"/>
        <v>0</v>
      </c>
      <c r="Z1074" s="89">
        <v>129</v>
      </c>
      <c r="AA1074" s="89">
        <v>115</v>
      </c>
      <c r="AB1074" s="89">
        <f>SUM(Z1074:AA1074)</f>
        <v>244</v>
      </c>
      <c r="AC1074" s="89">
        <v>74</v>
      </c>
      <c r="AD1074" s="89">
        <v>81</v>
      </c>
      <c r="AE1074" s="89">
        <f>SUM(AC1074:AD1074)</f>
        <v>155</v>
      </c>
      <c r="AF1074" s="89">
        <v>97</v>
      </c>
      <c r="AG1074" s="89">
        <v>90</v>
      </c>
      <c r="AH1074" s="89">
        <f>SUM(AF1074:AG1074)</f>
        <v>187</v>
      </c>
      <c r="AI1074" s="89">
        <f>SUM(AH1074,AE1074,AB1074)</f>
        <v>586</v>
      </c>
    </row>
    <row r="1075" spans="2:35" ht="14.25" thickBot="1" x14ac:dyDescent="0.2">
      <c r="B1075" s="5" t="s">
        <v>2</v>
      </c>
      <c r="C1075" s="32">
        <f>SUM(C1069:C1074)</f>
        <v>48</v>
      </c>
      <c r="D1075" s="19">
        <f>SUM(D1069:D1074)</f>
        <v>8</v>
      </c>
      <c r="E1075" s="42">
        <f t="shared" si="1472"/>
        <v>56</v>
      </c>
      <c r="F1075" s="32">
        <f>SUM(F1069:F1074)</f>
        <v>17</v>
      </c>
      <c r="G1075" s="19">
        <f>SUM(G1069:G1074)</f>
        <v>16</v>
      </c>
      <c r="H1075" s="42">
        <f t="shared" si="1464"/>
        <v>33</v>
      </c>
      <c r="I1075" s="32">
        <f>SUM(I1069:I1074)</f>
        <v>22</v>
      </c>
      <c r="J1075" s="19">
        <f>SUM(J1069:J1074)</f>
        <v>10</v>
      </c>
      <c r="K1075" s="42">
        <f t="shared" si="1465"/>
        <v>32</v>
      </c>
      <c r="L1075" s="13">
        <f t="shared" si="1466"/>
        <v>121</v>
      </c>
      <c r="N1075" s="63" t="s">
        <v>2</v>
      </c>
      <c r="O1075" s="73">
        <f>SUM(O1069:O1074)</f>
        <v>671</v>
      </c>
      <c r="P1075" s="74">
        <f t="shared" ref="P1075:X1075" si="1478">SUM(P1069:P1074)</f>
        <v>674</v>
      </c>
      <c r="Q1075" s="42">
        <f t="shared" si="1478"/>
        <v>1345</v>
      </c>
      <c r="R1075" s="73">
        <f t="shared" si="1478"/>
        <v>418</v>
      </c>
      <c r="S1075" s="74">
        <f t="shared" si="1478"/>
        <v>502</v>
      </c>
      <c r="T1075" s="42">
        <f t="shared" si="1478"/>
        <v>920</v>
      </c>
      <c r="U1075" s="73">
        <f t="shared" si="1478"/>
        <v>292</v>
      </c>
      <c r="V1075" s="74">
        <f t="shared" si="1478"/>
        <v>238</v>
      </c>
      <c r="W1075" s="42">
        <f t="shared" si="1478"/>
        <v>530</v>
      </c>
      <c r="X1075" s="13">
        <f t="shared" si="1478"/>
        <v>2795</v>
      </c>
      <c r="Z1075" s="86">
        <f>Z1073-Z1074</f>
        <v>647</v>
      </c>
      <c r="AA1075" s="86">
        <f t="shared" ref="AA1075:AI1075" si="1479">AA1073-AA1074</f>
        <v>757</v>
      </c>
      <c r="AB1075" s="86">
        <f t="shared" si="1479"/>
        <v>1404</v>
      </c>
      <c r="AC1075" s="86">
        <f t="shared" si="1479"/>
        <v>749</v>
      </c>
      <c r="AD1075" s="86">
        <f t="shared" si="1479"/>
        <v>748</v>
      </c>
      <c r="AE1075" s="86">
        <f t="shared" si="1479"/>
        <v>1497</v>
      </c>
      <c r="AF1075" s="86">
        <f t="shared" si="1479"/>
        <v>443</v>
      </c>
      <c r="AG1075" s="86">
        <f t="shared" si="1479"/>
        <v>495</v>
      </c>
      <c r="AH1075" s="86">
        <f t="shared" si="1479"/>
        <v>938</v>
      </c>
      <c r="AI1075" s="86">
        <f t="shared" si="1479"/>
        <v>3839</v>
      </c>
    </row>
    <row r="1076" spans="2:35" x14ac:dyDescent="0.15">
      <c r="B1076" s="7" t="s">
        <v>586</v>
      </c>
      <c r="C1076" s="30"/>
      <c r="D1076" s="25"/>
      <c r="E1076" s="43">
        <f t="shared" si="1472"/>
        <v>0</v>
      </c>
      <c r="F1076" s="35"/>
      <c r="G1076" s="8"/>
      <c r="H1076" s="43">
        <f t="shared" si="1464"/>
        <v>0</v>
      </c>
      <c r="I1076" s="35">
        <v>1</v>
      </c>
      <c r="J1076" s="8">
        <v>1</v>
      </c>
      <c r="K1076" s="43">
        <f t="shared" si="1465"/>
        <v>2</v>
      </c>
      <c r="L1076" s="8">
        <f t="shared" si="1466"/>
        <v>2</v>
      </c>
      <c r="M1076" s="53">
        <v>46137</v>
      </c>
      <c r="N1076" s="7" t="s">
        <v>562</v>
      </c>
      <c r="O1076" s="30">
        <v>3</v>
      </c>
      <c r="P1076" s="25"/>
      <c r="Q1076" s="43">
        <f t="shared" ref="Q1076:Q1091" si="1480">SUM(O1076:P1076)</f>
        <v>3</v>
      </c>
      <c r="R1076" s="35"/>
      <c r="S1076" s="8"/>
      <c r="T1076" s="43">
        <f t="shared" ref="T1076:T1091" si="1481">SUM(R1076:S1076)</f>
        <v>0</v>
      </c>
      <c r="U1076" s="35">
        <v>2</v>
      </c>
      <c r="V1076" s="8"/>
      <c r="W1076" s="43">
        <f t="shared" ref="W1076:W1091" si="1482">SUM(U1076:V1076)</f>
        <v>2</v>
      </c>
      <c r="X1076" s="8">
        <f t="shared" ref="X1076:X1091" si="1483">SUM(W1076,T1076,Q1076)</f>
        <v>5</v>
      </c>
      <c r="Y1076" s="53">
        <v>46136</v>
      </c>
      <c r="Z1076" s="162">
        <f>Z1075/$AB$1075*100</f>
        <v>46.082621082621081</v>
      </c>
      <c r="AA1076" s="162">
        <f>AA1075/$AB$1075*100</f>
        <v>53.917378917378919</v>
      </c>
      <c r="AB1076" s="86">
        <v>37.5</v>
      </c>
      <c r="AC1076" s="162">
        <f>AC1075/$AE$1075*100</f>
        <v>50.033400133600537</v>
      </c>
      <c r="AD1076" s="162">
        <f>AD1075/$AE$1075*100</f>
        <v>49.966599866399463</v>
      </c>
      <c r="AE1076" s="86">
        <v>37.299999999999997</v>
      </c>
      <c r="AF1076" s="162">
        <f>AF1075/$AH$1075*100</f>
        <v>47.228144989339022</v>
      </c>
      <c r="AG1076" s="162">
        <f>AG1075/$AH$1075*100</f>
        <v>52.771855010660985</v>
      </c>
      <c r="AH1076" s="86">
        <v>25.2</v>
      </c>
      <c r="AI1076" s="162">
        <f>AB1076+AE1076+AH1076</f>
        <v>100</v>
      </c>
    </row>
    <row r="1077" spans="2:35" x14ac:dyDescent="0.15">
      <c r="B1077" s="7" t="s">
        <v>12</v>
      </c>
      <c r="C1077" s="30"/>
      <c r="D1077" s="25"/>
      <c r="E1077" s="43">
        <f t="shared" si="1472"/>
        <v>0</v>
      </c>
      <c r="F1077" s="35"/>
      <c r="G1077" s="8">
        <v>3</v>
      </c>
      <c r="H1077" s="43">
        <f t="shared" si="1464"/>
        <v>3</v>
      </c>
      <c r="I1077" s="35"/>
      <c r="J1077" s="8"/>
      <c r="K1077" s="43">
        <f t="shared" si="1465"/>
        <v>0</v>
      </c>
      <c r="L1077" s="8">
        <f t="shared" si="1466"/>
        <v>3</v>
      </c>
      <c r="M1077" s="53">
        <v>46139</v>
      </c>
      <c r="N1077" s="7" t="s">
        <v>562</v>
      </c>
      <c r="O1077" s="30">
        <v>1</v>
      </c>
      <c r="P1077" s="25">
        <v>1</v>
      </c>
      <c r="Q1077" s="43">
        <f t="shared" si="1480"/>
        <v>2</v>
      </c>
      <c r="R1077" s="35">
        <v>2</v>
      </c>
      <c r="S1077" s="8">
        <v>5</v>
      </c>
      <c r="T1077" s="43">
        <f t="shared" si="1481"/>
        <v>7</v>
      </c>
      <c r="U1077" s="35"/>
      <c r="V1077" s="8">
        <v>4</v>
      </c>
      <c r="W1077" s="43">
        <f t="shared" si="1482"/>
        <v>4</v>
      </c>
      <c r="X1077" s="8">
        <f t="shared" si="1483"/>
        <v>13</v>
      </c>
      <c r="Y1077" s="53">
        <v>46135</v>
      </c>
    </row>
    <row r="1078" spans="2:35" x14ac:dyDescent="0.15">
      <c r="B1078" s="7" t="s">
        <v>12</v>
      </c>
      <c r="C1078" s="30"/>
      <c r="D1078" s="25"/>
      <c r="E1078" s="43">
        <f t="shared" si="1472"/>
        <v>0</v>
      </c>
      <c r="F1078" s="35"/>
      <c r="G1078" s="8">
        <v>1</v>
      </c>
      <c r="H1078" s="43">
        <f t="shared" si="1464"/>
        <v>1</v>
      </c>
      <c r="I1078" s="35">
        <v>1</v>
      </c>
      <c r="J1078" s="8"/>
      <c r="K1078" s="43">
        <f t="shared" si="1465"/>
        <v>1</v>
      </c>
      <c r="L1078" s="8">
        <f t="shared" si="1466"/>
        <v>2</v>
      </c>
      <c r="M1078" s="53">
        <v>46140</v>
      </c>
      <c r="N1078" s="181" t="s">
        <v>585</v>
      </c>
      <c r="O1078" s="30"/>
      <c r="P1078" s="25"/>
      <c r="Q1078" s="43">
        <f t="shared" si="1480"/>
        <v>0</v>
      </c>
      <c r="R1078" s="35"/>
      <c r="S1078" s="8"/>
      <c r="T1078" s="43">
        <f t="shared" si="1481"/>
        <v>0</v>
      </c>
      <c r="U1078" s="35">
        <v>50</v>
      </c>
      <c r="V1078" s="8">
        <v>80</v>
      </c>
      <c r="W1078" s="43">
        <f t="shared" si="1482"/>
        <v>130</v>
      </c>
      <c r="X1078" s="8">
        <f t="shared" si="1483"/>
        <v>130</v>
      </c>
      <c r="Y1078" s="53">
        <v>46135</v>
      </c>
    </row>
    <row r="1079" spans="2:35" x14ac:dyDescent="0.15">
      <c r="B1079" s="7" t="s">
        <v>12</v>
      </c>
      <c r="C1079" s="30">
        <v>1</v>
      </c>
      <c r="D1079" s="25"/>
      <c r="E1079" s="43">
        <f t="shared" si="1472"/>
        <v>1</v>
      </c>
      <c r="F1079" s="35">
        <v>1</v>
      </c>
      <c r="G1079" s="8"/>
      <c r="H1079" s="43">
        <f t="shared" si="1464"/>
        <v>1</v>
      </c>
      <c r="I1079" s="35">
        <v>1</v>
      </c>
      <c r="J1079" s="8"/>
      <c r="K1079" s="43">
        <f t="shared" si="1465"/>
        <v>1</v>
      </c>
      <c r="L1079" s="8">
        <f t="shared" si="1466"/>
        <v>3</v>
      </c>
      <c r="M1079" s="53">
        <v>46143</v>
      </c>
      <c r="N1079" s="7" t="s">
        <v>562</v>
      </c>
      <c r="O1079" s="30"/>
      <c r="P1079" s="25"/>
      <c r="Q1079" s="43">
        <f t="shared" si="1480"/>
        <v>0</v>
      </c>
      <c r="R1079" s="35"/>
      <c r="S1079" s="8"/>
      <c r="T1079" s="43">
        <f t="shared" si="1481"/>
        <v>0</v>
      </c>
      <c r="U1079" s="35"/>
      <c r="V1079" s="8">
        <v>3</v>
      </c>
      <c r="W1079" s="43">
        <f t="shared" si="1482"/>
        <v>3</v>
      </c>
      <c r="X1079" s="8">
        <f t="shared" si="1483"/>
        <v>3</v>
      </c>
      <c r="Y1079" s="53">
        <v>46139</v>
      </c>
    </row>
    <row r="1080" spans="2:35" x14ac:dyDescent="0.15">
      <c r="B1080" s="7" t="s">
        <v>12</v>
      </c>
      <c r="C1080" s="30"/>
      <c r="D1080" s="25"/>
      <c r="E1080" s="43">
        <f t="shared" si="1472"/>
        <v>0</v>
      </c>
      <c r="F1080" s="35">
        <v>5</v>
      </c>
      <c r="G1080" s="8">
        <v>1</v>
      </c>
      <c r="H1080" s="43">
        <f t="shared" si="1464"/>
        <v>6</v>
      </c>
      <c r="I1080" s="35"/>
      <c r="J1080" s="8"/>
      <c r="K1080" s="43">
        <f t="shared" si="1465"/>
        <v>0</v>
      </c>
      <c r="L1080" s="8">
        <f t="shared" si="1466"/>
        <v>6</v>
      </c>
      <c r="M1080" s="53">
        <v>46149</v>
      </c>
      <c r="N1080" s="7" t="s">
        <v>562</v>
      </c>
      <c r="O1080" s="30"/>
      <c r="P1080" s="25"/>
      <c r="Q1080" s="43">
        <f t="shared" si="1480"/>
        <v>0</v>
      </c>
      <c r="R1080" s="35">
        <v>8</v>
      </c>
      <c r="S1080" s="8">
        <v>1</v>
      </c>
      <c r="T1080" s="43">
        <f t="shared" si="1481"/>
        <v>9</v>
      </c>
      <c r="U1080" s="35"/>
      <c r="V1080" s="8"/>
      <c r="W1080" s="43">
        <f t="shared" si="1482"/>
        <v>0</v>
      </c>
      <c r="X1080" s="8">
        <f t="shared" si="1483"/>
        <v>9</v>
      </c>
      <c r="Y1080" s="53">
        <v>46140</v>
      </c>
    </row>
    <row r="1081" spans="2:35" x14ac:dyDescent="0.15">
      <c r="B1081" s="7" t="s">
        <v>604</v>
      </c>
      <c r="C1081" s="30"/>
      <c r="D1081" s="25"/>
      <c r="E1081" s="43">
        <f t="shared" si="1472"/>
        <v>0</v>
      </c>
      <c r="F1081" s="35"/>
      <c r="G1081" s="8"/>
      <c r="H1081" s="43">
        <f t="shared" si="1464"/>
        <v>0</v>
      </c>
      <c r="I1081" s="35">
        <v>1</v>
      </c>
      <c r="J1081" s="8"/>
      <c r="K1081" s="43">
        <f t="shared" si="1465"/>
        <v>1</v>
      </c>
      <c r="L1081" s="8">
        <f t="shared" si="1466"/>
        <v>1</v>
      </c>
      <c r="M1081" s="53">
        <v>46154</v>
      </c>
      <c r="N1081" s="7" t="s">
        <v>597</v>
      </c>
      <c r="O1081" s="30"/>
      <c r="P1081" s="25"/>
      <c r="Q1081" s="43">
        <f t="shared" si="1480"/>
        <v>0</v>
      </c>
      <c r="R1081" s="35"/>
      <c r="S1081" s="8"/>
      <c r="T1081" s="43">
        <f t="shared" si="1481"/>
        <v>0</v>
      </c>
      <c r="U1081" s="35">
        <v>15</v>
      </c>
      <c r="V1081" s="8"/>
      <c r="W1081" s="43">
        <f t="shared" si="1482"/>
        <v>15</v>
      </c>
      <c r="X1081" s="8">
        <f t="shared" si="1483"/>
        <v>15</v>
      </c>
      <c r="Y1081" s="53">
        <v>46141</v>
      </c>
    </row>
    <row r="1082" spans="2:35" x14ac:dyDescent="0.15">
      <c r="B1082" s="7" t="s">
        <v>12</v>
      </c>
      <c r="C1082" s="30"/>
      <c r="D1082" s="25"/>
      <c r="E1082" s="43">
        <f t="shared" si="1472"/>
        <v>0</v>
      </c>
      <c r="F1082" s="35">
        <v>1</v>
      </c>
      <c r="G1082" s="8"/>
      <c r="H1082" s="43">
        <f t="shared" si="1464"/>
        <v>1</v>
      </c>
      <c r="I1082" s="35">
        <v>1</v>
      </c>
      <c r="J1082" s="8"/>
      <c r="K1082" s="43">
        <f t="shared" si="1465"/>
        <v>1</v>
      </c>
      <c r="L1082" s="8">
        <f t="shared" si="1466"/>
        <v>2</v>
      </c>
      <c r="M1082" s="53">
        <v>46153</v>
      </c>
      <c r="N1082" s="7" t="s">
        <v>562</v>
      </c>
      <c r="O1082" s="30">
        <v>1</v>
      </c>
      <c r="P1082" s="25"/>
      <c r="Q1082" s="43">
        <f t="shared" si="1480"/>
        <v>1</v>
      </c>
      <c r="R1082" s="35">
        <v>3</v>
      </c>
      <c r="S1082" s="8"/>
      <c r="T1082" s="43">
        <f t="shared" si="1481"/>
        <v>3</v>
      </c>
      <c r="U1082" s="35">
        <v>1</v>
      </c>
      <c r="V1082" s="8"/>
      <c r="W1082" s="43">
        <f t="shared" si="1482"/>
        <v>1</v>
      </c>
      <c r="X1082" s="8">
        <f t="shared" si="1483"/>
        <v>5</v>
      </c>
      <c r="Y1082" s="53">
        <v>46142</v>
      </c>
    </row>
    <row r="1083" spans="2:35" x14ac:dyDescent="0.15">
      <c r="B1083" s="7" t="s">
        <v>12</v>
      </c>
      <c r="C1083" s="30"/>
      <c r="D1083" s="25"/>
      <c r="E1083" s="43">
        <f t="shared" si="1472"/>
        <v>0</v>
      </c>
      <c r="F1083" s="35"/>
      <c r="G1083" s="8"/>
      <c r="H1083" s="43">
        <f t="shared" si="1464"/>
        <v>0</v>
      </c>
      <c r="I1083" s="35">
        <v>1</v>
      </c>
      <c r="J1083" s="8"/>
      <c r="K1083" s="43">
        <f t="shared" si="1465"/>
        <v>1</v>
      </c>
      <c r="L1083" s="8">
        <f t="shared" si="1466"/>
        <v>1</v>
      </c>
      <c r="M1083" s="53">
        <v>46154</v>
      </c>
      <c r="N1083" s="7" t="s">
        <v>579</v>
      </c>
      <c r="O1083" s="30"/>
      <c r="P1083" s="25"/>
      <c r="Q1083" s="43">
        <f t="shared" si="1480"/>
        <v>0</v>
      </c>
      <c r="R1083" s="35"/>
      <c r="S1083" s="8">
        <v>5</v>
      </c>
      <c r="T1083" s="43">
        <f t="shared" si="1481"/>
        <v>5</v>
      </c>
      <c r="U1083" s="35"/>
      <c r="V1083" s="8"/>
      <c r="W1083" s="43">
        <f t="shared" si="1482"/>
        <v>0</v>
      </c>
      <c r="X1083" s="8">
        <f t="shared" si="1483"/>
        <v>5</v>
      </c>
      <c r="Y1083" s="53">
        <v>46142</v>
      </c>
    </row>
    <row r="1084" spans="2:35" x14ac:dyDescent="0.15">
      <c r="B1084" s="7" t="s">
        <v>12</v>
      </c>
      <c r="C1084" s="30"/>
      <c r="D1084" s="25"/>
      <c r="E1084" s="43">
        <f t="shared" si="1472"/>
        <v>0</v>
      </c>
      <c r="F1084" s="35"/>
      <c r="G1084" s="8">
        <v>1</v>
      </c>
      <c r="H1084" s="43">
        <f t="shared" si="1464"/>
        <v>1</v>
      </c>
      <c r="I1084" s="35"/>
      <c r="J1084" s="8"/>
      <c r="K1084" s="43">
        <f t="shared" si="1465"/>
        <v>0</v>
      </c>
      <c r="L1084" s="8">
        <f t="shared" si="1466"/>
        <v>1</v>
      </c>
      <c r="M1084" s="53">
        <v>46155</v>
      </c>
      <c r="N1084" s="7" t="s">
        <v>562</v>
      </c>
      <c r="O1084" s="30"/>
      <c r="P1084" s="25"/>
      <c r="Q1084" s="43">
        <f t="shared" si="1480"/>
        <v>0</v>
      </c>
      <c r="R1084" s="35">
        <v>7</v>
      </c>
      <c r="S1084" s="8">
        <v>10</v>
      </c>
      <c r="T1084" s="43">
        <f t="shared" si="1481"/>
        <v>17</v>
      </c>
      <c r="U1084" s="35"/>
      <c r="V1084" s="8">
        <v>1</v>
      </c>
      <c r="W1084" s="43">
        <f t="shared" si="1482"/>
        <v>1</v>
      </c>
      <c r="X1084" s="8">
        <f t="shared" si="1483"/>
        <v>18</v>
      </c>
      <c r="Y1084" s="53">
        <v>46143</v>
      </c>
    </row>
    <row r="1085" spans="2:35" x14ac:dyDescent="0.15">
      <c r="B1085" s="7" t="s">
        <v>608</v>
      </c>
      <c r="C1085" s="30"/>
      <c r="D1085" s="25"/>
      <c r="E1085" s="43">
        <f t="shared" si="1472"/>
        <v>0</v>
      </c>
      <c r="F1085" s="35"/>
      <c r="G1085" s="8">
        <v>-1</v>
      </c>
      <c r="H1085" s="43">
        <f t="shared" si="1464"/>
        <v>-1</v>
      </c>
      <c r="I1085" s="35"/>
      <c r="J1085" s="8"/>
      <c r="K1085" s="43">
        <f t="shared" si="1465"/>
        <v>0</v>
      </c>
      <c r="L1085" s="8">
        <f t="shared" si="1466"/>
        <v>-1</v>
      </c>
      <c r="M1085" s="53">
        <v>46156</v>
      </c>
      <c r="N1085" s="7" t="s">
        <v>562</v>
      </c>
      <c r="O1085" s="30">
        <v>3</v>
      </c>
      <c r="P1085" s="25"/>
      <c r="Q1085" s="43">
        <f t="shared" si="1480"/>
        <v>3</v>
      </c>
      <c r="R1085" s="35"/>
      <c r="S1085" s="8"/>
      <c r="T1085" s="43">
        <f t="shared" si="1481"/>
        <v>0</v>
      </c>
      <c r="U1085" s="35">
        <v>3</v>
      </c>
      <c r="V1085" s="8">
        <v>2</v>
      </c>
      <c r="W1085" s="43">
        <f t="shared" si="1482"/>
        <v>5</v>
      </c>
      <c r="X1085" s="8">
        <f t="shared" si="1483"/>
        <v>8</v>
      </c>
      <c r="Y1085" s="53">
        <v>46149</v>
      </c>
    </row>
    <row r="1086" spans="2:35" x14ac:dyDescent="0.15">
      <c r="B1086" s="7" t="s">
        <v>12</v>
      </c>
      <c r="C1086" s="30"/>
      <c r="D1086" s="25"/>
      <c r="E1086" s="43">
        <f t="shared" si="1472"/>
        <v>0</v>
      </c>
      <c r="F1086" s="35"/>
      <c r="G1086" s="8"/>
      <c r="H1086" s="43">
        <f t="shared" si="1464"/>
        <v>0</v>
      </c>
      <c r="I1086" s="35"/>
      <c r="J1086" s="8">
        <v>1</v>
      </c>
      <c r="K1086" s="43">
        <f t="shared" si="1465"/>
        <v>1</v>
      </c>
      <c r="L1086" s="8">
        <f t="shared" si="1466"/>
        <v>1</v>
      </c>
      <c r="M1086" s="53">
        <v>46157</v>
      </c>
      <c r="N1086" s="7" t="s">
        <v>562</v>
      </c>
      <c r="O1086" s="30"/>
      <c r="P1086" s="25">
        <v>1</v>
      </c>
      <c r="Q1086" s="43">
        <f t="shared" si="1480"/>
        <v>1</v>
      </c>
      <c r="R1086" s="35">
        <v>2</v>
      </c>
      <c r="S1086" s="8">
        <v>3</v>
      </c>
      <c r="T1086" s="43">
        <f t="shared" si="1481"/>
        <v>5</v>
      </c>
      <c r="U1086" s="35">
        <v>2</v>
      </c>
      <c r="V1086" s="8"/>
      <c r="W1086" s="43">
        <f t="shared" si="1482"/>
        <v>2</v>
      </c>
      <c r="X1086" s="8">
        <f t="shared" si="1483"/>
        <v>8</v>
      </c>
      <c r="Y1086" s="53">
        <v>46153</v>
      </c>
    </row>
    <row r="1087" spans="2:35" x14ac:dyDescent="0.15">
      <c r="B1087" s="7" t="s">
        <v>12</v>
      </c>
      <c r="C1087" s="30"/>
      <c r="D1087" s="25">
        <v>2</v>
      </c>
      <c r="E1087" s="43">
        <f t="shared" si="1472"/>
        <v>2</v>
      </c>
      <c r="F1087" s="35"/>
      <c r="G1087" s="8"/>
      <c r="H1087" s="43">
        <f t="shared" si="1464"/>
        <v>0</v>
      </c>
      <c r="I1087" s="35"/>
      <c r="J1087" s="8"/>
      <c r="K1087" s="43">
        <f t="shared" si="1465"/>
        <v>0</v>
      </c>
      <c r="L1087" s="8">
        <f t="shared" si="1466"/>
        <v>2</v>
      </c>
      <c r="M1087" s="53">
        <v>46161</v>
      </c>
      <c r="N1087" s="192" t="s">
        <v>602</v>
      </c>
      <c r="O1087" s="33">
        <v>50</v>
      </c>
      <c r="P1087" s="27">
        <v>50</v>
      </c>
      <c r="Q1087" s="197">
        <f t="shared" si="1480"/>
        <v>100</v>
      </c>
      <c r="R1087" s="37">
        <v>50</v>
      </c>
      <c r="S1087" s="10">
        <v>50</v>
      </c>
      <c r="T1087" s="197">
        <f t="shared" si="1481"/>
        <v>100</v>
      </c>
      <c r="U1087" s="37"/>
      <c r="V1087" s="10"/>
      <c r="W1087" s="197">
        <f t="shared" si="1482"/>
        <v>0</v>
      </c>
      <c r="X1087" s="10">
        <f t="shared" si="1483"/>
        <v>200</v>
      </c>
      <c r="Y1087" s="54">
        <v>46154</v>
      </c>
    </row>
    <row r="1088" spans="2:35" x14ac:dyDescent="0.15">
      <c r="B1088" s="7" t="s">
        <v>12</v>
      </c>
      <c r="C1088" s="30"/>
      <c r="D1088" s="25">
        <v>1</v>
      </c>
      <c r="E1088" s="43">
        <f t="shared" si="1472"/>
        <v>1</v>
      </c>
      <c r="F1088" s="35"/>
      <c r="G1088" s="8"/>
      <c r="H1088" s="43">
        <f t="shared" si="1464"/>
        <v>0</v>
      </c>
      <c r="I1088" s="35"/>
      <c r="J1088" s="8"/>
      <c r="K1088" s="43">
        <f t="shared" si="1465"/>
        <v>0</v>
      </c>
      <c r="L1088" s="8">
        <f t="shared" si="1466"/>
        <v>1</v>
      </c>
      <c r="M1088" s="53">
        <v>46162</v>
      </c>
      <c r="N1088" s="7" t="s">
        <v>579</v>
      </c>
      <c r="O1088" s="30"/>
      <c r="P1088" s="25"/>
      <c r="Q1088" s="43">
        <f t="shared" si="1480"/>
        <v>0</v>
      </c>
      <c r="R1088" s="35">
        <v>3</v>
      </c>
      <c r="S1088" s="8"/>
      <c r="T1088" s="43">
        <f t="shared" si="1481"/>
        <v>3</v>
      </c>
      <c r="U1088" s="35"/>
      <c r="V1088" s="8"/>
      <c r="W1088" s="43">
        <f t="shared" si="1482"/>
        <v>0</v>
      </c>
      <c r="X1088" s="8">
        <f t="shared" si="1483"/>
        <v>3</v>
      </c>
      <c r="Y1088" s="53">
        <v>46150</v>
      </c>
    </row>
    <row r="1089" spans="2:25" x14ac:dyDescent="0.15">
      <c r="B1089" s="7" t="s">
        <v>612</v>
      </c>
      <c r="C1089" s="30">
        <v>2</v>
      </c>
      <c r="D1089" s="25"/>
      <c r="E1089" s="43">
        <f t="shared" si="1472"/>
        <v>2</v>
      </c>
      <c r="F1089" s="35">
        <v>1</v>
      </c>
      <c r="G1089" s="8"/>
      <c r="H1089" s="43">
        <f t="shared" si="1464"/>
        <v>1</v>
      </c>
      <c r="I1089" s="35"/>
      <c r="J1089" s="8"/>
      <c r="K1089" s="43">
        <f t="shared" si="1465"/>
        <v>0</v>
      </c>
      <c r="L1089" s="8">
        <f t="shared" si="1466"/>
        <v>3</v>
      </c>
      <c r="M1089" s="53">
        <v>46163</v>
      </c>
      <c r="N1089" s="7" t="s">
        <v>562</v>
      </c>
      <c r="O1089" s="30">
        <v>1</v>
      </c>
      <c r="P1089" s="25">
        <v>2</v>
      </c>
      <c r="Q1089" s="43">
        <f t="shared" si="1480"/>
        <v>3</v>
      </c>
      <c r="R1089" s="35">
        <v>4</v>
      </c>
      <c r="S1089" s="8">
        <v>1</v>
      </c>
      <c r="T1089" s="43">
        <f t="shared" si="1481"/>
        <v>5</v>
      </c>
      <c r="U1089" s="35">
        <v>1</v>
      </c>
      <c r="V1089" s="8"/>
      <c r="W1089" s="43">
        <f t="shared" si="1482"/>
        <v>1</v>
      </c>
      <c r="X1089" s="8">
        <f t="shared" si="1483"/>
        <v>9</v>
      </c>
      <c r="Y1089" s="53">
        <v>46153</v>
      </c>
    </row>
    <row r="1090" spans="2:25" x14ac:dyDescent="0.15">
      <c r="B1090" s="7" t="s">
        <v>12</v>
      </c>
      <c r="C1090" s="30"/>
      <c r="D1090" s="25"/>
      <c r="E1090" s="43">
        <f t="shared" si="1472"/>
        <v>0</v>
      </c>
      <c r="F1090" s="35">
        <v>2</v>
      </c>
      <c r="G1090" s="8"/>
      <c r="H1090" s="43">
        <f t="shared" si="1464"/>
        <v>2</v>
      </c>
      <c r="I1090" s="35"/>
      <c r="J1090" s="8"/>
      <c r="K1090" s="43">
        <f t="shared" si="1465"/>
        <v>0</v>
      </c>
      <c r="L1090" s="8">
        <f t="shared" si="1466"/>
        <v>2</v>
      </c>
      <c r="M1090" s="53">
        <v>46174</v>
      </c>
      <c r="N1090" s="7" t="s">
        <v>603</v>
      </c>
      <c r="O1090" s="30"/>
      <c r="P1090" s="25">
        <v>2</v>
      </c>
      <c r="Q1090" s="43">
        <f t="shared" si="1480"/>
        <v>2</v>
      </c>
      <c r="R1090" s="35"/>
      <c r="S1090" s="8"/>
      <c r="T1090" s="43">
        <f t="shared" si="1481"/>
        <v>0</v>
      </c>
      <c r="U1090" s="35"/>
      <c r="V1090" s="8"/>
      <c r="W1090" s="43">
        <f t="shared" si="1482"/>
        <v>0</v>
      </c>
      <c r="X1090" s="8">
        <f t="shared" si="1483"/>
        <v>2</v>
      </c>
      <c r="Y1090" s="53">
        <v>46155</v>
      </c>
    </row>
    <row r="1091" spans="2:25" x14ac:dyDescent="0.15">
      <c r="B1091" s="7"/>
      <c r="C1091" s="30"/>
      <c r="D1091" s="25"/>
      <c r="E1091" s="43">
        <f t="shared" si="1472"/>
        <v>0</v>
      </c>
      <c r="F1091" s="35"/>
      <c r="G1091" s="8"/>
      <c r="H1091" s="43">
        <f t="shared" si="1464"/>
        <v>0</v>
      </c>
      <c r="I1091" s="35"/>
      <c r="J1091" s="8"/>
      <c r="K1091" s="43">
        <f t="shared" si="1465"/>
        <v>0</v>
      </c>
      <c r="L1091" s="8">
        <f t="shared" si="1466"/>
        <v>0</v>
      </c>
      <c r="N1091" s="7"/>
      <c r="O1091" s="33"/>
      <c r="P1091" s="27"/>
      <c r="Q1091" s="43">
        <f t="shared" si="1480"/>
        <v>0</v>
      </c>
      <c r="R1091" s="37"/>
      <c r="S1091" s="10"/>
      <c r="T1091" s="43">
        <f t="shared" si="1481"/>
        <v>0</v>
      </c>
      <c r="U1091" s="37"/>
      <c r="V1091" s="10"/>
      <c r="W1091" s="43">
        <f t="shared" si="1482"/>
        <v>0</v>
      </c>
      <c r="X1091" s="8">
        <f t="shared" si="1483"/>
        <v>0</v>
      </c>
    </row>
    <row r="1092" spans="2:25" x14ac:dyDescent="0.15">
      <c r="B1092" s="7"/>
      <c r="C1092" s="30"/>
      <c r="D1092" s="25"/>
      <c r="E1092" s="43">
        <f t="shared" si="1472"/>
        <v>0</v>
      </c>
      <c r="F1092" s="35"/>
      <c r="G1092" s="8"/>
      <c r="H1092" s="43">
        <f t="shared" si="1464"/>
        <v>0</v>
      </c>
      <c r="I1092" s="35"/>
      <c r="J1092" s="8"/>
      <c r="K1092" s="43">
        <f t="shared" si="1465"/>
        <v>0</v>
      </c>
      <c r="L1092" s="8">
        <f t="shared" si="1466"/>
        <v>0</v>
      </c>
      <c r="N1092" s="7"/>
      <c r="O1092" s="33"/>
      <c r="P1092" s="27"/>
      <c r="Q1092" s="43">
        <f t="shared" ref="Q1092" si="1484">SUM(O1092:P1092)</f>
        <v>0</v>
      </c>
      <c r="R1092" s="37"/>
      <c r="S1092" s="10"/>
      <c r="T1092" s="43">
        <f t="shared" ref="T1092" si="1485">SUM(R1092:S1092)</f>
        <v>0</v>
      </c>
      <c r="U1092" s="37"/>
      <c r="V1092" s="10"/>
      <c r="W1092" s="43">
        <f t="shared" ref="W1092" si="1486">SUM(U1092:V1092)</f>
        <v>0</v>
      </c>
      <c r="X1092" s="8">
        <f t="shared" ref="X1092" si="1487">SUM(W1092,T1092,Q1092)</f>
        <v>0</v>
      </c>
    </row>
    <row r="1093" spans="2:25" x14ac:dyDescent="0.15">
      <c r="B1093" s="7"/>
      <c r="C1093" s="30"/>
      <c r="D1093" s="25"/>
      <c r="E1093" s="43">
        <f t="shared" si="1472"/>
        <v>0</v>
      </c>
      <c r="F1093" s="35"/>
      <c r="G1093" s="8"/>
      <c r="H1093" s="43">
        <f t="shared" si="1464"/>
        <v>0</v>
      </c>
      <c r="I1093" s="35"/>
      <c r="J1093" s="8"/>
      <c r="K1093" s="43">
        <f t="shared" si="1465"/>
        <v>0</v>
      </c>
      <c r="L1093" s="8">
        <f t="shared" si="1466"/>
        <v>0</v>
      </c>
      <c r="N1093" s="7" t="s">
        <v>555</v>
      </c>
      <c r="O1093" s="30"/>
      <c r="P1093" s="25"/>
      <c r="Q1093" s="43">
        <f t="shared" ref="Q1093:Q1100" si="1488">SUM(O1093:P1093)</f>
        <v>0</v>
      </c>
      <c r="R1093" s="35"/>
      <c r="S1093" s="8"/>
      <c r="T1093" s="43">
        <f t="shared" ref="T1093:T1100" si="1489">SUM(R1093:S1093)</f>
        <v>0</v>
      </c>
      <c r="U1093" s="35"/>
      <c r="V1093" s="8"/>
      <c r="W1093" s="43">
        <f t="shared" ref="W1093:W1100" si="1490">SUM(U1093:V1093)</f>
        <v>0</v>
      </c>
      <c r="X1093" s="8">
        <f t="shared" ref="X1093:X1100" si="1491">SUM(W1093,T1093,Q1093)</f>
        <v>0</v>
      </c>
      <c r="Y1093" s="52" t="s">
        <v>350</v>
      </c>
    </row>
    <row r="1094" spans="2:25" x14ac:dyDescent="0.15">
      <c r="B1094" s="7"/>
      <c r="C1094" s="30"/>
      <c r="D1094" s="25"/>
      <c r="E1094" s="43">
        <f t="shared" si="1472"/>
        <v>0</v>
      </c>
      <c r="F1094" s="35"/>
      <c r="G1094" s="8"/>
      <c r="H1094" s="43">
        <f t="shared" si="1464"/>
        <v>0</v>
      </c>
      <c r="I1094" s="35"/>
      <c r="J1094" s="8"/>
      <c r="K1094" s="43">
        <f t="shared" si="1465"/>
        <v>0</v>
      </c>
      <c r="L1094" s="8">
        <f t="shared" si="1466"/>
        <v>0</v>
      </c>
      <c r="N1094" s="7" t="s">
        <v>556</v>
      </c>
      <c r="O1094" s="30"/>
      <c r="P1094" s="25"/>
      <c r="Q1094" s="43">
        <f t="shared" si="1488"/>
        <v>0</v>
      </c>
      <c r="R1094" s="35"/>
      <c r="S1094" s="8"/>
      <c r="T1094" s="43">
        <f t="shared" si="1489"/>
        <v>0</v>
      </c>
      <c r="U1094" s="35"/>
      <c r="V1094" s="8"/>
      <c r="W1094" s="43">
        <f t="shared" si="1490"/>
        <v>0</v>
      </c>
      <c r="X1094" s="8">
        <f t="shared" si="1491"/>
        <v>0</v>
      </c>
      <c r="Y1094" s="52" t="s">
        <v>557</v>
      </c>
    </row>
    <row r="1095" spans="2:25" x14ac:dyDescent="0.15">
      <c r="B1095" s="7"/>
      <c r="C1095" s="30"/>
      <c r="D1095" s="25"/>
      <c r="E1095" s="43">
        <f t="shared" si="1472"/>
        <v>0</v>
      </c>
      <c r="F1095" s="35"/>
      <c r="G1095" s="8"/>
      <c r="H1095" s="43">
        <f t="shared" si="1464"/>
        <v>0</v>
      </c>
      <c r="I1095" s="35"/>
      <c r="J1095" s="8"/>
      <c r="K1095" s="43">
        <f t="shared" si="1465"/>
        <v>0</v>
      </c>
      <c r="L1095" s="8">
        <f t="shared" si="1466"/>
        <v>0</v>
      </c>
      <c r="N1095" s="7" t="s">
        <v>595</v>
      </c>
      <c r="O1095" s="30"/>
      <c r="P1095" s="25"/>
      <c r="Q1095" s="43">
        <f t="shared" si="1488"/>
        <v>0</v>
      </c>
      <c r="R1095" s="35"/>
      <c r="S1095" s="8"/>
      <c r="T1095" s="43">
        <f t="shared" si="1489"/>
        <v>0</v>
      </c>
      <c r="U1095" s="35"/>
      <c r="V1095" s="8"/>
      <c r="W1095" s="43">
        <f t="shared" si="1490"/>
        <v>0</v>
      </c>
      <c r="X1095" s="8">
        <f t="shared" si="1491"/>
        <v>0</v>
      </c>
      <c r="Y1095" s="52" t="s">
        <v>557</v>
      </c>
    </row>
    <row r="1096" spans="2:25" x14ac:dyDescent="0.15">
      <c r="B1096" s="7"/>
      <c r="C1096" s="30"/>
      <c r="D1096" s="25"/>
      <c r="E1096" s="43">
        <f t="shared" si="1472"/>
        <v>0</v>
      </c>
      <c r="F1096" s="35"/>
      <c r="G1096" s="8"/>
      <c r="H1096" s="43">
        <f t="shared" si="1464"/>
        <v>0</v>
      </c>
      <c r="I1096" s="35"/>
      <c r="J1096" s="8"/>
      <c r="K1096" s="43">
        <f t="shared" si="1465"/>
        <v>0</v>
      </c>
      <c r="L1096" s="8">
        <f t="shared" si="1466"/>
        <v>0</v>
      </c>
      <c r="N1096" s="115" t="s">
        <v>545</v>
      </c>
      <c r="O1096" s="116"/>
      <c r="P1096" s="112"/>
      <c r="Q1096" s="117">
        <f t="shared" si="1488"/>
        <v>0</v>
      </c>
      <c r="R1096" s="116"/>
      <c r="S1096" s="112"/>
      <c r="T1096" s="117">
        <f t="shared" si="1489"/>
        <v>0</v>
      </c>
      <c r="U1096" s="116"/>
      <c r="V1096" s="112"/>
      <c r="W1096" s="117">
        <f t="shared" si="1490"/>
        <v>0</v>
      </c>
      <c r="X1096" s="119">
        <f t="shared" si="1491"/>
        <v>0</v>
      </c>
      <c r="Y1096" s="101"/>
    </row>
    <row r="1097" spans="2:25" x14ac:dyDescent="0.15">
      <c r="B1097" s="7"/>
      <c r="C1097" s="30"/>
      <c r="D1097" s="25"/>
      <c r="E1097" s="43">
        <f t="shared" si="1472"/>
        <v>0</v>
      </c>
      <c r="F1097" s="35"/>
      <c r="G1097" s="8"/>
      <c r="H1097" s="43">
        <f t="shared" si="1464"/>
        <v>0</v>
      </c>
      <c r="I1097" s="35"/>
      <c r="J1097" s="8"/>
      <c r="K1097" s="43">
        <f t="shared" si="1465"/>
        <v>0</v>
      </c>
      <c r="L1097" s="8">
        <f t="shared" si="1466"/>
        <v>0</v>
      </c>
      <c r="N1097" s="7" t="s">
        <v>543</v>
      </c>
      <c r="O1097" s="30"/>
      <c r="P1097" s="25"/>
      <c r="Q1097" s="43">
        <f t="shared" si="1488"/>
        <v>0</v>
      </c>
      <c r="R1097" s="30"/>
      <c r="S1097" s="25"/>
      <c r="T1097" s="43">
        <f t="shared" si="1489"/>
        <v>0</v>
      </c>
      <c r="U1097" s="30"/>
      <c r="V1097" s="25"/>
      <c r="W1097" s="43">
        <f t="shared" si="1490"/>
        <v>0</v>
      </c>
      <c r="X1097" s="8">
        <f t="shared" si="1491"/>
        <v>0</v>
      </c>
      <c r="Y1097" s="53">
        <v>46120</v>
      </c>
    </row>
    <row r="1098" spans="2:25" x14ac:dyDescent="0.15">
      <c r="B1098" s="7"/>
      <c r="C1098" s="30"/>
      <c r="D1098" s="25"/>
      <c r="E1098" s="43">
        <f t="shared" si="1472"/>
        <v>0</v>
      </c>
      <c r="F1098" s="35"/>
      <c r="G1098" s="8"/>
      <c r="H1098" s="43">
        <f t="shared" si="1464"/>
        <v>0</v>
      </c>
      <c r="I1098" s="35"/>
      <c r="J1098" s="8"/>
      <c r="K1098" s="43">
        <f t="shared" si="1465"/>
        <v>0</v>
      </c>
      <c r="L1098" s="8">
        <f t="shared" si="1466"/>
        <v>0</v>
      </c>
      <c r="N1098" s="7" t="s">
        <v>544</v>
      </c>
      <c r="O1098" s="30"/>
      <c r="P1098" s="25"/>
      <c r="Q1098" s="43">
        <f t="shared" si="1488"/>
        <v>0</v>
      </c>
      <c r="R1098" s="35"/>
      <c r="S1098" s="8"/>
      <c r="T1098" s="43">
        <f t="shared" si="1489"/>
        <v>0</v>
      </c>
      <c r="U1098" s="35"/>
      <c r="V1098" s="8"/>
      <c r="W1098" s="43">
        <f t="shared" si="1490"/>
        <v>0</v>
      </c>
      <c r="X1098" s="8">
        <f t="shared" si="1491"/>
        <v>0</v>
      </c>
      <c r="Y1098" s="53">
        <v>46134</v>
      </c>
    </row>
    <row r="1099" spans="2:25" x14ac:dyDescent="0.15">
      <c r="B1099" s="7"/>
      <c r="C1099" s="30"/>
      <c r="D1099" s="25"/>
      <c r="E1099" s="43">
        <f t="shared" si="1472"/>
        <v>0</v>
      </c>
      <c r="F1099" s="35"/>
      <c r="G1099" s="8"/>
      <c r="H1099" s="43">
        <f t="shared" si="1464"/>
        <v>0</v>
      </c>
      <c r="I1099" s="35"/>
      <c r="J1099" s="8"/>
      <c r="K1099" s="43">
        <f t="shared" si="1465"/>
        <v>0</v>
      </c>
      <c r="L1099" s="8">
        <f t="shared" si="1466"/>
        <v>0</v>
      </c>
      <c r="N1099" s="186" t="s">
        <v>550</v>
      </c>
      <c r="O1099" s="187"/>
      <c r="P1099" s="188"/>
      <c r="Q1099" s="189">
        <f t="shared" si="1488"/>
        <v>0</v>
      </c>
      <c r="R1099" s="190"/>
      <c r="S1099" s="189"/>
      <c r="T1099" s="117">
        <f t="shared" si="1489"/>
        <v>0</v>
      </c>
      <c r="U1099" s="118"/>
      <c r="V1099" s="119"/>
      <c r="W1099" s="117">
        <f t="shared" si="1490"/>
        <v>0</v>
      </c>
      <c r="X1099" s="119">
        <f t="shared" si="1491"/>
        <v>0</v>
      </c>
      <c r="Y1099" s="191"/>
    </row>
    <row r="1100" spans="2:25" ht="14.25" thickBot="1" x14ac:dyDescent="0.2">
      <c r="B1100" s="7"/>
      <c r="C1100" s="30"/>
      <c r="D1100" s="25"/>
      <c r="E1100" s="43">
        <f t="shared" si="1472"/>
        <v>0</v>
      </c>
      <c r="F1100" s="35"/>
      <c r="G1100" s="8"/>
      <c r="H1100" s="43">
        <f t="shared" si="1464"/>
        <v>0</v>
      </c>
      <c r="I1100" s="35"/>
      <c r="J1100" s="8"/>
      <c r="K1100" s="43">
        <f t="shared" si="1465"/>
        <v>0</v>
      </c>
      <c r="L1100" s="8">
        <f t="shared" si="1466"/>
        <v>0</v>
      </c>
      <c r="N1100" s="192" t="s">
        <v>549</v>
      </c>
      <c r="O1100" s="193"/>
      <c r="P1100" s="194"/>
      <c r="Q1100" s="195">
        <f t="shared" si="1488"/>
        <v>0</v>
      </c>
      <c r="R1100" s="196"/>
      <c r="S1100" s="195"/>
      <c r="T1100" s="197">
        <f t="shared" si="1489"/>
        <v>0</v>
      </c>
      <c r="U1100" s="37"/>
      <c r="V1100" s="10"/>
      <c r="W1100" s="197">
        <f t="shared" si="1490"/>
        <v>0</v>
      </c>
      <c r="X1100" s="10">
        <f t="shared" si="1491"/>
        <v>0</v>
      </c>
      <c r="Y1100" s="198" t="s">
        <v>546</v>
      </c>
    </row>
    <row r="1101" spans="2:25" ht="14.25" thickBot="1" x14ac:dyDescent="0.2">
      <c r="B1101" s="5" t="s">
        <v>1</v>
      </c>
      <c r="C1101" s="32">
        <f>SUM(C1076:C1100)</f>
        <v>3</v>
      </c>
      <c r="D1101" s="19">
        <f>SUM(D1076:D1100)</f>
        <v>3</v>
      </c>
      <c r="E1101" s="44">
        <f t="shared" si="1472"/>
        <v>6</v>
      </c>
      <c r="F1101" s="32">
        <f>SUM(F1076:F1100)</f>
        <v>10</v>
      </c>
      <c r="G1101" s="19">
        <f>SUM(G1076:G1100)</f>
        <v>5</v>
      </c>
      <c r="H1101" s="44">
        <f t="shared" si="1464"/>
        <v>15</v>
      </c>
      <c r="I1101" s="32">
        <f>SUM(I1076:I1100)</f>
        <v>6</v>
      </c>
      <c r="J1101" s="19">
        <f>SUM(J1076:J1100)</f>
        <v>2</v>
      </c>
      <c r="K1101" s="44">
        <f t="shared" si="1465"/>
        <v>8</v>
      </c>
      <c r="L1101" s="4">
        <f t="shared" si="1466"/>
        <v>29</v>
      </c>
      <c r="N1101" s="5" t="s">
        <v>1</v>
      </c>
      <c r="O1101" s="32">
        <f>SUM(O1076:O1100)</f>
        <v>59</v>
      </c>
      <c r="P1101" s="19">
        <f t="shared" ref="P1101:X1101" si="1492">SUM(P1076:P1100)</f>
        <v>56</v>
      </c>
      <c r="Q1101" s="44">
        <f t="shared" si="1492"/>
        <v>115</v>
      </c>
      <c r="R1101" s="32">
        <f t="shared" si="1492"/>
        <v>79</v>
      </c>
      <c r="S1101" s="19">
        <f t="shared" si="1492"/>
        <v>75</v>
      </c>
      <c r="T1101" s="44">
        <f t="shared" si="1492"/>
        <v>154</v>
      </c>
      <c r="U1101" s="32">
        <f t="shared" si="1492"/>
        <v>74</v>
      </c>
      <c r="V1101" s="19">
        <f t="shared" si="1492"/>
        <v>90</v>
      </c>
      <c r="W1101" s="44">
        <f t="shared" si="1492"/>
        <v>164</v>
      </c>
      <c r="X1101" s="4">
        <f t="shared" si="1492"/>
        <v>433</v>
      </c>
    </row>
    <row r="1102" spans="2:25" ht="14.25" thickBot="1" x14ac:dyDescent="0.2">
      <c r="B1102" s="3" t="s">
        <v>0</v>
      </c>
      <c r="C1102" s="34">
        <f>+C1075-C1101</f>
        <v>45</v>
      </c>
      <c r="D1102" s="2">
        <f>+D1075-D1101</f>
        <v>5</v>
      </c>
      <c r="E1102" s="45">
        <f t="shared" si="1472"/>
        <v>50</v>
      </c>
      <c r="F1102" s="34">
        <f>+F1075-F1101</f>
        <v>7</v>
      </c>
      <c r="G1102" s="2">
        <f>+G1075-G1101</f>
        <v>11</v>
      </c>
      <c r="H1102" s="45">
        <f t="shared" si="1464"/>
        <v>18</v>
      </c>
      <c r="I1102" s="34">
        <f>+I1075-I1101</f>
        <v>16</v>
      </c>
      <c r="J1102" s="2">
        <f>+J1075-J1101</f>
        <v>8</v>
      </c>
      <c r="K1102" s="45">
        <f t="shared" si="1465"/>
        <v>24</v>
      </c>
      <c r="L1102" s="2">
        <f t="shared" si="1466"/>
        <v>92</v>
      </c>
      <c r="N1102" s="59" t="s">
        <v>0</v>
      </c>
      <c r="O1102" s="60">
        <f>+O1075-O1101</f>
        <v>612</v>
      </c>
      <c r="P1102" s="61">
        <f t="shared" ref="P1102:X1102" si="1493">+P1075-P1101</f>
        <v>618</v>
      </c>
      <c r="Q1102" s="161">
        <f t="shared" si="1493"/>
        <v>1230</v>
      </c>
      <c r="R1102" s="60">
        <f t="shared" si="1493"/>
        <v>339</v>
      </c>
      <c r="S1102" s="61">
        <f t="shared" si="1493"/>
        <v>427</v>
      </c>
      <c r="T1102" s="161">
        <f t="shared" si="1493"/>
        <v>766</v>
      </c>
      <c r="U1102" s="60">
        <f t="shared" si="1493"/>
        <v>218</v>
      </c>
      <c r="V1102" s="61">
        <f t="shared" si="1493"/>
        <v>148</v>
      </c>
      <c r="W1102" s="161">
        <f t="shared" si="1493"/>
        <v>366</v>
      </c>
      <c r="X1102" s="61">
        <f t="shared" si="1493"/>
        <v>2362</v>
      </c>
    </row>
    <row r="1106" spans="2:25" ht="18.75" x14ac:dyDescent="0.2">
      <c r="B1106" s="23" t="s">
        <v>11</v>
      </c>
      <c r="C1106" s="21"/>
      <c r="D1106" s="21"/>
      <c r="E1106" s="21"/>
      <c r="F1106" s="21"/>
      <c r="G1106" s="21"/>
      <c r="H1106" s="21"/>
      <c r="I1106" s="21"/>
      <c r="J1106" s="21"/>
      <c r="K1106" s="21"/>
      <c r="L1106" s="21"/>
      <c r="N1106" s="47" t="s">
        <v>25</v>
      </c>
      <c r="O1106" s="48"/>
      <c r="P1106" s="48"/>
      <c r="Q1106" s="48"/>
      <c r="R1106" s="48"/>
      <c r="S1106" s="48"/>
      <c r="T1106" s="48"/>
      <c r="U1106" s="48"/>
      <c r="V1106" s="48"/>
      <c r="W1106" s="48"/>
      <c r="X1106" s="48"/>
    </row>
    <row r="1107" spans="2:25" ht="15" thickBot="1" x14ac:dyDescent="0.2">
      <c r="B1107" s="22" t="s">
        <v>147</v>
      </c>
      <c r="C1107" s="21"/>
      <c r="D1107" s="21"/>
      <c r="E1107" s="21"/>
      <c r="F1107" s="21"/>
      <c r="G1107" s="21"/>
      <c r="H1107" s="21"/>
      <c r="I1107" s="21"/>
      <c r="J1107" s="21"/>
      <c r="K1107" s="21"/>
      <c r="L1107" s="21"/>
      <c r="N1107" s="49" t="s">
        <v>148</v>
      </c>
      <c r="O1107" s="48"/>
      <c r="P1107" s="48"/>
      <c r="Q1107" s="48"/>
      <c r="R1107" s="48"/>
      <c r="S1107" s="48"/>
      <c r="T1107" s="48"/>
      <c r="U1107" s="48"/>
      <c r="V1107" s="48"/>
      <c r="W1107" s="48"/>
      <c r="X1107" s="48"/>
    </row>
    <row r="1108" spans="2:25" ht="14.25" thickBot="1" x14ac:dyDescent="0.2">
      <c r="B1108" s="20"/>
      <c r="C1108" s="208" t="s">
        <v>9</v>
      </c>
      <c r="D1108" s="209"/>
      <c r="E1108" s="210"/>
      <c r="F1108" s="208" t="s">
        <v>8</v>
      </c>
      <c r="G1108" s="209"/>
      <c r="H1108" s="210"/>
      <c r="I1108" s="208" t="s">
        <v>7</v>
      </c>
      <c r="J1108" s="209"/>
      <c r="K1108" s="210"/>
      <c r="L1108" s="19"/>
      <c r="N1108" s="20"/>
      <c r="O1108" s="208" t="s">
        <v>9</v>
      </c>
      <c r="P1108" s="209"/>
      <c r="Q1108" s="123">
        <v>880</v>
      </c>
      <c r="R1108" s="208" t="s">
        <v>8</v>
      </c>
      <c r="S1108" s="209"/>
      <c r="T1108" s="123">
        <v>980</v>
      </c>
      <c r="U1108" s="208" t="s">
        <v>7</v>
      </c>
      <c r="V1108" s="209"/>
      <c r="W1108" s="123">
        <v>1080</v>
      </c>
      <c r="X1108" s="19"/>
    </row>
    <row r="1109" spans="2:25" ht="14.25" thickBot="1" x14ac:dyDescent="0.2">
      <c r="B1109" s="18"/>
      <c r="C1109" s="28" t="s">
        <v>6</v>
      </c>
      <c r="D1109" s="17" t="s">
        <v>5</v>
      </c>
      <c r="E1109" s="38" t="s">
        <v>4</v>
      </c>
      <c r="F1109" s="28" t="s">
        <v>6</v>
      </c>
      <c r="G1109" s="17" t="s">
        <v>5</v>
      </c>
      <c r="H1109" s="38" t="s">
        <v>4</v>
      </c>
      <c r="I1109" s="28" t="s">
        <v>6</v>
      </c>
      <c r="J1109" s="17" t="s">
        <v>5</v>
      </c>
      <c r="K1109" s="38" t="s">
        <v>4</v>
      </c>
      <c r="L1109" s="17" t="s">
        <v>4</v>
      </c>
      <c r="N1109" s="18"/>
      <c r="O1109" s="28" t="s">
        <v>6</v>
      </c>
      <c r="P1109" s="17" t="s">
        <v>5</v>
      </c>
      <c r="Q1109" s="38" t="s">
        <v>4</v>
      </c>
      <c r="R1109" s="28" t="s">
        <v>6</v>
      </c>
      <c r="S1109" s="17" t="s">
        <v>5</v>
      </c>
      <c r="T1109" s="38" t="s">
        <v>4</v>
      </c>
      <c r="U1109" s="28" t="s">
        <v>6</v>
      </c>
      <c r="V1109" s="17" t="s">
        <v>5</v>
      </c>
      <c r="W1109" s="38" t="s">
        <v>4</v>
      </c>
      <c r="X1109" s="17" t="s">
        <v>4</v>
      </c>
    </row>
    <row r="1110" spans="2:25" x14ac:dyDescent="0.15">
      <c r="B1110" s="66" t="s">
        <v>0</v>
      </c>
      <c r="C1110" s="67">
        <f>C1102</f>
        <v>45</v>
      </c>
      <c r="D1110" s="68">
        <f t="shared" ref="D1110:K1110" si="1494">D1102</f>
        <v>5</v>
      </c>
      <c r="E1110" s="69">
        <f t="shared" si="1494"/>
        <v>50</v>
      </c>
      <c r="F1110" s="67">
        <f t="shared" si="1494"/>
        <v>7</v>
      </c>
      <c r="G1110" s="68">
        <f t="shared" si="1494"/>
        <v>11</v>
      </c>
      <c r="H1110" s="69">
        <f t="shared" si="1494"/>
        <v>18</v>
      </c>
      <c r="I1110" s="67">
        <f t="shared" si="1494"/>
        <v>16</v>
      </c>
      <c r="J1110" s="68">
        <f t="shared" si="1494"/>
        <v>8</v>
      </c>
      <c r="K1110" s="69">
        <f t="shared" si="1494"/>
        <v>24</v>
      </c>
      <c r="L1110" s="70">
        <f>SUM(K1110,H1110,E1110)</f>
        <v>92</v>
      </c>
      <c r="N1110" s="66" t="s">
        <v>0</v>
      </c>
      <c r="O1110" s="72">
        <f>O1102</f>
        <v>612</v>
      </c>
      <c r="P1110" s="80">
        <f t="shared" ref="P1110:X1110" si="1495">P1102</f>
        <v>618</v>
      </c>
      <c r="Q1110" s="69">
        <f t="shared" si="1495"/>
        <v>1230</v>
      </c>
      <c r="R1110" s="72">
        <f t="shared" si="1495"/>
        <v>339</v>
      </c>
      <c r="S1110" s="80">
        <f t="shared" si="1495"/>
        <v>427</v>
      </c>
      <c r="T1110" s="69">
        <f t="shared" si="1495"/>
        <v>766</v>
      </c>
      <c r="U1110" s="72">
        <f t="shared" si="1495"/>
        <v>218</v>
      </c>
      <c r="V1110" s="80">
        <f t="shared" si="1495"/>
        <v>148</v>
      </c>
      <c r="W1110" s="69">
        <f t="shared" si="1495"/>
        <v>366</v>
      </c>
      <c r="X1110" s="70">
        <f t="shared" si="1495"/>
        <v>2362</v>
      </c>
    </row>
    <row r="1111" spans="2:25" x14ac:dyDescent="0.15">
      <c r="B1111" s="146" t="s">
        <v>3</v>
      </c>
      <c r="C1111" s="30"/>
      <c r="D1111" s="25"/>
      <c r="E1111" s="40">
        <f t="shared" ref="E1111:E1143" si="1496">SUM(C1111:D1111)</f>
        <v>0</v>
      </c>
      <c r="F1111" s="35"/>
      <c r="G1111" s="8"/>
      <c r="H1111" s="40">
        <f t="shared" ref="H1111:H1143" si="1497">SUM(F1111:G1111)</f>
        <v>0</v>
      </c>
      <c r="I1111" s="35"/>
      <c r="J1111" s="8"/>
      <c r="K1111" s="40">
        <f t="shared" ref="K1111:K1143" si="1498">SUM(I1111:J1111)</f>
        <v>0</v>
      </c>
      <c r="L1111" s="9">
        <f t="shared" ref="L1111:L1143" si="1499">SUM(K1111,H1111,E1111)</f>
        <v>0</v>
      </c>
      <c r="N1111" s="55" t="s">
        <v>3</v>
      </c>
      <c r="O1111" s="62"/>
      <c r="P1111" s="81"/>
      <c r="Q1111" s="40">
        <f t="shared" ref="Q1111:Q1115" si="1500">SUM(O1111:P1111)</f>
        <v>0</v>
      </c>
      <c r="R1111" s="78"/>
      <c r="S1111" s="82"/>
      <c r="T1111" s="40">
        <f t="shared" ref="T1111:T1115" si="1501">SUM(R1111:S1111)</f>
        <v>0</v>
      </c>
      <c r="U1111" s="78"/>
      <c r="V1111" s="82"/>
      <c r="W1111" s="40">
        <f t="shared" ref="W1111:W1115" si="1502">SUM(U1111:V1111)</f>
        <v>0</v>
      </c>
      <c r="X1111" s="25">
        <f t="shared" ref="X1111:X1115" si="1503">SUM(W1111,T1111,Q1111)</f>
        <v>0</v>
      </c>
    </row>
    <row r="1112" spans="2:25" x14ac:dyDescent="0.15">
      <c r="B1112" s="146" t="s">
        <v>3</v>
      </c>
      <c r="C1112" s="30"/>
      <c r="D1112" s="25"/>
      <c r="E1112" s="40">
        <f t="shared" si="1496"/>
        <v>0</v>
      </c>
      <c r="F1112" s="35"/>
      <c r="G1112" s="8"/>
      <c r="H1112" s="40">
        <f t="shared" si="1497"/>
        <v>0</v>
      </c>
      <c r="I1112" s="35"/>
      <c r="J1112" s="8"/>
      <c r="K1112" s="40">
        <f t="shared" si="1498"/>
        <v>0</v>
      </c>
      <c r="L1112" s="9">
        <f t="shared" si="1499"/>
        <v>0</v>
      </c>
      <c r="N1112" s="55" t="s">
        <v>388</v>
      </c>
      <c r="O1112" s="62">
        <v>0</v>
      </c>
      <c r="P1112" s="81">
        <v>0</v>
      </c>
      <c r="Q1112" s="40">
        <f t="shared" si="1500"/>
        <v>0</v>
      </c>
      <c r="R1112" s="78">
        <v>100</v>
      </c>
      <c r="S1112" s="82">
        <v>100</v>
      </c>
      <c r="T1112" s="40">
        <f t="shared" si="1501"/>
        <v>200</v>
      </c>
      <c r="U1112" s="78">
        <v>100</v>
      </c>
      <c r="V1112" s="82">
        <v>200</v>
      </c>
      <c r="W1112" s="40">
        <f t="shared" si="1502"/>
        <v>300</v>
      </c>
      <c r="X1112" s="25">
        <f t="shared" si="1503"/>
        <v>500</v>
      </c>
      <c r="Y1112" s="53" t="s">
        <v>601</v>
      </c>
    </row>
    <row r="1113" spans="2:25" x14ac:dyDescent="0.15">
      <c r="B1113" s="146" t="s">
        <v>3</v>
      </c>
      <c r="C1113" s="30"/>
      <c r="D1113" s="25"/>
      <c r="E1113" s="40">
        <f t="shared" si="1496"/>
        <v>0</v>
      </c>
      <c r="F1113" s="35"/>
      <c r="G1113" s="8"/>
      <c r="H1113" s="40">
        <f t="shared" si="1497"/>
        <v>0</v>
      </c>
      <c r="I1113" s="35"/>
      <c r="J1113" s="8"/>
      <c r="K1113" s="40">
        <f t="shared" si="1498"/>
        <v>0</v>
      </c>
      <c r="L1113" s="9">
        <f t="shared" si="1499"/>
        <v>0</v>
      </c>
      <c r="N1113" s="55" t="s">
        <v>3</v>
      </c>
      <c r="O1113" s="62"/>
      <c r="P1113" s="81"/>
      <c r="Q1113" s="40">
        <f t="shared" ref="Q1113" si="1504">SUM(O1113:P1113)</f>
        <v>0</v>
      </c>
      <c r="R1113" s="78"/>
      <c r="S1113" s="82"/>
      <c r="T1113" s="40">
        <f t="shared" ref="T1113" si="1505">SUM(R1113:S1113)</f>
        <v>0</v>
      </c>
      <c r="U1113" s="78"/>
      <c r="V1113" s="82"/>
      <c r="W1113" s="40">
        <f t="shared" ref="W1113" si="1506">SUM(U1113:V1113)</f>
        <v>0</v>
      </c>
      <c r="X1113" s="25">
        <f t="shared" ref="X1113" si="1507">SUM(W1113,T1113,Q1113)</f>
        <v>0</v>
      </c>
    </row>
    <row r="1114" spans="2:25" x14ac:dyDescent="0.15">
      <c r="B1114" s="146" t="s">
        <v>3</v>
      </c>
      <c r="C1114" s="30"/>
      <c r="D1114" s="25"/>
      <c r="E1114" s="40">
        <f t="shared" si="1496"/>
        <v>0</v>
      </c>
      <c r="F1114" s="35"/>
      <c r="G1114" s="8"/>
      <c r="H1114" s="40">
        <f t="shared" si="1497"/>
        <v>0</v>
      </c>
      <c r="I1114" s="35"/>
      <c r="J1114" s="8"/>
      <c r="K1114" s="40">
        <f t="shared" si="1498"/>
        <v>0</v>
      </c>
      <c r="L1114" s="9">
        <f t="shared" si="1499"/>
        <v>0</v>
      </c>
      <c r="N1114" s="55" t="s">
        <v>3</v>
      </c>
      <c r="O1114" s="62"/>
      <c r="P1114" s="81"/>
      <c r="Q1114" s="40">
        <f t="shared" si="1500"/>
        <v>0</v>
      </c>
      <c r="R1114" s="78"/>
      <c r="S1114" s="82"/>
      <c r="T1114" s="40">
        <f t="shared" si="1501"/>
        <v>0</v>
      </c>
      <c r="U1114" s="78"/>
      <c r="V1114" s="82"/>
      <c r="W1114" s="40">
        <f t="shared" si="1502"/>
        <v>0</v>
      </c>
      <c r="X1114" s="25">
        <f t="shared" si="1503"/>
        <v>0</v>
      </c>
    </row>
    <row r="1115" spans="2:25" ht="14.25" thickBot="1" x14ac:dyDescent="0.2">
      <c r="B1115" s="146" t="s">
        <v>3</v>
      </c>
      <c r="C1115" s="76"/>
      <c r="D1115" s="83"/>
      <c r="E1115" s="41">
        <f t="shared" si="1496"/>
        <v>0</v>
      </c>
      <c r="F1115" s="76"/>
      <c r="G1115" s="83"/>
      <c r="H1115" s="41">
        <f t="shared" si="1497"/>
        <v>0</v>
      </c>
      <c r="I1115" s="76"/>
      <c r="J1115" s="83"/>
      <c r="K1115" s="41">
        <f t="shared" si="1498"/>
        <v>0</v>
      </c>
      <c r="L1115" s="77">
        <f t="shared" si="1499"/>
        <v>0</v>
      </c>
      <c r="N1115" s="75" t="s">
        <v>3</v>
      </c>
      <c r="O1115" s="57"/>
      <c r="P1115" s="83"/>
      <c r="Q1115" s="41">
        <f t="shared" si="1500"/>
        <v>0</v>
      </c>
      <c r="R1115" s="76"/>
      <c r="S1115" s="83"/>
      <c r="T1115" s="41">
        <f t="shared" si="1501"/>
        <v>0</v>
      </c>
      <c r="U1115" s="76"/>
      <c r="V1115" s="83"/>
      <c r="W1115" s="41">
        <f t="shared" si="1502"/>
        <v>0</v>
      </c>
      <c r="X1115" s="77">
        <f t="shared" si="1503"/>
        <v>0</v>
      </c>
    </row>
    <row r="1116" spans="2:25" ht="14.25" thickBot="1" x14ac:dyDescent="0.2">
      <c r="B1116" s="5" t="s">
        <v>2</v>
      </c>
      <c r="C1116" s="32">
        <f>SUM(C1110:C1115)</f>
        <v>45</v>
      </c>
      <c r="D1116" s="19">
        <f>SUM(D1110:D1115)</f>
        <v>5</v>
      </c>
      <c r="E1116" s="42">
        <f t="shared" si="1496"/>
        <v>50</v>
      </c>
      <c r="F1116" s="32">
        <f>SUM(F1110:F1115)</f>
        <v>7</v>
      </c>
      <c r="G1116" s="19">
        <f>SUM(G1110:G1115)</f>
        <v>11</v>
      </c>
      <c r="H1116" s="42">
        <f t="shared" si="1497"/>
        <v>18</v>
      </c>
      <c r="I1116" s="32">
        <f>SUM(I1110:I1115)</f>
        <v>16</v>
      </c>
      <c r="J1116" s="19">
        <f>SUM(J1110:J1115)</f>
        <v>8</v>
      </c>
      <c r="K1116" s="42">
        <f t="shared" si="1498"/>
        <v>24</v>
      </c>
      <c r="L1116" s="13">
        <f t="shared" si="1499"/>
        <v>92</v>
      </c>
      <c r="N1116" s="63" t="s">
        <v>2</v>
      </c>
      <c r="O1116" s="73">
        <f>SUM(O1110:O1115)</f>
        <v>612</v>
      </c>
      <c r="P1116" s="74">
        <f t="shared" ref="P1116:X1116" si="1508">SUM(P1110:P1115)</f>
        <v>618</v>
      </c>
      <c r="Q1116" s="42">
        <f t="shared" si="1508"/>
        <v>1230</v>
      </c>
      <c r="R1116" s="73">
        <f t="shared" si="1508"/>
        <v>439</v>
      </c>
      <c r="S1116" s="74">
        <f t="shared" si="1508"/>
        <v>527</v>
      </c>
      <c r="T1116" s="42">
        <f t="shared" si="1508"/>
        <v>966</v>
      </c>
      <c r="U1116" s="73">
        <f t="shared" si="1508"/>
        <v>318</v>
      </c>
      <c r="V1116" s="74">
        <f t="shared" si="1508"/>
        <v>348</v>
      </c>
      <c r="W1116" s="42">
        <f t="shared" si="1508"/>
        <v>666</v>
      </c>
      <c r="X1116" s="13">
        <f t="shared" si="1508"/>
        <v>2862</v>
      </c>
    </row>
    <row r="1117" spans="2:25" x14ac:dyDescent="0.15">
      <c r="B1117" s="7"/>
      <c r="C1117" s="30"/>
      <c r="D1117" s="25"/>
      <c r="E1117" s="43">
        <f t="shared" si="1496"/>
        <v>0</v>
      </c>
      <c r="F1117" s="35"/>
      <c r="G1117" s="8"/>
      <c r="H1117" s="43">
        <f t="shared" si="1497"/>
        <v>0</v>
      </c>
      <c r="I1117" s="35"/>
      <c r="J1117" s="8"/>
      <c r="K1117" s="43">
        <f t="shared" si="1498"/>
        <v>0</v>
      </c>
      <c r="L1117" s="8">
        <f t="shared" si="1499"/>
        <v>0</v>
      </c>
      <c r="N1117" s="7" t="s">
        <v>562</v>
      </c>
      <c r="O1117" s="30">
        <v>2</v>
      </c>
      <c r="P1117" s="25">
        <v>6</v>
      </c>
      <c r="Q1117" s="43">
        <f t="shared" ref="Q1117:Q1133" si="1509">SUM(O1117:P1117)</f>
        <v>8</v>
      </c>
      <c r="R1117" s="35"/>
      <c r="S1117" s="8"/>
      <c r="T1117" s="43">
        <f t="shared" ref="T1117:T1133" si="1510">SUM(R1117:S1117)</f>
        <v>0</v>
      </c>
      <c r="U1117" s="35">
        <v>8</v>
      </c>
      <c r="V1117" s="8">
        <v>2</v>
      </c>
      <c r="W1117" s="43">
        <f t="shared" ref="W1117:W1133" si="1511">SUM(U1117:V1117)</f>
        <v>10</v>
      </c>
      <c r="X1117" s="8">
        <f t="shared" ref="X1117:X1133" si="1512">SUM(W1117,T1117,Q1117)</f>
        <v>18</v>
      </c>
      <c r="Y1117" s="53">
        <v>46156</v>
      </c>
    </row>
    <row r="1118" spans="2:25" x14ac:dyDescent="0.15">
      <c r="B1118" s="7"/>
      <c r="C1118" s="30"/>
      <c r="D1118" s="25"/>
      <c r="E1118" s="43">
        <f t="shared" si="1496"/>
        <v>0</v>
      </c>
      <c r="F1118" s="35"/>
      <c r="G1118" s="8"/>
      <c r="H1118" s="43">
        <f t="shared" si="1497"/>
        <v>0</v>
      </c>
      <c r="I1118" s="35"/>
      <c r="J1118" s="8"/>
      <c r="K1118" s="43">
        <f t="shared" si="1498"/>
        <v>0</v>
      </c>
      <c r="L1118" s="8">
        <f t="shared" si="1499"/>
        <v>0</v>
      </c>
      <c r="N1118" s="7" t="s">
        <v>603</v>
      </c>
      <c r="O1118" s="30"/>
      <c r="P1118" s="25"/>
      <c r="Q1118" s="43">
        <f t="shared" si="1509"/>
        <v>0</v>
      </c>
      <c r="R1118" s="35"/>
      <c r="S1118" s="8">
        <v>2</v>
      </c>
      <c r="T1118" s="43">
        <f t="shared" si="1510"/>
        <v>2</v>
      </c>
      <c r="U1118" s="35">
        <v>2</v>
      </c>
      <c r="V1118" s="8"/>
      <c r="W1118" s="43">
        <f t="shared" si="1511"/>
        <v>2</v>
      </c>
      <c r="X1118" s="8">
        <f t="shared" si="1512"/>
        <v>4</v>
      </c>
      <c r="Y1118" s="53">
        <v>46156</v>
      </c>
    </row>
    <row r="1119" spans="2:25" x14ac:dyDescent="0.15">
      <c r="B1119" s="7"/>
      <c r="C1119" s="30"/>
      <c r="D1119" s="25"/>
      <c r="E1119" s="43">
        <f t="shared" si="1496"/>
        <v>0</v>
      </c>
      <c r="F1119" s="35"/>
      <c r="G1119" s="8"/>
      <c r="H1119" s="43">
        <f t="shared" si="1497"/>
        <v>0</v>
      </c>
      <c r="I1119" s="35"/>
      <c r="J1119" s="8"/>
      <c r="K1119" s="43">
        <f t="shared" si="1498"/>
        <v>0</v>
      </c>
      <c r="L1119" s="8">
        <f t="shared" si="1499"/>
        <v>0</v>
      </c>
      <c r="N1119" s="7" t="s">
        <v>605</v>
      </c>
      <c r="O1119" s="30">
        <v>15</v>
      </c>
      <c r="P1119" s="25">
        <v>20</v>
      </c>
      <c r="Q1119" s="43">
        <f t="shared" si="1509"/>
        <v>35</v>
      </c>
      <c r="R1119" s="35">
        <v>20</v>
      </c>
      <c r="S1119" s="8">
        <v>10</v>
      </c>
      <c r="T1119" s="43">
        <f t="shared" si="1510"/>
        <v>30</v>
      </c>
      <c r="U1119" s="35">
        <v>10</v>
      </c>
      <c r="V1119" s="8"/>
      <c r="W1119" s="43">
        <f t="shared" si="1511"/>
        <v>10</v>
      </c>
      <c r="X1119" s="8">
        <f t="shared" si="1512"/>
        <v>75</v>
      </c>
      <c r="Y1119" s="53">
        <v>46161</v>
      </c>
    </row>
    <row r="1120" spans="2:25" x14ac:dyDescent="0.15">
      <c r="B1120" s="7"/>
      <c r="C1120" s="30"/>
      <c r="D1120" s="25"/>
      <c r="E1120" s="43">
        <f t="shared" si="1496"/>
        <v>0</v>
      </c>
      <c r="F1120" s="35"/>
      <c r="G1120" s="8"/>
      <c r="H1120" s="43">
        <f t="shared" si="1497"/>
        <v>0</v>
      </c>
      <c r="I1120" s="35"/>
      <c r="J1120" s="8"/>
      <c r="K1120" s="43">
        <f t="shared" si="1498"/>
        <v>0</v>
      </c>
      <c r="L1120" s="8">
        <f t="shared" si="1499"/>
        <v>0</v>
      </c>
      <c r="N1120" s="7" t="s">
        <v>562</v>
      </c>
      <c r="O1120" s="30"/>
      <c r="P1120" s="25"/>
      <c r="Q1120" s="43">
        <f t="shared" si="1509"/>
        <v>0</v>
      </c>
      <c r="R1120" s="35"/>
      <c r="S1120" s="8"/>
      <c r="T1120" s="43">
        <f t="shared" si="1510"/>
        <v>0</v>
      </c>
      <c r="U1120" s="35"/>
      <c r="V1120" s="8">
        <v>1</v>
      </c>
      <c r="W1120" s="43">
        <f t="shared" si="1511"/>
        <v>1</v>
      </c>
      <c r="X1120" s="8">
        <f t="shared" si="1512"/>
        <v>1</v>
      </c>
      <c r="Y1120" s="53">
        <v>46157</v>
      </c>
    </row>
    <row r="1121" spans="2:25" x14ac:dyDescent="0.15">
      <c r="B1121" s="7"/>
      <c r="C1121" s="30"/>
      <c r="D1121" s="25"/>
      <c r="E1121" s="43">
        <f t="shared" si="1496"/>
        <v>0</v>
      </c>
      <c r="F1121" s="35"/>
      <c r="G1121" s="8"/>
      <c r="H1121" s="43">
        <f t="shared" si="1497"/>
        <v>0</v>
      </c>
      <c r="I1121" s="35"/>
      <c r="J1121" s="8"/>
      <c r="K1121" s="43">
        <f t="shared" si="1498"/>
        <v>0</v>
      </c>
      <c r="L1121" s="8">
        <f t="shared" si="1499"/>
        <v>0</v>
      </c>
      <c r="N1121" s="7" t="s">
        <v>603</v>
      </c>
      <c r="O1121" s="30"/>
      <c r="P1121" s="25">
        <v>2</v>
      </c>
      <c r="Q1121" s="43">
        <f t="shared" si="1509"/>
        <v>2</v>
      </c>
      <c r="R1121" s="35"/>
      <c r="S1121" s="8">
        <v>2</v>
      </c>
      <c r="T1121" s="43">
        <f t="shared" si="1510"/>
        <v>2</v>
      </c>
      <c r="U1121" s="35">
        <v>8</v>
      </c>
      <c r="V1121" s="8"/>
      <c r="W1121" s="43">
        <f t="shared" si="1511"/>
        <v>8</v>
      </c>
      <c r="X1121" s="8">
        <f t="shared" si="1512"/>
        <v>12</v>
      </c>
      <c r="Y1121" s="53">
        <v>46157</v>
      </c>
    </row>
    <row r="1122" spans="2:25" x14ac:dyDescent="0.15">
      <c r="B1122" s="7"/>
      <c r="C1122" s="30"/>
      <c r="D1122" s="25"/>
      <c r="E1122" s="43">
        <f t="shared" si="1496"/>
        <v>0</v>
      </c>
      <c r="F1122" s="35"/>
      <c r="G1122" s="8"/>
      <c r="H1122" s="43">
        <f t="shared" si="1497"/>
        <v>0</v>
      </c>
      <c r="I1122" s="35"/>
      <c r="J1122" s="8"/>
      <c r="K1122" s="43">
        <f t="shared" si="1498"/>
        <v>0</v>
      </c>
      <c r="L1122" s="8">
        <f t="shared" si="1499"/>
        <v>0</v>
      </c>
      <c r="N1122" s="7" t="s">
        <v>603</v>
      </c>
      <c r="O1122" s="30"/>
      <c r="P1122" s="25">
        <v>6</v>
      </c>
      <c r="Q1122" s="43">
        <f t="shared" si="1509"/>
        <v>6</v>
      </c>
      <c r="R1122" s="35"/>
      <c r="S1122" s="8">
        <v>6</v>
      </c>
      <c r="T1122" s="43">
        <f t="shared" si="1510"/>
        <v>6</v>
      </c>
      <c r="U1122" s="35">
        <v>8</v>
      </c>
      <c r="V1122" s="8">
        <v>4</v>
      </c>
      <c r="W1122" s="43">
        <f t="shared" si="1511"/>
        <v>12</v>
      </c>
      <c r="X1122" s="8">
        <f t="shared" si="1512"/>
        <v>24</v>
      </c>
      <c r="Y1122" s="53">
        <v>46158</v>
      </c>
    </row>
    <row r="1123" spans="2:25" x14ac:dyDescent="0.15">
      <c r="B1123" s="7"/>
      <c r="C1123" s="30"/>
      <c r="D1123" s="25"/>
      <c r="E1123" s="43">
        <f t="shared" si="1496"/>
        <v>0</v>
      </c>
      <c r="F1123" s="35"/>
      <c r="G1123" s="8"/>
      <c r="H1123" s="43">
        <f t="shared" si="1497"/>
        <v>0</v>
      </c>
      <c r="I1123" s="35"/>
      <c r="J1123" s="8"/>
      <c r="K1123" s="43">
        <f t="shared" si="1498"/>
        <v>0</v>
      </c>
      <c r="L1123" s="8">
        <f t="shared" si="1499"/>
        <v>0</v>
      </c>
      <c r="N1123" s="7" t="s">
        <v>603</v>
      </c>
      <c r="O1123" s="30">
        <v>5</v>
      </c>
      <c r="P1123" s="25"/>
      <c r="Q1123" s="43">
        <f t="shared" si="1509"/>
        <v>5</v>
      </c>
      <c r="R1123" s="35"/>
      <c r="S1123" s="8"/>
      <c r="T1123" s="43">
        <f t="shared" si="1510"/>
        <v>0</v>
      </c>
      <c r="U1123" s="35">
        <v>5</v>
      </c>
      <c r="V1123" s="8">
        <v>3</v>
      </c>
      <c r="W1123" s="43">
        <f t="shared" si="1511"/>
        <v>8</v>
      </c>
      <c r="X1123" s="8">
        <f t="shared" si="1512"/>
        <v>13</v>
      </c>
      <c r="Y1123" s="53">
        <v>46160</v>
      </c>
    </row>
    <row r="1124" spans="2:25" x14ac:dyDescent="0.15">
      <c r="B1124" s="7"/>
      <c r="C1124" s="30"/>
      <c r="D1124" s="25"/>
      <c r="E1124" s="43">
        <f t="shared" si="1496"/>
        <v>0</v>
      </c>
      <c r="F1124" s="35"/>
      <c r="G1124" s="8"/>
      <c r="H1124" s="43">
        <f t="shared" si="1497"/>
        <v>0</v>
      </c>
      <c r="I1124" s="35"/>
      <c r="J1124" s="8"/>
      <c r="K1124" s="43">
        <f t="shared" si="1498"/>
        <v>0</v>
      </c>
      <c r="L1124" s="8">
        <f t="shared" si="1499"/>
        <v>0</v>
      </c>
      <c r="N1124" s="7" t="s">
        <v>562</v>
      </c>
      <c r="O1124" s="30"/>
      <c r="P1124" s="25"/>
      <c r="Q1124" s="43">
        <f t="shared" si="1509"/>
        <v>0</v>
      </c>
      <c r="R1124" s="35"/>
      <c r="S1124" s="8">
        <v>2</v>
      </c>
      <c r="T1124" s="43">
        <f t="shared" si="1510"/>
        <v>2</v>
      </c>
      <c r="U1124" s="35"/>
      <c r="V1124" s="8"/>
      <c r="W1124" s="43">
        <f t="shared" si="1511"/>
        <v>0</v>
      </c>
      <c r="X1124" s="8">
        <f t="shared" si="1512"/>
        <v>2</v>
      </c>
      <c r="Y1124" s="53">
        <v>46163</v>
      </c>
    </row>
    <row r="1125" spans="2:25" x14ac:dyDescent="0.15">
      <c r="B1125" s="7"/>
      <c r="C1125" s="30"/>
      <c r="D1125" s="25"/>
      <c r="E1125" s="43">
        <f t="shared" si="1496"/>
        <v>0</v>
      </c>
      <c r="F1125" s="35"/>
      <c r="G1125" s="8"/>
      <c r="H1125" s="43">
        <f t="shared" si="1497"/>
        <v>0</v>
      </c>
      <c r="I1125" s="35"/>
      <c r="J1125" s="8"/>
      <c r="K1125" s="43">
        <f t="shared" si="1498"/>
        <v>0</v>
      </c>
      <c r="L1125" s="8">
        <f t="shared" si="1499"/>
        <v>0</v>
      </c>
      <c r="N1125" s="7" t="s">
        <v>603</v>
      </c>
      <c r="O1125" s="30">
        <v>8</v>
      </c>
      <c r="P1125" s="25">
        <v>6</v>
      </c>
      <c r="Q1125" s="43">
        <f t="shared" si="1509"/>
        <v>14</v>
      </c>
      <c r="R1125" s="35">
        <v>4</v>
      </c>
      <c r="S1125" s="8">
        <v>10</v>
      </c>
      <c r="T1125" s="43">
        <f t="shared" si="1510"/>
        <v>14</v>
      </c>
      <c r="U1125" s="35">
        <v>4</v>
      </c>
      <c r="V1125" s="8">
        <v>10</v>
      </c>
      <c r="W1125" s="43">
        <f t="shared" si="1511"/>
        <v>14</v>
      </c>
      <c r="X1125" s="8">
        <f t="shared" si="1512"/>
        <v>42</v>
      </c>
      <c r="Y1125" s="53">
        <v>46163</v>
      </c>
    </row>
    <row r="1126" spans="2:25" x14ac:dyDescent="0.15">
      <c r="B1126" s="7"/>
      <c r="C1126" s="30"/>
      <c r="D1126" s="25"/>
      <c r="E1126" s="43">
        <f t="shared" si="1496"/>
        <v>0</v>
      </c>
      <c r="F1126" s="35"/>
      <c r="G1126" s="8"/>
      <c r="H1126" s="43">
        <f t="shared" si="1497"/>
        <v>0</v>
      </c>
      <c r="I1126" s="35"/>
      <c r="J1126" s="8"/>
      <c r="K1126" s="43">
        <f t="shared" si="1498"/>
        <v>0</v>
      </c>
      <c r="L1126" s="8">
        <f t="shared" si="1499"/>
        <v>0</v>
      </c>
      <c r="N1126" s="192" t="s">
        <v>602</v>
      </c>
      <c r="O1126" s="33">
        <v>35</v>
      </c>
      <c r="P1126" s="27">
        <v>10</v>
      </c>
      <c r="Q1126" s="197">
        <f t="shared" si="1509"/>
        <v>45</v>
      </c>
      <c r="R1126" s="37"/>
      <c r="S1126" s="10">
        <v>20</v>
      </c>
      <c r="T1126" s="197">
        <f t="shared" si="1510"/>
        <v>20</v>
      </c>
      <c r="U1126" s="37"/>
      <c r="V1126" s="10"/>
      <c r="W1126" s="197">
        <f t="shared" si="1511"/>
        <v>0</v>
      </c>
      <c r="X1126" s="10">
        <f t="shared" si="1512"/>
        <v>65</v>
      </c>
      <c r="Y1126" s="54">
        <v>46163</v>
      </c>
    </row>
    <row r="1127" spans="2:25" x14ac:dyDescent="0.15">
      <c r="B1127" s="7"/>
      <c r="C1127" s="30"/>
      <c r="D1127" s="25"/>
      <c r="E1127" s="43">
        <f t="shared" si="1496"/>
        <v>0</v>
      </c>
      <c r="F1127" s="35"/>
      <c r="G1127" s="8"/>
      <c r="H1127" s="43">
        <f t="shared" si="1497"/>
        <v>0</v>
      </c>
      <c r="I1127" s="35"/>
      <c r="J1127" s="8"/>
      <c r="K1127" s="43">
        <f t="shared" si="1498"/>
        <v>0</v>
      </c>
      <c r="L1127" s="8">
        <f t="shared" si="1499"/>
        <v>0</v>
      </c>
      <c r="N1127" s="7" t="s">
        <v>562</v>
      </c>
      <c r="O1127" s="30"/>
      <c r="P1127" s="25"/>
      <c r="Q1127" s="43">
        <f t="shared" si="1509"/>
        <v>0</v>
      </c>
      <c r="R1127" s="35"/>
      <c r="S1127" s="8"/>
      <c r="T1127" s="43">
        <f t="shared" si="1510"/>
        <v>0</v>
      </c>
      <c r="U1127" s="35">
        <v>2</v>
      </c>
      <c r="V1127" s="8"/>
      <c r="W1127" s="43">
        <f t="shared" si="1511"/>
        <v>2</v>
      </c>
      <c r="X1127" s="8">
        <f t="shared" si="1512"/>
        <v>2</v>
      </c>
      <c r="Y1127" s="53">
        <v>46164</v>
      </c>
    </row>
    <row r="1128" spans="2:25" x14ac:dyDescent="0.15">
      <c r="B1128" s="7"/>
      <c r="C1128" s="30"/>
      <c r="D1128" s="25"/>
      <c r="E1128" s="43">
        <f t="shared" si="1496"/>
        <v>0</v>
      </c>
      <c r="F1128" s="35"/>
      <c r="G1128" s="8"/>
      <c r="H1128" s="43">
        <f t="shared" si="1497"/>
        <v>0</v>
      </c>
      <c r="I1128" s="35"/>
      <c r="J1128" s="8"/>
      <c r="K1128" s="43">
        <f t="shared" si="1498"/>
        <v>0</v>
      </c>
      <c r="L1128" s="8">
        <f t="shared" si="1499"/>
        <v>0</v>
      </c>
      <c r="N1128" s="7" t="s">
        <v>603</v>
      </c>
      <c r="O1128" s="30">
        <v>8</v>
      </c>
      <c r="P1128" s="25">
        <v>4</v>
      </c>
      <c r="Q1128" s="43">
        <f t="shared" si="1509"/>
        <v>12</v>
      </c>
      <c r="R1128" s="35">
        <v>6</v>
      </c>
      <c r="S1128" s="8">
        <v>6</v>
      </c>
      <c r="T1128" s="43">
        <f t="shared" si="1510"/>
        <v>12</v>
      </c>
      <c r="U1128" s="35">
        <v>6</v>
      </c>
      <c r="V1128" s="8"/>
      <c r="W1128" s="43">
        <f t="shared" si="1511"/>
        <v>6</v>
      </c>
      <c r="X1128" s="8">
        <f t="shared" si="1512"/>
        <v>30</v>
      </c>
      <c r="Y1128" s="53">
        <v>46164</v>
      </c>
    </row>
    <row r="1129" spans="2:25" x14ac:dyDescent="0.15">
      <c r="B1129" s="7"/>
      <c r="C1129" s="30"/>
      <c r="D1129" s="25"/>
      <c r="E1129" s="43">
        <f t="shared" si="1496"/>
        <v>0</v>
      </c>
      <c r="F1129" s="35"/>
      <c r="G1129" s="8"/>
      <c r="H1129" s="43">
        <f t="shared" si="1497"/>
        <v>0</v>
      </c>
      <c r="I1129" s="35"/>
      <c r="J1129" s="8"/>
      <c r="K1129" s="43">
        <f t="shared" si="1498"/>
        <v>0</v>
      </c>
      <c r="L1129" s="8">
        <f t="shared" si="1499"/>
        <v>0</v>
      </c>
      <c r="N1129" s="7" t="s">
        <v>609</v>
      </c>
      <c r="O1129" s="30"/>
      <c r="P1129" s="25"/>
      <c r="Q1129" s="43">
        <f t="shared" si="1509"/>
        <v>0</v>
      </c>
      <c r="R1129" s="35"/>
      <c r="S1129" s="8"/>
      <c r="T1129" s="43">
        <f t="shared" si="1510"/>
        <v>0</v>
      </c>
      <c r="U1129" s="35">
        <v>5</v>
      </c>
      <c r="V1129" s="8">
        <v>10</v>
      </c>
      <c r="W1129" s="43">
        <f t="shared" si="1511"/>
        <v>15</v>
      </c>
      <c r="X1129" s="8">
        <f t="shared" si="1512"/>
        <v>15</v>
      </c>
      <c r="Y1129" s="53">
        <v>46163</v>
      </c>
    </row>
    <row r="1130" spans="2:25" x14ac:dyDescent="0.15">
      <c r="B1130" s="7"/>
      <c r="C1130" s="30"/>
      <c r="D1130" s="25"/>
      <c r="E1130" s="43">
        <f t="shared" si="1496"/>
        <v>0</v>
      </c>
      <c r="F1130" s="35"/>
      <c r="G1130" s="8"/>
      <c r="H1130" s="43">
        <f t="shared" si="1497"/>
        <v>0</v>
      </c>
      <c r="I1130" s="35"/>
      <c r="J1130" s="8"/>
      <c r="K1130" s="43">
        <f t="shared" si="1498"/>
        <v>0</v>
      </c>
      <c r="L1130" s="8">
        <f t="shared" si="1499"/>
        <v>0</v>
      </c>
      <c r="N1130" s="155" t="s">
        <v>610</v>
      </c>
      <c r="O1130" s="147"/>
      <c r="P1130" s="148"/>
      <c r="Q1130" s="156">
        <f t="shared" si="1509"/>
        <v>0</v>
      </c>
      <c r="R1130" s="150">
        <v>5</v>
      </c>
      <c r="S1130" s="151">
        <v>5</v>
      </c>
      <c r="T1130" s="156">
        <f t="shared" si="1510"/>
        <v>10</v>
      </c>
      <c r="U1130" s="150"/>
      <c r="V1130" s="151">
        <v>5</v>
      </c>
      <c r="W1130" s="156">
        <f t="shared" si="1511"/>
        <v>5</v>
      </c>
      <c r="X1130" s="151">
        <f t="shared" si="1512"/>
        <v>15</v>
      </c>
      <c r="Y1130" s="153">
        <v>46163</v>
      </c>
    </row>
    <row r="1131" spans="2:25" x14ac:dyDescent="0.15">
      <c r="B1131" s="7"/>
      <c r="C1131" s="30"/>
      <c r="D1131" s="25"/>
      <c r="E1131" s="43">
        <f t="shared" si="1496"/>
        <v>0</v>
      </c>
      <c r="F1131" s="35"/>
      <c r="G1131" s="8"/>
      <c r="H1131" s="43">
        <f t="shared" si="1497"/>
        <v>0</v>
      </c>
      <c r="I1131" s="35"/>
      <c r="J1131" s="8"/>
      <c r="K1131" s="43">
        <f t="shared" si="1498"/>
        <v>0</v>
      </c>
      <c r="L1131" s="8">
        <f t="shared" si="1499"/>
        <v>0</v>
      </c>
      <c r="N1131" s="7" t="s">
        <v>603</v>
      </c>
      <c r="O1131" s="30"/>
      <c r="P1131" s="25"/>
      <c r="Q1131" s="43">
        <f t="shared" si="1509"/>
        <v>0</v>
      </c>
      <c r="R1131" s="35">
        <v>4</v>
      </c>
      <c r="S1131" s="8"/>
      <c r="T1131" s="43">
        <f t="shared" si="1510"/>
        <v>4</v>
      </c>
      <c r="U1131" s="35">
        <v>2</v>
      </c>
      <c r="V1131" s="8"/>
      <c r="W1131" s="43">
        <f t="shared" si="1511"/>
        <v>2</v>
      </c>
      <c r="X1131" s="8">
        <f t="shared" si="1512"/>
        <v>6</v>
      </c>
      <c r="Y1131" s="53">
        <v>46165</v>
      </c>
    </row>
    <row r="1132" spans="2:25" x14ac:dyDescent="0.15">
      <c r="B1132" s="7"/>
      <c r="C1132" s="30"/>
      <c r="D1132" s="25"/>
      <c r="E1132" s="43">
        <f t="shared" si="1496"/>
        <v>0</v>
      </c>
      <c r="F1132" s="35"/>
      <c r="G1132" s="8"/>
      <c r="H1132" s="43">
        <f t="shared" si="1497"/>
        <v>0</v>
      </c>
      <c r="I1132" s="35"/>
      <c r="J1132" s="8"/>
      <c r="K1132" s="43">
        <f t="shared" si="1498"/>
        <v>0</v>
      </c>
      <c r="L1132" s="8">
        <f t="shared" si="1499"/>
        <v>0</v>
      </c>
      <c r="N1132" s="7" t="s">
        <v>611</v>
      </c>
      <c r="O1132" s="30"/>
      <c r="P1132" s="25">
        <v>15</v>
      </c>
      <c r="Q1132" s="43">
        <f t="shared" si="1509"/>
        <v>15</v>
      </c>
      <c r="R1132" s="35"/>
      <c r="S1132" s="8"/>
      <c r="T1132" s="43">
        <f t="shared" si="1510"/>
        <v>0</v>
      </c>
      <c r="U1132" s="35"/>
      <c r="V1132" s="8"/>
      <c r="W1132" s="43">
        <f t="shared" si="1511"/>
        <v>0</v>
      </c>
      <c r="X1132" s="8">
        <f t="shared" si="1512"/>
        <v>15</v>
      </c>
      <c r="Y1132" s="53">
        <v>46164</v>
      </c>
    </row>
    <row r="1133" spans="2:25" x14ac:dyDescent="0.15">
      <c r="B1133" s="7"/>
      <c r="C1133" s="30"/>
      <c r="D1133" s="25"/>
      <c r="E1133" s="43">
        <f t="shared" si="1496"/>
        <v>0</v>
      </c>
      <c r="F1133" s="35"/>
      <c r="G1133" s="8"/>
      <c r="H1133" s="43">
        <f t="shared" si="1497"/>
        <v>0</v>
      </c>
      <c r="I1133" s="35"/>
      <c r="J1133" s="8"/>
      <c r="K1133" s="43">
        <f t="shared" si="1498"/>
        <v>0</v>
      </c>
      <c r="L1133" s="8">
        <f t="shared" si="1499"/>
        <v>0</v>
      </c>
      <c r="N1133" s="7" t="s">
        <v>562</v>
      </c>
      <c r="O1133" s="30"/>
      <c r="P1133" s="25"/>
      <c r="Q1133" s="43">
        <f t="shared" si="1509"/>
        <v>0</v>
      </c>
      <c r="R1133" s="35"/>
      <c r="S1133" s="8"/>
      <c r="T1133" s="43">
        <f t="shared" si="1510"/>
        <v>0</v>
      </c>
      <c r="U1133" s="35">
        <v>3</v>
      </c>
      <c r="V1133" s="8"/>
      <c r="W1133" s="43">
        <f t="shared" si="1511"/>
        <v>3</v>
      </c>
      <c r="X1133" s="8">
        <f t="shared" si="1512"/>
        <v>3</v>
      </c>
      <c r="Y1133" s="53">
        <v>46167</v>
      </c>
    </row>
    <row r="1134" spans="2:25" x14ac:dyDescent="0.15">
      <c r="B1134" s="7"/>
      <c r="C1134" s="30"/>
      <c r="D1134" s="25"/>
      <c r="E1134" s="43">
        <f t="shared" si="1496"/>
        <v>0</v>
      </c>
      <c r="F1134" s="35"/>
      <c r="G1134" s="8"/>
      <c r="H1134" s="43">
        <f t="shared" si="1497"/>
        <v>0</v>
      </c>
      <c r="I1134" s="35"/>
      <c r="J1134" s="8"/>
      <c r="K1134" s="43">
        <f t="shared" si="1498"/>
        <v>0</v>
      </c>
      <c r="L1134" s="8">
        <f t="shared" si="1499"/>
        <v>0</v>
      </c>
      <c r="N1134" s="7" t="s">
        <v>603</v>
      </c>
      <c r="O1134" s="30"/>
      <c r="P1134" s="25"/>
      <c r="Q1134" s="43">
        <f t="shared" ref="Q1134:Q1135" si="1513">SUM(O1134:P1134)</f>
        <v>0</v>
      </c>
      <c r="R1134" s="35">
        <v>4</v>
      </c>
      <c r="S1134" s="8"/>
      <c r="T1134" s="43">
        <f t="shared" ref="T1134:T1135" si="1514">SUM(R1134:S1134)</f>
        <v>4</v>
      </c>
      <c r="U1134" s="35">
        <v>2</v>
      </c>
      <c r="V1134" s="8">
        <v>2</v>
      </c>
      <c r="W1134" s="43">
        <f t="shared" ref="W1134:W1135" si="1515">SUM(U1134:V1134)</f>
        <v>4</v>
      </c>
      <c r="X1134" s="8">
        <f t="shared" ref="X1134:X1135" si="1516">SUM(W1134,T1134,Q1134)</f>
        <v>8</v>
      </c>
      <c r="Y1134" s="53">
        <v>46167</v>
      </c>
    </row>
    <row r="1135" spans="2:25" x14ac:dyDescent="0.15">
      <c r="B1135" s="7"/>
      <c r="C1135" s="30"/>
      <c r="D1135" s="25"/>
      <c r="E1135" s="43">
        <f t="shared" si="1496"/>
        <v>0</v>
      </c>
      <c r="F1135" s="35"/>
      <c r="G1135" s="8"/>
      <c r="H1135" s="43">
        <f t="shared" si="1497"/>
        <v>0</v>
      </c>
      <c r="I1135" s="35"/>
      <c r="J1135" s="8"/>
      <c r="K1135" s="43">
        <f t="shared" si="1498"/>
        <v>0</v>
      </c>
      <c r="L1135" s="8">
        <f t="shared" si="1499"/>
        <v>0</v>
      </c>
      <c r="N1135" s="7" t="s">
        <v>613</v>
      </c>
      <c r="O1135" s="30"/>
      <c r="P1135" s="25">
        <v>10</v>
      </c>
      <c r="Q1135" s="43">
        <f t="shared" si="1513"/>
        <v>10</v>
      </c>
      <c r="R1135" s="35"/>
      <c r="S1135" s="8">
        <v>5</v>
      </c>
      <c r="T1135" s="43">
        <f t="shared" si="1514"/>
        <v>5</v>
      </c>
      <c r="U1135" s="35"/>
      <c r="V1135" s="8"/>
      <c r="W1135" s="43">
        <f t="shared" si="1515"/>
        <v>0</v>
      </c>
      <c r="X1135" s="8">
        <f t="shared" si="1516"/>
        <v>15</v>
      </c>
      <c r="Y1135" s="53">
        <v>46165</v>
      </c>
    </row>
    <row r="1136" spans="2:25" x14ac:dyDescent="0.15">
      <c r="B1136" s="7"/>
      <c r="C1136" s="30"/>
      <c r="D1136" s="25"/>
      <c r="E1136" s="43">
        <f t="shared" si="1496"/>
        <v>0</v>
      </c>
      <c r="F1136" s="35"/>
      <c r="G1136" s="8"/>
      <c r="H1136" s="43">
        <f t="shared" si="1497"/>
        <v>0</v>
      </c>
      <c r="I1136" s="35"/>
      <c r="J1136" s="8"/>
      <c r="K1136" s="43">
        <f t="shared" si="1498"/>
        <v>0</v>
      </c>
      <c r="L1136" s="8">
        <f t="shared" si="1499"/>
        <v>0</v>
      </c>
      <c r="N1136" s="7"/>
      <c r="O1136" s="30"/>
      <c r="P1136" s="25"/>
      <c r="Q1136" s="43">
        <f t="shared" ref="Q1136:Q1137" si="1517">SUM(O1136:P1136)</f>
        <v>0</v>
      </c>
      <c r="R1136" s="35"/>
      <c r="S1136" s="8"/>
      <c r="T1136" s="43">
        <f t="shared" ref="T1136:T1137" si="1518">SUM(R1136:S1136)</f>
        <v>0</v>
      </c>
      <c r="U1136" s="35"/>
      <c r="V1136" s="8"/>
      <c r="W1136" s="43">
        <f t="shared" ref="W1136:W1137" si="1519">SUM(U1136:V1136)</f>
        <v>0</v>
      </c>
      <c r="X1136" s="8">
        <f t="shared" ref="X1136:X1137" si="1520">SUM(W1136,T1136,Q1136)</f>
        <v>0</v>
      </c>
    </row>
    <row r="1137" spans="2:25" x14ac:dyDescent="0.15">
      <c r="B1137" s="7"/>
      <c r="C1137" s="30"/>
      <c r="D1137" s="25"/>
      <c r="E1137" s="43">
        <f t="shared" si="1496"/>
        <v>0</v>
      </c>
      <c r="F1137" s="35"/>
      <c r="G1137" s="8"/>
      <c r="H1137" s="43">
        <f t="shared" si="1497"/>
        <v>0</v>
      </c>
      <c r="I1137" s="35"/>
      <c r="J1137" s="8"/>
      <c r="K1137" s="43">
        <f t="shared" si="1498"/>
        <v>0</v>
      </c>
      <c r="L1137" s="8">
        <f t="shared" si="1499"/>
        <v>0</v>
      </c>
      <c r="N1137" s="7" t="s">
        <v>580</v>
      </c>
      <c r="O1137" s="30"/>
      <c r="P1137" s="25"/>
      <c r="Q1137" s="43">
        <f t="shared" si="1517"/>
        <v>0</v>
      </c>
      <c r="R1137" s="35"/>
      <c r="S1137" s="8"/>
      <c r="T1137" s="43">
        <f t="shared" si="1518"/>
        <v>0</v>
      </c>
      <c r="U1137" s="35"/>
      <c r="V1137" s="8"/>
      <c r="W1137" s="43">
        <f t="shared" si="1519"/>
        <v>0</v>
      </c>
      <c r="X1137" s="8">
        <f t="shared" si="1520"/>
        <v>0</v>
      </c>
      <c r="Y1137" s="52" t="s">
        <v>196</v>
      </c>
    </row>
    <row r="1138" spans="2:25" x14ac:dyDescent="0.15">
      <c r="B1138" s="7"/>
      <c r="C1138" s="30"/>
      <c r="D1138" s="25"/>
      <c r="E1138" s="43">
        <f t="shared" si="1496"/>
        <v>0</v>
      </c>
      <c r="F1138" s="35"/>
      <c r="G1138" s="8"/>
      <c r="H1138" s="43">
        <f t="shared" si="1497"/>
        <v>0</v>
      </c>
      <c r="I1138" s="35"/>
      <c r="J1138" s="8"/>
      <c r="K1138" s="43">
        <f t="shared" si="1498"/>
        <v>0</v>
      </c>
      <c r="L1138" s="8">
        <f t="shared" si="1499"/>
        <v>0</v>
      </c>
      <c r="N1138" s="186" t="s">
        <v>547</v>
      </c>
      <c r="O1138" s="116"/>
      <c r="P1138" s="112"/>
      <c r="Q1138" s="117">
        <f t="shared" ref="Q1138:Q1140" si="1521">SUM(O1138:P1138)</f>
        <v>0</v>
      </c>
      <c r="R1138" s="118"/>
      <c r="S1138" s="119"/>
      <c r="T1138" s="117">
        <f t="shared" ref="T1138:T1140" si="1522">SUM(R1138:S1138)</f>
        <v>0</v>
      </c>
      <c r="U1138" s="190"/>
      <c r="V1138" s="189"/>
      <c r="W1138" s="117">
        <f>SUM(U1138:V1138)</f>
        <v>0</v>
      </c>
      <c r="X1138" s="119">
        <f t="shared" ref="X1138:X1139" si="1523">SUM(W1138,T1138,Q1138)</f>
        <v>0</v>
      </c>
      <c r="Y1138" s="101"/>
    </row>
    <row r="1139" spans="2:25" x14ac:dyDescent="0.15">
      <c r="B1139" s="7"/>
      <c r="C1139" s="30"/>
      <c r="D1139" s="25"/>
      <c r="E1139" s="43">
        <f t="shared" si="1496"/>
        <v>0</v>
      </c>
      <c r="F1139" s="35"/>
      <c r="G1139" s="8"/>
      <c r="H1139" s="43">
        <f t="shared" si="1497"/>
        <v>0</v>
      </c>
      <c r="I1139" s="35"/>
      <c r="J1139" s="8"/>
      <c r="K1139" s="43">
        <f t="shared" si="1498"/>
        <v>0</v>
      </c>
      <c r="L1139" s="8">
        <f t="shared" si="1499"/>
        <v>0</v>
      </c>
      <c r="N1139" s="192" t="s">
        <v>548</v>
      </c>
      <c r="O1139" s="33"/>
      <c r="P1139" s="27"/>
      <c r="Q1139" s="197">
        <f t="shared" si="1521"/>
        <v>0</v>
      </c>
      <c r="R1139" s="37"/>
      <c r="S1139" s="10"/>
      <c r="T1139" s="197">
        <f t="shared" si="1522"/>
        <v>0</v>
      </c>
      <c r="U1139" s="196"/>
      <c r="V1139" s="195"/>
      <c r="W1139" s="197">
        <f t="shared" ref="W1139:W1140" si="1524">SUM(U1139:V1139)</f>
        <v>0</v>
      </c>
      <c r="X1139" s="10">
        <f t="shared" si="1523"/>
        <v>0</v>
      </c>
      <c r="Y1139" s="191" t="s">
        <v>558</v>
      </c>
    </row>
    <row r="1140" spans="2:25" x14ac:dyDescent="0.15">
      <c r="B1140" s="7"/>
      <c r="C1140" s="30"/>
      <c r="D1140" s="25"/>
      <c r="E1140" s="43">
        <f t="shared" si="1496"/>
        <v>0</v>
      </c>
      <c r="F1140" s="35"/>
      <c r="G1140" s="8"/>
      <c r="H1140" s="43">
        <f t="shared" si="1497"/>
        <v>0</v>
      </c>
      <c r="I1140" s="35"/>
      <c r="J1140" s="8"/>
      <c r="K1140" s="43">
        <f t="shared" si="1498"/>
        <v>0</v>
      </c>
      <c r="L1140" s="8">
        <f t="shared" si="1499"/>
        <v>0</v>
      </c>
      <c r="N1140" s="115" t="s">
        <v>561</v>
      </c>
      <c r="O1140" s="116"/>
      <c r="P1140" s="112"/>
      <c r="Q1140" s="117">
        <f t="shared" si="1521"/>
        <v>0</v>
      </c>
      <c r="R1140" s="118"/>
      <c r="S1140" s="119"/>
      <c r="T1140" s="117">
        <f t="shared" si="1522"/>
        <v>0</v>
      </c>
      <c r="U1140" s="118"/>
      <c r="V1140" s="119"/>
      <c r="W1140" s="117">
        <f t="shared" si="1524"/>
        <v>0</v>
      </c>
      <c r="X1140" s="119">
        <f t="shared" ref="X1140:X1141" si="1525">SUM(W1140,T1140,Q1140)</f>
        <v>0</v>
      </c>
    </row>
    <row r="1141" spans="2:25" ht="14.25" thickBot="1" x14ac:dyDescent="0.2">
      <c r="B1141" s="7"/>
      <c r="C1141" s="30"/>
      <c r="D1141" s="25"/>
      <c r="E1141" s="43">
        <f t="shared" si="1496"/>
        <v>0</v>
      </c>
      <c r="F1141" s="35"/>
      <c r="G1141" s="8"/>
      <c r="H1141" s="43">
        <f t="shared" si="1497"/>
        <v>0</v>
      </c>
      <c r="I1141" s="35"/>
      <c r="J1141" s="8"/>
      <c r="K1141" s="43">
        <f t="shared" si="1498"/>
        <v>0</v>
      </c>
      <c r="L1141" s="8">
        <f t="shared" si="1499"/>
        <v>0</v>
      </c>
      <c r="N1141" s="7" t="s">
        <v>559</v>
      </c>
      <c r="O1141" s="30"/>
      <c r="P1141" s="25"/>
      <c r="Q1141" s="43">
        <f t="shared" ref="Q1141" si="1526">SUM(O1141:P1141)</f>
        <v>0</v>
      </c>
      <c r="R1141" s="35"/>
      <c r="S1141" s="8"/>
      <c r="T1141" s="43">
        <f t="shared" ref="T1141" si="1527">SUM(R1141:S1141)</f>
        <v>0</v>
      </c>
      <c r="U1141" s="35"/>
      <c r="V1141" s="8"/>
      <c r="W1141" s="43">
        <f t="shared" ref="W1141" si="1528">SUM(U1141:V1141)</f>
        <v>0</v>
      </c>
      <c r="X1141" s="8">
        <f t="shared" si="1525"/>
        <v>0</v>
      </c>
      <c r="Y1141" s="52" t="s">
        <v>560</v>
      </c>
    </row>
    <row r="1142" spans="2:25" ht="14.25" thickBot="1" x14ac:dyDescent="0.2">
      <c r="B1142" s="5" t="s">
        <v>1</v>
      </c>
      <c r="C1142" s="32">
        <f>SUM(C1117:C1141)</f>
        <v>0</v>
      </c>
      <c r="D1142" s="19">
        <f>SUM(D1117:D1141)</f>
        <v>0</v>
      </c>
      <c r="E1142" s="44">
        <f t="shared" si="1496"/>
        <v>0</v>
      </c>
      <c r="F1142" s="32">
        <f>SUM(F1117:F1141)</f>
        <v>0</v>
      </c>
      <c r="G1142" s="19">
        <f>SUM(G1117:G1141)</f>
        <v>0</v>
      </c>
      <c r="H1142" s="44">
        <f t="shared" si="1497"/>
        <v>0</v>
      </c>
      <c r="I1142" s="32">
        <f>SUM(I1117:I1141)</f>
        <v>0</v>
      </c>
      <c r="J1142" s="19">
        <f>SUM(J1117:J1141)</f>
        <v>0</v>
      </c>
      <c r="K1142" s="44">
        <f t="shared" si="1498"/>
        <v>0</v>
      </c>
      <c r="L1142" s="4">
        <f t="shared" si="1499"/>
        <v>0</v>
      </c>
      <c r="N1142" s="5" t="s">
        <v>1</v>
      </c>
      <c r="O1142" s="32">
        <f>SUM(O1117:O1141)</f>
        <v>73</v>
      </c>
      <c r="P1142" s="19">
        <f t="shared" ref="P1142:X1142" si="1529">SUM(P1117:P1141)</f>
        <v>79</v>
      </c>
      <c r="Q1142" s="44">
        <f t="shared" si="1529"/>
        <v>152</v>
      </c>
      <c r="R1142" s="32">
        <f t="shared" si="1529"/>
        <v>43</v>
      </c>
      <c r="S1142" s="19">
        <f t="shared" si="1529"/>
        <v>68</v>
      </c>
      <c r="T1142" s="44">
        <f t="shared" si="1529"/>
        <v>111</v>
      </c>
      <c r="U1142" s="32">
        <f t="shared" si="1529"/>
        <v>65</v>
      </c>
      <c r="V1142" s="19">
        <f t="shared" si="1529"/>
        <v>37</v>
      </c>
      <c r="W1142" s="44">
        <f t="shared" si="1529"/>
        <v>102</v>
      </c>
      <c r="X1142" s="4">
        <f t="shared" si="1529"/>
        <v>365</v>
      </c>
    </row>
    <row r="1143" spans="2:25" ht="14.25" thickBot="1" x14ac:dyDescent="0.2">
      <c r="B1143" s="3" t="s">
        <v>0</v>
      </c>
      <c r="C1143" s="34">
        <f>+C1116-C1142</f>
        <v>45</v>
      </c>
      <c r="D1143" s="2">
        <f>+D1116-D1142</f>
        <v>5</v>
      </c>
      <c r="E1143" s="45">
        <f t="shared" si="1496"/>
        <v>50</v>
      </c>
      <c r="F1143" s="34">
        <f>+F1116-F1142</f>
        <v>7</v>
      </c>
      <c r="G1143" s="2">
        <f>+G1116-G1142</f>
        <v>11</v>
      </c>
      <c r="H1143" s="45">
        <f t="shared" si="1497"/>
        <v>18</v>
      </c>
      <c r="I1143" s="34">
        <f>+I1116-I1142</f>
        <v>16</v>
      </c>
      <c r="J1143" s="2">
        <f>+J1116-J1142</f>
        <v>8</v>
      </c>
      <c r="K1143" s="45">
        <f t="shared" si="1498"/>
        <v>24</v>
      </c>
      <c r="L1143" s="2">
        <f t="shared" si="1499"/>
        <v>92</v>
      </c>
      <c r="N1143" s="59" t="s">
        <v>0</v>
      </c>
      <c r="O1143" s="60">
        <f>+O1116-O1142</f>
        <v>539</v>
      </c>
      <c r="P1143" s="61">
        <f t="shared" ref="P1143:X1143" si="1530">+P1116-P1142</f>
        <v>539</v>
      </c>
      <c r="Q1143" s="161">
        <f t="shared" si="1530"/>
        <v>1078</v>
      </c>
      <c r="R1143" s="60">
        <f t="shared" si="1530"/>
        <v>396</v>
      </c>
      <c r="S1143" s="61">
        <f t="shared" si="1530"/>
        <v>459</v>
      </c>
      <c r="T1143" s="161">
        <f t="shared" si="1530"/>
        <v>855</v>
      </c>
      <c r="U1143" s="60">
        <f t="shared" si="1530"/>
        <v>253</v>
      </c>
      <c r="V1143" s="61">
        <f t="shared" si="1530"/>
        <v>311</v>
      </c>
      <c r="W1143" s="161">
        <f t="shared" si="1530"/>
        <v>564</v>
      </c>
      <c r="X1143" s="61">
        <f t="shared" si="1530"/>
        <v>2497</v>
      </c>
      <c r="Y1143" s="129" t="s">
        <v>551</v>
      </c>
    </row>
    <row r="1144" spans="2:25" x14ac:dyDescent="0.15">
      <c r="O1144" s="85">
        <f>O1143/$Q$1143*100</f>
        <v>50</v>
      </c>
      <c r="P1144" s="85">
        <f t="shared" ref="P1144:Q1144" si="1531">P1143/$Q$1143*100</f>
        <v>50</v>
      </c>
      <c r="Q1144" s="85">
        <f t="shared" si="1531"/>
        <v>100</v>
      </c>
      <c r="R1144" s="85">
        <f>R1143/$T$1143*100</f>
        <v>46.315789473684212</v>
      </c>
      <c r="S1144" s="85">
        <f t="shared" ref="S1144:T1144" si="1532">S1143/$T$1143*100</f>
        <v>53.684210526315788</v>
      </c>
      <c r="T1144" s="85">
        <f t="shared" si="1532"/>
        <v>100</v>
      </c>
      <c r="U1144" s="85">
        <f>U1143/$W$1143*100</f>
        <v>44.858156028368796</v>
      </c>
      <c r="V1144" s="85">
        <f t="shared" ref="V1144:W1144" si="1533">V1143/$W$1143*100</f>
        <v>55.141843971631211</v>
      </c>
      <c r="W1144" s="89">
        <f t="shared" si="1533"/>
        <v>100</v>
      </c>
    </row>
    <row r="1145" spans="2:25" x14ac:dyDescent="0.15">
      <c r="O1145" s="86">
        <v>46.2</v>
      </c>
      <c r="P1145" s="86">
        <v>53.8</v>
      </c>
      <c r="Q1145" s="87">
        <f>Q1116/X1116*100</f>
        <v>42.976939203354299</v>
      </c>
      <c r="R1145" s="86">
        <v>49.8</v>
      </c>
      <c r="S1145" s="86">
        <v>50.2</v>
      </c>
      <c r="T1145" s="87">
        <f>T1116/X1116*100</f>
        <v>33.752620545073377</v>
      </c>
      <c r="U1145" s="86">
        <v>47.3</v>
      </c>
      <c r="V1145" s="86">
        <v>52.7</v>
      </c>
      <c r="W1145" s="87">
        <f>W1116/X1116*100</f>
        <v>23.270440251572328</v>
      </c>
    </row>
    <row r="1147" spans="2:25" ht="18.75" x14ac:dyDescent="0.2">
      <c r="B1147" s="23" t="s">
        <v>11</v>
      </c>
      <c r="C1147" s="21"/>
      <c r="D1147" s="21"/>
      <c r="E1147" s="21"/>
      <c r="F1147" s="21"/>
      <c r="G1147" s="21"/>
      <c r="H1147" s="21"/>
      <c r="I1147" s="21"/>
      <c r="J1147" s="21"/>
      <c r="K1147" s="21"/>
      <c r="L1147" s="21"/>
      <c r="N1147" s="47" t="s">
        <v>25</v>
      </c>
      <c r="O1147" s="48"/>
      <c r="P1147" s="48"/>
      <c r="Q1147" s="48"/>
      <c r="R1147" s="48"/>
      <c r="S1147" s="48"/>
      <c r="T1147" s="48"/>
      <c r="U1147" s="48"/>
      <c r="V1147" s="48"/>
      <c r="W1147" s="48"/>
      <c r="X1147" s="48"/>
    </row>
    <row r="1148" spans="2:25" ht="15" thickBot="1" x14ac:dyDescent="0.2">
      <c r="B1148" s="22" t="s">
        <v>147</v>
      </c>
      <c r="C1148" s="21"/>
      <c r="D1148" s="21"/>
      <c r="E1148" s="21"/>
      <c r="F1148" s="21"/>
      <c r="G1148" s="21"/>
      <c r="H1148" s="21"/>
      <c r="I1148" s="21"/>
      <c r="J1148" s="21"/>
      <c r="K1148" s="21"/>
      <c r="L1148" s="21"/>
      <c r="N1148" s="49" t="s">
        <v>148</v>
      </c>
      <c r="O1148" s="48"/>
      <c r="P1148" s="48"/>
      <c r="Q1148" s="48"/>
      <c r="R1148" s="48"/>
      <c r="S1148" s="48"/>
      <c r="T1148" s="48"/>
      <c r="U1148" s="48"/>
      <c r="V1148" s="48"/>
      <c r="W1148" s="48"/>
      <c r="X1148" s="48"/>
    </row>
    <row r="1149" spans="2:25" ht="14.25" thickBot="1" x14ac:dyDescent="0.2">
      <c r="B1149" s="20"/>
      <c r="C1149" s="208" t="s">
        <v>9</v>
      </c>
      <c r="D1149" s="209"/>
      <c r="E1149" s="210"/>
      <c r="F1149" s="208" t="s">
        <v>8</v>
      </c>
      <c r="G1149" s="209"/>
      <c r="H1149" s="210"/>
      <c r="I1149" s="208" t="s">
        <v>7</v>
      </c>
      <c r="J1149" s="209"/>
      <c r="K1149" s="210"/>
      <c r="L1149" s="19"/>
      <c r="N1149" s="20"/>
      <c r="O1149" s="208" t="s">
        <v>9</v>
      </c>
      <c r="P1149" s="209"/>
      <c r="Q1149" s="123">
        <v>880</v>
      </c>
      <c r="R1149" s="208" t="s">
        <v>8</v>
      </c>
      <c r="S1149" s="209"/>
      <c r="T1149" s="123">
        <v>980</v>
      </c>
      <c r="U1149" s="208" t="s">
        <v>7</v>
      </c>
      <c r="V1149" s="209"/>
      <c r="W1149" s="123">
        <v>1080</v>
      </c>
      <c r="X1149" s="19"/>
    </row>
    <row r="1150" spans="2:25" ht="14.25" thickBot="1" x14ac:dyDescent="0.2">
      <c r="B1150" s="18"/>
      <c r="C1150" s="28" t="s">
        <v>6</v>
      </c>
      <c r="D1150" s="17" t="s">
        <v>5</v>
      </c>
      <c r="E1150" s="38" t="s">
        <v>4</v>
      </c>
      <c r="F1150" s="28" t="s">
        <v>6</v>
      </c>
      <c r="G1150" s="17" t="s">
        <v>5</v>
      </c>
      <c r="H1150" s="38" t="s">
        <v>4</v>
      </c>
      <c r="I1150" s="28" t="s">
        <v>6</v>
      </c>
      <c r="J1150" s="17" t="s">
        <v>5</v>
      </c>
      <c r="K1150" s="38" t="s">
        <v>4</v>
      </c>
      <c r="L1150" s="17" t="s">
        <v>4</v>
      </c>
      <c r="N1150" s="18"/>
      <c r="O1150" s="28" t="s">
        <v>6</v>
      </c>
      <c r="P1150" s="17" t="s">
        <v>5</v>
      </c>
      <c r="Q1150" s="38" t="s">
        <v>4</v>
      </c>
      <c r="R1150" s="28" t="s">
        <v>6</v>
      </c>
      <c r="S1150" s="17" t="s">
        <v>5</v>
      </c>
      <c r="T1150" s="38" t="s">
        <v>4</v>
      </c>
      <c r="U1150" s="28" t="s">
        <v>6</v>
      </c>
      <c r="V1150" s="17" t="s">
        <v>5</v>
      </c>
      <c r="W1150" s="38" t="s">
        <v>4</v>
      </c>
      <c r="X1150" s="17" t="s">
        <v>4</v>
      </c>
    </row>
    <row r="1151" spans="2:25" x14ac:dyDescent="0.15">
      <c r="B1151" s="66" t="s">
        <v>0</v>
      </c>
      <c r="C1151" s="67">
        <f>C1143</f>
        <v>45</v>
      </c>
      <c r="D1151" s="68">
        <f t="shared" ref="D1151:K1151" si="1534">D1143</f>
        <v>5</v>
      </c>
      <c r="E1151" s="69">
        <f t="shared" si="1534"/>
        <v>50</v>
      </c>
      <c r="F1151" s="67">
        <f t="shared" si="1534"/>
        <v>7</v>
      </c>
      <c r="G1151" s="68">
        <f t="shared" si="1534"/>
        <v>11</v>
      </c>
      <c r="H1151" s="69">
        <f t="shared" si="1534"/>
        <v>18</v>
      </c>
      <c r="I1151" s="67">
        <f t="shared" si="1534"/>
        <v>16</v>
      </c>
      <c r="J1151" s="68">
        <f t="shared" si="1534"/>
        <v>8</v>
      </c>
      <c r="K1151" s="69">
        <f t="shared" si="1534"/>
        <v>24</v>
      </c>
      <c r="L1151" s="70">
        <f>SUM(K1151,H1151,E1151)</f>
        <v>92</v>
      </c>
      <c r="N1151" s="66" t="s">
        <v>0</v>
      </c>
      <c r="O1151" s="72">
        <f>O1143</f>
        <v>539</v>
      </c>
      <c r="P1151" s="80">
        <f t="shared" ref="P1151:X1151" si="1535">P1143</f>
        <v>539</v>
      </c>
      <c r="Q1151" s="69">
        <f t="shared" si="1535"/>
        <v>1078</v>
      </c>
      <c r="R1151" s="72">
        <f t="shared" si="1535"/>
        <v>396</v>
      </c>
      <c r="S1151" s="80">
        <f t="shared" si="1535"/>
        <v>459</v>
      </c>
      <c r="T1151" s="69">
        <f t="shared" si="1535"/>
        <v>855</v>
      </c>
      <c r="U1151" s="72">
        <f t="shared" si="1535"/>
        <v>253</v>
      </c>
      <c r="V1151" s="80">
        <f t="shared" si="1535"/>
        <v>311</v>
      </c>
      <c r="W1151" s="69">
        <f t="shared" si="1535"/>
        <v>564</v>
      </c>
      <c r="X1151" s="70">
        <f t="shared" si="1535"/>
        <v>2497</v>
      </c>
    </row>
    <row r="1152" spans="2:25" x14ac:dyDescent="0.15">
      <c r="B1152" s="146" t="s">
        <v>3</v>
      </c>
      <c r="C1152" s="30"/>
      <c r="D1152" s="25"/>
      <c r="E1152" s="40">
        <f t="shared" ref="E1152:E1184" si="1536">SUM(C1152:D1152)</f>
        <v>0</v>
      </c>
      <c r="F1152" s="35"/>
      <c r="G1152" s="8"/>
      <c r="H1152" s="40">
        <f t="shared" ref="H1152:H1184" si="1537">SUM(F1152:G1152)</f>
        <v>0</v>
      </c>
      <c r="I1152" s="35"/>
      <c r="J1152" s="8"/>
      <c r="K1152" s="40">
        <f t="shared" ref="K1152:K1184" si="1538">SUM(I1152:J1152)</f>
        <v>0</v>
      </c>
      <c r="L1152" s="9">
        <f t="shared" ref="L1152:L1184" si="1539">SUM(K1152,H1152,E1152)</f>
        <v>0</v>
      </c>
      <c r="N1152" s="55" t="s">
        <v>3</v>
      </c>
      <c r="O1152" s="62"/>
      <c r="P1152" s="81"/>
      <c r="Q1152" s="40">
        <f t="shared" ref="Q1152:Q1156" si="1540">SUM(O1152:P1152)</f>
        <v>0</v>
      </c>
      <c r="R1152" s="78"/>
      <c r="S1152" s="82"/>
      <c r="T1152" s="40">
        <f t="shared" ref="T1152:T1156" si="1541">SUM(R1152:S1152)</f>
        <v>0</v>
      </c>
      <c r="U1152" s="78"/>
      <c r="V1152" s="82"/>
      <c r="W1152" s="40">
        <f t="shared" ref="W1152:W1156" si="1542">SUM(U1152:V1152)</f>
        <v>0</v>
      </c>
      <c r="X1152" s="25">
        <f t="shared" ref="X1152:X1156" si="1543">SUM(W1152,T1152,Q1152)</f>
        <v>0</v>
      </c>
    </row>
    <row r="1153" spans="2:25" x14ac:dyDescent="0.15">
      <c r="B1153" s="146" t="s">
        <v>3</v>
      </c>
      <c r="C1153" s="30"/>
      <c r="D1153" s="25"/>
      <c r="E1153" s="40">
        <f t="shared" si="1536"/>
        <v>0</v>
      </c>
      <c r="F1153" s="35"/>
      <c r="G1153" s="8"/>
      <c r="H1153" s="40">
        <f t="shared" si="1537"/>
        <v>0</v>
      </c>
      <c r="I1153" s="35"/>
      <c r="J1153" s="8"/>
      <c r="K1153" s="40">
        <f t="shared" si="1538"/>
        <v>0</v>
      </c>
      <c r="L1153" s="9">
        <f t="shared" si="1539"/>
        <v>0</v>
      </c>
      <c r="N1153" s="55" t="s">
        <v>3</v>
      </c>
      <c r="O1153" s="62"/>
      <c r="P1153" s="81"/>
      <c r="Q1153" s="40">
        <f t="shared" si="1540"/>
        <v>0</v>
      </c>
      <c r="R1153" s="78"/>
      <c r="S1153" s="82"/>
      <c r="T1153" s="40">
        <f t="shared" si="1541"/>
        <v>0</v>
      </c>
      <c r="U1153" s="78"/>
      <c r="V1153" s="82"/>
      <c r="W1153" s="40">
        <f t="shared" si="1542"/>
        <v>0</v>
      </c>
      <c r="X1153" s="25">
        <f t="shared" si="1543"/>
        <v>0</v>
      </c>
    </row>
    <row r="1154" spans="2:25" x14ac:dyDescent="0.15">
      <c r="B1154" s="146" t="s">
        <v>3</v>
      </c>
      <c r="C1154" s="30"/>
      <c r="D1154" s="25"/>
      <c r="E1154" s="40">
        <f t="shared" si="1536"/>
        <v>0</v>
      </c>
      <c r="F1154" s="35"/>
      <c r="G1154" s="8"/>
      <c r="H1154" s="40">
        <f t="shared" si="1537"/>
        <v>0</v>
      </c>
      <c r="I1154" s="35"/>
      <c r="J1154" s="8"/>
      <c r="K1154" s="40">
        <f t="shared" si="1538"/>
        <v>0</v>
      </c>
      <c r="L1154" s="9">
        <f t="shared" si="1539"/>
        <v>0</v>
      </c>
      <c r="N1154" s="55" t="s">
        <v>3</v>
      </c>
      <c r="O1154" s="62"/>
      <c r="P1154" s="81"/>
      <c r="Q1154" s="40">
        <f t="shared" ref="Q1154:Q1155" si="1544">SUM(O1154:P1154)</f>
        <v>0</v>
      </c>
      <c r="R1154" s="78"/>
      <c r="S1154" s="82"/>
      <c r="T1154" s="40">
        <f t="shared" ref="T1154:T1155" si="1545">SUM(R1154:S1154)</f>
        <v>0</v>
      </c>
      <c r="U1154" s="78"/>
      <c r="V1154" s="82"/>
      <c r="W1154" s="40">
        <f t="shared" ref="W1154:W1155" si="1546">SUM(U1154:V1154)</f>
        <v>0</v>
      </c>
      <c r="X1154" s="25">
        <f t="shared" ref="X1154:X1155" si="1547">SUM(W1154,T1154,Q1154)</f>
        <v>0</v>
      </c>
    </row>
    <row r="1155" spans="2:25" x14ac:dyDescent="0.15">
      <c r="B1155" s="146" t="s">
        <v>3</v>
      </c>
      <c r="C1155" s="30"/>
      <c r="D1155" s="25"/>
      <c r="E1155" s="40">
        <f t="shared" si="1536"/>
        <v>0</v>
      </c>
      <c r="F1155" s="35"/>
      <c r="G1155" s="8"/>
      <c r="H1155" s="40">
        <f t="shared" si="1537"/>
        <v>0</v>
      </c>
      <c r="I1155" s="35"/>
      <c r="J1155" s="8"/>
      <c r="K1155" s="40">
        <f t="shared" si="1538"/>
        <v>0</v>
      </c>
      <c r="L1155" s="9">
        <f t="shared" si="1539"/>
        <v>0</v>
      </c>
      <c r="N1155" s="55" t="s">
        <v>3</v>
      </c>
      <c r="O1155" s="62"/>
      <c r="P1155" s="81"/>
      <c r="Q1155" s="40">
        <f t="shared" si="1544"/>
        <v>0</v>
      </c>
      <c r="R1155" s="78"/>
      <c r="S1155" s="82"/>
      <c r="T1155" s="40">
        <f t="shared" si="1545"/>
        <v>0</v>
      </c>
      <c r="U1155" s="78"/>
      <c r="V1155" s="82"/>
      <c r="W1155" s="40">
        <f t="shared" si="1546"/>
        <v>0</v>
      </c>
      <c r="X1155" s="25">
        <f t="shared" si="1547"/>
        <v>0</v>
      </c>
    </row>
    <row r="1156" spans="2:25" ht="14.25" thickBot="1" x14ac:dyDescent="0.2">
      <c r="B1156" s="146" t="s">
        <v>3</v>
      </c>
      <c r="C1156" s="76"/>
      <c r="D1156" s="83"/>
      <c r="E1156" s="41">
        <f t="shared" si="1536"/>
        <v>0</v>
      </c>
      <c r="F1156" s="76"/>
      <c r="G1156" s="83"/>
      <c r="H1156" s="41">
        <f t="shared" si="1537"/>
        <v>0</v>
      </c>
      <c r="I1156" s="76"/>
      <c r="J1156" s="83"/>
      <c r="K1156" s="41">
        <f t="shared" si="1538"/>
        <v>0</v>
      </c>
      <c r="L1156" s="77">
        <f t="shared" si="1539"/>
        <v>0</v>
      </c>
      <c r="N1156" s="75" t="s">
        <v>3</v>
      </c>
      <c r="O1156" s="57"/>
      <c r="P1156" s="83"/>
      <c r="Q1156" s="41">
        <f t="shared" si="1540"/>
        <v>0</v>
      </c>
      <c r="R1156" s="76"/>
      <c r="S1156" s="83"/>
      <c r="T1156" s="41">
        <f t="shared" si="1541"/>
        <v>0</v>
      </c>
      <c r="U1156" s="76"/>
      <c r="V1156" s="83"/>
      <c r="W1156" s="41">
        <f t="shared" si="1542"/>
        <v>0</v>
      </c>
      <c r="X1156" s="77">
        <f t="shared" si="1543"/>
        <v>0</v>
      </c>
    </row>
    <row r="1157" spans="2:25" ht="14.25" thickBot="1" x14ac:dyDescent="0.2">
      <c r="B1157" s="5" t="s">
        <v>2</v>
      </c>
      <c r="C1157" s="32">
        <f>SUM(C1151:C1156)</f>
        <v>45</v>
      </c>
      <c r="D1157" s="19">
        <f>SUM(D1151:D1156)</f>
        <v>5</v>
      </c>
      <c r="E1157" s="42">
        <f t="shared" si="1536"/>
        <v>50</v>
      </c>
      <c r="F1157" s="32">
        <f>SUM(F1151:F1156)</f>
        <v>7</v>
      </c>
      <c r="G1157" s="19">
        <f>SUM(G1151:G1156)</f>
        <v>11</v>
      </c>
      <c r="H1157" s="42">
        <f t="shared" si="1537"/>
        <v>18</v>
      </c>
      <c r="I1157" s="32">
        <f>SUM(I1151:I1156)</f>
        <v>16</v>
      </c>
      <c r="J1157" s="19">
        <f>SUM(J1151:J1156)</f>
        <v>8</v>
      </c>
      <c r="K1157" s="42">
        <f t="shared" si="1538"/>
        <v>24</v>
      </c>
      <c r="L1157" s="13">
        <f t="shared" si="1539"/>
        <v>92</v>
      </c>
      <c r="N1157" s="63" t="s">
        <v>2</v>
      </c>
      <c r="O1157" s="73">
        <f>SUM(O1151:O1156)</f>
        <v>539</v>
      </c>
      <c r="P1157" s="74">
        <f t="shared" ref="P1157:X1157" si="1548">SUM(P1151:P1156)</f>
        <v>539</v>
      </c>
      <c r="Q1157" s="42">
        <f t="shared" si="1548"/>
        <v>1078</v>
      </c>
      <c r="R1157" s="73">
        <f t="shared" si="1548"/>
        <v>396</v>
      </c>
      <c r="S1157" s="74">
        <f t="shared" si="1548"/>
        <v>459</v>
      </c>
      <c r="T1157" s="42">
        <f t="shared" si="1548"/>
        <v>855</v>
      </c>
      <c r="U1157" s="73">
        <f t="shared" si="1548"/>
        <v>253</v>
      </c>
      <c r="V1157" s="74">
        <f t="shared" si="1548"/>
        <v>311</v>
      </c>
      <c r="W1157" s="42">
        <f t="shared" si="1548"/>
        <v>564</v>
      </c>
      <c r="X1157" s="13">
        <f t="shared" si="1548"/>
        <v>2497</v>
      </c>
    </row>
    <row r="1158" spans="2:25" x14ac:dyDescent="0.15">
      <c r="B1158" s="7" t="s">
        <v>12</v>
      </c>
      <c r="C1158" s="30"/>
      <c r="D1158" s="25"/>
      <c r="E1158" s="43">
        <f t="shared" si="1536"/>
        <v>0</v>
      </c>
      <c r="F1158" s="35"/>
      <c r="G1158" s="8"/>
      <c r="H1158" s="43">
        <f t="shared" si="1537"/>
        <v>0</v>
      </c>
      <c r="I1158" s="35">
        <v>1</v>
      </c>
      <c r="J1158" s="8"/>
      <c r="K1158" s="43">
        <f t="shared" si="1538"/>
        <v>1</v>
      </c>
      <c r="L1158" s="8">
        <f t="shared" si="1539"/>
        <v>1</v>
      </c>
      <c r="M1158" s="53">
        <v>46164</v>
      </c>
      <c r="N1158" s="7" t="s">
        <v>614</v>
      </c>
      <c r="O1158" s="30">
        <v>10</v>
      </c>
      <c r="P1158" s="25">
        <v>20</v>
      </c>
      <c r="Q1158" s="43">
        <f t="shared" ref="Q1158:Q1178" si="1549">SUM(O1158:P1158)</f>
        <v>30</v>
      </c>
      <c r="R1158" s="35">
        <v>35</v>
      </c>
      <c r="S1158" s="8"/>
      <c r="T1158" s="43">
        <f t="shared" ref="T1158:T1178" si="1550">SUM(R1158:S1158)</f>
        <v>35</v>
      </c>
      <c r="U1158" s="35"/>
      <c r="V1158" s="8"/>
      <c r="W1158" s="43">
        <f t="shared" ref="W1158:W1178" si="1551">SUM(U1158:V1158)</f>
        <v>0</v>
      </c>
      <c r="X1158" s="8">
        <f t="shared" ref="X1158:X1178" si="1552">SUM(W1158,T1158,Q1158)</f>
        <v>65</v>
      </c>
      <c r="Y1158" s="53">
        <v>46165</v>
      </c>
    </row>
    <row r="1159" spans="2:25" x14ac:dyDescent="0.15">
      <c r="B1159" s="7" t="s">
        <v>12</v>
      </c>
      <c r="C1159" s="30"/>
      <c r="D1159" s="25"/>
      <c r="E1159" s="43">
        <f t="shared" ref="E1159" si="1553">SUM(C1159:D1159)</f>
        <v>0</v>
      </c>
      <c r="F1159" s="35">
        <v>1</v>
      </c>
      <c r="G1159" s="8"/>
      <c r="H1159" s="43">
        <f t="shared" ref="H1159" si="1554">SUM(F1159:G1159)</f>
        <v>1</v>
      </c>
      <c r="I1159" s="35"/>
      <c r="J1159" s="8">
        <v>2</v>
      </c>
      <c r="K1159" s="43">
        <f t="shared" ref="K1159" si="1555">SUM(I1159:J1159)</f>
        <v>2</v>
      </c>
      <c r="L1159" s="8">
        <f t="shared" ref="L1159" si="1556">SUM(K1159,H1159,E1159)</f>
        <v>3</v>
      </c>
      <c r="M1159" s="53">
        <v>46167</v>
      </c>
      <c r="N1159" s="7" t="s">
        <v>618</v>
      </c>
      <c r="O1159" s="30">
        <v>70</v>
      </c>
      <c r="P1159" s="25">
        <v>70</v>
      </c>
      <c r="Q1159" s="43">
        <f t="shared" si="1549"/>
        <v>140</v>
      </c>
      <c r="R1159" s="35">
        <v>70</v>
      </c>
      <c r="S1159" s="8">
        <v>70</v>
      </c>
      <c r="T1159" s="43">
        <f t="shared" si="1550"/>
        <v>140</v>
      </c>
      <c r="U1159" s="35">
        <v>50</v>
      </c>
      <c r="V1159" s="8">
        <v>50</v>
      </c>
      <c r="W1159" s="43">
        <f t="shared" si="1551"/>
        <v>100</v>
      </c>
      <c r="X1159" s="8">
        <f t="shared" si="1552"/>
        <v>380</v>
      </c>
      <c r="Y1159" s="53">
        <v>46168</v>
      </c>
    </row>
    <row r="1160" spans="2:25" x14ac:dyDescent="0.15">
      <c r="B1160" s="7" t="s">
        <v>12</v>
      </c>
      <c r="C1160" s="30"/>
      <c r="D1160" s="25"/>
      <c r="E1160" s="43">
        <f t="shared" si="1536"/>
        <v>0</v>
      </c>
      <c r="F1160" s="35">
        <v>2</v>
      </c>
      <c r="G1160" s="8"/>
      <c r="H1160" s="43">
        <f t="shared" si="1537"/>
        <v>2</v>
      </c>
      <c r="I1160" s="35"/>
      <c r="J1160" s="8"/>
      <c r="K1160" s="43">
        <f t="shared" si="1538"/>
        <v>0</v>
      </c>
      <c r="L1160" s="8">
        <f t="shared" si="1539"/>
        <v>2</v>
      </c>
      <c r="M1160" s="53">
        <v>46175</v>
      </c>
      <c r="N1160" s="7" t="s">
        <v>603</v>
      </c>
      <c r="O1160" s="30"/>
      <c r="P1160" s="25">
        <v>2</v>
      </c>
      <c r="Q1160" s="43">
        <f t="shared" si="1549"/>
        <v>2</v>
      </c>
      <c r="R1160" s="35"/>
      <c r="S1160" s="8"/>
      <c r="T1160" s="43">
        <f t="shared" si="1550"/>
        <v>0</v>
      </c>
      <c r="U1160" s="35"/>
      <c r="V1160" s="8"/>
      <c r="W1160" s="43">
        <f t="shared" si="1551"/>
        <v>0</v>
      </c>
      <c r="X1160" s="8">
        <f t="shared" si="1552"/>
        <v>2</v>
      </c>
      <c r="Y1160" s="53">
        <v>46169</v>
      </c>
    </row>
    <row r="1161" spans="2:25" x14ac:dyDescent="0.15">
      <c r="B1161" s="7"/>
      <c r="C1161" s="30"/>
      <c r="D1161" s="25"/>
      <c r="E1161" s="43">
        <f t="shared" si="1536"/>
        <v>0</v>
      </c>
      <c r="F1161" s="35"/>
      <c r="G1161" s="8"/>
      <c r="H1161" s="43">
        <f t="shared" si="1537"/>
        <v>0</v>
      </c>
      <c r="I1161" s="35"/>
      <c r="J1161" s="8"/>
      <c r="K1161" s="43">
        <f t="shared" si="1538"/>
        <v>0</v>
      </c>
      <c r="L1161" s="8">
        <f t="shared" si="1539"/>
        <v>0</v>
      </c>
      <c r="N1161" s="7" t="s">
        <v>615</v>
      </c>
      <c r="O1161" s="30"/>
      <c r="P1161" s="25"/>
      <c r="Q1161" s="43">
        <f t="shared" si="1549"/>
        <v>0</v>
      </c>
      <c r="R1161" s="35"/>
      <c r="S1161" s="8">
        <v>5</v>
      </c>
      <c r="T1161" s="43">
        <f t="shared" si="1550"/>
        <v>5</v>
      </c>
      <c r="U1161" s="35"/>
      <c r="V1161" s="8"/>
      <c r="W1161" s="43">
        <f t="shared" si="1551"/>
        <v>0</v>
      </c>
      <c r="X1161" s="8">
        <f t="shared" si="1552"/>
        <v>5</v>
      </c>
      <c r="Y1161" s="53">
        <v>46168</v>
      </c>
    </row>
    <row r="1162" spans="2:25" x14ac:dyDescent="0.15">
      <c r="B1162" s="7"/>
      <c r="C1162" s="30"/>
      <c r="D1162" s="25"/>
      <c r="E1162" s="43">
        <f t="shared" si="1536"/>
        <v>0</v>
      </c>
      <c r="F1162" s="35"/>
      <c r="G1162" s="8"/>
      <c r="H1162" s="43">
        <f t="shared" si="1537"/>
        <v>0</v>
      </c>
      <c r="I1162" s="35"/>
      <c r="J1162" s="8"/>
      <c r="K1162" s="43">
        <f t="shared" si="1538"/>
        <v>0</v>
      </c>
      <c r="L1162" s="8">
        <f t="shared" si="1539"/>
        <v>0</v>
      </c>
      <c r="N1162" s="7" t="s">
        <v>603</v>
      </c>
      <c r="O1162" s="30">
        <v>2</v>
      </c>
      <c r="P1162" s="25"/>
      <c r="Q1162" s="43">
        <f t="shared" si="1549"/>
        <v>2</v>
      </c>
      <c r="R1162" s="35"/>
      <c r="S1162" s="8"/>
      <c r="T1162" s="43">
        <f t="shared" si="1550"/>
        <v>0</v>
      </c>
      <c r="U1162" s="35"/>
      <c r="V1162" s="8">
        <v>2</v>
      </c>
      <c r="W1162" s="43">
        <f t="shared" si="1551"/>
        <v>2</v>
      </c>
      <c r="X1162" s="8">
        <f t="shared" si="1552"/>
        <v>4</v>
      </c>
      <c r="Y1162" s="53">
        <v>46170</v>
      </c>
    </row>
    <row r="1163" spans="2:25" x14ac:dyDescent="0.15">
      <c r="B1163" s="7"/>
      <c r="C1163" s="30"/>
      <c r="D1163" s="25"/>
      <c r="E1163" s="43">
        <f t="shared" si="1536"/>
        <v>0</v>
      </c>
      <c r="F1163" s="35"/>
      <c r="G1163" s="8"/>
      <c r="H1163" s="43">
        <f t="shared" si="1537"/>
        <v>0</v>
      </c>
      <c r="I1163" s="35"/>
      <c r="J1163" s="8"/>
      <c r="K1163" s="43">
        <f t="shared" si="1538"/>
        <v>0</v>
      </c>
      <c r="L1163" s="8">
        <f t="shared" si="1539"/>
        <v>0</v>
      </c>
      <c r="N1163" s="7" t="s">
        <v>619</v>
      </c>
      <c r="O1163" s="30">
        <v>30</v>
      </c>
      <c r="P1163" s="25">
        <v>45</v>
      </c>
      <c r="Q1163" s="43">
        <f t="shared" si="1549"/>
        <v>75</v>
      </c>
      <c r="R1163" s="35">
        <v>50</v>
      </c>
      <c r="S1163" s="8">
        <v>65</v>
      </c>
      <c r="T1163" s="43">
        <f t="shared" si="1550"/>
        <v>115</v>
      </c>
      <c r="U1163" s="35">
        <v>45</v>
      </c>
      <c r="V1163" s="8">
        <v>30</v>
      </c>
      <c r="W1163" s="43">
        <f t="shared" si="1551"/>
        <v>75</v>
      </c>
      <c r="X1163" s="8">
        <f t="shared" si="1552"/>
        <v>265</v>
      </c>
      <c r="Y1163" s="53">
        <v>46171</v>
      </c>
    </row>
    <row r="1164" spans="2:25" x14ac:dyDescent="0.15">
      <c r="B1164" s="7"/>
      <c r="C1164" s="30"/>
      <c r="D1164" s="25"/>
      <c r="E1164" s="43">
        <f t="shared" si="1536"/>
        <v>0</v>
      </c>
      <c r="F1164" s="35"/>
      <c r="G1164" s="8"/>
      <c r="H1164" s="43">
        <f t="shared" si="1537"/>
        <v>0</v>
      </c>
      <c r="I1164" s="35"/>
      <c r="J1164" s="8"/>
      <c r="K1164" s="43">
        <f t="shared" si="1538"/>
        <v>0</v>
      </c>
      <c r="L1164" s="8">
        <f t="shared" si="1539"/>
        <v>0</v>
      </c>
      <c r="N1164" s="7" t="s">
        <v>603</v>
      </c>
      <c r="O1164" s="30"/>
      <c r="P1164" s="25">
        <v>4</v>
      </c>
      <c r="Q1164" s="43">
        <f t="shared" si="1549"/>
        <v>4</v>
      </c>
      <c r="R1164" s="35">
        <v>4</v>
      </c>
      <c r="S1164" s="8"/>
      <c r="T1164" s="43">
        <f t="shared" si="1550"/>
        <v>4</v>
      </c>
      <c r="U1164" s="35"/>
      <c r="V1164" s="8"/>
      <c r="W1164" s="43">
        <f t="shared" si="1551"/>
        <v>0</v>
      </c>
      <c r="X1164" s="8">
        <f t="shared" si="1552"/>
        <v>8</v>
      </c>
      <c r="Y1164" s="53">
        <v>46171</v>
      </c>
    </row>
    <row r="1165" spans="2:25" x14ac:dyDescent="0.15">
      <c r="B1165" s="7"/>
      <c r="C1165" s="30"/>
      <c r="D1165" s="25"/>
      <c r="E1165" s="43">
        <f t="shared" si="1536"/>
        <v>0</v>
      </c>
      <c r="F1165" s="35"/>
      <c r="G1165" s="8"/>
      <c r="H1165" s="43">
        <f t="shared" si="1537"/>
        <v>0</v>
      </c>
      <c r="I1165" s="35"/>
      <c r="J1165" s="8"/>
      <c r="K1165" s="43">
        <f t="shared" si="1538"/>
        <v>0</v>
      </c>
      <c r="L1165" s="8">
        <f t="shared" si="1539"/>
        <v>0</v>
      </c>
      <c r="N1165" s="7" t="s">
        <v>562</v>
      </c>
      <c r="O1165" s="30"/>
      <c r="P1165" s="25">
        <v>1</v>
      </c>
      <c r="Q1165" s="43">
        <f t="shared" si="1549"/>
        <v>1</v>
      </c>
      <c r="R1165" s="35">
        <v>1</v>
      </c>
      <c r="S1165" s="8"/>
      <c r="T1165" s="43">
        <f t="shared" si="1550"/>
        <v>1</v>
      </c>
      <c r="U1165" s="35">
        <v>2</v>
      </c>
      <c r="V1165" s="8">
        <v>2</v>
      </c>
      <c r="W1165" s="43">
        <f t="shared" si="1551"/>
        <v>4</v>
      </c>
      <c r="X1165" s="8">
        <f t="shared" si="1552"/>
        <v>6</v>
      </c>
      <c r="Y1165" s="53">
        <v>46172</v>
      </c>
    </row>
    <row r="1166" spans="2:25" x14ac:dyDescent="0.15">
      <c r="B1166" s="7"/>
      <c r="C1166" s="30"/>
      <c r="D1166" s="25"/>
      <c r="E1166" s="43">
        <f t="shared" si="1536"/>
        <v>0</v>
      </c>
      <c r="F1166" s="35"/>
      <c r="G1166" s="8"/>
      <c r="H1166" s="43">
        <f t="shared" si="1537"/>
        <v>0</v>
      </c>
      <c r="I1166" s="35"/>
      <c r="J1166" s="8"/>
      <c r="K1166" s="43">
        <f t="shared" si="1538"/>
        <v>0</v>
      </c>
      <c r="L1166" s="8">
        <f t="shared" si="1539"/>
        <v>0</v>
      </c>
      <c r="N1166" s="7" t="s">
        <v>603</v>
      </c>
      <c r="O1166" s="30"/>
      <c r="P1166" s="25"/>
      <c r="Q1166" s="43">
        <f t="shared" si="1549"/>
        <v>0</v>
      </c>
      <c r="R1166" s="35">
        <v>2</v>
      </c>
      <c r="S1166" s="8"/>
      <c r="T1166" s="43">
        <f t="shared" si="1550"/>
        <v>2</v>
      </c>
      <c r="U1166" s="35"/>
      <c r="V1166" s="8"/>
      <c r="W1166" s="43">
        <f t="shared" si="1551"/>
        <v>0</v>
      </c>
      <c r="X1166" s="8">
        <f t="shared" si="1552"/>
        <v>2</v>
      </c>
      <c r="Y1166" s="53">
        <v>46172</v>
      </c>
    </row>
    <row r="1167" spans="2:25" x14ac:dyDescent="0.15">
      <c r="B1167" s="7"/>
      <c r="C1167" s="30"/>
      <c r="D1167" s="25"/>
      <c r="E1167" s="43">
        <f t="shared" si="1536"/>
        <v>0</v>
      </c>
      <c r="F1167" s="35"/>
      <c r="G1167" s="8"/>
      <c r="H1167" s="43">
        <f t="shared" si="1537"/>
        <v>0</v>
      </c>
      <c r="I1167" s="35"/>
      <c r="J1167" s="8"/>
      <c r="K1167" s="43">
        <f t="shared" si="1538"/>
        <v>0</v>
      </c>
      <c r="L1167" s="8">
        <f t="shared" si="1539"/>
        <v>0</v>
      </c>
      <c r="N1167" s="7" t="s">
        <v>620</v>
      </c>
      <c r="O1167" s="30">
        <v>15</v>
      </c>
      <c r="P1167" s="25"/>
      <c r="Q1167" s="43">
        <f t="shared" si="1549"/>
        <v>15</v>
      </c>
      <c r="R1167" s="35">
        <v>10</v>
      </c>
      <c r="S1167" s="8"/>
      <c r="T1167" s="43">
        <f t="shared" si="1550"/>
        <v>10</v>
      </c>
      <c r="U1167" s="35"/>
      <c r="V1167" s="8">
        <v>5</v>
      </c>
      <c r="W1167" s="43">
        <f t="shared" si="1551"/>
        <v>5</v>
      </c>
      <c r="X1167" s="8">
        <f t="shared" si="1552"/>
        <v>30</v>
      </c>
      <c r="Y1167" s="53">
        <v>46172</v>
      </c>
    </row>
    <row r="1168" spans="2:25" x14ac:dyDescent="0.15">
      <c r="B1168" s="7"/>
      <c r="C1168" s="30"/>
      <c r="D1168" s="25"/>
      <c r="E1168" s="43">
        <f t="shared" si="1536"/>
        <v>0</v>
      </c>
      <c r="F1168" s="35"/>
      <c r="G1168" s="8"/>
      <c r="H1168" s="43">
        <f t="shared" si="1537"/>
        <v>0</v>
      </c>
      <c r="I1168" s="35"/>
      <c r="J1168" s="8"/>
      <c r="K1168" s="43">
        <f t="shared" si="1538"/>
        <v>0</v>
      </c>
      <c r="L1168" s="8">
        <f t="shared" si="1539"/>
        <v>0</v>
      </c>
      <c r="N1168" s="7" t="s">
        <v>562</v>
      </c>
      <c r="O1168" s="30">
        <v>4</v>
      </c>
      <c r="P1168" s="25">
        <v>7</v>
      </c>
      <c r="Q1168" s="43">
        <f t="shared" si="1549"/>
        <v>11</v>
      </c>
      <c r="R1168" s="35">
        <v>3</v>
      </c>
      <c r="S1168" s="8">
        <v>1</v>
      </c>
      <c r="T1168" s="43">
        <f t="shared" si="1550"/>
        <v>4</v>
      </c>
      <c r="U1168" s="35">
        <v>5</v>
      </c>
      <c r="V1168" s="8">
        <v>1</v>
      </c>
      <c r="W1168" s="43">
        <f t="shared" si="1551"/>
        <v>6</v>
      </c>
      <c r="X1168" s="8">
        <f t="shared" si="1552"/>
        <v>21</v>
      </c>
      <c r="Y1168" s="53">
        <v>46174</v>
      </c>
    </row>
    <row r="1169" spans="2:25" x14ac:dyDescent="0.15">
      <c r="B1169" s="7"/>
      <c r="C1169" s="30"/>
      <c r="D1169" s="25"/>
      <c r="E1169" s="43">
        <f t="shared" si="1536"/>
        <v>0</v>
      </c>
      <c r="F1169" s="35"/>
      <c r="G1169" s="8"/>
      <c r="H1169" s="43">
        <f t="shared" si="1537"/>
        <v>0</v>
      </c>
      <c r="I1169" s="35"/>
      <c r="J1169" s="8"/>
      <c r="K1169" s="43">
        <f t="shared" si="1538"/>
        <v>0</v>
      </c>
      <c r="L1169" s="8">
        <f t="shared" si="1539"/>
        <v>0</v>
      </c>
      <c r="N1169" s="7" t="s">
        <v>562</v>
      </c>
      <c r="O1169" s="30"/>
      <c r="P1169" s="25">
        <v>1</v>
      </c>
      <c r="Q1169" s="43">
        <f t="shared" si="1549"/>
        <v>1</v>
      </c>
      <c r="R1169" s="35">
        <v>2</v>
      </c>
      <c r="S1169" s="8"/>
      <c r="T1169" s="43">
        <f t="shared" si="1550"/>
        <v>2</v>
      </c>
      <c r="U1169" s="35">
        <v>3</v>
      </c>
      <c r="V1169" s="8">
        <v>1</v>
      </c>
      <c r="W1169" s="43">
        <f t="shared" si="1551"/>
        <v>4</v>
      </c>
      <c r="X1169" s="8">
        <f t="shared" si="1552"/>
        <v>7</v>
      </c>
      <c r="Y1169" s="53">
        <v>46176</v>
      </c>
    </row>
    <row r="1170" spans="2:25" x14ac:dyDescent="0.15">
      <c r="B1170" s="7"/>
      <c r="C1170" s="30"/>
      <c r="D1170" s="25"/>
      <c r="E1170" s="43">
        <f t="shared" si="1536"/>
        <v>0</v>
      </c>
      <c r="F1170" s="35"/>
      <c r="G1170" s="8"/>
      <c r="H1170" s="43">
        <f t="shared" si="1537"/>
        <v>0</v>
      </c>
      <c r="I1170" s="35"/>
      <c r="J1170" s="8"/>
      <c r="K1170" s="43">
        <f t="shared" si="1538"/>
        <v>0</v>
      </c>
      <c r="L1170" s="8">
        <f t="shared" si="1539"/>
        <v>0</v>
      </c>
      <c r="N1170" s="7" t="s">
        <v>621</v>
      </c>
      <c r="O1170" s="30">
        <v>27</v>
      </c>
      <c r="P1170" s="25">
        <v>17</v>
      </c>
      <c r="Q1170" s="43">
        <f t="shared" si="1549"/>
        <v>44</v>
      </c>
      <c r="R1170" s="35">
        <v>33</v>
      </c>
      <c r="S1170" s="8">
        <v>10</v>
      </c>
      <c r="T1170" s="43">
        <f t="shared" si="1550"/>
        <v>43</v>
      </c>
      <c r="U1170" s="35">
        <v>9</v>
      </c>
      <c r="V1170" s="8">
        <v>19</v>
      </c>
      <c r="W1170" s="43">
        <f t="shared" si="1551"/>
        <v>28</v>
      </c>
      <c r="X1170" s="8">
        <f t="shared" si="1552"/>
        <v>115</v>
      </c>
      <c r="Y1170" s="53">
        <v>46175</v>
      </c>
    </row>
    <row r="1171" spans="2:25" x14ac:dyDescent="0.15">
      <c r="B1171" s="7"/>
      <c r="C1171" s="30"/>
      <c r="D1171" s="25"/>
      <c r="E1171" s="43">
        <f t="shared" si="1536"/>
        <v>0</v>
      </c>
      <c r="F1171" s="35"/>
      <c r="G1171" s="8"/>
      <c r="H1171" s="43">
        <f t="shared" si="1537"/>
        <v>0</v>
      </c>
      <c r="I1171" s="35"/>
      <c r="J1171" s="8"/>
      <c r="K1171" s="43">
        <f t="shared" si="1538"/>
        <v>0</v>
      </c>
      <c r="L1171" s="8">
        <f t="shared" si="1539"/>
        <v>0</v>
      </c>
      <c r="N1171" s="7" t="s">
        <v>562</v>
      </c>
      <c r="O1171" s="30">
        <v>4</v>
      </c>
      <c r="P1171" s="25">
        <v>4</v>
      </c>
      <c r="Q1171" s="43">
        <f t="shared" si="1549"/>
        <v>8</v>
      </c>
      <c r="R1171" s="35">
        <v>3</v>
      </c>
      <c r="S1171" s="8">
        <v>3</v>
      </c>
      <c r="T1171" s="43">
        <f t="shared" si="1550"/>
        <v>6</v>
      </c>
      <c r="U1171" s="35">
        <v>1</v>
      </c>
      <c r="V1171" s="8"/>
      <c r="W1171" s="43">
        <f t="shared" si="1551"/>
        <v>1</v>
      </c>
      <c r="X1171" s="8">
        <f t="shared" si="1552"/>
        <v>15</v>
      </c>
      <c r="Y1171" s="53">
        <v>46177</v>
      </c>
    </row>
    <row r="1172" spans="2:25" x14ac:dyDescent="0.15">
      <c r="B1172" s="7"/>
      <c r="C1172" s="30"/>
      <c r="D1172" s="25"/>
      <c r="E1172" s="43">
        <f t="shared" si="1536"/>
        <v>0</v>
      </c>
      <c r="F1172" s="35"/>
      <c r="G1172" s="8"/>
      <c r="H1172" s="43">
        <f t="shared" si="1537"/>
        <v>0</v>
      </c>
      <c r="I1172" s="35"/>
      <c r="J1172" s="8"/>
      <c r="K1172" s="43">
        <f t="shared" si="1538"/>
        <v>0</v>
      </c>
      <c r="L1172" s="8">
        <f t="shared" si="1539"/>
        <v>0</v>
      </c>
      <c r="N1172" s="7" t="s">
        <v>603</v>
      </c>
      <c r="O1172" s="30">
        <v>2</v>
      </c>
      <c r="P1172" s="25"/>
      <c r="Q1172" s="43">
        <f t="shared" si="1549"/>
        <v>2</v>
      </c>
      <c r="R1172" s="35"/>
      <c r="S1172" s="8"/>
      <c r="T1172" s="43">
        <f t="shared" si="1550"/>
        <v>0</v>
      </c>
      <c r="U1172" s="35"/>
      <c r="V1172" s="8"/>
      <c r="W1172" s="43">
        <f t="shared" si="1551"/>
        <v>0</v>
      </c>
      <c r="X1172" s="8">
        <f t="shared" si="1552"/>
        <v>2</v>
      </c>
      <c r="Y1172" s="53">
        <v>46177</v>
      </c>
    </row>
    <row r="1173" spans="2:25" x14ac:dyDescent="0.15">
      <c r="B1173" s="7"/>
      <c r="C1173" s="30"/>
      <c r="D1173" s="25"/>
      <c r="E1173" s="43">
        <f t="shared" si="1536"/>
        <v>0</v>
      </c>
      <c r="F1173" s="35"/>
      <c r="G1173" s="8"/>
      <c r="H1173" s="43">
        <f t="shared" si="1537"/>
        <v>0</v>
      </c>
      <c r="I1173" s="35"/>
      <c r="J1173" s="8"/>
      <c r="K1173" s="43">
        <f t="shared" si="1538"/>
        <v>0</v>
      </c>
      <c r="L1173" s="8">
        <f t="shared" si="1539"/>
        <v>0</v>
      </c>
      <c r="N1173" s="7" t="s">
        <v>622</v>
      </c>
      <c r="O1173" s="30">
        <v>6</v>
      </c>
      <c r="P1173" s="25"/>
      <c r="Q1173" s="43">
        <f t="shared" ref="Q1173:Q1176" si="1557">SUM(O1173:P1173)</f>
        <v>6</v>
      </c>
      <c r="R1173" s="35">
        <v>6</v>
      </c>
      <c r="S1173" s="8">
        <v>7</v>
      </c>
      <c r="T1173" s="43">
        <f t="shared" ref="T1173:T1176" si="1558">SUM(R1173:S1173)</f>
        <v>13</v>
      </c>
      <c r="U1173" s="35">
        <v>10</v>
      </c>
      <c r="V1173" s="8">
        <v>7</v>
      </c>
      <c r="W1173" s="43">
        <f t="shared" ref="W1173:W1176" si="1559">SUM(U1173:V1173)</f>
        <v>17</v>
      </c>
      <c r="X1173" s="8">
        <f t="shared" ref="X1173:X1176" si="1560">SUM(W1173,T1173,Q1173)</f>
        <v>36</v>
      </c>
      <c r="Y1173" s="53">
        <v>46177</v>
      </c>
    </row>
    <row r="1174" spans="2:25" x14ac:dyDescent="0.15">
      <c r="B1174" s="7"/>
      <c r="C1174" s="30"/>
      <c r="D1174" s="25"/>
      <c r="E1174" s="43">
        <f t="shared" si="1536"/>
        <v>0</v>
      </c>
      <c r="F1174" s="35"/>
      <c r="G1174" s="8"/>
      <c r="H1174" s="43">
        <f t="shared" si="1537"/>
        <v>0</v>
      </c>
      <c r="I1174" s="35"/>
      <c r="J1174" s="8"/>
      <c r="K1174" s="43">
        <f t="shared" si="1538"/>
        <v>0</v>
      </c>
      <c r="L1174" s="8">
        <f t="shared" si="1539"/>
        <v>0</v>
      </c>
      <c r="N1174" s="7" t="s">
        <v>562</v>
      </c>
      <c r="O1174" s="30">
        <v>5</v>
      </c>
      <c r="P1174" s="25"/>
      <c r="Q1174" s="43">
        <f t="shared" si="1557"/>
        <v>5</v>
      </c>
      <c r="R1174" s="35">
        <v>3</v>
      </c>
      <c r="S1174" s="8">
        <v>1</v>
      </c>
      <c r="T1174" s="43">
        <f t="shared" si="1558"/>
        <v>4</v>
      </c>
      <c r="U1174" s="35"/>
      <c r="V1174" s="8"/>
      <c r="W1174" s="43">
        <f t="shared" si="1559"/>
        <v>0</v>
      </c>
      <c r="X1174" s="8">
        <f t="shared" si="1560"/>
        <v>9</v>
      </c>
      <c r="Y1174" s="53">
        <v>46178</v>
      </c>
    </row>
    <row r="1175" spans="2:25" x14ac:dyDescent="0.15">
      <c r="B1175" s="7"/>
      <c r="C1175" s="30"/>
      <c r="D1175" s="25"/>
      <c r="E1175" s="43">
        <f t="shared" si="1536"/>
        <v>0</v>
      </c>
      <c r="F1175" s="35"/>
      <c r="G1175" s="8"/>
      <c r="H1175" s="43">
        <f t="shared" si="1537"/>
        <v>0</v>
      </c>
      <c r="I1175" s="35"/>
      <c r="J1175" s="8"/>
      <c r="K1175" s="43">
        <f t="shared" si="1538"/>
        <v>0</v>
      </c>
      <c r="L1175" s="8">
        <f t="shared" si="1539"/>
        <v>0</v>
      </c>
      <c r="N1175" s="7" t="s">
        <v>603</v>
      </c>
      <c r="O1175" s="30"/>
      <c r="P1175" s="25">
        <v>4</v>
      </c>
      <c r="Q1175" s="43">
        <f t="shared" si="1557"/>
        <v>4</v>
      </c>
      <c r="R1175" s="35">
        <v>2</v>
      </c>
      <c r="S1175" s="8"/>
      <c r="T1175" s="43">
        <f t="shared" si="1558"/>
        <v>2</v>
      </c>
      <c r="U1175" s="35"/>
      <c r="V1175" s="8"/>
      <c r="W1175" s="43">
        <f t="shared" si="1559"/>
        <v>0</v>
      </c>
      <c r="X1175" s="8">
        <f t="shared" si="1560"/>
        <v>6</v>
      </c>
      <c r="Y1175" s="53">
        <v>46178</v>
      </c>
    </row>
    <row r="1176" spans="2:25" x14ac:dyDescent="0.15">
      <c r="B1176" s="7"/>
      <c r="C1176" s="30"/>
      <c r="D1176" s="25"/>
      <c r="E1176" s="43">
        <f t="shared" si="1536"/>
        <v>0</v>
      </c>
      <c r="F1176" s="35"/>
      <c r="G1176" s="8"/>
      <c r="H1176" s="43">
        <f t="shared" si="1537"/>
        <v>0</v>
      </c>
      <c r="I1176" s="35"/>
      <c r="J1176" s="8"/>
      <c r="K1176" s="43">
        <f t="shared" si="1538"/>
        <v>0</v>
      </c>
      <c r="L1176" s="8">
        <f t="shared" si="1539"/>
        <v>0</v>
      </c>
      <c r="N1176" s="7"/>
      <c r="O1176" s="33"/>
      <c r="P1176" s="27"/>
      <c r="Q1176" s="43">
        <f t="shared" si="1557"/>
        <v>0</v>
      </c>
      <c r="R1176" s="37"/>
      <c r="S1176" s="10"/>
      <c r="T1176" s="43">
        <f t="shared" si="1558"/>
        <v>0</v>
      </c>
      <c r="U1176" s="37"/>
      <c r="V1176" s="10"/>
      <c r="W1176" s="43">
        <f t="shared" si="1559"/>
        <v>0</v>
      </c>
      <c r="X1176" s="8">
        <f t="shared" si="1560"/>
        <v>0</v>
      </c>
    </row>
    <row r="1177" spans="2:25" x14ac:dyDescent="0.15">
      <c r="B1177" s="7"/>
      <c r="C1177" s="30"/>
      <c r="D1177" s="25"/>
      <c r="E1177" s="43">
        <f t="shared" si="1536"/>
        <v>0</v>
      </c>
      <c r="F1177" s="35"/>
      <c r="G1177" s="8"/>
      <c r="H1177" s="43">
        <f t="shared" si="1537"/>
        <v>0</v>
      </c>
      <c r="I1177" s="35"/>
      <c r="J1177" s="8"/>
      <c r="K1177" s="43">
        <f t="shared" si="1538"/>
        <v>0</v>
      </c>
      <c r="L1177" s="8">
        <f t="shared" si="1539"/>
        <v>0</v>
      </c>
      <c r="N1177" s="115" t="s">
        <v>545</v>
      </c>
      <c r="O1177" s="116"/>
      <c r="P1177" s="112"/>
      <c r="Q1177" s="117">
        <f t="shared" si="1549"/>
        <v>0</v>
      </c>
      <c r="R1177" s="116"/>
      <c r="S1177" s="112"/>
      <c r="T1177" s="117">
        <f t="shared" si="1550"/>
        <v>0</v>
      </c>
      <c r="U1177" s="116"/>
      <c r="V1177" s="112"/>
      <c r="W1177" s="117">
        <f t="shared" si="1551"/>
        <v>0</v>
      </c>
      <c r="X1177" s="119">
        <f t="shared" si="1552"/>
        <v>0</v>
      </c>
      <c r="Y1177" s="101"/>
    </row>
    <row r="1178" spans="2:25" x14ac:dyDescent="0.15">
      <c r="B1178" s="7"/>
      <c r="C1178" s="30"/>
      <c r="D1178" s="25"/>
      <c r="E1178" s="43">
        <f t="shared" si="1536"/>
        <v>0</v>
      </c>
      <c r="F1178" s="35"/>
      <c r="G1178" s="8"/>
      <c r="H1178" s="43">
        <f t="shared" si="1537"/>
        <v>0</v>
      </c>
      <c r="I1178" s="35"/>
      <c r="J1178" s="8"/>
      <c r="K1178" s="43">
        <f t="shared" si="1538"/>
        <v>0</v>
      </c>
      <c r="L1178" s="8">
        <f t="shared" si="1539"/>
        <v>0</v>
      </c>
      <c r="N1178" s="7" t="s">
        <v>563</v>
      </c>
      <c r="O1178" s="30"/>
      <c r="P1178" s="25"/>
      <c r="Q1178" s="43">
        <f t="shared" si="1549"/>
        <v>0</v>
      </c>
      <c r="R1178" s="30"/>
      <c r="S1178" s="25"/>
      <c r="T1178" s="43">
        <f t="shared" si="1550"/>
        <v>0</v>
      </c>
      <c r="U1178" s="30"/>
      <c r="V1178" s="25"/>
      <c r="W1178" s="43">
        <f t="shared" si="1551"/>
        <v>0</v>
      </c>
      <c r="X1178" s="8">
        <f t="shared" si="1552"/>
        <v>0</v>
      </c>
      <c r="Y1178" s="53" t="s">
        <v>593</v>
      </c>
    </row>
    <row r="1179" spans="2:25" x14ac:dyDescent="0.15">
      <c r="B1179" s="7"/>
      <c r="C1179" s="30"/>
      <c r="D1179" s="25"/>
      <c r="E1179" s="43">
        <f t="shared" si="1536"/>
        <v>0</v>
      </c>
      <c r="F1179" s="35"/>
      <c r="G1179" s="8"/>
      <c r="H1179" s="43">
        <f t="shared" si="1537"/>
        <v>0</v>
      </c>
      <c r="I1179" s="35"/>
      <c r="J1179" s="8"/>
      <c r="K1179" s="43">
        <f t="shared" si="1538"/>
        <v>0</v>
      </c>
      <c r="L1179" s="8">
        <f t="shared" si="1539"/>
        <v>0</v>
      </c>
      <c r="N1179" s="115" t="s">
        <v>553</v>
      </c>
      <c r="O1179" s="116"/>
      <c r="P1179" s="112"/>
      <c r="Q1179" s="117">
        <f t="shared" ref="Q1179:Q1180" si="1561">SUM(O1179:P1179)</f>
        <v>0</v>
      </c>
      <c r="R1179" s="118"/>
      <c r="S1179" s="119"/>
      <c r="T1179" s="117">
        <f t="shared" ref="T1179:T1180" si="1562">SUM(R1179:S1179)</f>
        <v>0</v>
      </c>
      <c r="U1179" s="118"/>
      <c r="V1179" s="119"/>
      <c r="W1179" s="117">
        <f t="shared" ref="W1179:W1180" si="1563">SUM(U1179:V1179)</f>
        <v>0</v>
      </c>
      <c r="X1179" s="119">
        <f t="shared" ref="X1179:X1180" si="1564">SUM(W1179,T1179,Q1179)</f>
        <v>0</v>
      </c>
    </row>
    <row r="1180" spans="2:25" x14ac:dyDescent="0.15">
      <c r="B1180" s="7"/>
      <c r="C1180" s="30"/>
      <c r="D1180" s="25"/>
      <c r="E1180" s="43">
        <f t="shared" si="1536"/>
        <v>0</v>
      </c>
      <c r="F1180" s="35"/>
      <c r="G1180" s="8"/>
      <c r="H1180" s="43">
        <f t="shared" si="1537"/>
        <v>0</v>
      </c>
      <c r="I1180" s="35"/>
      <c r="J1180" s="8"/>
      <c r="K1180" s="43">
        <f t="shared" si="1538"/>
        <v>0</v>
      </c>
      <c r="L1180" s="8">
        <f t="shared" si="1539"/>
        <v>0</v>
      </c>
      <c r="N1180" s="7" t="s">
        <v>554</v>
      </c>
      <c r="O1180" s="30"/>
      <c r="P1180" s="25"/>
      <c r="Q1180" s="43">
        <f t="shared" si="1561"/>
        <v>0</v>
      </c>
      <c r="R1180" s="35"/>
      <c r="S1180" s="8"/>
      <c r="T1180" s="43">
        <f t="shared" si="1562"/>
        <v>0</v>
      </c>
      <c r="U1180" s="35"/>
      <c r="V1180" s="8"/>
      <c r="W1180" s="43">
        <f t="shared" si="1563"/>
        <v>0</v>
      </c>
      <c r="X1180" s="8">
        <f t="shared" si="1564"/>
        <v>0</v>
      </c>
      <c r="Y1180" s="52" t="s">
        <v>552</v>
      </c>
    </row>
    <row r="1181" spans="2:25" x14ac:dyDescent="0.15">
      <c r="B1181" s="7"/>
      <c r="C1181" s="30"/>
      <c r="D1181" s="25"/>
      <c r="E1181" s="43">
        <f t="shared" si="1536"/>
        <v>0</v>
      </c>
      <c r="F1181" s="35"/>
      <c r="G1181" s="8"/>
      <c r="H1181" s="43">
        <f t="shared" si="1537"/>
        <v>0</v>
      </c>
      <c r="I1181" s="35"/>
      <c r="J1181" s="8"/>
      <c r="K1181" s="43">
        <f t="shared" si="1538"/>
        <v>0</v>
      </c>
      <c r="L1181" s="8">
        <f t="shared" si="1539"/>
        <v>0</v>
      </c>
      <c r="N1181" s="115" t="s">
        <v>598</v>
      </c>
      <c r="O1181" s="116"/>
      <c r="P1181" s="112"/>
      <c r="Q1181" s="117">
        <f>SUM(O1181:P1181)</f>
        <v>0</v>
      </c>
      <c r="R1181" s="118"/>
      <c r="S1181" s="119"/>
      <c r="T1181" s="117">
        <f>SUM(R1181:S1181)</f>
        <v>0</v>
      </c>
      <c r="U1181" s="118"/>
      <c r="V1181" s="119"/>
      <c r="W1181" s="117">
        <f>SUM(U1181:V1181)</f>
        <v>0</v>
      </c>
      <c r="X1181" s="119">
        <f>SUM(W1181,T1181,Q1181)</f>
        <v>0</v>
      </c>
    </row>
    <row r="1182" spans="2:25" ht="14.25" thickBot="1" x14ac:dyDescent="0.2">
      <c r="B1182" s="7"/>
      <c r="C1182" s="30"/>
      <c r="D1182" s="25"/>
      <c r="E1182" s="43">
        <f t="shared" si="1536"/>
        <v>0</v>
      </c>
      <c r="F1182" s="35"/>
      <c r="G1182" s="8"/>
      <c r="H1182" s="43">
        <f t="shared" si="1537"/>
        <v>0</v>
      </c>
      <c r="I1182" s="35"/>
      <c r="J1182" s="8"/>
      <c r="K1182" s="43">
        <f t="shared" si="1538"/>
        <v>0</v>
      </c>
      <c r="L1182" s="8">
        <f t="shared" si="1539"/>
        <v>0</v>
      </c>
      <c r="N1182" s="7" t="s">
        <v>624</v>
      </c>
      <c r="O1182" s="30"/>
      <c r="P1182" s="25"/>
      <c r="Q1182" s="43">
        <f>SUM(O1182:P1182)</f>
        <v>0</v>
      </c>
      <c r="R1182" s="35"/>
      <c r="S1182" s="8"/>
      <c r="T1182" s="43">
        <f>SUM(R1182:S1182)</f>
        <v>0</v>
      </c>
      <c r="U1182" s="35"/>
      <c r="V1182" s="8"/>
      <c r="W1182" s="43">
        <f>SUM(U1182:V1182)</f>
        <v>0</v>
      </c>
      <c r="X1182" s="8">
        <f>SUM(W1182,T1182,Q1182)</f>
        <v>0</v>
      </c>
      <c r="Y1182" s="52" t="s">
        <v>596</v>
      </c>
    </row>
    <row r="1183" spans="2:25" ht="14.25" thickBot="1" x14ac:dyDescent="0.2">
      <c r="B1183" s="5" t="s">
        <v>1</v>
      </c>
      <c r="C1183" s="32">
        <f>SUM(C1158:C1182)</f>
        <v>0</v>
      </c>
      <c r="D1183" s="19">
        <f>SUM(D1158:D1182)</f>
        <v>0</v>
      </c>
      <c r="E1183" s="44">
        <f t="shared" si="1536"/>
        <v>0</v>
      </c>
      <c r="F1183" s="32">
        <f>SUM(F1158:F1182)</f>
        <v>3</v>
      </c>
      <c r="G1183" s="19">
        <f>SUM(G1158:G1182)</f>
        <v>0</v>
      </c>
      <c r="H1183" s="44">
        <f t="shared" si="1537"/>
        <v>3</v>
      </c>
      <c r="I1183" s="32">
        <f>SUM(I1158:I1182)</f>
        <v>1</v>
      </c>
      <c r="J1183" s="19">
        <f>SUM(J1158:J1182)</f>
        <v>2</v>
      </c>
      <c r="K1183" s="44">
        <f t="shared" si="1538"/>
        <v>3</v>
      </c>
      <c r="L1183" s="4">
        <f t="shared" si="1539"/>
        <v>6</v>
      </c>
      <c r="N1183" s="5" t="s">
        <v>1</v>
      </c>
      <c r="O1183" s="32">
        <f>SUM(O1158:O1182)</f>
        <v>175</v>
      </c>
      <c r="P1183" s="19">
        <f t="shared" ref="P1183:X1183" si="1565">SUM(P1158:P1182)</f>
        <v>175</v>
      </c>
      <c r="Q1183" s="44">
        <f t="shared" si="1565"/>
        <v>350</v>
      </c>
      <c r="R1183" s="32">
        <f t="shared" si="1565"/>
        <v>224</v>
      </c>
      <c r="S1183" s="19">
        <f t="shared" si="1565"/>
        <v>162</v>
      </c>
      <c r="T1183" s="44">
        <f t="shared" si="1565"/>
        <v>386</v>
      </c>
      <c r="U1183" s="32">
        <f t="shared" si="1565"/>
        <v>125</v>
      </c>
      <c r="V1183" s="19">
        <f t="shared" si="1565"/>
        <v>117</v>
      </c>
      <c r="W1183" s="44">
        <f t="shared" si="1565"/>
        <v>242</v>
      </c>
      <c r="X1183" s="4">
        <f t="shared" si="1565"/>
        <v>978</v>
      </c>
    </row>
    <row r="1184" spans="2:25" ht="14.25" thickBot="1" x14ac:dyDescent="0.2">
      <c r="B1184" s="3" t="s">
        <v>0</v>
      </c>
      <c r="C1184" s="34">
        <f>+C1157-C1183</f>
        <v>45</v>
      </c>
      <c r="D1184" s="2">
        <f>+D1157-D1183</f>
        <v>5</v>
      </c>
      <c r="E1184" s="45">
        <f t="shared" si="1536"/>
        <v>50</v>
      </c>
      <c r="F1184" s="34">
        <f>+F1157-F1183</f>
        <v>4</v>
      </c>
      <c r="G1184" s="2">
        <f>+G1157-G1183</f>
        <v>11</v>
      </c>
      <c r="H1184" s="45">
        <f t="shared" si="1537"/>
        <v>15</v>
      </c>
      <c r="I1184" s="34">
        <f>+I1157-I1183</f>
        <v>15</v>
      </c>
      <c r="J1184" s="2">
        <f>+J1157-J1183</f>
        <v>6</v>
      </c>
      <c r="K1184" s="45">
        <f t="shared" si="1538"/>
        <v>21</v>
      </c>
      <c r="L1184" s="2">
        <f t="shared" si="1539"/>
        <v>86</v>
      </c>
      <c r="N1184" s="59" t="s">
        <v>0</v>
      </c>
      <c r="O1184" s="60">
        <f>+O1157-O1183</f>
        <v>364</v>
      </c>
      <c r="P1184" s="61">
        <f t="shared" ref="P1184:X1184" si="1566">+P1157-P1183</f>
        <v>364</v>
      </c>
      <c r="Q1184" s="161">
        <f t="shared" si="1566"/>
        <v>728</v>
      </c>
      <c r="R1184" s="60">
        <f t="shared" si="1566"/>
        <v>172</v>
      </c>
      <c r="S1184" s="61">
        <f t="shared" si="1566"/>
        <v>297</v>
      </c>
      <c r="T1184" s="161">
        <f t="shared" si="1566"/>
        <v>469</v>
      </c>
      <c r="U1184" s="60">
        <f t="shared" si="1566"/>
        <v>128</v>
      </c>
      <c r="V1184" s="61">
        <f t="shared" si="1566"/>
        <v>194</v>
      </c>
      <c r="W1184" s="161">
        <f t="shared" si="1566"/>
        <v>322</v>
      </c>
      <c r="X1184" s="61">
        <f t="shared" si="1566"/>
        <v>1519</v>
      </c>
      <c r="Y1184" s="129" t="s">
        <v>551</v>
      </c>
    </row>
    <row r="1188" spans="2:25" ht="18.75" x14ac:dyDescent="0.2">
      <c r="B1188" s="23" t="s">
        <v>11</v>
      </c>
      <c r="C1188" s="21"/>
      <c r="D1188" s="21"/>
      <c r="E1188" s="21"/>
      <c r="F1188" s="21"/>
      <c r="G1188" s="21"/>
      <c r="H1188" s="21"/>
      <c r="I1188" s="21"/>
      <c r="J1188" s="21"/>
      <c r="K1188" s="21"/>
      <c r="L1188" s="21"/>
      <c r="N1188" s="47" t="s">
        <v>25</v>
      </c>
      <c r="O1188" s="48"/>
      <c r="P1188" s="48"/>
      <c r="Q1188" s="48"/>
      <c r="R1188" s="48"/>
      <c r="S1188" s="48"/>
      <c r="T1188" s="48"/>
      <c r="U1188" s="48"/>
      <c r="V1188" s="48"/>
      <c r="W1188" s="48"/>
      <c r="X1188" s="48"/>
    </row>
    <row r="1189" spans="2:25" ht="15" thickBot="1" x14ac:dyDescent="0.2">
      <c r="B1189" s="22" t="s">
        <v>147</v>
      </c>
      <c r="C1189" s="21"/>
      <c r="D1189" s="21"/>
      <c r="E1189" s="21"/>
      <c r="F1189" s="21"/>
      <c r="G1189" s="21"/>
      <c r="H1189" s="21"/>
      <c r="I1189" s="21"/>
      <c r="J1189" s="21"/>
      <c r="K1189" s="21"/>
      <c r="L1189" s="21"/>
      <c r="N1189" s="49" t="s">
        <v>148</v>
      </c>
      <c r="O1189" s="48"/>
      <c r="P1189" s="48"/>
      <c r="Q1189" s="48"/>
      <c r="R1189" s="48"/>
      <c r="S1189" s="48"/>
      <c r="T1189" s="48"/>
      <c r="U1189" s="48"/>
      <c r="V1189" s="48"/>
      <c r="W1189" s="48"/>
      <c r="X1189" s="48"/>
    </row>
    <row r="1190" spans="2:25" ht="14.25" thickBot="1" x14ac:dyDescent="0.2">
      <c r="B1190" s="20"/>
      <c r="C1190" s="208" t="s">
        <v>9</v>
      </c>
      <c r="D1190" s="209"/>
      <c r="E1190" s="210"/>
      <c r="F1190" s="208" t="s">
        <v>8</v>
      </c>
      <c r="G1190" s="209"/>
      <c r="H1190" s="210"/>
      <c r="I1190" s="208" t="s">
        <v>7</v>
      </c>
      <c r="J1190" s="209"/>
      <c r="K1190" s="210"/>
      <c r="L1190" s="19"/>
      <c r="N1190" s="20"/>
      <c r="O1190" s="208" t="s">
        <v>9</v>
      </c>
      <c r="P1190" s="209"/>
      <c r="Q1190" s="123">
        <v>880</v>
      </c>
      <c r="R1190" s="208" t="s">
        <v>8</v>
      </c>
      <c r="S1190" s="209"/>
      <c r="T1190" s="123">
        <v>980</v>
      </c>
      <c r="U1190" s="208" t="s">
        <v>7</v>
      </c>
      <c r="V1190" s="209"/>
      <c r="W1190" s="123">
        <v>1080</v>
      </c>
      <c r="X1190" s="19"/>
    </row>
    <row r="1191" spans="2:25" ht="14.25" thickBot="1" x14ac:dyDescent="0.2">
      <c r="B1191" s="18"/>
      <c r="C1191" s="28" t="s">
        <v>6</v>
      </c>
      <c r="D1191" s="17" t="s">
        <v>5</v>
      </c>
      <c r="E1191" s="38" t="s">
        <v>4</v>
      </c>
      <c r="F1191" s="28" t="s">
        <v>6</v>
      </c>
      <c r="G1191" s="17" t="s">
        <v>5</v>
      </c>
      <c r="H1191" s="38" t="s">
        <v>4</v>
      </c>
      <c r="I1191" s="28" t="s">
        <v>6</v>
      </c>
      <c r="J1191" s="17" t="s">
        <v>5</v>
      </c>
      <c r="K1191" s="38" t="s">
        <v>4</v>
      </c>
      <c r="L1191" s="17" t="s">
        <v>4</v>
      </c>
      <c r="N1191" s="18"/>
      <c r="O1191" s="28" t="s">
        <v>6</v>
      </c>
      <c r="P1191" s="17" t="s">
        <v>5</v>
      </c>
      <c r="Q1191" s="38" t="s">
        <v>4</v>
      </c>
      <c r="R1191" s="28" t="s">
        <v>6</v>
      </c>
      <c r="S1191" s="17" t="s">
        <v>5</v>
      </c>
      <c r="T1191" s="38" t="s">
        <v>4</v>
      </c>
      <c r="U1191" s="28" t="s">
        <v>6</v>
      </c>
      <c r="V1191" s="17" t="s">
        <v>5</v>
      </c>
      <c r="W1191" s="38" t="s">
        <v>4</v>
      </c>
      <c r="X1191" s="17" t="s">
        <v>4</v>
      </c>
    </row>
    <row r="1192" spans="2:25" x14ac:dyDescent="0.15">
      <c r="B1192" s="66" t="s">
        <v>0</v>
      </c>
      <c r="C1192" s="67">
        <f>C1184</f>
        <v>45</v>
      </c>
      <c r="D1192" s="68">
        <f t="shared" ref="D1192:K1192" si="1567">D1184</f>
        <v>5</v>
      </c>
      <c r="E1192" s="69">
        <f t="shared" si="1567"/>
        <v>50</v>
      </c>
      <c r="F1192" s="67">
        <f t="shared" si="1567"/>
        <v>4</v>
      </c>
      <c r="G1192" s="68">
        <f t="shared" si="1567"/>
        <v>11</v>
      </c>
      <c r="H1192" s="69">
        <f t="shared" si="1567"/>
        <v>15</v>
      </c>
      <c r="I1192" s="67">
        <f t="shared" si="1567"/>
        <v>15</v>
      </c>
      <c r="J1192" s="68">
        <f t="shared" si="1567"/>
        <v>6</v>
      </c>
      <c r="K1192" s="69">
        <f t="shared" si="1567"/>
        <v>21</v>
      </c>
      <c r="L1192" s="70">
        <f>SUM(K1192,H1192,E1192)</f>
        <v>86</v>
      </c>
      <c r="N1192" s="66" t="s">
        <v>0</v>
      </c>
      <c r="O1192" s="72">
        <f>O1184</f>
        <v>364</v>
      </c>
      <c r="P1192" s="80">
        <f t="shared" ref="P1192:X1192" si="1568">P1184</f>
        <v>364</v>
      </c>
      <c r="Q1192" s="69">
        <f t="shared" si="1568"/>
        <v>728</v>
      </c>
      <c r="R1192" s="72">
        <f t="shared" si="1568"/>
        <v>172</v>
      </c>
      <c r="S1192" s="80">
        <f t="shared" si="1568"/>
        <v>297</v>
      </c>
      <c r="T1192" s="69">
        <f t="shared" si="1568"/>
        <v>469</v>
      </c>
      <c r="U1192" s="72">
        <f t="shared" si="1568"/>
        <v>128</v>
      </c>
      <c r="V1192" s="80">
        <f t="shared" si="1568"/>
        <v>194</v>
      </c>
      <c r="W1192" s="69">
        <f t="shared" si="1568"/>
        <v>322</v>
      </c>
      <c r="X1192" s="70">
        <f t="shared" si="1568"/>
        <v>1519</v>
      </c>
    </row>
    <row r="1193" spans="2:25" x14ac:dyDescent="0.15">
      <c r="B1193" s="146" t="s">
        <v>3</v>
      </c>
      <c r="C1193" s="147"/>
      <c r="D1193" s="148">
        <v>10</v>
      </c>
      <c r="E1193" s="149">
        <f t="shared" ref="E1193:E1225" si="1569">SUM(C1193:D1193)</f>
        <v>10</v>
      </c>
      <c r="F1193" s="150">
        <v>10</v>
      </c>
      <c r="G1193" s="151"/>
      <c r="H1193" s="149">
        <f t="shared" ref="H1193:H1225" si="1570">SUM(F1193:G1193)</f>
        <v>10</v>
      </c>
      <c r="I1193" s="150"/>
      <c r="J1193" s="151">
        <v>10</v>
      </c>
      <c r="K1193" s="149">
        <f t="shared" ref="K1193:K1225" si="1571">SUM(I1193:J1193)</f>
        <v>10</v>
      </c>
      <c r="L1193" s="152">
        <f t="shared" ref="L1193:L1225" si="1572">SUM(K1193,H1193,E1193)</f>
        <v>30</v>
      </c>
      <c r="M1193" s="153">
        <v>46177</v>
      </c>
      <c r="N1193" s="55" t="s">
        <v>3</v>
      </c>
      <c r="O1193" s="62"/>
      <c r="P1193" s="81"/>
      <c r="Q1193" s="40">
        <f t="shared" ref="Q1193:Q1197" si="1573">SUM(O1193:P1193)</f>
        <v>0</v>
      </c>
      <c r="R1193" s="78">
        <v>200</v>
      </c>
      <c r="S1193" s="82"/>
      <c r="T1193" s="40">
        <f t="shared" ref="T1193:T1197" si="1574">SUM(R1193:S1193)</f>
        <v>200</v>
      </c>
      <c r="U1193" s="78"/>
      <c r="V1193" s="82"/>
      <c r="W1193" s="40">
        <f t="shared" ref="W1193:W1197" si="1575">SUM(U1193:V1193)</f>
        <v>0</v>
      </c>
      <c r="X1193" s="25">
        <f t="shared" ref="X1193:X1197" si="1576">SUM(W1193,T1193,Q1193)</f>
        <v>200</v>
      </c>
      <c r="Y1193" s="53">
        <v>46184</v>
      </c>
    </row>
    <row r="1194" spans="2:25" x14ac:dyDescent="0.15">
      <c r="B1194" s="146" t="s">
        <v>57</v>
      </c>
      <c r="C1194" s="30">
        <v>2</v>
      </c>
      <c r="D1194" s="25"/>
      <c r="E1194" s="40">
        <f t="shared" si="1569"/>
        <v>2</v>
      </c>
      <c r="F1194" s="35">
        <v>2</v>
      </c>
      <c r="G1194" s="8"/>
      <c r="H1194" s="40">
        <f t="shared" si="1570"/>
        <v>2</v>
      </c>
      <c r="I1194" s="35"/>
      <c r="J1194" s="8"/>
      <c r="K1194" s="40">
        <f t="shared" si="1571"/>
        <v>0</v>
      </c>
      <c r="L1194" s="9">
        <f t="shared" si="1572"/>
        <v>4</v>
      </c>
      <c r="M1194" s="53">
        <v>46181</v>
      </c>
      <c r="N1194" s="55" t="s">
        <v>3</v>
      </c>
      <c r="O1194" s="62"/>
      <c r="P1194" s="81"/>
      <c r="Q1194" s="40">
        <f t="shared" si="1573"/>
        <v>0</v>
      </c>
      <c r="R1194" s="78"/>
      <c r="S1194" s="82"/>
      <c r="T1194" s="40">
        <f t="shared" si="1574"/>
        <v>0</v>
      </c>
      <c r="U1194" s="78"/>
      <c r="V1194" s="82"/>
      <c r="W1194" s="40">
        <f t="shared" si="1575"/>
        <v>0</v>
      </c>
      <c r="X1194" s="25">
        <f t="shared" si="1576"/>
        <v>0</v>
      </c>
    </row>
    <row r="1195" spans="2:25" x14ac:dyDescent="0.15">
      <c r="B1195" s="146" t="s">
        <v>3</v>
      </c>
      <c r="C1195" s="147"/>
      <c r="D1195" s="148"/>
      <c r="E1195" s="149">
        <f t="shared" si="1569"/>
        <v>0</v>
      </c>
      <c r="F1195" s="150">
        <v>5</v>
      </c>
      <c r="G1195" s="151"/>
      <c r="H1195" s="149">
        <f t="shared" si="1570"/>
        <v>5</v>
      </c>
      <c r="I1195" s="150"/>
      <c r="J1195" s="151">
        <v>5</v>
      </c>
      <c r="K1195" s="149">
        <f t="shared" si="1571"/>
        <v>5</v>
      </c>
      <c r="L1195" s="152">
        <f t="shared" si="1572"/>
        <v>10</v>
      </c>
      <c r="M1195" s="153">
        <v>46189</v>
      </c>
      <c r="N1195" s="55" t="s">
        <v>606</v>
      </c>
      <c r="O1195" s="62">
        <v>0</v>
      </c>
      <c r="P1195" s="81">
        <v>100</v>
      </c>
      <c r="Q1195" s="40">
        <f t="shared" si="1573"/>
        <v>100</v>
      </c>
      <c r="R1195" s="78">
        <v>0</v>
      </c>
      <c r="S1195" s="82">
        <v>200</v>
      </c>
      <c r="T1195" s="40">
        <f t="shared" si="1574"/>
        <v>200</v>
      </c>
      <c r="U1195" s="78">
        <v>150</v>
      </c>
      <c r="V1195" s="82">
        <v>150</v>
      </c>
      <c r="W1195" s="40">
        <f t="shared" si="1575"/>
        <v>300</v>
      </c>
      <c r="X1195" s="25">
        <f t="shared" si="1576"/>
        <v>600</v>
      </c>
      <c r="Y1195" s="53" t="s">
        <v>647</v>
      </c>
    </row>
    <row r="1196" spans="2:25" x14ac:dyDescent="0.15">
      <c r="B1196" s="146" t="s">
        <v>3</v>
      </c>
      <c r="C1196" s="30"/>
      <c r="D1196" s="25"/>
      <c r="E1196" s="40">
        <f t="shared" si="1569"/>
        <v>0</v>
      </c>
      <c r="F1196" s="35"/>
      <c r="G1196" s="8"/>
      <c r="H1196" s="40">
        <f t="shared" si="1570"/>
        <v>0</v>
      </c>
      <c r="I1196" s="35"/>
      <c r="J1196" s="8"/>
      <c r="K1196" s="40">
        <f t="shared" si="1571"/>
        <v>0</v>
      </c>
      <c r="L1196" s="9">
        <f t="shared" si="1572"/>
        <v>0</v>
      </c>
      <c r="N1196" s="55" t="s">
        <v>3</v>
      </c>
      <c r="O1196" s="62"/>
      <c r="P1196" s="81"/>
      <c r="Q1196" s="40">
        <f t="shared" si="1573"/>
        <v>0</v>
      </c>
      <c r="R1196" s="78"/>
      <c r="S1196" s="82"/>
      <c r="T1196" s="40">
        <f t="shared" si="1574"/>
        <v>0</v>
      </c>
      <c r="U1196" s="78"/>
      <c r="V1196" s="82"/>
      <c r="W1196" s="40">
        <f t="shared" si="1575"/>
        <v>0</v>
      </c>
      <c r="X1196" s="25">
        <f t="shared" si="1576"/>
        <v>0</v>
      </c>
      <c r="Y1196" s="52" t="s">
        <v>599</v>
      </c>
    </row>
    <row r="1197" spans="2:25" ht="14.25" thickBot="1" x14ac:dyDescent="0.2">
      <c r="B1197" s="146" t="s">
        <v>3</v>
      </c>
      <c r="C1197" s="76"/>
      <c r="D1197" s="83"/>
      <c r="E1197" s="41">
        <f t="shared" si="1569"/>
        <v>0</v>
      </c>
      <c r="F1197" s="76"/>
      <c r="G1197" s="83"/>
      <c r="H1197" s="41">
        <f t="shared" si="1570"/>
        <v>0</v>
      </c>
      <c r="I1197" s="76"/>
      <c r="J1197" s="83"/>
      <c r="K1197" s="41">
        <f t="shared" si="1571"/>
        <v>0</v>
      </c>
      <c r="L1197" s="77">
        <f t="shared" si="1572"/>
        <v>0</v>
      </c>
      <c r="N1197" s="200" t="s">
        <v>633</v>
      </c>
      <c r="O1197" s="201">
        <v>100</v>
      </c>
      <c r="P1197" s="202">
        <v>50</v>
      </c>
      <c r="Q1197" s="203">
        <f t="shared" si="1573"/>
        <v>150</v>
      </c>
      <c r="R1197" s="204">
        <v>200</v>
      </c>
      <c r="S1197" s="202">
        <v>50</v>
      </c>
      <c r="T1197" s="203">
        <f t="shared" si="1574"/>
        <v>250</v>
      </c>
      <c r="U1197" s="204">
        <v>100</v>
      </c>
      <c r="V1197" s="202">
        <v>100</v>
      </c>
      <c r="W1197" s="203">
        <f t="shared" si="1575"/>
        <v>200</v>
      </c>
      <c r="X1197" s="205">
        <f t="shared" si="1576"/>
        <v>600</v>
      </c>
      <c r="Y1197" s="71" t="s">
        <v>638</v>
      </c>
    </row>
    <row r="1198" spans="2:25" ht="14.25" thickBot="1" x14ac:dyDescent="0.2">
      <c r="B1198" s="5" t="s">
        <v>2</v>
      </c>
      <c r="C1198" s="32">
        <f>SUM(C1192:C1197)</f>
        <v>47</v>
      </c>
      <c r="D1198" s="19">
        <f>SUM(D1192:D1197)</f>
        <v>15</v>
      </c>
      <c r="E1198" s="42">
        <f t="shared" si="1569"/>
        <v>62</v>
      </c>
      <c r="F1198" s="32">
        <f>SUM(F1192:F1197)</f>
        <v>21</v>
      </c>
      <c r="G1198" s="19">
        <f>SUM(G1192:G1197)</f>
        <v>11</v>
      </c>
      <c r="H1198" s="42">
        <f t="shared" si="1570"/>
        <v>32</v>
      </c>
      <c r="I1198" s="32">
        <f>SUM(I1192:I1197)</f>
        <v>15</v>
      </c>
      <c r="J1198" s="19">
        <f>SUM(J1192:J1197)</f>
        <v>21</v>
      </c>
      <c r="K1198" s="42">
        <f t="shared" si="1571"/>
        <v>36</v>
      </c>
      <c r="L1198" s="13">
        <f t="shared" si="1572"/>
        <v>130</v>
      </c>
      <c r="N1198" s="63" t="s">
        <v>2</v>
      </c>
      <c r="O1198" s="73">
        <f>SUM(O1192:O1197)</f>
        <v>464</v>
      </c>
      <c r="P1198" s="74">
        <f t="shared" ref="P1198:X1198" si="1577">SUM(P1192:P1197)</f>
        <v>514</v>
      </c>
      <c r="Q1198" s="42">
        <f t="shared" si="1577"/>
        <v>978</v>
      </c>
      <c r="R1198" s="73">
        <f t="shared" si="1577"/>
        <v>572</v>
      </c>
      <c r="S1198" s="74">
        <f t="shared" si="1577"/>
        <v>547</v>
      </c>
      <c r="T1198" s="42">
        <f t="shared" si="1577"/>
        <v>1119</v>
      </c>
      <c r="U1198" s="73">
        <f t="shared" si="1577"/>
        <v>378</v>
      </c>
      <c r="V1198" s="74">
        <f t="shared" si="1577"/>
        <v>444</v>
      </c>
      <c r="W1198" s="42">
        <f t="shared" si="1577"/>
        <v>822</v>
      </c>
      <c r="X1198" s="13">
        <f t="shared" si="1577"/>
        <v>2919</v>
      </c>
    </row>
    <row r="1199" spans="2:25" x14ac:dyDescent="0.15">
      <c r="B1199" s="7" t="s">
        <v>12</v>
      </c>
      <c r="C1199" s="30">
        <v>1</v>
      </c>
      <c r="D1199" s="25"/>
      <c r="E1199" s="43">
        <f t="shared" si="1569"/>
        <v>1</v>
      </c>
      <c r="F1199" s="35"/>
      <c r="G1199" s="8"/>
      <c r="H1199" s="43">
        <f t="shared" si="1570"/>
        <v>0</v>
      </c>
      <c r="I1199" s="35"/>
      <c r="J1199" s="8"/>
      <c r="K1199" s="43">
        <f t="shared" si="1571"/>
        <v>0</v>
      </c>
      <c r="L1199" s="8">
        <f t="shared" si="1572"/>
        <v>1</v>
      </c>
      <c r="M1199" s="53">
        <v>46176</v>
      </c>
      <c r="N1199" s="155" t="s">
        <v>625</v>
      </c>
      <c r="O1199" s="147"/>
      <c r="P1199" s="148">
        <v>10</v>
      </c>
      <c r="Q1199" s="156">
        <f t="shared" ref="Q1199:Q1218" si="1578">SUM(O1199:P1199)</f>
        <v>10</v>
      </c>
      <c r="R1199" s="150">
        <v>10</v>
      </c>
      <c r="S1199" s="151"/>
      <c r="T1199" s="156">
        <f t="shared" ref="T1199:T1218" si="1579">SUM(R1199:S1199)</f>
        <v>10</v>
      </c>
      <c r="U1199" s="150"/>
      <c r="V1199" s="151">
        <v>10</v>
      </c>
      <c r="W1199" s="156">
        <f t="shared" ref="W1199:W1218" si="1580">SUM(U1199:V1199)</f>
        <v>10</v>
      </c>
      <c r="X1199" s="151">
        <f t="shared" ref="X1199:X1218" si="1581">SUM(W1199,T1199,Q1199)</f>
        <v>30</v>
      </c>
      <c r="Y1199" s="153">
        <v>46177</v>
      </c>
    </row>
    <row r="1200" spans="2:25" x14ac:dyDescent="0.15">
      <c r="B1200" s="7" t="s">
        <v>12</v>
      </c>
      <c r="C1200" s="30"/>
      <c r="D1200" s="25"/>
      <c r="E1200" s="43">
        <f t="shared" si="1569"/>
        <v>0</v>
      </c>
      <c r="F1200" s="35">
        <v>1</v>
      </c>
      <c r="G1200" s="8"/>
      <c r="H1200" s="43">
        <f t="shared" si="1570"/>
        <v>1</v>
      </c>
      <c r="I1200" s="35"/>
      <c r="J1200" s="8"/>
      <c r="K1200" s="43">
        <f t="shared" si="1571"/>
        <v>0</v>
      </c>
      <c r="L1200" s="8">
        <f t="shared" si="1572"/>
        <v>1</v>
      </c>
      <c r="M1200" s="53">
        <v>46181</v>
      </c>
      <c r="N1200" s="192" t="s">
        <v>626</v>
      </c>
      <c r="O1200" s="33">
        <v>50</v>
      </c>
      <c r="P1200" s="27">
        <v>50</v>
      </c>
      <c r="Q1200" s="197">
        <f t="shared" si="1578"/>
        <v>100</v>
      </c>
      <c r="R1200" s="37">
        <v>70</v>
      </c>
      <c r="S1200" s="10">
        <v>70</v>
      </c>
      <c r="T1200" s="197">
        <f t="shared" si="1579"/>
        <v>140</v>
      </c>
      <c r="U1200" s="37">
        <v>60</v>
      </c>
      <c r="V1200" s="10">
        <v>60</v>
      </c>
      <c r="W1200" s="197">
        <f t="shared" si="1580"/>
        <v>120</v>
      </c>
      <c r="X1200" s="10">
        <f t="shared" si="1581"/>
        <v>360</v>
      </c>
      <c r="Y1200" s="54">
        <v>46184</v>
      </c>
    </row>
    <row r="1201" spans="2:25" x14ac:dyDescent="0.15">
      <c r="B1201" s="7" t="s">
        <v>12</v>
      </c>
      <c r="C1201" s="30"/>
      <c r="D1201" s="25">
        <v>2</v>
      </c>
      <c r="E1201" s="43">
        <f t="shared" si="1569"/>
        <v>2</v>
      </c>
      <c r="F1201" s="35"/>
      <c r="G1201" s="8"/>
      <c r="H1201" s="43">
        <f t="shared" si="1570"/>
        <v>0</v>
      </c>
      <c r="I1201" s="35"/>
      <c r="J1201" s="8"/>
      <c r="K1201" s="43">
        <f t="shared" si="1571"/>
        <v>0</v>
      </c>
      <c r="L1201" s="8">
        <f t="shared" si="1572"/>
        <v>2</v>
      </c>
      <c r="M1201" s="53">
        <v>46182</v>
      </c>
      <c r="N1201" s="7" t="s">
        <v>562</v>
      </c>
      <c r="O1201" s="30">
        <v>4</v>
      </c>
      <c r="P1201" s="25">
        <v>3</v>
      </c>
      <c r="Q1201" s="43">
        <f t="shared" si="1578"/>
        <v>7</v>
      </c>
      <c r="R1201" s="35">
        <v>4</v>
      </c>
      <c r="S1201" s="8">
        <v>4</v>
      </c>
      <c r="T1201" s="43">
        <f t="shared" si="1579"/>
        <v>8</v>
      </c>
      <c r="U1201" s="35">
        <v>4</v>
      </c>
      <c r="V1201" s="8">
        <v>6</v>
      </c>
      <c r="W1201" s="43">
        <f t="shared" si="1580"/>
        <v>10</v>
      </c>
      <c r="X1201" s="8">
        <f t="shared" si="1581"/>
        <v>25</v>
      </c>
      <c r="Y1201" s="53">
        <v>46181</v>
      </c>
    </row>
    <row r="1202" spans="2:25" x14ac:dyDescent="0.15">
      <c r="B1202" s="7" t="s">
        <v>628</v>
      </c>
      <c r="C1202" s="30"/>
      <c r="D1202" s="25"/>
      <c r="E1202" s="43">
        <f t="shared" si="1569"/>
        <v>0</v>
      </c>
      <c r="F1202" s="35">
        <v>4</v>
      </c>
      <c r="G1202" s="8"/>
      <c r="H1202" s="43">
        <f t="shared" si="1570"/>
        <v>4</v>
      </c>
      <c r="I1202" s="35">
        <v>2</v>
      </c>
      <c r="J1202" s="8"/>
      <c r="K1202" s="43">
        <f t="shared" si="1571"/>
        <v>2</v>
      </c>
      <c r="L1202" s="8">
        <f t="shared" si="1572"/>
        <v>6</v>
      </c>
      <c r="M1202" s="53">
        <v>46185</v>
      </c>
      <c r="N1202" s="7" t="s">
        <v>603</v>
      </c>
      <c r="O1202" s="30">
        <v>8</v>
      </c>
      <c r="P1202" s="25">
        <v>10</v>
      </c>
      <c r="Q1202" s="43">
        <f t="shared" si="1578"/>
        <v>18</v>
      </c>
      <c r="R1202" s="35">
        <v>8</v>
      </c>
      <c r="S1202" s="8">
        <v>8</v>
      </c>
      <c r="T1202" s="43">
        <f t="shared" si="1579"/>
        <v>16</v>
      </c>
      <c r="U1202" s="35">
        <v>12</v>
      </c>
      <c r="V1202" s="8">
        <v>8</v>
      </c>
      <c r="W1202" s="43">
        <f t="shared" si="1580"/>
        <v>20</v>
      </c>
      <c r="X1202" s="8">
        <f t="shared" si="1581"/>
        <v>54</v>
      </c>
      <c r="Y1202" s="53">
        <v>46181</v>
      </c>
    </row>
    <row r="1203" spans="2:25" x14ac:dyDescent="0.15">
      <c r="B1203" s="7" t="s">
        <v>12</v>
      </c>
      <c r="C1203" s="30">
        <v>2</v>
      </c>
      <c r="D1203" s="25">
        <v>1</v>
      </c>
      <c r="E1203" s="43">
        <f t="shared" si="1569"/>
        <v>3</v>
      </c>
      <c r="F1203" s="35">
        <v>2</v>
      </c>
      <c r="G1203" s="8"/>
      <c r="H1203" s="43">
        <f t="shared" si="1570"/>
        <v>2</v>
      </c>
      <c r="I1203" s="35"/>
      <c r="J1203" s="8"/>
      <c r="K1203" s="43">
        <f t="shared" si="1571"/>
        <v>0</v>
      </c>
      <c r="L1203" s="8">
        <f t="shared" si="1572"/>
        <v>5</v>
      </c>
      <c r="M1203" s="53">
        <v>46183</v>
      </c>
      <c r="N1203" s="7" t="s">
        <v>637</v>
      </c>
      <c r="O1203" s="30">
        <v>110</v>
      </c>
      <c r="P1203" s="25">
        <v>130</v>
      </c>
      <c r="Q1203" s="43">
        <f t="shared" si="1578"/>
        <v>240</v>
      </c>
      <c r="R1203" s="35">
        <v>80</v>
      </c>
      <c r="S1203" s="8">
        <v>80</v>
      </c>
      <c r="T1203" s="43">
        <f t="shared" si="1579"/>
        <v>160</v>
      </c>
      <c r="U1203" s="35">
        <v>20</v>
      </c>
      <c r="V1203" s="8">
        <v>40</v>
      </c>
      <c r="W1203" s="43">
        <f t="shared" si="1580"/>
        <v>60</v>
      </c>
      <c r="X1203" s="8">
        <f t="shared" si="1581"/>
        <v>460</v>
      </c>
      <c r="Y1203" s="53">
        <v>46184</v>
      </c>
    </row>
    <row r="1204" spans="2:25" x14ac:dyDescent="0.15">
      <c r="B1204" s="7" t="s">
        <v>562</v>
      </c>
      <c r="C1204" s="30"/>
      <c r="D1204" s="25"/>
      <c r="E1204" s="43">
        <f t="shared" si="1569"/>
        <v>0</v>
      </c>
      <c r="F1204" s="35">
        <v>1</v>
      </c>
      <c r="G1204" s="8"/>
      <c r="H1204" s="43">
        <f t="shared" si="1570"/>
        <v>1</v>
      </c>
      <c r="I1204" s="35"/>
      <c r="J1204" s="8"/>
      <c r="K1204" s="43">
        <f t="shared" si="1571"/>
        <v>0</v>
      </c>
      <c r="L1204" s="8">
        <f t="shared" si="1572"/>
        <v>1</v>
      </c>
      <c r="M1204" s="53">
        <v>46185</v>
      </c>
      <c r="N1204" s="7" t="s">
        <v>630</v>
      </c>
      <c r="O1204" s="30">
        <v>25</v>
      </c>
      <c r="P1204" s="25"/>
      <c r="Q1204" s="43">
        <f t="shared" si="1578"/>
        <v>25</v>
      </c>
      <c r="R1204" s="35">
        <v>45</v>
      </c>
      <c r="S1204" s="8"/>
      <c r="T1204" s="43">
        <f t="shared" si="1579"/>
        <v>45</v>
      </c>
      <c r="U1204" s="35">
        <v>10</v>
      </c>
      <c r="V1204" s="8">
        <v>10</v>
      </c>
      <c r="W1204" s="43">
        <f t="shared" si="1580"/>
        <v>20</v>
      </c>
      <c r="X1204" s="8">
        <f t="shared" si="1581"/>
        <v>90</v>
      </c>
      <c r="Y1204" s="53">
        <v>46186</v>
      </c>
    </row>
    <row r="1205" spans="2:25" x14ac:dyDescent="0.15">
      <c r="B1205" s="7" t="s">
        <v>12</v>
      </c>
      <c r="C1205" s="30">
        <v>1</v>
      </c>
      <c r="D1205" s="25">
        <v>1</v>
      </c>
      <c r="E1205" s="43">
        <f t="shared" si="1569"/>
        <v>2</v>
      </c>
      <c r="F1205" s="35">
        <v>2</v>
      </c>
      <c r="G1205" s="8"/>
      <c r="H1205" s="43">
        <f t="shared" si="1570"/>
        <v>2</v>
      </c>
      <c r="I1205" s="35"/>
      <c r="J1205" s="8">
        <v>1</v>
      </c>
      <c r="K1205" s="43">
        <f t="shared" si="1571"/>
        <v>1</v>
      </c>
      <c r="L1205" s="8">
        <f t="shared" si="1572"/>
        <v>5</v>
      </c>
      <c r="M1205" s="53">
        <v>46184</v>
      </c>
      <c r="N1205" s="7" t="s">
        <v>646</v>
      </c>
      <c r="O1205" s="30"/>
      <c r="P1205" s="25">
        <v>34</v>
      </c>
      <c r="Q1205" s="43">
        <f t="shared" si="1578"/>
        <v>34</v>
      </c>
      <c r="R1205" s="35"/>
      <c r="S1205" s="8"/>
      <c r="T1205" s="43">
        <f t="shared" si="1579"/>
        <v>0</v>
      </c>
      <c r="U1205" s="35"/>
      <c r="V1205" s="8"/>
      <c r="W1205" s="43">
        <f t="shared" si="1580"/>
        <v>0</v>
      </c>
      <c r="X1205" s="8">
        <f t="shared" si="1581"/>
        <v>34</v>
      </c>
      <c r="Y1205" s="53">
        <v>46189</v>
      </c>
    </row>
    <row r="1206" spans="2:25" x14ac:dyDescent="0.15">
      <c r="B1206" s="7" t="s">
        <v>562</v>
      </c>
      <c r="C1206" s="30"/>
      <c r="D1206" s="25"/>
      <c r="E1206" s="43">
        <f t="shared" si="1569"/>
        <v>0</v>
      </c>
      <c r="F1206" s="35"/>
      <c r="G1206" s="8"/>
      <c r="H1206" s="43">
        <f t="shared" si="1570"/>
        <v>0</v>
      </c>
      <c r="I1206" s="35">
        <v>4</v>
      </c>
      <c r="J1206" s="8"/>
      <c r="K1206" s="43">
        <f t="shared" si="1571"/>
        <v>4</v>
      </c>
      <c r="L1206" s="8">
        <f t="shared" si="1572"/>
        <v>4</v>
      </c>
      <c r="M1206" s="53">
        <v>46188</v>
      </c>
      <c r="N1206" s="155" t="s">
        <v>579</v>
      </c>
      <c r="O1206" s="147"/>
      <c r="P1206" s="148"/>
      <c r="Q1206" s="156">
        <f t="shared" si="1578"/>
        <v>0</v>
      </c>
      <c r="R1206" s="150">
        <v>5</v>
      </c>
      <c r="S1206" s="151"/>
      <c r="T1206" s="156">
        <f t="shared" si="1579"/>
        <v>5</v>
      </c>
      <c r="U1206" s="150"/>
      <c r="V1206" s="151">
        <v>5</v>
      </c>
      <c r="W1206" s="156">
        <f t="shared" si="1580"/>
        <v>5</v>
      </c>
      <c r="X1206" s="151">
        <f t="shared" si="1581"/>
        <v>10</v>
      </c>
      <c r="Y1206" s="153">
        <v>46189</v>
      </c>
    </row>
    <row r="1207" spans="2:25" x14ac:dyDescent="0.15">
      <c r="B1207" s="7" t="s">
        <v>603</v>
      </c>
      <c r="C1207" s="30">
        <v>2</v>
      </c>
      <c r="D1207" s="25"/>
      <c r="E1207" s="43">
        <f t="shared" si="1569"/>
        <v>2</v>
      </c>
      <c r="F1207" s="35"/>
      <c r="G1207" s="8">
        <v>2</v>
      </c>
      <c r="H1207" s="43">
        <f t="shared" si="1570"/>
        <v>2</v>
      </c>
      <c r="I1207" s="35"/>
      <c r="J1207" s="8">
        <v>8</v>
      </c>
      <c r="K1207" s="43">
        <f t="shared" si="1571"/>
        <v>8</v>
      </c>
      <c r="L1207" s="8">
        <f t="shared" si="1572"/>
        <v>12</v>
      </c>
      <c r="M1207" s="53">
        <v>46188</v>
      </c>
      <c r="N1207" s="7" t="s">
        <v>562</v>
      </c>
      <c r="O1207" s="30">
        <v>5</v>
      </c>
      <c r="P1207" s="25">
        <v>4</v>
      </c>
      <c r="Q1207" s="43">
        <f t="shared" si="1578"/>
        <v>9</v>
      </c>
      <c r="R1207" s="35">
        <v>5</v>
      </c>
      <c r="S1207" s="8">
        <v>5</v>
      </c>
      <c r="T1207" s="43">
        <f t="shared" si="1579"/>
        <v>10</v>
      </c>
      <c r="U1207" s="35">
        <v>3</v>
      </c>
      <c r="V1207" s="8">
        <v>4</v>
      </c>
      <c r="W1207" s="43">
        <f t="shared" si="1580"/>
        <v>7</v>
      </c>
      <c r="X1207" s="8">
        <f t="shared" si="1581"/>
        <v>26</v>
      </c>
      <c r="Y1207" s="53">
        <v>46191</v>
      </c>
    </row>
    <row r="1208" spans="2:25" x14ac:dyDescent="0.15">
      <c r="B1208" s="7" t="s">
        <v>562</v>
      </c>
      <c r="C1208" s="30"/>
      <c r="D1208" s="25"/>
      <c r="E1208" s="43">
        <f t="shared" si="1569"/>
        <v>0</v>
      </c>
      <c r="F1208" s="35">
        <v>1</v>
      </c>
      <c r="G1208" s="8"/>
      <c r="H1208" s="43">
        <f t="shared" si="1570"/>
        <v>1</v>
      </c>
      <c r="I1208" s="35">
        <v>3</v>
      </c>
      <c r="J1208" s="8"/>
      <c r="K1208" s="43">
        <f t="shared" si="1571"/>
        <v>3</v>
      </c>
      <c r="L1208" s="8">
        <f t="shared" si="1572"/>
        <v>4</v>
      </c>
      <c r="M1208" s="53">
        <v>46190</v>
      </c>
      <c r="N1208" s="7" t="s">
        <v>603</v>
      </c>
      <c r="O1208" s="30"/>
      <c r="P1208" s="25">
        <v>6</v>
      </c>
      <c r="Q1208" s="43">
        <f t="shared" si="1578"/>
        <v>6</v>
      </c>
      <c r="R1208" s="35"/>
      <c r="S1208" s="8"/>
      <c r="T1208" s="43">
        <f t="shared" si="1579"/>
        <v>0</v>
      </c>
      <c r="U1208" s="35"/>
      <c r="V1208" s="8">
        <v>4</v>
      </c>
      <c r="W1208" s="43">
        <f t="shared" si="1580"/>
        <v>4</v>
      </c>
      <c r="X1208" s="8">
        <f t="shared" si="1581"/>
        <v>10</v>
      </c>
      <c r="Y1208" s="53">
        <v>46191</v>
      </c>
    </row>
    <row r="1209" spans="2:25" x14ac:dyDescent="0.15">
      <c r="B1209" s="7" t="s">
        <v>603</v>
      </c>
      <c r="C1209" s="30"/>
      <c r="D1209" s="25"/>
      <c r="E1209" s="43">
        <f t="shared" si="1569"/>
        <v>0</v>
      </c>
      <c r="F1209" s="35"/>
      <c r="G1209" s="8"/>
      <c r="H1209" s="43">
        <f t="shared" si="1570"/>
        <v>0</v>
      </c>
      <c r="I1209" s="35"/>
      <c r="J1209" s="8">
        <v>2</v>
      </c>
      <c r="K1209" s="43">
        <f t="shared" si="1571"/>
        <v>2</v>
      </c>
      <c r="L1209" s="8">
        <f t="shared" si="1572"/>
        <v>2</v>
      </c>
      <c r="M1209" s="53">
        <v>46190</v>
      </c>
      <c r="N1209" s="7"/>
      <c r="O1209" s="33"/>
      <c r="P1209" s="27"/>
      <c r="Q1209" s="43">
        <f t="shared" si="1578"/>
        <v>0</v>
      </c>
      <c r="R1209" s="37"/>
      <c r="S1209" s="10"/>
      <c r="T1209" s="43">
        <f t="shared" si="1579"/>
        <v>0</v>
      </c>
      <c r="U1209" s="37"/>
      <c r="V1209" s="10"/>
      <c r="W1209" s="43">
        <f t="shared" si="1580"/>
        <v>0</v>
      </c>
      <c r="X1209" s="8">
        <f t="shared" si="1581"/>
        <v>0</v>
      </c>
    </row>
    <row r="1210" spans="2:25" x14ac:dyDescent="0.15">
      <c r="B1210" s="7" t="s">
        <v>12</v>
      </c>
      <c r="C1210" s="30"/>
      <c r="D1210" s="25"/>
      <c r="E1210" s="43">
        <f t="shared" si="1569"/>
        <v>0</v>
      </c>
      <c r="F1210" s="35">
        <v>1</v>
      </c>
      <c r="G1210" s="8">
        <v>1</v>
      </c>
      <c r="H1210" s="43">
        <f t="shared" si="1570"/>
        <v>2</v>
      </c>
      <c r="I1210" s="35"/>
      <c r="J1210" s="8">
        <v>2</v>
      </c>
      <c r="K1210" s="43">
        <f t="shared" si="1571"/>
        <v>2</v>
      </c>
      <c r="L1210" s="8">
        <f t="shared" si="1572"/>
        <v>4</v>
      </c>
      <c r="M1210" s="53">
        <v>46188</v>
      </c>
      <c r="N1210" s="7"/>
      <c r="O1210" s="33"/>
      <c r="P1210" s="27"/>
      <c r="Q1210" s="43">
        <f t="shared" si="1578"/>
        <v>0</v>
      </c>
      <c r="R1210" s="37"/>
      <c r="S1210" s="10"/>
      <c r="T1210" s="43">
        <f t="shared" si="1579"/>
        <v>0</v>
      </c>
      <c r="U1210" s="37"/>
      <c r="V1210" s="10"/>
      <c r="W1210" s="43">
        <f t="shared" si="1580"/>
        <v>0</v>
      </c>
      <c r="X1210" s="8">
        <f t="shared" si="1581"/>
        <v>0</v>
      </c>
    </row>
    <row r="1211" spans="2:25" x14ac:dyDescent="0.15">
      <c r="B1211" s="7" t="s">
        <v>12</v>
      </c>
      <c r="C1211" s="30"/>
      <c r="D1211" s="25"/>
      <c r="E1211" s="43">
        <f t="shared" si="1569"/>
        <v>0</v>
      </c>
      <c r="F1211" s="35"/>
      <c r="G1211" s="8"/>
      <c r="H1211" s="43">
        <f t="shared" si="1570"/>
        <v>0</v>
      </c>
      <c r="I1211" s="35"/>
      <c r="J1211" s="8">
        <v>1</v>
      </c>
      <c r="K1211" s="43">
        <f t="shared" si="1571"/>
        <v>1</v>
      </c>
      <c r="L1211" s="8">
        <f t="shared" si="1572"/>
        <v>1</v>
      </c>
      <c r="M1211" s="53">
        <v>46189</v>
      </c>
      <c r="N1211" s="7"/>
      <c r="O1211" s="30"/>
      <c r="P1211" s="25"/>
      <c r="Q1211" s="43">
        <f t="shared" si="1578"/>
        <v>0</v>
      </c>
      <c r="R1211" s="35"/>
      <c r="S1211" s="8"/>
      <c r="T1211" s="43">
        <f t="shared" si="1579"/>
        <v>0</v>
      </c>
      <c r="U1211" s="35"/>
      <c r="V1211" s="8"/>
      <c r="W1211" s="43">
        <f t="shared" si="1580"/>
        <v>0</v>
      </c>
      <c r="X1211" s="8">
        <f t="shared" si="1581"/>
        <v>0</v>
      </c>
    </row>
    <row r="1212" spans="2:25" x14ac:dyDescent="0.15">
      <c r="B1212" s="7" t="s">
        <v>603</v>
      </c>
      <c r="C1212" s="30">
        <v>2</v>
      </c>
      <c r="D1212" s="25">
        <v>4</v>
      </c>
      <c r="E1212" s="43">
        <f t="shared" si="1569"/>
        <v>6</v>
      </c>
      <c r="F1212" s="35">
        <v>2</v>
      </c>
      <c r="G1212" s="8"/>
      <c r="H1212" s="43">
        <f t="shared" si="1570"/>
        <v>2</v>
      </c>
      <c r="I1212" s="35"/>
      <c r="J1212" s="8">
        <v>4</v>
      </c>
      <c r="K1212" s="43">
        <f t="shared" si="1571"/>
        <v>4</v>
      </c>
      <c r="L1212" s="8">
        <f t="shared" si="1572"/>
        <v>12</v>
      </c>
      <c r="M1212" s="53">
        <v>46192</v>
      </c>
      <c r="N1212" s="7"/>
      <c r="O1212" s="33"/>
      <c r="P1212" s="27"/>
      <c r="Q1212" s="43">
        <f t="shared" si="1578"/>
        <v>0</v>
      </c>
      <c r="R1212" s="37"/>
      <c r="S1212" s="10"/>
      <c r="T1212" s="43">
        <f t="shared" si="1579"/>
        <v>0</v>
      </c>
      <c r="U1212" s="37"/>
      <c r="V1212" s="10"/>
      <c r="W1212" s="43">
        <f t="shared" si="1580"/>
        <v>0</v>
      </c>
      <c r="X1212" s="8">
        <f t="shared" si="1581"/>
        <v>0</v>
      </c>
    </row>
    <row r="1213" spans="2:25" x14ac:dyDescent="0.15">
      <c r="B1213" s="125" t="s">
        <v>603</v>
      </c>
      <c r="C1213" s="168"/>
      <c r="D1213" s="126"/>
      <c r="E1213" s="166">
        <f t="shared" si="1569"/>
        <v>0</v>
      </c>
      <c r="F1213" s="169">
        <v>2</v>
      </c>
      <c r="G1213" s="167"/>
      <c r="H1213" s="166">
        <f t="shared" si="1570"/>
        <v>2</v>
      </c>
      <c r="I1213" s="169"/>
      <c r="J1213" s="167"/>
      <c r="K1213" s="166">
        <f t="shared" si="1571"/>
        <v>0</v>
      </c>
      <c r="L1213" s="167">
        <f t="shared" si="1572"/>
        <v>2</v>
      </c>
      <c r="M1213" s="154">
        <v>46192</v>
      </c>
      <c r="N1213" s="7"/>
      <c r="O1213" s="33"/>
      <c r="P1213" s="27"/>
      <c r="Q1213" s="43">
        <f t="shared" si="1578"/>
        <v>0</v>
      </c>
      <c r="R1213" s="37"/>
      <c r="S1213" s="10"/>
      <c r="T1213" s="43">
        <f t="shared" si="1579"/>
        <v>0</v>
      </c>
      <c r="U1213" s="37"/>
      <c r="V1213" s="10"/>
      <c r="W1213" s="43">
        <f t="shared" si="1580"/>
        <v>0</v>
      </c>
      <c r="X1213" s="8">
        <f t="shared" si="1581"/>
        <v>0</v>
      </c>
    </row>
    <row r="1214" spans="2:25" x14ac:dyDescent="0.15">
      <c r="B1214" s="7" t="s">
        <v>12</v>
      </c>
      <c r="C1214" s="30">
        <v>1</v>
      </c>
      <c r="D1214" s="25"/>
      <c r="E1214" s="43">
        <f t="shared" si="1569"/>
        <v>1</v>
      </c>
      <c r="F1214" s="35"/>
      <c r="G1214" s="8"/>
      <c r="H1214" s="43">
        <f t="shared" si="1570"/>
        <v>0</v>
      </c>
      <c r="I1214" s="35"/>
      <c r="J1214" s="8"/>
      <c r="K1214" s="43">
        <f t="shared" si="1571"/>
        <v>0</v>
      </c>
      <c r="L1214" s="8">
        <f t="shared" si="1572"/>
        <v>1</v>
      </c>
      <c r="M1214" s="53">
        <v>46191</v>
      </c>
      <c r="N1214" s="7"/>
      <c r="O1214" s="33"/>
      <c r="P1214" s="27"/>
      <c r="Q1214" s="43">
        <f t="shared" ref="Q1214:Q1216" si="1582">SUM(O1214:P1214)</f>
        <v>0</v>
      </c>
      <c r="R1214" s="37"/>
      <c r="S1214" s="10"/>
      <c r="T1214" s="43">
        <f t="shared" ref="T1214:T1216" si="1583">SUM(R1214:S1214)</f>
        <v>0</v>
      </c>
      <c r="U1214" s="37"/>
      <c r="V1214" s="10"/>
      <c r="W1214" s="43">
        <f t="shared" ref="W1214:W1216" si="1584">SUM(U1214:V1214)</f>
        <v>0</v>
      </c>
      <c r="X1214" s="8">
        <f t="shared" ref="X1214:X1216" si="1585">SUM(W1214,T1214,Q1214)</f>
        <v>0</v>
      </c>
    </row>
    <row r="1215" spans="2:25" x14ac:dyDescent="0.15">
      <c r="B1215" s="7"/>
      <c r="C1215" s="30"/>
      <c r="D1215" s="25"/>
      <c r="E1215" s="43">
        <f t="shared" si="1569"/>
        <v>0</v>
      </c>
      <c r="F1215" s="35"/>
      <c r="G1215" s="8"/>
      <c r="H1215" s="43">
        <f t="shared" si="1570"/>
        <v>0</v>
      </c>
      <c r="I1215" s="35"/>
      <c r="J1215" s="8"/>
      <c r="K1215" s="43">
        <f t="shared" si="1571"/>
        <v>0</v>
      </c>
      <c r="L1215" s="8">
        <f t="shared" si="1572"/>
        <v>0</v>
      </c>
      <c r="N1215" s="7"/>
      <c r="O1215" s="33"/>
      <c r="P1215" s="27"/>
      <c r="Q1215" s="43">
        <f t="shared" si="1582"/>
        <v>0</v>
      </c>
      <c r="R1215" s="37"/>
      <c r="S1215" s="10"/>
      <c r="T1215" s="43">
        <f t="shared" si="1583"/>
        <v>0</v>
      </c>
      <c r="U1215" s="37"/>
      <c r="V1215" s="10"/>
      <c r="W1215" s="43">
        <f t="shared" si="1584"/>
        <v>0</v>
      </c>
      <c r="X1215" s="8">
        <f t="shared" si="1585"/>
        <v>0</v>
      </c>
    </row>
    <row r="1216" spans="2:25" x14ac:dyDescent="0.15">
      <c r="B1216" s="7"/>
      <c r="C1216" s="30"/>
      <c r="D1216" s="25"/>
      <c r="E1216" s="43">
        <f t="shared" si="1569"/>
        <v>0</v>
      </c>
      <c r="F1216" s="35"/>
      <c r="G1216" s="8"/>
      <c r="H1216" s="43">
        <f t="shared" si="1570"/>
        <v>0</v>
      </c>
      <c r="I1216" s="35"/>
      <c r="J1216" s="8"/>
      <c r="K1216" s="43">
        <f t="shared" si="1571"/>
        <v>0</v>
      </c>
      <c r="L1216" s="8">
        <f t="shared" si="1572"/>
        <v>0</v>
      </c>
      <c r="N1216" s="7"/>
      <c r="O1216" s="33"/>
      <c r="P1216" s="27"/>
      <c r="Q1216" s="43">
        <f t="shared" si="1582"/>
        <v>0</v>
      </c>
      <c r="R1216" s="37"/>
      <c r="S1216" s="10"/>
      <c r="T1216" s="43">
        <f t="shared" si="1583"/>
        <v>0</v>
      </c>
      <c r="U1216" s="37"/>
      <c r="V1216" s="10"/>
      <c r="W1216" s="43">
        <f t="shared" si="1584"/>
        <v>0</v>
      </c>
      <c r="X1216" s="8">
        <f t="shared" si="1585"/>
        <v>0</v>
      </c>
    </row>
    <row r="1217" spans="2:25" x14ac:dyDescent="0.15">
      <c r="B1217" s="7"/>
      <c r="C1217" s="30"/>
      <c r="D1217" s="25"/>
      <c r="E1217" s="43">
        <f t="shared" si="1569"/>
        <v>0</v>
      </c>
      <c r="F1217" s="35"/>
      <c r="G1217" s="8"/>
      <c r="H1217" s="43">
        <f t="shared" si="1570"/>
        <v>0</v>
      </c>
      <c r="I1217" s="35"/>
      <c r="J1217" s="8"/>
      <c r="K1217" s="43">
        <f t="shared" si="1571"/>
        <v>0</v>
      </c>
      <c r="L1217" s="8">
        <f t="shared" si="1572"/>
        <v>0</v>
      </c>
      <c r="N1217" s="115" t="s">
        <v>538</v>
      </c>
      <c r="O1217" s="116"/>
      <c r="P1217" s="112"/>
      <c r="Q1217" s="117">
        <f t="shared" si="1578"/>
        <v>0</v>
      </c>
      <c r="R1217" s="118"/>
      <c r="S1217" s="119"/>
      <c r="T1217" s="117">
        <f t="shared" si="1579"/>
        <v>0</v>
      </c>
      <c r="U1217" s="118"/>
      <c r="V1217" s="119"/>
      <c r="W1217" s="117">
        <f t="shared" si="1580"/>
        <v>0</v>
      </c>
      <c r="X1217" s="119">
        <f t="shared" si="1581"/>
        <v>0</v>
      </c>
      <c r="Y1217" s="101"/>
    </row>
    <row r="1218" spans="2:25" x14ac:dyDescent="0.15">
      <c r="B1218" s="7"/>
      <c r="C1218" s="30"/>
      <c r="D1218" s="25"/>
      <c r="E1218" s="43">
        <f t="shared" si="1569"/>
        <v>0</v>
      </c>
      <c r="F1218" s="35"/>
      <c r="G1218" s="8"/>
      <c r="H1218" s="43">
        <f t="shared" si="1570"/>
        <v>0</v>
      </c>
      <c r="I1218" s="35"/>
      <c r="J1218" s="8"/>
      <c r="K1218" s="43">
        <f t="shared" si="1571"/>
        <v>0</v>
      </c>
      <c r="L1218" s="8">
        <f t="shared" si="1572"/>
        <v>0</v>
      </c>
      <c r="N1218" s="7" t="s">
        <v>631</v>
      </c>
      <c r="O1218" s="30"/>
      <c r="P1218" s="25"/>
      <c r="Q1218" s="43">
        <f t="shared" si="1578"/>
        <v>0</v>
      </c>
      <c r="R1218" s="35"/>
      <c r="S1218" s="8"/>
      <c r="T1218" s="43">
        <f t="shared" si="1579"/>
        <v>0</v>
      </c>
      <c r="U1218" s="35"/>
      <c r="V1218" s="8"/>
      <c r="W1218" s="43">
        <f t="shared" si="1580"/>
        <v>0</v>
      </c>
      <c r="X1218" s="8">
        <f t="shared" si="1581"/>
        <v>0</v>
      </c>
      <c r="Y1218" s="52" t="s">
        <v>539</v>
      </c>
    </row>
    <row r="1219" spans="2:25" x14ac:dyDescent="0.15">
      <c r="B1219" s="7"/>
      <c r="C1219" s="30"/>
      <c r="D1219" s="25"/>
      <c r="E1219" s="43">
        <f t="shared" si="1569"/>
        <v>0</v>
      </c>
      <c r="F1219" s="35"/>
      <c r="G1219" s="8"/>
      <c r="H1219" s="43">
        <f t="shared" si="1570"/>
        <v>0</v>
      </c>
      <c r="I1219" s="35"/>
      <c r="J1219" s="8"/>
      <c r="K1219" s="43">
        <f t="shared" si="1571"/>
        <v>0</v>
      </c>
      <c r="L1219" s="8">
        <f t="shared" si="1572"/>
        <v>0</v>
      </c>
      <c r="N1219" s="7" t="s">
        <v>629</v>
      </c>
      <c r="O1219" s="30"/>
      <c r="P1219" s="25"/>
      <c r="Q1219" s="43">
        <f t="shared" ref="Q1219:Q1220" si="1586">SUM(O1219:P1219)</f>
        <v>0</v>
      </c>
      <c r="R1219" s="35"/>
      <c r="S1219" s="8"/>
      <c r="T1219" s="43">
        <f t="shared" ref="T1219:T1220" si="1587">SUM(R1219:S1219)</f>
        <v>0</v>
      </c>
      <c r="U1219" s="35"/>
      <c r="V1219" s="8"/>
      <c r="W1219" s="43">
        <f t="shared" ref="W1219:W1220" si="1588">SUM(U1219:V1219)</f>
        <v>0</v>
      </c>
      <c r="X1219" s="8">
        <f t="shared" ref="X1219:X1220" si="1589">SUM(W1219,T1219,Q1219)</f>
        <v>0</v>
      </c>
      <c r="Y1219" s="52" t="s">
        <v>600</v>
      </c>
    </row>
    <row r="1220" spans="2:25" x14ac:dyDescent="0.15">
      <c r="B1220" s="7"/>
      <c r="C1220" s="30"/>
      <c r="D1220" s="25"/>
      <c r="E1220" s="43">
        <f t="shared" si="1569"/>
        <v>0</v>
      </c>
      <c r="F1220" s="35"/>
      <c r="G1220" s="8"/>
      <c r="H1220" s="43">
        <f t="shared" si="1570"/>
        <v>0</v>
      </c>
      <c r="I1220" s="35"/>
      <c r="J1220" s="8"/>
      <c r="K1220" s="43">
        <f t="shared" si="1571"/>
        <v>0</v>
      </c>
      <c r="L1220" s="8">
        <f t="shared" si="1572"/>
        <v>0</v>
      </c>
      <c r="N1220" s="7" t="s">
        <v>644</v>
      </c>
      <c r="O1220" s="30"/>
      <c r="P1220" s="25"/>
      <c r="Q1220" s="43">
        <f t="shared" si="1586"/>
        <v>0</v>
      </c>
      <c r="R1220" s="35"/>
      <c r="S1220" s="8"/>
      <c r="T1220" s="43">
        <f t="shared" si="1587"/>
        <v>0</v>
      </c>
      <c r="U1220" s="35"/>
      <c r="V1220" s="8"/>
      <c r="W1220" s="43">
        <f t="shared" si="1588"/>
        <v>0</v>
      </c>
      <c r="X1220" s="8">
        <f t="shared" si="1589"/>
        <v>0</v>
      </c>
      <c r="Y1220" s="52" t="s">
        <v>567</v>
      </c>
    </row>
    <row r="1221" spans="2:25" x14ac:dyDescent="0.15">
      <c r="B1221" s="7"/>
      <c r="C1221" s="30"/>
      <c r="D1221" s="25"/>
      <c r="E1221" s="43">
        <f t="shared" si="1569"/>
        <v>0</v>
      </c>
      <c r="F1221" s="35"/>
      <c r="G1221" s="8"/>
      <c r="H1221" s="43">
        <f t="shared" si="1570"/>
        <v>0</v>
      </c>
      <c r="I1221" s="35"/>
      <c r="J1221" s="8"/>
      <c r="K1221" s="43">
        <f t="shared" si="1571"/>
        <v>0</v>
      </c>
      <c r="L1221" s="8">
        <f t="shared" si="1572"/>
        <v>0</v>
      </c>
      <c r="N1221" s="125" t="s">
        <v>616</v>
      </c>
      <c r="O1221" s="168">
        <v>30</v>
      </c>
      <c r="P1221" s="126">
        <v>30</v>
      </c>
      <c r="Q1221" s="166">
        <f>SUM(O1221:P1221)</f>
        <v>60</v>
      </c>
      <c r="R1221" s="169">
        <v>30</v>
      </c>
      <c r="S1221" s="167">
        <v>30</v>
      </c>
      <c r="T1221" s="166">
        <f>SUM(R1221:S1221)</f>
        <v>60</v>
      </c>
      <c r="U1221" s="169">
        <v>30</v>
      </c>
      <c r="V1221" s="167">
        <v>30</v>
      </c>
      <c r="W1221" s="166">
        <f>SUM(U1221:V1221)</f>
        <v>60</v>
      </c>
      <c r="X1221" s="167">
        <f>SUM(W1221,T1221,Q1221)</f>
        <v>180</v>
      </c>
      <c r="Y1221" s="71" t="s">
        <v>617</v>
      </c>
    </row>
    <row r="1222" spans="2:25" x14ac:dyDescent="0.15">
      <c r="B1222" s="7"/>
      <c r="C1222" s="30"/>
      <c r="D1222" s="25"/>
      <c r="E1222" s="43">
        <f t="shared" si="1569"/>
        <v>0</v>
      </c>
      <c r="F1222" s="35"/>
      <c r="G1222" s="8"/>
      <c r="H1222" s="43">
        <f t="shared" si="1570"/>
        <v>0</v>
      </c>
      <c r="I1222" s="35"/>
      <c r="J1222" s="8"/>
      <c r="K1222" s="43">
        <f t="shared" si="1571"/>
        <v>0</v>
      </c>
      <c r="L1222" s="8">
        <f t="shared" si="1572"/>
        <v>0</v>
      </c>
      <c r="N1222" s="176" t="s">
        <v>581</v>
      </c>
      <c r="O1222" s="170">
        <v>-100</v>
      </c>
      <c r="P1222" s="171">
        <v>-100</v>
      </c>
      <c r="Q1222" s="172">
        <f t="shared" ref="Q1222:Q1223" si="1590">SUM(O1222:P1222)</f>
        <v>-200</v>
      </c>
      <c r="R1222" s="173">
        <v>-100</v>
      </c>
      <c r="S1222" s="174">
        <v>-80</v>
      </c>
      <c r="T1222" s="172">
        <f t="shared" ref="T1222:T1223" si="1591">SUM(R1222:S1222)</f>
        <v>-180</v>
      </c>
      <c r="U1222" s="173">
        <v>-70</v>
      </c>
      <c r="V1222" s="174">
        <v>-80</v>
      </c>
      <c r="W1222" s="172">
        <f>SUM(U1222:V1222)</f>
        <v>-150</v>
      </c>
      <c r="X1222" s="174">
        <f t="shared" ref="X1222:X1223" si="1592">SUM(W1222,T1222,Q1222)</f>
        <v>-530</v>
      </c>
      <c r="Y1222" s="129"/>
    </row>
    <row r="1223" spans="2:25" ht="14.25" thickBot="1" x14ac:dyDescent="0.2">
      <c r="B1223" s="7"/>
      <c r="C1223" s="30"/>
      <c r="D1223" s="25"/>
      <c r="E1223" s="43">
        <f t="shared" si="1569"/>
        <v>0</v>
      </c>
      <c r="F1223" s="35"/>
      <c r="G1223" s="8"/>
      <c r="H1223" s="43">
        <f t="shared" si="1570"/>
        <v>0</v>
      </c>
      <c r="I1223" s="35"/>
      <c r="J1223" s="8"/>
      <c r="K1223" s="43">
        <f t="shared" si="1571"/>
        <v>0</v>
      </c>
      <c r="L1223" s="8">
        <f t="shared" si="1572"/>
        <v>0</v>
      </c>
      <c r="N1223" s="175" t="s">
        <v>582</v>
      </c>
      <c r="O1223" s="168">
        <f>350-50</f>
        <v>300</v>
      </c>
      <c r="P1223" s="126">
        <f>350-50</f>
        <v>300</v>
      </c>
      <c r="Q1223" s="166">
        <f t="shared" si="1590"/>
        <v>600</v>
      </c>
      <c r="R1223" s="169">
        <f>400-70</f>
        <v>330</v>
      </c>
      <c r="S1223" s="167">
        <f>350-70</f>
        <v>280</v>
      </c>
      <c r="T1223" s="166">
        <f t="shared" si="1591"/>
        <v>610</v>
      </c>
      <c r="U1223" s="169">
        <f>300-60</f>
        <v>240</v>
      </c>
      <c r="V1223" s="167">
        <f>320-60</f>
        <v>260</v>
      </c>
      <c r="W1223" s="166">
        <f t="shared" ref="W1223" si="1593">SUM(U1223:V1223)</f>
        <v>500</v>
      </c>
      <c r="X1223" s="167">
        <f t="shared" si="1592"/>
        <v>1710</v>
      </c>
      <c r="Y1223" s="71" t="s">
        <v>583</v>
      </c>
    </row>
    <row r="1224" spans="2:25" ht="14.25" thickBot="1" x14ac:dyDescent="0.2">
      <c r="B1224" s="5" t="s">
        <v>1</v>
      </c>
      <c r="C1224" s="32">
        <f>SUM(C1199:C1223)</f>
        <v>9</v>
      </c>
      <c r="D1224" s="19">
        <f>SUM(D1199:D1223)</f>
        <v>8</v>
      </c>
      <c r="E1224" s="44">
        <f t="shared" si="1569"/>
        <v>17</v>
      </c>
      <c r="F1224" s="32">
        <f>SUM(F1199:F1223)</f>
        <v>16</v>
      </c>
      <c r="G1224" s="19">
        <f>SUM(G1199:G1223)</f>
        <v>3</v>
      </c>
      <c r="H1224" s="44">
        <f t="shared" si="1570"/>
        <v>19</v>
      </c>
      <c r="I1224" s="32">
        <f>SUM(I1199:I1223)</f>
        <v>9</v>
      </c>
      <c r="J1224" s="19">
        <f>SUM(J1199:J1223)</f>
        <v>18</v>
      </c>
      <c r="K1224" s="44">
        <f t="shared" si="1571"/>
        <v>27</v>
      </c>
      <c r="L1224" s="4">
        <f t="shared" si="1572"/>
        <v>63</v>
      </c>
      <c r="N1224" s="5" t="s">
        <v>1</v>
      </c>
      <c r="O1224" s="32">
        <f>SUM(O1199:O1223)</f>
        <v>432</v>
      </c>
      <c r="P1224" s="19">
        <f t="shared" ref="P1224:X1224" si="1594">SUM(P1199:P1223)</f>
        <v>477</v>
      </c>
      <c r="Q1224" s="44">
        <f t="shared" si="1594"/>
        <v>909</v>
      </c>
      <c r="R1224" s="32">
        <f t="shared" si="1594"/>
        <v>487</v>
      </c>
      <c r="S1224" s="19">
        <f t="shared" si="1594"/>
        <v>397</v>
      </c>
      <c r="T1224" s="44">
        <f t="shared" si="1594"/>
        <v>884</v>
      </c>
      <c r="U1224" s="32">
        <f t="shared" si="1594"/>
        <v>309</v>
      </c>
      <c r="V1224" s="19">
        <f t="shared" si="1594"/>
        <v>357</v>
      </c>
      <c r="W1224" s="44">
        <f t="shared" si="1594"/>
        <v>666</v>
      </c>
      <c r="X1224" s="4">
        <f t="shared" si="1594"/>
        <v>2459</v>
      </c>
    </row>
    <row r="1225" spans="2:25" ht="14.25" thickBot="1" x14ac:dyDescent="0.2">
      <c r="B1225" s="3" t="s">
        <v>0</v>
      </c>
      <c r="C1225" s="34">
        <f>+C1198-C1224</f>
        <v>38</v>
      </c>
      <c r="D1225" s="2">
        <f>+D1198-D1224</f>
        <v>7</v>
      </c>
      <c r="E1225" s="45">
        <f t="shared" si="1569"/>
        <v>45</v>
      </c>
      <c r="F1225" s="34">
        <f>+F1198-F1224</f>
        <v>5</v>
      </c>
      <c r="G1225" s="2">
        <f>+G1198-G1224</f>
        <v>8</v>
      </c>
      <c r="H1225" s="45">
        <f t="shared" si="1570"/>
        <v>13</v>
      </c>
      <c r="I1225" s="34">
        <f>+I1198-I1224</f>
        <v>6</v>
      </c>
      <c r="J1225" s="2">
        <f>+J1198-J1224</f>
        <v>3</v>
      </c>
      <c r="K1225" s="45">
        <f t="shared" si="1571"/>
        <v>9</v>
      </c>
      <c r="L1225" s="2">
        <f t="shared" si="1572"/>
        <v>67</v>
      </c>
      <c r="N1225" s="59" t="s">
        <v>0</v>
      </c>
      <c r="O1225" s="60">
        <f>+O1198-O1224</f>
        <v>32</v>
      </c>
      <c r="P1225" s="61">
        <f t="shared" ref="P1225:X1225" si="1595">+P1198-P1224</f>
        <v>37</v>
      </c>
      <c r="Q1225" s="161">
        <f t="shared" si="1595"/>
        <v>69</v>
      </c>
      <c r="R1225" s="60">
        <f t="shared" si="1595"/>
        <v>85</v>
      </c>
      <c r="S1225" s="61">
        <f t="shared" si="1595"/>
        <v>150</v>
      </c>
      <c r="T1225" s="161">
        <f t="shared" si="1595"/>
        <v>235</v>
      </c>
      <c r="U1225" s="60">
        <f t="shared" si="1595"/>
        <v>69</v>
      </c>
      <c r="V1225" s="61">
        <f t="shared" si="1595"/>
        <v>87</v>
      </c>
      <c r="W1225" s="161">
        <f t="shared" si="1595"/>
        <v>156</v>
      </c>
      <c r="X1225" s="61">
        <f t="shared" si="1595"/>
        <v>460</v>
      </c>
      <c r="Y1225" s="129" t="s">
        <v>632</v>
      </c>
    </row>
    <row r="1226" spans="2:25" x14ac:dyDescent="0.15">
      <c r="N1226" s="199" t="s">
        <v>568</v>
      </c>
      <c r="O1226" s="36">
        <v>78</v>
      </c>
      <c r="P1226" s="6">
        <v>100</v>
      </c>
      <c r="Q1226">
        <f>SUM(O1226:P1226)</f>
        <v>178</v>
      </c>
      <c r="R1226">
        <v>103</v>
      </c>
      <c r="S1226">
        <v>118</v>
      </c>
      <c r="T1226">
        <f>SUM(R1226:S1226)</f>
        <v>221</v>
      </c>
      <c r="U1226" s="36">
        <v>57</v>
      </c>
      <c r="V1226" s="6">
        <v>80</v>
      </c>
      <c r="W1226">
        <f>SUM(U1226:V1226)</f>
        <v>137</v>
      </c>
    </row>
    <row r="1229" spans="2:25" ht="18.75" x14ac:dyDescent="0.2">
      <c r="B1229" s="23" t="s">
        <v>11</v>
      </c>
      <c r="C1229" s="21"/>
      <c r="D1229" s="21"/>
      <c r="E1229" s="21"/>
      <c r="F1229" s="21"/>
      <c r="G1229" s="21"/>
      <c r="H1229" s="21"/>
      <c r="I1229" s="21"/>
      <c r="J1229" s="21"/>
      <c r="K1229" s="21"/>
      <c r="L1229" s="21"/>
      <c r="N1229" s="47" t="s">
        <v>25</v>
      </c>
      <c r="O1229" s="48"/>
      <c r="P1229" s="48"/>
      <c r="Q1229" s="48"/>
      <c r="R1229" s="48"/>
      <c r="S1229" s="48"/>
      <c r="T1229" s="48"/>
      <c r="U1229" s="48"/>
      <c r="V1229" s="48"/>
      <c r="W1229" s="48"/>
      <c r="X1229" s="48"/>
    </row>
    <row r="1230" spans="2:25" ht="15" thickBot="1" x14ac:dyDescent="0.2">
      <c r="B1230" s="22" t="s">
        <v>147</v>
      </c>
      <c r="C1230" s="21"/>
      <c r="D1230" s="21"/>
      <c r="E1230" s="21"/>
      <c r="F1230" s="21"/>
      <c r="G1230" s="21"/>
      <c r="H1230" s="21"/>
      <c r="I1230" s="21"/>
      <c r="J1230" s="21"/>
      <c r="K1230" s="21"/>
      <c r="L1230" s="21"/>
      <c r="N1230" s="49" t="s">
        <v>148</v>
      </c>
      <c r="O1230" s="48"/>
      <c r="P1230" s="48"/>
      <c r="Q1230" s="48"/>
      <c r="R1230" s="48"/>
      <c r="S1230" s="48"/>
      <c r="T1230" s="48"/>
      <c r="U1230" s="48"/>
      <c r="V1230" s="48"/>
      <c r="W1230" s="48"/>
      <c r="X1230" s="48"/>
    </row>
    <row r="1231" spans="2:25" ht="14.25" thickBot="1" x14ac:dyDescent="0.2">
      <c r="B1231" s="20"/>
      <c r="C1231" s="208" t="s">
        <v>9</v>
      </c>
      <c r="D1231" s="209"/>
      <c r="E1231" s="210"/>
      <c r="F1231" s="208" t="s">
        <v>8</v>
      </c>
      <c r="G1231" s="209"/>
      <c r="H1231" s="210"/>
      <c r="I1231" s="208" t="s">
        <v>7</v>
      </c>
      <c r="J1231" s="209"/>
      <c r="K1231" s="210"/>
      <c r="L1231" s="19"/>
      <c r="N1231" s="20"/>
      <c r="O1231" s="208" t="s">
        <v>9</v>
      </c>
      <c r="P1231" s="209"/>
      <c r="Q1231" s="123">
        <v>880</v>
      </c>
      <c r="R1231" s="208" t="s">
        <v>8</v>
      </c>
      <c r="S1231" s="209"/>
      <c r="T1231" s="123">
        <v>980</v>
      </c>
      <c r="U1231" s="208" t="s">
        <v>7</v>
      </c>
      <c r="V1231" s="209"/>
      <c r="W1231" s="123">
        <v>1080</v>
      </c>
      <c r="X1231" s="19"/>
    </row>
    <row r="1232" spans="2:25" ht="14.25" thickBot="1" x14ac:dyDescent="0.2">
      <c r="B1232" s="18"/>
      <c r="C1232" s="28" t="s">
        <v>6</v>
      </c>
      <c r="D1232" s="17" t="s">
        <v>5</v>
      </c>
      <c r="E1232" s="38" t="s">
        <v>4</v>
      </c>
      <c r="F1232" s="28" t="s">
        <v>6</v>
      </c>
      <c r="G1232" s="17" t="s">
        <v>5</v>
      </c>
      <c r="H1232" s="38" t="s">
        <v>4</v>
      </c>
      <c r="I1232" s="28" t="s">
        <v>6</v>
      </c>
      <c r="J1232" s="17" t="s">
        <v>5</v>
      </c>
      <c r="K1232" s="38" t="s">
        <v>4</v>
      </c>
      <c r="L1232" s="17" t="s">
        <v>4</v>
      </c>
      <c r="N1232" s="18"/>
      <c r="O1232" s="28" t="s">
        <v>6</v>
      </c>
      <c r="P1232" s="17" t="s">
        <v>5</v>
      </c>
      <c r="Q1232" s="38" t="s">
        <v>4</v>
      </c>
      <c r="R1232" s="28" t="s">
        <v>6</v>
      </c>
      <c r="S1232" s="17" t="s">
        <v>5</v>
      </c>
      <c r="T1232" s="38" t="s">
        <v>4</v>
      </c>
      <c r="U1232" s="28" t="s">
        <v>6</v>
      </c>
      <c r="V1232" s="17" t="s">
        <v>5</v>
      </c>
      <c r="W1232" s="38" t="s">
        <v>4</v>
      </c>
      <c r="X1232" s="17" t="s">
        <v>4</v>
      </c>
    </row>
    <row r="1233" spans="2:25" x14ac:dyDescent="0.15">
      <c r="B1233" s="66" t="s">
        <v>0</v>
      </c>
      <c r="C1233" s="67">
        <f>C1225</f>
        <v>38</v>
      </c>
      <c r="D1233" s="68">
        <f t="shared" ref="D1233:K1233" si="1596">D1225</f>
        <v>7</v>
      </c>
      <c r="E1233" s="69">
        <f t="shared" si="1596"/>
        <v>45</v>
      </c>
      <c r="F1233" s="67">
        <f t="shared" si="1596"/>
        <v>5</v>
      </c>
      <c r="G1233" s="68">
        <f t="shared" si="1596"/>
        <v>8</v>
      </c>
      <c r="H1233" s="69">
        <f t="shared" si="1596"/>
        <v>13</v>
      </c>
      <c r="I1233" s="67">
        <f t="shared" si="1596"/>
        <v>6</v>
      </c>
      <c r="J1233" s="68">
        <f t="shared" si="1596"/>
        <v>3</v>
      </c>
      <c r="K1233" s="69">
        <f t="shared" si="1596"/>
        <v>9</v>
      </c>
      <c r="L1233" s="70">
        <f>SUM(K1233,H1233,E1233)</f>
        <v>67</v>
      </c>
      <c r="N1233" s="66" t="s">
        <v>0</v>
      </c>
      <c r="O1233" s="72">
        <f>O1225</f>
        <v>32</v>
      </c>
      <c r="P1233" s="80">
        <f t="shared" ref="P1233:X1233" si="1597">P1225</f>
        <v>37</v>
      </c>
      <c r="Q1233" s="69">
        <f t="shared" si="1597"/>
        <v>69</v>
      </c>
      <c r="R1233" s="72">
        <f t="shared" si="1597"/>
        <v>85</v>
      </c>
      <c r="S1233" s="80">
        <f t="shared" si="1597"/>
        <v>150</v>
      </c>
      <c r="T1233" s="69">
        <f t="shared" si="1597"/>
        <v>235</v>
      </c>
      <c r="U1233" s="72">
        <f t="shared" si="1597"/>
        <v>69</v>
      </c>
      <c r="V1233" s="80">
        <f t="shared" si="1597"/>
        <v>87</v>
      </c>
      <c r="W1233" s="69">
        <f t="shared" si="1597"/>
        <v>156</v>
      </c>
      <c r="X1233" s="70">
        <f t="shared" si="1597"/>
        <v>460</v>
      </c>
    </row>
    <row r="1234" spans="2:25" x14ac:dyDescent="0.15">
      <c r="B1234" s="146" t="s">
        <v>3</v>
      </c>
      <c r="C1234" s="30"/>
      <c r="D1234" s="25"/>
      <c r="E1234" s="40">
        <f t="shared" ref="E1234:E1266" si="1598">SUM(C1234:D1234)</f>
        <v>0</v>
      </c>
      <c r="F1234" s="35"/>
      <c r="G1234" s="8"/>
      <c r="H1234" s="40">
        <f t="shared" ref="H1234:H1266" si="1599">SUM(F1234:G1234)</f>
        <v>0</v>
      </c>
      <c r="I1234" s="35"/>
      <c r="J1234" s="8"/>
      <c r="K1234" s="40">
        <f t="shared" ref="K1234:K1266" si="1600">SUM(I1234:J1234)</f>
        <v>0</v>
      </c>
      <c r="L1234" s="9">
        <f t="shared" ref="L1234:L1266" si="1601">SUM(K1234,H1234,E1234)</f>
        <v>0</v>
      </c>
      <c r="N1234" s="55" t="s">
        <v>3</v>
      </c>
      <c r="O1234" s="62">
        <v>-100</v>
      </c>
      <c r="P1234" s="81">
        <v>-50</v>
      </c>
      <c r="Q1234" s="40">
        <f t="shared" ref="Q1234:Q1238" si="1602">SUM(O1234:P1234)</f>
        <v>-150</v>
      </c>
      <c r="R1234" s="78">
        <v>-200</v>
      </c>
      <c r="S1234" s="82">
        <v>-50</v>
      </c>
      <c r="T1234" s="40">
        <f t="shared" ref="T1234:T1238" si="1603">SUM(R1234:S1234)</f>
        <v>-250</v>
      </c>
      <c r="U1234" s="78">
        <v>-100</v>
      </c>
      <c r="V1234" s="82">
        <v>-100</v>
      </c>
      <c r="W1234" s="40">
        <f t="shared" ref="W1234:W1238" si="1604">SUM(U1234:V1234)</f>
        <v>-200</v>
      </c>
      <c r="X1234" s="25">
        <f t="shared" ref="X1234:X1238" si="1605">SUM(W1234,T1234,Q1234)</f>
        <v>-600</v>
      </c>
    </row>
    <row r="1235" spans="2:25" x14ac:dyDescent="0.15">
      <c r="B1235" s="146" t="s">
        <v>3</v>
      </c>
      <c r="C1235" s="30"/>
      <c r="D1235" s="25"/>
      <c r="E1235" s="40">
        <f t="shared" si="1598"/>
        <v>0</v>
      </c>
      <c r="F1235" s="35"/>
      <c r="G1235" s="8"/>
      <c r="H1235" s="40">
        <f t="shared" si="1599"/>
        <v>0</v>
      </c>
      <c r="I1235" s="35"/>
      <c r="J1235" s="8"/>
      <c r="K1235" s="40">
        <f t="shared" si="1600"/>
        <v>0</v>
      </c>
      <c r="L1235" s="9">
        <f t="shared" si="1601"/>
        <v>0</v>
      </c>
      <c r="N1235" s="130" t="s">
        <v>607</v>
      </c>
      <c r="O1235" s="131">
        <v>330</v>
      </c>
      <c r="P1235" s="132">
        <v>370</v>
      </c>
      <c r="Q1235" s="133">
        <f t="shared" si="1602"/>
        <v>700</v>
      </c>
      <c r="R1235" s="134">
        <v>180</v>
      </c>
      <c r="S1235" s="135">
        <v>150</v>
      </c>
      <c r="T1235" s="133">
        <f t="shared" si="1603"/>
        <v>330</v>
      </c>
      <c r="U1235" s="134">
        <v>220</v>
      </c>
      <c r="V1235" s="135">
        <v>250</v>
      </c>
      <c r="W1235" s="133">
        <f t="shared" si="1604"/>
        <v>470</v>
      </c>
      <c r="X1235" s="126">
        <f t="shared" si="1605"/>
        <v>1500</v>
      </c>
      <c r="Y1235" s="154">
        <v>46206</v>
      </c>
    </row>
    <row r="1236" spans="2:25" x14ac:dyDescent="0.15">
      <c r="B1236" s="146" t="s">
        <v>3</v>
      </c>
      <c r="C1236" s="30"/>
      <c r="D1236" s="25"/>
      <c r="E1236" s="40">
        <f t="shared" si="1598"/>
        <v>0</v>
      </c>
      <c r="F1236" s="35"/>
      <c r="G1236" s="8"/>
      <c r="H1236" s="40">
        <f t="shared" si="1599"/>
        <v>0</v>
      </c>
      <c r="I1236" s="35"/>
      <c r="J1236" s="8"/>
      <c r="K1236" s="40">
        <f t="shared" si="1600"/>
        <v>0</v>
      </c>
      <c r="L1236" s="9">
        <f t="shared" si="1601"/>
        <v>0</v>
      </c>
      <c r="N1236" s="130" t="s">
        <v>388</v>
      </c>
      <c r="O1236" s="131">
        <v>200</v>
      </c>
      <c r="P1236" s="132">
        <v>220</v>
      </c>
      <c r="Q1236" s="133">
        <f t="shared" ref="Q1236" si="1606">SUM(O1236:P1236)</f>
        <v>420</v>
      </c>
      <c r="R1236" s="134">
        <v>150</v>
      </c>
      <c r="S1236" s="135">
        <v>170</v>
      </c>
      <c r="T1236" s="133">
        <f t="shared" ref="T1236" si="1607">SUM(R1236:S1236)</f>
        <v>320</v>
      </c>
      <c r="U1236" s="134">
        <v>180</v>
      </c>
      <c r="V1236" s="135">
        <v>180</v>
      </c>
      <c r="W1236" s="133">
        <f t="shared" ref="W1236" si="1608">SUM(U1236:V1236)</f>
        <v>360</v>
      </c>
      <c r="X1236" s="126">
        <f t="shared" ref="X1236" si="1609">SUM(W1236,T1236,Q1236)</f>
        <v>1100</v>
      </c>
      <c r="Y1236" s="154">
        <v>46206</v>
      </c>
    </row>
    <row r="1237" spans="2:25" x14ac:dyDescent="0.15">
      <c r="B1237" s="146" t="s">
        <v>3</v>
      </c>
      <c r="C1237" s="30"/>
      <c r="D1237" s="25"/>
      <c r="E1237" s="40">
        <f t="shared" si="1598"/>
        <v>0</v>
      </c>
      <c r="F1237" s="35"/>
      <c r="G1237" s="8"/>
      <c r="H1237" s="40">
        <f t="shared" si="1599"/>
        <v>0</v>
      </c>
      <c r="I1237" s="35"/>
      <c r="J1237" s="8"/>
      <c r="K1237" s="40">
        <f t="shared" si="1600"/>
        <v>0</v>
      </c>
      <c r="L1237" s="9">
        <f t="shared" si="1601"/>
        <v>0</v>
      </c>
      <c r="N1237" s="55" t="s">
        <v>3</v>
      </c>
      <c r="O1237" s="62"/>
      <c r="P1237" s="81"/>
      <c r="Q1237" s="40">
        <f t="shared" si="1602"/>
        <v>0</v>
      </c>
      <c r="R1237" s="78"/>
      <c r="S1237" s="82"/>
      <c r="T1237" s="40">
        <f t="shared" si="1603"/>
        <v>0</v>
      </c>
      <c r="U1237" s="78"/>
      <c r="V1237" s="82"/>
      <c r="W1237" s="40">
        <f t="shared" si="1604"/>
        <v>0</v>
      </c>
      <c r="X1237" s="25">
        <f t="shared" si="1605"/>
        <v>0</v>
      </c>
      <c r="Y1237" s="71" t="s">
        <v>634</v>
      </c>
    </row>
    <row r="1238" spans="2:25" ht="14.25" thickBot="1" x14ac:dyDescent="0.2">
      <c r="B1238" s="146" t="s">
        <v>3</v>
      </c>
      <c r="C1238" s="76"/>
      <c r="D1238" s="83"/>
      <c r="E1238" s="41">
        <f t="shared" si="1598"/>
        <v>0</v>
      </c>
      <c r="F1238" s="76"/>
      <c r="G1238" s="83"/>
      <c r="H1238" s="41">
        <f t="shared" si="1599"/>
        <v>0</v>
      </c>
      <c r="I1238" s="76"/>
      <c r="J1238" s="83"/>
      <c r="K1238" s="41">
        <f t="shared" si="1600"/>
        <v>0</v>
      </c>
      <c r="L1238" s="77">
        <f t="shared" si="1601"/>
        <v>0</v>
      </c>
      <c r="N1238" s="75" t="s">
        <v>3</v>
      </c>
      <c r="O1238" s="57"/>
      <c r="P1238" s="83"/>
      <c r="Q1238" s="41">
        <f t="shared" si="1602"/>
        <v>0</v>
      </c>
      <c r="R1238" s="76"/>
      <c r="S1238" s="83"/>
      <c r="T1238" s="41">
        <f t="shared" si="1603"/>
        <v>0</v>
      </c>
      <c r="U1238" s="76"/>
      <c r="V1238" s="83"/>
      <c r="W1238" s="41">
        <f t="shared" si="1604"/>
        <v>0</v>
      </c>
      <c r="X1238" s="77">
        <f t="shared" si="1605"/>
        <v>0</v>
      </c>
    </row>
    <row r="1239" spans="2:25" ht="14.25" thickBot="1" x14ac:dyDescent="0.2">
      <c r="B1239" s="5" t="s">
        <v>2</v>
      </c>
      <c r="C1239" s="32">
        <f>SUM(C1233:C1238)</f>
        <v>38</v>
      </c>
      <c r="D1239" s="19">
        <f>SUM(D1233:D1238)</f>
        <v>7</v>
      </c>
      <c r="E1239" s="42">
        <f t="shared" si="1598"/>
        <v>45</v>
      </c>
      <c r="F1239" s="32">
        <f>SUM(F1233:F1238)</f>
        <v>5</v>
      </c>
      <c r="G1239" s="19">
        <f>SUM(G1233:G1238)</f>
        <v>8</v>
      </c>
      <c r="H1239" s="42">
        <f t="shared" si="1599"/>
        <v>13</v>
      </c>
      <c r="I1239" s="32">
        <f>SUM(I1233:I1238)</f>
        <v>6</v>
      </c>
      <c r="J1239" s="19">
        <f>SUM(J1233:J1238)</f>
        <v>3</v>
      </c>
      <c r="K1239" s="42">
        <f t="shared" si="1600"/>
        <v>9</v>
      </c>
      <c r="L1239" s="13">
        <f t="shared" si="1601"/>
        <v>67</v>
      </c>
      <c r="N1239" s="63" t="s">
        <v>2</v>
      </c>
      <c r="O1239" s="73">
        <f>SUM(O1233:O1238)</f>
        <v>462</v>
      </c>
      <c r="P1239" s="74">
        <f t="shared" ref="P1239:X1239" si="1610">SUM(P1233:P1238)</f>
        <v>577</v>
      </c>
      <c r="Q1239" s="42">
        <f t="shared" si="1610"/>
        <v>1039</v>
      </c>
      <c r="R1239" s="73">
        <f t="shared" si="1610"/>
        <v>215</v>
      </c>
      <c r="S1239" s="74">
        <f t="shared" si="1610"/>
        <v>420</v>
      </c>
      <c r="T1239" s="42">
        <f t="shared" si="1610"/>
        <v>635</v>
      </c>
      <c r="U1239" s="73">
        <f t="shared" si="1610"/>
        <v>369</v>
      </c>
      <c r="V1239" s="74">
        <f t="shared" si="1610"/>
        <v>417</v>
      </c>
      <c r="W1239" s="42">
        <f t="shared" si="1610"/>
        <v>786</v>
      </c>
      <c r="X1239" s="13">
        <f t="shared" si="1610"/>
        <v>2460</v>
      </c>
    </row>
    <row r="1240" spans="2:25" x14ac:dyDescent="0.15">
      <c r="B1240" s="7"/>
      <c r="C1240" s="30"/>
      <c r="D1240" s="25"/>
      <c r="E1240" s="43">
        <f t="shared" si="1598"/>
        <v>0</v>
      </c>
      <c r="F1240" s="35"/>
      <c r="G1240" s="8"/>
      <c r="H1240" s="43">
        <f t="shared" si="1599"/>
        <v>0</v>
      </c>
      <c r="I1240" s="35"/>
      <c r="J1240" s="8"/>
      <c r="K1240" s="43">
        <f t="shared" si="1600"/>
        <v>0</v>
      </c>
      <c r="L1240" s="8">
        <f t="shared" si="1601"/>
        <v>0</v>
      </c>
      <c r="N1240" s="7"/>
      <c r="O1240" s="33"/>
      <c r="P1240" s="27"/>
      <c r="Q1240" s="43">
        <f t="shared" ref="Q1240:Q1257" si="1611">SUM(O1240:P1240)</f>
        <v>0</v>
      </c>
      <c r="R1240" s="37"/>
      <c r="S1240" s="10"/>
      <c r="T1240" s="43">
        <f t="shared" ref="T1240:T1257" si="1612">SUM(R1240:S1240)</f>
        <v>0</v>
      </c>
      <c r="U1240" s="37"/>
      <c r="V1240" s="10"/>
      <c r="W1240" s="43">
        <f t="shared" ref="W1240:W1257" si="1613">SUM(U1240:V1240)</f>
        <v>0</v>
      </c>
      <c r="X1240" s="8">
        <f t="shared" ref="X1240:X1257" si="1614">SUM(W1240,T1240,Q1240)</f>
        <v>0</v>
      </c>
    </row>
    <row r="1241" spans="2:25" x14ac:dyDescent="0.15">
      <c r="B1241" s="7"/>
      <c r="C1241" s="30"/>
      <c r="D1241" s="25"/>
      <c r="E1241" s="43">
        <f t="shared" si="1598"/>
        <v>0</v>
      </c>
      <c r="F1241" s="35"/>
      <c r="G1241" s="8"/>
      <c r="H1241" s="43">
        <f t="shared" si="1599"/>
        <v>0</v>
      </c>
      <c r="I1241" s="35"/>
      <c r="J1241" s="8"/>
      <c r="K1241" s="43">
        <f t="shared" si="1600"/>
        <v>0</v>
      </c>
      <c r="L1241" s="8">
        <f t="shared" si="1601"/>
        <v>0</v>
      </c>
      <c r="N1241" s="7"/>
      <c r="O1241" s="33"/>
      <c r="P1241" s="27"/>
      <c r="Q1241" s="43">
        <f t="shared" si="1611"/>
        <v>0</v>
      </c>
      <c r="R1241" s="37"/>
      <c r="S1241" s="10"/>
      <c r="T1241" s="43">
        <f t="shared" si="1612"/>
        <v>0</v>
      </c>
      <c r="U1241" s="37"/>
      <c r="V1241" s="10"/>
      <c r="W1241" s="43">
        <f t="shared" si="1613"/>
        <v>0</v>
      </c>
      <c r="X1241" s="8">
        <f t="shared" si="1614"/>
        <v>0</v>
      </c>
    </row>
    <row r="1242" spans="2:25" x14ac:dyDescent="0.15">
      <c r="B1242" s="7"/>
      <c r="C1242" s="30"/>
      <c r="D1242" s="25"/>
      <c r="E1242" s="43">
        <f t="shared" si="1598"/>
        <v>0</v>
      </c>
      <c r="F1242" s="35"/>
      <c r="G1242" s="8"/>
      <c r="H1242" s="43">
        <f t="shared" si="1599"/>
        <v>0</v>
      </c>
      <c r="I1242" s="35"/>
      <c r="J1242" s="8"/>
      <c r="K1242" s="43">
        <f t="shared" si="1600"/>
        <v>0</v>
      </c>
      <c r="L1242" s="8">
        <f t="shared" si="1601"/>
        <v>0</v>
      </c>
      <c r="N1242" s="7"/>
      <c r="O1242" s="33"/>
      <c r="P1242" s="27"/>
      <c r="Q1242" s="43">
        <f t="shared" si="1611"/>
        <v>0</v>
      </c>
      <c r="R1242" s="37"/>
      <c r="S1242" s="10"/>
      <c r="T1242" s="43">
        <f t="shared" si="1612"/>
        <v>0</v>
      </c>
      <c r="U1242" s="37"/>
      <c r="V1242" s="10"/>
      <c r="W1242" s="43">
        <f t="shared" si="1613"/>
        <v>0</v>
      </c>
      <c r="X1242" s="8">
        <f t="shared" si="1614"/>
        <v>0</v>
      </c>
    </row>
    <row r="1243" spans="2:25" x14ac:dyDescent="0.15">
      <c r="B1243" s="7"/>
      <c r="C1243" s="30"/>
      <c r="D1243" s="25"/>
      <c r="E1243" s="43">
        <f t="shared" si="1598"/>
        <v>0</v>
      </c>
      <c r="F1243" s="35"/>
      <c r="G1243" s="8"/>
      <c r="H1243" s="43">
        <f t="shared" si="1599"/>
        <v>0</v>
      </c>
      <c r="I1243" s="35"/>
      <c r="J1243" s="8"/>
      <c r="K1243" s="43">
        <f t="shared" si="1600"/>
        <v>0</v>
      </c>
      <c r="L1243" s="8">
        <f t="shared" si="1601"/>
        <v>0</v>
      </c>
      <c r="N1243" s="7"/>
      <c r="O1243" s="33"/>
      <c r="P1243" s="27"/>
      <c r="Q1243" s="43">
        <f t="shared" si="1611"/>
        <v>0</v>
      </c>
      <c r="R1243" s="37"/>
      <c r="S1243" s="10"/>
      <c r="T1243" s="43">
        <f t="shared" si="1612"/>
        <v>0</v>
      </c>
      <c r="U1243" s="37"/>
      <c r="V1243" s="10"/>
      <c r="W1243" s="43">
        <f t="shared" si="1613"/>
        <v>0</v>
      </c>
      <c r="X1243" s="8">
        <f t="shared" si="1614"/>
        <v>0</v>
      </c>
    </row>
    <row r="1244" spans="2:25" x14ac:dyDescent="0.15">
      <c r="B1244" s="7"/>
      <c r="C1244" s="30"/>
      <c r="D1244" s="25"/>
      <c r="E1244" s="43">
        <f t="shared" si="1598"/>
        <v>0</v>
      </c>
      <c r="F1244" s="35"/>
      <c r="G1244" s="8"/>
      <c r="H1244" s="43">
        <f t="shared" si="1599"/>
        <v>0</v>
      </c>
      <c r="I1244" s="35"/>
      <c r="J1244" s="8"/>
      <c r="K1244" s="43">
        <f t="shared" si="1600"/>
        <v>0</v>
      </c>
      <c r="L1244" s="8">
        <f t="shared" si="1601"/>
        <v>0</v>
      </c>
      <c r="N1244" s="7"/>
      <c r="O1244" s="33"/>
      <c r="P1244" s="27"/>
      <c r="Q1244" s="43">
        <f t="shared" si="1611"/>
        <v>0</v>
      </c>
      <c r="R1244" s="37"/>
      <c r="S1244" s="10"/>
      <c r="T1244" s="43">
        <f t="shared" si="1612"/>
        <v>0</v>
      </c>
      <c r="U1244" s="37"/>
      <c r="V1244" s="10"/>
      <c r="W1244" s="43">
        <f t="shared" si="1613"/>
        <v>0</v>
      </c>
      <c r="X1244" s="8">
        <f t="shared" si="1614"/>
        <v>0</v>
      </c>
    </row>
    <row r="1245" spans="2:25" x14ac:dyDescent="0.15">
      <c r="B1245" s="7"/>
      <c r="C1245" s="30"/>
      <c r="D1245" s="25"/>
      <c r="E1245" s="43">
        <f t="shared" si="1598"/>
        <v>0</v>
      </c>
      <c r="F1245" s="35"/>
      <c r="G1245" s="8"/>
      <c r="H1245" s="43">
        <f t="shared" si="1599"/>
        <v>0</v>
      </c>
      <c r="I1245" s="35"/>
      <c r="J1245" s="8"/>
      <c r="K1245" s="43">
        <f t="shared" si="1600"/>
        <v>0</v>
      </c>
      <c r="L1245" s="8">
        <f t="shared" si="1601"/>
        <v>0</v>
      </c>
      <c r="N1245" s="7"/>
      <c r="O1245" s="33"/>
      <c r="P1245" s="27"/>
      <c r="Q1245" s="43">
        <f t="shared" si="1611"/>
        <v>0</v>
      </c>
      <c r="R1245" s="37"/>
      <c r="S1245" s="10"/>
      <c r="T1245" s="43">
        <f t="shared" si="1612"/>
        <v>0</v>
      </c>
      <c r="U1245" s="37"/>
      <c r="V1245" s="10"/>
      <c r="W1245" s="43">
        <f t="shared" si="1613"/>
        <v>0</v>
      </c>
      <c r="X1245" s="8">
        <f t="shared" si="1614"/>
        <v>0</v>
      </c>
    </row>
    <row r="1246" spans="2:25" x14ac:dyDescent="0.15">
      <c r="B1246" s="7"/>
      <c r="C1246" s="30"/>
      <c r="D1246" s="25"/>
      <c r="E1246" s="43">
        <f t="shared" si="1598"/>
        <v>0</v>
      </c>
      <c r="F1246" s="35"/>
      <c r="G1246" s="8"/>
      <c r="H1246" s="43">
        <f t="shared" si="1599"/>
        <v>0</v>
      </c>
      <c r="I1246" s="35"/>
      <c r="J1246" s="8"/>
      <c r="K1246" s="43">
        <f t="shared" si="1600"/>
        <v>0</v>
      </c>
      <c r="L1246" s="8">
        <f t="shared" si="1601"/>
        <v>0</v>
      </c>
      <c r="N1246" s="7"/>
      <c r="O1246" s="33"/>
      <c r="P1246" s="27"/>
      <c r="Q1246" s="43">
        <f t="shared" si="1611"/>
        <v>0</v>
      </c>
      <c r="R1246" s="37"/>
      <c r="S1246" s="10"/>
      <c r="T1246" s="43">
        <f t="shared" si="1612"/>
        <v>0</v>
      </c>
      <c r="U1246" s="37"/>
      <c r="V1246" s="10"/>
      <c r="W1246" s="43">
        <f t="shared" si="1613"/>
        <v>0</v>
      </c>
      <c r="X1246" s="8">
        <f t="shared" si="1614"/>
        <v>0</v>
      </c>
    </row>
    <row r="1247" spans="2:25" x14ac:dyDescent="0.15">
      <c r="B1247" s="7"/>
      <c r="C1247" s="30"/>
      <c r="D1247" s="25"/>
      <c r="E1247" s="43">
        <f t="shared" si="1598"/>
        <v>0</v>
      </c>
      <c r="F1247" s="35"/>
      <c r="G1247" s="8"/>
      <c r="H1247" s="43">
        <f t="shared" si="1599"/>
        <v>0</v>
      </c>
      <c r="I1247" s="35"/>
      <c r="J1247" s="8"/>
      <c r="K1247" s="43">
        <f t="shared" si="1600"/>
        <v>0</v>
      </c>
      <c r="L1247" s="8">
        <f t="shared" si="1601"/>
        <v>0</v>
      </c>
      <c r="N1247" s="7"/>
      <c r="O1247" s="33"/>
      <c r="P1247" s="27"/>
      <c r="Q1247" s="43">
        <f t="shared" si="1611"/>
        <v>0</v>
      </c>
      <c r="R1247" s="37"/>
      <c r="S1247" s="10"/>
      <c r="T1247" s="43">
        <f t="shared" si="1612"/>
        <v>0</v>
      </c>
      <c r="U1247" s="37"/>
      <c r="V1247" s="10"/>
      <c r="W1247" s="43">
        <f t="shared" si="1613"/>
        <v>0</v>
      </c>
      <c r="X1247" s="8">
        <f t="shared" si="1614"/>
        <v>0</v>
      </c>
    </row>
    <row r="1248" spans="2:25" x14ac:dyDescent="0.15">
      <c r="B1248" s="7"/>
      <c r="C1248" s="30"/>
      <c r="D1248" s="25"/>
      <c r="E1248" s="43">
        <f t="shared" si="1598"/>
        <v>0</v>
      </c>
      <c r="F1248" s="35"/>
      <c r="G1248" s="8"/>
      <c r="H1248" s="43">
        <f t="shared" si="1599"/>
        <v>0</v>
      </c>
      <c r="I1248" s="35"/>
      <c r="J1248" s="8"/>
      <c r="K1248" s="43">
        <f t="shared" si="1600"/>
        <v>0</v>
      </c>
      <c r="L1248" s="8">
        <f t="shared" si="1601"/>
        <v>0</v>
      </c>
      <c r="N1248" s="7"/>
      <c r="O1248" s="33"/>
      <c r="P1248" s="27"/>
      <c r="Q1248" s="43">
        <f t="shared" si="1611"/>
        <v>0</v>
      </c>
      <c r="R1248" s="37"/>
      <c r="S1248" s="10"/>
      <c r="T1248" s="43">
        <f t="shared" si="1612"/>
        <v>0</v>
      </c>
      <c r="U1248" s="37"/>
      <c r="V1248" s="10"/>
      <c r="W1248" s="43">
        <f t="shared" si="1613"/>
        <v>0</v>
      </c>
      <c r="X1248" s="8">
        <f t="shared" si="1614"/>
        <v>0</v>
      </c>
    </row>
    <row r="1249" spans="2:25" x14ac:dyDescent="0.15">
      <c r="B1249" s="7"/>
      <c r="C1249" s="30"/>
      <c r="D1249" s="25"/>
      <c r="E1249" s="43">
        <f t="shared" si="1598"/>
        <v>0</v>
      </c>
      <c r="F1249" s="35"/>
      <c r="G1249" s="8"/>
      <c r="H1249" s="43">
        <f t="shared" si="1599"/>
        <v>0</v>
      </c>
      <c r="I1249" s="35"/>
      <c r="J1249" s="8"/>
      <c r="K1249" s="43">
        <f t="shared" si="1600"/>
        <v>0</v>
      </c>
      <c r="L1249" s="8">
        <f t="shared" si="1601"/>
        <v>0</v>
      </c>
      <c r="N1249" s="7"/>
      <c r="O1249" s="33"/>
      <c r="P1249" s="27"/>
      <c r="Q1249" s="43">
        <f t="shared" si="1611"/>
        <v>0</v>
      </c>
      <c r="R1249" s="37"/>
      <c r="S1249" s="10"/>
      <c r="T1249" s="43">
        <f t="shared" si="1612"/>
        <v>0</v>
      </c>
      <c r="U1249" s="37"/>
      <c r="V1249" s="10"/>
      <c r="W1249" s="43">
        <f t="shared" si="1613"/>
        <v>0</v>
      </c>
      <c r="X1249" s="8">
        <f t="shared" si="1614"/>
        <v>0</v>
      </c>
    </row>
    <row r="1250" spans="2:25" x14ac:dyDescent="0.15">
      <c r="B1250" s="7"/>
      <c r="C1250" s="30"/>
      <c r="D1250" s="25"/>
      <c r="E1250" s="43">
        <f t="shared" si="1598"/>
        <v>0</v>
      </c>
      <c r="F1250" s="35"/>
      <c r="G1250" s="8"/>
      <c r="H1250" s="43">
        <f t="shared" si="1599"/>
        <v>0</v>
      </c>
      <c r="I1250" s="35"/>
      <c r="J1250" s="8"/>
      <c r="K1250" s="43">
        <f t="shared" si="1600"/>
        <v>0</v>
      </c>
      <c r="L1250" s="8">
        <f t="shared" si="1601"/>
        <v>0</v>
      </c>
      <c r="N1250" s="7"/>
      <c r="O1250" s="33"/>
      <c r="P1250" s="27"/>
      <c r="Q1250" s="43">
        <f t="shared" si="1611"/>
        <v>0</v>
      </c>
      <c r="R1250" s="37"/>
      <c r="S1250" s="10"/>
      <c r="T1250" s="43">
        <f t="shared" si="1612"/>
        <v>0</v>
      </c>
      <c r="U1250" s="37"/>
      <c r="V1250" s="10"/>
      <c r="W1250" s="43">
        <f t="shared" si="1613"/>
        <v>0</v>
      </c>
      <c r="X1250" s="8">
        <f t="shared" si="1614"/>
        <v>0</v>
      </c>
    </row>
    <row r="1251" spans="2:25" x14ac:dyDescent="0.15">
      <c r="B1251" s="7"/>
      <c r="C1251" s="30"/>
      <c r="D1251" s="25"/>
      <c r="E1251" s="43">
        <f t="shared" si="1598"/>
        <v>0</v>
      </c>
      <c r="F1251" s="35"/>
      <c r="G1251" s="8"/>
      <c r="H1251" s="43">
        <f t="shared" si="1599"/>
        <v>0</v>
      </c>
      <c r="I1251" s="35"/>
      <c r="J1251" s="8"/>
      <c r="K1251" s="43">
        <f t="shared" si="1600"/>
        <v>0</v>
      </c>
      <c r="L1251" s="8">
        <f t="shared" si="1601"/>
        <v>0</v>
      </c>
      <c r="N1251" s="7"/>
      <c r="O1251" s="33"/>
      <c r="P1251" s="27"/>
      <c r="Q1251" s="43">
        <f t="shared" si="1611"/>
        <v>0</v>
      </c>
      <c r="R1251" s="37"/>
      <c r="S1251" s="10"/>
      <c r="T1251" s="43">
        <f t="shared" si="1612"/>
        <v>0</v>
      </c>
      <c r="U1251" s="37"/>
      <c r="V1251" s="10"/>
      <c r="W1251" s="43">
        <f t="shared" si="1613"/>
        <v>0</v>
      </c>
      <c r="X1251" s="8">
        <f t="shared" si="1614"/>
        <v>0</v>
      </c>
    </row>
    <row r="1252" spans="2:25" x14ac:dyDescent="0.15">
      <c r="B1252" s="7"/>
      <c r="C1252" s="30"/>
      <c r="D1252" s="25"/>
      <c r="E1252" s="43">
        <f t="shared" si="1598"/>
        <v>0</v>
      </c>
      <c r="F1252" s="35"/>
      <c r="G1252" s="8"/>
      <c r="H1252" s="43">
        <f t="shared" si="1599"/>
        <v>0</v>
      </c>
      <c r="I1252" s="35"/>
      <c r="J1252" s="8"/>
      <c r="K1252" s="43">
        <f t="shared" si="1600"/>
        <v>0</v>
      </c>
      <c r="L1252" s="8">
        <f t="shared" si="1601"/>
        <v>0</v>
      </c>
      <c r="N1252" s="7"/>
      <c r="O1252" s="30"/>
      <c r="P1252" s="25"/>
      <c r="Q1252" s="43">
        <f t="shared" si="1611"/>
        <v>0</v>
      </c>
      <c r="R1252" s="35"/>
      <c r="S1252" s="8"/>
      <c r="T1252" s="43">
        <f t="shared" si="1612"/>
        <v>0</v>
      </c>
      <c r="U1252" s="35"/>
      <c r="V1252" s="8"/>
      <c r="W1252" s="43">
        <f t="shared" si="1613"/>
        <v>0</v>
      </c>
      <c r="X1252" s="8">
        <f t="shared" si="1614"/>
        <v>0</v>
      </c>
    </row>
    <row r="1253" spans="2:25" x14ac:dyDescent="0.15">
      <c r="B1253" s="7"/>
      <c r="C1253" s="30"/>
      <c r="D1253" s="25"/>
      <c r="E1253" s="43">
        <f t="shared" si="1598"/>
        <v>0</v>
      </c>
      <c r="F1253" s="35"/>
      <c r="G1253" s="8"/>
      <c r="H1253" s="43">
        <f t="shared" si="1599"/>
        <v>0</v>
      </c>
      <c r="I1253" s="35"/>
      <c r="J1253" s="8"/>
      <c r="K1253" s="43">
        <f t="shared" si="1600"/>
        <v>0</v>
      </c>
      <c r="L1253" s="8">
        <f t="shared" si="1601"/>
        <v>0</v>
      </c>
      <c r="N1253" s="7"/>
      <c r="O1253" s="33"/>
      <c r="P1253" s="27"/>
      <c r="Q1253" s="43">
        <f t="shared" si="1611"/>
        <v>0</v>
      </c>
      <c r="R1253" s="37"/>
      <c r="S1253" s="10"/>
      <c r="T1253" s="43">
        <f t="shared" si="1612"/>
        <v>0</v>
      </c>
      <c r="U1253" s="37"/>
      <c r="V1253" s="10"/>
      <c r="W1253" s="43">
        <f t="shared" si="1613"/>
        <v>0</v>
      </c>
      <c r="X1253" s="8">
        <f t="shared" si="1614"/>
        <v>0</v>
      </c>
    </row>
    <row r="1254" spans="2:25" x14ac:dyDescent="0.15">
      <c r="B1254" s="7"/>
      <c r="C1254" s="30"/>
      <c r="D1254" s="25"/>
      <c r="E1254" s="43">
        <f t="shared" si="1598"/>
        <v>0</v>
      </c>
      <c r="F1254" s="35"/>
      <c r="G1254" s="8"/>
      <c r="H1254" s="43">
        <f t="shared" si="1599"/>
        <v>0</v>
      </c>
      <c r="I1254" s="35"/>
      <c r="J1254" s="8"/>
      <c r="K1254" s="43">
        <f t="shared" si="1600"/>
        <v>0</v>
      </c>
      <c r="L1254" s="8">
        <f t="shared" si="1601"/>
        <v>0</v>
      </c>
      <c r="N1254" s="7"/>
      <c r="O1254" s="33"/>
      <c r="P1254" s="27"/>
      <c r="Q1254" s="43">
        <f t="shared" si="1611"/>
        <v>0</v>
      </c>
      <c r="R1254" s="37"/>
      <c r="S1254" s="10"/>
      <c r="T1254" s="43">
        <f t="shared" si="1612"/>
        <v>0</v>
      </c>
      <c r="U1254" s="37"/>
      <c r="V1254" s="10"/>
      <c r="W1254" s="43">
        <f t="shared" si="1613"/>
        <v>0</v>
      </c>
      <c r="X1254" s="8">
        <f t="shared" si="1614"/>
        <v>0</v>
      </c>
    </row>
    <row r="1255" spans="2:25" x14ac:dyDescent="0.15">
      <c r="B1255" s="7"/>
      <c r="C1255" s="30"/>
      <c r="D1255" s="25"/>
      <c r="E1255" s="43">
        <f t="shared" si="1598"/>
        <v>0</v>
      </c>
      <c r="F1255" s="35"/>
      <c r="G1255" s="8"/>
      <c r="H1255" s="43">
        <f t="shared" si="1599"/>
        <v>0</v>
      </c>
      <c r="I1255" s="35"/>
      <c r="J1255" s="8"/>
      <c r="K1255" s="43">
        <f t="shared" si="1600"/>
        <v>0</v>
      </c>
      <c r="L1255" s="8">
        <f t="shared" si="1601"/>
        <v>0</v>
      </c>
      <c r="N1255" s="7"/>
      <c r="O1255" s="33"/>
      <c r="P1255" s="27"/>
      <c r="Q1255" s="43">
        <f t="shared" si="1611"/>
        <v>0</v>
      </c>
      <c r="R1255" s="37"/>
      <c r="S1255" s="10"/>
      <c r="T1255" s="43">
        <f t="shared" si="1612"/>
        <v>0</v>
      </c>
      <c r="U1255" s="37"/>
      <c r="V1255" s="10"/>
      <c r="W1255" s="43">
        <f t="shared" si="1613"/>
        <v>0</v>
      </c>
      <c r="X1255" s="8">
        <f t="shared" si="1614"/>
        <v>0</v>
      </c>
    </row>
    <row r="1256" spans="2:25" x14ac:dyDescent="0.15">
      <c r="B1256" s="7"/>
      <c r="C1256" s="30"/>
      <c r="D1256" s="25"/>
      <c r="E1256" s="43">
        <f t="shared" si="1598"/>
        <v>0</v>
      </c>
      <c r="F1256" s="35"/>
      <c r="G1256" s="8"/>
      <c r="H1256" s="43">
        <f t="shared" si="1599"/>
        <v>0</v>
      </c>
      <c r="I1256" s="35"/>
      <c r="J1256" s="8"/>
      <c r="K1256" s="43">
        <f t="shared" si="1600"/>
        <v>0</v>
      </c>
      <c r="L1256" s="8">
        <f t="shared" si="1601"/>
        <v>0</v>
      </c>
      <c r="N1256" s="7"/>
      <c r="O1256" s="33"/>
      <c r="P1256" s="27"/>
      <c r="Q1256" s="43">
        <f t="shared" si="1611"/>
        <v>0</v>
      </c>
      <c r="R1256" s="37"/>
      <c r="S1256" s="10"/>
      <c r="T1256" s="43">
        <f t="shared" si="1612"/>
        <v>0</v>
      </c>
      <c r="U1256" s="37"/>
      <c r="V1256" s="10"/>
      <c r="W1256" s="43">
        <f t="shared" si="1613"/>
        <v>0</v>
      </c>
      <c r="X1256" s="8">
        <f t="shared" si="1614"/>
        <v>0</v>
      </c>
    </row>
    <row r="1257" spans="2:25" x14ac:dyDescent="0.15">
      <c r="B1257" s="7"/>
      <c r="C1257" s="30"/>
      <c r="D1257" s="25"/>
      <c r="E1257" s="43">
        <f t="shared" si="1598"/>
        <v>0</v>
      </c>
      <c r="F1257" s="35"/>
      <c r="G1257" s="8"/>
      <c r="H1257" s="43">
        <f t="shared" si="1599"/>
        <v>0</v>
      </c>
      <c r="I1257" s="35"/>
      <c r="J1257" s="8"/>
      <c r="K1257" s="43">
        <f t="shared" si="1600"/>
        <v>0</v>
      </c>
      <c r="L1257" s="8">
        <f t="shared" si="1601"/>
        <v>0</v>
      </c>
      <c r="N1257" s="7"/>
      <c r="O1257" s="33"/>
      <c r="P1257" s="27"/>
      <c r="Q1257" s="43">
        <f t="shared" si="1611"/>
        <v>0</v>
      </c>
      <c r="R1257" s="37"/>
      <c r="S1257" s="10"/>
      <c r="T1257" s="43">
        <f t="shared" si="1612"/>
        <v>0</v>
      </c>
      <c r="U1257" s="37"/>
      <c r="V1257" s="10"/>
      <c r="W1257" s="43">
        <f t="shared" si="1613"/>
        <v>0</v>
      </c>
      <c r="X1257" s="8">
        <f t="shared" si="1614"/>
        <v>0</v>
      </c>
    </row>
    <row r="1258" spans="2:25" x14ac:dyDescent="0.15">
      <c r="B1258" s="7"/>
      <c r="C1258" s="30"/>
      <c r="D1258" s="25"/>
      <c r="E1258" s="43">
        <f t="shared" si="1598"/>
        <v>0</v>
      </c>
      <c r="F1258" s="35"/>
      <c r="G1258" s="8"/>
      <c r="H1258" s="43">
        <f t="shared" si="1599"/>
        <v>0</v>
      </c>
      <c r="I1258" s="35"/>
      <c r="J1258" s="8"/>
      <c r="K1258" s="43">
        <f t="shared" si="1600"/>
        <v>0</v>
      </c>
      <c r="L1258" s="8">
        <f t="shared" si="1601"/>
        <v>0</v>
      </c>
      <c r="N1258" s="7"/>
      <c r="O1258" s="33"/>
      <c r="P1258" s="27"/>
      <c r="Q1258" s="43">
        <f t="shared" ref="Q1258" si="1615">SUM(O1258:P1258)</f>
        <v>0</v>
      </c>
      <c r="R1258" s="37"/>
      <c r="S1258" s="10"/>
      <c r="T1258" s="43">
        <f t="shared" ref="T1258" si="1616">SUM(R1258:S1258)</f>
        <v>0</v>
      </c>
      <c r="U1258" s="37"/>
      <c r="V1258" s="10"/>
      <c r="W1258" s="43">
        <f t="shared" ref="W1258" si="1617">SUM(U1258:V1258)</f>
        <v>0</v>
      </c>
      <c r="X1258" s="8">
        <f t="shared" ref="X1258" si="1618">SUM(W1258,T1258,Q1258)</f>
        <v>0</v>
      </c>
    </row>
    <row r="1259" spans="2:25" x14ac:dyDescent="0.15">
      <c r="B1259" s="7"/>
      <c r="C1259" s="30"/>
      <c r="D1259" s="25"/>
      <c r="E1259" s="43">
        <f t="shared" si="1598"/>
        <v>0</v>
      </c>
      <c r="F1259" s="35"/>
      <c r="G1259" s="8"/>
      <c r="H1259" s="43">
        <f t="shared" si="1599"/>
        <v>0</v>
      </c>
      <c r="I1259" s="35"/>
      <c r="J1259" s="8"/>
      <c r="K1259" s="43">
        <f t="shared" si="1600"/>
        <v>0</v>
      </c>
      <c r="L1259" s="8">
        <f t="shared" si="1601"/>
        <v>0</v>
      </c>
      <c r="N1259" s="7"/>
      <c r="O1259" s="33"/>
      <c r="P1259" s="27"/>
      <c r="Q1259" s="43">
        <f t="shared" ref="Q1259" si="1619">SUM(O1259:P1259)</f>
        <v>0</v>
      </c>
      <c r="R1259" s="37"/>
      <c r="S1259" s="10"/>
      <c r="T1259" s="43">
        <f t="shared" ref="T1259" si="1620">SUM(R1259:S1259)</f>
        <v>0</v>
      </c>
      <c r="U1259" s="37"/>
      <c r="V1259" s="10"/>
      <c r="W1259" s="43">
        <f t="shared" ref="W1259" si="1621">SUM(U1259:V1259)</f>
        <v>0</v>
      </c>
      <c r="X1259" s="8">
        <f t="shared" ref="X1259" si="1622">SUM(W1259,T1259,Q1259)</f>
        <v>0</v>
      </c>
    </row>
    <row r="1260" spans="2:25" x14ac:dyDescent="0.15">
      <c r="B1260" s="7"/>
      <c r="C1260" s="30"/>
      <c r="D1260" s="25"/>
      <c r="E1260" s="43">
        <f t="shared" si="1598"/>
        <v>0</v>
      </c>
      <c r="F1260" s="35"/>
      <c r="G1260" s="8"/>
      <c r="H1260" s="43">
        <f t="shared" si="1599"/>
        <v>0</v>
      </c>
      <c r="I1260" s="35"/>
      <c r="J1260" s="8"/>
      <c r="K1260" s="43">
        <f t="shared" si="1600"/>
        <v>0</v>
      </c>
      <c r="L1260" s="8">
        <f t="shared" si="1601"/>
        <v>0</v>
      </c>
      <c r="N1260" s="125" t="s">
        <v>639</v>
      </c>
      <c r="O1260" s="168">
        <v>30</v>
      </c>
      <c r="P1260" s="126">
        <v>30</v>
      </c>
      <c r="Q1260" s="166">
        <f>SUM(O1260:P1260)</f>
        <v>60</v>
      </c>
      <c r="R1260" s="169">
        <v>30</v>
      </c>
      <c r="S1260" s="167">
        <v>30</v>
      </c>
      <c r="T1260" s="166">
        <f>SUM(R1260:S1260)</f>
        <v>60</v>
      </c>
      <c r="U1260" s="169">
        <v>30</v>
      </c>
      <c r="V1260" s="167">
        <v>30</v>
      </c>
      <c r="W1260" s="166">
        <f>SUM(U1260:V1260)</f>
        <v>60</v>
      </c>
      <c r="X1260" s="167">
        <f>SUM(W1260,T1260,Q1260)</f>
        <v>180</v>
      </c>
      <c r="Y1260" s="71" t="s">
        <v>640</v>
      </c>
    </row>
    <row r="1261" spans="2:25" x14ac:dyDescent="0.15">
      <c r="B1261" s="7"/>
      <c r="C1261" s="30"/>
      <c r="D1261" s="25"/>
      <c r="E1261" s="43">
        <f t="shared" si="1598"/>
        <v>0</v>
      </c>
      <c r="F1261" s="35"/>
      <c r="G1261" s="8"/>
      <c r="H1261" s="43">
        <f t="shared" si="1599"/>
        <v>0</v>
      </c>
      <c r="I1261" s="35"/>
      <c r="J1261" s="8"/>
      <c r="K1261" s="43">
        <f t="shared" si="1600"/>
        <v>0</v>
      </c>
      <c r="L1261" s="8">
        <f t="shared" si="1601"/>
        <v>0</v>
      </c>
      <c r="N1261" s="127" t="s">
        <v>591</v>
      </c>
      <c r="O1261" s="170">
        <v>-15</v>
      </c>
      <c r="P1261" s="171">
        <v>-15</v>
      </c>
      <c r="Q1261" s="172">
        <f t="shared" ref="Q1261:Q1264" si="1623">SUM(O1261:P1261)</f>
        <v>-30</v>
      </c>
      <c r="R1261" s="170">
        <v>-15</v>
      </c>
      <c r="S1261" s="171">
        <v>-15</v>
      </c>
      <c r="T1261" s="172">
        <f t="shared" ref="T1261:T1264" si="1624">SUM(R1261:S1261)</f>
        <v>-30</v>
      </c>
      <c r="U1261" s="170">
        <v>-15</v>
      </c>
      <c r="V1261" s="171">
        <v>-15</v>
      </c>
      <c r="W1261" s="172">
        <f t="shared" ref="W1261:W1264" si="1625">SUM(U1261:V1261)</f>
        <v>-30</v>
      </c>
      <c r="X1261" s="174">
        <f t="shared" ref="X1261:X1264" si="1626">SUM(W1261,T1261,Q1261)</f>
        <v>-90</v>
      </c>
      <c r="Y1261" s="71"/>
    </row>
    <row r="1262" spans="2:25" x14ac:dyDescent="0.15">
      <c r="B1262" s="7"/>
      <c r="C1262" s="30"/>
      <c r="D1262" s="25"/>
      <c r="E1262" s="43">
        <f t="shared" si="1598"/>
        <v>0</v>
      </c>
      <c r="F1262" s="35"/>
      <c r="G1262" s="8"/>
      <c r="H1262" s="43">
        <f t="shared" si="1599"/>
        <v>0</v>
      </c>
      <c r="I1262" s="35"/>
      <c r="J1262" s="8"/>
      <c r="K1262" s="43">
        <f t="shared" si="1600"/>
        <v>0</v>
      </c>
      <c r="L1262" s="8">
        <f t="shared" si="1601"/>
        <v>0</v>
      </c>
      <c r="N1262" s="125" t="s">
        <v>590</v>
      </c>
      <c r="O1262" s="168">
        <v>20</v>
      </c>
      <c r="P1262" s="126">
        <v>20</v>
      </c>
      <c r="Q1262" s="166">
        <f t="shared" si="1623"/>
        <v>40</v>
      </c>
      <c r="R1262" s="168">
        <v>20</v>
      </c>
      <c r="S1262" s="126">
        <v>20</v>
      </c>
      <c r="T1262" s="166">
        <f t="shared" si="1624"/>
        <v>40</v>
      </c>
      <c r="U1262" s="168">
        <v>20</v>
      </c>
      <c r="V1262" s="126">
        <v>20</v>
      </c>
      <c r="W1262" s="166">
        <f t="shared" si="1625"/>
        <v>40</v>
      </c>
      <c r="X1262" s="167">
        <f t="shared" si="1626"/>
        <v>120</v>
      </c>
      <c r="Y1262" s="71" t="s">
        <v>592</v>
      </c>
    </row>
    <row r="1263" spans="2:25" x14ac:dyDescent="0.15">
      <c r="B1263" s="7"/>
      <c r="C1263" s="30"/>
      <c r="D1263" s="25"/>
      <c r="E1263" s="43">
        <f t="shared" si="1598"/>
        <v>0</v>
      </c>
      <c r="F1263" s="35"/>
      <c r="G1263" s="8"/>
      <c r="H1263" s="43">
        <f t="shared" si="1599"/>
        <v>0</v>
      </c>
      <c r="I1263" s="35"/>
      <c r="J1263" s="8"/>
      <c r="K1263" s="43">
        <f t="shared" si="1600"/>
        <v>0</v>
      </c>
      <c r="L1263" s="8">
        <f t="shared" si="1601"/>
        <v>0</v>
      </c>
      <c r="N1263" s="127" t="s">
        <v>577</v>
      </c>
      <c r="O1263" s="170">
        <v>-100</v>
      </c>
      <c r="P1263" s="171">
        <v>-100</v>
      </c>
      <c r="Q1263" s="172">
        <f t="shared" si="1623"/>
        <v>-200</v>
      </c>
      <c r="R1263" s="173">
        <v>-100</v>
      </c>
      <c r="S1263" s="174">
        <v>-100</v>
      </c>
      <c r="T1263" s="172">
        <f t="shared" si="1624"/>
        <v>-200</v>
      </c>
      <c r="U1263" s="173">
        <v>-100</v>
      </c>
      <c r="V1263" s="174">
        <v>-80</v>
      </c>
      <c r="W1263" s="172">
        <f t="shared" si="1625"/>
        <v>-180</v>
      </c>
      <c r="X1263" s="174">
        <f t="shared" si="1626"/>
        <v>-580</v>
      </c>
      <c r="Y1263" s="71"/>
    </row>
    <row r="1264" spans="2:25" ht="14.25" thickBot="1" x14ac:dyDescent="0.2">
      <c r="B1264" s="7"/>
      <c r="C1264" s="30"/>
      <c r="D1264" s="25"/>
      <c r="E1264" s="43">
        <f t="shared" ref="E1264" si="1627">SUM(C1264:D1264)</f>
        <v>0</v>
      </c>
      <c r="F1264" s="35"/>
      <c r="G1264" s="8"/>
      <c r="H1264" s="43">
        <f t="shared" ref="H1264" si="1628">SUM(F1264:G1264)</f>
        <v>0</v>
      </c>
      <c r="I1264" s="35"/>
      <c r="J1264" s="8"/>
      <c r="K1264" s="43">
        <f t="shared" ref="K1264" si="1629">SUM(I1264:J1264)</f>
        <v>0</v>
      </c>
      <c r="L1264" s="8">
        <f t="shared" ref="L1264" si="1630">SUM(K1264,H1264,E1264)</f>
        <v>0</v>
      </c>
      <c r="N1264" s="125" t="s">
        <v>576</v>
      </c>
      <c r="O1264" s="168">
        <v>299</v>
      </c>
      <c r="P1264" s="126">
        <v>289</v>
      </c>
      <c r="Q1264" s="166">
        <f t="shared" si="1623"/>
        <v>588</v>
      </c>
      <c r="R1264" s="169">
        <v>335</v>
      </c>
      <c r="S1264" s="167">
        <v>328</v>
      </c>
      <c r="T1264" s="166">
        <f t="shared" si="1624"/>
        <v>663</v>
      </c>
      <c r="U1264" s="169">
        <v>234</v>
      </c>
      <c r="V1264" s="167">
        <v>215</v>
      </c>
      <c r="W1264" s="166">
        <f t="shared" si="1625"/>
        <v>449</v>
      </c>
      <c r="X1264" s="167">
        <f t="shared" si="1626"/>
        <v>1700</v>
      </c>
      <c r="Y1264" s="71" t="s">
        <v>578</v>
      </c>
    </row>
    <row r="1265" spans="2:25" ht="14.25" thickBot="1" x14ac:dyDescent="0.2">
      <c r="B1265" s="5" t="s">
        <v>1</v>
      </c>
      <c r="C1265" s="32">
        <f>SUM(C1240:C1264)</f>
        <v>0</v>
      </c>
      <c r="D1265" s="19">
        <f>SUM(D1240:D1264)</f>
        <v>0</v>
      </c>
      <c r="E1265" s="44">
        <f t="shared" si="1598"/>
        <v>0</v>
      </c>
      <c r="F1265" s="32">
        <f>SUM(F1240:F1264)</f>
        <v>0</v>
      </c>
      <c r="G1265" s="19">
        <f>SUM(G1240:G1264)</f>
        <v>0</v>
      </c>
      <c r="H1265" s="44">
        <f t="shared" si="1599"/>
        <v>0</v>
      </c>
      <c r="I1265" s="32">
        <f>SUM(I1240:I1264)</f>
        <v>0</v>
      </c>
      <c r="J1265" s="19">
        <f>SUM(J1240:J1264)</f>
        <v>0</v>
      </c>
      <c r="K1265" s="44">
        <f t="shared" si="1600"/>
        <v>0</v>
      </c>
      <c r="L1265" s="4">
        <f t="shared" si="1601"/>
        <v>0</v>
      </c>
      <c r="N1265" s="5" t="s">
        <v>1</v>
      </c>
      <c r="O1265" s="32">
        <f>SUM(O1240:O1264)</f>
        <v>234</v>
      </c>
      <c r="P1265" s="19">
        <f t="shared" ref="P1265:X1265" si="1631">SUM(P1240:P1264)</f>
        <v>224</v>
      </c>
      <c r="Q1265" s="44">
        <f t="shared" si="1631"/>
        <v>458</v>
      </c>
      <c r="R1265" s="32">
        <f t="shared" si="1631"/>
        <v>270</v>
      </c>
      <c r="S1265" s="19">
        <f t="shared" si="1631"/>
        <v>263</v>
      </c>
      <c r="T1265" s="44">
        <f t="shared" si="1631"/>
        <v>533</v>
      </c>
      <c r="U1265" s="32">
        <f t="shared" si="1631"/>
        <v>169</v>
      </c>
      <c r="V1265" s="19">
        <f t="shared" si="1631"/>
        <v>170</v>
      </c>
      <c r="W1265" s="44">
        <f t="shared" si="1631"/>
        <v>339</v>
      </c>
      <c r="X1265" s="4">
        <f t="shared" si="1631"/>
        <v>1330</v>
      </c>
    </row>
    <row r="1266" spans="2:25" ht="14.25" thickBot="1" x14ac:dyDescent="0.2">
      <c r="B1266" s="3" t="s">
        <v>0</v>
      </c>
      <c r="C1266" s="34">
        <f>+C1239-C1265</f>
        <v>38</v>
      </c>
      <c r="D1266" s="2">
        <f>+D1239-D1265</f>
        <v>7</v>
      </c>
      <c r="E1266" s="45">
        <f t="shared" si="1598"/>
        <v>45</v>
      </c>
      <c r="F1266" s="34">
        <f>+F1239-F1265</f>
        <v>5</v>
      </c>
      <c r="G1266" s="2">
        <f>+G1239-G1265</f>
        <v>8</v>
      </c>
      <c r="H1266" s="45">
        <f t="shared" si="1599"/>
        <v>13</v>
      </c>
      <c r="I1266" s="34">
        <f>+I1239-I1265</f>
        <v>6</v>
      </c>
      <c r="J1266" s="2">
        <f>+J1239-J1265</f>
        <v>3</v>
      </c>
      <c r="K1266" s="45">
        <f t="shared" si="1600"/>
        <v>9</v>
      </c>
      <c r="L1266" s="2">
        <f t="shared" si="1601"/>
        <v>67</v>
      </c>
      <c r="N1266" s="59" t="s">
        <v>0</v>
      </c>
      <c r="O1266" s="60">
        <f>+O1239-O1265</f>
        <v>228</v>
      </c>
      <c r="P1266" s="61">
        <f t="shared" ref="P1266:X1266" si="1632">+P1239-P1265</f>
        <v>353</v>
      </c>
      <c r="Q1266" s="161">
        <f t="shared" si="1632"/>
        <v>581</v>
      </c>
      <c r="R1266" s="60">
        <f t="shared" si="1632"/>
        <v>-55</v>
      </c>
      <c r="S1266" s="61">
        <f t="shared" si="1632"/>
        <v>157</v>
      </c>
      <c r="T1266" s="161">
        <f t="shared" si="1632"/>
        <v>102</v>
      </c>
      <c r="U1266" s="60">
        <f t="shared" si="1632"/>
        <v>200</v>
      </c>
      <c r="V1266" s="61">
        <f t="shared" si="1632"/>
        <v>247</v>
      </c>
      <c r="W1266" s="161">
        <f t="shared" si="1632"/>
        <v>447</v>
      </c>
      <c r="X1266" s="61">
        <f t="shared" si="1632"/>
        <v>1130</v>
      </c>
    </row>
    <row r="1267" spans="2:25" x14ac:dyDescent="0.15">
      <c r="N1267" s="199" t="s">
        <v>568</v>
      </c>
      <c r="O1267" s="36">
        <v>78</v>
      </c>
      <c r="P1267" s="6">
        <v>100</v>
      </c>
      <c r="Q1267">
        <f>SUM(O1267:P1267)</f>
        <v>178</v>
      </c>
      <c r="R1267">
        <v>103</v>
      </c>
      <c r="S1267">
        <v>118</v>
      </c>
      <c r="T1267">
        <f>SUM(R1267:S1267)</f>
        <v>221</v>
      </c>
      <c r="U1267" s="36">
        <v>57</v>
      </c>
      <c r="V1267" s="6">
        <v>80</v>
      </c>
      <c r="W1267">
        <f>SUM(U1267:V1267)</f>
        <v>137</v>
      </c>
    </row>
    <row r="1268" spans="2:25" x14ac:dyDescent="0.15">
      <c r="O1268" s="86"/>
      <c r="P1268" s="86"/>
      <c r="Q1268" s="87"/>
      <c r="R1268" s="86"/>
      <c r="S1268" s="86"/>
      <c r="T1268" s="87"/>
      <c r="U1268" s="86"/>
      <c r="V1268" s="86"/>
      <c r="W1268" s="87"/>
    </row>
    <row r="1270" spans="2:25" ht="18.75" x14ac:dyDescent="0.2">
      <c r="B1270" s="23" t="s">
        <v>11</v>
      </c>
      <c r="C1270" s="21"/>
      <c r="D1270" s="21"/>
      <c r="E1270" s="21"/>
      <c r="F1270" s="21"/>
      <c r="G1270" s="21"/>
      <c r="H1270" s="21"/>
      <c r="I1270" s="21"/>
      <c r="J1270" s="21"/>
      <c r="K1270" s="21"/>
      <c r="L1270" s="21"/>
      <c r="N1270" s="47" t="s">
        <v>25</v>
      </c>
      <c r="O1270" s="48"/>
      <c r="P1270" s="48"/>
      <c r="Q1270" s="48"/>
      <c r="R1270" s="48"/>
      <c r="S1270" s="48"/>
      <c r="T1270" s="48"/>
      <c r="U1270" s="48"/>
      <c r="V1270" s="48"/>
      <c r="W1270" s="48"/>
      <c r="X1270" s="48"/>
    </row>
    <row r="1271" spans="2:25" ht="15" thickBot="1" x14ac:dyDescent="0.2">
      <c r="B1271" s="22" t="s">
        <v>147</v>
      </c>
      <c r="C1271" s="21"/>
      <c r="D1271" s="21"/>
      <c r="E1271" s="21"/>
      <c r="F1271" s="21"/>
      <c r="G1271" s="21"/>
      <c r="H1271" s="21"/>
      <c r="I1271" s="21"/>
      <c r="J1271" s="21"/>
      <c r="K1271" s="21"/>
      <c r="L1271" s="21"/>
      <c r="N1271" s="49" t="s">
        <v>148</v>
      </c>
      <c r="O1271" s="48"/>
      <c r="P1271" s="48"/>
      <c r="Q1271" s="48"/>
      <c r="R1271" s="48"/>
      <c r="S1271" s="48"/>
      <c r="T1271" s="48"/>
      <c r="U1271" s="48"/>
      <c r="V1271" s="48"/>
      <c r="W1271" s="48"/>
      <c r="X1271" s="48"/>
    </row>
    <row r="1272" spans="2:25" ht="14.25" thickBot="1" x14ac:dyDescent="0.2">
      <c r="B1272" s="20"/>
      <c r="C1272" s="208" t="s">
        <v>9</v>
      </c>
      <c r="D1272" s="209"/>
      <c r="E1272" s="210"/>
      <c r="F1272" s="208" t="s">
        <v>8</v>
      </c>
      <c r="G1272" s="209"/>
      <c r="H1272" s="210"/>
      <c r="I1272" s="208" t="s">
        <v>7</v>
      </c>
      <c r="J1272" s="209"/>
      <c r="K1272" s="210"/>
      <c r="L1272" s="19"/>
      <c r="N1272" s="20"/>
      <c r="O1272" s="208" t="s">
        <v>9</v>
      </c>
      <c r="P1272" s="209"/>
      <c r="Q1272" s="123">
        <v>880</v>
      </c>
      <c r="R1272" s="208" t="s">
        <v>8</v>
      </c>
      <c r="S1272" s="209"/>
      <c r="T1272" s="123">
        <v>980</v>
      </c>
      <c r="U1272" s="208" t="s">
        <v>7</v>
      </c>
      <c r="V1272" s="209"/>
      <c r="W1272" s="123">
        <v>1080</v>
      </c>
      <c r="X1272" s="19"/>
    </row>
    <row r="1273" spans="2:25" ht="14.25" thickBot="1" x14ac:dyDescent="0.2">
      <c r="B1273" s="18"/>
      <c r="C1273" s="28" t="s">
        <v>6</v>
      </c>
      <c r="D1273" s="17" t="s">
        <v>5</v>
      </c>
      <c r="E1273" s="38" t="s">
        <v>4</v>
      </c>
      <c r="F1273" s="28" t="s">
        <v>6</v>
      </c>
      <c r="G1273" s="17" t="s">
        <v>5</v>
      </c>
      <c r="H1273" s="38" t="s">
        <v>4</v>
      </c>
      <c r="I1273" s="28" t="s">
        <v>6</v>
      </c>
      <c r="J1273" s="17" t="s">
        <v>5</v>
      </c>
      <c r="K1273" s="38" t="s">
        <v>4</v>
      </c>
      <c r="L1273" s="17" t="s">
        <v>4</v>
      </c>
      <c r="N1273" s="18"/>
      <c r="O1273" s="28" t="s">
        <v>6</v>
      </c>
      <c r="P1273" s="17" t="s">
        <v>5</v>
      </c>
      <c r="Q1273" s="38" t="s">
        <v>4</v>
      </c>
      <c r="R1273" s="28" t="s">
        <v>6</v>
      </c>
      <c r="S1273" s="17" t="s">
        <v>5</v>
      </c>
      <c r="T1273" s="38" t="s">
        <v>4</v>
      </c>
      <c r="U1273" s="28" t="s">
        <v>6</v>
      </c>
      <c r="V1273" s="17" t="s">
        <v>5</v>
      </c>
      <c r="W1273" s="38" t="s">
        <v>4</v>
      </c>
      <c r="X1273" s="17" t="s">
        <v>4</v>
      </c>
    </row>
    <row r="1274" spans="2:25" x14ac:dyDescent="0.15">
      <c r="B1274" s="66" t="s">
        <v>0</v>
      </c>
      <c r="C1274" s="67">
        <f>C1266</f>
        <v>38</v>
      </c>
      <c r="D1274" s="68">
        <f t="shared" ref="D1274:K1274" si="1633">D1266</f>
        <v>7</v>
      </c>
      <c r="E1274" s="69">
        <f t="shared" si="1633"/>
        <v>45</v>
      </c>
      <c r="F1274" s="67">
        <f t="shared" si="1633"/>
        <v>5</v>
      </c>
      <c r="G1274" s="68">
        <f t="shared" si="1633"/>
        <v>8</v>
      </c>
      <c r="H1274" s="69">
        <f t="shared" si="1633"/>
        <v>13</v>
      </c>
      <c r="I1274" s="67">
        <f t="shared" si="1633"/>
        <v>6</v>
      </c>
      <c r="J1274" s="68">
        <f t="shared" si="1633"/>
        <v>3</v>
      </c>
      <c r="K1274" s="69">
        <f t="shared" si="1633"/>
        <v>9</v>
      </c>
      <c r="L1274" s="70">
        <f>SUM(K1274,H1274,E1274)</f>
        <v>67</v>
      </c>
      <c r="N1274" s="66" t="s">
        <v>0</v>
      </c>
      <c r="O1274" s="72">
        <f>O1266</f>
        <v>228</v>
      </c>
      <c r="P1274" s="80">
        <f t="shared" ref="P1274:X1274" si="1634">P1266</f>
        <v>353</v>
      </c>
      <c r="Q1274" s="69">
        <f t="shared" si="1634"/>
        <v>581</v>
      </c>
      <c r="R1274" s="72">
        <f t="shared" si="1634"/>
        <v>-55</v>
      </c>
      <c r="S1274" s="80">
        <f t="shared" si="1634"/>
        <v>157</v>
      </c>
      <c r="T1274" s="69">
        <f t="shared" si="1634"/>
        <v>102</v>
      </c>
      <c r="U1274" s="72">
        <f t="shared" si="1634"/>
        <v>200</v>
      </c>
      <c r="V1274" s="80">
        <f t="shared" si="1634"/>
        <v>247</v>
      </c>
      <c r="W1274" s="69">
        <f t="shared" si="1634"/>
        <v>447</v>
      </c>
      <c r="X1274" s="70">
        <f t="shared" si="1634"/>
        <v>1130</v>
      </c>
    </row>
    <row r="1275" spans="2:25" x14ac:dyDescent="0.15">
      <c r="B1275" s="146" t="s">
        <v>3</v>
      </c>
      <c r="C1275" s="30"/>
      <c r="D1275" s="25"/>
      <c r="E1275" s="40">
        <f t="shared" ref="E1275:E1307" si="1635">SUM(C1275:D1275)</f>
        <v>0</v>
      </c>
      <c r="F1275" s="35"/>
      <c r="G1275" s="8"/>
      <c r="H1275" s="40">
        <f t="shared" ref="H1275:H1307" si="1636">SUM(F1275:G1275)</f>
        <v>0</v>
      </c>
      <c r="I1275" s="35"/>
      <c r="J1275" s="8"/>
      <c r="K1275" s="40">
        <f t="shared" ref="K1275:K1307" si="1637">SUM(I1275:J1275)</f>
        <v>0</v>
      </c>
      <c r="L1275" s="9">
        <f t="shared" ref="L1275:L1307" si="1638">SUM(K1275,H1275,E1275)</f>
        <v>0</v>
      </c>
      <c r="N1275" s="130" t="s">
        <v>3</v>
      </c>
      <c r="O1275" s="131"/>
      <c r="P1275" s="132"/>
      <c r="Q1275" s="133">
        <f t="shared" ref="Q1275:Q1279" si="1639">SUM(O1275:P1275)</f>
        <v>0</v>
      </c>
      <c r="R1275" s="134">
        <v>80</v>
      </c>
      <c r="S1275" s="135"/>
      <c r="T1275" s="133">
        <f t="shared" ref="T1275:T1279" si="1640">SUM(R1275:S1275)</f>
        <v>80</v>
      </c>
      <c r="U1275" s="134"/>
      <c r="V1275" s="135"/>
      <c r="W1275" s="133">
        <f t="shared" ref="W1275:W1279" si="1641">SUM(U1275:V1275)</f>
        <v>0</v>
      </c>
      <c r="X1275" s="126">
        <f t="shared" ref="X1275:X1279" si="1642">SUM(W1275,T1275,Q1275)</f>
        <v>80</v>
      </c>
      <c r="Y1275" s="154">
        <v>46237</v>
      </c>
    </row>
    <row r="1276" spans="2:25" x14ac:dyDescent="0.15">
      <c r="B1276" s="146" t="s">
        <v>3</v>
      </c>
      <c r="C1276" s="30"/>
      <c r="D1276" s="25"/>
      <c r="E1276" s="40">
        <f t="shared" si="1635"/>
        <v>0</v>
      </c>
      <c r="F1276" s="35"/>
      <c r="G1276" s="8"/>
      <c r="H1276" s="40">
        <f t="shared" si="1636"/>
        <v>0</v>
      </c>
      <c r="I1276" s="35"/>
      <c r="J1276" s="8"/>
      <c r="K1276" s="40">
        <f t="shared" si="1637"/>
        <v>0</v>
      </c>
      <c r="L1276" s="9">
        <f t="shared" si="1638"/>
        <v>0</v>
      </c>
      <c r="N1276" s="130" t="s">
        <v>3</v>
      </c>
      <c r="O1276" s="131"/>
      <c r="P1276" s="132"/>
      <c r="Q1276" s="133">
        <f t="shared" ref="Q1276:Q1278" si="1643">SUM(O1276:P1276)</f>
        <v>0</v>
      </c>
      <c r="R1276" s="134">
        <v>100</v>
      </c>
      <c r="S1276" s="135"/>
      <c r="T1276" s="133">
        <f t="shared" ref="T1276:T1278" si="1644">SUM(R1276:S1276)</f>
        <v>100</v>
      </c>
      <c r="U1276" s="134"/>
      <c r="V1276" s="135"/>
      <c r="W1276" s="133">
        <f t="shared" ref="W1276:W1278" si="1645">SUM(U1276:V1276)</f>
        <v>0</v>
      </c>
      <c r="X1276" s="126">
        <f t="shared" ref="X1276:X1278" si="1646">SUM(W1276,T1276,Q1276)</f>
        <v>100</v>
      </c>
      <c r="Y1276" s="71" t="s">
        <v>645</v>
      </c>
    </row>
    <row r="1277" spans="2:25" x14ac:dyDescent="0.15">
      <c r="B1277" s="146" t="s">
        <v>3</v>
      </c>
      <c r="C1277" s="30"/>
      <c r="D1277" s="25"/>
      <c r="E1277" s="40">
        <f t="shared" si="1635"/>
        <v>0</v>
      </c>
      <c r="F1277" s="35"/>
      <c r="G1277" s="8"/>
      <c r="H1277" s="40">
        <f t="shared" si="1636"/>
        <v>0</v>
      </c>
      <c r="I1277" s="35"/>
      <c r="J1277" s="8"/>
      <c r="K1277" s="40">
        <f t="shared" si="1637"/>
        <v>0</v>
      </c>
      <c r="L1277" s="9">
        <f t="shared" si="1638"/>
        <v>0</v>
      </c>
      <c r="N1277" s="130" t="s">
        <v>3</v>
      </c>
      <c r="O1277" s="131">
        <v>150</v>
      </c>
      <c r="P1277" s="132">
        <v>110</v>
      </c>
      <c r="Q1277" s="133">
        <f t="shared" si="1643"/>
        <v>260</v>
      </c>
      <c r="R1277" s="134"/>
      <c r="S1277" s="135">
        <v>0</v>
      </c>
      <c r="T1277" s="133">
        <f t="shared" si="1644"/>
        <v>0</v>
      </c>
      <c r="U1277" s="134">
        <v>140</v>
      </c>
      <c r="V1277" s="135">
        <v>80</v>
      </c>
      <c r="W1277" s="133">
        <f t="shared" si="1645"/>
        <v>220</v>
      </c>
      <c r="X1277" s="126">
        <f t="shared" si="1646"/>
        <v>480</v>
      </c>
      <c r="Y1277" s="154">
        <v>46267</v>
      </c>
    </row>
    <row r="1278" spans="2:25" x14ac:dyDescent="0.15">
      <c r="B1278" s="146" t="s">
        <v>3</v>
      </c>
      <c r="C1278" s="30"/>
      <c r="D1278" s="25"/>
      <c r="E1278" s="40">
        <f t="shared" si="1635"/>
        <v>0</v>
      </c>
      <c r="F1278" s="35"/>
      <c r="G1278" s="8"/>
      <c r="H1278" s="40">
        <f t="shared" si="1636"/>
        <v>0</v>
      </c>
      <c r="I1278" s="35"/>
      <c r="J1278" s="8"/>
      <c r="K1278" s="40">
        <f t="shared" si="1637"/>
        <v>0</v>
      </c>
      <c r="L1278" s="9">
        <f t="shared" si="1638"/>
        <v>0</v>
      </c>
      <c r="N1278" s="130" t="s">
        <v>3</v>
      </c>
      <c r="O1278" s="168">
        <v>100</v>
      </c>
      <c r="P1278" s="132">
        <v>70</v>
      </c>
      <c r="Q1278" s="133">
        <f t="shared" si="1643"/>
        <v>170</v>
      </c>
      <c r="R1278" s="131"/>
      <c r="S1278" s="132">
        <v>0</v>
      </c>
      <c r="T1278" s="133">
        <f t="shared" si="1644"/>
        <v>0</v>
      </c>
      <c r="U1278" s="131">
        <v>70</v>
      </c>
      <c r="V1278" s="132">
        <v>80</v>
      </c>
      <c r="W1278" s="133">
        <f t="shared" si="1645"/>
        <v>150</v>
      </c>
      <c r="X1278" s="126">
        <f t="shared" si="1646"/>
        <v>320</v>
      </c>
      <c r="Y1278" s="154">
        <v>46267</v>
      </c>
    </row>
    <row r="1279" spans="2:25" ht="14.25" thickBot="1" x14ac:dyDescent="0.2">
      <c r="B1279" s="146" t="s">
        <v>3</v>
      </c>
      <c r="C1279" s="76"/>
      <c r="D1279" s="83"/>
      <c r="E1279" s="41">
        <f t="shared" si="1635"/>
        <v>0</v>
      </c>
      <c r="F1279" s="76"/>
      <c r="G1279" s="83"/>
      <c r="H1279" s="41">
        <f t="shared" si="1636"/>
        <v>0</v>
      </c>
      <c r="I1279" s="76"/>
      <c r="J1279" s="83"/>
      <c r="K1279" s="41">
        <f t="shared" si="1637"/>
        <v>0</v>
      </c>
      <c r="L1279" s="77">
        <f t="shared" si="1638"/>
        <v>0</v>
      </c>
      <c r="N1279" s="75" t="s">
        <v>3</v>
      </c>
      <c r="O1279" s="73"/>
      <c r="P1279" s="206"/>
      <c r="Q1279" s="42">
        <f t="shared" si="1639"/>
        <v>0</v>
      </c>
      <c r="R1279" s="207"/>
      <c r="S1279" s="206"/>
      <c r="T1279" s="42">
        <f t="shared" si="1640"/>
        <v>0</v>
      </c>
      <c r="U1279" s="207"/>
      <c r="V1279" s="206"/>
      <c r="W1279" s="42">
        <f t="shared" si="1641"/>
        <v>0</v>
      </c>
      <c r="X1279" s="74">
        <f t="shared" si="1642"/>
        <v>0</v>
      </c>
    </row>
    <row r="1280" spans="2:25" ht="14.25" thickBot="1" x14ac:dyDescent="0.2">
      <c r="B1280" s="5" t="s">
        <v>2</v>
      </c>
      <c r="C1280" s="32">
        <f>SUM(C1274:C1279)</f>
        <v>38</v>
      </c>
      <c r="D1280" s="19">
        <f>SUM(D1274:D1279)</f>
        <v>7</v>
      </c>
      <c r="E1280" s="42">
        <f t="shared" si="1635"/>
        <v>45</v>
      </c>
      <c r="F1280" s="32">
        <f>SUM(F1274:F1279)</f>
        <v>5</v>
      </c>
      <c r="G1280" s="19">
        <f>SUM(G1274:G1279)</f>
        <v>8</v>
      </c>
      <c r="H1280" s="42">
        <f t="shared" si="1636"/>
        <v>13</v>
      </c>
      <c r="I1280" s="32">
        <f>SUM(I1274:I1279)</f>
        <v>6</v>
      </c>
      <c r="J1280" s="19">
        <f>SUM(J1274:J1279)</f>
        <v>3</v>
      </c>
      <c r="K1280" s="42">
        <f t="shared" si="1637"/>
        <v>9</v>
      </c>
      <c r="L1280" s="13">
        <f t="shared" si="1638"/>
        <v>67</v>
      </c>
      <c r="N1280" s="63" t="s">
        <v>2</v>
      </c>
      <c r="O1280" s="73">
        <f>SUM(O1274:O1279)</f>
        <v>478</v>
      </c>
      <c r="P1280" s="74">
        <f t="shared" ref="P1280:X1280" si="1647">SUM(P1274:P1279)</f>
        <v>533</v>
      </c>
      <c r="Q1280" s="42">
        <f t="shared" si="1647"/>
        <v>1011</v>
      </c>
      <c r="R1280" s="73">
        <f t="shared" si="1647"/>
        <v>125</v>
      </c>
      <c r="S1280" s="74">
        <f t="shared" si="1647"/>
        <v>157</v>
      </c>
      <c r="T1280" s="42">
        <f t="shared" si="1647"/>
        <v>282</v>
      </c>
      <c r="U1280" s="73">
        <f t="shared" si="1647"/>
        <v>410</v>
      </c>
      <c r="V1280" s="74">
        <f t="shared" si="1647"/>
        <v>407</v>
      </c>
      <c r="W1280" s="42">
        <f t="shared" si="1647"/>
        <v>817</v>
      </c>
      <c r="X1280" s="13">
        <f t="shared" si="1647"/>
        <v>2110</v>
      </c>
    </row>
    <row r="1281" spans="2:24" x14ac:dyDescent="0.15">
      <c r="B1281" s="7"/>
      <c r="C1281" s="30"/>
      <c r="D1281" s="25"/>
      <c r="E1281" s="43">
        <f t="shared" si="1635"/>
        <v>0</v>
      </c>
      <c r="F1281" s="35"/>
      <c r="G1281" s="8"/>
      <c r="H1281" s="43">
        <f t="shared" si="1636"/>
        <v>0</v>
      </c>
      <c r="I1281" s="35"/>
      <c r="J1281" s="8"/>
      <c r="K1281" s="43">
        <f t="shared" si="1637"/>
        <v>0</v>
      </c>
      <c r="L1281" s="8">
        <f t="shared" si="1638"/>
        <v>0</v>
      </c>
      <c r="N1281" s="7"/>
      <c r="O1281" s="33"/>
      <c r="P1281" s="27"/>
      <c r="Q1281" s="43">
        <f t="shared" ref="Q1281:Q1305" si="1648">SUM(O1281:P1281)</f>
        <v>0</v>
      </c>
      <c r="R1281" s="37"/>
      <c r="S1281" s="10"/>
      <c r="T1281" s="43">
        <f t="shared" ref="T1281:T1305" si="1649">SUM(R1281:S1281)</f>
        <v>0</v>
      </c>
      <c r="U1281" s="37"/>
      <c r="V1281" s="10"/>
      <c r="W1281" s="43">
        <f t="shared" ref="W1281:W1305" si="1650">SUM(U1281:V1281)</f>
        <v>0</v>
      </c>
      <c r="X1281" s="8">
        <f t="shared" ref="X1281:X1305" si="1651">SUM(W1281,T1281,Q1281)</f>
        <v>0</v>
      </c>
    </row>
    <row r="1282" spans="2:24" x14ac:dyDescent="0.15">
      <c r="B1282" s="7"/>
      <c r="C1282" s="30"/>
      <c r="D1282" s="25"/>
      <c r="E1282" s="43">
        <f t="shared" si="1635"/>
        <v>0</v>
      </c>
      <c r="F1282" s="35"/>
      <c r="G1282" s="8"/>
      <c r="H1282" s="43">
        <f t="shared" si="1636"/>
        <v>0</v>
      </c>
      <c r="I1282" s="35"/>
      <c r="J1282" s="8"/>
      <c r="K1282" s="43">
        <f t="shared" si="1637"/>
        <v>0</v>
      </c>
      <c r="L1282" s="8">
        <f t="shared" si="1638"/>
        <v>0</v>
      </c>
      <c r="N1282" s="7"/>
      <c r="O1282" s="33"/>
      <c r="P1282" s="27"/>
      <c r="Q1282" s="43">
        <f t="shared" si="1648"/>
        <v>0</v>
      </c>
      <c r="R1282" s="37"/>
      <c r="S1282" s="10"/>
      <c r="T1282" s="43">
        <f t="shared" si="1649"/>
        <v>0</v>
      </c>
      <c r="U1282" s="37"/>
      <c r="V1282" s="10"/>
      <c r="W1282" s="43">
        <f t="shared" si="1650"/>
        <v>0</v>
      </c>
      <c r="X1282" s="8">
        <f t="shared" si="1651"/>
        <v>0</v>
      </c>
    </row>
    <row r="1283" spans="2:24" x14ac:dyDescent="0.15">
      <c r="B1283" s="7"/>
      <c r="C1283" s="30"/>
      <c r="D1283" s="25"/>
      <c r="E1283" s="43">
        <f t="shared" si="1635"/>
        <v>0</v>
      </c>
      <c r="F1283" s="35"/>
      <c r="G1283" s="8"/>
      <c r="H1283" s="43">
        <f t="shared" si="1636"/>
        <v>0</v>
      </c>
      <c r="I1283" s="35"/>
      <c r="J1283" s="8"/>
      <c r="K1283" s="43">
        <f t="shared" si="1637"/>
        <v>0</v>
      </c>
      <c r="L1283" s="8">
        <f t="shared" si="1638"/>
        <v>0</v>
      </c>
      <c r="N1283" s="7"/>
      <c r="O1283" s="33"/>
      <c r="P1283" s="27"/>
      <c r="Q1283" s="43">
        <f t="shared" si="1648"/>
        <v>0</v>
      </c>
      <c r="R1283" s="37"/>
      <c r="S1283" s="10"/>
      <c r="T1283" s="43">
        <f t="shared" si="1649"/>
        <v>0</v>
      </c>
      <c r="U1283" s="37"/>
      <c r="V1283" s="10"/>
      <c r="W1283" s="43">
        <f t="shared" si="1650"/>
        <v>0</v>
      </c>
      <c r="X1283" s="8">
        <f t="shared" si="1651"/>
        <v>0</v>
      </c>
    </row>
    <row r="1284" spans="2:24" x14ac:dyDescent="0.15">
      <c r="B1284" s="7"/>
      <c r="C1284" s="30"/>
      <c r="D1284" s="25"/>
      <c r="E1284" s="43">
        <f t="shared" si="1635"/>
        <v>0</v>
      </c>
      <c r="F1284" s="35"/>
      <c r="G1284" s="8"/>
      <c r="H1284" s="43">
        <f t="shared" si="1636"/>
        <v>0</v>
      </c>
      <c r="I1284" s="35"/>
      <c r="J1284" s="8"/>
      <c r="K1284" s="43">
        <f t="shared" si="1637"/>
        <v>0</v>
      </c>
      <c r="L1284" s="8">
        <f t="shared" si="1638"/>
        <v>0</v>
      </c>
      <c r="N1284" s="7"/>
      <c r="O1284" s="33"/>
      <c r="P1284" s="27"/>
      <c r="Q1284" s="43">
        <f t="shared" si="1648"/>
        <v>0</v>
      </c>
      <c r="R1284" s="37"/>
      <c r="S1284" s="10"/>
      <c r="T1284" s="43">
        <f t="shared" si="1649"/>
        <v>0</v>
      </c>
      <c r="U1284" s="37"/>
      <c r="V1284" s="10"/>
      <c r="W1284" s="43">
        <f t="shared" si="1650"/>
        <v>0</v>
      </c>
      <c r="X1284" s="8">
        <f t="shared" si="1651"/>
        <v>0</v>
      </c>
    </row>
    <row r="1285" spans="2:24" x14ac:dyDescent="0.15">
      <c r="B1285" s="7"/>
      <c r="C1285" s="30"/>
      <c r="D1285" s="25"/>
      <c r="E1285" s="43">
        <f t="shared" si="1635"/>
        <v>0</v>
      </c>
      <c r="F1285" s="35"/>
      <c r="G1285" s="8"/>
      <c r="H1285" s="43">
        <f t="shared" si="1636"/>
        <v>0</v>
      </c>
      <c r="I1285" s="35"/>
      <c r="J1285" s="8"/>
      <c r="K1285" s="43">
        <f t="shared" si="1637"/>
        <v>0</v>
      </c>
      <c r="L1285" s="8">
        <f t="shared" si="1638"/>
        <v>0</v>
      </c>
      <c r="N1285" s="7"/>
      <c r="O1285" s="33"/>
      <c r="P1285" s="27"/>
      <c r="Q1285" s="43">
        <f t="shared" si="1648"/>
        <v>0</v>
      </c>
      <c r="R1285" s="37"/>
      <c r="S1285" s="10"/>
      <c r="T1285" s="43">
        <f t="shared" si="1649"/>
        <v>0</v>
      </c>
      <c r="U1285" s="37"/>
      <c r="V1285" s="10"/>
      <c r="W1285" s="43">
        <f t="shared" si="1650"/>
        <v>0</v>
      </c>
      <c r="X1285" s="8">
        <f t="shared" si="1651"/>
        <v>0</v>
      </c>
    </row>
    <row r="1286" spans="2:24" x14ac:dyDescent="0.15">
      <c r="B1286" s="7"/>
      <c r="C1286" s="30"/>
      <c r="D1286" s="25"/>
      <c r="E1286" s="43">
        <f t="shared" si="1635"/>
        <v>0</v>
      </c>
      <c r="F1286" s="35"/>
      <c r="G1286" s="8"/>
      <c r="H1286" s="43">
        <f t="shared" si="1636"/>
        <v>0</v>
      </c>
      <c r="I1286" s="35"/>
      <c r="J1286" s="8"/>
      <c r="K1286" s="43">
        <f t="shared" si="1637"/>
        <v>0</v>
      </c>
      <c r="L1286" s="8">
        <f t="shared" si="1638"/>
        <v>0</v>
      </c>
      <c r="N1286" s="7"/>
      <c r="O1286" s="33"/>
      <c r="P1286" s="27"/>
      <c r="Q1286" s="43">
        <f t="shared" si="1648"/>
        <v>0</v>
      </c>
      <c r="R1286" s="37"/>
      <c r="S1286" s="10"/>
      <c r="T1286" s="43">
        <f t="shared" si="1649"/>
        <v>0</v>
      </c>
      <c r="U1286" s="37"/>
      <c r="V1286" s="10"/>
      <c r="W1286" s="43">
        <f t="shared" si="1650"/>
        <v>0</v>
      </c>
      <c r="X1286" s="8">
        <f t="shared" si="1651"/>
        <v>0</v>
      </c>
    </row>
    <row r="1287" spans="2:24" x14ac:dyDescent="0.15">
      <c r="B1287" s="7"/>
      <c r="C1287" s="30"/>
      <c r="D1287" s="25"/>
      <c r="E1287" s="43">
        <f t="shared" si="1635"/>
        <v>0</v>
      </c>
      <c r="F1287" s="35"/>
      <c r="G1287" s="8"/>
      <c r="H1287" s="43">
        <f t="shared" si="1636"/>
        <v>0</v>
      </c>
      <c r="I1287" s="35"/>
      <c r="J1287" s="8"/>
      <c r="K1287" s="43">
        <f t="shared" si="1637"/>
        <v>0</v>
      </c>
      <c r="L1287" s="8">
        <f t="shared" si="1638"/>
        <v>0</v>
      </c>
      <c r="N1287" s="7"/>
      <c r="O1287" s="33"/>
      <c r="P1287" s="27"/>
      <c r="Q1287" s="43">
        <f t="shared" si="1648"/>
        <v>0</v>
      </c>
      <c r="R1287" s="37"/>
      <c r="S1287" s="10"/>
      <c r="T1287" s="43">
        <f t="shared" si="1649"/>
        <v>0</v>
      </c>
      <c r="U1287" s="37"/>
      <c r="V1287" s="10"/>
      <c r="W1287" s="43">
        <f t="shared" si="1650"/>
        <v>0</v>
      </c>
      <c r="X1287" s="8">
        <f t="shared" si="1651"/>
        <v>0</v>
      </c>
    </row>
    <row r="1288" spans="2:24" x14ac:dyDescent="0.15">
      <c r="B1288" s="7"/>
      <c r="C1288" s="30"/>
      <c r="D1288" s="25"/>
      <c r="E1288" s="43">
        <f t="shared" si="1635"/>
        <v>0</v>
      </c>
      <c r="F1288" s="35"/>
      <c r="G1288" s="8"/>
      <c r="H1288" s="43">
        <f t="shared" si="1636"/>
        <v>0</v>
      </c>
      <c r="I1288" s="35"/>
      <c r="J1288" s="8"/>
      <c r="K1288" s="43">
        <f t="shared" si="1637"/>
        <v>0</v>
      </c>
      <c r="L1288" s="8">
        <f t="shared" si="1638"/>
        <v>0</v>
      </c>
      <c r="N1288" s="7"/>
      <c r="O1288" s="33"/>
      <c r="P1288" s="27"/>
      <c r="Q1288" s="43">
        <f t="shared" si="1648"/>
        <v>0</v>
      </c>
      <c r="R1288" s="37"/>
      <c r="S1288" s="10"/>
      <c r="T1288" s="43">
        <f t="shared" si="1649"/>
        <v>0</v>
      </c>
      <c r="U1288" s="37"/>
      <c r="V1288" s="10"/>
      <c r="W1288" s="43">
        <f t="shared" si="1650"/>
        <v>0</v>
      </c>
      <c r="X1288" s="8">
        <f t="shared" si="1651"/>
        <v>0</v>
      </c>
    </row>
    <row r="1289" spans="2:24" x14ac:dyDescent="0.15">
      <c r="B1289" s="7"/>
      <c r="C1289" s="30"/>
      <c r="D1289" s="25"/>
      <c r="E1289" s="43">
        <f t="shared" si="1635"/>
        <v>0</v>
      </c>
      <c r="F1289" s="35"/>
      <c r="G1289" s="8"/>
      <c r="H1289" s="43">
        <f t="shared" si="1636"/>
        <v>0</v>
      </c>
      <c r="I1289" s="35"/>
      <c r="J1289" s="8"/>
      <c r="K1289" s="43">
        <f t="shared" si="1637"/>
        <v>0</v>
      </c>
      <c r="L1289" s="8">
        <f t="shared" si="1638"/>
        <v>0</v>
      </c>
      <c r="N1289" s="7"/>
      <c r="O1289" s="33"/>
      <c r="P1289" s="27"/>
      <c r="Q1289" s="43">
        <f t="shared" si="1648"/>
        <v>0</v>
      </c>
      <c r="R1289" s="37"/>
      <c r="S1289" s="10"/>
      <c r="T1289" s="43">
        <f t="shared" si="1649"/>
        <v>0</v>
      </c>
      <c r="U1289" s="37"/>
      <c r="V1289" s="10"/>
      <c r="W1289" s="43">
        <f t="shared" si="1650"/>
        <v>0</v>
      </c>
      <c r="X1289" s="8">
        <f t="shared" si="1651"/>
        <v>0</v>
      </c>
    </row>
    <row r="1290" spans="2:24" x14ac:dyDescent="0.15">
      <c r="B1290" s="7"/>
      <c r="C1290" s="30"/>
      <c r="D1290" s="25"/>
      <c r="E1290" s="43">
        <f t="shared" si="1635"/>
        <v>0</v>
      </c>
      <c r="F1290" s="35"/>
      <c r="G1290" s="8"/>
      <c r="H1290" s="43">
        <f t="shared" si="1636"/>
        <v>0</v>
      </c>
      <c r="I1290" s="35"/>
      <c r="J1290" s="8"/>
      <c r="K1290" s="43">
        <f t="shared" si="1637"/>
        <v>0</v>
      </c>
      <c r="L1290" s="8">
        <f t="shared" si="1638"/>
        <v>0</v>
      </c>
      <c r="N1290" s="7"/>
      <c r="O1290" s="33"/>
      <c r="P1290" s="27"/>
      <c r="Q1290" s="43">
        <f t="shared" si="1648"/>
        <v>0</v>
      </c>
      <c r="R1290" s="37"/>
      <c r="S1290" s="10"/>
      <c r="T1290" s="43">
        <f t="shared" si="1649"/>
        <v>0</v>
      </c>
      <c r="U1290" s="37"/>
      <c r="V1290" s="10"/>
      <c r="W1290" s="43">
        <f t="shared" si="1650"/>
        <v>0</v>
      </c>
      <c r="X1290" s="8">
        <f t="shared" si="1651"/>
        <v>0</v>
      </c>
    </row>
    <row r="1291" spans="2:24" x14ac:dyDescent="0.15">
      <c r="B1291" s="7"/>
      <c r="C1291" s="30"/>
      <c r="D1291" s="25"/>
      <c r="E1291" s="43">
        <f t="shared" si="1635"/>
        <v>0</v>
      </c>
      <c r="F1291" s="35"/>
      <c r="G1291" s="8"/>
      <c r="H1291" s="43">
        <f t="shared" si="1636"/>
        <v>0</v>
      </c>
      <c r="I1291" s="35"/>
      <c r="J1291" s="8"/>
      <c r="K1291" s="43">
        <f t="shared" si="1637"/>
        <v>0</v>
      </c>
      <c r="L1291" s="8">
        <f t="shared" si="1638"/>
        <v>0</v>
      </c>
      <c r="N1291" s="7"/>
      <c r="O1291" s="33"/>
      <c r="P1291" s="27"/>
      <c r="Q1291" s="43">
        <f t="shared" si="1648"/>
        <v>0</v>
      </c>
      <c r="R1291" s="37"/>
      <c r="S1291" s="10"/>
      <c r="T1291" s="43">
        <f t="shared" si="1649"/>
        <v>0</v>
      </c>
      <c r="U1291" s="37"/>
      <c r="V1291" s="10"/>
      <c r="W1291" s="43">
        <f t="shared" si="1650"/>
        <v>0</v>
      </c>
      <c r="X1291" s="8">
        <f t="shared" si="1651"/>
        <v>0</v>
      </c>
    </row>
    <row r="1292" spans="2:24" x14ac:dyDescent="0.15">
      <c r="B1292" s="7"/>
      <c r="C1292" s="30"/>
      <c r="D1292" s="25"/>
      <c r="E1292" s="43">
        <f t="shared" si="1635"/>
        <v>0</v>
      </c>
      <c r="F1292" s="35"/>
      <c r="G1292" s="8"/>
      <c r="H1292" s="43">
        <f t="shared" si="1636"/>
        <v>0</v>
      </c>
      <c r="I1292" s="35"/>
      <c r="J1292" s="8"/>
      <c r="K1292" s="43">
        <f t="shared" si="1637"/>
        <v>0</v>
      </c>
      <c r="L1292" s="8">
        <f t="shared" si="1638"/>
        <v>0</v>
      </c>
      <c r="N1292" s="7"/>
      <c r="O1292" s="33"/>
      <c r="P1292" s="27"/>
      <c r="Q1292" s="43">
        <f t="shared" si="1648"/>
        <v>0</v>
      </c>
      <c r="R1292" s="37"/>
      <c r="S1292" s="10"/>
      <c r="T1292" s="43">
        <f t="shared" si="1649"/>
        <v>0</v>
      </c>
      <c r="U1292" s="37"/>
      <c r="V1292" s="10"/>
      <c r="W1292" s="43">
        <f t="shared" si="1650"/>
        <v>0</v>
      </c>
      <c r="X1292" s="8">
        <f t="shared" si="1651"/>
        <v>0</v>
      </c>
    </row>
    <row r="1293" spans="2:24" x14ac:dyDescent="0.15">
      <c r="B1293" s="7"/>
      <c r="C1293" s="30"/>
      <c r="D1293" s="25"/>
      <c r="E1293" s="43">
        <f t="shared" si="1635"/>
        <v>0</v>
      </c>
      <c r="F1293" s="35"/>
      <c r="G1293" s="8"/>
      <c r="H1293" s="43">
        <f t="shared" si="1636"/>
        <v>0</v>
      </c>
      <c r="I1293" s="35"/>
      <c r="J1293" s="8"/>
      <c r="K1293" s="43">
        <f t="shared" si="1637"/>
        <v>0</v>
      </c>
      <c r="L1293" s="8">
        <f t="shared" si="1638"/>
        <v>0</v>
      </c>
      <c r="N1293" s="7"/>
      <c r="O1293" s="30"/>
      <c r="P1293" s="25"/>
      <c r="Q1293" s="43">
        <f t="shared" si="1648"/>
        <v>0</v>
      </c>
      <c r="R1293" s="35"/>
      <c r="S1293" s="8"/>
      <c r="T1293" s="43">
        <f t="shared" si="1649"/>
        <v>0</v>
      </c>
      <c r="U1293" s="35"/>
      <c r="V1293" s="8"/>
      <c r="W1293" s="43">
        <f t="shared" si="1650"/>
        <v>0</v>
      </c>
      <c r="X1293" s="8">
        <f t="shared" si="1651"/>
        <v>0</v>
      </c>
    </row>
    <row r="1294" spans="2:24" x14ac:dyDescent="0.15">
      <c r="B1294" s="7"/>
      <c r="C1294" s="30"/>
      <c r="D1294" s="25"/>
      <c r="E1294" s="43">
        <f t="shared" si="1635"/>
        <v>0</v>
      </c>
      <c r="F1294" s="35"/>
      <c r="G1294" s="8"/>
      <c r="H1294" s="43">
        <f t="shared" si="1636"/>
        <v>0</v>
      </c>
      <c r="I1294" s="35"/>
      <c r="J1294" s="8"/>
      <c r="K1294" s="43">
        <f t="shared" si="1637"/>
        <v>0</v>
      </c>
      <c r="L1294" s="8">
        <f t="shared" si="1638"/>
        <v>0</v>
      </c>
      <c r="N1294" s="7"/>
      <c r="O1294" s="33"/>
      <c r="P1294" s="27"/>
      <c r="Q1294" s="43">
        <f t="shared" si="1648"/>
        <v>0</v>
      </c>
      <c r="R1294" s="37"/>
      <c r="S1294" s="10"/>
      <c r="T1294" s="43">
        <f t="shared" si="1649"/>
        <v>0</v>
      </c>
      <c r="U1294" s="37"/>
      <c r="V1294" s="10"/>
      <c r="W1294" s="43">
        <f t="shared" si="1650"/>
        <v>0</v>
      </c>
      <c r="X1294" s="8">
        <f t="shared" si="1651"/>
        <v>0</v>
      </c>
    </row>
    <row r="1295" spans="2:24" x14ac:dyDescent="0.15">
      <c r="B1295" s="7"/>
      <c r="C1295" s="30"/>
      <c r="D1295" s="25"/>
      <c r="E1295" s="43">
        <f t="shared" si="1635"/>
        <v>0</v>
      </c>
      <c r="F1295" s="35"/>
      <c r="G1295" s="8"/>
      <c r="H1295" s="43">
        <f t="shared" si="1636"/>
        <v>0</v>
      </c>
      <c r="I1295" s="35"/>
      <c r="J1295" s="8"/>
      <c r="K1295" s="43">
        <f t="shared" si="1637"/>
        <v>0</v>
      </c>
      <c r="L1295" s="8">
        <f t="shared" si="1638"/>
        <v>0</v>
      </c>
      <c r="N1295" s="7"/>
      <c r="O1295" s="33"/>
      <c r="P1295" s="27"/>
      <c r="Q1295" s="43">
        <f t="shared" si="1648"/>
        <v>0</v>
      </c>
      <c r="R1295" s="37"/>
      <c r="S1295" s="10"/>
      <c r="T1295" s="43">
        <f t="shared" si="1649"/>
        <v>0</v>
      </c>
      <c r="U1295" s="37"/>
      <c r="V1295" s="10"/>
      <c r="W1295" s="43">
        <f t="shared" si="1650"/>
        <v>0</v>
      </c>
      <c r="X1295" s="8">
        <f t="shared" si="1651"/>
        <v>0</v>
      </c>
    </row>
    <row r="1296" spans="2:24" x14ac:dyDescent="0.15">
      <c r="B1296" s="7"/>
      <c r="C1296" s="30"/>
      <c r="D1296" s="25"/>
      <c r="E1296" s="43">
        <f t="shared" si="1635"/>
        <v>0</v>
      </c>
      <c r="F1296" s="35"/>
      <c r="G1296" s="8"/>
      <c r="H1296" s="43">
        <f t="shared" si="1636"/>
        <v>0</v>
      </c>
      <c r="I1296" s="35"/>
      <c r="J1296" s="8"/>
      <c r="K1296" s="43">
        <f t="shared" si="1637"/>
        <v>0</v>
      </c>
      <c r="L1296" s="8">
        <f t="shared" si="1638"/>
        <v>0</v>
      </c>
      <c r="N1296" s="7"/>
      <c r="O1296" s="33"/>
      <c r="P1296" s="27"/>
      <c r="Q1296" s="43">
        <f t="shared" si="1648"/>
        <v>0</v>
      </c>
      <c r="R1296" s="37"/>
      <c r="S1296" s="10"/>
      <c r="T1296" s="43">
        <f t="shared" si="1649"/>
        <v>0</v>
      </c>
      <c r="U1296" s="37"/>
      <c r="V1296" s="10"/>
      <c r="W1296" s="43">
        <f t="shared" si="1650"/>
        <v>0</v>
      </c>
      <c r="X1296" s="8">
        <f t="shared" si="1651"/>
        <v>0</v>
      </c>
    </row>
    <row r="1297" spans="2:25" x14ac:dyDescent="0.15">
      <c r="B1297" s="7"/>
      <c r="C1297" s="30"/>
      <c r="D1297" s="25"/>
      <c r="E1297" s="43">
        <f t="shared" si="1635"/>
        <v>0</v>
      </c>
      <c r="F1297" s="35"/>
      <c r="G1297" s="8"/>
      <c r="H1297" s="43">
        <f t="shared" si="1636"/>
        <v>0</v>
      </c>
      <c r="I1297" s="35"/>
      <c r="J1297" s="8"/>
      <c r="K1297" s="43">
        <f t="shared" si="1637"/>
        <v>0</v>
      </c>
      <c r="L1297" s="8">
        <f t="shared" si="1638"/>
        <v>0</v>
      </c>
      <c r="N1297" s="7"/>
      <c r="O1297" s="33"/>
      <c r="P1297" s="27"/>
      <c r="Q1297" s="43">
        <f t="shared" si="1648"/>
        <v>0</v>
      </c>
      <c r="R1297" s="37"/>
      <c r="S1297" s="10"/>
      <c r="T1297" s="43">
        <f t="shared" si="1649"/>
        <v>0</v>
      </c>
      <c r="U1297" s="37"/>
      <c r="V1297" s="10"/>
      <c r="W1297" s="43">
        <f t="shared" si="1650"/>
        <v>0</v>
      </c>
      <c r="X1297" s="8">
        <f t="shared" si="1651"/>
        <v>0</v>
      </c>
    </row>
    <row r="1298" spans="2:25" x14ac:dyDescent="0.15">
      <c r="B1298" s="7"/>
      <c r="C1298" s="30"/>
      <c r="D1298" s="25"/>
      <c r="E1298" s="43">
        <f t="shared" si="1635"/>
        <v>0</v>
      </c>
      <c r="F1298" s="35"/>
      <c r="G1298" s="8"/>
      <c r="H1298" s="43">
        <f t="shared" si="1636"/>
        <v>0</v>
      </c>
      <c r="I1298" s="35"/>
      <c r="J1298" s="8"/>
      <c r="K1298" s="43">
        <f t="shared" si="1637"/>
        <v>0</v>
      </c>
      <c r="L1298" s="8">
        <f t="shared" si="1638"/>
        <v>0</v>
      </c>
      <c r="N1298" s="7"/>
      <c r="O1298" s="33"/>
      <c r="P1298" s="27"/>
      <c r="Q1298" s="43">
        <f t="shared" si="1648"/>
        <v>0</v>
      </c>
      <c r="R1298" s="37"/>
      <c r="S1298" s="10"/>
      <c r="T1298" s="43">
        <f t="shared" si="1649"/>
        <v>0</v>
      </c>
      <c r="U1298" s="37"/>
      <c r="V1298" s="10"/>
      <c r="W1298" s="43">
        <f t="shared" si="1650"/>
        <v>0</v>
      </c>
      <c r="X1298" s="8">
        <f t="shared" si="1651"/>
        <v>0</v>
      </c>
    </row>
    <row r="1299" spans="2:25" x14ac:dyDescent="0.15">
      <c r="B1299" s="7"/>
      <c r="C1299" s="30"/>
      <c r="D1299" s="25"/>
      <c r="E1299" s="43">
        <f t="shared" si="1635"/>
        <v>0</v>
      </c>
      <c r="F1299" s="35"/>
      <c r="G1299" s="8"/>
      <c r="H1299" s="43">
        <f t="shared" si="1636"/>
        <v>0</v>
      </c>
      <c r="I1299" s="35"/>
      <c r="J1299" s="8"/>
      <c r="K1299" s="43">
        <f t="shared" si="1637"/>
        <v>0</v>
      </c>
      <c r="L1299" s="8">
        <f t="shared" si="1638"/>
        <v>0</v>
      </c>
      <c r="N1299" s="7"/>
      <c r="O1299" s="33"/>
      <c r="P1299" s="27"/>
      <c r="Q1299" s="43">
        <f t="shared" si="1648"/>
        <v>0</v>
      </c>
      <c r="R1299" s="37"/>
      <c r="S1299" s="10"/>
      <c r="T1299" s="43">
        <f t="shared" si="1649"/>
        <v>0</v>
      </c>
      <c r="U1299" s="37"/>
      <c r="V1299" s="10"/>
      <c r="W1299" s="43">
        <f t="shared" si="1650"/>
        <v>0</v>
      </c>
      <c r="X1299" s="8">
        <f t="shared" si="1651"/>
        <v>0</v>
      </c>
    </row>
    <row r="1300" spans="2:25" x14ac:dyDescent="0.15">
      <c r="B1300" s="7"/>
      <c r="C1300" s="30"/>
      <c r="D1300" s="25"/>
      <c r="E1300" s="43">
        <f t="shared" si="1635"/>
        <v>0</v>
      </c>
      <c r="F1300" s="35"/>
      <c r="G1300" s="8"/>
      <c r="H1300" s="43">
        <f t="shared" si="1636"/>
        <v>0</v>
      </c>
      <c r="I1300" s="35"/>
      <c r="J1300" s="8"/>
      <c r="K1300" s="43">
        <f t="shared" si="1637"/>
        <v>0</v>
      </c>
      <c r="L1300" s="8">
        <f t="shared" si="1638"/>
        <v>0</v>
      </c>
      <c r="N1300" s="127" t="s">
        <v>641</v>
      </c>
      <c r="O1300" s="170">
        <v>0</v>
      </c>
      <c r="P1300" s="171">
        <v>0</v>
      </c>
      <c r="Q1300" s="172">
        <f t="shared" ref="Q1300:Q1303" si="1652">SUM(O1300:P1300)</f>
        <v>0</v>
      </c>
      <c r="R1300" s="173">
        <v>0</v>
      </c>
      <c r="S1300" s="174">
        <v>0</v>
      </c>
      <c r="T1300" s="172">
        <f t="shared" ref="T1300:T1303" si="1653">SUM(R1300:S1300)</f>
        <v>0</v>
      </c>
      <c r="U1300" s="173">
        <v>0</v>
      </c>
      <c r="V1300" s="174">
        <v>0</v>
      </c>
      <c r="W1300" s="172">
        <f t="shared" ref="W1300:W1303" si="1654">SUM(U1300:V1300)</f>
        <v>0</v>
      </c>
      <c r="X1300" s="174">
        <f t="shared" ref="X1300:X1303" si="1655">SUM(W1300,T1300,Q1300)</f>
        <v>0</v>
      </c>
      <c r="Y1300" s="71"/>
    </row>
    <row r="1301" spans="2:25" x14ac:dyDescent="0.15">
      <c r="B1301" s="7"/>
      <c r="C1301" s="30"/>
      <c r="D1301" s="25"/>
      <c r="E1301" s="43">
        <f t="shared" si="1635"/>
        <v>0</v>
      </c>
      <c r="F1301" s="35"/>
      <c r="G1301" s="8"/>
      <c r="H1301" s="43">
        <f t="shared" si="1636"/>
        <v>0</v>
      </c>
      <c r="I1301" s="35"/>
      <c r="J1301" s="8"/>
      <c r="K1301" s="43">
        <f t="shared" si="1637"/>
        <v>0</v>
      </c>
      <c r="L1301" s="8">
        <f t="shared" si="1638"/>
        <v>0</v>
      </c>
      <c r="N1301" s="125" t="s">
        <v>643</v>
      </c>
      <c r="O1301" s="170">
        <v>45</v>
      </c>
      <c r="P1301" s="171">
        <v>55</v>
      </c>
      <c r="Q1301" s="172">
        <f t="shared" si="1652"/>
        <v>100</v>
      </c>
      <c r="R1301" s="173">
        <v>70</v>
      </c>
      <c r="S1301" s="174">
        <v>25</v>
      </c>
      <c r="T1301" s="172">
        <f t="shared" si="1653"/>
        <v>95</v>
      </c>
      <c r="U1301" s="173">
        <v>45</v>
      </c>
      <c r="V1301" s="174">
        <v>45</v>
      </c>
      <c r="W1301" s="166">
        <f t="shared" si="1654"/>
        <v>90</v>
      </c>
      <c r="X1301" s="167">
        <f t="shared" si="1655"/>
        <v>285</v>
      </c>
      <c r="Y1301" s="71" t="s">
        <v>627</v>
      </c>
    </row>
    <row r="1302" spans="2:25" x14ac:dyDescent="0.15">
      <c r="B1302" s="7"/>
      <c r="C1302" s="30"/>
      <c r="D1302" s="25"/>
      <c r="E1302" s="43">
        <f t="shared" si="1635"/>
        <v>0</v>
      </c>
      <c r="F1302" s="35"/>
      <c r="G1302" s="8"/>
      <c r="H1302" s="43">
        <f t="shared" si="1636"/>
        <v>0</v>
      </c>
      <c r="I1302" s="35"/>
      <c r="J1302" s="8"/>
      <c r="K1302" s="43">
        <f t="shared" si="1637"/>
        <v>0</v>
      </c>
      <c r="L1302" s="8">
        <f t="shared" si="1638"/>
        <v>0</v>
      </c>
      <c r="N1302" s="127" t="s">
        <v>635</v>
      </c>
      <c r="O1302" s="170">
        <v>-5</v>
      </c>
      <c r="P1302" s="171">
        <v>-5</v>
      </c>
      <c r="Q1302" s="172">
        <f t="shared" si="1652"/>
        <v>-10</v>
      </c>
      <c r="R1302" s="173">
        <v>-5</v>
      </c>
      <c r="S1302" s="174">
        <v>-5</v>
      </c>
      <c r="T1302" s="172">
        <f t="shared" si="1653"/>
        <v>-10</v>
      </c>
      <c r="U1302" s="173">
        <v>-5</v>
      </c>
      <c r="V1302" s="174">
        <v>-5</v>
      </c>
      <c r="W1302" s="172">
        <f t="shared" si="1654"/>
        <v>-10</v>
      </c>
      <c r="X1302" s="174">
        <f t="shared" si="1655"/>
        <v>-30</v>
      </c>
      <c r="Y1302" s="71"/>
    </row>
    <row r="1303" spans="2:25" x14ac:dyDescent="0.15">
      <c r="B1303" s="7"/>
      <c r="C1303" s="30"/>
      <c r="D1303" s="25"/>
      <c r="E1303" s="43">
        <f t="shared" si="1635"/>
        <v>0</v>
      </c>
      <c r="F1303" s="35"/>
      <c r="G1303" s="8"/>
      <c r="H1303" s="43">
        <f t="shared" si="1636"/>
        <v>0</v>
      </c>
      <c r="I1303" s="35"/>
      <c r="J1303" s="8"/>
      <c r="K1303" s="43">
        <f t="shared" si="1637"/>
        <v>0</v>
      </c>
      <c r="L1303" s="8">
        <f t="shared" si="1638"/>
        <v>0</v>
      </c>
      <c r="N1303" s="125" t="s">
        <v>636</v>
      </c>
      <c r="O1303" s="168">
        <v>15</v>
      </c>
      <c r="P1303" s="126">
        <v>22</v>
      </c>
      <c r="Q1303" s="166">
        <f t="shared" si="1652"/>
        <v>37</v>
      </c>
      <c r="R1303" s="169">
        <v>22</v>
      </c>
      <c r="S1303" s="167">
        <v>19</v>
      </c>
      <c r="T1303" s="166">
        <f t="shared" si="1653"/>
        <v>41</v>
      </c>
      <c r="U1303" s="169">
        <v>20</v>
      </c>
      <c r="V1303" s="167">
        <v>25</v>
      </c>
      <c r="W1303" s="166">
        <f t="shared" si="1654"/>
        <v>45</v>
      </c>
      <c r="X1303" s="167">
        <f t="shared" si="1655"/>
        <v>123</v>
      </c>
      <c r="Y1303" s="71" t="s">
        <v>623</v>
      </c>
    </row>
    <row r="1304" spans="2:25" x14ac:dyDescent="0.15">
      <c r="B1304" s="7"/>
      <c r="C1304" s="30"/>
      <c r="D1304" s="25"/>
      <c r="E1304" s="43">
        <f t="shared" si="1635"/>
        <v>0</v>
      </c>
      <c r="F1304" s="35"/>
      <c r="G1304" s="8"/>
      <c r="H1304" s="43">
        <f t="shared" si="1636"/>
        <v>0</v>
      </c>
      <c r="I1304" s="35"/>
      <c r="J1304" s="8"/>
      <c r="K1304" s="43">
        <f t="shared" si="1637"/>
        <v>0</v>
      </c>
      <c r="L1304" s="8">
        <f t="shared" si="1638"/>
        <v>0</v>
      </c>
      <c r="N1304" s="127" t="s">
        <v>587</v>
      </c>
      <c r="O1304" s="170">
        <v>116</v>
      </c>
      <c r="P1304" s="171">
        <v>137</v>
      </c>
      <c r="Q1304" s="172">
        <f t="shared" si="1648"/>
        <v>253</v>
      </c>
      <c r="R1304" s="178"/>
      <c r="S1304" s="177"/>
      <c r="T1304" s="172">
        <f t="shared" si="1649"/>
        <v>0</v>
      </c>
      <c r="U1304" s="173">
        <v>118</v>
      </c>
      <c r="V1304" s="174">
        <v>118</v>
      </c>
      <c r="W1304" s="172">
        <f t="shared" si="1650"/>
        <v>236</v>
      </c>
      <c r="X1304" s="174">
        <f t="shared" si="1651"/>
        <v>489</v>
      </c>
      <c r="Y1304" s="129"/>
    </row>
    <row r="1305" spans="2:25" ht="14.25" thickBot="1" x14ac:dyDescent="0.2">
      <c r="B1305" s="7"/>
      <c r="C1305" s="30"/>
      <c r="D1305" s="25"/>
      <c r="E1305" s="43">
        <f t="shared" ref="E1305" si="1656">SUM(C1305:D1305)</f>
        <v>0</v>
      </c>
      <c r="F1305" s="35"/>
      <c r="G1305" s="8"/>
      <c r="H1305" s="43">
        <f t="shared" ref="H1305" si="1657">SUM(F1305:G1305)</f>
        <v>0</v>
      </c>
      <c r="I1305" s="35"/>
      <c r="J1305" s="8"/>
      <c r="K1305" s="43">
        <f t="shared" ref="K1305" si="1658">SUM(I1305:J1305)</f>
        <v>0</v>
      </c>
      <c r="L1305" s="8">
        <f t="shared" ref="L1305" si="1659">SUM(K1305,H1305,E1305)</f>
        <v>0</v>
      </c>
      <c r="N1305" s="125" t="s">
        <v>589</v>
      </c>
      <c r="O1305" s="168">
        <v>274</v>
      </c>
      <c r="P1305" s="126">
        <v>323</v>
      </c>
      <c r="Q1305" s="166">
        <f t="shared" si="1648"/>
        <v>597</v>
      </c>
      <c r="R1305" s="180"/>
      <c r="S1305" s="179"/>
      <c r="T1305" s="166">
        <f t="shared" si="1649"/>
        <v>0</v>
      </c>
      <c r="U1305" s="169">
        <v>192</v>
      </c>
      <c r="V1305" s="167">
        <v>192</v>
      </c>
      <c r="W1305" s="166">
        <f t="shared" si="1650"/>
        <v>384</v>
      </c>
      <c r="X1305" s="167">
        <f t="shared" si="1651"/>
        <v>981</v>
      </c>
      <c r="Y1305" s="71" t="s">
        <v>588</v>
      </c>
    </row>
    <row r="1306" spans="2:25" ht="14.25" thickBot="1" x14ac:dyDescent="0.2">
      <c r="B1306" s="5" t="s">
        <v>1</v>
      </c>
      <c r="C1306" s="32">
        <f>SUM(C1281:C1305)</f>
        <v>0</v>
      </c>
      <c r="D1306" s="19">
        <f>SUM(D1281:D1305)</f>
        <v>0</v>
      </c>
      <c r="E1306" s="44">
        <f t="shared" si="1635"/>
        <v>0</v>
      </c>
      <c r="F1306" s="32">
        <f>SUM(F1281:F1305)</f>
        <v>0</v>
      </c>
      <c r="G1306" s="19">
        <f>SUM(G1281:G1305)</f>
        <v>0</v>
      </c>
      <c r="H1306" s="44">
        <f t="shared" si="1636"/>
        <v>0</v>
      </c>
      <c r="I1306" s="32">
        <f>SUM(I1281:I1305)</f>
        <v>0</v>
      </c>
      <c r="J1306" s="19">
        <f>SUM(J1281:J1305)</f>
        <v>0</v>
      </c>
      <c r="K1306" s="44">
        <f t="shared" si="1637"/>
        <v>0</v>
      </c>
      <c r="L1306" s="4">
        <f t="shared" si="1638"/>
        <v>0</v>
      </c>
      <c r="N1306" s="5" t="s">
        <v>1</v>
      </c>
      <c r="O1306" s="32">
        <f>SUM(O1281:O1305)</f>
        <v>445</v>
      </c>
      <c r="P1306" s="19">
        <f t="shared" ref="P1306:X1306" si="1660">SUM(P1281:P1305)</f>
        <v>532</v>
      </c>
      <c r="Q1306" s="44">
        <f t="shared" si="1660"/>
        <v>977</v>
      </c>
      <c r="R1306" s="32">
        <f t="shared" si="1660"/>
        <v>87</v>
      </c>
      <c r="S1306" s="19">
        <f t="shared" si="1660"/>
        <v>39</v>
      </c>
      <c r="T1306" s="44">
        <f t="shared" si="1660"/>
        <v>126</v>
      </c>
      <c r="U1306" s="32">
        <f t="shared" si="1660"/>
        <v>370</v>
      </c>
      <c r="V1306" s="19">
        <f t="shared" si="1660"/>
        <v>375</v>
      </c>
      <c r="W1306" s="44">
        <f t="shared" si="1660"/>
        <v>745</v>
      </c>
      <c r="X1306" s="4">
        <f t="shared" si="1660"/>
        <v>1848</v>
      </c>
    </row>
    <row r="1307" spans="2:25" ht="14.25" thickBot="1" x14ac:dyDescent="0.2">
      <c r="B1307" s="3" t="s">
        <v>0</v>
      </c>
      <c r="C1307" s="34">
        <f>+C1280-C1306</f>
        <v>38</v>
      </c>
      <c r="D1307" s="2">
        <f>+D1280-D1306</f>
        <v>7</v>
      </c>
      <c r="E1307" s="45">
        <f t="shared" si="1635"/>
        <v>45</v>
      </c>
      <c r="F1307" s="34">
        <f>+F1280-F1306</f>
        <v>5</v>
      </c>
      <c r="G1307" s="2">
        <f>+G1280-G1306</f>
        <v>8</v>
      </c>
      <c r="H1307" s="45">
        <f t="shared" si="1636"/>
        <v>13</v>
      </c>
      <c r="I1307" s="34">
        <f>+I1280-I1306</f>
        <v>6</v>
      </c>
      <c r="J1307" s="2">
        <f>+J1280-J1306</f>
        <v>3</v>
      </c>
      <c r="K1307" s="45">
        <f t="shared" si="1637"/>
        <v>9</v>
      </c>
      <c r="L1307" s="2">
        <f t="shared" si="1638"/>
        <v>67</v>
      </c>
      <c r="N1307" s="59" t="s">
        <v>0</v>
      </c>
      <c r="O1307" s="60">
        <f>+O1280-O1306</f>
        <v>33</v>
      </c>
      <c r="P1307" s="61">
        <f t="shared" ref="P1307:X1307" si="1661">+P1280-P1306</f>
        <v>1</v>
      </c>
      <c r="Q1307" s="161">
        <f t="shared" si="1661"/>
        <v>34</v>
      </c>
      <c r="R1307" s="60">
        <f t="shared" si="1661"/>
        <v>38</v>
      </c>
      <c r="S1307" s="61">
        <f t="shared" si="1661"/>
        <v>118</v>
      </c>
      <c r="T1307" s="161">
        <f t="shared" si="1661"/>
        <v>156</v>
      </c>
      <c r="U1307" s="60">
        <f t="shared" si="1661"/>
        <v>40</v>
      </c>
      <c r="V1307" s="61">
        <f t="shared" si="1661"/>
        <v>32</v>
      </c>
      <c r="W1307" s="161">
        <f t="shared" si="1661"/>
        <v>72</v>
      </c>
      <c r="X1307" s="61">
        <f t="shared" si="1661"/>
        <v>262</v>
      </c>
      <c r="Y1307" s="129" t="s">
        <v>632</v>
      </c>
    </row>
    <row r="1308" spans="2:25" x14ac:dyDescent="0.15">
      <c r="N1308" s="99" t="s">
        <v>594</v>
      </c>
      <c r="O1308">
        <v>152</v>
      </c>
      <c r="P1308">
        <v>199</v>
      </c>
      <c r="Q1308">
        <f>SUM(O1308:P1308)</f>
        <v>351</v>
      </c>
      <c r="R1308">
        <v>132</v>
      </c>
      <c r="S1308">
        <v>175</v>
      </c>
      <c r="T1308">
        <f>SUM(R1308:S1308)</f>
        <v>307</v>
      </c>
      <c r="U1308">
        <v>93</v>
      </c>
      <c r="V1308">
        <v>102</v>
      </c>
      <c r="W1308">
        <f>SUM(U1308:V1308)</f>
        <v>195</v>
      </c>
    </row>
    <row r="1309" spans="2:25" x14ac:dyDescent="0.15">
      <c r="N1309" s="99" t="s">
        <v>642</v>
      </c>
      <c r="O1309">
        <v>36</v>
      </c>
      <c r="P1309">
        <v>35</v>
      </c>
      <c r="Q1309">
        <f>SUM(O1309:P1309)</f>
        <v>71</v>
      </c>
      <c r="R1309">
        <v>28</v>
      </c>
      <c r="S1309">
        <v>10</v>
      </c>
      <c r="T1309">
        <f>SUM(R1309:S1309)</f>
        <v>38</v>
      </c>
      <c r="U1309">
        <v>6</v>
      </c>
      <c r="V1309">
        <v>27</v>
      </c>
      <c r="W1309">
        <f>SUM(U1309:V1309)</f>
        <v>33</v>
      </c>
    </row>
  </sheetData>
  <mergeCells count="173">
    <mergeCell ref="U205:W205"/>
    <mergeCell ref="U164:W164"/>
    <mergeCell ref="U247:W247"/>
    <mergeCell ref="U288:W288"/>
    <mergeCell ref="U329:W329"/>
    <mergeCell ref="U411:W411"/>
    <mergeCell ref="U370:W370"/>
    <mergeCell ref="U657:V657"/>
    <mergeCell ref="C1026:E1026"/>
    <mergeCell ref="F1026:H1026"/>
    <mergeCell ref="I1026:K1026"/>
    <mergeCell ref="O1026:P1026"/>
    <mergeCell ref="R1026:S1026"/>
    <mergeCell ref="U1026:V1026"/>
    <mergeCell ref="B1023:X1023"/>
    <mergeCell ref="O985:P985"/>
    <mergeCell ref="R985:S985"/>
    <mergeCell ref="U985:V985"/>
    <mergeCell ref="C288:E288"/>
    <mergeCell ref="F288:H288"/>
    <mergeCell ref="I288:K288"/>
    <mergeCell ref="O288:Q288"/>
    <mergeCell ref="R288:T288"/>
    <mergeCell ref="O247:Q247"/>
    <mergeCell ref="R247:T247"/>
    <mergeCell ref="C247:E247"/>
    <mergeCell ref="F247:H247"/>
    <mergeCell ref="I247:K247"/>
    <mergeCell ref="C205:E205"/>
    <mergeCell ref="F205:H205"/>
    <mergeCell ref="I205:K205"/>
    <mergeCell ref="O205:Q205"/>
    <mergeCell ref="R205:T205"/>
    <mergeCell ref="O164:Q164"/>
    <mergeCell ref="R164:T164"/>
    <mergeCell ref="U4:W4"/>
    <mergeCell ref="O44:Q44"/>
    <mergeCell ref="R44:T44"/>
    <mergeCell ref="U44:W44"/>
    <mergeCell ref="O4:Q4"/>
    <mergeCell ref="R4:T4"/>
    <mergeCell ref="C84:E84"/>
    <mergeCell ref="F84:H84"/>
    <mergeCell ref="O124:Q124"/>
    <mergeCell ref="R124:T124"/>
    <mergeCell ref="U124:W124"/>
    <mergeCell ref="C124:E124"/>
    <mergeCell ref="F124:H124"/>
    <mergeCell ref="I124:K124"/>
    <mergeCell ref="I84:K84"/>
    <mergeCell ref="O84:Q84"/>
    <mergeCell ref="R84:T84"/>
    <mergeCell ref="U84:W84"/>
    <mergeCell ref="C4:E4"/>
    <mergeCell ref="F4:H4"/>
    <mergeCell ref="I4:K4"/>
    <mergeCell ref="C44:E44"/>
    <mergeCell ref="F44:H44"/>
    <mergeCell ref="I44:K44"/>
    <mergeCell ref="F534:H534"/>
    <mergeCell ref="I534:K534"/>
    <mergeCell ref="C370:E370"/>
    <mergeCell ref="F370:H370"/>
    <mergeCell ref="I370:K370"/>
    <mergeCell ref="C493:E493"/>
    <mergeCell ref="F493:H493"/>
    <mergeCell ref="I493:K493"/>
    <mergeCell ref="C452:E452"/>
    <mergeCell ref="F452:H452"/>
    <mergeCell ref="I452:K452"/>
    <mergeCell ref="C534:E534"/>
    <mergeCell ref="C164:E164"/>
    <mergeCell ref="F164:H164"/>
    <mergeCell ref="I164:K164"/>
    <mergeCell ref="O370:Q370"/>
    <mergeCell ref="R370:T370"/>
    <mergeCell ref="C329:E329"/>
    <mergeCell ref="F329:H329"/>
    <mergeCell ref="I329:K329"/>
    <mergeCell ref="O329:Q329"/>
    <mergeCell ref="R329:T329"/>
    <mergeCell ref="C411:E411"/>
    <mergeCell ref="F411:H411"/>
    <mergeCell ref="I411:K411"/>
    <mergeCell ref="O411:Q411"/>
    <mergeCell ref="R411:T411"/>
    <mergeCell ref="I616:K616"/>
    <mergeCell ref="O616:P616"/>
    <mergeCell ref="R616:S616"/>
    <mergeCell ref="C575:E575"/>
    <mergeCell ref="F575:H575"/>
    <mergeCell ref="I575:K575"/>
    <mergeCell ref="O575:P575"/>
    <mergeCell ref="R575:S575"/>
    <mergeCell ref="A613:V613"/>
    <mergeCell ref="U616:V616"/>
    <mergeCell ref="C616:E616"/>
    <mergeCell ref="F616:H616"/>
    <mergeCell ref="U575:V575"/>
    <mergeCell ref="C698:E698"/>
    <mergeCell ref="F698:H698"/>
    <mergeCell ref="I698:K698"/>
    <mergeCell ref="O698:P698"/>
    <mergeCell ref="R698:S698"/>
    <mergeCell ref="U698:V698"/>
    <mergeCell ref="C657:E657"/>
    <mergeCell ref="F657:H657"/>
    <mergeCell ref="I657:K657"/>
    <mergeCell ref="O657:P657"/>
    <mergeCell ref="R657:S657"/>
    <mergeCell ref="C780:E780"/>
    <mergeCell ref="F780:H780"/>
    <mergeCell ref="I780:K780"/>
    <mergeCell ref="C862:E862"/>
    <mergeCell ref="F862:H862"/>
    <mergeCell ref="I862:K862"/>
    <mergeCell ref="C739:E739"/>
    <mergeCell ref="F739:H739"/>
    <mergeCell ref="I739:K739"/>
    <mergeCell ref="C985:E985"/>
    <mergeCell ref="F985:H985"/>
    <mergeCell ref="I985:K985"/>
    <mergeCell ref="C821:E821"/>
    <mergeCell ref="F821:H821"/>
    <mergeCell ref="I821:K821"/>
    <mergeCell ref="C944:E944"/>
    <mergeCell ref="F944:H944"/>
    <mergeCell ref="I944:K944"/>
    <mergeCell ref="C903:E903"/>
    <mergeCell ref="F903:H903"/>
    <mergeCell ref="I903:K903"/>
    <mergeCell ref="O944:P944"/>
    <mergeCell ref="R944:S944"/>
    <mergeCell ref="U944:V944"/>
    <mergeCell ref="O903:P903"/>
    <mergeCell ref="R903:S903"/>
    <mergeCell ref="U903:V903"/>
    <mergeCell ref="O1231:P1231"/>
    <mergeCell ref="R1231:S1231"/>
    <mergeCell ref="U1231:V1231"/>
    <mergeCell ref="O1190:P1190"/>
    <mergeCell ref="R1190:S1190"/>
    <mergeCell ref="U1190:V1190"/>
    <mergeCell ref="O1149:P1149"/>
    <mergeCell ref="R1149:S1149"/>
    <mergeCell ref="U1149:V1149"/>
    <mergeCell ref="C1149:E1149"/>
    <mergeCell ref="F1149:H1149"/>
    <mergeCell ref="I1149:K1149"/>
    <mergeCell ref="C1190:E1190"/>
    <mergeCell ref="F1190:H1190"/>
    <mergeCell ref="I1190:K1190"/>
    <mergeCell ref="O1067:P1067"/>
    <mergeCell ref="R1067:S1067"/>
    <mergeCell ref="U1067:V1067"/>
    <mergeCell ref="C1067:E1067"/>
    <mergeCell ref="F1067:H1067"/>
    <mergeCell ref="I1067:K1067"/>
    <mergeCell ref="O1108:P1108"/>
    <mergeCell ref="R1108:S1108"/>
    <mergeCell ref="U1108:V1108"/>
    <mergeCell ref="C1108:E1108"/>
    <mergeCell ref="F1108:H1108"/>
    <mergeCell ref="I1108:K1108"/>
    <mergeCell ref="O1272:P1272"/>
    <mergeCell ref="R1272:S1272"/>
    <mergeCell ref="U1272:V1272"/>
    <mergeCell ref="C1272:E1272"/>
    <mergeCell ref="F1272:H1272"/>
    <mergeCell ref="I1272:K1272"/>
    <mergeCell ref="C1231:E1231"/>
    <mergeCell ref="F1231:H1231"/>
    <mergeCell ref="I1231:K1231"/>
  </mergeCells>
  <phoneticPr fontId="2"/>
  <pageMargins left="0.78700000000000003" right="0.78700000000000003" top="0.98399999999999999" bottom="0.98399999999999999" header="0.51200000000000001" footer="0.51200000000000001"/>
  <pageSetup paperSize="9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ﾒｯｼｭﾚｷﾞﾝｽ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yumeh</dc:creator>
  <cp:lastModifiedBy>AT MR</cp:lastModifiedBy>
  <cp:lastPrinted>2023-07-13T02:27:14Z</cp:lastPrinted>
  <dcterms:created xsi:type="dcterms:W3CDTF">2023-04-17T08:29:02Z</dcterms:created>
  <dcterms:modified xsi:type="dcterms:W3CDTF">2026-06-18T05:23:39Z</dcterms:modified>
</cp:coreProperties>
</file>