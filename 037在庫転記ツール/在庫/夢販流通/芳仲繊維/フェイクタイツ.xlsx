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yhds220p\10_発注管理\夢販流通\芳仲繊維\"/>
    </mc:Choice>
  </mc:AlternateContent>
  <xr:revisionPtr revIDLastSave="0" documentId="13_ncr:1_{0264516B-C270-469B-9568-5930F5D098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色組" sheetId="1" r:id="rId1"/>
    <sheet name="ネット用単品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11" i="1" l="1"/>
  <c r="I611" i="1"/>
  <c r="D611" i="1"/>
  <c r="C611" i="1"/>
  <c r="K610" i="1"/>
  <c r="E610" i="1"/>
  <c r="K609" i="1"/>
  <c r="E609" i="1"/>
  <c r="K608" i="1"/>
  <c r="E608" i="1"/>
  <c r="K607" i="1"/>
  <c r="E607" i="1"/>
  <c r="K606" i="1"/>
  <c r="E606" i="1"/>
  <c r="K605" i="1"/>
  <c r="E605" i="1"/>
  <c r="K604" i="1"/>
  <c r="E604" i="1"/>
  <c r="K603" i="1"/>
  <c r="E603" i="1"/>
  <c r="K602" i="1"/>
  <c r="E602" i="1"/>
  <c r="K601" i="1"/>
  <c r="E601" i="1"/>
  <c r="K600" i="1"/>
  <c r="E600" i="1"/>
  <c r="K599" i="1"/>
  <c r="E599" i="1"/>
  <c r="K598" i="1"/>
  <c r="E598" i="1"/>
  <c r="K597" i="1"/>
  <c r="E597" i="1"/>
  <c r="K596" i="1"/>
  <c r="E596" i="1"/>
  <c r="K595" i="1"/>
  <c r="E595" i="1"/>
  <c r="K594" i="1"/>
  <c r="E594" i="1"/>
  <c r="K593" i="1"/>
  <c r="E593" i="1"/>
  <c r="K592" i="1"/>
  <c r="E592" i="1"/>
  <c r="K591" i="1"/>
  <c r="E591" i="1"/>
  <c r="K590" i="1"/>
  <c r="E590" i="1"/>
  <c r="K589" i="1"/>
  <c r="E589" i="1"/>
  <c r="K588" i="1"/>
  <c r="E588" i="1"/>
  <c r="K587" i="1"/>
  <c r="E587" i="1"/>
  <c r="K586" i="1"/>
  <c r="E586" i="1"/>
  <c r="K584" i="1"/>
  <c r="E584" i="1"/>
  <c r="K583" i="1"/>
  <c r="E583" i="1"/>
  <c r="K582" i="1"/>
  <c r="E582" i="1"/>
  <c r="K581" i="1"/>
  <c r="E581" i="1"/>
  <c r="K580" i="1"/>
  <c r="E580" i="1"/>
  <c r="D579" i="1"/>
  <c r="D585" i="1" s="1"/>
  <c r="E565" i="1"/>
  <c r="E48" i="2"/>
  <c r="E47" i="2"/>
  <c r="K501" i="1"/>
  <c r="E543" i="1"/>
  <c r="E347" i="1"/>
  <c r="E60" i="2"/>
  <c r="E460" i="1"/>
  <c r="E459" i="1"/>
  <c r="E458" i="1"/>
  <c r="E457" i="1"/>
  <c r="E419" i="1"/>
  <c r="I488" i="1"/>
  <c r="K485" i="1"/>
  <c r="K565" i="1"/>
  <c r="I458" i="1"/>
  <c r="K458" i="1"/>
  <c r="E429" i="1"/>
  <c r="E430" i="1"/>
  <c r="E431" i="1"/>
  <c r="E432" i="1"/>
  <c r="E433" i="1"/>
  <c r="E434" i="1"/>
  <c r="E468" i="1"/>
  <c r="E467" i="1"/>
  <c r="E466" i="1"/>
  <c r="E465" i="1"/>
  <c r="E464" i="1"/>
  <c r="E463" i="1"/>
  <c r="D570" i="1"/>
  <c r="C570" i="1"/>
  <c r="E569" i="1"/>
  <c r="E568" i="1"/>
  <c r="E567" i="1"/>
  <c r="E566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2" i="1"/>
  <c r="E541" i="1"/>
  <c r="E540" i="1"/>
  <c r="E539" i="1"/>
  <c r="K521" i="1"/>
  <c r="K522" i="1"/>
  <c r="K523" i="1"/>
  <c r="K524" i="1"/>
  <c r="K528" i="1"/>
  <c r="K527" i="1"/>
  <c r="K526" i="1"/>
  <c r="K525" i="1"/>
  <c r="K562" i="1"/>
  <c r="K563" i="1"/>
  <c r="K564" i="1"/>
  <c r="K540" i="1"/>
  <c r="J570" i="1"/>
  <c r="I570" i="1"/>
  <c r="K569" i="1"/>
  <c r="K568" i="1"/>
  <c r="K567" i="1"/>
  <c r="K566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3" i="1"/>
  <c r="K542" i="1"/>
  <c r="K541" i="1"/>
  <c r="K539" i="1"/>
  <c r="K460" i="1"/>
  <c r="K499" i="1"/>
  <c r="K479" i="1"/>
  <c r="K480" i="1"/>
  <c r="K481" i="1"/>
  <c r="K482" i="1"/>
  <c r="K483" i="1"/>
  <c r="K484" i="1"/>
  <c r="K486" i="1"/>
  <c r="K487" i="1"/>
  <c r="K446" i="1"/>
  <c r="K445" i="1"/>
  <c r="K444" i="1"/>
  <c r="K443" i="1"/>
  <c r="K442" i="1"/>
  <c r="K441" i="1"/>
  <c r="K440" i="1"/>
  <c r="K429" i="1"/>
  <c r="K419" i="1"/>
  <c r="E392" i="1"/>
  <c r="K377" i="1"/>
  <c r="K378" i="1"/>
  <c r="K416" i="1"/>
  <c r="E338" i="1"/>
  <c r="K376" i="1"/>
  <c r="E376" i="1"/>
  <c r="K498" i="1"/>
  <c r="J529" i="1"/>
  <c r="I529" i="1"/>
  <c r="D529" i="1"/>
  <c r="C529" i="1"/>
  <c r="E528" i="1"/>
  <c r="E527" i="1"/>
  <c r="E526" i="1"/>
  <c r="E525" i="1"/>
  <c r="E524" i="1"/>
  <c r="E523" i="1"/>
  <c r="E522" i="1"/>
  <c r="E521" i="1"/>
  <c r="K520" i="1"/>
  <c r="E520" i="1"/>
  <c r="K519" i="1"/>
  <c r="E519" i="1"/>
  <c r="K518" i="1"/>
  <c r="E518" i="1"/>
  <c r="K517" i="1"/>
  <c r="E517" i="1"/>
  <c r="K516" i="1"/>
  <c r="E516" i="1"/>
  <c r="K515" i="1"/>
  <c r="E515" i="1"/>
  <c r="K514" i="1"/>
  <c r="E514" i="1"/>
  <c r="K513" i="1"/>
  <c r="E513" i="1"/>
  <c r="K512" i="1"/>
  <c r="E512" i="1"/>
  <c r="K511" i="1"/>
  <c r="E511" i="1"/>
  <c r="K510" i="1"/>
  <c r="E510" i="1"/>
  <c r="K509" i="1"/>
  <c r="E509" i="1"/>
  <c r="K508" i="1"/>
  <c r="E508" i="1"/>
  <c r="K507" i="1"/>
  <c r="E507" i="1"/>
  <c r="K506" i="1"/>
  <c r="E506" i="1"/>
  <c r="K505" i="1"/>
  <c r="E505" i="1"/>
  <c r="K504" i="1"/>
  <c r="E504" i="1"/>
  <c r="K502" i="1"/>
  <c r="E502" i="1"/>
  <c r="E501" i="1"/>
  <c r="K500" i="1"/>
  <c r="E500" i="1"/>
  <c r="E499" i="1"/>
  <c r="E498" i="1"/>
  <c r="K417" i="1"/>
  <c r="K400" i="1"/>
  <c r="K401" i="1"/>
  <c r="K402" i="1"/>
  <c r="K403" i="1"/>
  <c r="K404" i="1"/>
  <c r="K405" i="1"/>
  <c r="K434" i="1"/>
  <c r="K435" i="1"/>
  <c r="K436" i="1"/>
  <c r="K437" i="1"/>
  <c r="K438" i="1"/>
  <c r="K475" i="1"/>
  <c r="K476" i="1"/>
  <c r="K477" i="1"/>
  <c r="K478" i="1"/>
  <c r="J488" i="1"/>
  <c r="D488" i="1"/>
  <c r="C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K474" i="1"/>
  <c r="E474" i="1"/>
  <c r="K473" i="1"/>
  <c r="E473" i="1"/>
  <c r="K472" i="1"/>
  <c r="E472" i="1"/>
  <c r="K471" i="1"/>
  <c r="E471" i="1"/>
  <c r="K470" i="1"/>
  <c r="E470" i="1"/>
  <c r="K469" i="1"/>
  <c r="E469" i="1"/>
  <c r="K468" i="1"/>
  <c r="K467" i="1"/>
  <c r="K466" i="1"/>
  <c r="K465" i="1"/>
  <c r="K464" i="1"/>
  <c r="K463" i="1"/>
  <c r="K461" i="1"/>
  <c r="E461" i="1"/>
  <c r="K459" i="1"/>
  <c r="K457" i="1"/>
  <c r="J406" i="1"/>
  <c r="K439" i="1"/>
  <c r="K395" i="1"/>
  <c r="K396" i="1"/>
  <c r="K397" i="1"/>
  <c r="K398" i="1"/>
  <c r="E422" i="1"/>
  <c r="D447" i="1"/>
  <c r="C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28" i="1"/>
  <c r="E427" i="1"/>
  <c r="E426" i="1"/>
  <c r="E425" i="1"/>
  <c r="E424" i="1"/>
  <c r="E423" i="1"/>
  <c r="E420" i="1"/>
  <c r="E418" i="1"/>
  <c r="E417" i="1"/>
  <c r="E416" i="1"/>
  <c r="K418" i="1"/>
  <c r="J447" i="1"/>
  <c r="I447" i="1"/>
  <c r="K433" i="1"/>
  <c r="K432" i="1"/>
  <c r="K431" i="1"/>
  <c r="K430" i="1"/>
  <c r="K428" i="1"/>
  <c r="K427" i="1"/>
  <c r="K426" i="1"/>
  <c r="K425" i="1"/>
  <c r="K424" i="1"/>
  <c r="K423" i="1"/>
  <c r="K422" i="1"/>
  <c r="K420" i="1"/>
  <c r="E375" i="1"/>
  <c r="K381" i="1"/>
  <c r="E381" i="1"/>
  <c r="K46" i="1"/>
  <c r="K52" i="1" s="1"/>
  <c r="J46" i="1"/>
  <c r="I46" i="1"/>
  <c r="I52" i="1" s="1"/>
  <c r="J52" i="1"/>
  <c r="J11" i="1"/>
  <c r="K11" i="1"/>
  <c r="J38" i="1"/>
  <c r="I11" i="1"/>
  <c r="I38" i="1" s="1"/>
  <c r="K37" i="1"/>
  <c r="J37" i="1"/>
  <c r="I37" i="1"/>
  <c r="K78" i="1"/>
  <c r="J78" i="1"/>
  <c r="I78" i="1"/>
  <c r="K119" i="1"/>
  <c r="J119" i="1"/>
  <c r="I119" i="1"/>
  <c r="K160" i="1"/>
  <c r="J160" i="1"/>
  <c r="I160" i="1"/>
  <c r="K201" i="1"/>
  <c r="J201" i="1"/>
  <c r="I201" i="1"/>
  <c r="K242" i="1"/>
  <c r="J242" i="1"/>
  <c r="I242" i="1"/>
  <c r="K283" i="1"/>
  <c r="J283" i="1"/>
  <c r="I283" i="1"/>
  <c r="K324" i="1"/>
  <c r="J324" i="1"/>
  <c r="I324" i="1"/>
  <c r="K365" i="1"/>
  <c r="J365" i="1"/>
  <c r="I365" i="1"/>
  <c r="I406" i="1"/>
  <c r="E382" i="1"/>
  <c r="E383" i="1"/>
  <c r="E384" i="1"/>
  <c r="E385" i="1"/>
  <c r="E386" i="1"/>
  <c r="E377" i="1"/>
  <c r="D406" i="1"/>
  <c r="C406" i="1"/>
  <c r="E405" i="1"/>
  <c r="E404" i="1"/>
  <c r="E403" i="1"/>
  <c r="E402" i="1"/>
  <c r="E401" i="1"/>
  <c r="E400" i="1"/>
  <c r="K399" i="1"/>
  <c r="E399" i="1"/>
  <c r="E398" i="1"/>
  <c r="E397" i="1"/>
  <c r="E396" i="1"/>
  <c r="E395" i="1"/>
  <c r="K394" i="1"/>
  <c r="E394" i="1"/>
  <c r="K393" i="1"/>
  <c r="E393" i="1"/>
  <c r="K392" i="1"/>
  <c r="K391" i="1"/>
  <c r="E391" i="1"/>
  <c r="K390" i="1"/>
  <c r="E390" i="1"/>
  <c r="K389" i="1"/>
  <c r="E389" i="1"/>
  <c r="K388" i="1"/>
  <c r="E388" i="1"/>
  <c r="K387" i="1"/>
  <c r="E387" i="1"/>
  <c r="K386" i="1"/>
  <c r="K385" i="1"/>
  <c r="K384" i="1"/>
  <c r="K383" i="1"/>
  <c r="K382" i="1"/>
  <c r="K379" i="1"/>
  <c r="E379" i="1"/>
  <c r="E378" i="1"/>
  <c r="K375" i="1"/>
  <c r="E33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E337" i="1"/>
  <c r="E336" i="1"/>
  <c r="E334" i="1"/>
  <c r="K334" i="1"/>
  <c r="K335" i="1"/>
  <c r="E340" i="1"/>
  <c r="E341" i="1"/>
  <c r="E342" i="1"/>
  <c r="E343" i="1"/>
  <c r="E344" i="1"/>
  <c r="E345" i="1"/>
  <c r="E346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2" i="1"/>
  <c r="E363" i="1"/>
  <c r="E364" i="1"/>
  <c r="D365" i="1"/>
  <c r="C365" i="1"/>
  <c r="E361" i="1"/>
  <c r="K338" i="1"/>
  <c r="K337" i="1"/>
  <c r="K336" i="1"/>
  <c r="E315" i="1"/>
  <c r="E314" i="1"/>
  <c r="E313" i="1"/>
  <c r="E312" i="1"/>
  <c r="E305" i="1"/>
  <c r="E296" i="1"/>
  <c r="E295" i="1"/>
  <c r="E302" i="1"/>
  <c r="E301" i="1"/>
  <c r="K303" i="1"/>
  <c r="E297" i="1"/>
  <c r="K294" i="1"/>
  <c r="E320" i="1"/>
  <c r="J281" i="1"/>
  <c r="I281" i="1"/>
  <c r="J282" i="1"/>
  <c r="I282" i="1"/>
  <c r="K322" i="1"/>
  <c r="K323" i="1"/>
  <c r="E323" i="1"/>
  <c r="E322" i="1"/>
  <c r="K297" i="1"/>
  <c r="K611" i="1" l="1"/>
  <c r="E611" i="1"/>
  <c r="D612" i="1"/>
  <c r="E570" i="1"/>
  <c r="E529" i="1"/>
  <c r="E488" i="1"/>
  <c r="K570" i="1"/>
  <c r="K529" i="1"/>
  <c r="K488" i="1"/>
  <c r="E447" i="1"/>
  <c r="K447" i="1"/>
  <c r="E406" i="1"/>
  <c r="K406" i="1"/>
  <c r="J367" i="1"/>
  <c r="I367" i="1"/>
  <c r="E365" i="1"/>
  <c r="K262" i="1"/>
  <c r="E262" i="1"/>
  <c r="K241" i="1"/>
  <c r="K260" i="1"/>
  <c r="K277" i="1"/>
  <c r="E259" i="1"/>
  <c r="K219" i="1"/>
  <c r="K258" i="1"/>
  <c r="K218" i="1"/>
  <c r="K212" i="1"/>
  <c r="K200" i="1"/>
  <c r="K320" i="1"/>
  <c r="K321" i="1"/>
  <c r="K296" i="1"/>
  <c r="D324" i="1"/>
  <c r="C324" i="1"/>
  <c r="E321" i="1"/>
  <c r="K319" i="1"/>
  <c r="E319" i="1"/>
  <c r="K318" i="1"/>
  <c r="E318" i="1"/>
  <c r="K317" i="1"/>
  <c r="E317" i="1"/>
  <c r="K316" i="1"/>
  <c r="E316" i="1"/>
  <c r="K315" i="1"/>
  <c r="K314" i="1"/>
  <c r="K313" i="1"/>
  <c r="K312" i="1"/>
  <c r="K311" i="1"/>
  <c r="E311" i="1"/>
  <c r="K310" i="1"/>
  <c r="E310" i="1"/>
  <c r="K309" i="1"/>
  <c r="E309" i="1"/>
  <c r="K308" i="1"/>
  <c r="E308" i="1"/>
  <c r="K307" i="1"/>
  <c r="E307" i="1"/>
  <c r="K306" i="1"/>
  <c r="E306" i="1"/>
  <c r="K305" i="1"/>
  <c r="K304" i="1"/>
  <c r="E304" i="1"/>
  <c r="E303" i="1"/>
  <c r="K302" i="1"/>
  <c r="K301" i="1"/>
  <c r="K300" i="1"/>
  <c r="E300" i="1"/>
  <c r="K299" i="1"/>
  <c r="E299" i="1"/>
  <c r="K295" i="1"/>
  <c r="E294" i="1"/>
  <c r="K293" i="1"/>
  <c r="E293" i="1"/>
  <c r="K182" i="1"/>
  <c r="K214" i="1"/>
  <c r="K238" i="1"/>
  <c r="K239" i="1"/>
  <c r="K240" i="1"/>
  <c r="K279" i="1"/>
  <c r="K280" i="1"/>
  <c r="K252" i="1"/>
  <c r="K253" i="1"/>
  <c r="D283" i="1"/>
  <c r="C283" i="1"/>
  <c r="K282" i="1"/>
  <c r="E282" i="1"/>
  <c r="K281" i="1"/>
  <c r="E281" i="1"/>
  <c r="E280" i="1"/>
  <c r="E279" i="1"/>
  <c r="E278" i="1"/>
  <c r="E277" i="1"/>
  <c r="K276" i="1"/>
  <c r="E276" i="1"/>
  <c r="K275" i="1"/>
  <c r="E275" i="1"/>
  <c r="K274" i="1"/>
  <c r="E274" i="1"/>
  <c r="K273" i="1"/>
  <c r="E273" i="1"/>
  <c r="K272" i="1"/>
  <c r="E272" i="1"/>
  <c r="K271" i="1"/>
  <c r="E271" i="1"/>
  <c r="K270" i="1"/>
  <c r="E270" i="1"/>
  <c r="K269" i="1"/>
  <c r="E269" i="1"/>
  <c r="K268" i="1"/>
  <c r="E268" i="1"/>
  <c r="K267" i="1"/>
  <c r="E267" i="1"/>
  <c r="K266" i="1"/>
  <c r="E266" i="1"/>
  <c r="K265" i="1"/>
  <c r="E265" i="1"/>
  <c r="K264" i="1"/>
  <c r="E264" i="1"/>
  <c r="K263" i="1"/>
  <c r="E263" i="1"/>
  <c r="K261" i="1"/>
  <c r="E261" i="1"/>
  <c r="E260" i="1"/>
  <c r="K259" i="1"/>
  <c r="E258" i="1"/>
  <c r="K256" i="1"/>
  <c r="E256" i="1"/>
  <c r="K255" i="1"/>
  <c r="E255" i="1"/>
  <c r="K254" i="1"/>
  <c r="E254" i="1"/>
  <c r="E252" i="1"/>
  <c r="K196" i="1"/>
  <c r="K197" i="1"/>
  <c r="K198" i="1"/>
  <c r="K158" i="1"/>
  <c r="K157" i="1"/>
  <c r="K156" i="1"/>
  <c r="K155" i="1"/>
  <c r="K171" i="1"/>
  <c r="K170" i="1"/>
  <c r="K131" i="1"/>
  <c r="K211" i="1"/>
  <c r="K172" i="1"/>
  <c r="K173" i="1"/>
  <c r="K154" i="1"/>
  <c r="K153" i="1"/>
  <c r="K152" i="1"/>
  <c r="K159" i="1"/>
  <c r="K132" i="1"/>
  <c r="K186" i="1"/>
  <c r="K185" i="1"/>
  <c r="K184" i="1"/>
  <c r="K183" i="1"/>
  <c r="K181" i="1"/>
  <c r="K180" i="1"/>
  <c r="K179" i="1"/>
  <c r="K178" i="1"/>
  <c r="K177" i="1"/>
  <c r="K176" i="1"/>
  <c r="E185" i="1"/>
  <c r="E184" i="1"/>
  <c r="E183" i="1"/>
  <c r="E182" i="1"/>
  <c r="E181" i="1"/>
  <c r="E180" i="1"/>
  <c r="E179" i="1"/>
  <c r="E178" i="1"/>
  <c r="E177" i="1"/>
  <c r="E176" i="1"/>
  <c r="E173" i="1"/>
  <c r="E172" i="1"/>
  <c r="E171" i="1"/>
  <c r="E170" i="1"/>
  <c r="D201" i="1"/>
  <c r="C201" i="1"/>
  <c r="E200" i="1"/>
  <c r="K199" i="1"/>
  <c r="E199" i="1"/>
  <c r="E198" i="1"/>
  <c r="E197" i="1"/>
  <c r="E196" i="1"/>
  <c r="K195" i="1"/>
  <c r="E195" i="1"/>
  <c r="K194" i="1"/>
  <c r="E194" i="1"/>
  <c r="K193" i="1"/>
  <c r="E193" i="1"/>
  <c r="K192" i="1"/>
  <c r="E192" i="1"/>
  <c r="K191" i="1"/>
  <c r="E191" i="1"/>
  <c r="K190" i="1"/>
  <c r="E190" i="1"/>
  <c r="K189" i="1"/>
  <c r="E189" i="1"/>
  <c r="K188" i="1"/>
  <c r="E188" i="1"/>
  <c r="K187" i="1"/>
  <c r="E187" i="1"/>
  <c r="E186" i="1"/>
  <c r="K174" i="1"/>
  <c r="E174" i="1"/>
  <c r="D242" i="1"/>
  <c r="C242" i="1"/>
  <c r="E241" i="1"/>
  <c r="E240" i="1"/>
  <c r="E239" i="1"/>
  <c r="E238" i="1"/>
  <c r="K237" i="1"/>
  <c r="E237" i="1"/>
  <c r="K236" i="1"/>
  <c r="E236" i="1"/>
  <c r="K235" i="1"/>
  <c r="E235" i="1"/>
  <c r="K234" i="1"/>
  <c r="E234" i="1"/>
  <c r="K233" i="1"/>
  <c r="E233" i="1"/>
  <c r="K232" i="1"/>
  <c r="E232" i="1"/>
  <c r="K231" i="1"/>
  <c r="E231" i="1"/>
  <c r="K230" i="1"/>
  <c r="E230" i="1"/>
  <c r="K229" i="1"/>
  <c r="E229" i="1"/>
  <c r="K228" i="1"/>
  <c r="E228" i="1"/>
  <c r="K227" i="1"/>
  <c r="E227" i="1"/>
  <c r="K226" i="1"/>
  <c r="E226" i="1"/>
  <c r="K225" i="1"/>
  <c r="E225" i="1"/>
  <c r="K224" i="1"/>
  <c r="E224" i="1"/>
  <c r="K223" i="1"/>
  <c r="E223" i="1"/>
  <c r="K222" i="1"/>
  <c r="E222" i="1"/>
  <c r="K221" i="1"/>
  <c r="E221" i="1"/>
  <c r="K220" i="1"/>
  <c r="E220" i="1"/>
  <c r="E219" i="1"/>
  <c r="E218" i="1"/>
  <c r="K217" i="1"/>
  <c r="E217" i="1"/>
  <c r="K215" i="1"/>
  <c r="E215" i="1"/>
  <c r="E214" i="1"/>
  <c r="K213" i="1"/>
  <c r="E213" i="1"/>
  <c r="E212" i="1"/>
  <c r="E211" i="1"/>
  <c r="K143" i="1"/>
  <c r="K137" i="1"/>
  <c r="E133" i="1"/>
  <c r="E155" i="1"/>
  <c r="E156" i="1"/>
  <c r="E157" i="1"/>
  <c r="E158" i="1"/>
  <c r="E159" i="1"/>
  <c r="K96" i="1"/>
  <c r="K95" i="1"/>
  <c r="K94" i="1"/>
  <c r="K54" i="1"/>
  <c r="E91" i="1"/>
  <c r="E90" i="1"/>
  <c r="E89" i="1"/>
  <c r="E88" i="1"/>
  <c r="E48" i="1"/>
  <c r="K135" i="1"/>
  <c r="K136" i="1"/>
  <c r="K138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D160" i="1"/>
  <c r="C160" i="1"/>
  <c r="K151" i="1"/>
  <c r="K150" i="1"/>
  <c r="K149" i="1"/>
  <c r="K148" i="1"/>
  <c r="K147" i="1"/>
  <c r="K146" i="1"/>
  <c r="K145" i="1"/>
  <c r="K144" i="1"/>
  <c r="K142" i="1"/>
  <c r="K141" i="1"/>
  <c r="K140" i="1"/>
  <c r="K139" i="1"/>
  <c r="K133" i="1"/>
  <c r="E132" i="1"/>
  <c r="E131" i="1"/>
  <c r="K130" i="1"/>
  <c r="E130" i="1"/>
  <c r="K129" i="1"/>
  <c r="E129" i="1"/>
  <c r="E115" i="1"/>
  <c r="K53" i="1"/>
  <c r="E68" i="1"/>
  <c r="E69" i="1"/>
  <c r="E70" i="1"/>
  <c r="E96" i="1"/>
  <c r="E95" i="1"/>
  <c r="E94" i="1"/>
  <c r="D37" i="2"/>
  <c r="C37" i="2"/>
  <c r="E6" i="2"/>
  <c r="D18" i="2"/>
  <c r="C18" i="2"/>
  <c r="D119" i="2"/>
  <c r="C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99" i="2"/>
  <c r="E98" i="2"/>
  <c r="E97" i="2"/>
  <c r="E96" i="2"/>
  <c r="E95" i="2"/>
  <c r="E94" i="2"/>
  <c r="E93" i="2"/>
  <c r="E92" i="2"/>
  <c r="E91" i="2"/>
  <c r="E90" i="2"/>
  <c r="E89" i="2"/>
  <c r="E88" i="2"/>
  <c r="D78" i="2"/>
  <c r="C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58" i="2"/>
  <c r="E57" i="2"/>
  <c r="E56" i="2"/>
  <c r="E55" i="2"/>
  <c r="E54" i="2"/>
  <c r="E53" i="2"/>
  <c r="E52" i="2"/>
  <c r="E51" i="2"/>
  <c r="E50" i="2"/>
  <c r="E49" i="2"/>
  <c r="E10" i="2"/>
  <c r="E11" i="2"/>
  <c r="E12" i="2"/>
  <c r="E13" i="2"/>
  <c r="E14" i="2"/>
  <c r="E15" i="2"/>
  <c r="E9" i="2"/>
  <c r="E8" i="2"/>
  <c r="E58" i="1"/>
  <c r="E29" i="1"/>
  <c r="E30" i="1"/>
  <c r="E31" i="1"/>
  <c r="E32" i="1"/>
  <c r="E56" i="1"/>
  <c r="E55" i="1"/>
  <c r="E54" i="1"/>
  <c r="E53" i="1"/>
  <c r="K16" i="1"/>
  <c r="K6" i="1"/>
  <c r="K7" i="1"/>
  <c r="K48" i="1"/>
  <c r="J36" i="1"/>
  <c r="E78" i="2" l="1"/>
  <c r="E324" i="1"/>
  <c r="K278" i="1"/>
  <c r="E18" i="2"/>
  <c r="D38" i="2"/>
  <c r="E201" i="1"/>
  <c r="E283" i="1"/>
  <c r="E242" i="1"/>
  <c r="E160" i="1"/>
  <c r="C38" i="2"/>
  <c r="C46" i="2" s="1"/>
  <c r="E37" i="2"/>
  <c r="E119" i="2"/>
  <c r="I36" i="1"/>
  <c r="K14" i="1" l="1"/>
  <c r="K13" i="1" l="1"/>
  <c r="E36" i="2" l="1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7" i="2"/>
  <c r="E16" i="2"/>
  <c r="E7" i="2"/>
  <c r="E5" i="2"/>
  <c r="D119" i="1"/>
  <c r="C119" i="1"/>
  <c r="K118" i="1"/>
  <c r="E118" i="1"/>
  <c r="K117" i="1"/>
  <c r="E117" i="1"/>
  <c r="K116" i="1"/>
  <c r="E116" i="1"/>
  <c r="K115" i="1"/>
  <c r="K114" i="1"/>
  <c r="E114" i="1"/>
  <c r="K113" i="1"/>
  <c r="E113" i="1"/>
  <c r="K112" i="1"/>
  <c r="E112" i="1"/>
  <c r="K111" i="1"/>
  <c r="E111" i="1"/>
  <c r="K110" i="1"/>
  <c r="E110" i="1"/>
  <c r="K109" i="1"/>
  <c r="E109" i="1"/>
  <c r="K108" i="1"/>
  <c r="E108" i="1"/>
  <c r="K107" i="1"/>
  <c r="E107" i="1"/>
  <c r="K106" i="1"/>
  <c r="E106" i="1"/>
  <c r="K105" i="1"/>
  <c r="E105" i="1"/>
  <c r="K104" i="1"/>
  <c r="E104" i="1"/>
  <c r="K103" i="1"/>
  <c r="E103" i="1"/>
  <c r="K102" i="1"/>
  <c r="E102" i="1"/>
  <c r="K101" i="1"/>
  <c r="E101" i="1"/>
  <c r="K100" i="1"/>
  <c r="E100" i="1"/>
  <c r="K99" i="1"/>
  <c r="E99" i="1"/>
  <c r="K98" i="1"/>
  <c r="E98" i="1"/>
  <c r="K97" i="1"/>
  <c r="E97" i="1"/>
  <c r="K92" i="1"/>
  <c r="E92" i="1"/>
  <c r="K91" i="1"/>
  <c r="K90" i="1"/>
  <c r="K89" i="1"/>
  <c r="K88" i="1"/>
  <c r="E6" i="1"/>
  <c r="K77" i="1"/>
  <c r="K34" i="1"/>
  <c r="K35" i="1"/>
  <c r="K36" i="1"/>
  <c r="C59" i="2" l="1"/>
  <c r="D46" i="2"/>
  <c r="E119" i="1"/>
  <c r="K8" i="1"/>
  <c r="D59" i="2" l="1"/>
  <c r="D79" i="2" s="1"/>
  <c r="D87" i="2" s="1"/>
  <c r="D100" i="2" s="1"/>
  <c r="D120" i="2" s="1"/>
  <c r="C79" i="2"/>
  <c r="E38" i="2"/>
  <c r="E46" i="2" s="1"/>
  <c r="E7" i="1"/>
  <c r="K55" i="1"/>
  <c r="K56" i="1"/>
  <c r="E79" i="2" l="1"/>
  <c r="E87" i="2" s="1"/>
  <c r="E59" i="2"/>
  <c r="C87" i="2"/>
  <c r="C100" i="2" s="1"/>
  <c r="E66" i="1"/>
  <c r="E100" i="2" l="1"/>
  <c r="C120" i="2"/>
  <c r="E120" i="2" s="1"/>
  <c r="K50" i="1"/>
  <c r="K49" i="1"/>
  <c r="K57" i="1"/>
  <c r="K58" i="1"/>
  <c r="K5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1" i="1"/>
  <c r="K47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5" i="1"/>
  <c r="K12" i="1"/>
  <c r="K10" i="1"/>
  <c r="K9" i="1"/>
  <c r="I79" i="1" l="1"/>
  <c r="I87" i="1" s="1"/>
  <c r="I93" i="1" s="1"/>
  <c r="K367" i="1"/>
  <c r="K38" i="1"/>
  <c r="E49" i="1"/>
  <c r="E50" i="1"/>
  <c r="K368" i="1" l="1"/>
  <c r="J368" i="1"/>
  <c r="I368" i="1"/>
  <c r="J79" i="1"/>
  <c r="J87" i="1" s="1"/>
  <c r="J93" i="1" s="1"/>
  <c r="I120" i="1"/>
  <c r="I128" i="1" s="1"/>
  <c r="I134" i="1" s="1"/>
  <c r="E5" i="1"/>
  <c r="E8" i="1"/>
  <c r="E9" i="1"/>
  <c r="E10" i="1"/>
  <c r="C11" i="1"/>
  <c r="D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33" i="1"/>
  <c r="E34" i="1"/>
  <c r="E35" i="1"/>
  <c r="E36" i="1"/>
  <c r="C37" i="1"/>
  <c r="E47" i="1"/>
  <c r="E51" i="1"/>
  <c r="E57" i="1"/>
  <c r="E59" i="1"/>
  <c r="E60" i="1"/>
  <c r="E61" i="1"/>
  <c r="E62" i="1"/>
  <c r="E63" i="1"/>
  <c r="E64" i="1"/>
  <c r="E65" i="1"/>
  <c r="E67" i="1"/>
  <c r="E71" i="1"/>
  <c r="E72" i="1"/>
  <c r="E73" i="1"/>
  <c r="E74" i="1"/>
  <c r="E75" i="1"/>
  <c r="E76" i="1"/>
  <c r="E77" i="1"/>
  <c r="C78" i="1"/>
  <c r="D78" i="1"/>
  <c r="J120" i="1" l="1"/>
  <c r="J128" i="1" s="1"/>
  <c r="J134" i="1" s="1"/>
  <c r="K79" i="1"/>
  <c r="K87" i="1" s="1"/>
  <c r="K93" i="1" s="1"/>
  <c r="E78" i="1"/>
  <c r="D37" i="1"/>
  <c r="D38" i="1" s="1"/>
  <c r="E11" i="1"/>
  <c r="C38" i="1"/>
  <c r="C46" i="1" s="1"/>
  <c r="K120" i="1" l="1"/>
  <c r="K128" i="1" s="1"/>
  <c r="K134" i="1" s="1"/>
  <c r="I161" i="1"/>
  <c r="I169" i="1" s="1"/>
  <c r="I175" i="1" s="1"/>
  <c r="D46" i="1"/>
  <c r="D52" i="1" s="1"/>
  <c r="D79" i="1" s="1"/>
  <c r="D87" i="1" s="1"/>
  <c r="D93" i="1" s="1"/>
  <c r="D120" i="1" s="1"/>
  <c r="D128" i="1" s="1"/>
  <c r="D134" i="1" s="1"/>
  <c r="D161" i="1" s="1"/>
  <c r="D169" i="1" s="1"/>
  <c r="D175" i="1" s="1"/>
  <c r="E37" i="1"/>
  <c r="E38" i="1"/>
  <c r="C52" i="1"/>
  <c r="J161" i="1" l="1"/>
  <c r="D202" i="1"/>
  <c r="I202" i="1"/>
  <c r="I210" i="1" s="1"/>
  <c r="I216" i="1" s="1"/>
  <c r="K161" i="1"/>
  <c r="K169" i="1" s="1"/>
  <c r="K175" i="1" s="1"/>
  <c r="E46" i="1"/>
  <c r="C79" i="1"/>
  <c r="C87" i="1" s="1"/>
  <c r="C93" i="1" s="1"/>
  <c r="E52" i="1"/>
  <c r="J169" i="1" l="1"/>
  <c r="J175" i="1" s="1"/>
  <c r="J202" i="1" s="1"/>
  <c r="J210" i="1" s="1"/>
  <c r="J216" i="1" s="1"/>
  <c r="J243" i="1" s="1"/>
  <c r="J251" i="1" s="1"/>
  <c r="J257" i="1" s="1"/>
  <c r="J284" i="1" s="1"/>
  <c r="J292" i="1" s="1"/>
  <c r="J298" i="1" s="1"/>
  <c r="J325" i="1" s="1"/>
  <c r="J333" i="1" s="1"/>
  <c r="J339" i="1" s="1"/>
  <c r="J366" i="1" s="1"/>
  <c r="J374" i="1" s="1"/>
  <c r="J380" i="1" s="1"/>
  <c r="J407" i="1" s="1"/>
  <c r="J415" i="1" s="1"/>
  <c r="J421" i="1" s="1"/>
  <c r="J448" i="1" s="1"/>
  <c r="J456" i="1" s="1"/>
  <c r="J462" i="1" s="1"/>
  <c r="J489" i="1" s="1"/>
  <c r="J497" i="1" s="1"/>
  <c r="J503" i="1" s="1"/>
  <c r="J530" i="1" s="1"/>
  <c r="J538" i="1" s="1"/>
  <c r="J544" i="1" s="1"/>
  <c r="J571" i="1" s="1"/>
  <c r="J579" i="1" s="1"/>
  <c r="J585" i="1" s="1"/>
  <c r="J612" i="1" s="1"/>
  <c r="D210" i="1"/>
  <c r="D216" i="1" s="1"/>
  <c r="K202" i="1"/>
  <c r="K210" i="1" s="1"/>
  <c r="K216" i="1" s="1"/>
  <c r="E93" i="1"/>
  <c r="C120" i="1"/>
  <c r="E79" i="1"/>
  <c r="E87" i="1" s="1"/>
  <c r="D243" i="1" l="1"/>
  <c r="D251" i="1" s="1"/>
  <c r="D257" i="1" s="1"/>
  <c r="D284" i="1" s="1"/>
  <c r="D292" i="1" s="1"/>
  <c r="D298" i="1" s="1"/>
  <c r="I243" i="1"/>
  <c r="I251" i="1" s="1"/>
  <c r="I257" i="1" s="1"/>
  <c r="E120" i="1"/>
  <c r="E128" i="1" s="1"/>
  <c r="C128" i="1"/>
  <c r="C134" i="1" s="1"/>
  <c r="D325" i="1" l="1"/>
  <c r="D333" i="1" s="1"/>
  <c r="D339" i="1" s="1"/>
  <c r="D366" i="1" s="1"/>
  <c r="D380" i="1" s="1"/>
  <c r="D407" i="1" s="1"/>
  <c r="D415" i="1" s="1"/>
  <c r="D421" i="1" s="1"/>
  <c r="K243" i="1"/>
  <c r="K251" i="1" s="1"/>
  <c r="K257" i="1" s="1"/>
  <c r="C161" i="1"/>
  <c r="C169" i="1" s="1"/>
  <c r="C175" i="1" s="1"/>
  <c r="E134" i="1"/>
  <c r="D448" i="1" l="1"/>
  <c r="I284" i="1"/>
  <c r="I292" i="1" s="1"/>
  <c r="I298" i="1" s="1"/>
  <c r="C202" i="1"/>
  <c r="E175" i="1"/>
  <c r="E161" i="1"/>
  <c r="E169" i="1" s="1"/>
  <c r="D456" i="1" l="1"/>
  <c r="D462" i="1" s="1"/>
  <c r="D489" i="1" s="1"/>
  <c r="D497" i="1" s="1"/>
  <c r="D503" i="1" s="1"/>
  <c r="D530" i="1" s="1"/>
  <c r="D538" i="1" s="1"/>
  <c r="D544" i="1" s="1"/>
  <c r="D571" i="1" s="1"/>
  <c r="K284" i="1"/>
  <c r="K292" i="1" s="1"/>
  <c r="K298" i="1" s="1"/>
  <c r="C210" i="1"/>
  <c r="C216" i="1" s="1"/>
  <c r="E202" i="1"/>
  <c r="E210" i="1" s="1"/>
  <c r="I325" i="1" l="1"/>
  <c r="I333" i="1" s="1"/>
  <c r="I339" i="1" s="1"/>
  <c r="C243" i="1"/>
  <c r="E216" i="1"/>
  <c r="K325" i="1" l="1"/>
  <c r="K333" i="1" s="1"/>
  <c r="K339" i="1" s="1"/>
  <c r="E243" i="1"/>
  <c r="E251" i="1" s="1"/>
  <c r="C251" i="1"/>
  <c r="C257" i="1" s="1"/>
  <c r="I366" i="1" l="1"/>
  <c r="I374" i="1" s="1"/>
  <c r="I380" i="1" s="1"/>
  <c r="C284" i="1"/>
  <c r="E257" i="1"/>
  <c r="K366" i="1" l="1"/>
  <c r="K374" i="1" s="1"/>
  <c r="K380" i="1" s="1"/>
  <c r="E284" i="1"/>
  <c r="E292" i="1" s="1"/>
  <c r="C292" i="1"/>
  <c r="C298" i="1" s="1"/>
  <c r="I407" i="1" l="1"/>
  <c r="I415" i="1" s="1"/>
  <c r="I421" i="1" s="1"/>
  <c r="I448" i="1" s="1"/>
  <c r="I456" i="1" s="1"/>
  <c r="I462" i="1" s="1"/>
  <c r="I489" i="1" s="1"/>
  <c r="I497" i="1" s="1"/>
  <c r="I503" i="1" s="1"/>
  <c r="I530" i="1" s="1"/>
  <c r="I538" i="1" s="1"/>
  <c r="I544" i="1" s="1"/>
  <c r="I571" i="1" s="1"/>
  <c r="I579" i="1" s="1"/>
  <c r="I585" i="1" s="1"/>
  <c r="I612" i="1" s="1"/>
  <c r="C325" i="1"/>
  <c r="E298" i="1"/>
  <c r="K407" i="1" l="1"/>
  <c r="K415" i="1" s="1"/>
  <c r="K421" i="1" s="1"/>
  <c r="K448" i="1" s="1"/>
  <c r="K456" i="1" s="1"/>
  <c r="K462" i="1" s="1"/>
  <c r="K489" i="1" s="1"/>
  <c r="K497" i="1" s="1"/>
  <c r="K503" i="1" s="1"/>
  <c r="K530" i="1" s="1"/>
  <c r="K538" i="1" s="1"/>
  <c r="K544" i="1" s="1"/>
  <c r="K571" i="1" s="1"/>
  <c r="K579" i="1" s="1"/>
  <c r="K585" i="1" s="1"/>
  <c r="K612" i="1" s="1"/>
  <c r="E325" i="1"/>
  <c r="E333" i="1" s="1"/>
  <c r="C333" i="1"/>
  <c r="C339" i="1" s="1"/>
  <c r="C366" i="1" l="1"/>
  <c r="E339" i="1"/>
  <c r="E366" i="1" l="1"/>
  <c r="E374" i="1" s="1"/>
  <c r="C380" i="1"/>
  <c r="C407" i="1" l="1"/>
  <c r="E380" i="1"/>
  <c r="E407" i="1" l="1"/>
  <c r="E415" i="1" s="1"/>
  <c r="C415" i="1"/>
  <c r="C421" i="1" s="1"/>
  <c r="C448" i="1" l="1"/>
  <c r="E421" i="1"/>
  <c r="C456" i="1" l="1"/>
  <c r="C462" i="1" s="1"/>
  <c r="E448" i="1"/>
  <c r="E456" i="1" s="1"/>
  <c r="E462" i="1" l="1"/>
  <c r="C489" i="1"/>
  <c r="E489" i="1" l="1"/>
  <c r="E497" i="1" s="1"/>
  <c r="C497" i="1"/>
  <c r="C503" i="1" s="1"/>
  <c r="C530" i="1" l="1"/>
  <c r="E503" i="1"/>
  <c r="E530" i="1" l="1"/>
  <c r="E538" i="1" s="1"/>
  <c r="C538" i="1"/>
  <c r="C544" i="1" s="1"/>
  <c r="C571" i="1" l="1"/>
  <c r="E544" i="1"/>
  <c r="E571" i="1" l="1"/>
  <c r="E579" i="1" s="1"/>
  <c r="C579" i="1"/>
  <c r="C585" i="1" s="1"/>
  <c r="E585" i="1" l="1"/>
  <c r="C612" i="1"/>
  <c r="E612" i="1" s="1"/>
</calcChain>
</file>

<file path=xl/sharedStrings.xml><?xml version="1.0" encoding="utf-8"?>
<sst xmlns="http://schemas.openxmlformats.org/spreadsheetml/2006/main" count="1005" uniqueCount="410">
  <si>
    <t>残数</t>
    <rPh sb="0" eb="2">
      <t>ザンスウ</t>
    </rPh>
    <phoneticPr fontId="2"/>
  </si>
  <si>
    <t>出荷数</t>
    <rPh sb="0" eb="2">
      <t>シュッカ</t>
    </rPh>
    <rPh sb="2" eb="3">
      <t>スウ</t>
    </rPh>
    <phoneticPr fontId="2"/>
  </si>
  <si>
    <t>総数</t>
    <rPh sb="0" eb="2">
      <t>ソウスウ</t>
    </rPh>
    <phoneticPr fontId="2"/>
  </si>
  <si>
    <t>追加</t>
    <rPh sb="0" eb="2">
      <t>ツイカ</t>
    </rPh>
    <phoneticPr fontId="2"/>
  </si>
  <si>
    <t>計</t>
    <rPh sb="0" eb="1">
      <t>ケイ</t>
    </rPh>
    <phoneticPr fontId="2"/>
  </si>
  <si>
    <t>初回</t>
    <rPh sb="0" eb="2">
      <t>ショカイ</t>
    </rPh>
    <phoneticPr fontId="2"/>
  </si>
  <si>
    <t>ブラック</t>
    <phoneticPr fontId="2"/>
  </si>
  <si>
    <t>M-L</t>
    <phoneticPr fontId="2"/>
  </si>
  <si>
    <t>JM-L</t>
    <phoneticPr fontId="2"/>
  </si>
  <si>
    <t>＜フェイクタイツ＞　夢企覚販売在庫</t>
    <rPh sb="10" eb="11">
      <t>ユメ</t>
    </rPh>
    <rPh sb="11" eb="12">
      <t>キ</t>
    </rPh>
    <rPh sb="12" eb="13">
      <t>カク</t>
    </rPh>
    <rPh sb="13" eb="15">
      <t>ハンバイ</t>
    </rPh>
    <rPh sb="15" eb="17">
      <t>ザイコ</t>
    </rPh>
    <phoneticPr fontId="2"/>
  </si>
  <si>
    <t>＜フェイクタイツ＞　Ｋ－ＰＯＲＴ在庫</t>
    <rPh sb="16" eb="18">
      <t>ザイコ</t>
    </rPh>
    <phoneticPr fontId="2"/>
  </si>
  <si>
    <t>JOD特別号1206/2P</t>
    <rPh sb="3" eb="6">
      <t>トクベツゴウ</t>
    </rPh>
    <phoneticPr fontId="2"/>
  </si>
  <si>
    <t>12/5～</t>
    <phoneticPr fontId="2"/>
  </si>
  <si>
    <t>夢販</t>
    <rPh sb="0" eb="2">
      <t>ユメハン</t>
    </rPh>
    <phoneticPr fontId="2"/>
  </si>
  <si>
    <t>2023/11/18伝済</t>
    <rPh sb="10" eb="11">
      <t>デン</t>
    </rPh>
    <rPh sb="11" eb="12">
      <t>スミ</t>
    </rPh>
    <phoneticPr fontId="2"/>
  </si>
  <si>
    <t>品番：M-L：A4236-01　JM-L：A4236-02</t>
    <rPh sb="0" eb="2">
      <t>ヒンバン</t>
    </rPh>
    <phoneticPr fontId="2"/>
  </si>
  <si>
    <t>品番：M-L：A4236-01　JM-L：A4236-02</t>
    <phoneticPr fontId="2"/>
  </si>
  <si>
    <t>ネット</t>
    <phoneticPr fontId="2"/>
  </si>
  <si>
    <t>ネット単品化</t>
    <rPh sb="3" eb="5">
      <t>タンピン</t>
    </rPh>
    <rPh sb="5" eb="6">
      <t>カ</t>
    </rPh>
    <phoneticPr fontId="2"/>
  </si>
  <si>
    <t>JOD特別号1206/2P①</t>
    <rPh sb="3" eb="6">
      <t>トクベツゴウ</t>
    </rPh>
    <phoneticPr fontId="2"/>
  </si>
  <si>
    <t>JOD特別号1206/2P②</t>
    <rPh sb="3" eb="6">
      <t>トクベツゴウ</t>
    </rPh>
    <phoneticPr fontId="2"/>
  </si>
  <si>
    <t>JOD特別号1206/2P③</t>
    <rPh sb="3" eb="6">
      <t>トクベツゴウ</t>
    </rPh>
    <phoneticPr fontId="2"/>
  </si>
  <si>
    <t>JOD特別号1206/2P④</t>
    <rPh sb="3" eb="6">
      <t>トクベツゴウ</t>
    </rPh>
    <phoneticPr fontId="2"/>
  </si>
  <si>
    <t>JOD特別号1206/2P⑤</t>
    <rPh sb="3" eb="6">
      <t>トクベツゴウ</t>
    </rPh>
    <phoneticPr fontId="2"/>
  </si>
  <si>
    <t>JOD特別号1206/2P⑥</t>
    <rPh sb="3" eb="6">
      <t>トクベツゴウ</t>
    </rPh>
    <phoneticPr fontId="2"/>
  </si>
  <si>
    <t>JOD特別号1206/2P⑦</t>
    <rPh sb="3" eb="6">
      <t>トクベツゴウ</t>
    </rPh>
    <phoneticPr fontId="2"/>
  </si>
  <si>
    <t>JOD特別号1206/2P⑦西濃</t>
    <rPh sb="3" eb="6">
      <t>トクベツゴウ</t>
    </rPh>
    <rPh sb="14" eb="16">
      <t>セイノウ</t>
    </rPh>
    <phoneticPr fontId="2"/>
  </si>
  <si>
    <t>JOD特別号1206/2P⑧</t>
    <rPh sb="3" eb="6">
      <t>トクベツゴウ</t>
    </rPh>
    <phoneticPr fontId="2"/>
  </si>
  <si>
    <t>JOD特別号1206/2P⑨</t>
    <rPh sb="3" eb="6">
      <t>トクベツゴウ</t>
    </rPh>
    <phoneticPr fontId="2"/>
  </si>
  <si>
    <t>JOD特別号1206/2P⑩</t>
    <rPh sb="3" eb="6">
      <t>トクベツゴウ</t>
    </rPh>
    <phoneticPr fontId="2"/>
  </si>
  <si>
    <t>JOD特別号1206/2P⑪</t>
    <rPh sb="3" eb="6">
      <t>トクベツゴウ</t>
    </rPh>
    <phoneticPr fontId="2"/>
  </si>
  <si>
    <t>JOD特別号1206/2P⑫</t>
    <rPh sb="3" eb="6">
      <t>トクベツゴウ</t>
    </rPh>
    <phoneticPr fontId="2"/>
  </si>
  <si>
    <t>JOD特別号1206/2P⑬</t>
    <rPh sb="3" eb="6">
      <t>トクベツゴウ</t>
    </rPh>
    <phoneticPr fontId="2"/>
  </si>
  <si>
    <t>JOD特別号1206/2P⑭</t>
    <rPh sb="3" eb="6">
      <t>トクベツゴウ</t>
    </rPh>
    <phoneticPr fontId="2"/>
  </si>
  <si>
    <t>2/7～</t>
    <phoneticPr fontId="2"/>
  </si>
  <si>
    <t>JOD/UV特集7434(裏)/2P</t>
    <rPh sb="6" eb="8">
      <t>トクシュウ</t>
    </rPh>
    <rPh sb="13" eb="14">
      <t>ウラ</t>
    </rPh>
    <phoneticPr fontId="2"/>
  </si>
  <si>
    <t>2023/1/6済伝</t>
    <rPh sb="8" eb="10">
      <t>スミデン</t>
    </rPh>
    <phoneticPr fontId="2"/>
  </si>
  <si>
    <t>JOD特別号1206/2P⑮</t>
    <rPh sb="3" eb="6">
      <t>トクベツゴウ</t>
    </rPh>
    <phoneticPr fontId="2"/>
  </si>
  <si>
    <t>JOD返品</t>
    <rPh sb="3" eb="5">
      <t>ヘンピン</t>
    </rPh>
    <phoneticPr fontId="2"/>
  </si>
  <si>
    <t>JOD特別号1206/2P⑯</t>
    <rPh sb="3" eb="6">
      <t>トクベツゴウ</t>
    </rPh>
    <phoneticPr fontId="2"/>
  </si>
  <si>
    <t>JOD特別号1206/2P⑰</t>
    <rPh sb="3" eb="6">
      <t>トクベツゴウ</t>
    </rPh>
    <phoneticPr fontId="2"/>
  </si>
  <si>
    <t>JOD特別号1206/2P⑱</t>
    <rPh sb="3" eb="6">
      <t>トクベツゴウ</t>
    </rPh>
    <phoneticPr fontId="2"/>
  </si>
  <si>
    <t>JOD特別号1206/2P⑲</t>
    <rPh sb="3" eb="6">
      <t>トクベツゴウ</t>
    </rPh>
    <phoneticPr fontId="2"/>
  </si>
  <si>
    <t>JOD特別号1206/2P⑳</t>
    <rPh sb="3" eb="6">
      <t>トクベツゴウ</t>
    </rPh>
    <phoneticPr fontId="2"/>
  </si>
  <si>
    <t>JOD特別号1206/2P㉑</t>
    <rPh sb="3" eb="6">
      <t>トクベツゴウ</t>
    </rPh>
    <phoneticPr fontId="2"/>
  </si>
  <si>
    <t>JOD特別号1206/2P㉒</t>
    <rPh sb="3" eb="6">
      <t>トクベツゴウ</t>
    </rPh>
    <phoneticPr fontId="2"/>
  </si>
  <si>
    <t>JOD/UV特集7434(裏)/2P①</t>
    <rPh sb="6" eb="8">
      <t>トクシュウ</t>
    </rPh>
    <rPh sb="13" eb="14">
      <t>ウラ</t>
    </rPh>
    <phoneticPr fontId="2"/>
  </si>
  <si>
    <t>JOD/UV特集7434(裏)/2P②</t>
    <rPh sb="6" eb="8">
      <t>トクシュウ</t>
    </rPh>
    <rPh sb="13" eb="14">
      <t>ウラ</t>
    </rPh>
    <phoneticPr fontId="2"/>
  </si>
  <si>
    <t>JOD/UV特集7434(裏)/2P③</t>
    <rPh sb="6" eb="8">
      <t>トクシュウ</t>
    </rPh>
    <rPh sb="13" eb="14">
      <t>ウラ</t>
    </rPh>
    <phoneticPr fontId="2"/>
  </si>
  <si>
    <t>JOD/UV特集7434(裏)/2P④</t>
    <rPh sb="6" eb="8">
      <t>トクシュウ</t>
    </rPh>
    <rPh sb="13" eb="14">
      <t>ウラ</t>
    </rPh>
    <phoneticPr fontId="2"/>
  </si>
  <si>
    <t>JOD/UV特集7434(裏)/2P⑤</t>
    <rPh sb="6" eb="8">
      <t>トクシュウ</t>
    </rPh>
    <rPh sb="13" eb="14">
      <t>ウラ</t>
    </rPh>
    <phoneticPr fontId="2"/>
  </si>
  <si>
    <t>JOD/UV特集7434(裏)/2P⑥</t>
    <rPh sb="6" eb="8">
      <t>トクシュウ</t>
    </rPh>
    <rPh sb="13" eb="14">
      <t>ウラ</t>
    </rPh>
    <phoneticPr fontId="2"/>
  </si>
  <si>
    <t>JOD/UV特集7434(裏)/2P⑦</t>
    <rPh sb="6" eb="8">
      <t>トクシュウ</t>
    </rPh>
    <rPh sb="13" eb="14">
      <t>ウラ</t>
    </rPh>
    <phoneticPr fontId="2"/>
  </si>
  <si>
    <t>JOD/UV特集7434(裏)/2P⑧</t>
    <rPh sb="6" eb="8">
      <t>トクシュウ</t>
    </rPh>
    <rPh sb="13" eb="14">
      <t>ウラ</t>
    </rPh>
    <phoneticPr fontId="2"/>
  </si>
  <si>
    <t>JOD/UV特集7434(裏)/2P⑨</t>
    <rPh sb="6" eb="8">
      <t>トクシュウ</t>
    </rPh>
    <rPh sb="13" eb="14">
      <t>ウラ</t>
    </rPh>
    <phoneticPr fontId="2"/>
  </si>
  <si>
    <t>不良品</t>
    <rPh sb="0" eb="3">
      <t>フリョウヒン</t>
    </rPh>
    <phoneticPr fontId="2"/>
  </si>
  <si>
    <t>JOD/UV特集7434(裏)/2P⑩</t>
    <rPh sb="6" eb="8">
      <t>トクシュウ</t>
    </rPh>
    <rPh sb="13" eb="14">
      <t>ウラ</t>
    </rPh>
    <phoneticPr fontId="2"/>
  </si>
  <si>
    <t>JOD/UV特集7434(裏)/2P⑪</t>
    <rPh sb="6" eb="8">
      <t>トクシュウ</t>
    </rPh>
    <rPh sb="13" eb="14">
      <t>ウラ</t>
    </rPh>
    <phoneticPr fontId="2"/>
  </si>
  <si>
    <t>JOD/UV特集7434(裏)/2P⑫</t>
    <rPh sb="6" eb="8">
      <t>トクシュウ</t>
    </rPh>
    <rPh sb="13" eb="14">
      <t>ウラ</t>
    </rPh>
    <phoneticPr fontId="2"/>
  </si>
  <si>
    <t>JOD/UV特集7434(裏)/2P⑬</t>
    <rPh sb="6" eb="8">
      <t>トクシュウ</t>
    </rPh>
    <rPh sb="13" eb="14">
      <t>ウラ</t>
    </rPh>
    <phoneticPr fontId="2"/>
  </si>
  <si>
    <t>JOD/UV特集7434(裏)/2P⑭</t>
    <rPh sb="6" eb="8">
      <t>トクシュウ</t>
    </rPh>
    <rPh sb="13" eb="14">
      <t>ウラ</t>
    </rPh>
    <phoneticPr fontId="2"/>
  </si>
  <si>
    <t>営業sample</t>
    <rPh sb="0" eb="2">
      <t>エイギョウ</t>
    </rPh>
    <phoneticPr fontId="2"/>
  </si>
  <si>
    <t>JOD/UV特集7434(裏)/2P⑮</t>
    <rPh sb="6" eb="8">
      <t>トクシュウ</t>
    </rPh>
    <rPh sb="13" eb="14">
      <t>ウラ</t>
    </rPh>
    <phoneticPr fontId="2"/>
  </si>
  <si>
    <t>1Pより</t>
    <phoneticPr fontId="2"/>
  </si>
  <si>
    <t>2Pへ</t>
    <phoneticPr fontId="2"/>
  </si>
  <si>
    <t>サクラマチsample(グリーンコープ分)</t>
    <rPh sb="19" eb="20">
      <t>ブン</t>
    </rPh>
    <phoneticPr fontId="2"/>
  </si>
  <si>
    <t>サクラマチsample（コープ九州分）</t>
    <rPh sb="15" eb="17">
      <t>キュウシュウ</t>
    </rPh>
    <rPh sb="17" eb="18">
      <t>ブン</t>
    </rPh>
    <phoneticPr fontId="2"/>
  </si>
  <si>
    <t>JOD/UV特集7434(裏)/2P⑯</t>
    <rPh sb="6" eb="8">
      <t>トクシュウ</t>
    </rPh>
    <rPh sb="13" eb="14">
      <t>ウラ</t>
    </rPh>
    <phoneticPr fontId="2"/>
  </si>
  <si>
    <t>サクラマチ（コープ九州品管提出分）</t>
    <rPh sb="9" eb="11">
      <t>キュウシュウ</t>
    </rPh>
    <rPh sb="11" eb="13">
      <t>ヒンカン</t>
    </rPh>
    <rPh sb="13" eb="15">
      <t>テイシュツ</t>
    </rPh>
    <rPh sb="15" eb="16">
      <t>ブン</t>
    </rPh>
    <phoneticPr fontId="2"/>
  </si>
  <si>
    <t>毎日が発見sample</t>
    <rPh sb="0" eb="2">
      <t>マイニチ</t>
    </rPh>
    <rPh sb="3" eb="5">
      <t>ハッケン</t>
    </rPh>
    <phoneticPr fontId="2"/>
  </si>
  <si>
    <t>在庫確認</t>
    <rPh sb="0" eb="4">
      <t>ザイコカクニン</t>
    </rPh>
    <phoneticPr fontId="2"/>
  </si>
  <si>
    <t>毎日が発見2月号2枚組</t>
    <rPh sb="0" eb="2">
      <t>マイニチ</t>
    </rPh>
    <rPh sb="3" eb="5">
      <t>ハッケン</t>
    </rPh>
    <rPh sb="6" eb="8">
      <t>ガツゴウ</t>
    </rPh>
    <rPh sb="9" eb="11">
      <t>マイクミ</t>
    </rPh>
    <phoneticPr fontId="2"/>
  </si>
  <si>
    <t>初回12/中旬</t>
    <rPh sb="0" eb="2">
      <t>ショカイ</t>
    </rPh>
    <rPh sb="5" eb="7">
      <t>チュウジュン</t>
    </rPh>
    <phoneticPr fontId="2"/>
  </si>
  <si>
    <t>JOD特別版1019/2枚組</t>
    <rPh sb="3" eb="6">
      <t>トクベツバン</t>
    </rPh>
    <rPh sb="12" eb="14">
      <t>マイクミ</t>
    </rPh>
    <phoneticPr fontId="2"/>
  </si>
  <si>
    <t>10/18～</t>
    <phoneticPr fontId="2"/>
  </si>
  <si>
    <t>11/6～19</t>
    <phoneticPr fontId="2"/>
  </si>
  <si>
    <t>11/15～</t>
    <phoneticPr fontId="2"/>
  </si>
  <si>
    <t>素材変更分</t>
    <rPh sb="0" eb="2">
      <t>ソザイ</t>
    </rPh>
    <rPh sb="2" eb="5">
      <t>ヘンコウブン</t>
    </rPh>
    <phoneticPr fontId="2"/>
  </si>
  <si>
    <t>交換再納品分</t>
    <rPh sb="0" eb="2">
      <t>コウカン</t>
    </rPh>
    <rPh sb="2" eb="6">
      <t>サイノウヒンブン</t>
    </rPh>
    <phoneticPr fontId="2"/>
  </si>
  <si>
    <t>芳仲繊維交換分</t>
    <rPh sb="0" eb="2">
      <t>ヨシナカ</t>
    </rPh>
    <rPh sb="2" eb="4">
      <t>センイ</t>
    </rPh>
    <rPh sb="4" eb="6">
      <t>コウカン</t>
    </rPh>
    <rPh sb="6" eb="7">
      <t>ブン</t>
    </rPh>
    <phoneticPr fontId="2"/>
  </si>
  <si>
    <t>夢販</t>
    <rPh sb="0" eb="2">
      <t>ユメハン</t>
    </rPh>
    <phoneticPr fontId="2"/>
  </si>
  <si>
    <t>ロイヤルステージ11月差分予測</t>
    <rPh sb="10" eb="11">
      <t>ガツ</t>
    </rPh>
    <rPh sb="11" eb="15">
      <t>サブンヨソク</t>
    </rPh>
    <phoneticPr fontId="2"/>
  </si>
  <si>
    <t>毎日が発見2月号2枚組差分予測</t>
    <rPh sb="0" eb="2">
      <t>マイニチ</t>
    </rPh>
    <rPh sb="3" eb="5">
      <t>ハッケン</t>
    </rPh>
    <rPh sb="6" eb="8">
      <t>ガツゴウ</t>
    </rPh>
    <rPh sb="9" eb="11">
      <t>マイクミ</t>
    </rPh>
    <rPh sb="11" eb="15">
      <t>サブンヨソク</t>
    </rPh>
    <phoneticPr fontId="2"/>
  </si>
  <si>
    <t>JODアクセス7005/2枚組</t>
    <rPh sb="13" eb="15">
      <t>マイクミ</t>
    </rPh>
    <phoneticPr fontId="2"/>
  </si>
  <si>
    <t>ネット</t>
    <phoneticPr fontId="2"/>
  </si>
  <si>
    <t>グリーンコープ2月47号差分予測</t>
    <rPh sb="8" eb="9">
      <t>ガツ</t>
    </rPh>
    <rPh sb="11" eb="12">
      <t>ゴウ</t>
    </rPh>
    <rPh sb="12" eb="16">
      <t>サブンヨソク</t>
    </rPh>
    <phoneticPr fontId="2"/>
  </si>
  <si>
    <t>1/22～2/7</t>
    <phoneticPr fontId="2"/>
  </si>
  <si>
    <t>追加</t>
    <rPh sb="0" eb="2">
      <t>ツイカ</t>
    </rPh>
    <phoneticPr fontId="2"/>
  </si>
  <si>
    <t>2024/11/16数伝</t>
    <rPh sb="10" eb="12">
      <t>スウデン</t>
    </rPh>
    <phoneticPr fontId="2"/>
  </si>
  <si>
    <t>JOD2P⑪</t>
    <phoneticPr fontId="2"/>
  </si>
  <si>
    <t>JOD2P②</t>
    <phoneticPr fontId="2"/>
  </si>
  <si>
    <t>JOD2P⑤</t>
    <phoneticPr fontId="2"/>
  </si>
  <si>
    <t>JOD2P⑥</t>
    <phoneticPr fontId="2"/>
  </si>
  <si>
    <t>JOD2P⑧</t>
    <phoneticPr fontId="2"/>
  </si>
  <si>
    <t>JOD2P⑨</t>
    <phoneticPr fontId="2"/>
  </si>
  <si>
    <t>JOD2P⑩</t>
    <phoneticPr fontId="2"/>
  </si>
  <si>
    <t>JOD2P①</t>
    <phoneticPr fontId="2"/>
  </si>
  <si>
    <t>JOD2P③</t>
    <phoneticPr fontId="2"/>
  </si>
  <si>
    <t>JOD2P④</t>
    <phoneticPr fontId="2"/>
  </si>
  <si>
    <t>JOD2P⑦</t>
    <phoneticPr fontId="2"/>
  </si>
  <si>
    <t>JOD2P⑫</t>
    <phoneticPr fontId="2"/>
  </si>
  <si>
    <t>記入注意</t>
  </si>
  <si>
    <t>単品ですので</t>
  </si>
  <si>
    <t>＠350　＠20</t>
    <phoneticPr fontId="2"/>
  </si>
  <si>
    <t>2024/11/20数伝</t>
    <rPh sb="10" eb="11">
      <t>スウ</t>
    </rPh>
    <rPh sb="11" eb="12">
      <t>デン</t>
    </rPh>
    <phoneticPr fontId="2"/>
  </si>
  <si>
    <t>11/21～</t>
    <phoneticPr fontId="2"/>
  </si>
  <si>
    <t>JOD2P⑬</t>
    <phoneticPr fontId="2"/>
  </si>
  <si>
    <t>JOD2P⑭</t>
    <phoneticPr fontId="2"/>
  </si>
  <si>
    <t>JOD2P⑮</t>
    <phoneticPr fontId="2"/>
  </si>
  <si>
    <t>夢販</t>
    <rPh sb="0" eb="2">
      <t>ユメハン</t>
    </rPh>
    <phoneticPr fontId="2"/>
  </si>
  <si>
    <t>JOD2P⑯</t>
    <phoneticPr fontId="2"/>
  </si>
  <si>
    <t>JOD3P⑯</t>
    <phoneticPr fontId="2"/>
  </si>
  <si>
    <t>JODアクセス7006/2枚組</t>
    <rPh sb="13" eb="15">
      <t>マイクミ</t>
    </rPh>
    <phoneticPr fontId="2"/>
  </si>
  <si>
    <t>1/15～</t>
    <phoneticPr fontId="2"/>
  </si>
  <si>
    <r>
      <t>ロイヤルステージ11月号</t>
    </r>
    <r>
      <rPr>
        <b/>
        <sz val="11"/>
        <rFont val="ＭＳ Ｐゴシック"/>
        <family val="3"/>
        <charset val="128"/>
      </rPr>
      <t>3枚組</t>
    </r>
    <r>
      <rPr>
        <sz val="11"/>
        <rFont val="ＭＳ Ｐゴシック"/>
        <family val="3"/>
        <charset val="128"/>
      </rPr>
      <t>①</t>
    </r>
    <rPh sb="10" eb="11">
      <t>ガツ</t>
    </rPh>
    <rPh sb="11" eb="12">
      <t>ゴウ</t>
    </rPh>
    <rPh sb="13" eb="15">
      <t>マイクミ</t>
    </rPh>
    <phoneticPr fontId="2"/>
  </si>
  <si>
    <t>JOD2P⑱</t>
    <phoneticPr fontId="2"/>
  </si>
  <si>
    <t>JOD2P⑰</t>
    <phoneticPr fontId="2"/>
  </si>
  <si>
    <t>JOD2P⑲</t>
    <phoneticPr fontId="2"/>
  </si>
  <si>
    <t>JOD2P⑳</t>
    <phoneticPr fontId="2"/>
  </si>
  <si>
    <t>JOD2P㉑</t>
    <phoneticPr fontId="2"/>
  </si>
  <si>
    <t>JOD2P㉒</t>
    <phoneticPr fontId="2"/>
  </si>
  <si>
    <t>1/6～2/19</t>
    <phoneticPr fontId="2"/>
  </si>
  <si>
    <t>2/3～3/16</t>
    <phoneticPr fontId="2"/>
  </si>
  <si>
    <t>JOD2P㉓</t>
    <phoneticPr fontId="2"/>
  </si>
  <si>
    <t>JOD2P㉔</t>
    <phoneticPr fontId="2"/>
  </si>
  <si>
    <r>
      <t>ロイヤルステージ11月号</t>
    </r>
    <r>
      <rPr>
        <b/>
        <sz val="11"/>
        <rFont val="ＭＳ Ｐゴシック"/>
        <family val="3"/>
        <charset val="128"/>
      </rPr>
      <t>3枚組②</t>
    </r>
    <rPh sb="10" eb="11">
      <t>ガツ</t>
    </rPh>
    <rPh sb="11" eb="12">
      <t>ゴウ</t>
    </rPh>
    <rPh sb="13" eb="15">
      <t>マイクミ</t>
    </rPh>
    <phoneticPr fontId="2"/>
  </si>
  <si>
    <t>JOD2P㉕</t>
    <phoneticPr fontId="2"/>
  </si>
  <si>
    <t>2024/12/10数伝</t>
    <rPh sb="10" eb="11">
      <t>スウ</t>
    </rPh>
    <rPh sb="11" eb="12">
      <t>デン</t>
    </rPh>
    <phoneticPr fontId="2"/>
  </si>
  <si>
    <t>JOD2P㉖</t>
    <phoneticPr fontId="2"/>
  </si>
  <si>
    <t>追加</t>
    <rPh sb="0" eb="2">
      <t>ツイカ</t>
    </rPh>
    <phoneticPr fontId="2"/>
  </si>
  <si>
    <t>JOD2P㉗</t>
    <phoneticPr fontId="2"/>
  </si>
  <si>
    <t>毎日が発見2月号2枚組①</t>
    <rPh sb="0" eb="2">
      <t>マイニチ</t>
    </rPh>
    <rPh sb="3" eb="5">
      <t>ハッケン</t>
    </rPh>
    <rPh sb="6" eb="8">
      <t>ガツゴウ</t>
    </rPh>
    <rPh sb="9" eb="11">
      <t>マイクミ</t>
    </rPh>
    <phoneticPr fontId="2"/>
  </si>
  <si>
    <r>
      <t>ロイヤルステージ11月号</t>
    </r>
    <r>
      <rPr>
        <b/>
        <sz val="11"/>
        <rFont val="ＭＳ Ｐゴシック"/>
        <family val="3"/>
        <charset val="128"/>
      </rPr>
      <t>3枚組</t>
    </r>
    <rPh sb="10" eb="11">
      <t>ガツ</t>
    </rPh>
    <rPh sb="11" eb="12">
      <t>ゴウ</t>
    </rPh>
    <rPh sb="13" eb="15">
      <t>マイクミ</t>
    </rPh>
    <phoneticPr fontId="2"/>
  </si>
  <si>
    <t>サクラマチ返品</t>
    <rPh sb="5" eb="7">
      <t>ヘンピン</t>
    </rPh>
    <phoneticPr fontId="2"/>
  </si>
  <si>
    <t>JOD2P㉘</t>
    <phoneticPr fontId="2"/>
  </si>
  <si>
    <t>JOD2P㉙</t>
    <phoneticPr fontId="2"/>
  </si>
  <si>
    <t>JOD2P㉚</t>
    <phoneticPr fontId="2"/>
  </si>
  <si>
    <t>JOD2P㉛</t>
    <phoneticPr fontId="2"/>
  </si>
  <si>
    <t>JOD2P㉜</t>
    <phoneticPr fontId="2"/>
  </si>
  <si>
    <t>ロイヤルステージ返品</t>
    <rPh sb="8" eb="10">
      <t>ヘンピン</t>
    </rPh>
    <phoneticPr fontId="2"/>
  </si>
  <si>
    <t>JOD2P㉝</t>
    <phoneticPr fontId="2"/>
  </si>
  <si>
    <t>ネット</t>
    <phoneticPr fontId="2"/>
  </si>
  <si>
    <t>東都生協11月3回2枚組差分予測</t>
    <rPh sb="0" eb="2">
      <t>トウト</t>
    </rPh>
    <rPh sb="2" eb="4">
      <t>セイキョウ</t>
    </rPh>
    <rPh sb="6" eb="7">
      <t>ガツ</t>
    </rPh>
    <rPh sb="8" eb="9">
      <t>カイ</t>
    </rPh>
    <rPh sb="10" eb="12">
      <t>マイクミ</t>
    </rPh>
    <rPh sb="12" eb="16">
      <t>サブンヨソク</t>
    </rPh>
    <phoneticPr fontId="2"/>
  </si>
  <si>
    <t>東都生協11月3回2枚組（不透明袋）</t>
    <rPh sb="0" eb="2">
      <t>トウト</t>
    </rPh>
    <rPh sb="2" eb="4">
      <t>セイキョウ</t>
    </rPh>
    <rPh sb="6" eb="7">
      <t>ガツ</t>
    </rPh>
    <rPh sb="8" eb="9">
      <t>カイ</t>
    </rPh>
    <rPh sb="10" eb="12">
      <t>マイクミ</t>
    </rPh>
    <rPh sb="13" eb="17">
      <t>フトウメイフクロ</t>
    </rPh>
    <phoneticPr fontId="2"/>
  </si>
  <si>
    <t>東都生協11月3回2枚組（不透明袋）①</t>
    <rPh sb="0" eb="2">
      <t>トウト</t>
    </rPh>
    <rPh sb="2" eb="4">
      <t>セイキョウ</t>
    </rPh>
    <rPh sb="6" eb="7">
      <t>ガツ</t>
    </rPh>
    <rPh sb="8" eb="9">
      <t>カイ</t>
    </rPh>
    <rPh sb="10" eb="12">
      <t>マイクミ</t>
    </rPh>
    <rPh sb="13" eb="17">
      <t>フトウメイフクロ</t>
    </rPh>
    <phoneticPr fontId="2"/>
  </si>
  <si>
    <t>東都生協11月3回2枚組（不透明袋）②</t>
    <rPh sb="0" eb="2">
      <t>トウト</t>
    </rPh>
    <rPh sb="2" eb="4">
      <t>セイキョウ</t>
    </rPh>
    <rPh sb="10" eb="12">
      <t>マイクミ</t>
    </rPh>
    <rPh sb="13" eb="17">
      <t>フトウメイフクロ</t>
    </rPh>
    <phoneticPr fontId="2"/>
  </si>
  <si>
    <t>東都生協11月3回2枚組（不透明袋）③</t>
    <rPh sb="0" eb="2">
      <t>トウト</t>
    </rPh>
    <rPh sb="2" eb="4">
      <t>セイキョウ</t>
    </rPh>
    <rPh sb="10" eb="12">
      <t>マイクミ</t>
    </rPh>
    <rPh sb="13" eb="17">
      <t>フトウメイフクロ</t>
    </rPh>
    <phoneticPr fontId="2"/>
  </si>
  <si>
    <t>東都生協11月3回2枚組（不透明袋）④</t>
    <rPh sb="0" eb="2">
      <t>トウト</t>
    </rPh>
    <rPh sb="2" eb="4">
      <t>セイキョウ</t>
    </rPh>
    <rPh sb="10" eb="12">
      <t>マイクミ</t>
    </rPh>
    <rPh sb="13" eb="17">
      <t>フトウメイフクロ</t>
    </rPh>
    <phoneticPr fontId="2"/>
  </si>
  <si>
    <t>東都生協1月3回2枚組</t>
    <rPh sb="0" eb="2">
      <t>トウト</t>
    </rPh>
    <rPh sb="2" eb="4">
      <t>セイキョウ</t>
    </rPh>
    <rPh sb="5" eb="6">
      <t>ガツ</t>
    </rPh>
    <rPh sb="7" eb="8">
      <t>カイ</t>
    </rPh>
    <rPh sb="9" eb="10">
      <t>マイ</t>
    </rPh>
    <rPh sb="10" eb="11">
      <t>グミ</t>
    </rPh>
    <phoneticPr fontId="2"/>
  </si>
  <si>
    <t>1/10？？？？</t>
    <phoneticPr fontId="2"/>
  </si>
  <si>
    <t>JOD2P㉞</t>
    <phoneticPr fontId="2"/>
  </si>
  <si>
    <t>東都生協1月3回2枚組①</t>
    <rPh sb="0" eb="2">
      <t>トウト</t>
    </rPh>
    <rPh sb="2" eb="4">
      <t>セイキョウ</t>
    </rPh>
    <rPh sb="5" eb="6">
      <t>ガツ</t>
    </rPh>
    <rPh sb="7" eb="8">
      <t>カイ</t>
    </rPh>
    <rPh sb="9" eb="10">
      <t>マイ</t>
    </rPh>
    <rPh sb="10" eb="11">
      <t>グミ</t>
    </rPh>
    <phoneticPr fontId="2"/>
  </si>
  <si>
    <t>JOD2P㉟</t>
    <phoneticPr fontId="2"/>
  </si>
  <si>
    <t>東都生協1月3回2枚組②</t>
    <rPh sb="0" eb="2">
      <t>トウト</t>
    </rPh>
    <rPh sb="2" eb="4">
      <t>セイキョウ</t>
    </rPh>
    <rPh sb="5" eb="6">
      <t>ガツ</t>
    </rPh>
    <rPh sb="7" eb="8">
      <t>カイ</t>
    </rPh>
    <rPh sb="9" eb="10">
      <t>マイ</t>
    </rPh>
    <rPh sb="10" eb="11">
      <t>グミ</t>
    </rPh>
    <phoneticPr fontId="2"/>
  </si>
  <si>
    <t>ロイヤルステージ1月号3枚組差分予測</t>
    <rPh sb="9" eb="10">
      <t>ガツ</t>
    </rPh>
    <rPh sb="10" eb="11">
      <t>ゴウ</t>
    </rPh>
    <rPh sb="12" eb="14">
      <t>マイクミ</t>
    </rPh>
    <rPh sb="14" eb="18">
      <t>サブンヨソク</t>
    </rPh>
    <phoneticPr fontId="2"/>
  </si>
  <si>
    <t>ロイヤルステージ2月号3枚組差分予測</t>
    <rPh sb="9" eb="10">
      <t>ガツ</t>
    </rPh>
    <rPh sb="10" eb="11">
      <t>ゴウ</t>
    </rPh>
    <rPh sb="12" eb="14">
      <t>マイクミ</t>
    </rPh>
    <rPh sb="14" eb="18">
      <t>サブンヨソク</t>
    </rPh>
    <phoneticPr fontId="2"/>
  </si>
  <si>
    <t>2025/1/10数伝</t>
    <rPh sb="9" eb="10">
      <t>スウ</t>
    </rPh>
    <rPh sb="10" eb="11">
      <t>デン</t>
    </rPh>
    <phoneticPr fontId="2"/>
  </si>
  <si>
    <t>JOD2P㊱</t>
    <phoneticPr fontId="2"/>
  </si>
  <si>
    <t>JOD2P㊲</t>
    <phoneticPr fontId="2"/>
  </si>
  <si>
    <r>
      <t>ロイヤルステージ1月号</t>
    </r>
    <r>
      <rPr>
        <b/>
        <sz val="11"/>
        <rFont val="ＭＳ Ｐゴシック"/>
        <family val="3"/>
        <charset val="128"/>
      </rPr>
      <t>3枚組</t>
    </r>
    <rPh sb="9" eb="10">
      <t>ガツ</t>
    </rPh>
    <rPh sb="10" eb="11">
      <t>ゴウ</t>
    </rPh>
    <rPh sb="12" eb="14">
      <t>マイクミ</t>
    </rPh>
    <phoneticPr fontId="2"/>
  </si>
  <si>
    <t>JOD2P㊳</t>
    <phoneticPr fontId="2"/>
  </si>
  <si>
    <t>グリーンコープ2月47号2枚組（サクラマチ）</t>
    <rPh sb="8" eb="9">
      <t>ガツ</t>
    </rPh>
    <rPh sb="11" eb="12">
      <t>ゴウ</t>
    </rPh>
    <rPh sb="13" eb="15">
      <t>マイクミ</t>
    </rPh>
    <phoneticPr fontId="2"/>
  </si>
  <si>
    <t>JOD2P㊴</t>
    <phoneticPr fontId="2"/>
  </si>
  <si>
    <t>毎日が発見2月号2枚組②</t>
    <rPh sb="0" eb="2">
      <t>マイニチ</t>
    </rPh>
    <rPh sb="3" eb="5">
      <t>ハッケン</t>
    </rPh>
    <rPh sb="6" eb="8">
      <t>ガツゴウ</t>
    </rPh>
    <rPh sb="9" eb="11">
      <t>マイクミ</t>
    </rPh>
    <phoneticPr fontId="2"/>
  </si>
  <si>
    <r>
      <t>ロイヤルステージ2月号</t>
    </r>
    <r>
      <rPr>
        <b/>
        <sz val="11"/>
        <rFont val="ＭＳ Ｐゴシック"/>
        <family val="3"/>
        <charset val="128"/>
      </rPr>
      <t>3枚組②</t>
    </r>
    <rPh sb="9" eb="10">
      <t>ガツ</t>
    </rPh>
    <rPh sb="10" eb="11">
      <t>ゴウ</t>
    </rPh>
    <rPh sb="12" eb="14">
      <t>マイクミ</t>
    </rPh>
    <phoneticPr fontId="2"/>
  </si>
  <si>
    <r>
      <t>ロイヤルステージ2月号</t>
    </r>
    <r>
      <rPr>
        <b/>
        <sz val="11"/>
        <rFont val="ＭＳ Ｐゴシック"/>
        <family val="3"/>
        <charset val="128"/>
      </rPr>
      <t>3枚組</t>
    </r>
    <r>
      <rPr>
        <sz val="11"/>
        <rFont val="ＭＳ Ｐゴシック"/>
        <family val="3"/>
        <charset val="128"/>
      </rPr>
      <t>①</t>
    </r>
    <rPh sb="9" eb="10">
      <t>ガツ</t>
    </rPh>
    <rPh sb="10" eb="11">
      <t>ゴウ</t>
    </rPh>
    <rPh sb="12" eb="14">
      <t>マイクミ</t>
    </rPh>
    <phoneticPr fontId="2"/>
  </si>
  <si>
    <t>JOD2P㊵</t>
    <phoneticPr fontId="2"/>
  </si>
  <si>
    <t>ロイヤル返品</t>
    <rPh sb="4" eb="6">
      <t>ヘンピン</t>
    </rPh>
    <phoneticPr fontId="2"/>
  </si>
  <si>
    <t>JOD2P㊶</t>
    <phoneticPr fontId="2"/>
  </si>
  <si>
    <t>JOD2P㊷</t>
    <phoneticPr fontId="2"/>
  </si>
  <si>
    <t>夢販</t>
    <rPh sb="0" eb="2">
      <t>ユメハン</t>
    </rPh>
    <phoneticPr fontId="2"/>
  </si>
  <si>
    <t>毎日が発見2月号2枚組③</t>
    <rPh sb="0" eb="2">
      <t>マイニチ</t>
    </rPh>
    <rPh sb="3" eb="5">
      <t>ハッケン</t>
    </rPh>
    <rPh sb="6" eb="8">
      <t>ガツゴウ</t>
    </rPh>
    <rPh sb="9" eb="11">
      <t>マイクミ</t>
    </rPh>
    <phoneticPr fontId="2"/>
  </si>
  <si>
    <r>
      <t>ロイヤルステージ2月号</t>
    </r>
    <r>
      <rPr>
        <b/>
        <sz val="11"/>
        <rFont val="ＭＳ Ｐゴシック"/>
        <family val="3"/>
        <charset val="128"/>
      </rPr>
      <t>3枚組③</t>
    </r>
    <rPh sb="9" eb="10">
      <t>ガツ</t>
    </rPh>
    <rPh sb="10" eb="11">
      <t>ゴウ</t>
    </rPh>
    <rPh sb="12" eb="14">
      <t>マイクミ</t>
    </rPh>
    <phoneticPr fontId="2"/>
  </si>
  <si>
    <t>グリーンコープ2月47号2枚組（サクラマチ）①</t>
    <rPh sb="8" eb="9">
      <t>ガツ</t>
    </rPh>
    <rPh sb="11" eb="12">
      <t>ゴウ</t>
    </rPh>
    <rPh sb="13" eb="15">
      <t>マイクミ</t>
    </rPh>
    <phoneticPr fontId="2"/>
  </si>
  <si>
    <r>
      <t>ロイヤルステージ2月号</t>
    </r>
    <r>
      <rPr>
        <b/>
        <sz val="11"/>
        <rFont val="ＭＳ Ｐゴシック"/>
        <family val="3"/>
        <charset val="128"/>
      </rPr>
      <t>3枚組④</t>
    </r>
    <rPh sb="9" eb="10">
      <t>ガツ</t>
    </rPh>
    <rPh sb="10" eb="11">
      <t>ゴウ</t>
    </rPh>
    <rPh sb="12" eb="14">
      <t>マイクミ</t>
    </rPh>
    <phoneticPr fontId="2"/>
  </si>
  <si>
    <t>JOD2P㊸</t>
    <phoneticPr fontId="2"/>
  </si>
  <si>
    <r>
      <t>ロイヤルステージ2月号</t>
    </r>
    <r>
      <rPr>
        <b/>
        <sz val="11"/>
        <rFont val="ＭＳ Ｐゴシック"/>
        <family val="3"/>
        <charset val="128"/>
      </rPr>
      <t>3枚組⑤</t>
    </r>
    <rPh sb="9" eb="10">
      <t>ガツ</t>
    </rPh>
    <rPh sb="10" eb="11">
      <t>ゴウ</t>
    </rPh>
    <rPh sb="12" eb="14">
      <t>マイクミ</t>
    </rPh>
    <phoneticPr fontId="2"/>
  </si>
  <si>
    <t>2025/2/6数伝</t>
    <rPh sb="8" eb="10">
      <t>スウデン</t>
    </rPh>
    <phoneticPr fontId="2"/>
  </si>
  <si>
    <t>サクラマチ代替品</t>
    <rPh sb="5" eb="8">
      <t>ダイタイヒン</t>
    </rPh>
    <phoneticPr fontId="2"/>
  </si>
  <si>
    <t>グリーンコープ2月47号2枚組（サクラマチ）②</t>
    <rPh sb="8" eb="9">
      <t>ガツ</t>
    </rPh>
    <rPh sb="11" eb="12">
      <t>ゴウ</t>
    </rPh>
    <rPh sb="13" eb="15">
      <t>マイクミ</t>
    </rPh>
    <phoneticPr fontId="2"/>
  </si>
  <si>
    <r>
      <t>グリーンコープ2月47号2枚組</t>
    </r>
    <r>
      <rPr>
        <b/>
        <sz val="11"/>
        <rFont val="ＭＳ Ｐゴシック"/>
        <family val="3"/>
        <charset val="128"/>
      </rPr>
      <t>（代替品）③</t>
    </r>
    <rPh sb="8" eb="9">
      <t>ガツ</t>
    </rPh>
    <rPh sb="11" eb="12">
      <t>ゴウ</t>
    </rPh>
    <rPh sb="13" eb="15">
      <t>マイクミ</t>
    </rPh>
    <rPh sb="16" eb="19">
      <t>ダイタイヒン</t>
    </rPh>
    <phoneticPr fontId="2"/>
  </si>
  <si>
    <t>JOD2P㊹</t>
    <phoneticPr fontId="2"/>
  </si>
  <si>
    <t>JOD2P㊺</t>
    <phoneticPr fontId="2"/>
  </si>
  <si>
    <r>
      <t>ロイヤルステージ2月号</t>
    </r>
    <r>
      <rPr>
        <b/>
        <sz val="11"/>
        <rFont val="ＭＳ Ｐゴシック"/>
        <family val="3"/>
        <charset val="128"/>
      </rPr>
      <t>3枚組⑥</t>
    </r>
    <rPh sb="9" eb="10">
      <t>ガツ</t>
    </rPh>
    <rPh sb="10" eb="11">
      <t>ゴウ</t>
    </rPh>
    <rPh sb="12" eb="14">
      <t>マイクミ</t>
    </rPh>
    <phoneticPr fontId="2"/>
  </si>
  <si>
    <t>JOD2P㊻</t>
    <phoneticPr fontId="2"/>
  </si>
  <si>
    <t>JOD2P㊼</t>
    <phoneticPr fontId="2"/>
  </si>
  <si>
    <t>JOD2P㊽</t>
    <phoneticPr fontId="2"/>
  </si>
  <si>
    <r>
      <t>ロイヤルステージ2月号</t>
    </r>
    <r>
      <rPr>
        <b/>
        <sz val="11"/>
        <rFont val="ＭＳ Ｐゴシック"/>
        <family val="3"/>
        <charset val="128"/>
      </rPr>
      <t>3枚組</t>
    </r>
    <rPh sb="9" eb="10">
      <t>ガツ</t>
    </rPh>
    <rPh sb="10" eb="11">
      <t>ゴウ</t>
    </rPh>
    <rPh sb="12" eb="14">
      <t>マイクミ</t>
    </rPh>
    <phoneticPr fontId="2"/>
  </si>
  <si>
    <t>JOD2P㊾</t>
    <phoneticPr fontId="2"/>
  </si>
  <si>
    <t>JOD2P㊿</t>
    <phoneticPr fontId="2"/>
  </si>
  <si>
    <t>JOD2P51</t>
    <phoneticPr fontId="2"/>
  </si>
  <si>
    <t>JOD2P52</t>
  </si>
  <si>
    <t>JOD2P53</t>
  </si>
  <si>
    <t>JOD2P54</t>
    <phoneticPr fontId="2"/>
  </si>
  <si>
    <t>JOD2P55</t>
    <phoneticPr fontId="2"/>
  </si>
  <si>
    <t>JOD返品</t>
    <rPh sb="3" eb="5">
      <t>ヘンピン</t>
    </rPh>
    <phoneticPr fontId="2"/>
  </si>
  <si>
    <t>サクラマチ提案sample</t>
    <rPh sb="5" eb="7">
      <t>テイアン</t>
    </rPh>
    <phoneticPr fontId="2"/>
  </si>
  <si>
    <t>JOD2P56</t>
    <phoneticPr fontId="2"/>
  </si>
  <si>
    <t>毎日が発見sample返却</t>
    <rPh sb="0" eb="2">
      <t>マイニチ</t>
    </rPh>
    <rPh sb="3" eb="5">
      <t>ハッケン</t>
    </rPh>
    <rPh sb="11" eb="13">
      <t>ヘンキャク</t>
    </rPh>
    <phoneticPr fontId="2"/>
  </si>
  <si>
    <t>毎日が発見返品</t>
    <rPh sb="0" eb="2">
      <t>マイニチ</t>
    </rPh>
    <rPh sb="3" eb="7">
      <t>ハッケンヘンピン</t>
    </rPh>
    <phoneticPr fontId="2"/>
  </si>
  <si>
    <t>ニッセンsample</t>
    <phoneticPr fontId="2"/>
  </si>
  <si>
    <t>ロイヤルステージ</t>
    <phoneticPr fontId="2"/>
  </si>
  <si>
    <t>オバタsample</t>
    <phoneticPr fontId="2"/>
  </si>
  <si>
    <t>JOD2P57</t>
    <phoneticPr fontId="2"/>
  </si>
  <si>
    <t>くらし企画（きんき）sample</t>
    <rPh sb="3" eb="5">
      <t>キカク</t>
    </rPh>
    <phoneticPr fontId="2"/>
  </si>
  <si>
    <t>２０２４年実績</t>
    <rPh sb="4" eb="5">
      <t>ネン</t>
    </rPh>
    <rPh sb="5" eb="7">
      <t>ジッセキ</t>
    </rPh>
    <phoneticPr fontId="2"/>
  </si>
  <si>
    <t>9/24、29</t>
    <phoneticPr fontId="2"/>
  </si>
  <si>
    <t>←ここまで式確認2025/7/29</t>
    <rPh sb="5" eb="8">
      <t>シキカクニン</t>
    </rPh>
    <phoneticPr fontId="2"/>
  </si>
  <si>
    <t>サクラマチ(九州)sample</t>
    <rPh sb="6" eb="8">
      <t>キュウシュウ</t>
    </rPh>
    <phoneticPr fontId="2"/>
  </si>
  <si>
    <t>ブラック　２枚組</t>
    <rPh sb="6" eb="8">
      <t>マイグミ</t>
    </rPh>
    <phoneticPr fontId="2"/>
  </si>
  <si>
    <t>あいコープみやぎ11月3回（不透明袋）</t>
    <rPh sb="10" eb="11">
      <t>ガツ</t>
    </rPh>
    <rPh sb="12" eb="13">
      <t>カイ</t>
    </rPh>
    <rPh sb="14" eb="18">
      <t>フトウメイフクロ</t>
    </rPh>
    <phoneticPr fontId="2"/>
  </si>
  <si>
    <t>確定発注11/12</t>
    <rPh sb="0" eb="4">
      <t>カクテイハッチュウ</t>
    </rPh>
    <phoneticPr fontId="2"/>
  </si>
  <si>
    <t>JOD特別版1009</t>
    <rPh sb="3" eb="6">
      <t>トクベツバン</t>
    </rPh>
    <phoneticPr fontId="2"/>
  </si>
  <si>
    <t>コープさっぽろ10月1回（不透明袋）</t>
    <rPh sb="9" eb="10">
      <t>ガツ</t>
    </rPh>
    <rPh sb="11" eb="12">
      <t>カイ</t>
    </rPh>
    <rPh sb="13" eb="17">
      <t>フトウメイフクロ</t>
    </rPh>
    <phoneticPr fontId="2"/>
  </si>
  <si>
    <t>10/8～</t>
    <phoneticPr fontId="2"/>
  </si>
  <si>
    <t>＠350　＠20 \2480</t>
    <phoneticPr fontId="2"/>
  </si>
  <si>
    <t>追加 2-1</t>
    <rPh sb="0" eb="2">
      <t>ツイカ</t>
    </rPh>
    <phoneticPr fontId="2"/>
  </si>
  <si>
    <t>追加 1-1</t>
    <rPh sb="0" eb="2">
      <t>ツイカ</t>
    </rPh>
    <phoneticPr fontId="2"/>
  </si>
  <si>
    <r>
      <t>ここから２０２５年度～      ここから</t>
    </r>
    <r>
      <rPr>
        <sz val="22"/>
        <color rgb="FFFF0000"/>
        <rFont val="ＭＳ Ｐゴシック"/>
        <family val="3"/>
        <charset val="128"/>
      </rPr>
      <t>２枚組セットで記入する</t>
    </r>
    <r>
      <rPr>
        <sz val="22"/>
        <rFont val="ＭＳ Ｐゴシック"/>
        <family val="3"/>
        <charset val="128"/>
      </rPr>
      <t>！！！！</t>
    </r>
    <rPh sb="8" eb="9">
      <t>ネン</t>
    </rPh>
    <rPh sb="9" eb="10">
      <t>ド</t>
    </rPh>
    <rPh sb="22" eb="24">
      <t>マイクミ</t>
    </rPh>
    <rPh sb="28" eb="30">
      <t>キニュウ</t>
    </rPh>
    <phoneticPr fontId="2"/>
  </si>
  <si>
    <t>コープ九州12月4回（不透明袋）</t>
    <rPh sb="3" eb="5">
      <t>キュウシュウ</t>
    </rPh>
    <rPh sb="7" eb="8">
      <t>ガツ</t>
    </rPh>
    <rPh sb="9" eb="10">
      <t>カイ</t>
    </rPh>
    <phoneticPr fontId="2"/>
  </si>
  <si>
    <t>JODエレソア1020</t>
    <phoneticPr fontId="2"/>
  </si>
  <si>
    <t>追加　残</t>
    <rPh sb="0" eb="2">
      <t>ツイカ</t>
    </rPh>
    <rPh sb="3" eb="4">
      <t>ザン</t>
    </rPh>
    <phoneticPr fontId="2"/>
  </si>
  <si>
    <t>2025/9/20数伝</t>
    <rPh sb="9" eb="11">
      <t>スウデン</t>
    </rPh>
    <phoneticPr fontId="2"/>
  </si>
  <si>
    <t>コープさっぽろ10月1回（不透明袋）①</t>
    <rPh sb="9" eb="10">
      <t>ガツ</t>
    </rPh>
    <rPh sb="11" eb="12">
      <t>カイ</t>
    </rPh>
    <rPh sb="13" eb="17">
      <t>フトウメイフクロ</t>
    </rPh>
    <phoneticPr fontId="2"/>
  </si>
  <si>
    <t>12/10～24</t>
    <phoneticPr fontId="2"/>
  </si>
  <si>
    <t>コープ九州12月4回（不透明袋）差分予測</t>
    <rPh sb="3" eb="5">
      <t>キュウシュウ</t>
    </rPh>
    <rPh sb="7" eb="8">
      <t>ガツ</t>
    </rPh>
    <rPh sb="9" eb="10">
      <t>カイ</t>
    </rPh>
    <rPh sb="16" eb="20">
      <t>サブンヨソク</t>
    </rPh>
    <phoneticPr fontId="2"/>
  </si>
  <si>
    <t>コープさっぽろ10月1回（不透明袋）差分予測</t>
    <rPh sb="9" eb="10">
      <t>ガツ</t>
    </rPh>
    <rPh sb="11" eb="12">
      <t>カイ</t>
    </rPh>
    <rPh sb="13" eb="17">
      <t>フトウメイフクロ</t>
    </rPh>
    <rPh sb="18" eb="22">
      <t>サブンヨソク</t>
    </rPh>
    <phoneticPr fontId="2"/>
  </si>
  <si>
    <t>あいコープみやぎ11月3回（不透明袋）差分予測</t>
    <rPh sb="10" eb="11">
      <t>ガツ</t>
    </rPh>
    <rPh sb="12" eb="13">
      <t>カイ</t>
    </rPh>
    <rPh sb="14" eb="18">
      <t>フトウメイフクロ</t>
    </rPh>
    <rPh sb="19" eb="23">
      <t>サブンヨソク</t>
    </rPh>
    <phoneticPr fontId="2"/>
  </si>
  <si>
    <t>東都生協11月3回（不透明袋）</t>
    <rPh sb="0" eb="2">
      <t>トウト</t>
    </rPh>
    <rPh sb="2" eb="4">
      <t>セイキョウ</t>
    </rPh>
    <rPh sb="6" eb="7">
      <t>ガツ</t>
    </rPh>
    <rPh sb="8" eb="9">
      <t>カイ</t>
    </rPh>
    <rPh sb="10" eb="14">
      <t>フトウメイフクロ</t>
    </rPh>
    <phoneticPr fontId="2"/>
  </si>
  <si>
    <t>11/5～18</t>
    <phoneticPr fontId="2"/>
  </si>
  <si>
    <t>東都生協11月3回（不透明袋）差分予測</t>
    <rPh sb="0" eb="2">
      <t>トウト</t>
    </rPh>
    <rPh sb="2" eb="4">
      <t>セイキョウ</t>
    </rPh>
    <rPh sb="6" eb="7">
      <t>ガツ</t>
    </rPh>
    <rPh sb="8" eb="9">
      <t>カイ</t>
    </rPh>
    <rPh sb="10" eb="14">
      <t>フトウメイフクロ</t>
    </rPh>
    <rPh sb="15" eb="19">
      <t>サブンヨソク</t>
    </rPh>
    <phoneticPr fontId="2"/>
  </si>
  <si>
    <t>コープさっぽろ10月1回（不透明袋）②</t>
    <rPh sb="9" eb="10">
      <t>ガツ</t>
    </rPh>
    <rPh sb="11" eb="12">
      <t>カイ</t>
    </rPh>
    <rPh sb="13" eb="17">
      <t>フトウメイフクロ</t>
    </rPh>
    <phoneticPr fontId="2"/>
  </si>
  <si>
    <t>グリーンコープ１２月３９号差分予測</t>
    <rPh sb="9" eb="10">
      <t>ガツ</t>
    </rPh>
    <rPh sb="12" eb="13">
      <t>ゴウ</t>
    </rPh>
    <rPh sb="13" eb="17">
      <t>サブンヨソク</t>
    </rPh>
    <phoneticPr fontId="2"/>
  </si>
  <si>
    <t>12/10～12/19</t>
    <phoneticPr fontId="2"/>
  </si>
  <si>
    <t>グリーンコープ１２月３９号　特価￥2280</t>
    <rPh sb="9" eb="10">
      <t>ガツ</t>
    </rPh>
    <rPh sb="12" eb="13">
      <t>ゴウ</t>
    </rPh>
    <rPh sb="14" eb="16">
      <t>トッカ</t>
    </rPh>
    <phoneticPr fontId="2"/>
  </si>
  <si>
    <t>2025/10/2数伝</t>
    <rPh sb="9" eb="11">
      <t>スウデン</t>
    </rPh>
    <phoneticPr fontId="2"/>
  </si>
  <si>
    <t>＠350　2P\2480</t>
    <phoneticPr fontId="2"/>
  </si>
  <si>
    <t>＠350　2P \2480</t>
    <phoneticPr fontId="2"/>
  </si>
  <si>
    <t>JOD靴下特集1109（裏）</t>
    <rPh sb="3" eb="5">
      <t>クツシタ</t>
    </rPh>
    <rPh sb="5" eb="7">
      <t>トクシュウ</t>
    </rPh>
    <rPh sb="12" eb="13">
      <t>ウラ</t>
    </rPh>
    <phoneticPr fontId="2"/>
  </si>
  <si>
    <t>11/6～</t>
    <phoneticPr fontId="2"/>
  </si>
  <si>
    <t>点11/14、アバウト12/2、本12/2～8</t>
    <rPh sb="0" eb="1">
      <t>テン</t>
    </rPh>
    <rPh sb="16" eb="17">
      <t>ホン</t>
    </rPh>
    <phoneticPr fontId="2"/>
  </si>
  <si>
    <t>コープきんき12月2回差分予測（不透明袋）</t>
    <rPh sb="8" eb="9">
      <t>ガツ</t>
    </rPh>
    <rPh sb="10" eb="11">
      <t>カイ</t>
    </rPh>
    <rPh sb="11" eb="15">
      <t>サブンヨソク</t>
    </rPh>
    <rPh sb="16" eb="20">
      <t>フトウメイフクロ</t>
    </rPh>
    <phoneticPr fontId="2"/>
  </si>
  <si>
    <t>コープきんき12月2回（不透明袋）</t>
    <rPh sb="8" eb="9">
      <t>ガツ</t>
    </rPh>
    <rPh sb="10" eb="11">
      <t>カイ</t>
    </rPh>
    <phoneticPr fontId="2"/>
  </si>
  <si>
    <t>ロイヤルステージ12月号3枚組差分予測</t>
    <rPh sb="10" eb="11">
      <t>ガツ</t>
    </rPh>
    <rPh sb="11" eb="12">
      <t>ゴウ</t>
    </rPh>
    <rPh sb="13" eb="15">
      <t>マイクミ</t>
    </rPh>
    <rPh sb="15" eb="19">
      <t>サブンヨソク</t>
    </rPh>
    <phoneticPr fontId="2"/>
  </si>
  <si>
    <t>12/4～1/10</t>
    <phoneticPr fontId="2"/>
  </si>
  <si>
    <t>なごみsample</t>
    <phoneticPr fontId="2"/>
  </si>
  <si>
    <t>JOD①</t>
    <phoneticPr fontId="2"/>
  </si>
  <si>
    <t>JOD②</t>
    <phoneticPr fontId="2"/>
  </si>
  <si>
    <t>JOD③</t>
    <phoneticPr fontId="2"/>
  </si>
  <si>
    <t>旧</t>
    <rPh sb="0" eb="1">
      <t>キュウ</t>
    </rPh>
    <phoneticPr fontId="2"/>
  </si>
  <si>
    <t>新絵表示</t>
    <rPh sb="0" eb="1">
      <t>シン</t>
    </rPh>
    <rPh sb="1" eb="4">
      <t>エヒョウジ</t>
    </rPh>
    <phoneticPr fontId="2"/>
  </si>
  <si>
    <t>ニッセンsample返却</t>
    <rPh sb="10" eb="12">
      <t>ヘンキャク</t>
    </rPh>
    <phoneticPr fontId="2"/>
  </si>
  <si>
    <t>JOD④</t>
    <phoneticPr fontId="2"/>
  </si>
  <si>
    <t>JOD⑤</t>
    <phoneticPr fontId="2"/>
  </si>
  <si>
    <t>JOD⑥</t>
    <phoneticPr fontId="2"/>
  </si>
  <si>
    <t>JOD⑦</t>
    <phoneticPr fontId="2"/>
  </si>
  <si>
    <t>JOD⑧</t>
    <phoneticPr fontId="2"/>
  </si>
  <si>
    <t>KPORT</t>
    <phoneticPr fontId="2"/>
  </si>
  <si>
    <t>夢販移動</t>
    <rPh sb="0" eb="4">
      <t>ユメハンイドウ</t>
    </rPh>
    <phoneticPr fontId="2"/>
  </si>
  <si>
    <t>JOD⑨</t>
    <phoneticPr fontId="2"/>
  </si>
  <si>
    <t>JOD⑩</t>
    <phoneticPr fontId="2"/>
  </si>
  <si>
    <t>JOD⑪</t>
    <phoneticPr fontId="2"/>
  </si>
  <si>
    <t>JOD⑫</t>
    <phoneticPr fontId="2"/>
  </si>
  <si>
    <t>JOD⑬</t>
    <phoneticPr fontId="2"/>
  </si>
  <si>
    <t>JOD⑭</t>
    <phoneticPr fontId="2"/>
  </si>
  <si>
    <t>JOD⑮</t>
    <phoneticPr fontId="2"/>
  </si>
  <si>
    <t>JOD⑯</t>
    <phoneticPr fontId="2"/>
  </si>
  <si>
    <t>東都生協11月3回（不透明袋）①</t>
    <rPh sb="0" eb="2">
      <t>トウト</t>
    </rPh>
    <rPh sb="2" eb="4">
      <t>セイキョウ</t>
    </rPh>
    <rPh sb="6" eb="7">
      <t>ガツ</t>
    </rPh>
    <rPh sb="8" eb="9">
      <t>カイ</t>
    </rPh>
    <rPh sb="10" eb="14">
      <t>フトウメイフクロ</t>
    </rPh>
    <phoneticPr fontId="2"/>
  </si>
  <si>
    <t>11/5数伝</t>
    <rPh sb="4" eb="5">
      <t>スウ</t>
    </rPh>
    <rPh sb="5" eb="6">
      <t>デン</t>
    </rPh>
    <phoneticPr fontId="2"/>
  </si>
  <si>
    <t>JODメルシー1204</t>
    <phoneticPr fontId="2"/>
  </si>
  <si>
    <t>12/4～</t>
    <phoneticPr fontId="2"/>
  </si>
  <si>
    <t>JOD⑰</t>
    <phoneticPr fontId="2"/>
  </si>
  <si>
    <t>JOD⑱</t>
    <phoneticPr fontId="2"/>
  </si>
  <si>
    <t>1/8～2/21</t>
    <phoneticPr fontId="2"/>
  </si>
  <si>
    <t>JOD⑲</t>
    <phoneticPr fontId="2"/>
  </si>
  <si>
    <t>追加 3-3-1</t>
    <rPh sb="0" eb="2">
      <t>ツイカ</t>
    </rPh>
    <phoneticPr fontId="2"/>
  </si>
  <si>
    <t>追加 3-3-2</t>
    <rPh sb="0" eb="2">
      <t>ツイカ</t>
    </rPh>
    <phoneticPr fontId="2"/>
  </si>
  <si>
    <t>追加 3-3-3</t>
    <rPh sb="0" eb="2">
      <t>ツイカ</t>
    </rPh>
    <phoneticPr fontId="2"/>
  </si>
  <si>
    <t>あいコープみやぎ11月3回（不透明袋）①</t>
    <rPh sb="10" eb="11">
      <t>ガツ</t>
    </rPh>
    <rPh sb="12" eb="13">
      <t>カイ</t>
    </rPh>
    <rPh sb="14" eb="18">
      <t>フトウメイフクロ</t>
    </rPh>
    <phoneticPr fontId="2"/>
  </si>
  <si>
    <t>JOD⑳</t>
    <phoneticPr fontId="2"/>
  </si>
  <si>
    <t>東都生協11月3回（不透明袋）②</t>
    <rPh sb="0" eb="2">
      <t>トウト</t>
    </rPh>
    <rPh sb="2" eb="4">
      <t>セイキョウ</t>
    </rPh>
    <rPh sb="6" eb="7">
      <t>ガツ</t>
    </rPh>
    <rPh sb="8" eb="9">
      <t>カイ</t>
    </rPh>
    <rPh sb="10" eb="14">
      <t>フトウメイフクロ</t>
    </rPh>
    <phoneticPr fontId="2"/>
  </si>
  <si>
    <t>11/11数伝</t>
    <rPh sb="5" eb="6">
      <t>スウ</t>
    </rPh>
    <rPh sb="6" eb="7">
      <t>デン</t>
    </rPh>
    <phoneticPr fontId="2"/>
  </si>
  <si>
    <t>JOD㉑</t>
    <phoneticPr fontId="2"/>
  </si>
  <si>
    <t>東都生協11月3回（不透明袋）③</t>
    <rPh sb="0" eb="2">
      <t>トウト</t>
    </rPh>
    <rPh sb="2" eb="4">
      <t>セイキョウ</t>
    </rPh>
    <rPh sb="6" eb="7">
      <t>ガツ</t>
    </rPh>
    <rPh sb="8" eb="9">
      <t>カイ</t>
    </rPh>
    <rPh sb="10" eb="14">
      <t>フトウメイフクロ</t>
    </rPh>
    <phoneticPr fontId="2"/>
  </si>
  <si>
    <t>東都生協11月3回（不透明袋）④</t>
    <rPh sb="0" eb="2">
      <t>トウト</t>
    </rPh>
    <rPh sb="2" eb="4">
      <t>セイキョウ</t>
    </rPh>
    <rPh sb="6" eb="7">
      <t>ガツ</t>
    </rPh>
    <rPh sb="8" eb="9">
      <t>カイ</t>
    </rPh>
    <rPh sb="10" eb="14">
      <t>フトウメイフクロ</t>
    </rPh>
    <phoneticPr fontId="2"/>
  </si>
  <si>
    <t>JOD㉒</t>
    <phoneticPr fontId="2"/>
  </si>
  <si>
    <t>夢販</t>
    <rPh sb="0" eb="2">
      <t>ユメハン</t>
    </rPh>
    <phoneticPr fontId="2"/>
  </si>
  <si>
    <t>JOD㉓</t>
    <phoneticPr fontId="2"/>
  </si>
  <si>
    <t>コープきんき12月2回（不透明袋）①</t>
    <rPh sb="8" eb="9">
      <t>ガツ</t>
    </rPh>
    <rPh sb="10" eb="11">
      <t>カイ</t>
    </rPh>
    <phoneticPr fontId="2"/>
  </si>
  <si>
    <t>JOD㉔</t>
    <phoneticPr fontId="2"/>
  </si>
  <si>
    <t>JOD㉕</t>
    <phoneticPr fontId="2"/>
  </si>
  <si>
    <t>JOD㉖</t>
    <phoneticPr fontId="2"/>
  </si>
  <si>
    <t>JOD㉗</t>
    <phoneticPr fontId="2"/>
  </si>
  <si>
    <t>JOD㉘</t>
    <phoneticPr fontId="2"/>
  </si>
  <si>
    <t>グリーンコープ2月48号</t>
    <rPh sb="8" eb="9">
      <t>ガツ</t>
    </rPh>
    <rPh sb="11" eb="12">
      <t>ゴウ</t>
    </rPh>
    <phoneticPr fontId="2"/>
  </si>
  <si>
    <t>グリーンコープ2月48号差分予測</t>
    <rPh sb="8" eb="9">
      <t>ガツ</t>
    </rPh>
    <rPh sb="11" eb="12">
      <t>ゴウ</t>
    </rPh>
    <rPh sb="12" eb="16">
      <t>サブンヨソク</t>
    </rPh>
    <phoneticPr fontId="2"/>
  </si>
  <si>
    <t>2/11～2/18</t>
    <phoneticPr fontId="2"/>
  </si>
  <si>
    <t>JOD㉙</t>
    <phoneticPr fontId="2"/>
  </si>
  <si>
    <t>オバタ返品</t>
    <rPh sb="3" eb="5">
      <t>ヘンピン</t>
    </rPh>
    <phoneticPr fontId="2"/>
  </si>
  <si>
    <t>JODアクセス7014</t>
    <phoneticPr fontId="2"/>
  </si>
  <si>
    <t>1/14～</t>
    <phoneticPr fontId="2"/>
  </si>
  <si>
    <t>JOD㉚</t>
    <phoneticPr fontId="2"/>
  </si>
  <si>
    <t>JOD㉛</t>
    <phoneticPr fontId="2"/>
  </si>
  <si>
    <t>ロイヤルステージ出荷分</t>
    <rPh sb="8" eb="10">
      <t>シュッカ</t>
    </rPh>
    <rPh sb="10" eb="11">
      <t>ブン</t>
    </rPh>
    <phoneticPr fontId="2"/>
  </si>
  <si>
    <t>JOD㉜</t>
    <phoneticPr fontId="2"/>
  </si>
  <si>
    <r>
      <t>ロイヤルステージ12月号</t>
    </r>
    <r>
      <rPr>
        <b/>
        <sz val="11"/>
        <rFont val="ＭＳ Ｐゴシック"/>
        <family val="3"/>
        <charset val="128"/>
      </rPr>
      <t>3枚組</t>
    </r>
    <r>
      <rPr>
        <sz val="11"/>
        <rFont val="ＭＳ Ｐゴシック"/>
        <family val="3"/>
        <charset val="128"/>
      </rPr>
      <t>①</t>
    </r>
    <rPh sb="10" eb="11">
      <t>ガツ</t>
    </rPh>
    <rPh sb="11" eb="12">
      <t>ゴウ</t>
    </rPh>
    <rPh sb="13" eb="15">
      <t>マイクミ</t>
    </rPh>
    <phoneticPr fontId="2"/>
  </si>
  <si>
    <t>JOD㉝</t>
    <phoneticPr fontId="2"/>
  </si>
  <si>
    <t>コープきんき12月2回（不透明袋）②</t>
    <rPh sb="8" eb="9">
      <t>ガツ</t>
    </rPh>
    <rPh sb="10" eb="11">
      <t>カイ</t>
    </rPh>
    <phoneticPr fontId="2"/>
  </si>
  <si>
    <t>コープきんき12月2回（不透明袋）③</t>
    <rPh sb="8" eb="9">
      <t>ガツ</t>
    </rPh>
    <rPh sb="10" eb="11">
      <t>カイ</t>
    </rPh>
    <phoneticPr fontId="2"/>
  </si>
  <si>
    <t>JOD特別号7282</t>
    <rPh sb="3" eb="6">
      <t>トクベツゴウ</t>
    </rPh>
    <phoneticPr fontId="2"/>
  </si>
  <si>
    <t>1/10～</t>
    <phoneticPr fontId="2"/>
  </si>
  <si>
    <t>JOD㉞</t>
    <phoneticPr fontId="2"/>
  </si>
  <si>
    <t>コープきんき12月2回（不透明袋）④</t>
    <rPh sb="8" eb="9">
      <t>ガツ</t>
    </rPh>
    <rPh sb="10" eb="11">
      <t>カイ</t>
    </rPh>
    <phoneticPr fontId="2"/>
  </si>
  <si>
    <t>2/5～3/4</t>
    <phoneticPr fontId="2"/>
  </si>
  <si>
    <t>ロイヤルステージ3Pに</t>
    <phoneticPr fontId="2"/>
  </si>
  <si>
    <r>
      <t>ロイヤルステージ12月号</t>
    </r>
    <r>
      <rPr>
        <b/>
        <sz val="11"/>
        <rFont val="ＭＳ Ｐゴシック"/>
        <family val="3"/>
        <charset val="128"/>
      </rPr>
      <t>3枚組②</t>
    </r>
    <rPh sb="10" eb="11">
      <t>ガツ</t>
    </rPh>
    <rPh sb="11" eb="12">
      <t>ゴウ</t>
    </rPh>
    <rPh sb="13" eb="15">
      <t>マイクミ</t>
    </rPh>
    <phoneticPr fontId="2"/>
  </si>
  <si>
    <t>コープ九州12月4回（不透明袋）①</t>
    <rPh sb="3" eb="5">
      <t>キュウシュウ</t>
    </rPh>
    <rPh sb="7" eb="8">
      <t>ガツ</t>
    </rPh>
    <rPh sb="9" eb="10">
      <t>カイ</t>
    </rPh>
    <phoneticPr fontId="2"/>
  </si>
  <si>
    <t>グリーンコープ１２月３９号　特価￥2280①</t>
    <rPh sb="9" eb="10">
      <t>ガツ</t>
    </rPh>
    <rPh sb="12" eb="13">
      <t>ゴウ</t>
    </rPh>
    <rPh sb="14" eb="16">
      <t>トッカ</t>
    </rPh>
    <phoneticPr fontId="2"/>
  </si>
  <si>
    <t>JOD㉟</t>
    <phoneticPr fontId="2"/>
  </si>
  <si>
    <t>グリーンコープ１２月３９号　特価￥2280②</t>
    <rPh sb="9" eb="10">
      <t>ガツ</t>
    </rPh>
    <rPh sb="12" eb="13">
      <t>ゴウ</t>
    </rPh>
    <rPh sb="14" eb="16">
      <t>トッカ</t>
    </rPh>
    <phoneticPr fontId="2"/>
  </si>
  <si>
    <t>2025/12/10数伝</t>
    <rPh sb="10" eb="12">
      <t>スウデン</t>
    </rPh>
    <phoneticPr fontId="2"/>
  </si>
  <si>
    <t>2025/12/12数伝</t>
    <rPh sb="10" eb="11">
      <t>スウ</t>
    </rPh>
    <rPh sb="11" eb="12">
      <t>デン</t>
    </rPh>
    <phoneticPr fontId="2"/>
  </si>
  <si>
    <t>JOD㊱</t>
    <phoneticPr fontId="2"/>
  </si>
  <si>
    <t>夢販</t>
    <rPh sb="0" eb="2">
      <t>y</t>
    </rPh>
    <phoneticPr fontId="2"/>
  </si>
  <si>
    <r>
      <t>ロイヤルステージ12月号</t>
    </r>
    <r>
      <rPr>
        <b/>
        <sz val="11"/>
        <rFont val="ＭＳ Ｐゴシック"/>
        <family val="3"/>
        <charset val="128"/>
      </rPr>
      <t>3枚組③</t>
    </r>
    <rPh sb="10" eb="11">
      <t>ガツ</t>
    </rPh>
    <rPh sb="11" eb="12">
      <t>ゴウ</t>
    </rPh>
    <rPh sb="13" eb="15">
      <t>マイクミ</t>
    </rPh>
    <phoneticPr fontId="2"/>
  </si>
  <si>
    <t>JOD㊲</t>
    <phoneticPr fontId="2"/>
  </si>
  <si>
    <t>コープ九州12月4回（不透明袋）②</t>
    <rPh sb="3" eb="5">
      <t>キュウシュウ</t>
    </rPh>
    <rPh sb="7" eb="8">
      <t>ガツ</t>
    </rPh>
    <rPh sb="9" eb="10">
      <t>カイ</t>
    </rPh>
    <phoneticPr fontId="2"/>
  </si>
  <si>
    <t>JOD特別版0203</t>
    <rPh sb="3" eb="5">
      <t>トクベツ</t>
    </rPh>
    <rPh sb="5" eb="6">
      <t>バン</t>
    </rPh>
    <phoneticPr fontId="2"/>
  </si>
  <si>
    <t>2/2～</t>
    <phoneticPr fontId="2"/>
  </si>
  <si>
    <t>コープ九州12月4回（不透明袋）③</t>
    <rPh sb="3" eb="5">
      <t>キュウシュウ</t>
    </rPh>
    <rPh sb="7" eb="8">
      <t>ガツ</t>
    </rPh>
    <rPh sb="9" eb="10">
      <t>カイ</t>
    </rPh>
    <phoneticPr fontId="2"/>
  </si>
  <si>
    <t>JOD㊳</t>
    <phoneticPr fontId="2"/>
  </si>
  <si>
    <t>コープ九州12月4回（不透明袋）④</t>
    <rPh sb="3" eb="5">
      <t>キュウシュウ</t>
    </rPh>
    <rPh sb="7" eb="8">
      <t>ガツ</t>
    </rPh>
    <rPh sb="9" eb="10">
      <t>カイ</t>
    </rPh>
    <phoneticPr fontId="2"/>
  </si>
  <si>
    <t>ゆめはん</t>
    <phoneticPr fontId="2"/>
  </si>
  <si>
    <t>JOD㊴</t>
    <phoneticPr fontId="2"/>
  </si>
  <si>
    <t>JOD㊵</t>
    <phoneticPr fontId="2"/>
  </si>
  <si>
    <r>
      <t>ロイヤルステージ12月号</t>
    </r>
    <r>
      <rPr>
        <b/>
        <sz val="11"/>
        <rFont val="ＭＳ Ｐゴシック"/>
        <family val="3"/>
        <charset val="128"/>
      </rPr>
      <t>3枚組④</t>
    </r>
    <rPh sb="10" eb="11">
      <t>ガツ</t>
    </rPh>
    <rPh sb="11" eb="12">
      <t>ゴウ</t>
    </rPh>
    <rPh sb="13" eb="15">
      <t>マイクミ</t>
    </rPh>
    <phoneticPr fontId="2"/>
  </si>
  <si>
    <t>JOD㊶</t>
    <phoneticPr fontId="2"/>
  </si>
  <si>
    <t>JOD返品</t>
    <rPh sb="0" eb="5">
      <t>jヘンピン</t>
    </rPh>
    <phoneticPr fontId="2"/>
  </si>
  <si>
    <t>JOD㊷</t>
    <phoneticPr fontId="2"/>
  </si>
  <si>
    <t>JOD㊸</t>
    <phoneticPr fontId="2"/>
  </si>
  <si>
    <t>JOD㊹</t>
    <phoneticPr fontId="2"/>
  </si>
  <si>
    <t>JOD㊺</t>
    <phoneticPr fontId="2"/>
  </si>
  <si>
    <t>JOD㊻</t>
    <phoneticPr fontId="2"/>
  </si>
  <si>
    <t>JOD㊼</t>
    <phoneticPr fontId="2"/>
  </si>
  <si>
    <t>JOD㊽</t>
    <phoneticPr fontId="2"/>
  </si>
  <si>
    <t>JOD㊾</t>
    <phoneticPr fontId="2"/>
  </si>
  <si>
    <r>
      <t>ロイヤルステージ12月号</t>
    </r>
    <r>
      <rPr>
        <b/>
        <sz val="11"/>
        <rFont val="ＭＳ Ｐゴシック"/>
        <family val="3"/>
        <charset val="128"/>
      </rPr>
      <t>3枚組</t>
    </r>
    <rPh sb="10" eb="11">
      <t>ガツ</t>
    </rPh>
    <rPh sb="11" eb="12">
      <t>ゴウ</t>
    </rPh>
    <rPh sb="13" eb="15">
      <t>マイクミ</t>
    </rPh>
    <phoneticPr fontId="2"/>
  </si>
  <si>
    <t>JOD㊿</t>
    <phoneticPr fontId="2"/>
  </si>
  <si>
    <t>JOD51</t>
    <phoneticPr fontId="2"/>
  </si>
  <si>
    <t>ゆめはん</t>
    <phoneticPr fontId="2"/>
  </si>
  <si>
    <t>JOD52</t>
    <phoneticPr fontId="2"/>
  </si>
  <si>
    <t>JOD53</t>
  </si>
  <si>
    <r>
      <t>ロイヤルステージ1月号</t>
    </r>
    <r>
      <rPr>
        <b/>
        <sz val="11"/>
        <rFont val="ＭＳ Ｐゴシック"/>
        <family val="3"/>
        <charset val="128"/>
      </rPr>
      <t>3枚組</t>
    </r>
    <r>
      <rPr>
        <sz val="11"/>
        <rFont val="ＭＳ Ｐゴシック"/>
        <family val="3"/>
        <charset val="128"/>
      </rPr>
      <t>①</t>
    </r>
    <rPh sb="9" eb="10">
      <t>ガツ</t>
    </rPh>
    <rPh sb="10" eb="11">
      <t>ゴウ</t>
    </rPh>
    <rPh sb="12" eb="14">
      <t>マイクミ</t>
    </rPh>
    <phoneticPr fontId="2"/>
  </si>
  <si>
    <t>JOD54</t>
  </si>
  <si>
    <t>JOD55</t>
  </si>
  <si>
    <t>JOD56</t>
    <phoneticPr fontId="2"/>
  </si>
  <si>
    <t>JOD57</t>
  </si>
  <si>
    <t>オバタsample返却</t>
    <rPh sb="9" eb="11">
      <t>ヘンキャク</t>
    </rPh>
    <phoneticPr fontId="2"/>
  </si>
  <si>
    <t>JOD58</t>
    <phoneticPr fontId="2"/>
  </si>
  <si>
    <t>2026/2/2伝数</t>
    <rPh sb="8" eb="10">
      <t>デンスウ</t>
    </rPh>
    <phoneticPr fontId="2"/>
  </si>
  <si>
    <t>JOD59</t>
  </si>
  <si>
    <t>JOD60</t>
    <phoneticPr fontId="2"/>
  </si>
  <si>
    <r>
      <t>ロイヤルステージ2月号</t>
    </r>
    <r>
      <rPr>
        <b/>
        <sz val="11"/>
        <rFont val="ＭＳ Ｐゴシック"/>
        <family val="3"/>
        <charset val="128"/>
      </rPr>
      <t>3枚組</t>
    </r>
    <r>
      <rPr>
        <sz val="11"/>
        <rFont val="ＭＳ Ｐゴシック"/>
        <family val="3"/>
        <charset val="128"/>
      </rPr>
      <t>①</t>
    </r>
    <rPh sb="9" eb="10">
      <t>ガツ</t>
    </rPh>
    <rPh sb="10" eb="11">
      <t>ゴウ</t>
    </rPh>
    <rPh sb="12" eb="14">
      <t>マイクミ</t>
    </rPh>
    <phoneticPr fontId="2"/>
  </si>
  <si>
    <t>JOD61</t>
  </si>
  <si>
    <t>JOD62</t>
  </si>
  <si>
    <t>追加</t>
    <rPh sb="0" eb="2">
      <t>ツイカ</t>
    </rPh>
    <phoneticPr fontId="2"/>
  </si>
  <si>
    <t>JOD63</t>
    <phoneticPr fontId="2"/>
  </si>
  <si>
    <t>JOD64</t>
    <phoneticPr fontId="2"/>
  </si>
  <si>
    <t>ロイヤルステージ返品</t>
    <rPh sb="8" eb="10">
      <t>ヘンピン</t>
    </rPh>
    <phoneticPr fontId="2"/>
  </si>
  <si>
    <t>グリーンコープ2月48号①</t>
    <rPh sb="8" eb="9">
      <t>ガツ</t>
    </rPh>
    <rPh sb="11" eb="12">
      <t>ゴウ</t>
    </rPh>
    <phoneticPr fontId="2"/>
  </si>
  <si>
    <t>JOD65</t>
    <phoneticPr fontId="2"/>
  </si>
  <si>
    <t>グリーンコープ2月48号②</t>
    <rPh sb="8" eb="9">
      <t>ガツ</t>
    </rPh>
    <rPh sb="11" eb="12">
      <t>ゴウ</t>
    </rPh>
    <phoneticPr fontId="2"/>
  </si>
  <si>
    <t>JOD返品</t>
    <rPh sb="3" eb="5">
      <t>ヘンピン</t>
    </rPh>
    <phoneticPr fontId="2"/>
  </si>
  <si>
    <t>JOD66</t>
    <phoneticPr fontId="2"/>
  </si>
  <si>
    <t>ゆめはん</t>
    <phoneticPr fontId="2"/>
  </si>
  <si>
    <t>JOD67</t>
    <phoneticPr fontId="2"/>
  </si>
  <si>
    <t>グリーンコープ2月48号③</t>
    <rPh sb="8" eb="9">
      <t>ガツ</t>
    </rPh>
    <rPh sb="11" eb="12">
      <t>ゴウ</t>
    </rPh>
    <phoneticPr fontId="2"/>
  </si>
  <si>
    <t>JOD68</t>
  </si>
  <si>
    <t>JOD69</t>
  </si>
  <si>
    <t>JOD70</t>
    <phoneticPr fontId="2"/>
  </si>
  <si>
    <t>JOD71</t>
  </si>
  <si>
    <t>ネット</t>
    <phoneticPr fontId="2"/>
  </si>
  <si>
    <t>くらし返品</t>
  </si>
  <si>
    <t>JOD72</t>
    <phoneticPr fontId="2"/>
  </si>
  <si>
    <t>JOD73</t>
  </si>
  <si>
    <t>JOD74</t>
  </si>
  <si>
    <t>→ここまで在庫確認済2/27</t>
    <rPh sb="0" eb="10">
      <t>ヤジルシココマデザイコカクニンスミ</t>
    </rPh>
    <phoneticPr fontId="2"/>
  </si>
  <si>
    <t>JOD返品</t>
    <rPh sb="3" eb="5">
      <t>ヘンピン</t>
    </rPh>
    <phoneticPr fontId="2"/>
  </si>
  <si>
    <t>JOD75</t>
    <phoneticPr fontId="2"/>
  </si>
  <si>
    <t>JOD76</t>
  </si>
  <si>
    <t>JOD77</t>
  </si>
  <si>
    <t>くらし返品</t>
    <phoneticPr fontId="2"/>
  </si>
  <si>
    <t>JOD78</t>
    <phoneticPr fontId="2"/>
  </si>
  <si>
    <t>くらし返品</t>
    <rPh sb="3" eb="5">
      <t>ヘンピン</t>
    </rPh>
    <phoneticPr fontId="2"/>
  </si>
  <si>
    <t>JOD79</t>
  </si>
  <si>
    <t>JOD80</t>
    <phoneticPr fontId="2"/>
  </si>
  <si>
    <t>KPORT</t>
    <phoneticPr fontId="2"/>
  </si>
  <si>
    <t>なごみsample返却</t>
    <rPh sb="9" eb="11">
      <t>ヘンキャク</t>
    </rPh>
    <phoneticPr fontId="2"/>
  </si>
  <si>
    <t>JOD81</t>
  </si>
  <si>
    <t>JOD82</t>
  </si>
  <si>
    <t>JOD83</t>
  </si>
  <si>
    <t>JOD84</t>
    <phoneticPr fontId="2"/>
  </si>
  <si>
    <t>JOD85</t>
  </si>
  <si>
    <t>JOD86</t>
  </si>
  <si>
    <t>JOD87</t>
  </si>
  <si>
    <t>JOD88</t>
  </si>
  <si>
    <t>その他分</t>
    <rPh sb="2" eb="3">
      <t>タ</t>
    </rPh>
    <rPh sb="3" eb="4">
      <t>ブン</t>
    </rPh>
    <phoneticPr fontId="2"/>
  </si>
  <si>
    <t>交換依頼B</t>
    <rPh sb="0" eb="2">
      <t>コウカン</t>
    </rPh>
    <rPh sb="2" eb="4">
      <t>イライ</t>
    </rPh>
    <phoneticPr fontId="2"/>
  </si>
  <si>
    <t>実績</t>
    <rPh sb="0" eb="2">
      <t>ジッセキ</t>
    </rPh>
    <phoneticPr fontId="2"/>
  </si>
  <si>
    <t>ブラック　２枚組セット</t>
    <rPh sb="6" eb="8">
      <t>マイグミ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</si>
</sst>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2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1"/>
      <color theme="0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22"/>
      <name val="ＭＳ Ｐゴシック"/>
      <family val="3"/>
      <charset val="128"/>
    </font>
    <font>
      <sz val="22"/>
      <color rgb="FFFF0000"/>
      <name val="ＭＳ Ｐゴシック"/>
      <family val="3"/>
      <charset val="128"/>
    </font>
    <font>
      <sz val="11"/>
      <color theme="1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</fills>
  <borders count="29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/>
    <xf numFmtId="0" fontId="3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56" fontId="0" fillId="0" borderId="7" xfId="0" applyNumberFormat="1" applyBorder="1" applyAlignment="1">
      <alignment horizontal="center"/>
    </xf>
    <xf numFmtId="56" fontId="0" fillId="0" borderId="9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2" borderId="0" xfId="0" applyFill="1"/>
    <xf numFmtId="0" fontId="4" fillId="2" borderId="0" xfId="0" applyFont="1" applyFill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13" xfId="0" applyBorder="1"/>
    <xf numFmtId="0" fontId="1" fillId="0" borderId="18" xfId="0" applyFont="1" applyBorder="1"/>
    <xf numFmtId="0" fontId="0" fillId="0" borderId="20" xfId="0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16" xfId="0" applyBorder="1"/>
    <xf numFmtId="0" fontId="1" fillId="0" borderId="22" xfId="0" applyFont="1" applyBorder="1"/>
    <xf numFmtId="0" fontId="0" fillId="0" borderId="24" xfId="0" applyBorder="1"/>
    <xf numFmtId="0" fontId="3" fillId="0" borderId="25" xfId="0" applyFont="1" applyBorder="1"/>
    <xf numFmtId="56" fontId="0" fillId="0" borderId="27" xfId="0" applyNumberFormat="1" applyBorder="1" applyAlignment="1">
      <alignment horizontal="center"/>
    </xf>
    <xf numFmtId="0" fontId="0" fillId="0" borderId="0" xfId="0" applyAlignment="1">
      <alignment horizontal="left"/>
    </xf>
    <xf numFmtId="56" fontId="0" fillId="0" borderId="0" xfId="0" applyNumberFormat="1" applyAlignment="1">
      <alignment horizontal="left"/>
    </xf>
    <xf numFmtId="56" fontId="1" fillId="0" borderId="0" xfId="0" applyNumberFormat="1" applyFont="1" applyAlignment="1">
      <alignment horizontal="left"/>
    </xf>
    <xf numFmtId="0" fontId="3" fillId="0" borderId="3" xfId="0" applyFont="1" applyBorder="1" applyAlignment="1">
      <alignment horizontal="center"/>
    </xf>
    <xf numFmtId="0" fontId="3" fillId="0" borderId="16" xfId="0" applyFont="1" applyBorder="1"/>
    <xf numFmtId="0" fontId="3" fillId="0" borderId="13" xfId="0" applyFont="1" applyBorder="1"/>
    <xf numFmtId="56" fontId="3" fillId="0" borderId="9" xfId="0" applyNumberFormat="1" applyFont="1" applyBorder="1" applyAlignment="1">
      <alignment horizontal="center"/>
    </xf>
    <xf numFmtId="0" fontId="3" fillId="0" borderId="21" xfId="0" applyFont="1" applyBorder="1"/>
    <xf numFmtId="0" fontId="3" fillId="0" borderId="17" xfId="0" applyFont="1" applyBorder="1"/>
    <xf numFmtId="0" fontId="0" fillId="3" borderId="11" xfId="0" applyFill="1" applyBorder="1" applyAlignment="1">
      <alignment horizontal="center"/>
    </xf>
    <xf numFmtId="0" fontId="0" fillId="3" borderId="9" xfId="0" applyFill="1" applyBorder="1"/>
    <xf numFmtId="0" fontId="0" fillId="3" borderId="7" xfId="0" applyFill="1" applyBorder="1"/>
    <xf numFmtId="0" fontId="0" fillId="3" borderId="10" xfId="0" applyFill="1" applyBorder="1"/>
    <xf numFmtId="0" fontId="3" fillId="3" borderId="2" xfId="0" applyFont="1" applyFill="1" applyBorder="1"/>
    <xf numFmtId="0" fontId="0" fillId="3" borderId="8" xfId="0" applyFill="1" applyBorder="1"/>
    <xf numFmtId="0" fontId="0" fillId="3" borderId="5" xfId="0" applyFill="1" applyBorder="1"/>
    <xf numFmtId="0" fontId="0" fillId="3" borderId="3" xfId="0" applyFill="1" applyBorder="1"/>
    <xf numFmtId="0" fontId="3" fillId="3" borderId="1" xfId="0" applyFont="1" applyFill="1" applyBorder="1"/>
    <xf numFmtId="0" fontId="3" fillId="3" borderId="9" xfId="0" applyFont="1" applyFill="1" applyBorder="1"/>
    <xf numFmtId="0" fontId="0" fillId="0" borderId="13" xfId="0" applyBorder="1" applyAlignment="1">
      <alignment horizontal="center"/>
    </xf>
    <xf numFmtId="0" fontId="4" fillId="4" borderId="0" xfId="0" applyFont="1" applyFill="1"/>
    <xf numFmtId="0" fontId="0" fillId="4" borderId="0" xfId="0" applyFill="1"/>
    <xf numFmtId="0" fontId="0" fillId="0" borderId="16" xfId="0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6" fillId="2" borderId="0" xfId="0" applyFont="1" applyFill="1"/>
    <xf numFmtId="0" fontId="6" fillId="4" borderId="0" xfId="0" applyFont="1" applyFill="1"/>
    <xf numFmtId="0" fontId="0" fillId="0" borderId="26" xfId="0" applyBorder="1"/>
    <xf numFmtId="0" fontId="0" fillId="0" borderId="8" xfId="0" applyBorder="1"/>
    <xf numFmtId="0" fontId="0" fillId="3" borderId="27" xfId="0" applyFill="1" applyBorder="1"/>
    <xf numFmtId="56" fontId="0" fillId="0" borderId="0" xfId="0" applyNumberFormat="1"/>
    <xf numFmtId="0" fontId="4" fillId="0" borderId="11" xfId="0" applyFont="1" applyBorder="1" applyAlignment="1">
      <alignment horizontal="center"/>
    </xf>
    <xf numFmtId="0" fontId="7" fillId="2" borderId="0" xfId="0" applyFont="1" applyFill="1"/>
    <xf numFmtId="0" fontId="7" fillId="4" borderId="0" xfId="0" applyFont="1" applyFill="1"/>
    <xf numFmtId="56" fontId="8" fillId="0" borderId="7" xfId="0" applyNumberFormat="1" applyFont="1" applyBorder="1" applyAlignment="1">
      <alignment horizontal="center"/>
    </xf>
    <xf numFmtId="0" fontId="8" fillId="0" borderId="22" xfId="0" applyFont="1" applyBorder="1"/>
    <xf numFmtId="0" fontId="8" fillId="0" borderId="18" xfId="0" applyFont="1" applyBorder="1"/>
    <xf numFmtId="0" fontId="8" fillId="3" borderId="8" xfId="0" applyFont="1" applyFill="1" applyBorder="1"/>
    <xf numFmtId="56" fontId="8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49" fontId="0" fillId="2" borderId="0" xfId="0" applyNumberFormat="1" applyFill="1"/>
    <xf numFmtId="49" fontId="7" fillId="2" borderId="0" xfId="0" applyNumberFormat="1" applyFont="1" applyFill="1"/>
    <xf numFmtId="49" fontId="0" fillId="4" borderId="0" xfId="0" applyNumberFormat="1" applyFill="1"/>
    <xf numFmtId="49" fontId="7" fillId="4" borderId="0" xfId="0" applyNumberFormat="1" applyFont="1" applyFill="1"/>
    <xf numFmtId="0" fontId="8" fillId="0" borderId="0" xfId="0" applyFont="1"/>
    <xf numFmtId="0" fontId="8" fillId="3" borderId="18" xfId="0" applyFont="1" applyFill="1" applyBorder="1"/>
    <xf numFmtId="0" fontId="0" fillId="3" borderId="18" xfId="0" applyFill="1" applyBorder="1"/>
    <xf numFmtId="56" fontId="0" fillId="0" borderId="0" xfId="0" applyNumberFormat="1" applyAlignment="1">
      <alignment horizontal="right"/>
    </xf>
    <xf numFmtId="56" fontId="8" fillId="0" borderId="27" xfId="0" applyNumberFormat="1" applyFont="1" applyBorder="1" applyAlignment="1">
      <alignment horizontal="center"/>
    </xf>
    <xf numFmtId="0" fontId="0" fillId="0" borderId="25" xfId="0" applyBorder="1"/>
    <xf numFmtId="0" fontId="0" fillId="0" borderId="5" xfId="0" applyBorder="1"/>
    <xf numFmtId="0" fontId="8" fillId="0" borderId="7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right"/>
    </xf>
    <xf numFmtId="176" fontId="7" fillId="0" borderId="0" xfId="0" applyNumberFormat="1" applyFont="1"/>
    <xf numFmtId="0" fontId="3" fillId="0" borderId="22" xfId="0" applyFont="1" applyBorder="1"/>
    <xf numFmtId="0" fontId="3" fillId="0" borderId="18" xfId="0" applyFont="1" applyBorder="1"/>
    <xf numFmtId="0" fontId="3" fillId="3" borderId="21" xfId="0" applyFont="1" applyFill="1" applyBorder="1"/>
    <xf numFmtId="0" fontId="7" fillId="0" borderId="0" xfId="0" applyFont="1"/>
    <xf numFmtId="0" fontId="0" fillId="3" borderId="2" xfId="0" applyFill="1" applyBorder="1"/>
    <xf numFmtId="56" fontId="11" fillId="0" borderId="7" xfId="0" applyNumberFormat="1" applyFont="1" applyBorder="1" applyAlignment="1">
      <alignment horizontal="center"/>
    </xf>
    <xf numFmtId="0" fontId="11" fillId="0" borderId="22" xfId="0" applyFont="1" applyBorder="1"/>
    <xf numFmtId="0" fontId="11" fillId="0" borderId="18" xfId="0" applyFont="1" applyBorder="1"/>
    <xf numFmtId="0" fontId="11" fillId="3" borderId="8" xfId="0" applyFont="1" applyFill="1" applyBorder="1"/>
    <xf numFmtId="56" fontId="11" fillId="0" borderId="0" xfId="0" applyNumberFormat="1" applyFont="1" applyAlignment="1">
      <alignment horizontal="left"/>
    </xf>
    <xf numFmtId="0" fontId="11" fillId="0" borderId="7" xfId="0" applyFont="1" applyBorder="1" applyAlignment="1">
      <alignment horizontal="center"/>
    </xf>
    <xf numFmtId="0" fontId="11" fillId="3" borderId="27" xfId="0" applyFont="1" applyFill="1" applyBorder="1"/>
    <xf numFmtId="56" fontId="11" fillId="0" borderId="0" xfId="0" applyNumberFormat="1" applyFont="1"/>
    <xf numFmtId="0" fontId="3" fillId="0" borderId="28" xfId="0" applyFont="1" applyBorder="1"/>
    <xf numFmtId="0" fontId="5" fillId="5" borderId="14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13" xfId="0" applyFont="1" applyFill="1" applyBorder="1" applyAlignment="1">
      <alignment horizontal="center"/>
    </xf>
    <xf numFmtId="0" fontId="9" fillId="6" borderId="0" xfId="0" applyFont="1" applyFill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N612"/>
  <sheetViews>
    <sheetView tabSelected="1" topLeftCell="A578" zoomScaleNormal="100" workbookViewId="0">
      <selection activeCell="J582" sqref="J582"/>
    </sheetView>
  </sheetViews>
  <sheetFormatPr defaultRowHeight="13.5" x14ac:dyDescent="0.15"/>
  <cols>
    <col min="2" max="2" width="37.375" style="1" customWidth="1"/>
    <col min="3" max="5" width="9.25" customWidth="1"/>
    <col min="6" max="6" width="18.375" style="28" bestFit="1" customWidth="1"/>
    <col min="7" max="7" width="4.875" customWidth="1"/>
    <col min="8" max="8" width="42.25" customWidth="1"/>
    <col min="9" max="11" width="9.25" customWidth="1"/>
    <col min="12" max="12" width="9.25" bestFit="1" customWidth="1"/>
  </cols>
  <sheetData>
    <row r="1" spans="2:12" ht="18.75" x14ac:dyDescent="0.2">
      <c r="B1" s="13" t="s">
        <v>9</v>
      </c>
      <c r="C1" s="12"/>
      <c r="D1" s="12"/>
      <c r="E1" s="59"/>
      <c r="F1" s="66" t="s">
        <v>102</v>
      </c>
      <c r="H1" s="48" t="s">
        <v>10</v>
      </c>
      <c r="I1" s="49"/>
      <c r="J1" s="49"/>
      <c r="K1" s="60"/>
      <c r="L1" s="66" t="s">
        <v>102</v>
      </c>
    </row>
    <row r="2" spans="2:12" ht="15" thickBot="1" x14ac:dyDescent="0.2">
      <c r="B2" s="52" t="s">
        <v>16</v>
      </c>
      <c r="C2" s="12"/>
      <c r="D2" s="67" t="s">
        <v>103</v>
      </c>
      <c r="E2" s="68"/>
      <c r="F2" s="66" t="s">
        <v>101</v>
      </c>
      <c r="H2" s="53" t="s">
        <v>16</v>
      </c>
      <c r="I2" s="49"/>
      <c r="J2" s="69" t="s">
        <v>103</v>
      </c>
      <c r="K2" s="70"/>
      <c r="L2" s="66" t="s">
        <v>101</v>
      </c>
    </row>
    <row r="3" spans="2:12" ht="14.25" thickBot="1" x14ac:dyDescent="0.2">
      <c r="B3" s="11"/>
      <c r="C3" s="96" t="s">
        <v>6</v>
      </c>
      <c r="D3" s="97"/>
      <c r="E3" s="98"/>
      <c r="H3" s="11"/>
      <c r="I3" s="96" t="s">
        <v>6</v>
      </c>
      <c r="J3" s="97"/>
      <c r="K3" s="98"/>
      <c r="L3" s="28"/>
    </row>
    <row r="4" spans="2:12" s="1" customFormat="1" ht="14.25" thickBot="1" x14ac:dyDescent="0.2">
      <c r="B4" s="10"/>
      <c r="C4" s="19" t="s">
        <v>7</v>
      </c>
      <c r="D4" s="9" t="s">
        <v>8</v>
      </c>
      <c r="E4" s="37" t="s">
        <v>4</v>
      </c>
      <c r="F4" s="28"/>
      <c r="H4" s="4"/>
      <c r="I4" s="50" t="s">
        <v>7</v>
      </c>
      <c r="J4" s="47" t="s">
        <v>8</v>
      </c>
      <c r="K4" s="51" t="s">
        <v>4</v>
      </c>
      <c r="L4" s="28"/>
    </row>
    <row r="5" spans="2:12" ht="14.25" customHeight="1" x14ac:dyDescent="0.15">
      <c r="B5" s="6" t="s">
        <v>5</v>
      </c>
      <c r="C5" s="20">
        <v>40</v>
      </c>
      <c r="D5" s="14">
        <v>20</v>
      </c>
      <c r="E5" s="38">
        <f t="shared" ref="E5:E38" si="0">SUM(C5:D5)</f>
        <v>60</v>
      </c>
      <c r="F5" s="29">
        <v>45248</v>
      </c>
      <c r="H5" s="27" t="s">
        <v>5</v>
      </c>
      <c r="I5" s="54">
        <v>200</v>
      </c>
      <c r="J5" s="55">
        <v>200</v>
      </c>
      <c r="K5" s="56">
        <f t="shared" ref="K5:K8" si="1">SUM(I5:J5)</f>
        <v>400</v>
      </c>
      <c r="L5" s="29" t="s">
        <v>14</v>
      </c>
    </row>
    <row r="6" spans="2:12" x14ac:dyDescent="0.15">
      <c r="B6" s="8" t="s">
        <v>3</v>
      </c>
      <c r="C6" s="21">
        <v>20</v>
      </c>
      <c r="D6" s="15">
        <v>20</v>
      </c>
      <c r="E6" s="39">
        <f t="shared" si="0"/>
        <v>40</v>
      </c>
      <c r="F6" s="29">
        <v>45272</v>
      </c>
      <c r="H6" s="8" t="s">
        <v>3</v>
      </c>
      <c r="I6" s="21"/>
      <c r="J6" s="15"/>
      <c r="K6" s="39">
        <f t="shared" ref="K6:K7" si="2">SUM(I6:J6)</f>
        <v>0</v>
      </c>
      <c r="L6" s="29"/>
    </row>
    <row r="7" spans="2:12" x14ac:dyDescent="0.15">
      <c r="B7" s="8" t="s">
        <v>3</v>
      </c>
      <c r="C7" s="21">
        <v>40</v>
      </c>
      <c r="D7" s="15">
        <v>40</v>
      </c>
      <c r="E7" s="39">
        <f t="shared" ref="E7" si="3">SUM(C7:D7)</f>
        <v>80</v>
      </c>
      <c r="F7" s="29">
        <v>45275</v>
      </c>
      <c r="H7" s="8" t="s">
        <v>3</v>
      </c>
      <c r="I7" s="21"/>
      <c r="J7" s="15"/>
      <c r="K7" s="39">
        <f t="shared" si="2"/>
        <v>0</v>
      </c>
      <c r="L7" s="29"/>
    </row>
    <row r="8" spans="2:12" x14ac:dyDescent="0.15">
      <c r="B8" s="8" t="s">
        <v>3</v>
      </c>
      <c r="C8" s="21">
        <v>20</v>
      </c>
      <c r="D8" s="15">
        <v>40</v>
      </c>
      <c r="E8" s="39">
        <f t="shared" si="0"/>
        <v>60</v>
      </c>
      <c r="F8" s="29">
        <v>45276</v>
      </c>
      <c r="H8" s="8" t="s">
        <v>3</v>
      </c>
      <c r="I8" s="21"/>
      <c r="J8" s="15"/>
      <c r="K8" s="39">
        <f t="shared" si="1"/>
        <v>0</v>
      </c>
      <c r="L8" s="29"/>
    </row>
    <row r="9" spans="2:12" x14ac:dyDescent="0.15">
      <c r="B9" s="8" t="s">
        <v>3</v>
      </c>
      <c r="C9" s="21">
        <v>40</v>
      </c>
      <c r="D9" s="15">
        <v>20</v>
      </c>
      <c r="E9" s="39">
        <f t="shared" si="0"/>
        <v>60</v>
      </c>
      <c r="F9" s="29">
        <v>45282</v>
      </c>
      <c r="H9" s="8" t="s">
        <v>3</v>
      </c>
      <c r="I9" s="21"/>
      <c r="J9" s="15"/>
      <c r="K9" s="39">
        <f t="shared" ref="K9:K33" si="4">SUM(I9:J9)</f>
        <v>0</v>
      </c>
      <c r="L9" s="29"/>
    </row>
    <row r="10" spans="2:12" ht="14.25" thickBot="1" x14ac:dyDescent="0.2">
      <c r="B10" s="7" t="s">
        <v>3</v>
      </c>
      <c r="C10" s="22"/>
      <c r="D10" s="16"/>
      <c r="E10" s="40">
        <f t="shared" si="0"/>
        <v>0</v>
      </c>
      <c r="F10" s="29"/>
      <c r="H10" s="7" t="s">
        <v>3</v>
      </c>
      <c r="I10" s="22"/>
      <c r="J10" s="16"/>
      <c r="K10" s="40">
        <f t="shared" si="4"/>
        <v>0</v>
      </c>
      <c r="L10" s="29"/>
    </row>
    <row r="11" spans="2:12" ht="14.25" thickBot="1" x14ac:dyDescent="0.2">
      <c r="B11" s="31" t="s">
        <v>2</v>
      </c>
      <c r="C11" s="32">
        <f>SUM(C5:C10)</f>
        <v>160</v>
      </c>
      <c r="D11" s="33">
        <f>SUM(D5:D10)</f>
        <v>140</v>
      </c>
      <c r="E11" s="41">
        <f t="shared" si="0"/>
        <v>300</v>
      </c>
      <c r="H11" s="31" t="s">
        <v>2</v>
      </c>
      <c r="I11" s="32">
        <f>SUM(I5:I10)</f>
        <v>200</v>
      </c>
      <c r="J11" s="33">
        <f t="shared" ref="J11:K11" si="5">SUM(J5:J10)</f>
        <v>200</v>
      </c>
      <c r="K11" s="41">
        <f t="shared" si="5"/>
        <v>400</v>
      </c>
      <c r="L11" s="28"/>
    </row>
    <row r="12" spans="2:12" x14ac:dyDescent="0.15">
      <c r="B12" s="6" t="s">
        <v>18</v>
      </c>
      <c r="C12" s="20"/>
      <c r="D12" s="14">
        <v>2</v>
      </c>
      <c r="E12" s="42">
        <f t="shared" si="0"/>
        <v>2</v>
      </c>
      <c r="F12" s="29">
        <v>45251</v>
      </c>
      <c r="H12" s="6" t="s">
        <v>13</v>
      </c>
      <c r="I12" s="20">
        <v>40</v>
      </c>
      <c r="J12" s="14">
        <v>20</v>
      </c>
      <c r="K12" s="42">
        <f t="shared" si="4"/>
        <v>60</v>
      </c>
      <c r="L12" s="29">
        <v>45248</v>
      </c>
    </row>
    <row r="13" spans="2:12" x14ac:dyDescent="0.15">
      <c r="B13" s="27" t="s">
        <v>18</v>
      </c>
      <c r="C13" s="21">
        <v>2</v>
      </c>
      <c r="D13" s="15"/>
      <c r="E13" s="42">
        <f t="shared" si="0"/>
        <v>2</v>
      </c>
      <c r="F13" s="29">
        <v>45252</v>
      </c>
      <c r="H13" s="27" t="s">
        <v>13</v>
      </c>
      <c r="I13" s="21">
        <v>20</v>
      </c>
      <c r="J13" s="15">
        <v>20</v>
      </c>
      <c r="K13" s="42">
        <f t="shared" si="4"/>
        <v>40</v>
      </c>
      <c r="L13" s="29">
        <v>45272</v>
      </c>
    </row>
    <row r="14" spans="2:12" x14ac:dyDescent="0.15">
      <c r="B14" s="27" t="s">
        <v>18</v>
      </c>
      <c r="C14" s="21"/>
      <c r="D14" s="15">
        <v>2</v>
      </c>
      <c r="E14" s="42">
        <f t="shared" si="0"/>
        <v>2</v>
      </c>
      <c r="F14" s="29">
        <v>45265</v>
      </c>
      <c r="H14" s="27" t="s">
        <v>13</v>
      </c>
      <c r="I14" s="21">
        <v>40</v>
      </c>
      <c r="J14" s="15">
        <v>40</v>
      </c>
      <c r="K14" s="42">
        <f t="shared" si="4"/>
        <v>80</v>
      </c>
      <c r="L14" s="29">
        <v>45275</v>
      </c>
    </row>
    <row r="15" spans="2:12" x14ac:dyDescent="0.15">
      <c r="B15" s="5" t="s">
        <v>19</v>
      </c>
      <c r="C15" s="21">
        <v>34</v>
      </c>
      <c r="D15" s="15">
        <v>4</v>
      </c>
      <c r="E15" s="42">
        <f t="shared" si="0"/>
        <v>38</v>
      </c>
      <c r="F15" s="29">
        <v>45273</v>
      </c>
      <c r="H15" s="27" t="s">
        <v>13</v>
      </c>
      <c r="I15" s="21">
        <v>20</v>
      </c>
      <c r="J15" s="15">
        <v>40</v>
      </c>
      <c r="K15" s="42">
        <f t="shared" si="4"/>
        <v>60</v>
      </c>
      <c r="L15" s="29">
        <v>45276</v>
      </c>
    </row>
    <row r="16" spans="2:12" x14ac:dyDescent="0.15">
      <c r="B16" s="27" t="s">
        <v>18</v>
      </c>
      <c r="C16" s="21"/>
      <c r="D16" s="15">
        <v>2</v>
      </c>
      <c r="E16" s="42">
        <f t="shared" si="0"/>
        <v>2</v>
      </c>
      <c r="F16" s="29">
        <v>45271</v>
      </c>
      <c r="H16" s="27" t="s">
        <v>13</v>
      </c>
      <c r="I16" s="21">
        <v>40</v>
      </c>
      <c r="J16" s="15">
        <v>20</v>
      </c>
      <c r="K16" s="42">
        <f t="shared" si="4"/>
        <v>60</v>
      </c>
      <c r="L16" s="29">
        <v>45282</v>
      </c>
    </row>
    <row r="17" spans="2:12" x14ac:dyDescent="0.15">
      <c r="B17" s="5" t="s">
        <v>20</v>
      </c>
      <c r="C17" s="21">
        <v>10</v>
      </c>
      <c r="D17" s="15">
        <v>18</v>
      </c>
      <c r="E17" s="42">
        <f t="shared" si="0"/>
        <v>28</v>
      </c>
      <c r="F17" s="29">
        <v>45274</v>
      </c>
      <c r="H17" s="27"/>
      <c r="I17" s="21"/>
      <c r="J17" s="15"/>
      <c r="K17" s="42">
        <f t="shared" si="4"/>
        <v>0</v>
      </c>
      <c r="L17" s="29"/>
    </row>
    <row r="18" spans="2:12" x14ac:dyDescent="0.15">
      <c r="B18" s="5" t="s">
        <v>21</v>
      </c>
      <c r="C18" s="21"/>
      <c r="D18" s="15">
        <v>6</v>
      </c>
      <c r="E18" s="42">
        <f t="shared" si="0"/>
        <v>6</v>
      </c>
      <c r="F18" s="29">
        <v>45275</v>
      </c>
      <c r="H18" s="5"/>
      <c r="I18" s="21"/>
      <c r="J18" s="15"/>
      <c r="K18" s="42">
        <f t="shared" si="4"/>
        <v>0</v>
      </c>
      <c r="L18" s="29"/>
    </row>
    <row r="19" spans="2:12" x14ac:dyDescent="0.15">
      <c r="B19" s="5" t="s">
        <v>22</v>
      </c>
      <c r="C19" s="21">
        <v>24</v>
      </c>
      <c r="D19" s="15">
        <v>10</v>
      </c>
      <c r="E19" s="42">
        <f t="shared" si="0"/>
        <v>34</v>
      </c>
      <c r="F19" s="29">
        <v>45278</v>
      </c>
      <c r="H19" s="5"/>
      <c r="I19" s="21"/>
      <c r="J19" s="15"/>
      <c r="K19" s="42">
        <f t="shared" si="4"/>
        <v>0</v>
      </c>
      <c r="L19" s="29"/>
    </row>
    <row r="20" spans="2:12" x14ac:dyDescent="0.15">
      <c r="B20" s="5" t="s">
        <v>23</v>
      </c>
      <c r="C20" s="21">
        <v>30</v>
      </c>
      <c r="D20" s="15">
        <v>26</v>
      </c>
      <c r="E20" s="42">
        <f t="shared" si="0"/>
        <v>56</v>
      </c>
      <c r="F20" s="29">
        <v>45280</v>
      </c>
      <c r="H20" s="5"/>
      <c r="I20" s="21"/>
      <c r="J20" s="15"/>
      <c r="K20" s="42">
        <f t="shared" si="4"/>
        <v>0</v>
      </c>
      <c r="L20" s="29"/>
    </row>
    <row r="21" spans="2:12" x14ac:dyDescent="0.15">
      <c r="B21" s="5" t="s">
        <v>24</v>
      </c>
      <c r="C21" s="21">
        <v>6</v>
      </c>
      <c r="D21" s="15">
        <v>8</v>
      </c>
      <c r="E21" s="42">
        <f t="shared" si="0"/>
        <v>14</v>
      </c>
      <c r="F21" s="29">
        <v>45281</v>
      </c>
      <c r="H21" s="27"/>
      <c r="I21" s="21"/>
      <c r="J21" s="15"/>
      <c r="K21" s="42">
        <f t="shared" si="4"/>
        <v>0</v>
      </c>
      <c r="L21" s="29"/>
    </row>
    <row r="22" spans="2:12" x14ac:dyDescent="0.15">
      <c r="B22" s="5" t="s">
        <v>25</v>
      </c>
      <c r="C22" s="21"/>
      <c r="D22" s="15">
        <v>12</v>
      </c>
      <c r="E22" s="42">
        <f t="shared" si="0"/>
        <v>12</v>
      </c>
      <c r="F22" s="29">
        <v>45282</v>
      </c>
      <c r="H22" s="5"/>
      <c r="I22" s="24"/>
      <c r="J22" s="18"/>
      <c r="K22" s="42">
        <f t="shared" si="4"/>
        <v>0</v>
      </c>
      <c r="L22" s="30"/>
    </row>
    <row r="23" spans="2:12" x14ac:dyDescent="0.15">
      <c r="B23" s="5" t="s">
        <v>26</v>
      </c>
      <c r="C23" s="21"/>
      <c r="D23" s="15">
        <v>2</v>
      </c>
      <c r="E23" s="42">
        <f t="shared" si="0"/>
        <v>2</v>
      </c>
      <c r="F23" s="29">
        <v>45282</v>
      </c>
      <c r="H23" s="5"/>
      <c r="I23" s="24"/>
      <c r="J23" s="18"/>
      <c r="K23" s="42">
        <f t="shared" si="4"/>
        <v>0</v>
      </c>
      <c r="L23" s="30"/>
    </row>
    <row r="24" spans="2:12" x14ac:dyDescent="0.15">
      <c r="B24" s="27" t="s">
        <v>17</v>
      </c>
      <c r="C24" s="21"/>
      <c r="D24" s="15">
        <v>2</v>
      </c>
      <c r="E24" s="42">
        <f t="shared" si="0"/>
        <v>2</v>
      </c>
      <c r="F24" s="29">
        <v>45280</v>
      </c>
      <c r="H24" s="5"/>
      <c r="I24" s="21"/>
      <c r="J24" s="15"/>
      <c r="K24" s="42">
        <f t="shared" si="4"/>
        <v>0</v>
      </c>
      <c r="L24" s="29"/>
    </row>
    <row r="25" spans="2:12" x14ac:dyDescent="0.15">
      <c r="B25" s="5" t="s">
        <v>27</v>
      </c>
      <c r="C25" s="21">
        <v>4</v>
      </c>
      <c r="D25" s="15">
        <v>4</v>
      </c>
      <c r="E25" s="42">
        <f t="shared" si="0"/>
        <v>8</v>
      </c>
      <c r="F25" s="29">
        <v>45285</v>
      </c>
      <c r="H25" s="5"/>
      <c r="I25" s="24"/>
      <c r="J25" s="18"/>
      <c r="K25" s="42">
        <f t="shared" si="4"/>
        <v>0</v>
      </c>
      <c r="L25" s="30"/>
    </row>
    <row r="26" spans="2:12" x14ac:dyDescent="0.15">
      <c r="B26" s="5" t="s">
        <v>28</v>
      </c>
      <c r="C26" s="21">
        <v>4</v>
      </c>
      <c r="D26" s="15">
        <v>2</v>
      </c>
      <c r="E26" s="42">
        <f t="shared" si="0"/>
        <v>6</v>
      </c>
      <c r="F26" s="29">
        <v>45287</v>
      </c>
      <c r="H26" s="5"/>
      <c r="I26" s="24"/>
      <c r="J26" s="18"/>
      <c r="K26" s="42">
        <f t="shared" si="4"/>
        <v>0</v>
      </c>
      <c r="L26" s="30"/>
    </row>
    <row r="27" spans="2:12" x14ac:dyDescent="0.15">
      <c r="B27" s="5" t="s">
        <v>29</v>
      </c>
      <c r="C27" s="21">
        <v>2</v>
      </c>
      <c r="D27" s="15">
        <v>4</v>
      </c>
      <c r="E27" s="42">
        <f t="shared" si="0"/>
        <v>6</v>
      </c>
      <c r="F27" s="29">
        <v>45288</v>
      </c>
      <c r="H27" s="5"/>
      <c r="I27" s="24"/>
      <c r="J27" s="18"/>
      <c r="K27" s="42">
        <f t="shared" si="4"/>
        <v>0</v>
      </c>
      <c r="L27" s="30"/>
    </row>
    <row r="28" spans="2:12" x14ac:dyDescent="0.15">
      <c r="B28" s="5" t="s">
        <v>30</v>
      </c>
      <c r="C28" s="21">
        <v>12</v>
      </c>
      <c r="D28" s="15"/>
      <c r="E28" s="42">
        <f t="shared" si="0"/>
        <v>12</v>
      </c>
      <c r="F28" s="29">
        <v>45288</v>
      </c>
      <c r="H28" s="5"/>
      <c r="I28" s="24"/>
      <c r="J28" s="18"/>
      <c r="K28" s="42">
        <f t="shared" si="4"/>
        <v>0</v>
      </c>
      <c r="L28" s="30"/>
    </row>
    <row r="29" spans="2:12" x14ac:dyDescent="0.15">
      <c r="B29" s="5"/>
      <c r="C29" s="21"/>
      <c r="D29" s="15"/>
      <c r="E29" s="42">
        <f t="shared" ref="E29:E32" si="6">SUM(C29:D29)</f>
        <v>0</v>
      </c>
      <c r="F29" s="29"/>
      <c r="H29" s="5"/>
      <c r="I29" s="24"/>
      <c r="J29" s="18"/>
      <c r="K29" s="42">
        <f t="shared" si="4"/>
        <v>0</v>
      </c>
      <c r="L29" s="30"/>
    </row>
    <row r="30" spans="2:12" x14ac:dyDescent="0.15">
      <c r="B30" s="5"/>
      <c r="C30" s="21"/>
      <c r="D30" s="15"/>
      <c r="E30" s="42">
        <f t="shared" si="6"/>
        <v>0</v>
      </c>
      <c r="F30" s="29"/>
      <c r="H30" s="5"/>
      <c r="I30" s="24"/>
      <c r="J30" s="18"/>
      <c r="K30" s="42">
        <f t="shared" si="4"/>
        <v>0</v>
      </c>
      <c r="L30" s="30"/>
    </row>
    <row r="31" spans="2:12" x14ac:dyDescent="0.15">
      <c r="B31" s="5"/>
      <c r="C31" s="21"/>
      <c r="D31" s="15"/>
      <c r="E31" s="42">
        <f t="shared" si="6"/>
        <v>0</v>
      </c>
      <c r="F31" s="29"/>
      <c r="H31" s="5"/>
      <c r="I31" s="21"/>
      <c r="J31" s="15"/>
      <c r="K31" s="42">
        <f t="shared" si="4"/>
        <v>0</v>
      </c>
      <c r="L31" s="29"/>
    </row>
    <row r="32" spans="2:12" x14ac:dyDescent="0.15">
      <c r="B32" s="5"/>
      <c r="C32" s="21"/>
      <c r="D32" s="15"/>
      <c r="E32" s="42">
        <f t="shared" si="6"/>
        <v>0</v>
      </c>
      <c r="F32" s="29"/>
      <c r="H32" s="5"/>
      <c r="I32" s="21"/>
      <c r="J32" s="15"/>
      <c r="K32" s="42">
        <f t="shared" si="4"/>
        <v>0</v>
      </c>
      <c r="L32" s="29"/>
    </row>
    <row r="33" spans="1:12" x14ac:dyDescent="0.15">
      <c r="B33" s="5"/>
      <c r="C33" s="21"/>
      <c r="D33" s="15"/>
      <c r="E33" s="42">
        <f t="shared" si="0"/>
        <v>0</v>
      </c>
      <c r="F33" s="29"/>
      <c r="H33" s="5"/>
      <c r="I33" s="21"/>
      <c r="J33" s="15"/>
      <c r="K33" s="42">
        <f t="shared" si="4"/>
        <v>0</v>
      </c>
      <c r="L33" s="29"/>
    </row>
    <row r="34" spans="1:12" x14ac:dyDescent="0.15">
      <c r="B34" s="5"/>
      <c r="C34" s="21"/>
      <c r="D34" s="15"/>
      <c r="E34" s="42">
        <f t="shared" si="0"/>
        <v>0</v>
      </c>
      <c r="F34" s="29"/>
      <c r="H34" s="5"/>
      <c r="I34" s="21"/>
      <c r="J34" s="15"/>
      <c r="K34" s="42">
        <f t="shared" ref="K34:K36" si="7">SUM(I34:J34)</f>
        <v>0</v>
      </c>
      <c r="L34" s="29"/>
    </row>
    <row r="35" spans="1:12" x14ac:dyDescent="0.15">
      <c r="B35" s="5"/>
      <c r="C35" s="21"/>
      <c r="D35" s="15"/>
      <c r="E35" s="42">
        <f t="shared" si="0"/>
        <v>0</v>
      </c>
      <c r="F35" s="29"/>
      <c r="H35" s="5"/>
      <c r="I35" s="21"/>
      <c r="J35" s="15"/>
      <c r="K35" s="42">
        <f t="shared" si="7"/>
        <v>0</v>
      </c>
      <c r="L35" s="29"/>
    </row>
    <row r="36" spans="1:12" ht="14.25" thickBot="1" x14ac:dyDescent="0.2">
      <c r="B36" s="5"/>
      <c r="C36" s="25"/>
      <c r="D36" s="16"/>
      <c r="E36" s="43">
        <f t="shared" si="0"/>
        <v>0</v>
      </c>
      <c r="F36" s="29"/>
      <c r="H36" s="5" t="s">
        <v>11</v>
      </c>
      <c r="I36" s="21">
        <f>60-34-10-16</f>
        <v>0</v>
      </c>
      <c r="J36" s="15">
        <f>60-4-18-6-26-6</f>
        <v>0</v>
      </c>
      <c r="K36" s="42">
        <f t="shared" si="7"/>
        <v>0</v>
      </c>
      <c r="L36" s="29" t="s">
        <v>12</v>
      </c>
    </row>
    <row r="37" spans="1:12" ht="14.25" thickBot="1" x14ac:dyDescent="0.2">
      <c r="B37" s="4" t="s">
        <v>1</v>
      </c>
      <c r="C37" s="23">
        <f>SUM(C12:C36)</f>
        <v>128</v>
      </c>
      <c r="D37" s="17">
        <f>SUM(D12:D36)</f>
        <v>104</v>
      </c>
      <c r="E37" s="44">
        <f t="shared" si="0"/>
        <v>232</v>
      </c>
      <c r="H37" s="4" t="s">
        <v>1</v>
      </c>
      <c r="I37" s="23">
        <f>SUM(I12:I36)</f>
        <v>160</v>
      </c>
      <c r="J37" s="17">
        <f t="shared" ref="J37" si="8">SUM(J12:J36)</f>
        <v>140</v>
      </c>
      <c r="K37" s="44">
        <f t="shared" ref="K37" si="9">SUM(K12:K36)</f>
        <v>300</v>
      </c>
      <c r="L37" s="28"/>
    </row>
    <row r="38" spans="1:12" ht="14.25" thickBot="1" x14ac:dyDescent="0.2">
      <c r="B38" s="3" t="s">
        <v>0</v>
      </c>
      <c r="C38" s="26">
        <f>+C11-C37</f>
        <v>32</v>
      </c>
      <c r="D38" s="2">
        <f>+D11-D37</f>
        <v>36</v>
      </c>
      <c r="E38" s="45">
        <f t="shared" si="0"/>
        <v>68</v>
      </c>
      <c r="H38" s="3" t="s">
        <v>0</v>
      </c>
      <c r="I38" s="26">
        <f>+I11-I37</f>
        <v>40</v>
      </c>
      <c r="J38" s="2">
        <f t="shared" ref="J38" si="10">+J11-J37</f>
        <v>60</v>
      </c>
      <c r="K38" s="45">
        <f t="shared" ref="K38" si="11">+K11-K37</f>
        <v>100</v>
      </c>
      <c r="L38" s="28"/>
    </row>
    <row r="39" spans="1:12" x14ac:dyDescent="0.15">
      <c r="H39" s="1"/>
      <c r="L39" s="28"/>
    </row>
    <row r="40" spans="1:12" x14ac:dyDescent="0.15">
      <c r="H40" s="1"/>
      <c r="L40" s="28"/>
    </row>
    <row r="41" spans="1:12" x14ac:dyDescent="0.15">
      <c r="B41"/>
      <c r="F41"/>
    </row>
    <row r="42" spans="1:12" ht="18.75" x14ac:dyDescent="0.2">
      <c r="B42" s="13" t="s">
        <v>9</v>
      </c>
      <c r="C42" s="12"/>
      <c r="D42" s="12"/>
      <c r="E42" s="59"/>
      <c r="F42" s="66" t="s">
        <v>102</v>
      </c>
      <c r="H42" s="48" t="s">
        <v>10</v>
      </c>
      <c r="I42" s="49"/>
      <c r="J42" s="49"/>
      <c r="K42" s="60"/>
      <c r="L42" s="66" t="s">
        <v>102</v>
      </c>
    </row>
    <row r="43" spans="1:12" ht="15" thickBot="1" x14ac:dyDescent="0.2">
      <c r="B43" s="52" t="s">
        <v>16</v>
      </c>
      <c r="C43" s="12"/>
      <c r="D43" s="67" t="s">
        <v>103</v>
      </c>
      <c r="E43" s="68"/>
      <c r="F43" s="66" t="s">
        <v>101</v>
      </c>
      <c r="H43" s="53" t="s">
        <v>16</v>
      </c>
      <c r="I43" s="49"/>
      <c r="J43" s="69" t="s">
        <v>103</v>
      </c>
      <c r="K43" s="70"/>
      <c r="L43" s="66" t="s">
        <v>101</v>
      </c>
    </row>
    <row r="44" spans="1:12" ht="14.25" thickBot="1" x14ac:dyDescent="0.2">
      <c r="B44" s="11"/>
      <c r="C44" s="96" t="s">
        <v>6</v>
      </c>
      <c r="D44" s="97"/>
      <c r="E44" s="98"/>
      <c r="H44" s="11"/>
      <c r="I44" s="96" t="s">
        <v>6</v>
      </c>
      <c r="J44" s="97"/>
      <c r="K44" s="98"/>
      <c r="L44" s="28"/>
    </row>
    <row r="45" spans="1:12" ht="14.25" thickBot="1" x14ac:dyDescent="0.2">
      <c r="A45" s="1"/>
      <c r="B45" s="10"/>
      <c r="C45" s="19" t="s">
        <v>7</v>
      </c>
      <c r="D45" s="9" t="s">
        <v>8</v>
      </c>
      <c r="E45" s="37" t="s">
        <v>4</v>
      </c>
      <c r="G45" s="1"/>
      <c r="H45" s="10"/>
      <c r="I45" s="19" t="s">
        <v>7</v>
      </c>
      <c r="J45" s="9" t="s">
        <v>8</v>
      </c>
      <c r="K45" s="37" t="s">
        <v>4</v>
      </c>
      <c r="L45" s="28"/>
    </row>
    <row r="46" spans="1:12" x14ac:dyDescent="0.15">
      <c r="B46" s="34" t="s">
        <v>0</v>
      </c>
      <c r="C46" s="35">
        <f>C38</f>
        <v>32</v>
      </c>
      <c r="D46" s="36">
        <f>D38</f>
        <v>36</v>
      </c>
      <c r="E46" s="46">
        <f t="shared" ref="E46" si="12">E38</f>
        <v>68</v>
      </c>
      <c r="F46" s="29"/>
      <c r="H46" s="34" t="s">
        <v>0</v>
      </c>
      <c r="I46" s="35">
        <f>I38</f>
        <v>40</v>
      </c>
      <c r="J46" s="36">
        <f t="shared" ref="J46:K46" si="13">J38</f>
        <v>60</v>
      </c>
      <c r="K46" s="46">
        <f t="shared" si="13"/>
        <v>100</v>
      </c>
      <c r="L46" s="29"/>
    </row>
    <row r="47" spans="1:12" x14ac:dyDescent="0.15">
      <c r="B47" s="8" t="s">
        <v>38</v>
      </c>
      <c r="C47" s="21">
        <v>2</v>
      </c>
      <c r="D47" s="15"/>
      <c r="E47" s="39">
        <f t="shared" ref="E47:E79" si="14">SUM(C47:D47)</f>
        <v>2</v>
      </c>
      <c r="F47" s="29">
        <v>45306</v>
      </c>
      <c r="H47" s="8" t="s">
        <v>3</v>
      </c>
      <c r="I47" s="21"/>
      <c r="J47" s="15"/>
      <c r="K47" s="39">
        <f t="shared" ref="K47:K76" si="15">SUM(I47:J47)</f>
        <v>0</v>
      </c>
      <c r="L47" s="29"/>
    </row>
    <row r="48" spans="1:12" x14ac:dyDescent="0.15">
      <c r="B48" s="8" t="s">
        <v>3</v>
      </c>
      <c r="C48" s="21">
        <v>20</v>
      </c>
      <c r="D48" s="15">
        <v>10</v>
      </c>
      <c r="E48" s="39">
        <f t="shared" si="14"/>
        <v>30</v>
      </c>
      <c r="F48" s="29">
        <v>45339</v>
      </c>
      <c r="H48" s="8" t="s">
        <v>3</v>
      </c>
      <c r="I48" s="21">
        <v>150</v>
      </c>
      <c r="J48" s="15">
        <v>100</v>
      </c>
      <c r="K48" s="39">
        <f t="shared" si="15"/>
        <v>250</v>
      </c>
      <c r="L48" s="29" t="s">
        <v>36</v>
      </c>
    </row>
    <row r="49" spans="2:12" x14ac:dyDescent="0.15">
      <c r="B49" s="8" t="s">
        <v>3</v>
      </c>
      <c r="C49" s="21"/>
      <c r="D49" s="15"/>
      <c r="E49" s="39">
        <f t="shared" ref="E49:E50" si="16">SUM(C49:D49)</f>
        <v>0</v>
      </c>
      <c r="F49" s="29"/>
      <c r="H49" s="8" t="s">
        <v>3</v>
      </c>
      <c r="I49" s="21"/>
      <c r="J49" s="15"/>
      <c r="K49" s="39">
        <f t="shared" si="15"/>
        <v>0</v>
      </c>
      <c r="L49" s="29"/>
    </row>
    <row r="50" spans="2:12" x14ac:dyDescent="0.15">
      <c r="B50" s="8" t="s">
        <v>3</v>
      </c>
      <c r="C50" s="21"/>
      <c r="D50" s="15"/>
      <c r="E50" s="39">
        <f t="shared" si="16"/>
        <v>0</v>
      </c>
      <c r="F50" s="29"/>
      <c r="H50" s="8" t="s">
        <v>3</v>
      </c>
      <c r="I50" s="21"/>
      <c r="J50" s="15"/>
      <c r="K50" s="39">
        <f t="shared" ref="K50" si="17">SUM(I50:J50)</f>
        <v>0</v>
      </c>
      <c r="L50" s="29"/>
    </row>
    <row r="51" spans="2:12" ht="14.25" thickBot="1" x14ac:dyDescent="0.2">
      <c r="B51" s="7" t="s">
        <v>3</v>
      </c>
      <c r="C51" s="22"/>
      <c r="D51" s="16"/>
      <c r="E51" s="40">
        <f t="shared" si="14"/>
        <v>0</v>
      </c>
      <c r="F51" s="29"/>
      <c r="H51" s="7" t="s">
        <v>3</v>
      </c>
      <c r="I51" s="22"/>
      <c r="J51" s="16"/>
      <c r="K51" s="40">
        <f t="shared" si="15"/>
        <v>0</v>
      </c>
      <c r="L51" s="29"/>
    </row>
    <row r="52" spans="2:12" ht="14.25" thickBot="1" x14ac:dyDescent="0.2">
      <c r="B52" s="31" t="s">
        <v>2</v>
      </c>
      <c r="C52" s="32">
        <f>SUM(C46:C51)</f>
        <v>54</v>
      </c>
      <c r="D52" s="33">
        <f>SUM(D46:D51)</f>
        <v>46</v>
      </c>
      <c r="E52" s="41">
        <f t="shared" si="14"/>
        <v>100</v>
      </c>
      <c r="H52" s="31" t="s">
        <v>2</v>
      </c>
      <c r="I52" s="32">
        <f>SUM(I46:I51)</f>
        <v>190</v>
      </c>
      <c r="J52" s="33">
        <f t="shared" ref="J52" si="18">SUM(J46:J51)</f>
        <v>160</v>
      </c>
      <c r="K52" s="41">
        <f t="shared" ref="K52" si="19">SUM(K46:K51)</f>
        <v>350</v>
      </c>
      <c r="L52" s="28"/>
    </row>
    <row r="53" spans="2:12" x14ac:dyDescent="0.15">
      <c r="B53" s="5" t="s">
        <v>31</v>
      </c>
      <c r="C53" s="21"/>
      <c r="D53" s="15">
        <v>2</v>
      </c>
      <c r="E53" s="42">
        <f t="shared" si="14"/>
        <v>2</v>
      </c>
      <c r="F53" s="29">
        <v>44931</v>
      </c>
      <c r="H53" s="27" t="s">
        <v>13</v>
      </c>
      <c r="I53" s="21">
        <v>6</v>
      </c>
      <c r="J53" s="15"/>
      <c r="K53" s="42">
        <f t="shared" si="15"/>
        <v>6</v>
      </c>
      <c r="L53" s="29">
        <v>45426</v>
      </c>
    </row>
    <row r="54" spans="2:12" x14ac:dyDescent="0.15">
      <c r="B54" s="5" t="s">
        <v>32</v>
      </c>
      <c r="C54" s="21"/>
      <c r="D54" s="15">
        <v>2</v>
      </c>
      <c r="E54" s="42">
        <f t="shared" si="14"/>
        <v>2</v>
      </c>
      <c r="F54" s="29">
        <v>45300</v>
      </c>
      <c r="H54" s="27" t="s">
        <v>13</v>
      </c>
      <c r="I54" s="21">
        <v>20</v>
      </c>
      <c r="J54" s="15">
        <v>10</v>
      </c>
      <c r="K54" s="42">
        <f t="shared" si="15"/>
        <v>30</v>
      </c>
      <c r="L54" s="57">
        <v>45339</v>
      </c>
    </row>
    <row r="55" spans="2:12" x14ac:dyDescent="0.15">
      <c r="B55" s="27" t="s">
        <v>17</v>
      </c>
      <c r="C55" s="21">
        <v>2</v>
      </c>
      <c r="D55" s="15"/>
      <c r="E55" s="42">
        <f t="shared" si="14"/>
        <v>2</v>
      </c>
      <c r="F55" s="29">
        <v>45296</v>
      </c>
      <c r="H55" s="5"/>
      <c r="I55" s="21"/>
      <c r="J55" s="15"/>
      <c r="K55" s="42">
        <f t="shared" si="15"/>
        <v>0</v>
      </c>
      <c r="L55" s="29"/>
    </row>
    <row r="56" spans="2:12" x14ac:dyDescent="0.15">
      <c r="B56" s="5" t="s">
        <v>33</v>
      </c>
      <c r="C56" s="21">
        <v>2</v>
      </c>
      <c r="D56" s="15"/>
      <c r="E56" s="42">
        <f t="shared" si="14"/>
        <v>2</v>
      </c>
      <c r="F56" s="29">
        <v>45303</v>
      </c>
      <c r="H56" s="5"/>
      <c r="I56" s="21"/>
      <c r="J56" s="15"/>
      <c r="K56" s="42">
        <f t="shared" si="15"/>
        <v>0</v>
      </c>
      <c r="L56" s="29"/>
    </row>
    <row r="57" spans="2:12" x14ac:dyDescent="0.15">
      <c r="B57" s="5" t="s">
        <v>37</v>
      </c>
      <c r="C57" s="21">
        <v>4</v>
      </c>
      <c r="D57" s="15">
        <v>2</v>
      </c>
      <c r="E57" s="42">
        <f t="shared" si="14"/>
        <v>6</v>
      </c>
      <c r="F57" s="29">
        <v>45308</v>
      </c>
      <c r="H57" s="5"/>
      <c r="I57" s="21"/>
      <c r="J57" s="15"/>
      <c r="K57" s="42">
        <f t="shared" ref="K57:K58" si="20">SUM(I57:J57)</f>
        <v>0</v>
      </c>
      <c r="L57" s="29"/>
    </row>
    <row r="58" spans="2:12" x14ac:dyDescent="0.15">
      <c r="B58" s="27" t="s">
        <v>17</v>
      </c>
      <c r="C58" s="21"/>
      <c r="D58" s="15">
        <v>2</v>
      </c>
      <c r="E58" s="42">
        <f t="shared" si="14"/>
        <v>2</v>
      </c>
      <c r="F58" s="29">
        <v>45306</v>
      </c>
      <c r="H58" s="5"/>
      <c r="I58" s="21"/>
      <c r="J58" s="15"/>
      <c r="K58" s="42">
        <f t="shared" si="20"/>
        <v>0</v>
      </c>
      <c r="L58" s="29"/>
    </row>
    <row r="59" spans="2:12" x14ac:dyDescent="0.15">
      <c r="B59" s="5" t="s">
        <v>39</v>
      </c>
      <c r="C59" s="21"/>
      <c r="D59" s="15">
        <v>2</v>
      </c>
      <c r="E59" s="42">
        <f t="shared" si="14"/>
        <v>2</v>
      </c>
      <c r="F59" s="29">
        <v>45309</v>
      </c>
      <c r="H59" s="5"/>
      <c r="I59" s="21"/>
      <c r="J59" s="15"/>
      <c r="K59" s="42">
        <f t="shared" si="15"/>
        <v>0</v>
      </c>
      <c r="L59" s="29"/>
    </row>
    <row r="60" spans="2:12" x14ac:dyDescent="0.15">
      <c r="B60" s="5" t="s">
        <v>40</v>
      </c>
      <c r="C60" s="21">
        <v>2</v>
      </c>
      <c r="D60" s="15"/>
      <c r="E60" s="42">
        <f t="shared" si="14"/>
        <v>2</v>
      </c>
      <c r="F60" s="29">
        <v>45310</v>
      </c>
      <c r="H60" s="5"/>
      <c r="I60" s="21"/>
      <c r="J60" s="15"/>
      <c r="K60" s="42">
        <f t="shared" si="15"/>
        <v>0</v>
      </c>
      <c r="L60" s="29"/>
    </row>
    <row r="61" spans="2:12" x14ac:dyDescent="0.15">
      <c r="B61" s="5" t="s">
        <v>41</v>
      </c>
      <c r="C61" s="21">
        <v>2</v>
      </c>
      <c r="D61" s="15"/>
      <c r="E61" s="42">
        <f t="shared" si="14"/>
        <v>2</v>
      </c>
      <c r="F61" s="29">
        <v>45310</v>
      </c>
      <c r="H61" s="5"/>
      <c r="I61" s="21"/>
      <c r="J61" s="15"/>
      <c r="K61" s="42">
        <f t="shared" si="15"/>
        <v>0</v>
      </c>
      <c r="L61" s="29"/>
    </row>
    <row r="62" spans="2:12" x14ac:dyDescent="0.15">
      <c r="B62" s="5" t="s">
        <v>42</v>
      </c>
      <c r="C62" s="21">
        <v>2</v>
      </c>
      <c r="D62" s="15"/>
      <c r="E62" s="42">
        <f t="shared" si="14"/>
        <v>2</v>
      </c>
      <c r="F62" s="29">
        <v>45313</v>
      </c>
      <c r="H62" s="5"/>
      <c r="I62" s="21"/>
      <c r="J62" s="15"/>
      <c r="K62" s="42">
        <f t="shared" si="15"/>
        <v>0</v>
      </c>
      <c r="L62" s="29"/>
    </row>
    <row r="63" spans="2:12" x14ac:dyDescent="0.15">
      <c r="B63" s="27" t="s">
        <v>17</v>
      </c>
      <c r="C63" s="24">
        <v>2</v>
      </c>
      <c r="D63" s="18"/>
      <c r="E63" s="42">
        <f t="shared" si="14"/>
        <v>2</v>
      </c>
      <c r="F63" s="29">
        <v>45310</v>
      </c>
      <c r="H63" s="5"/>
      <c r="I63" s="24"/>
      <c r="J63" s="18"/>
      <c r="K63" s="42">
        <f t="shared" si="15"/>
        <v>0</v>
      </c>
      <c r="L63" s="30"/>
    </row>
    <row r="64" spans="2:12" x14ac:dyDescent="0.15">
      <c r="B64" s="27" t="s">
        <v>17</v>
      </c>
      <c r="C64" s="24"/>
      <c r="D64" s="18">
        <v>2</v>
      </c>
      <c r="E64" s="42">
        <f t="shared" si="14"/>
        <v>2</v>
      </c>
      <c r="F64" s="30">
        <v>45314</v>
      </c>
      <c r="H64" s="5"/>
      <c r="I64" s="24"/>
      <c r="J64" s="18"/>
      <c r="K64" s="42">
        <f t="shared" si="15"/>
        <v>0</v>
      </c>
      <c r="L64" s="30"/>
    </row>
    <row r="65" spans="2:12" x14ac:dyDescent="0.15">
      <c r="B65" s="5" t="s">
        <v>43</v>
      </c>
      <c r="C65" s="21"/>
      <c r="D65" s="15">
        <v>2</v>
      </c>
      <c r="E65" s="42">
        <f t="shared" si="14"/>
        <v>2</v>
      </c>
      <c r="F65" s="29">
        <v>45317</v>
      </c>
      <c r="H65" s="5"/>
      <c r="I65" s="21"/>
      <c r="J65" s="15"/>
      <c r="K65" s="42">
        <f t="shared" si="15"/>
        <v>0</v>
      </c>
      <c r="L65" s="29"/>
    </row>
    <row r="66" spans="2:12" x14ac:dyDescent="0.15">
      <c r="B66" s="5" t="s">
        <v>44</v>
      </c>
      <c r="C66" s="21">
        <v>2</v>
      </c>
      <c r="D66" s="15"/>
      <c r="E66" s="42">
        <f t="shared" si="14"/>
        <v>2</v>
      </c>
      <c r="F66" s="29">
        <v>45320</v>
      </c>
      <c r="H66" s="5"/>
      <c r="I66" s="24"/>
      <c r="J66" s="18"/>
      <c r="K66" s="42">
        <f t="shared" si="15"/>
        <v>0</v>
      </c>
      <c r="L66" s="30"/>
    </row>
    <row r="67" spans="2:12" x14ac:dyDescent="0.15">
      <c r="B67" s="5" t="s">
        <v>45</v>
      </c>
      <c r="C67" s="21"/>
      <c r="D67" s="15">
        <v>2</v>
      </c>
      <c r="E67" s="42">
        <f t="shared" si="14"/>
        <v>2</v>
      </c>
      <c r="F67" s="29">
        <v>45323</v>
      </c>
      <c r="H67" s="5"/>
      <c r="I67" s="24"/>
      <c r="J67" s="18"/>
      <c r="K67" s="42">
        <f t="shared" si="15"/>
        <v>0</v>
      </c>
      <c r="L67" s="30"/>
    </row>
    <row r="68" spans="2:12" x14ac:dyDescent="0.15">
      <c r="B68" s="5"/>
      <c r="C68" s="21"/>
      <c r="D68" s="15"/>
      <c r="E68" s="42">
        <f t="shared" ref="E68:E70" si="21">SUM(C68:D68)</f>
        <v>0</v>
      </c>
      <c r="F68" s="29"/>
      <c r="H68" s="5"/>
      <c r="I68" s="24"/>
      <c r="J68" s="18"/>
      <c r="K68" s="42">
        <f t="shared" si="15"/>
        <v>0</v>
      </c>
      <c r="L68" s="30"/>
    </row>
    <row r="69" spans="2:12" x14ac:dyDescent="0.15">
      <c r="B69" s="5"/>
      <c r="C69" s="21"/>
      <c r="D69" s="15"/>
      <c r="E69" s="42">
        <f t="shared" si="21"/>
        <v>0</v>
      </c>
      <c r="F69" s="29"/>
      <c r="H69" s="5"/>
      <c r="I69" s="24"/>
      <c r="J69" s="18"/>
      <c r="K69" s="42">
        <f t="shared" si="15"/>
        <v>0</v>
      </c>
      <c r="L69" s="30"/>
    </row>
    <row r="70" spans="2:12" x14ac:dyDescent="0.15">
      <c r="B70" s="5"/>
      <c r="C70" s="21"/>
      <c r="D70" s="15"/>
      <c r="E70" s="42">
        <f t="shared" si="21"/>
        <v>0</v>
      </c>
      <c r="F70" s="29"/>
      <c r="H70" s="5"/>
      <c r="I70" s="24"/>
      <c r="J70" s="18"/>
      <c r="K70" s="42">
        <f t="shared" si="15"/>
        <v>0</v>
      </c>
      <c r="L70" s="30"/>
    </row>
    <row r="71" spans="2:12" x14ac:dyDescent="0.15">
      <c r="B71" s="5"/>
      <c r="C71" s="21"/>
      <c r="D71" s="15"/>
      <c r="E71" s="42">
        <f t="shared" si="14"/>
        <v>0</v>
      </c>
      <c r="F71" s="29"/>
      <c r="H71" s="5"/>
      <c r="I71" s="24"/>
      <c r="J71" s="18"/>
      <c r="K71" s="42">
        <f t="shared" si="15"/>
        <v>0</v>
      </c>
      <c r="L71" s="30"/>
    </row>
    <row r="72" spans="2:12" x14ac:dyDescent="0.15">
      <c r="B72" s="5"/>
      <c r="C72" s="21"/>
      <c r="D72" s="15"/>
      <c r="E72" s="42">
        <f t="shared" si="14"/>
        <v>0</v>
      </c>
      <c r="F72" s="29"/>
      <c r="H72" s="5"/>
      <c r="I72" s="21"/>
      <c r="J72" s="15"/>
      <c r="K72" s="42">
        <f t="shared" si="15"/>
        <v>0</v>
      </c>
      <c r="L72" s="29"/>
    </row>
    <row r="73" spans="2:12" x14ac:dyDescent="0.15">
      <c r="B73" s="5"/>
      <c r="C73" s="21"/>
      <c r="D73" s="15"/>
      <c r="E73" s="42">
        <f t="shared" si="14"/>
        <v>0</v>
      </c>
      <c r="F73" s="29"/>
      <c r="H73" s="5"/>
      <c r="I73" s="21"/>
      <c r="J73" s="15"/>
      <c r="K73" s="42">
        <f t="shared" si="15"/>
        <v>0</v>
      </c>
      <c r="L73" s="29"/>
    </row>
    <row r="74" spans="2:12" x14ac:dyDescent="0.15">
      <c r="B74" s="5"/>
      <c r="C74" s="21"/>
      <c r="D74" s="15"/>
      <c r="E74" s="42">
        <f t="shared" si="14"/>
        <v>0</v>
      </c>
      <c r="F74" s="29"/>
      <c r="H74" s="5"/>
      <c r="I74" s="21"/>
      <c r="J74" s="15"/>
      <c r="K74" s="42">
        <f t="shared" si="15"/>
        <v>0</v>
      </c>
      <c r="L74" s="29"/>
    </row>
    <row r="75" spans="2:12" x14ac:dyDescent="0.15">
      <c r="B75" s="5"/>
      <c r="C75" s="21"/>
      <c r="D75" s="15"/>
      <c r="E75" s="42">
        <f t="shared" si="14"/>
        <v>0</v>
      </c>
      <c r="F75" s="29"/>
      <c r="H75" s="5"/>
      <c r="I75" s="21"/>
      <c r="J75" s="15"/>
      <c r="K75" s="42">
        <f t="shared" si="15"/>
        <v>0</v>
      </c>
      <c r="L75" s="29"/>
    </row>
    <row r="76" spans="2:12" x14ac:dyDescent="0.15">
      <c r="B76" s="5"/>
      <c r="C76" s="21"/>
      <c r="D76" s="15"/>
      <c r="E76" s="42">
        <f t="shared" si="14"/>
        <v>0</v>
      </c>
      <c r="F76" s="29"/>
      <c r="H76" s="5"/>
      <c r="I76" s="21"/>
      <c r="J76" s="15"/>
      <c r="K76" s="42">
        <f t="shared" si="15"/>
        <v>0</v>
      </c>
      <c r="L76" s="29"/>
    </row>
    <row r="77" spans="2:12" ht="14.25" thickBot="1" x14ac:dyDescent="0.2">
      <c r="B77" s="5"/>
      <c r="C77" s="25"/>
      <c r="D77" s="16"/>
      <c r="E77" s="43">
        <f t="shared" si="14"/>
        <v>0</v>
      </c>
      <c r="F77" s="29"/>
      <c r="H77" s="5"/>
      <c r="I77" s="21"/>
      <c r="J77" s="15"/>
      <c r="K77" s="42">
        <f t="shared" ref="K77" si="22">SUM(I77:J77)</f>
        <v>0</v>
      </c>
      <c r="L77" s="29"/>
    </row>
    <row r="78" spans="2:12" ht="14.25" thickBot="1" x14ac:dyDescent="0.2">
      <c r="B78" s="4" t="s">
        <v>1</v>
      </c>
      <c r="C78" s="23">
        <f>SUM(C53:C77)</f>
        <v>18</v>
      </c>
      <c r="D78" s="17">
        <f>SUM(D53:D77)</f>
        <v>16</v>
      </c>
      <c r="E78" s="44">
        <f t="shared" si="14"/>
        <v>34</v>
      </c>
      <c r="H78" s="4" t="s">
        <v>1</v>
      </c>
      <c r="I78" s="23">
        <f>SUM(I53:I77)</f>
        <v>26</v>
      </c>
      <c r="J78" s="17">
        <f t="shared" ref="J78" si="23">SUM(J53:J77)</f>
        <v>10</v>
      </c>
      <c r="K78" s="44">
        <f t="shared" ref="K78" si="24">SUM(K53:K77)</f>
        <v>36</v>
      </c>
      <c r="L78" s="28"/>
    </row>
    <row r="79" spans="2:12" ht="14.25" thickBot="1" x14ac:dyDescent="0.2">
      <c r="B79" s="3" t="s">
        <v>0</v>
      </c>
      <c r="C79" s="26">
        <f>+C52-C78</f>
        <v>36</v>
      </c>
      <c r="D79" s="2">
        <f>+D52-D78</f>
        <v>30</v>
      </c>
      <c r="E79" s="45">
        <f t="shared" si="14"/>
        <v>66</v>
      </c>
      <c r="H79" s="3" t="s">
        <v>0</v>
      </c>
      <c r="I79" s="26">
        <f>+I52-I78</f>
        <v>164</v>
      </c>
      <c r="J79" s="2">
        <f t="shared" ref="J79" si="25">+J52-J78</f>
        <v>150</v>
      </c>
      <c r="K79" s="45">
        <f t="shared" ref="K79" si="26">+K52-K78</f>
        <v>314</v>
      </c>
      <c r="L79" s="28"/>
    </row>
    <row r="80" spans="2:12" x14ac:dyDescent="0.15">
      <c r="H80" s="1"/>
      <c r="L80" s="28"/>
    </row>
    <row r="81" spans="1:12" x14ac:dyDescent="0.15">
      <c r="H81" s="1"/>
      <c r="L81" s="28"/>
    </row>
    <row r="82" spans="1:12" x14ac:dyDescent="0.15">
      <c r="B82"/>
      <c r="F82"/>
    </row>
    <row r="83" spans="1:12" ht="18.75" x14ac:dyDescent="0.2">
      <c r="B83" s="13" t="s">
        <v>9</v>
      </c>
      <c r="C83" s="12"/>
      <c r="D83" s="12"/>
      <c r="E83" s="59"/>
      <c r="F83" s="66" t="s">
        <v>102</v>
      </c>
      <c r="H83" s="48" t="s">
        <v>10</v>
      </c>
      <c r="I83" s="49"/>
      <c r="J83" s="49"/>
      <c r="K83" s="60"/>
      <c r="L83" s="66" t="s">
        <v>102</v>
      </c>
    </row>
    <row r="84" spans="1:12" ht="15" thickBot="1" x14ac:dyDescent="0.2">
      <c r="B84" s="52" t="s">
        <v>16</v>
      </c>
      <c r="C84" s="12"/>
      <c r="D84" s="67" t="s">
        <v>103</v>
      </c>
      <c r="E84" s="68"/>
      <c r="F84" s="66" t="s">
        <v>101</v>
      </c>
      <c r="H84" s="53" t="s">
        <v>16</v>
      </c>
      <c r="I84" s="49"/>
      <c r="J84" s="69" t="s">
        <v>103</v>
      </c>
      <c r="K84" s="70"/>
      <c r="L84" s="66" t="s">
        <v>101</v>
      </c>
    </row>
    <row r="85" spans="1:12" ht="14.25" thickBot="1" x14ac:dyDescent="0.2">
      <c r="B85" s="11"/>
      <c r="C85" s="96" t="s">
        <v>6</v>
      </c>
      <c r="D85" s="97"/>
      <c r="E85" s="98"/>
      <c r="H85" s="11"/>
      <c r="I85" s="96" t="s">
        <v>6</v>
      </c>
      <c r="J85" s="97"/>
      <c r="K85" s="98"/>
    </row>
    <row r="86" spans="1:12" ht="14.25" thickBot="1" x14ac:dyDescent="0.2">
      <c r="A86" s="1"/>
      <c r="B86" s="10"/>
      <c r="C86" s="19" t="s">
        <v>7</v>
      </c>
      <c r="D86" s="9" t="s">
        <v>8</v>
      </c>
      <c r="E86" s="37" t="s">
        <v>4</v>
      </c>
      <c r="G86" s="1"/>
      <c r="H86" s="10"/>
      <c r="I86" s="19" t="s">
        <v>7</v>
      </c>
      <c r="J86" s="9" t="s">
        <v>8</v>
      </c>
      <c r="K86" s="37" t="s">
        <v>4</v>
      </c>
    </row>
    <row r="87" spans="1:12" x14ac:dyDescent="0.15">
      <c r="B87" s="34" t="s">
        <v>0</v>
      </c>
      <c r="C87" s="35">
        <f>C79</f>
        <v>36</v>
      </c>
      <c r="D87" s="36">
        <f t="shared" ref="D87:E87" si="27">D79</f>
        <v>30</v>
      </c>
      <c r="E87" s="46">
        <f t="shared" si="27"/>
        <v>66</v>
      </c>
      <c r="F87" s="29"/>
      <c r="H87" s="34" t="s">
        <v>0</v>
      </c>
      <c r="I87" s="35">
        <f>I79</f>
        <v>164</v>
      </c>
      <c r="J87" s="36">
        <f t="shared" ref="J87:K87" si="28">J79</f>
        <v>150</v>
      </c>
      <c r="K87" s="46">
        <f t="shared" si="28"/>
        <v>314</v>
      </c>
    </row>
    <row r="88" spans="1:12" x14ac:dyDescent="0.15">
      <c r="B88" s="8" t="s">
        <v>63</v>
      </c>
      <c r="C88" s="21">
        <v>1</v>
      </c>
      <c r="D88" s="15"/>
      <c r="E88" s="39">
        <f t="shared" ref="E88:E91" si="29">SUM(C88:D88)</f>
        <v>1</v>
      </c>
      <c r="F88" s="29">
        <v>45397</v>
      </c>
      <c r="H88" s="8" t="s">
        <v>3</v>
      </c>
      <c r="I88" s="21"/>
      <c r="J88" s="15"/>
      <c r="K88" s="39">
        <f t="shared" ref="K88:K118" si="30">SUM(I88:J88)</f>
        <v>0</v>
      </c>
    </row>
    <row r="89" spans="1:12" x14ac:dyDescent="0.15">
      <c r="B89" s="8" t="s">
        <v>3</v>
      </c>
      <c r="C89" s="21">
        <v>6</v>
      </c>
      <c r="D89" s="15"/>
      <c r="E89" s="39">
        <f t="shared" si="29"/>
        <v>6</v>
      </c>
      <c r="F89" s="29">
        <v>45426</v>
      </c>
      <c r="H89" s="8" t="s">
        <v>3</v>
      </c>
      <c r="I89" s="21"/>
      <c r="J89" s="15"/>
      <c r="K89" s="39">
        <f t="shared" si="30"/>
        <v>0</v>
      </c>
    </row>
    <row r="90" spans="1:12" x14ac:dyDescent="0.15">
      <c r="B90" s="8" t="s">
        <v>38</v>
      </c>
      <c r="C90" s="21"/>
      <c r="D90" s="15">
        <v>2</v>
      </c>
      <c r="E90" s="39">
        <f t="shared" si="29"/>
        <v>2</v>
      </c>
      <c r="F90" s="29">
        <v>45436</v>
      </c>
      <c r="H90" s="8" t="s">
        <v>3</v>
      </c>
      <c r="I90" s="21"/>
      <c r="J90" s="15"/>
      <c r="K90" s="39">
        <f t="shared" si="30"/>
        <v>0</v>
      </c>
    </row>
    <row r="91" spans="1:12" ht="14.25" thickBot="1" x14ac:dyDescent="0.2">
      <c r="B91" s="7" t="s">
        <v>3</v>
      </c>
      <c r="C91" s="22">
        <v>6</v>
      </c>
      <c r="D91" s="16">
        <v>6</v>
      </c>
      <c r="E91" s="40">
        <f t="shared" si="29"/>
        <v>12</v>
      </c>
      <c r="F91" s="29">
        <v>45444</v>
      </c>
      <c r="H91" s="8" t="s">
        <v>3</v>
      </c>
      <c r="I91" s="21"/>
      <c r="J91" s="15"/>
      <c r="K91" s="39">
        <f t="shared" si="30"/>
        <v>0</v>
      </c>
    </row>
    <row r="92" spans="1:12" ht="14.25" thickBot="1" x14ac:dyDescent="0.2">
      <c r="B92" s="7" t="s">
        <v>3</v>
      </c>
      <c r="C92" s="22"/>
      <c r="D92" s="16"/>
      <c r="E92" s="40">
        <f t="shared" ref="E92:E120" si="31">SUM(C92:D92)</f>
        <v>0</v>
      </c>
      <c r="F92" s="29"/>
      <c r="H92" s="7" t="s">
        <v>3</v>
      </c>
      <c r="I92" s="22"/>
      <c r="J92" s="16"/>
      <c r="K92" s="40">
        <f t="shared" si="30"/>
        <v>0</v>
      </c>
    </row>
    <row r="93" spans="1:12" ht="14.25" thickBot="1" x14ac:dyDescent="0.2">
      <c r="B93" s="31" t="s">
        <v>2</v>
      </c>
      <c r="C93" s="32">
        <f>SUM(C87:C92)</f>
        <v>49</v>
      </c>
      <c r="D93" s="33">
        <f>SUM(D87:D92)</f>
        <v>38</v>
      </c>
      <c r="E93" s="41">
        <f t="shared" si="31"/>
        <v>87</v>
      </c>
      <c r="H93" s="31" t="s">
        <v>2</v>
      </c>
      <c r="I93" s="32">
        <f>SUM(I87:I92)</f>
        <v>164</v>
      </c>
      <c r="J93" s="33">
        <f t="shared" ref="J93" si="32">SUM(J87:J92)</f>
        <v>150</v>
      </c>
      <c r="K93" s="41">
        <f t="shared" ref="K93" si="33">SUM(K87:K92)</f>
        <v>314</v>
      </c>
    </row>
    <row r="94" spans="1:12" x14ac:dyDescent="0.15">
      <c r="B94" s="5" t="s">
        <v>46</v>
      </c>
      <c r="C94" s="21">
        <v>2</v>
      </c>
      <c r="D94" s="15"/>
      <c r="E94" s="42">
        <f t="shared" si="31"/>
        <v>2</v>
      </c>
      <c r="F94" s="29">
        <v>45329</v>
      </c>
      <c r="H94" s="5" t="s">
        <v>49</v>
      </c>
      <c r="I94" s="21">
        <v>18</v>
      </c>
      <c r="J94" s="15">
        <v>26</v>
      </c>
      <c r="K94" s="42">
        <f t="shared" ref="K94:K96" si="34">SUM(I94:J94)</f>
        <v>44</v>
      </c>
      <c r="L94" s="57">
        <v>45343</v>
      </c>
    </row>
    <row r="95" spans="1:12" x14ac:dyDescent="0.15">
      <c r="B95" s="27" t="s">
        <v>17</v>
      </c>
      <c r="C95" s="21">
        <v>2</v>
      </c>
      <c r="D95" s="15"/>
      <c r="E95" s="42">
        <f t="shared" si="31"/>
        <v>2</v>
      </c>
      <c r="F95" s="29">
        <v>45331</v>
      </c>
      <c r="H95" s="27" t="s">
        <v>13</v>
      </c>
      <c r="I95" s="21">
        <v>6</v>
      </c>
      <c r="J95" s="15">
        <v>6</v>
      </c>
      <c r="K95" s="42">
        <f t="shared" si="34"/>
        <v>12</v>
      </c>
      <c r="L95" s="57">
        <v>45444</v>
      </c>
    </row>
    <row r="96" spans="1:12" x14ac:dyDescent="0.15">
      <c r="B96" s="5" t="s">
        <v>47</v>
      </c>
      <c r="C96" s="21">
        <v>2</v>
      </c>
      <c r="D96" s="15">
        <v>2</v>
      </c>
      <c r="E96" s="42">
        <f t="shared" si="31"/>
        <v>4</v>
      </c>
      <c r="F96" s="29">
        <v>45338</v>
      </c>
      <c r="H96" s="5"/>
      <c r="I96" s="21"/>
      <c r="J96" s="15"/>
      <c r="K96" s="42">
        <f t="shared" si="34"/>
        <v>0</v>
      </c>
    </row>
    <row r="97" spans="2:11" x14ac:dyDescent="0.15">
      <c r="B97" s="5" t="s">
        <v>48</v>
      </c>
      <c r="C97" s="21">
        <v>10</v>
      </c>
      <c r="D97" s="15">
        <v>8</v>
      </c>
      <c r="E97" s="42">
        <f t="shared" si="31"/>
        <v>18</v>
      </c>
      <c r="F97" s="29">
        <v>45338</v>
      </c>
      <c r="H97" s="5"/>
      <c r="I97" s="21"/>
      <c r="J97" s="15"/>
      <c r="K97" s="42">
        <f t="shared" si="30"/>
        <v>0</v>
      </c>
    </row>
    <row r="98" spans="2:11" x14ac:dyDescent="0.15">
      <c r="B98" s="5" t="s">
        <v>49</v>
      </c>
      <c r="C98" s="21">
        <v>4</v>
      </c>
      <c r="D98" s="15"/>
      <c r="E98" s="42">
        <f t="shared" si="31"/>
        <v>4</v>
      </c>
      <c r="F98" s="29">
        <v>45348</v>
      </c>
      <c r="H98" s="5"/>
      <c r="I98" s="21"/>
      <c r="J98" s="15"/>
      <c r="K98" s="42">
        <f t="shared" si="30"/>
        <v>0</v>
      </c>
    </row>
    <row r="99" spans="2:11" x14ac:dyDescent="0.15">
      <c r="B99" s="5" t="s">
        <v>50</v>
      </c>
      <c r="C99" s="21"/>
      <c r="D99" s="15">
        <v>2</v>
      </c>
      <c r="E99" s="42">
        <f t="shared" si="31"/>
        <v>2</v>
      </c>
      <c r="F99" s="29">
        <v>45350</v>
      </c>
      <c r="H99" s="5"/>
      <c r="I99" s="21"/>
      <c r="J99" s="15"/>
      <c r="K99" s="42">
        <f t="shared" si="30"/>
        <v>0</v>
      </c>
    </row>
    <row r="100" spans="2:11" x14ac:dyDescent="0.15">
      <c r="B100" s="5" t="s">
        <v>51</v>
      </c>
      <c r="C100" s="21"/>
      <c r="D100" s="15">
        <v>2</v>
      </c>
      <c r="E100" s="42">
        <f t="shared" si="31"/>
        <v>2</v>
      </c>
      <c r="F100" s="29">
        <v>45351</v>
      </c>
      <c r="H100" s="5"/>
      <c r="I100" s="21"/>
      <c r="J100" s="15"/>
      <c r="K100" s="42">
        <f t="shared" si="30"/>
        <v>0</v>
      </c>
    </row>
    <row r="101" spans="2:11" x14ac:dyDescent="0.15">
      <c r="B101" s="5" t="s">
        <v>52</v>
      </c>
      <c r="C101" s="21"/>
      <c r="D101" s="15">
        <v>2</v>
      </c>
      <c r="E101" s="42">
        <f t="shared" si="31"/>
        <v>2</v>
      </c>
      <c r="F101" s="29">
        <v>45352</v>
      </c>
      <c r="H101" s="5"/>
      <c r="I101" s="21"/>
      <c r="J101" s="15"/>
      <c r="K101" s="42">
        <f t="shared" si="30"/>
        <v>0</v>
      </c>
    </row>
    <row r="102" spans="2:11" x14ac:dyDescent="0.15">
      <c r="B102" s="5" t="s">
        <v>53</v>
      </c>
      <c r="C102" s="21">
        <v>2</v>
      </c>
      <c r="D102" s="15"/>
      <c r="E102" s="42">
        <f t="shared" si="31"/>
        <v>2</v>
      </c>
      <c r="F102" s="29">
        <v>45358</v>
      </c>
      <c r="H102" s="5"/>
      <c r="I102" s="21"/>
      <c r="J102" s="15"/>
      <c r="K102" s="42">
        <f t="shared" si="30"/>
        <v>0</v>
      </c>
    </row>
    <row r="103" spans="2:11" x14ac:dyDescent="0.15">
      <c r="B103" s="5" t="s">
        <v>54</v>
      </c>
      <c r="C103" s="21">
        <v>2</v>
      </c>
      <c r="D103" s="15"/>
      <c r="E103" s="42">
        <f t="shared" si="31"/>
        <v>2</v>
      </c>
      <c r="F103" s="29">
        <v>45359</v>
      </c>
      <c r="H103" s="5"/>
      <c r="I103" s="21"/>
      <c r="J103" s="15"/>
      <c r="K103" s="42">
        <f t="shared" si="30"/>
        <v>0</v>
      </c>
    </row>
    <row r="104" spans="2:11" x14ac:dyDescent="0.15">
      <c r="B104" s="27" t="s">
        <v>17</v>
      </c>
      <c r="C104" s="21">
        <v>2</v>
      </c>
      <c r="D104" s="15"/>
      <c r="E104" s="42">
        <f t="shared" si="31"/>
        <v>2</v>
      </c>
      <c r="F104" s="29">
        <v>45358</v>
      </c>
      <c r="H104" s="5"/>
      <c r="I104" s="24"/>
      <c r="J104" s="18"/>
      <c r="K104" s="42">
        <f t="shared" si="30"/>
        <v>0</v>
      </c>
    </row>
    <row r="105" spans="2:11" x14ac:dyDescent="0.15">
      <c r="B105" s="5" t="s">
        <v>56</v>
      </c>
      <c r="C105" s="21">
        <v>2</v>
      </c>
      <c r="D105" s="15"/>
      <c r="E105" s="42">
        <f t="shared" si="31"/>
        <v>2</v>
      </c>
      <c r="F105" s="29">
        <v>45365</v>
      </c>
      <c r="H105" s="5"/>
      <c r="I105" s="24"/>
      <c r="J105" s="18"/>
      <c r="K105" s="42">
        <f t="shared" si="30"/>
        <v>0</v>
      </c>
    </row>
    <row r="106" spans="2:11" x14ac:dyDescent="0.15">
      <c r="B106" s="5" t="s">
        <v>57</v>
      </c>
      <c r="C106" s="21"/>
      <c r="D106" s="15">
        <v>2</v>
      </c>
      <c r="E106" s="42">
        <f t="shared" si="31"/>
        <v>2</v>
      </c>
      <c r="F106" s="29">
        <v>45378</v>
      </c>
      <c r="H106" s="5"/>
      <c r="I106" s="21"/>
      <c r="J106" s="15"/>
      <c r="K106" s="42">
        <f t="shared" si="30"/>
        <v>0</v>
      </c>
    </row>
    <row r="107" spans="2:11" x14ac:dyDescent="0.15">
      <c r="B107" s="5" t="s">
        <v>58</v>
      </c>
      <c r="C107" s="21">
        <v>2</v>
      </c>
      <c r="D107" s="15"/>
      <c r="E107" s="42">
        <f t="shared" si="31"/>
        <v>2</v>
      </c>
      <c r="F107" s="29">
        <v>45385</v>
      </c>
      <c r="H107" s="5"/>
      <c r="I107" s="24"/>
      <c r="J107" s="18"/>
      <c r="K107" s="42">
        <f t="shared" si="30"/>
        <v>0</v>
      </c>
    </row>
    <row r="108" spans="2:11" x14ac:dyDescent="0.15">
      <c r="B108" s="5" t="s">
        <v>59</v>
      </c>
      <c r="C108" s="21"/>
      <c r="D108" s="15">
        <v>4</v>
      </c>
      <c r="E108" s="42">
        <f t="shared" si="31"/>
        <v>4</v>
      </c>
      <c r="F108" s="29">
        <v>45386</v>
      </c>
      <c r="H108" s="5"/>
      <c r="I108" s="24"/>
      <c r="J108" s="18"/>
      <c r="K108" s="42">
        <f t="shared" si="30"/>
        <v>0</v>
      </c>
    </row>
    <row r="109" spans="2:11" x14ac:dyDescent="0.15">
      <c r="B109" s="5" t="s">
        <v>60</v>
      </c>
      <c r="C109" s="21"/>
      <c r="D109" s="15">
        <v>2</v>
      </c>
      <c r="E109" s="42">
        <f t="shared" si="31"/>
        <v>2</v>
      </c>
      <c r="F109" s="29">
        <v>45390</v>
      </c>
      <c r="H109" s="5"/>
      <c r="I109" s="24"/>
      <c r="J109" s="18"/>
      <c r="K109" s="42">
        <f t="shared" si="30"/>
        <v>0</v>
      </c>
    </row>
    <row r="110" spans="2:11" x14ac:dyDescent="0.15">
      <c r="B110" s="5" t="s">
        <v>61</v>
      </c>
      <c r="C110" s="21">
        <v>1</v>
      </c>
      <c r="D110" s="15"/>
      <c r="E110" s="42">
        <f t="shared" si="31"/>
        <v>1</v>
      </c>
      <c r="F110" s="29">
        <v>45397</v>
      </c>
      <c r="H110" s="5"/>
      <c r="I110" s="24"/>
      <c r="J110" s="18"/>
      <c r="K110" s="42">
        <f t="shared" si="30"/>
        <v>0</v>
      </c>
    </row>
    <row r="111" spans="2:11" x14ac:dyDescent="0.15">
      <c r="B111" s="5" t="s">
        <v>62</v>
      </c>
      <c r="C111" s="21">
        <v>2</v>
      </c>
      <c r="D111" s="15"/>
      <c r="E111" s="42">
        <f t="shared" si="31"/>
        <v>2</v>
      </c>
      <c r="F111" s="29">
        <v>45401</v>
      </c>
      <c r="H111" s="5"/>
      <c r="I111" s="24"/>
      <c r="J111" s="18"/>
      <c r="K111" s="42">
        <f t="shared" si="30"/>
        <v>0</v>
      </c>
    </row>
    <row r="112" spans="2:11" x14ac:dyDescent="0.15">
      <c r="B112" s="5" t="s">
        <v>65</v>
      </c>
      <c r="C112" s="21">
        <v>2</v>
      </c>
      <c r="D112" s="15"/>
      <c r="E112" s="42">
        <f t="shared" si="31"/>
        <v>2</v>
      </c>
      <c r="F112" s="29">
        <v>45425</v>
      </c>
      <c r="H112" s="5"/>
      <c r="I112" s="24"/>
      <c r="J112" s="18"/>
      <c r="K112" s="42">
        <f t="shared" si="30"/>
        <v>0</v>
      </c>
    </row>
    <row r="113" spans="2:12" x14ac:dyDescent="0.15">
      <c r="B113" s="5" t="s">
        <v>66</v>
      </c>
      <c r="C113" s="21">
        <v>1</v>
      </c>
      <c r="D113" s="15"/>
      <c r="E113" s="42">
        <f t="shared" si="31"/>
        <v>1</v>
      </c>
      <c r="F113" s="29">
        <v>45432</v>
      </c>
      <c r="H113" s="5"/>
      <c r="I113" s="21"/>
      <c r="J113" s="15"/>
      <c r="K113" s="42">
        <f t="shared" si="30"/>
        <v>0</v>
      </c>
    </row>
    <row r="114" spans="2:12" x14ac:dyDescent="0.15">
      <c r="B114" s="5" t="s">
        <v>67</v>
      </c>
      <c r="C114" s="21">
        <v>2</v>
      </c>
      <c r="D114" s="15"/>
      <c r="E114" s="42">
        <f t="shared" si="31"/>
        <v>2</v>
      </c>
      <c r="F114" s="29">
        <v>45443</v>
      </c>
      <c r="H114" s="5"/>
      <c r="I114" s="21"/>
      <c r="J114" s="15"/>
      <c r="K114" s="42">
        <f t="shared" si="30"/>
        <v>0</v>
      </c>
    </row>
    <row r="115" spans="2:12" x14ac:dyDescent="0.15">
      <c r="B115" s="5" t="s">
        <v>68</v>
      </c>
      <c r="C115" s="21">
        <v>1</v>
      </c>
      <c r="D115" s="15"/>
      <c r="E115" s="42">
        <f t="shared" ref="E115" si="35">SUM(C115:D115)</f>
        <v>1</v>
      </c>
      <c r="F115" s="29">
        <v>45478</v>
      </c>
      <c r="H115" s="5"/>
      <c r="I115" s="21"/>
      <c r="J115" s="15"/>
      <c r="K115" s="42">
        <f t="shared" si="30"/>
        <v>0</v>
      </c>
    </row>
    <row r="116" spans="2:12" x14ac:dyDescent="0.15">
      <c r="B116" s="5" t="s">
        <v>69</v>
      </c>
      <c r="C116" s="21">
        <v>1</v>
      </c>
      <c r="D116" s="15"/>
      <c r="E116" s="42">
        <f t="shared" si="31"/>
        <v>1</v>
      </c>
      <c r="F116" s="29">
        <v>45499</v>
      </c>
      <c r="H116" s="5"/>
      <c r="I116" s="21"/>
      <c r="J116" s="15"/>
      <c r="K116" s="42">
        <f t="shared" si="30"/>
        <v>0</v>
      </c>
    </row>
    <row r="117" spans="2:12" x14ac:dyDescent="0.15">
      <c r="B117" s="5" t="s">
        <v>70</v>
      </c>
      <c r="C117" s="21">
        <v>6</v>
      </c>
      <c r="D117" s="15">
        <v>2</v>
      </c>
      <c r="E117" s="42">
        <f t="shared" si="31"/>
        <v>8</v>
      </c>
      <c r="F117" s="29">
        <v>45526</v>
      </c>
      <c r="H117" s="5"/>
      <c r="I117" s="21"/>
      <c r="J117" s="15"/>
      <c r="K117" s="42">
        <f t="shared" si="30"/>
        <v>0</v>
      </c>
    </row>
    <row r="118" spans="2:12" ht="14.25" thickBot="1" x14ac:dyDescent="0.2">
      <c r="B118" s="5"/>
      <c r="C118" s="25"/>
      <c r="D118" s="16"/>
      <c r="E118" s="43">
        <f t="shared" si="31"/>
        <v>0</v>
      </c>
      <c r="F118" s="29"/>
      <c r="H118" s="5" t="s">
        <v>35</v>
      </c>
      <c r="I118" s="21"/>
      <c r="J118" s="15"/>
      <c r="K118" s="42">
        <f t="shared" si="30"/>
        <v>0</v>
      </c>
      <c r="L118" t="s">
        <v>34</v>
      </c>
    </row>
    <row r="119" spans="2:12" ht="14.25" thickBot="1" x14ac:dyDescent="0.2">
      <c r="B119" s="4" t="s">
        <v>1</v>
      </c>
      <c r="C119" s="23">
        <f>SUM(C94:C118)</f>
        <v>46</v>
      </c>
      <c r="D119" s="17">
        <f>SUM(D94:D118)</f>
        <v>26</v>
      </c>
      <c r="E119" s="44">
        <f t="shared" si="31"/>
        <v>72</v>
      </c>
      <c r="H119" s="4" t="s">
        <v>1</v>
      </c>
      <c r="I119" s="23">
        <f>SUM(I94:I118)</f>
        <v>24</v>
      </c>
      <c r="J119" s="17">
        <f t="shared" ref="J119" si="36">SUM(J94:J118)</f>
        <v>32</v>
      </c>
      <c r="K119" s="44">
        <f t="shared" ref="K119" si="37">SUM(K94:K118)</f>
        <v>56</v>
      </c>
    </row>
    <row r="120" spans="2:12" ht="14.25" thickBot="1" x14ac:dyDescent="0.2">
      <c r="B120" s="3" t="s">
        <v>0</v>
      </c>
      <c r="C120" s="26">
        <f>+C93-C119</f>
        <v>3</v>
      </c>
      <c r="D120" s="2">
        <f>+D93-D119</f>
        <v>12</v>
      </c>
      <c r="E120" s="45">
        <f t="shared" si="31"/>
        <v>15</v>
      </c>
      <c r="H120" s="3" t="s">
        <v>0</v>
      </c>
      <c r="I120" s="26">
        <f>+I93-I119</f>
        <v>140</v>
      </c>
      <c r="J120" s="2">
        <f t="shared" ref="J120" si="38">+J93-J119</f>
        <v>118</v>
      </c>
      <c r="K120" s="45">
        <f t="shared" ref="K120" si="39">+K93-K119</f>
        <v>258</v>
      </c>
    </row>
    <row r="124" spans="2:12" ht="18.75" x14ac:dyDescent="0.2">
      <c r="B124" s="13" t="s">
        <v>9</v>
      </c>
      <c r="C124" s="12"/>
      <c r="D124" s="12"/>
      <c r="E124" s="59"/>
      <c r="F124" s="66" t="s">
        <v>102</v>
      </c>
      <c r="H124" s="48" t="s">
        <v>10</v>
      </c>
      <c r="I124" s="49"/>
      <c r="J124" s="49"/>
      <c r="K124" s="60"/>
      <c r="L124" s="66" t="s">
        <v>102</v>
      </c>
    </row>
    <row r="125" spans="2:12" ht="15" thickBot="1" x14ac:dyDescent="0.2">
      <c r="B125" s="52" t="s">
        <v>16</v>
      </c>
      <c r="C125" s="12"/>
      <c r="D125" s="67" t="s">
        <v>103</v>
      </c>
      <c r="E125" s="68"/>
      <c r="F125" s="66" t="s">
        <v>101</v>
      </c>
      <c r="H125" s="53" t="s">
        <v>16</v>
      </c>
      <c r="I125" s="49"/>
      <c r="J125" s="69" t="s">
        <v>103</v>
      </c>
      <c r="K125" s="70"/>
      <c r="L125" s="66" t="s">
        <v>101</v>
      </c>
    </row>
    <row r="126" spans="2:12" ht="14.25" thickBot="1" x14ac:dyDescent="0.2">
      <c r="B126" s="11"/>
      <c r="C126" s="96" t="s">
        <v>6</v>
      </c>
      <c r="D126" s="97"/>
      <c r="E126" s="98"/>
      <c r="H126" s="11"/>
      <c r="I126" s="96" t="s">
        <v>6</v>
      </c>
      <c r="J126" s="97"/>
      <c r="K126" s="98"/>
    </row>
    <row r="127" spans="2:12" ht="19.5" thickBot="1" x14ac:dyDescent="0.25">
      <c r="B127" s="10"/>
      <c r="C127" s="19" t="s">
        <v>7</v>
      </c>
      <c r="D127" s="58" t="s">
        <v>8</v>
      </c>
      <c r="E127" s="37" t="s">
        <v>4</v>
      </c>
      <c r="G127" s="1"/>
      <c r="H127" s="10"/>
      <c r="I127" s="19" t="s">
        <v>7</v>
      </c>
      <c r="J127" s="58" t="s">
        <v>8</v>
      </c>
      <c r="K127" s="37" t="s">
        <v>4</v>
      </c>
    </row>
    <row r="128" spans="2:12" x14ac:dyDescent="0.15">
      <c r="B128" s="34" t="s">
        <v>0</v>
      </c>
      <c r="C128" s="35">
        <f>C120</f>
        <v>3</v>
      </c>
      <c r="D128" s="36">
        <f t="shared" ref="D128:E128" si="40">D120</f>
        <v>12</v>
      </c>
      <c r="E128" s="46">
        <f t="shared" si="40"/>
        <v>15</v>
      </c>
      <c r="F128" s="29"/>
      <c r="H128" s="34" t="s">
        <v>0</v>
      </c>
      <c r="I128" s="35">
        <f>I120</f>
        <v>140</v>
      </c>
      <c r="J128" s="36">
        <f t="shared" ref="J128:K128" si="41">J120</f>
        <v>118</v>
      </c>
      <c r="K128" s="46">
        <f t="shared" si="41"/>
        <v>258</v>
      </c>
    </row>
    <row r="129" spans="2:13" x14ac:dyDescent="0.15">
      <c r="B129" s="8" t="s">
        <v>3</v>
      </c>
      <c r="C129" s="21">
        <v>20</v>
      </c>
      <c r="D129" s="15">
        <v>20</v>
      </c>
      <c r="E129" s="39">
        <f t="shared" ref="E129:E161" si="42">SUM(C129:D129)</f>
        <v>40</v>
      </c>
      <c r="F129" s="29">
        <v>45593</v>
      </c>
      <c r="H129" s="8" t="s">
        <v>3</v>
      </c>
      <c r="I129" s="21"/>
      <c r="J129" s="15"/>
      <c r="K129" s="39">
        <f t="shared" ref="K129:K151" si="43">SUM(I129:J129)</f>
        <v>0</v>
      </c>
    </row>
    <row r="130" spans="2:13" x14ac:dyDescent="0.15">
      <c r="B130" s="8" t="s">
        <v>3</v>
      </c>
      <c r="C130" s="21"/>
      <c r="D130" s="15">
        <v>20</v>
      </c>
      <c r="E130" s="39">
        <f t="shared" si="42"/>
        <v>20</v>
      </c>
      <c r="F130" s="29">
        <v>45594</v>
      </c>
      <c r="H130" s="8" t="s">
        <v>78</v>
      </c>
      <c r="I130" s="21">
        <v>140</v>
      </c>
      <c r="J130" s="15">
        <v>118</v>
      </c>
      <c r="K130" s="39">
        <f t="shared" si="43"/>
        <v>258</v>
      </c>
      <c r="L130" s="57">
        <v>45582</v>
      </c>
      <c r="M130" t="s">
        <v>77</v>
      </c>
    </row>
    <row r="131" spans="2:13" x14ac:dyDescent="0.15">
      <c r="B131" s="8" t="s">
        <v>3</v>
      </c>
      <c r="C131" s="21">
        <v>40</v>
      </c>
      <c r="D131" s="15">
        <v>20</v>
      </c>
      <c r="E131" s="39">
        <f t="shared" si="42"/>
        <v>60</v>
      </c>
      <c r="F131" s="29">
        <v>45607</v>
      </c>
      <c r="H131" s="8" t="s">
        <v>3</v>
      </c>
      <c r="I131" s="21">
        <v>110</v>
      </c>
      <c r="J131" s="15">
        <v>50</v>
      </c>
      <c r="K131" s="39">
        <f t="shared" si="43"/>
        <v>160</v>
      </c>
      <c r="L131" s="57" t="s">
        <v>88</v>
      </c>
    </row>
    <row r="132" spans="2:13" x14ac:dyDescent="0.15">
      <c r="B132" s="8" t="s">
        <v>3</v>
      </c>
      <c r="C132" s="21">
        <v>10</v>
      </c>
      <c r="D132" s="15">
        <v>4</v>
      </c>
      <c r="E132" s="39">
        <f t="shared" si="42"/>
        <v>14</v>
      </c>
      <c r="F132" s="29">
        <v>45610</v>
      </c>
      <c r="H132" s="8" t="s">
        <v>3</v>
      </c>
      <c r="I132" s="21"/>
      <c r="J132" s="15"/>
      <c r="K132" s="39">
        <f t="shared" ref="K132" si="44">SUM(I132:J132)</f>
        <v>0</v>
      </c>
    </row>
    <row r="133" spans="2:13" ht="14.25" thickBot="1" x14ac:dyDescent="0.2">
      <c r="B133" s="8" t="s">
        <v>38</v>
      </c>
      <c r="C133" s="21"/>
      <c r="D133" s="15">
        <v>2</v>
      </c>
      <c r="E133" s="39">
        <f t="shared" ref="E133" si="45">SUM(C133:D133)</f>
        <v>2</v>
      </c>
      <c r="F133" s="29">
        <v>45610</v>
      </c>
      <c r="H133" s="7" t="s">
        <v>3</v>
      </c>
      <c r="I133" s="22"/>
      <c r="J133" s="16"/>
      <c r="K133" s="40">
        <f t="shared" si="43"/>
        <v>0</v>
      </c>
      <c r="L133" s="57"/>
    </row>
    <row r="134" spans="2:13" ht="14.25" thickBot="1" x14ac:dyDescent="0.2">
      <c r="B134" s="31" t="s">
        <v>2</v>
      </c>
      <c r="C134" s="32">
        <f>SUM(C128:C133)</f>
        <v>73</v>
      </c>
      <c r="D134" s="33">
        <f>SUM(D128:D133)</f>
        <v>78</v>
      </c>
      <c r="E134" s="41">
        <f t="shared" si="42"/>
        <v>151</v>
      </c>
      <c r="H134" s="31" t="s">
        <v>2</v>
      </c>
      <c r="I134" s="32">
        <f>SUM(I128:I133)</f>
        <v>390</v>
      </c>
      <c r="J134" s="33">
        <f t="shared" ref="J134" si="46">SUM(J128:J133)</f>
        <v>286</v>
      </c>
      <c r="K134" s="41">
        <f t="shared" ref="K134" si="47">SUM(K128:K133)</f>
        <v>676</v>
      </c>
    </row>
    <row r="135" spans="2:13" x14ac:dyDescent="0.15">
      <c r="B135" s="5" t="s">
        <v>96</v>
      </c>
      <c r="C135" s="21">
        <v>4</v>
      </c>
      <c r="D135" s="15">
        <v>20</v>
      </c>
      <c r="E135" s="42">
        <f t="shared" ref="E135:E154" si="48">SUM(C135:D135)</f>
        <v>24</v>
      </c>
      <c r="F135" s="29">
        <v>45595</v>
      </c>
      <c r="H135" s="5" t="s">
        <v>79</v>
      </c>
      <c r="I135" s="21">
        <v>140</v>
      </c>
      <c r="J135" s="15">
        <v>118</v>
      </c>
      <c r="K135" s="42">
        <f t="shared" ref="K135:K138" si="49">SUM(I135:J135)</f>
        <v>258</v>
      </c>
      <c r="L135" s="57">
        <v>45580</v>
      </c>
    </row>
    <row r="136" spans="2:13" x14ac:dyDescent="0.15">
      <c r="B136" s="5" t="s">
        <v>97</v>
      </c>
      <c r="C136" s="21">
        <v>6</v>
      </c>
      <c r="D136" s="15">
        <v>4</v>
      </c>
      <c r="E136" s="42">
        <f t="shared" si="48"/>
        <v>10</v>
      </c>
      <c r="F136" s="29">
        <v>45597</v>
      </c>
      <c r="H136" s="5" t="s">
        <v>80</v>
      </c>
      <c r="I136" s="21">
        <v>20</v>
      </c>
      <c r="J136" s="15">
        <v>20</v>
      </c>
      <c r="K136" s="42">
        <f t="shared" si="49"/>
        <v>40</v>
      </c>
      <c r="L136" s="57">
        <v>45593</v>
      </c>
    </row>
    <row r="137" spans="2:13" x14ac:dyDescent="0.15">
      <c r="B137" s="5" t="s">
        <v>98</v>
      </c>
      <c r="C137" s="21">
        <v>6</v>
      </c>
      <c r="D137" s="15">
        <v>6</v>
      </c>
      <c r="E137" s="42">
        <f t="shared" si="48"/>
        <v>12</v>
      </c>
      <c r="F137" s="29">
        <v>45597</v>
      </c>
      <c r="H137" s="5" t="s">
        <v>13</v>
      </c>
      <c r="I137" s="21"/>
      <c r="J137" s="15">
        <v>20</v>
      </c>
      <c r="K137" s="42">
        <f t="shared" si="49"/>
        <v>20</v>
      </c>
      <c r="L137" s="57">
        <v>45594</v>
      </c>
    </row>
    <row r="138" spans="2:13" x14ac:dyDescent="0.15">
      <c r="B138" s="5" t="s">
        <v>99</v>
      </c>
      <c r="C138" s="21">
        <v>2</v>
      </c>
      <c r="D138" s="15"/>
      <c r="E138" s="42">
        <f t="shared" si="48"/>
        <v>2</v>
      </c>
      <c r="F138" s="29">
        <v>45604</v>
      </c>
      <c r="H138" s="5" t="s">
        <v>90</v>
      </c>
      <c r="I138" s="21">
        <v>10</v>
      </c>
      <c r="J138" s="15">
        <v>10</v>
      </c>
      <c r="K138" s="42">
        <f t="shared" si="49"/>
        <v>20</v>
      </c>
      <c r="L138" s="57">
        <v>45596</v>
      </c>
    </row>
    <row r="139" spans="2:13" x14ac:dyDescent="0.15">
      <c r="B139" s="5" t="s">
        <v>84</v>
      </c>
      <c r="C139" s="21"/>
      <c r="D139" s="15">
        <v>2</v>
      </c>
      <c r="E139" s="42">
        <f t="shared" si="48"/>
        <v>2</v>
      </c>
      <c r="F139" s="29">
        <v>45607</v>
      </c>
      <c r="H139" s="5" t="s">
        <v>91</v>
      </c>
      <c r="I139" s="21">
        <v>10</v>
      </c>
      <c r="J139" s="15">
        <v>6</v>
      </c>
      <c r="K139" s="42">
        <f t="shared" si="43"/>
        <v>16</v>
      </c>
      <c r="L139" s="57">
        <v>45601</v>
      </c>
    </row>
    <row r="140" spans="2:13" x14ac:dyDescent="0.15">
      <c r="B140" s="5" t="s">
        <v>94</v>
      </c>
      <c r="C140" s="21"/>
      <c r="D140" s="15">
        <v>2</v>
      </c>
      <c r="E140" s="42">
        <f t="shared" si="48"/>
        <v>2</v>
      </c>
      <c r="F140" s="29">
        <v>45610</v>
      </c>
      <c r="H140" s="5" t="s">
        <v>92</v>
      </c>
      <c r="I140" s="21">
        <v>12</v>
      </c>
      <c r="J140" s="15">
        <v>4</v>
      </c>
      <c r="K140" s="42">
        <f t="shared" si="43"/>
        <v>16</v>
      </c>
      <c r="L140" s="57">
        <v>45603</v>
      </c>
    </row>
    <row r="141" spans="2:13" x14ac:dyDescent="0.15">
      <c r="B141" s="5" t="s">
        <v>95</v>
      </c>
      <c r="C141" s="21"/>
      <c r="D141" s="15">
        <v>2</v>
      </c>
      <c r="E141" s="42">
        <f t="shared" si="48"/>
        <v>2</v>
      </c>
      <c r="F141" s="29">
        <v>45611</v>
      </c>
      <c r="H141" s="5" t="s">
        <v>144</v>
      </c>
      <c r="I141" s="21">
        <v>20</v>
      </c>
      <c r="J141" s="15">
        <v>30</v>
      </c>
      <c r="K141" s="42">
        <f t="shared" si="43"/>
        <v>50</v>
      </c>
      <c r="L141" s="57">
        <v>45607</v>
      </c>
    </row>
    <row r="142" spans="2:13" x14ac:dyDescent="0.15">
      <c r="B142" s="5" t="s">
        <v>145</v>
      </c>
      <c r="C142" s="21">
        <v>30</v>
      </c>
      <c r="D142" s="15">
        <v>30</v>
      </c>
      <c r="E142" s="42">
        <f t="shared" si="48"/>
        <v>60</v>
      </c>
      <c r="F142" s="29">
        <v>45610</v>
      </c>
      <c r="H142" s="5" t="s">
        <v>93</v>
      </c>
      <c r="I142" s="21"/>
      <c r="J142" s="15">
        <v>4</v>
      </c>
      <c r="K142" s="42">
        <f t="shared" si="43"/>
        <v>4</v>
      </c>
      <c r="L142" s="57">
        <v>45607</v>
      </c>
    </row>
    <row r="143" spans="2:13" x14ac:dyDescent="0.15">
      <c r="B143" s="5" t="s">
        <v>146</v>
      </c>
      <c r="C143" s="21">
        <v>10</v>
      </c>
      <c r="D143" s="15">
        <v>10</v>
      </c>
      <c r="E143" s="42">
        <f t="shared" si="48"/>
        <v>20</v>
      </c>
      <c r="F143" s="29">
        <v>45611</v>
      </c>
      <c r="H143" s="5" t="s">
        <v>13</v>
      </c>
      <c r="I143" s="21">
        <v>40</v>
      </c>
      <c r="J143" s="15">
        <v>20</v>
      </c>
      <c r="K143" s="42">
        <f t="shared" si="43"/>
        <v>60</v>
      </c>
      <c r="L143" s="57">
        <v>45607</v>
      </c>
    </row>
    <row r="144" spans="2:13" x14ac:dyDescent="0.15">
      <c r="B144" s="5" t="s">
        <v>147</v>
      </c>
      <c r="C144" s="21">
        <v>4</v>
      </c>
      <c r="D144" s="15"/>
      <c r="E144" s="42">
        <f t="shared" si="48"/>
        <v>4</v>
      </c>
      <c r="F144" s="29">
        <v>45612</v>
      </c>
      <c r="H144" s="5" t="s">
        <v>13</v>
      </c>
      <c r="I144" s="21">
        <v>10</v>
      </c>
      <c r="J144" s="15">
        <v>4</v>
      </c>
      <c r="K144" s="42">
        <f t="shared" si="43"/>
        <v>14</v>
      </c>
      <c r="L144" s="57">
        <v>45610</v>
      </c>
    </row>
    <row r="145" spans="2:12" x14ac:dyDescent="0.15">
      <c r="B145" s="5" t="s">
        <v>87</v>
      </c>
      <c r="C145" s="21">
        <v>-18</v>
      </c>
      <c r="D145" s="15">
        <v>-10</v>
      </c>
      <c r="E145" s="42">
        <f t="shared" si="48"/>
        <v>-28</v>
      </c>
      <c r="F145" s="29">
        <v>45612</v>
      </c>
      <c r="H145" s="5" t="s">
        <v>13</v>
      </c>
      <c r="I145" s="21">
        <v>18</v>
      </c>
      <c r="J145" s="15">
        <v>10</v>
      </c>
      <c r="K145" s="42">
        <f t="shared" si="43"/>
        <v>28</v>
      </c>
      <c r="L145" s="57">
        <v>45612</v>
      </c>
    </row>
    <row r="146" spans="2:12" x14ac:dyDescent="0.15">
      <c r="B146" s="5"/>
      <c r="C146" s="21"/>
      <c r="D146" s="15"/>
      <c r="E146" s="42">
        <f t="shared" si="48"/>
        <v>0</v>
      </c>
      <c r="F146" s="29"/>
      <c r="H146" s="5" t="s">
        <v>89</v>
      </c>
      <c r="I146" s="21">
        <v>12</v>
      </c>
      <c r="J146" s="15">
        <v>16</v>
      </c>
      <c r="K146" s="42">
        <f t="shared" si="43"/>
        <v>28</v>
      </c>
      <c r="L146" s="57">
        <v>45616</v>
      </c>
    </row>
    <row r="147" spans="2:12" x14ac:dyDescent="0.15">
      <c r="B147" s="5"/>
      <c r="C147" s="21"/>
      <c r="D147" s="15"/>
      <c r="E147" s="42">
        <f t="shared" si="48"/>
        <v>0</v>
      </c>
      <c r="F147" s="29"/>
      <c r="H147" s="5"/>
      <c r="I147" s="21"/>
      <c r="J147" s="15"/>
      <c r="K147" s="42">
        <f t="shared" si="43"/>
        <v>0</v>
      </c>
    </row>
    <row r="148" spans="2:12" x14ac:dyDescent="0.15">
      <c r="B148" s="5"/>
      <c r="C148" s="21"/>
      <c r="D148" s="15"/>
      <c r="E148" s="42">
        <f t="shared" si="48"/>
        <v>0</v>
      </c>
      <c r="F148" s="29"/>
      <c r="H148" s="5"/>
      <c r="I148" s="21"/>
      <c r="J148" s="15"/>
      <c r="K148" s="42">
        <f t="shared" si="43"/>
        <v>0</v>
      </c>
    </row>
    <row r="149" spans="2:12" x14ac:dyDescent="0.15">
      <c r="B149" s="5"/>
      <c r="C149" s="21"/>
      <c r="D149" s="15"/>
      <c r="E149" s="42">
        <f t="shared" si="48"/>
        <v>0</v>
      </c>
      <c r="F149" s="29"/>
      <c r="H149" s="5"/>
      <c r="I149" s="24"/>
      <c r="J149" s="18"/>
      <c r="K149" s="42">
        <f t="shared" si="43"/>
        <v>0</v>
      </c>
    </row>
    <row r="150" spans="2:12" x14ac:dyDescent="0.15">
      <c r="B150" s="5"/>
      <c r="C150" s="21"/>
      <c r="D150" s="15"/>
      <c r="E150" s="42">
        <f t="shared" si="48"/>
        <v>0</v>
      </c>
      <c r="F150" s="29"/>
      <c r="H150" s="5"/>
      <c r="I150" s="24"/>
      <c r="J150" s="18"/>
      <c r="K150" s="42">
        <f t="shared" si="43"/>
        <v>0</v>
      </c>
    </row>
    <row r="151" spans="2:12" x14ac:dyDescent="0.15">
      <c r="B151" s="5"/>
      <c r="C151" s="21"/>
      <c r="D151" s="15"/>
      <c r="E151" s="42">
        <f t="shared" si="48"/>
        <v>0</v>
      </c>
      <c r="F151" s="29"/>
      <c r="H151" s="5"/>
      <c r="I151" s="24"/>
      <c r="J151" s="18"/>
      <c r="K151" s="42">
        <f t="shared" si="43"/>
        <v>0</v>
      </c>
    </row>
    <row r="152" spans="2:12" x14ac:dyDescent="0.15">
      <c r="B152" s="5"/>
      <c r="C152" s="21"/>
      <c r="D152" s="15"/>
      <c r="E152" s="42">
        <f t="shared" si="48"/>
        <v>0</v>
      </c>
      <c r="F152" s="29"/>
      <c r="H152" s="5"/>
      <c r="I152" s="24"/>
      <c r="J152" s="18"/>
      <c r="K152" s="42">
        <f t="shared" ref="K152:K158" si="50">SUM(I152:J152)</f>
        <v>0</v>
      </c>
    </row>
    <row r="153" spans="2:12" x14ac:dyDescent="0.15">
      <c r="B153" s="5"/>
      <c r="C153" s="21"/>
      <c r="D153" s="15"/>
      <c r="E153" s="42">
        <f t="shared" si="48"/>
        <v>0</v>
      </c>
      <c r="F153" s="29"/>
      <c r="H153" s="5"/>
      <c r="I153" s="24"/>
      <c r="J153" s="18"/>
      <c r="K153" s="42">
        <f t="shared" si="50"/>
        <v>0</v>
      </c>
    </row>
    <row r="154" spans="2:12" x14ac:dyDescent="0.15">
      <c r="B154" s="5"/>
      <c r="C154" s="21"/>
      <c r="D154" s="15"/>
      <c r="E154" s="42">
        <f t="shared" si="48"/>
        <v>0</v>
      </c>
      <c r="F154" s="29"/>
      <c r="H154" s="5"/>
      <c r="I154" s="24"/>
      <c r="J154" s="18"/>
      <c r="K154" s="42">
        <f t="shared" si="50"/>
        <v>0</v>
      </c>
    </row>
    <row r="155" spans="2:12" x14ac:dyDescent="0.15">
      <c r="B155" s="5"/>
      <c r="C155" s="21"/>
      <c r="D155" s="15"/>
      <c r="E155" s="42">
        <f t="shared" ref="E155:E159" si="51">SUM(C155:D155)</f>
        <v>0</v>
      </c>
      <c r="F155" s="29"/>
      <c r="H155" s="5"/>
      <c r="I155" s="24"/>
      <c r="J155" s="18"/>
      <c r="K155" s="42">
        <f t="shared" si="50"/>
        <v>0</v>
      </c>
    </row>
    <row r="156" spans="2:12" x14ac:dyDescent="0.15">
      <c r="B156" s="5"/>
      <c r="C156" s="21"/>
      <c r="D156" s="15"/>
      <c r="E156" s="42">
        <f t="shared" si="51"/>
        <v>0</v>
      </c>
      <c r="F156" s="29"/>
      <c r="H156" s="61" t="s">
        <v>142</v>
      </c>
      <c r="I156" s="62"/>
      <c r="J156" s="63"/>
      <c r="K156" s="64">
        <f t="shared" si="50"/>
        <v>0</v>
      </c>
      <c r="L156" s="65"/>
    </row>
    <row r="157" spans="2:12" x14ac:dyDescent="0.15">
      <c r="B157" s="5"/>
      <c r="C157" s="21"/>
      <c r="D157" s="15"/>
      <c r="E157" s="42">
        <f t="shared" si="51"/>
        <v>0</v>
      </c>
      <c r="F157" s="29"/>
      <c r="H157" s="5" t="s">
        <v>143</v>
      </c>
      <c r="I157" s="21"/>
      <c r="J157" s="15"/>
      <c r="K157" s="42">
        <f t="shared" si="50"/>
        <v>0</v>
      </c>
      <c r="L157" s="29" t="s">
        <v>75</v>
      </c>
    </row>
    <row r="158" spans="2:12" x14ac:dyDescent="0.15">
      <c r="B158" s="5"/>
      <c r="C158" s="21"/>
      <c r="D158" s="15"/>
      <c r="E158" s="42">
        <f t="shared" si="51"/>
        <v>0</v>
      </c>
      <c r="F158" s="29"/>
      <c r="H158" s="5" t="s">
        <v>83</v>
      </c>
      <c r="I158" s="21"/>
      <c r="J158" s="15"/>
      <c r="K158" s="42">
        <f t="shared" si="50"/>
        <v>0</v>
      </c>
      <c r="L158" s="29" t="s">
        <v>76</v>
      </c>
    </row>
    <row r="159" spans="2:12" ht="14.25" thickBot="1" x14ac:dyDescent="0.2">
      <c r="B159" s="5"/>
      <c r="C159" s="21"/>
      <c r="D159" s="15"/>
      <c r="E159" s="42">
        <f t="shared" si="51"/>
        <v>0</v>
      </c>
      <c r="F159" s="29"/>
      <c r="H159" s="5" t="s">
        <v>73</v>
      </c>
      <c r="I159" s="21"/>
      <c r="J159" s="15"/>
      <c r="K159" s="42">
        <f t="shared" ref="K159" si="52">SUM(I159:J159)</f>
        <v>0</v>
      </c>
      <c r="L159" s="29" t="s">
        <v>74</v>
      </c>
    </row>
    <row r="160" spans="2:12" ht="14.25" thickBot="1" x14ac:dyDescent="0.2">
      <c r="B160" s="4" t="s">
        <v>1</v>
      </c>
      <c r="C160" s="23">
        <f>SUM(C135:C159)</f>
        <v>44</v>
      </c>
      <c r="D160" s="17">
        <f>SUM(D135:D159)</f>
        <v>66</v>
      </c>
      <c r="E160" s="44">
        <f t="shared" si="42"/>
        <v>110</v>
      </c>
      <c r="H160" s="4" t="s">
        <v>1</v>
      </c>
      <c r="I160" s="23">
        <f>SUM(I135:I159)</f>
        <v>292</v>
      </c>
      <c r="J160" s="17">
        <f t="shared" ref="J160" si="53">SUM(J135:J159)</f>
        <v>262</v>
      </c>
      <c r="K160" s="44">
        <f t="shared" ref="K160" si="54">SUM(K135:K159)</f>
        <v>554</v>
      </c>
    </row>
    <row r="161" spans="2:12" ht="14.25" thickBot="1" x14ac:dyDescent="0.2">
      <c r="B161" s="3" t="s">
        <v>0</v>
      </c>
      <c r="C161" s="26">
        <f>+C134-C160</f>
        <v>29</v>
      </c>
      <c r="D161" s="2">
        <f>+D134-D160</f>
        <v>12</v>
      </c>
      <c r="E161" s="45">
        <f t="shared" si="42"/>
        <v>41</v>
      </c>
      <c r="H161" s="3" t="s">
        <v>0</v>
      </c>
      <c r="I161" s="26">
        <f>+I134-I160</f>
        <v>98</v>
      </c>
      <c r="J161" s="2">
        <f t="shared" ref="J161" si="55">+J134-J160</f>
        <v>24</v>
      </c>
      <c r="K161" s="45">
        <f t="shared" ref="K161" si="56">+K134-K160</f>
        <v>122</v>
      </c>
    </row>
    <row r="165" spans="2:12" ht="18.75" x14ac:dyDescent="0.2">
      <c r="B165" s="13" t="s">
        <v>9</v>
      </c>
      <c r="C165" s="12"/>
      <c r="D165" s="12"/>
      <c r="E165" s="59"/>
      <c r="F165" s="66" t="s">
        <v>102</v>
      </c>
      <c r="H165" s="48" t="s">
        <v>10</v>
      </c>
      <c r="I165" s="49"/>
      <c r="J165" s="49"/>
      <c r="K165" s="60"/>
      <c r="L165" s="66" t="s">
        <v>102</v>
      </c>
    </row>
    <row r="166" spans="2:12" ht="15" thickBot="1" x14ac:dyDescent="0.2">
      <c r="B166" s="52" t="s">
        <v>16</v>
      </c>
      <c r="C166" s="12"/>
      <c r="D166" s="67" t="s">
        <v>103</v>
      </c>
      <c r="E166" s="68"/>
      <c r="F166" s="66" t="s">
        <v>101</v>
      </c>
      <c r="H166" s="53" t="s">
        <v>16</v>
      </c>
      <c r="I166" s="49"/>
      <c r="J166" s="69" t="s">
        <v>103</v>
      </c>
      <c r="K166" s="70"/>
      <c r="L166" s="66" t="s">
        <v>101</v>
      </c>
    </row>
    <row r="167" spans="2:12" ht="14.25" thickBot="1" x14ac:dyDescent="0.2">
      <c r="B167" s="11"/>
      <c r="C167" s="96" t="s">
        <v>6</v>
      </c>
      <c r="D167" s="97"/>
      <c r="E167" s="98"/>
      <c r="H167" s="11"/>
      <c r="I167" s="96" t="s">
        <v>6</v>
      </c>
      <c r="J167" s="97"/>
      <c r="K167" s="98"/>
    </row>
    <row r="168" spans="2:12" ht="19.5" thickBot="1" x14ac:dyDescent="0.25">
      <c r="B168" s="10"/>
      <c r="C168" s="19" t="s">
        <v>7</v>
      </c>
      <c r="D168" s="58" t="s">
        <v>8</v>
      </c>
      <c r="E168" s="37" t="s">
        <v>4</v>
      </c>
      <c r="G168" s="1"/>
      <c r="H168" s="10"/>
      <c r="I168" s="19" t="s">
        <v>7</v>
      </c>
      <c r="J168" s="58" t="s">
        <v>8</v>
      </c>
      <c r="K168" s="37" t="s">
        <v>4</v>
      </c>
    </row>
    <row r="169" spans="2:12" x14ac:dyDescent="0.15">
      <c r="B169" s="34" t="s">
        <v>0</v>
      </c>
      <c r="C169" s="35">
        <f>C161</f>
        <v>29</v>
      </c>
      <c r="D169" s="36">
        <f t="shared" ref="D169:E169" si="57">D161</f>
        <v>12</v>
      </c>
      <c r="E169" s="46">
        <f t="shared" si="57"/>
        <v>41</v>
      </c>
      <c r="F169" s="29"/>
      <c r="H169" s="34" t="s">
        <v>0</v>
      </c>
      <c r="I169" s="35">
        <f>I161</f>
        <v>98</v>
      </c>
      <c r="J169" s="36">
        <f t="shared" ref="J169:K169" si="58">J161</f>
        <v>24</v>
      </c>
      <c r="K169" s="46">
        <f t="shared" si="58"/>
        <v>122</v>
      </c>
    </row>
    <row r="170" spans="2:12" x14ac:dyDescent="0.15">
      <c r="B170" s="8" t="s">
        <v>3</v>
      </c>
      <c r="C170" s="21">
        <v>30</v>
      </c>
      <c r="D170" s="15">
        <v>30</v>
      </c>
      <c r="E170" s="39">
        <f t="shared" ref="E170:E173" si="59">SUM(C170:D170)</f>
        <v>60</v>
      </c>
      <c r="F170" s="29">
        <v>45623</v>
      </c>
      <c r="H170" s="8" t="s">
        <v>3</v>
      </c>
      <c r="I170" s="21">
        <v>120</v>
      </c>
      <c r="J170" s="15">
        <v>150</v>
      </c>
      <c r="K170" s="39">
        <f t="shared" ref="K170:K171" si="60">SUM(I170:J170)</f>
        <v>270</v>
      </c>
      <c r="L170" s="57" t="s">
        <v>104</v>
      </c>
    </row>
    <row r="171" spans="2:12" x14ac:dyDescent="0.15">
      <c r="B171" s="8" t="s">
        <v>3</v>
      </c>
      <c r="C171" s="21">
        <v>10</v>
      </c>
      <c r="D171" s="15">
        <v>20</v>
      </c>
      <c r="E171" s="39">
        <f t="shared" si="59"/>
        <v>30</v>
      </c>
      <c r="F171" s="29">
        <v>45626</v>
      </c>
      <c r="H171" s="8" t="s">
        <v>3</v>
      </c>
      <c r="I171" s="21"/>
      <c r="J171" s="15"/>
      <c r="K171" s="39">
        <f t="shared" si="60"/>
        <v>0</v>
      </c>
    </row>
    <row r="172" spans="2:12" x14ac:dyDescent="0.15">
      <c r="B172" s="8" t="s">
        <v>3</v>
      </c>
      <c r="C172" s="21"/>
      <c r="D172" s="15">
        <v>10</v>
      </c>
      <c r="E172" s="39">
        <f t="shared" si="59"/>
        <v>10</v>
      </c>
      <c r="F172" s="29">
        <v>45633</v>
      </c>
      <c r="H172" s="8" t="s">
        <v>3</v>
      </c>
      <c r="I172" s="21"/>
      <c r="J172" s="15"/>
      <c r="K172" s="39">
        <f t="shared" ref="K172:K173" si="61">SUM(I172:J172)</f>
        <v>0</v>
      </c>
    </row>
    <row r="173" spans="2:12" x14ac:dyDescent="0.15">
      <c r="B173" s="8" t="s">
        <v>3</v>
      </c>
      <c r="C173" s="21">
        <v>30</v>
      </c>
      <c r="D173" s="15">
        <v>30</v>
      </c>
      <c r="E173" s="39">
        <f t="shared" si="59"/>
        <v>60</v>
      </c>
      <c r="F173" s="29">
        <v>45636</v>
      </c>
      <c r="H173" s="8" t="s">
        <v>3</v>
      </c>
      <c r="I173" s="21"/>
      <c r="J173" s="15"/>
      <c r="K173" s="39">
        <f t="shared" si="61"/>
        <v>0</v>
      </c>
    </row>
    <row r="174" spans="2:12" ht="14.25" thickBot="1" x14ac:dyDescent="0.2">
      <c r="B174" s="8" t="s">
        <v>38</v>
      </c>
      <c r="C174" s="21">
        <v>2</v>
      </c>
      <c r="D174" s="15"/>
      <c r="E174" s="39">
        <f t="shared" ref="E174:E202" si="62">SUM(C174:D174)</f>
        <v>2</v>
      </c>
      <c r="F174" s="29">
        <v>45637</v>
      </c>
      <c r="H174" s="7" t="s">
        <v>3</v>
      </c>
      <c r="I174" s="22"/>
      <c r="J174" s="16"/>
      <c r="K174" s="40">
        <f t="shared" ref="K174:K200" si="63">SUM(I174:J174)</f>
        <v>0</v>
      </c>
      <c r="L174" s="57"/>
    </row>
    <row r="175" spans="2:12" ht="14.25" thickBot="1" x14ac:dyDescent="0.2">
      <c r="B175" s="31" t="s">
        <v>2</v>
      </c>
      <c r="C175" s="32">
        <f>SUM(C169:C174)</f>
        <v>101</v>
      </c>
      <c r="D175" s="33">
        <f>SUM(D169:D174)</f>
        <v>102</v>
      </c>
      <c r="E175" s="41">
        <f t="shared" si="62"/>
        <v>203</v>
      </c>
      <c r="H175" s="31" t="s">
        <v>2</v>
      </c>
      <c r="I175" s="32">
        <f>SUM(I169:I174)</f>
        <v>218</v>
      </c>
      <c r="J175" s="33">
        <f t="shared" ref="J175" si="64">SUM(J169:J174)</f>
        <v>174</v>
      </c>
      <c r="K175" s="41">
        <f t="shared" ref="K175" si="65">SUM(K169:K174)</f>
        <v>392</v>
      </c>
    </row>
    <row r="176" spans="2:12" x14ac:dyDescent="0.15">
      <c r="B176" s="5" t="s">
        <v>100</v>
      </c>
      <c r="C176" s="21">
        <v>12</v>
      </c>
      <c r="D176" s="15"/>
      <c r="E176" s="42">
        <f t="shared" ref="E176:E185" si="66">SUM(C176:D176)</f>
        <v>12</v>
      </c>
      <c r="F176" s="29">
        <v>45618</v>
      </c>
      <c r="H176" s="5" t="s">
        <v>106</v>
      </c>
      <c r="I176" s="21">
        <v>18</v>
      </c>
      <c r="J176" s="15"/>
      <c r="K176" s="42">
        <f t="shared" ref="K176:K186" si="67">SUM(I176:J176)</f>
        <v>18</v>
      </c>
      <c r="L176" s="57">
        <v>45618</v>
      </c>
    </row>
    <row r="177" spans="2:12" x14ac:dyDescent="0.15">
      <c r="B177" s="5" t="s">
        <v>107</v>
      </c>
      <c r="C177" s="21">
        <v>4</v>
      </c>
      <c r="D177" s="15">
        <v>2</v>
      </c>
      <c r="E177" s="42">
        <f t="shared" si="66"/>
        <v>6</v>
      </c>
      <c r="F177" s="29">
        <v>45623</v>
      </c>
      <c r="H177" s="5" t="s">
        <v>108</v>
      </c>
      <c r="I177" s="21">
        <v>14</v>
      </c>
      <c r="J177" s="15">
        <v>6</v>
      </c>
      <c r="K177" s="42">
        <f t="shared" si="67"/>
        <v>20</v>
      </c>
      <c r="L177" s="57">
        <v>45624</v>
      </c>
    </row>
    <row r="178" spans="2:12" x14ac:dyDescent="0.15">
      <c r="B178" s="5" t="s">
        <v>114</v>
      </c>
      <c r="C178" s="21">
        <v>30</v>
      </c>
      <c r="D178" s="15">
        <v>30</v>
      </c>
      <c r="E178" s="42">
        <f t="shared" si="66"/>
        <v>60</v>
      </c>
      <c r="F178" s="29">
        <v>45624</v>
      </c>
      <c r="H178" s="5" t="s">
        <v>109</v>
      </c>
      <c r="I178" s="21">
        <v>30</v>
      </c>
      <c r="J178" s="15">
        <v>30</v>
      </c>
      <c r="K178" s="42">
        <f t="shared" si="67"/>
        <v>60</v>
      </c>
      <c r="L178" s="57">
        <v>45623</v>
      </c>
    </row>
    <row r="179" spans="2:12" x14ac:dyDescent="0.15">
      <c r="B179" s="5" t="s">
        <v>111</v>
      </c>
      <c r="C179" s="21">
        <v>2</v>
      </c>
      <c r="D179" s="15"/>
      <c r="E179" s="42">
        <f t="shared" si="66"/>
        <v>2</v>
      </c>
      <c r="F179" s="29">
        <v>45628</v>
      </c>
      <c r="H179" s="5" t="s">
        <v>110</v>
      </c>
      <c r="I179" s="21">
        <v>8</v>
      </c>
      <c r="J179" s="15">
        <v>8</v>
      </c>
      <c r="K179" s="42">
        <f t="shared" si="67"/>
        <v>16</v>
      </c>
      <c r="L179" s="57">
        <v>45625</v>
      </c>
    </row>
    <row r="180" spans="2:12" x14ac:dyDescent="0.15">
      <c r="B180" s="5" t="s">
        <v>17</v>
      </c>
      <c r="C180" s="21"/>
      <c r="D180" s="15">
        <v>2</v>
      </c>
      <c r="E180" s="42">
        <f t="shared" si="66"/>
        <v>2</v>
      </c>
      <c r="F180" s="29">
        <v>45625</v>
      </c>
      <c r="H180" s="5" t="s">
        <v>116</v>
      </c>
      <c r="I180" s="21"/>
      <c r="J180" s="15">
        <v>8</v>
      </c>
      <c r="K180" s="42">
        <f t="shared" si="67"/>
        <v>8</v>
      </c>
      <c r="L180" s="57">
        <v>45625</v>
      </c>
    </row>
    <row r="181" spans="2:12" x14ac:dyDescent="0.15">
      <c r="B181" s="5" t="s">
        <v>115</v>
      </c>
      <c r="C181" s="21">
        <v>2</v>
      </c>
      <c r="D181" s="15"/>
      <c r="E181" s="42">
        <f t="shared" si="66"/>
        <v>2</v>
      </c>
      <c r="F181" s="29">
        <v>45630</v>
      </c>
      <c r="H181" s="5" t="s">
        <v>13</v>
      </c>
      <c r="I181" s="21">
        <v>10</v>
      </c>
      <c r="J181" s="15">
        <v>20</v>
      </c>
      <c r="K181" s="42">
        <f t="shared" si="67"/>
        <v>30</v>
      </c>
      <c r="L181" s="57">
        <v>45626</v>
      </c>
    </row>
    <row r="182" spans="2:12" x14ac:dyDescent="0.15">
      <c r="B182" s="5" t="s">
        <v>117</v>
      </c>
      <c r="C182" s="21"/>
      <c r="D182" s="15">
        <v>8</v>
      </c>
      <c r="E182" s="42">
        <f t="shared" si="66"/>
        <v>8</v>
      </c>
      <c r="F182" s="29">
        <v>45631</v>
      </c>
      <c r="H182" s="5" t="s">
        <v>13</v>
      </c>
      <c r="I182" s="21"/>
      <c r="J182" s="15">
        <v>10</v>
      </c>
      <c r="K182" s="42">
        <f t="shared" si="67"/>
        <v>10</v>
      </c>
      <c r="L182" s="57">
        <v>45633</v>
      </c>
    </row>
    <row r="183" spans="2:12" x14ac:dyDescent="0.15">
      <c r="B183" s="5" t="s">
        <v>118</v>
      </c>
      <c r="C183" s="21"/>
      <c r="D183" s="15">
        <v>6</v>
      </c>
      <c r="E183" s="42">
        <f t="shared" si="66"/>
        <v>6</v>
      </c>
      <c r="F183" s="29">
        <v>45632</v>
      </c>
      <c r="H183" s="5" t="s">
        <v>13</v>
      </c>
      <c r="I183" s="21">
        <v>30</v>
      </c>
      <c r="J183" s="15">
        <v>30</v>
      </c>
      <c r="K183" s="42">
        <f t="shared" si="67"/>
        <v>60</v>
      </c>
      <c r="L183" s="57">
        <v>45636</v>
      </c>
    </row>
    <row r="184" spans="2:12" x14ac:dyDescent="0.15">
      <c r="B184" s="5" t="s">
        <v>119</v>
      </c>
      <c r="C184" s="21">
        <v>6</v>
      </c>
      <c r="D184" s="15">
        <v>6</v>
      </c>
      <c r="E184" s="42">
        <f t="shared" si="66"/>
        <v>12</v>
      </c>
      <c r="F184" s="29">
        <v>45632</v>
      </c>
      <c r="H184" s="5" t="s">
        <v>13</v>
      </c>
      <c r="I184" s="21">
        <v>10</v>
      </c>
      <c r="J184" s="15">
        <v>20</v>
      </c>
      <c r="K184" s="42">
        <f t="shared" si="67"/>
        <v>30</v>
      </c>
      <c r="L184" s="57">
        <v>45642</v>
      </c>
    </row>
    <row r="185" spans="2:12" x14ac:dyDescent="0.15">
      <c r="B185" s="5" t="s">
        <v>120</v>
      </c>
      <c r="C185" s="21"/>
      <c r="D185" s="15">
        <v>2</v>
      </c>
      <c r="E185" s="42">
        <f t="shared" si="66"/>
        <v>2</v>
      </c>
      <c r="F185" s="29">
        <v>45635</v>
      </c>
      <c r="H185" s="5"/>
      <c r="I185" s="21"/>
      <c r="J185" s="15"/>
      <c r="K185" s="42">
        <f t="shared" si="67"/>
        <v>0</v>
      </c>
    </row>
    <row r="186" spans="2:12" x14ac:dyDescent="0.15">
      <c r="B186" s="5" t="s">
        <v>123</v>
      </c>
      <c r="C186" s="21"/>
      <c r="D186" s="15">
        <v>2</v>
      </c>
      <c r="E186" s="42">
        <f t="shared" si="62"/>
        <v>2</v>
      </c>
      <c r="F186" s="29">
        <v>45637</v>
      </c>
      <c r="H186" s="5"/>
      <c r="I186" s="21"/>
      <c r="J186" s="15"/>
      <c r="K186" s="42">
        <f t="shared" si="67"/>
        <v>0</v>
      </c>
    </row>
    <row r="187" spans="2:12" x14ac:dyDescent="0.15">
      <c r="B187" s="5" t="s">
        <v>125</v>
      </c>
      <c r="C187" s="21">
        <v>30</v>
      </c>
      <c r="D187" s="15">
        <v>30</v>
      </c>
      <c r="E187" s="42">
        <f t="shared" si="62"/>
        <v>60</v>
      </c>
      <c r="F187" s="29">
        <v>45637</v>
      </c>
      <c r="H187" s="5"/>
      <c r="I187" s="21"/>
      <c r="J187" s="15"/>
      <c r="K187" s="42">
        <f t="shared" si="63"/>
        <v>0</v>
      </c>
    </row>
    <row r="188" spans="2:12" x14ac:dyDescent="0.15">
      <c r="B188" s="5" t="s">
        <v>124</v>
      </c>
      <c r="C188" s="21"/>
      <c r="D188" s="15">
        <v>8</v>
      </c>
      <c r="E188" s="42">
        <f t="shared" si="62"/>
        <v>8</v>
      </c>
      <c r="F188" s="29">
        <v>45638</v>
      </c>
      <c r="H188" s="5"/>
      <c r="I188" s="21"/>
      <c r="J188" s="15"/>
      <c r="K188" s="42">
        <f t="shared" si="63"/>
        <v>0</v>
      </c>
    </row>
    <row r="189" spans="2:12" x14ac:dyDescent="0.15">
      <c r="B189" s="5" t="s">
        <v>126</v>
      </c>
      <c r="C189" s="21">
        <v>2</v>
      </c>
      <c r="D189" s="15"/>
      <c r="E189" s="42">
        <f t="shared" si="62"/>
        <v>2</v>
      </c>
      <c r="F189" s="29">
        <v>45639</v>
      </c>
      <c r="H189" s="5"/>
      <c r="I189" s="21"/>
      <c r="J189" s="15"/>
      <c r="K189" s="42">
        <f t="shared" si="63"/>
        <v>0</v>
      </c>
    </row>
    <row r="190" spans="2:12" x14ac:dyDescent="0.15">
      <c r="B190" s="5" t="s">
        <v>128</v>
      </c>
      <c r="C190" s="21"/>
      <c r="D190" s="15">
        <v>4</v>
      </c>
      <c r="E190" s="42">
        <f t="shared" si="62"/>
        <v>4</v>
      </c>
      <c r="F190" s="29">
        <v>45642</v>
      </c>
      <c r="H190" s="5"/>
      <c r="I190" s="24"/>
      <c r="J190" s="18"/>
      <c r="K190" s="42">
        <f t="shared" si="63"/>
        <v>0</v>
      </c>
    </row>
    <row r="191" spans="2:12" x14ac:dyDescent="0.15">
      <c r="B191" s="5" t="s">
        <v>129</v>
      </c>
      <c r="C191" s="21">
        <v>-10</v>
      </c>
      <c r="D191" s="15">
        <v>-20</v>
      </c>
      <c r="E191" s="42">
        <f t="shared" si="62"/>
        <v>-30</v>
      </c>
      <c r="F191" s="29">
        <v>45642</v>
      </c>
      <c r="H191" s="5"/>
      <c r="I191" s="24"/>
      <c r="J191" s="18"/>
      <c r="K191" s="42">
        <f t="shared" si="63"/>
        <v>0</v>
      </c>
    </row>
    <row r="192" spans="2:12" x14ac:dyDescent="0.15">
      <c r="B192" s="5" t="s">
        <v>130</v>
      </c>
      <c r="C192" s="21">
        <v>2</v>
      </c>
      <c r="D192" s="15">
        <v>2</v>
      </c>
      <c r="E192" s="42">
        <f t="shared" si="62"/>
        <v>4</v>
      </c>
      <c r="F192" s="29">
        <v>45644</v>
      </c>
      <c r="H192" s="5"/>
      <c r="I192" s="24"/>
      <c r="J192" s="18"/>
      <c r="K192" s="42">
        <f t="shared" si="63"/>
        <v>0</v>
      </c>
    </row>
    <row r="193" spans="2:12" x14ac:dyDescent="0.15">
      <c r="B193" s="5"/>
      <c r="C193" s="21"/>
      <c r="D193" s="15"/>
      <c r="E193" s="42">
        <f t="shared" si="62"/>
        <v>0</v>
      </c>
      <c r="F193" s="29"/>
      <c r="H193" s="5"/>
      <c r="I193" s="24"/>
      <c r="J193" s="18"/>
      <c r="K193" s="42">
        <f t="shared" si="63"/>
        <v>0</v>
      </c>
    </row>
    <row r="194" spans="2:12" x14ac:dyDescent="0.15">
      <c r="B194" s="5"/>
      <c r="C194" s="21"/>
      <c r="D194" s="15"/>
      <c r="E194" s="42">
        <f t="shared" si="62"/>
        <v>0</v>
      </c>
      <c r="F194" s="29"/>
      <c r="H194" s="5"/>
      <c r="I194" s="24"/>
      <c r="J194" s="18"/>
      <c r="K194" s="42">
        <f t="shared" si="63"/>
        <v>0</v>
      </c>
    </row>
    <row r="195" spans="2:12" x14ac:dyDescent="0.15">
      <c r="B195" s="5"/>
      <c r="C195" s="21"/>
      <c r="D195" s="15"/>
      <c r="E195" s="42">
        <f t="shared" si="62"/>
        <v>0</v>
      </c>
      <c r="F195" s="29"/>
      <c r="H195" s="5"/>
      <c r="I195" s="21"/>
      <c r="J195" s="15"/>
      <c r="K195" s="42">
        <f t="shared" si="63"/>
        <v>0</v>
      </c>
      <c r="L195" s="29"/>
    </row>
    <row r="196" spans="2:12" x14ac:dyDescent="0.15">
      <c r="B196" s="5"/>
      <c r="C196" s="21"/>
      <c r="D196" s="15"/>
      <c r="E196" s="42">
        <f t="shared" si="62"/>
        <v>0</v>
      </c>
      <c r="F196" s="29"/>
      <c r="H196" s="5"/>
      <c r="I196" s="21"/>
      <c r="J196" s="15"/>
      <c r="K196" s="42">
        <f t="shared" ref="K196:K198" si="68">SUM(I196:J196)</f>
        <v>0</v>
      </c>
      <c r="L196" s="29"/>
    </row>
    <row r="197" spans="2:12" x14ac:dyDescent="0.15">
      <c r="B197" s="5"/>
      <c r="C197" s="21"/>
      <c r="D197" s="15"/>
      <c r="E197" s="42">
        <f t="shared" si="62"/>
        <v>0</v>
      </c>
      <c r="F197" s="29"/>
      <c r="H197" s="5"/>
      <c r="I197" s="21"/>
      <c r="J197" s="15"/>
      <c r="K197" s="42">
        <f t="shared" si="68"/>
        <v>0</v>
      </c>
      <c r="L197" s="29"/>
    </row>
    <row r="198" spans="2:12" x14ac:dyDescent="0.15">
      <c r="B198" s="5"/>
      <c r="C198" s="21"/>
      <c r="D198" s="15"/>
      <c r="E198" s="42">
        <f t="shared" si="62"/>
        <v>0</v>
      </c>
      <c r="F198" s="29"/>
      <c r="H198" s="5"/>
      <c r="I198" s="21"/>
      <c r="J198" s="15"/>
      <c r="K198" s="42">
        <f t="shared" si="68"/>
        <v>0</v>
      </c>
      <c r="L198" s="29"/>
    </row>
    <row r="199" spans="2:12" x14ac:dyDescent="0.15">
      <c r="B199" s="5"/>
      <c r="C199" s="21"/>
      <c r="D199" s="15"/>
      <c r="E199" s="42">
        <f t="shared" si="62"/>
        <v>0</v>
      </c>
      <c r="F199" s="29"/>
      <c r="H199" s="61" t="s">
        <v>81</v>
      </c>
      <c r="I199" s="62"/>
      <c r="J199" s="63"/>
      <c r="K199" s="64">
        <f t="shared" si="63"/>
        <v>0</v>
      </c>
      <c r="L199" s="65"/>
    </row>
    <row r="200" spans="2:12" ht="14.25" thickBot="1" x14ac:dyDescent="0.2">
      <c r="B200" s="5"/>
      <c r="C200" s="21"/>
      <c r="D200" s="15"/>
      <c r="E200" s="42">
        <f t="shared" si="62"/>
        <v>0</v>
      </c>
      <c r="F200" s="29"/>
      <c r="H200" s="5" t="s">
        <v>132</v>
      </c>
      <c r="I200" s="21"/>
      <c r="J200" s="16"/>
      <c r="K200" s="39">
        <f t="shared" si="63"/>
        <v>0</v>
      </c>
      <c r="L200" s="29" t="s">
        <v>105</v>
      </c>
    </row>
    <row r="201" spans="2:12" ht="14.25" thickBot="1" x14ac:dyDescent="0.2">
      <c r="B201" s="4" t="s">
        <v>1</v>
      </c>
      <c r="C201" s="23">
        <f>SUM(C176:C200)</f>
        <v>80</v>
      </c>
      <c r="D201" s="17">
        <f>SUM(D176:D200)</f>
        <v>82</v>
      </c>
      <c r="E201" s="44">
        <f t="shared" si="62"/>
        <v>162</v>
      </c>
      <c r="H201" s="4" t="s">
        <v>1</v>
      </c>
      <c r="I201" s="23">
        <f>SUM(I176:I200)</f>
        <v>120</v>
      </c>
      <c r="J201" s="17">
        <f t="shared" ref="J201" si="69">SUM(J176:J200)</f>
        <v>132</v>
      </c>
      <c r="K201" s="44">
        <f t="shared" ref="K201" si="70">SUM(K176:K200)</f>
        <v>252</v>
      </c>
    </row>
    <row r="202" spans="2:12" ht="14.25" thickBot="1" x14ac:dyDescent="0.2">
      <c r="B202" s="3" t="s">
        <v>0</v>
      </c>
      <c r="C202" s="26">
        <f>+C175-C201</f>
        <v>21</v>
      </c>
      <c r="D202" s="2">
        <f>+D175-D201</f>
        <v>20</v>
      </c>
      <c r="E202" s="45">
        <f t="shared" si="62"/>
        <v>41</v>
      </c>
      <c r="H202" s="3" t="s">
        <v>0</v>
      </c>
      <c r="I202" s="26">
        <f>+I175-I201</f>
        <v>98</v>
      </c>
      <c r="J202" s="2">
        <f t="shared" ref="J202" si="71">+J175-J201</f>
        <v>42</v>
      </c>
      <c r="K202" s="45">
        <f t="shared" ref="K202" si="72">+K175-K201</f>
        <v>140</v>
      </c>
    </row>
    <row r="206" spans="2:12" ht="18.75" x14ac:dyDescent="0.2">
      <c r="B206" s="13" t="s">
        <v>9</v>
      </c>
      <c r="C206" s="12"/>
      <c r="D206" s="12"/>
      <c r="E206" s="59"/>
      <c r="F206" s="66" t="s">
        <v>102</v>
      </c>
      <c r="H206" s="48" t="s">
        <v>10</v>
      </c>
      <c r="I206" s="49"/>
      <c r="J206" s="49"/>
      <c r="K206" s="60"/>
      <c r="L206" s="66" t="s">
        <v>102</v>
      </c>
    </row>
    <row r="207" spans="2:12" ht="15" thickBot="1" x14ac:dyDescent="0.2">
      <c r="B207" s="52" t="s">
        <v>16</v>
      </c>
      <c r="C207" s="12"/>
      <c r="D207" s="67" t="s">
        <v>103</v>
      </c>
      <c r="E207" s="68"/>
      <c r="F207" s="66" t="s">
        <v>101</v>
      </c>
      <c r="H207" s="53" t="s">
        <v>16</v>
      </c>
      <c r="I207" s="49"/>
      <c r="J207" s="69" t="s">
        <v>103</v>
      </c>
      <c r="K207" s="70"/>
      <c r="L207" s="66" t="s">
        <v>101</v>
      </c>
    </row>
    <row r="208" spans="2:12" ht="14.25" thickBot="1" x14ac:dyDescent="0.2">
      <c r="B208" s="11"/>
      <c r="C208" s="96" t="s">
        <v>6</v>
      </c>
      <c r="D208" s="97"/>
      <c r="E208" s="98"/>
      <c r="H208" s="11"/>
      <c r="I208" s="96" t="s">
        <v>6</v>
      </c>
      <c r="J208" s="97"/>
      <c r="K208" s="98"/>
    </row>
    <row r="209" spans="2:12" ht="19.5" thickBot="1" x14ac:dyDescent="0.25">
      <c r="B209" s="10"/>
      <c r="C209" s="19" t="s">
        <v>7</v>
      </c>
      <c r="D209" s="58" t="s">
        <v>8</v>
      </c>
      <c r="E209" s="37" t="s">
        <v>4</v>
      </c>
      <c r="H209" s="10"/>
      <c r="I209" s="19" t="s">
        <v>7</v>
      </c>
      <c r="J209" s="58" t="s">
        <v>8</v>
      </c>
      <c r="K209" s="37" t="s">
        <v>4</v>
      </c>
    </row>
    <row r="210" spans="2:12" x14ac:dyDescent="0.15">
      <c r="B210" s="34" t="s">
        <v>0</v>
      </c>
      <c r="C210" s="35">
        <f>C202</f>
        <v>21</v>
      </c>
      <c r="D210" s="36">
        <f t="shared" ref="D210:E210" si="73">D202</f>
        <v>20</v>
      </c>
      <c r="E210" s="46">
        <f t="shared" si="73"/>
        <v>41</v>
      </c>
      <c r="H210" s="34" t="s">
        <v>0</v>
      </c>
      <c r="I210" s="35">
        <f>I202</f>
        <v>98</v>
      </c>
      <c r="J210" s="36">
        <f t="shared" ref="J210:K210" si="74">J202</f>
        <v>42</v>
      </c>
      <c r="K210" s="46">
        <f t="shared" si="74"/>
        <v>140</v>
      </c>
    </row>
    <row r="211" spans="2:12" x14ac:dyDescent="0.15">
      <c r="B211" s="8" t="s">
        <v>133</v>
      </c>
      <c r="C211" s="21">
        <v>2</v>
      </c>
      <c r="D211" s="15">
        <v>2</v>
      </c>
      <c r="E211" s="39">
        <f t="shared" ref="E211:E243" si="75">SUM(C211:D211)</f>
        <v>4</v>
      </c>
      <c r="F211" s="29">
        <v>45645</v>
      </c>
      <c r="H211" s="7" t="s">
        <v>3</v>
      </c>
      <c r="I211" s="22">
        <v>180</v>
      </c>
      <c r="J211" s="16">
        <v>150</v>
      </c>
      <c r="K211" s="39">
        <f t="shared" ref="K211:K212" si="76">SUM(I211:J211)</f>
        <v>330</v>
      </c>
      <c r="L211" s="57" t="s">
        <v>127</v>
      </c>
    </row>
    <row r="212" spans="2:12" x14ac:dyDescent="0.15">
      <c r="B212" s="8" t="s">
        <v>139</v>
      </c>
      <c r="C212" s="21">
        <v>3</v>
      </c>
      <c r="D212" s="15"/>
      <c r="E212" s="39">
        <f t="shared" si="75"/>
        <v>3</v>
      </c>
      <c r="F212" s="29">
        <v>45652</v>
      </c>
      <c r="H212" s="8" t="s">
        <v>3</v>
      </c>
      <c r="I212" s="21"/>
      <c r="J212" s="15"/>
      <c r="K212" s="56">
        <f t="shared" si="76"/>
        <v>0</v>
      </c>
    </row>
    <row r="213" spans="2:12" x14ac:dyDescent="0.15">
      <c r="B213" s="8" t="s">
        <v>3</v>
      </c>
      <c r="C213" s="21"/>
      <c r="D213" s="15">
        <v>10</v>
      </c>
      <c r="E213" s="39">
        <f t="shared" si="75"/>
        <v>10</v>
      </c>
      <c r="F213" s="29">
        <v>45664</v>
      </c>
      <c r="H213" s="8" t="s">
        <v>3</v>
      </c>
      <c r="I213" s="21"/>
      <c r="J213" s="15"/>
      <c r="K213" s="56">
        <f t="shared" ref="K213:K237" si="77">SUM(I213:J213)</f>
        <v>0</v>
      </c>
    </row>
    <row r="214" spans="2:12" x14ac:dyDescent="0.15">
      <c r="B214" s="8" t="s">
        <v>70</v>
      </c>
      <c r="C214" s="21">
        <v>10</v>
      </c>
      <c r="D214" s="15"/>
      <c r="E214" s="39">
        <f t="shared" si="75"/>
        <v>10</v>
      </c>
      <c r="H214" s="8" t="s">
        <v>3</v>
      </c>
      <c r="I214" s="21"/>
      <c r="J214" s="15"/>
      <c r="K214" s="56">
        <f t="shared" ref="K214" si="78">SUM(I214:J214)</f>
        <v>0</v>
      </c>
    </row>
    <row r="215" spans="2:12" ht="14.25" thickBot="1" x14ac:dyDescent="0.2">
      <c r="B215" s="8" t="s">
        <v>3</v>
      </c>
      <c r="C215" s="21"/>
      <c r="D215" s="15"/>
      <c r="E215" s="39">
        <f t="shared" si="75"/>
        <v>0</v>
      </c>
      <c r="H215" s="8" t="s">
        <v>3</v>
      </c>
      <c r="I215" s="21"/>
      <c r="J215" s="15"/>
      <c r="K215" s="40">
        <f t="shared" si="77"/>
        <v>0</v>
      </c>
    </row>
    <row r="216" spans="2:12" ht="14.25" thickBot="1" x14ac:dyDescent="0.2">
      <c r="B216" s="31" t="s">
        <v>2</v>
      </c>
      <c r="C216" s="32">
        <f>SUM(C210:C215)</f>
        <v>36</v>
      </c>
      <c r="D216" s="33">
        <f>SUM(D210:D215)</f>
        <v>32</v>
      </c>
      <c r="E216" s="41">
        <f t="shared" si="75"/>
        <v>68</v>
      </c>
      <c r="H216" s="31" t="s">
        <v>2</v>
      </c>
      <c r="I216" s="32">
        <f>SUM(I210:I215)</f>
        <v>278</v>
      </c>
      <c r="J216" s="33">
        <f t="shared" ref="J216" si="79">SUM(J210:J215)</f>
        <v>192</v>
      </c>
      <c r="K216" s="41">
        <f t="shared" ref="K216" si="80">SUM(K210:K215)</f>
        <v>470</v>
      </c>
    </row>
    <row r="217" spans="2:12" x14ac:dyDescent="0.15">
      <c r="B217" s="5" t="s">
        <v>134</v>
      </c>
      <c r="C217" s="21"/>
      <c r="D217" s="15">
        <v>2</v>
      </c>
      <c r="E217" s="42">
        <f t="shared" si="75"/>
        <v>2</v>
      </c>
      <c r="F217" s="29">
        <v>45649</v>
      </c>
      <c r="H217" s="5" t="s">
        <v>131</v>
      </c>
      <c r="I217" s="21">
        <v>80</v>
      </c>
      <c r="J217" s="15">
        <v>60</v>
      </c>
      <c r="K217" s="42">
        <f t="shared" si="77"/>
        <v>140</v>
      </c>
      <c r="L217" s="57">
        <v>45645</v>
      </c>
    </row>
    <row r="218" spans="2:12" x14ac:dyDescent="0.15">
      <c r="B218" s="5" t="s">
        <v>135</v>
      </c>
      <c r="C218" s="21"/>
      <c r="D218" s="15">
        <v>2</v>
      </c>
      <c r="E218" s="42">
        <f t="shared" si="75"/>
        <v>2</v>
      </c>
      <c r="F218" s="29">
        <v>45651</v>
      </c>
      <c r="H218" s="5" t="s">
        <v>13</v>
      </c>
      <c r="I218" s="21"/>
      <c r="J218" s="15">
        <v>10</v>
      </c>
      <c r="K218" s="42">
        <f t="shared" si="77"/>
        <v>10</v>
      </c>
      <c r="L218" s="57">
        <v>45664</v>
      </c>
    </row>
    <row r="219" spans="2:12" x14ac:dyDescent="0.15">
      <c r="B219" s="5" t="s">
        <v>136</v>
      </c>
      <c r="C219" s="21">
        <v>2</v>
      </c>
      <c r="D219" s="15">
        <v>2</v>
      </c>
      <c r="E219" s="42">
        <f t="shared" si="75"/>
        <v>4</v>
      </c>
      <c r="F219" s="29">
        <v>45652</v>
      </c>
      <c r="H219" s="5"/>
      <c r="I219" s="21"/>
      <c r="J219" s="15"/>
      <c r="K219" s="42">
        <f t="shared" ref="K219" si="81">SUM(I219:J219)</f>
        <v>0</v>
      </c>
    </row>
    <row r="220" spans="2:12" x14ac:dyDescent="0.15">
      <c r="B220" s="5" t="s">
        <v>137</v>
      </c>
      <c r="C220" s="21"/>
      <c r="D220" s="15">
        <v>2</v>
      </c>
      <c r="E220" s="42">
        <f t="shared" si="75"/>
        <v>2</v>
      </c>
      <c r="F220" s="29">
        <v>45653</v>
      </c>
      <c r="H220" s="5"/>
      <c r="I220" s="21"/>
      <c r="J220" s="15"/>
      <c r="K220" s="42">
        <f t="shared" si="77"/>
        <v>0</v>
      </c>
    </row>
    <row r="221" spans="2:12" x14ac:dyDescent="0.15">
      <c r="B221" s="5" t="s">
        <v>138</v>
      </c>
      <c r="C221" s="21">
        <v>2</v>
      </c>
      <c r="D221" s="15">
        <v>6</v>
      </c>
      <c r="E221" s="42">
        <f t="shared" si="75"/>
        <v>8</v>
      </c>
      <c r="F221" s="29">
        <v>45653</v>
      </c>
      <c r="H221" s="5"/>
      <c r="I221" s="21"/>
      <c r="J221" s="15"/>
      <c r="K221" s="42">
        <f t="shared" si="77"/>
        <v>0</v>
      </c>
    </row>
    <row r="222" spans="2:12" x14ac:dyDescent="0.15">
      <c r="B222" s="5" t="s">
        <v>140</v>
      </c>
      <c r="C222" s="21"/>
      <c r="D222" s="15">
        <v>2</v>
      </c>
      <c r="E222" s="42">
        <f t="shared" si="75"/>
        <v>2</v>
      </c>
      <c r="F222" s="29">
        <v>45297</v>
      </c>
      <c r="H222" s="5"/>
      <c r="I222" s="21"/>
      <c r="J222" s="15"/>
      <c r="K222" s="42">
        <f t="shared" si="77"/>
        <v>0</v>
      </c>
    </row>
    <row r="223" spans="2:12" x14ac:dyDescent="0.15">
      <c r="B223" s="5" t="s">
        <v>141</v>
      </c>
      <c r="C223" s="21"/>
      <c r="D223" s="15">
        <v>2</v>
      </c>
      <c r="E223" s="42">
        <f t="shared" si="75"/>
        <v>2</v>
      </c>
      <c r="F223" s="29">
        <v>45663</v>
      </c>
      <c r="H223" s="5"/>
      <c r="I223" s="21"/>
      <c r="J223" s="15"/>
      <c r="K223" s="42">
        <f t="shared" si="77"/>
        <v>0</v>
      </c>
    </row>
    <row r="224" spans="2:12" x14ac:dyDescent="0.15">
      <c r="B224" s="5"/>
      <c r="C224" s="21"/>
      <c r="D224" s="15"/>
      <c r="E224" s="42">
        <f t="shared" si="75"/>
        <v>0</v>
      </c>
      <c r="H224" s="5"/>
      <c r="I224" s="21"/>
      <c r="J224" s="15"/>
      <c r="K224" s="42">
        <f t="shared" si="77"/>
        <v>0</v>
      </c>
    </row>
    <row r="225" spans="2:12" x14ac:dyDescent="0.15">
      <c r="B225" s="5"/>
      <c r="C225" s="21"/>
      <c r="D225" s="15"/>
      <c r="E225" s="42">
        <f t="shared" si="75"/>
        <v>0</v>
      </c>
      <c r="H225" s="5"/>
      <c r="I225" s="21"/>
      <c r="J225" s="15"/>
      <c r="K225" s="42">
        <f t="shared" si="77"/>
        <v>0</v>
      </c>
    </row>
    <row r="226" spans="2:12" x14ac:dyDescent="0.15">
      <c r="B226" s="5"/>
      <c r="C226" s="21"/>
      <c r="D226" s="15"/>
      <c r="E226" s="42">
        <f t="shared" si="75"/>
        <v>0</v>
      </c>
      <c r="H226" s="5"/>
      <c r="I226" s="21"/>
      <c r="J226" s="15"/>
      <c r="K226" s="42">
        <f t="shared" si="77"/>
        <v>0</v>
      </c>
    </row>
    <row r="227" spans="2:12" x14ac:dyDescent="0.15">
      <c r="B227" s="5"/>
      <c r="C227" s="21"/>
      <c r="D227" s="15"/>
      <c r="E227" s="42">
        <f t="shared" si="75"/>
        <v>0</v>
      </c>
      <c r="H227" s="5"/>
      <c r="I227" s="24"/>
      <c r="J227" s="18"/>
      <c r="K227" s="42">
        <f t="shared" si="77"/>
        <v>0</v>
      </c>
    </row>
    <row r="228" spans="2:12" x14ac:dyDescent="0.15">
      <c r="B228" s="5"/>
      <c r="C228" s="21"/>
      <c r="D228" s="15"/>
      <c r="E228" s="42">
        <f t="shared" si="75"/>
        <v>0</v>
      </c>
      <c r="H228" s="5"/>
      <c r="I228" s="24"/>
      <c r="J228" s="18"/>
      <c r="K228" s="42">
        <f t="shared" si="77"/>
        <v>0</v>
      </c>
    </row>
    <row r="229" spans="2:12" x14ac:dyDescent="0.15">
      <c r="B229" s="5"/>
      <c r="C229" s="21"/>
      <c r="D229" s="15"/>
      <c r="E229" s="42">
        <f t="shared" si="75"/>
        <v>0</v>
      </c>
      <c r="H229" s="5"/>
      <c r="I229" s="21"/>
      <c r="J229" s="15"/>
      <c r="K229" s="42">
        <f t="shared" si="77"/>
        <v>0</v>
      </c>
    </row>
    <row r="230" spans="2:12" x14ac:dyDescent="0.15">
      <c r="B230" s="5"/>
      <c r="C230" s="21"/>
      <c r="D230" s="15"/>
      <c r="E230" s="42">
        <f t="shared" si="75"/>
        <v>0</v>
      </c>
      <c r="H230" s="5"/>
      <c r="I230" s="24"/>
      <c r="J230" s="18"/>
      <c r="K230" s="42">
        <f t="shared" si="77"/>
        <v>0</v>
      </c>
    </row>
    <row r="231" spans="2:12" x14ac:dyDescent="0.15">
      <c r="B231" s="5"/>
      <c r="C231" s="21"/>
      <c r="D231" s="15"/>
      <c r="E231" s="42">
        <f t="shared" si="75"/>
        <v>0</v>
      </c>
      <c r="H231" s="5"/>
      <c r="I231" s="24"/>
      <c r="J231" s="18"/>
      <c r="K231" s="42">
        <f t="shared" si="77"/>
        <v>0</v>
      </c>
    </row>
    <row r="232" spans="2:12" x14ac:dyDescent="0.15">
      <c r="B232" s="5"/>
      <c r="C232" s="21"/>
      <c r="D232" s="15"/>
      <c r="E232" s="42">
        <f t="shared" si="75"/>
        <v>0</v>
      </c>
      <c r="H232" s="5"/>
      <c r="I232" s="24"/>
      <c r="J232" s="18"/>
      <c r="K232" s="42">
        <f t="shared" si="77"/>
        <v>0</v>
      </c>
    </row>
    <row r="233" spans="2:12" x14ac:dyDescent="0.15">
      <c r="B233" s="5"/>
      <c r="C233" s="21"/>
      <c r="D233" s="15"/>
      <c r="E233" s="42">
        <f t="shared" si="75"/>
        <v>0</v>
      </c>
      <c r="H233" s="5"/>
      <c r="I233" s="24"/>
      <c r="J233" s="18"/>
      <c r="K233" s="42">
        <f t="shared" si="77"/>
        <v>0</v>
      </c>
    </row>
    <row r="234" spans="2:12" x14ac:dyDescent="0.15">
      <c r="B234" s="5"/>
      <c r="C234" s="21"/>
      <c r="D234" s="15"/>
      <c r="E234" s="42">
        <f t="shared" si="75"/>
        <v>0</v>
      </c>
      <c r="H234" s="5"/>
      <c r="I234" s="24"/>
      <c r="J234" s="18"/>
      <c r="K234" s="42">
        <f t="shared" si="77"/>
        <v>0</v>
      </c>
    </row>
    <row r="235" spans="2:12" x14ac:dyDescent="0.15">
      <c r="B235" s="5"/>
      <c r="C235" s="21"/>
      <c r="D235" s="15"/>
      <c r="E235" s="42">
        <f t="shared" si="75"/>
        <v>0</v>
      </c>
      <c r="H235" s="5"/>
      <c r="I235" s="24"/>
      <c r="J235" s="18"/>
      <c r="K235" s="42">
        <f t="shared" si="77"/>
        <v>0</v>
      </c>
    </row>
    <row r="236" spans="2:12" x14ac:dyDescent="0.15">
      <c r="B236" s="5"/>
      <c r="C236" s="21"/>
      <c r="D236" s="15"/>
      <c r="E236" s="42">
        <f t="shared" si="75"/>
        <v>0</v>
      </c>
      <c r="H236" s="5"/>
      <c r="I236" s="24"/>
      <c r="J236" s="18"/>
      <c r="K236" s="42">
        <f t="shared" si="77"/>
        <v>0</v>
      </c>
    </row>
    <row r="237" spans="2:12" x14ac:dyDescent="0.15">
      <c r="B237" s="5"/>
      <c r="C237" s="21"/>
      <c r="D237" s="15"/>
      <c r="E237" s="42">
        <f t="shared" si="75"/>
        <v>0</v>
      </c>
      <c r="H237" s="5"/>
      <c r="I237" s="24"/>
      <c r="J237" s="18"/>
      <c r="K237" s="42">
        <f t="shared" si="77"/>
        <v>0</v>
      </c>
    </row>
    <row r="238" spans="2:12" x14ac:dyDescent="0.15">
      <c r="B238" s="5"/>
      <c r="C238" s="21"/>
      <c r="D238" s="15"/>
      <c r="E238" s="42">
        <f t="shared" si="75"/>
        <v>0</v>
      </c>
      <c r="H238" s="5"/>
      <c r="I238" s="24"/>
      <c r="J238" s="18"/>
      <c r="K238" s="42">
        <f t="shared" ref="K238:K239" si="82">SUM(I238:J238)</f>
        <v>0</v>
      </c>
    </row>
    <row r="239" spans="2:12" x14ac:dyDescent="0.15">
      <c r="B239" s="5"/>
      <c r="C239" s="21"/>
      <c r="D239" s="15"/>
      <c r="E239" s="42">
        <f t="shared" si="75"/>
        <v>0</v>
      </c>
      <c r="H239" s="5"/>
      <c r="I239" s="24"/>
      <c r="J239" s="18"/>
      <c r="K239" s="42">
        <f t="shared" si="82"/>
        <v>0</v>
      </c>
    </row>
    <row r="240" spans="2:12" x14ac:dyDescent="0.15">
      <c r="B240" s="5"/>
      <c r="C240" s="21"/>
      <c r="D240" s="15"/>
      <c r="E240" s="42">
        <f t="shared" si="75"/>
        <v>0</v>
      </c>
      <c r="H240" s="61" t="s">
        <v>82</v>
      </c>
      <c r="I240" s="62"/>
      <c r="J240" s="63"/>
      <c r="K240" s="72">
        <f t="shared" ref="K240:K241" si="83">SUM(I240:J240)</f>
        <v>0</v>
      </c>
      <c r="L240" s="29"/>
    </row>
    <row r="241" spans="2:12" ht="14.25" thickBot="1" x14ac:dyDescent="0.2">
      <c r="B241" s="5"/>
      <c r="C241" s="21"/>
      <c r="D241" s="15"/>
      <c r="E241" s="42">
        <f t="shared" si="75"/>
        <v>0</v>
      </c>
      <c r="H241" s="5" t="s">
        <v>71</v>
      </c>
      <c r="I241" s="21"/>
      <c r="J241" s="15"/>
      <c r="K241" s="73">
        <f t="shared" si="83"/>
        <v>0</v>
      </c>
      <c r="L241" s="29" t="s">
        <v>72</v>
      </c>
    </row>
    <row r="242" spans="2:12" ht="14.25" thickBot="1" x14ac:dyDescent="0.2">
      <c r="B242" s="4" t="s">
        <v>1</v>
      </c>
      <c r="C242" s="23">
        <f>SUM(C217:C241)</f>
        <v>4</v>
      </c>
      <c r="D242" s="17">
        <f>SUM(D217:D241)</f>
        <v>18</v>
      </c>
      <c r="E242" s="44">
        <f t="shared" si="75"/>
        <v>22</v>
      </c>
      <c r="H242" s="4" t="s">
        <v>1</v>
      </c>
      <c r="I242" s="23">
        <f>SUM(I217:I241)</f>
        <v>80</v>
      </c>
      <c r="J242" s="17">
        <f t="shared" ref="J242" si="84">SUM(J217:J241)</f>
        <v>70</v>
      </c>
      <c r="K242" s="44">
        <f t="shared" ref="K242" si="85">SUM(K217:K241)</f>
        <v>150</v>
      </c>
    </row>
    <row r="243" spans="2:12" ht="14.25" thickBot="1" x14ac:dyDescent="0.2">
      <c r="B243" s="3" t="s">
        <v>0</v>
      </c>
      <c r="C243" s="26">
        <f>+C216-C242</f>
        <v>32</v>
      </c>
      <c r="D243" s="2">
        <f>+D216-D242</f>
        <v>14</v>
      </c>
      <c r="E243" s="45">
        <f t="shared" si="75"/>
        <v>46</v>
      </c>
      <c r="H243" s="3" t="s">
        <v>0</v>
      </c>
      <c r="I243" s="26">
        <f>+I216-I242</f>
        <v>198</v>
      </c>
      <c r="J243" s="2">
        <f t="shared" ref="J243" si="86">+J216-J242</f>
        <v>122</v>
      </c>
      <c r="K243" s="45">
        <f t="shared" ref="K243" si="87">+K216-K242</f>
        <v>320</v>
      </c>
    </row>
    <row r="247" spans="2:12" ht="18.75" x14ac:dyDescent="0.2">
      <c r="B247" s="13" t="s">
        <v>9</v>
      </c>
      <c r="C247" s="12"/>
      <c r="D247" s="12"/>
      <c r="E247" s="59"/>
      <c r="F247" s="66" t="s">
        <v>102</v>
      </c>
      <c r="H247" s="48" t="s">
        <v>10</v>
      </c>
      <c r="I247" s="49"/>
      <c r="J247" s="49"/>
      <c r="K247" s="60"/>
      <c r="L247" s="66" t="s">
        <v>102</v>
      </c>
    </row>
    <row r="248" spans="2:12" ht="15" thickBot="1" x14ac:dyDescent="0.2">
      <c r="B248" s="52" t="s">
        <v>16</v>
      </c>
      <c r="C248" s="12"/>
      <c r="D248" s="67" t="s">
        <v>103</v>
      </c>
      <c r="E248" s="68"/>
      <c r="F248" s="66" t="s">
        <v>101</v>
      </c>
      <c r="H248" s="53" t="s">
        <v>16</v>
      </c>
      <c r="I248" s="49"/>
      <c r="J248" s="69" t="s">
        <v>103</v>
      </c>
      <c r="K248" s="70"/>
      <c r="L248" s="66" t="s">
        <v>101</v>
      </c>
    </row>
    <row r="249" spans="2:12" ht="14.25" thickBot="1" x14ac:dyDescent="0.2">
      <c r="B249" s="11"/>
      <c r="C249" s="96" t="s">
        <v>6</v>
      </c>
      <c r="D249" s="97"/>
      <c r="E249" s="98"/>
      <c r="H249" s="11"/>
      <c r="I249" s="96" t="s">
        <v>6</v>
      </c>
      <c r="J249" s="97"/>
      <c r="K249" s="98"/>
    </row>
    <row r="250" spans="2:12" ht="19.5" thickBot="1" x14ac:dyDescent="0.25">
      <c r="B250" s="10"/>
      <c r="C250" s="19" t="s">
        <v>7</v>
      </c>
      <c r="D250" s="58" t="s">
        <v>8</v>
      </c>
      <c r="E250" s="37" t="s">
        <v>4</v>
      </c>
      <c r="H250" s="10"/>
      <c r="I250" s="19" t="s">
        <v>7</v>
      </c>
      <c r="J250" s="58" t="s">
        <v>8</v>
      </c>
      <c r="K250" s="37" t="s">
        <v>4</v>
      </c>
    </row>
    <row r="251" spans="2:12" x14ac:dyDescent="0.15">
      <c r="B251" s="34" t="s">
        <v>0</v>
      </c>
      <c r="C251" s="35">
        <f>C243</f>
        <v>32</v>
      </c>
      <c r="D251" s="36">
        <f t="shared" ref="D251:E251" si="88">D243</f>
        <v>14</v>
      </c>
      <c r="E251" s="46">
        <f t="shared" si="88"/>
        <v>46</v>
      </c>
      <c r="H251" s="34" t="s">
        <v>0</v>
      </c>
      <c r="I251" s="35">
        <f>I243</f>
        <v>198</v>
      </c>
      <c r="J251" s="36">
        <f t="shared" ref="J251:K251" si="89">J243</f>
        <v>122</v>
      </c>
      <c r="K251" s="46">
        <f t="shared" si="89"/>
        <v>320</v>
      </c>
    </row>
    <row r="252" spans="2:12" x14ac:dyDescent="0.15">
      <c r="B252" s="8" t="s">
        <v>3</v>
      </c>
      <c r="C252" s="21">
        <v>10</v>
      </c>
      <c r="D252" s="15">
        <v>20</v>
      </c>
      <c r="E252" s="39">
        <f t="shared" ref="E252:E284" si="90">SUM(C252:D252)</f>
        <v>30</v>
      </c>
      <c r="F252" s="29">
        <v>45672</v>
      </c>
      <c r="H252" s="8" t="s">
        <v>3</v>
      </c>
      <c r="I252" s="21"/>
      <c r="J252" s="15"/>
      <c r="K252" s="56">
        <f t="shared" ref="K252:K253" si="91">SUM(I252:J252)</f>
        <v>0</v>
      </c>
    </row>
    <row r="253" spans="2:12" x14ac:dyDescent="0.15">
      <c r="B253" s="8" t="s">
        <v>3</v>
      </c>
      <c r="C253" s="21">
        <v>24</v>
      </c>
      <c r="D253" s="15">
        <v>14</v>
      </c>
      <c r="E253" s="39">
        <v>15</v>
      </c>
      <c r="F253" s="29">
        <v>45685</v>
      </c>
      <c r="H253" s="8" t="s">
        <v>3</v>
      </c>
      <c r="I253" s="21"/>
      <c r="J253" s="15"/>
      <c r="K253" s="56">
        <f t="shared" si="91"/>
        <v>0</v>
      </c>
    </row>
    <row r="254" spans="2:12" x14ac:dyDescent="0.15">
      <c r="B254" s="8" t="s">
        <v>3</v>
      </c>
      <c r="C254" s="21">
        <v>30</v>
      </c>
      <c r="D254" s="15"/>
      <c r="E254" s="39">
        <f t="shared" si="90"/>
        <v>30</v>
      </c>
      <c r="F254" s="29">
        <v>45686</v>
      </c>
      <c r="H254" s="8" t="s">
        <v>3</v>
      </c>
      <c r="I254" s="21">
        <v>50</v>
      </c>
      <c r="J254" s="15">
        <v>50</v>
      </c>
      <c r="K254" s="56">
        <f t="shared" ref="K254:K282" si="92">SUM(I254:J254)</f>
        <v>100</v>
      </c>
      <c r="L254" s="57" t="s">
        <v>156</v>
      </c>
    </row>
    <row r="255" spans="2:12" x14ac:dyDescent="0.15">
      <c r="B255" s="8" t="s">
        <v>38</v>
      </c>
      <c r="C255" s="21"/>
      <c r="D255" s="15">
        <v>2</v>
      </c>
      <c r="E255" s="39">
        <f t="shared" si="90"/>
        <v>2</v>
      </c>
      <c r="F255" s="29">
        <v>45687</v>
      </c>
      <c r="H255" s="8" t="s">
        <v>3</v>
      </c>
      <c r="I255" s="21">
        <v>200</v>
      </c>
      <c r="J255" s="15">
        <v>300</v>
      </c>
      <c r="K255" s="39">
        <f t="shared" si="92"/>
        <v>500</v>
      </c>
      <c r="L255" s="57" t="s">
        <v>156</v>
      </c>
    </row>
    <row r="256" spans="2:12" ht="14.25" thickBot="1" x14ac:dyDescent="0.2">
      <c r="B256" s="8" t="s">
        <v>167</v>
      </c>
      <c r="C256" s="21">
        <v>9</v>
      </c>
      <c r="D256" s="15">
        <v>6</v>
      </c>
      <c r="E256" s="39">
        <f t="shared" si="90"/>
        <v>15</v>
      </c>
      <c r="F256" s="29">
        <v>45687</v>
      </c>
      <c r="H256" s="8" t="s">
        <v>3</v>
      </c>
      <c r="I256" s="21">
        <v>52</v>
      </c>
      <c r="J256" s="15"/>
      <c r="K256" s="40">
        <f t="shared" si="92"/>
        <v>52</v>
      </c>
      <c r="L256" s="57" t="s">
        <v>156</v>
      </c>
    </row>
    <row r="257" spans="2:12" ht="14.25" thickBot="1" x14ac:dyDescent="0.2">
      <c r="B257" s="31" t="s">
        <v>2</v>
      </c>
      <c r="C257" s="32">
        <f>SUM(C251:C256)</f>
        <v>105</v>
      </c>
      <c r="D257" s="33">
        <f>SUM(D251:D256)</f>
        <v>56</v>
      </c>
      <c r="E257" s="41">
        <f t="shared" si="90"/>
        <v>161</v>
      </c>
      <c r="H257" s="31" t="s">
        <v>2</v>
      </c>
      <c r="I257" s="32">
        <f>SUM(I251:I256)</f>
        <v>500</v>
      </c>
      <c r="J257" s="33">
        <f t="shared" ref="J257" si="93">SUM(J251:J256)</f>
        <v>472</v>
      </c>
      <c r="K257" s="41">
        <f t="shared" ref="K257" si="94">SUM(K251:K256)</f>
        <v>972</v>
      </c>
    </row>
    <row r="258" spans="2:12" x14ac:dyDescent="0.15">
      <c r="B258" s="5" t="s">
        <v>152</v>
      </c>
      <c r="C258" s="21"/>
      <c r="D258" s="15">
        <v>6</v>
      </c>
      <c r="E258" s="42">
        <f t="shared" si="90"/>
        <v>6</v>
      </c>
      <c r="F258" s="29">
        <v>45667</v>
      </c>
      <c r="H258" s="5" t="s">
        <v>150</v>
      </c>
      <c r="I258" s="21"/>
      <c r="J258" s="15">
        <v>4</v>
      </c>
      <c r="K258" s="42">
        <f t="shared" si="92"/>
        <v>4</v>
      </c>
      <c r="L258" s="57">
        <v>45667</v>
      </c>
    </row>
    <row r="259" spans="2:12" x14ac:dyDescent="0.15">
      <c r="B259" s="5" t="s">
        <v>153</v>
      </c>
      <c r="C259" s="21">
        <v>10</v>
      </c>
      <c r="D259" s="15"/>
      <c r="E259" s="42">
        <f t="shared" si="90"/>
        <v>10</v>
      </c>
      <c r="F259" s="29">
        <v>45667</v>
      </c>
      <c r="H259" s="5" t="s">
        <v>151</v>
      </c>
      <c r="I259" s="21">
        <v>50</v>
      </c>
      <c r="J259" s="15">
        <v>72</v>
      </c>
      <c r="K259" s="42">
        <f t="shared" si="92"/>
        <v>122</v>
      </c>
      <c r="L259" s="57">
        <v>45666</v>
      </c>
    </row>
    <row r="260" spans="2:12" x14ac:dyDescent="0.15">
      <c r="B260" s="5" t="s">
        <v>157</v>
      </c>
      <c r="C260" s="21">
        <v>2</v>
      </c>
      <c r="D260" s="15">
        <v>4</v>
      </c>
      <c r="E260" s="42">
        <f t="shared" si="90"/>
        <v>6</v>
      </c>
      <c r="F260" s="29">
        <v>45673</v>
      </c>
      <c r="H260" s="5" t="s">
        <v>13</v>
      </c>
      <c r="I260" s="21">
        <v>10</v>
      </c>
      <c r="J260" s="15">
        <v>20</v>
      </c>
      <c r="K260" s="42">
        <f t="shared" si="92"/>
        <v>30</v>
      </c>
      <c r="L260" s="57">
        <v>45672</v>
      </c>
    </row>
    <row r="261" spans="2:12" x14ac:dyDescent="0.15">
      <c r="B261" s="5" t="s">
        <v>160</v>
      </c>
      <c r="C261" s="21">
        <v>8</v>
      </c>
      <c r="D261" s="15"/>
      <c r="E261" s="42">
        <f t="shared" si="90"/>
        <v>8</v>
      </c>
      <c r="F261" s="29">
        <v>45686</v>
      </c>
      <c r="H261" s="5" t="s">
        <v>158</v>
      </c>
      <c r="I261" s="21">
        <v>26</v>
      </c>
      <c r="J261" s="15">
        <v>30</v>
      </c>
      <c r="K261" s="42">
        <f t="shared" si="92"/>
        <v>56</v>
      </c>
      <c r="L261" s="57">
        <v>45674</v>
      </c>
    </row>
    <row r="262" spans="2:12" x14ac:dyDescent="0.15">
      <c r="B262" s="5" t="s">
        <v>165</v>
      </c>
      <c r="C262" s="21">
        <v>24</v>
      </c>
      <c r="D262" s="15">
        <v>24</v>
      </c>
      <c r="E262" s="42">
        <f t="shared" si="90"/>
        <v>48</v>
      </c>
      <c r="F262" s="29">
        <v>45686</v>
      </c>
      <c r="H262" s="5" t="s">
        <v>13</v>
      </c>
      <c r="I262" s="21">
        <v>24</v>
      </c>
      <c r="J262" s="15">
        <v>14</v>
      </c>
      <c r="K262" s="42">
        <f t="shared" ref="K262" si="95">SUM(I262:J262)</f>
        <v>38</v>
      </c>
      <c r="L262" s="57">
        <v>45685</v>
      </c>
    </row>
    <row r="263" spans="2:12" x14ac:dyDescent="0.15">
      <c r="B263" s="5" t="s">
        <v>164</v>
      </c>
      <c r="C263" s="21">
        <v>30</v>
      </c>
      <c r="D263" s="15"/>
      <c r="E263" s="42">
        <f t="shared" si="90"/>
        <v>30</v>
      </c>
      <c r="F263" s="29">
        <v>45687</v>
      </c>
      <c r="H263" s="5" t="s">
        <v>13</v>
      </c>
      <c r="I263" s="21">
        <v>30</v>
      </c>
      <c r="J263" s="15"/>
      <c r="K263" s="42">
        <f t="shared" si="92"/>
        <v>30</v>
      </c>
      <c r="L263" s="57">
        <v>45686</v>
      </c>
    </row>
    <row r="264" spans="2:12" x14ac:dyDescent="0.15">
      <c r="B264" s="5" t="s">
        <v>162</v>
      </c>
      <c r="C264" s="21">
        <v>2</v>
      </c>
      <c r="D264" s="15"/>
      <c r="E264" s="42">
        <f t="shared" si="90"/>
        <v>2</v>
      </c>
      <c r="F264" s="29">
        <v>45688</v>
      </c>
      <c r="H264" s="5" t="s">
        <v>163</v>
      </c>
      <c r="I264" s="21"/>
      <c r="J264" s="15">
        <v>30</v>
      </c>
      <c r="K264" s="42">
        <f t="shared" si="92"/>
        <v>30</v>
      </c>
      <c r="L264" s="57">
        <v>45691</v>
      </c>
    </row>
    <row r="265" spans="2:12" x14ac:dyDescent="0.15">
      <c r="B265" s="5" t="s">
        <v>166</v>
      </c>
      <c r="C265" s="21">
        <v>2</v>
      </c>
      <c r="D265" s="15"/>
      <c r="E265" s="42">
        <f t="shared" si="90"/>
        <v>2</v>
      </c>
      <c r="F265" s="29">
        <v>45688</v>
      </c>
      <c r="H265" s="5"/>
      <c r="I265" s="21"/>
      <c r="J265" s="15"/>
      <c r="K265" s="42">
        <f t="shared" si="92"/>
        <v>0</v>
      </c>
    </row>
    <row r="266" spans="2:12" x14ac:dyDescent="0.15">
      <c r="B266" s="5" t="s">
        <v>168</v>
      </c>
      <c r="C266" s="21"/>
      <c r="D266" s="15">
        <v>4</v>
      </c>
      <c r="E266" s="42">
        <f t="shared" si="90"/>
        <v>4</v>
      </c>
      <c r="F266" s="29">
        <v>45691</v>
      </c>
      <c r="H266" s="5"/>
      <c r="I266" s="21"/>
      <c r="J266" s="15"/>
      <c r="K266" s="42">
        <f t="shared" si="92"/>
        <v>0</v>
      </c>
    </row>
    <row r="267" spans="2:12" x14ac:dyDescent="0.15">
      <c r="B267" s="5" t="s">
        <v>169</v>
      </c>
      <c r="C267" s="21">
        <v>6</v>
      </c>
      <c r="D267" s="15"/>
      <c r="E267" s="42">
        <f t="shared" si="90"/>
        <v>6</v>
      </c>
      <c r="F267" s="29">
        <v>45693</v>
      </c>
      <c r="H267" s="5"/>
      <c r="I267" s="21"/>
      <c r="J267" s="15"/>
      <c r="K267" s="42">
        <f t="shared" si="92"/>
        <v>0</v>
      </c>
    </row>
    <row r="268" spans="2:12" x14ac:dyDescent="0.15">
      <c r="B268" s="5"/>
      <c r="C268" s="21"/>
      <c r="D268" s="15"/>
      <c r="E268" s="42">
        <f t="shared" si="90"/>
        <v>0</v>
      </c>
      <c r="H268" s="5"/>
      <c r="I268" s="24"/>
      <c r="J268" s="18"/>
      <c r="K268" s="42">
        <f t="shared" si="92"/>
        <v>0</v>
      </c>
    </row>
    <row r="269" spans="2:12" x14ac:dyDescent="0.15">
      <c r="B269" s="5"/>
      <c r="C269" s="21"/>
      <c r="D269" s="15"/>
      <c r="E269" s="42">
        <f t="shared" si="90"/>
        <v>0</v>
      </c>
      <c r="H269" s="5"/>
      <c r="I269" s="24"/>
      <c r="J269" s="18"/>
      <c r="K269" s="42">
        <f t="shared" si="92"/>
        <v>0</v>
      </c>
    </row>
    <row r="270" spans="2:12" x14ac:dyDescent="0.15">
      <c r="B270" s="5"/>
      <c r="C270" s="21"/>
      <c r="D270" s="15"/>
      <c r="E270" s="42">
        <f t="shared" si="90"/>
        <v>0</v>
      </c>
      <c r="H270" s="5"/>
      <c r="I270" s="21"/>
      <c r="J270" s="15"/>
      <c r="K270" s="42">
        <f t="shared" si="92"/>
        <v>0</v>
      </c>
    </row>
    <row r="271" spans="2:12" x14ac:dyDescent="0.15">
      <c r="B271" s="5"/>
      <c r="C271" s="21"/>
      <c r="D271" s="15"/>
      <c r="E271" s="42">
        <f t="shared" si="90"/>
        <v>0</v>
      </c>
      <c r="H271" s="5"/>
      <c r="I271" s="24"/>
      <c r="J271" s="18"/>
      <c r="K271" s="42">
        <f t="shared" si="92"/>
        <v>0</v>
      </c>
    </row>
    <row r="272" spans="2:12" x14ac:dyDescent="0.15">
      <c r="B272" s="5"/>
      <c r="C272" s="21"/>
      <c r="D272" s="15"/>
      <c r="E272" s="42">
        <f t="shared" si="90"/>
        <v>0</v>
      </c>
      <c r="H272" s="5"/>
      <c r="I272" s="24"/>
      <c r="J272" s="18"/>
      <c r="K272" s="42">
        <f t="shared" si="92"/>
        <v>0</v>
      </c>
    </row>
    <row r="273" spans="2:12" x14ac:dyDescent="0.15">
      <c r="B273" s="5"/>
      <c r="C273" s="21"/>
      <c r="D273" s="15"/>
      <c r="E273" s="42">
        <f t="shared" si="90"/>
        <v>0</v>
      </c>
      <c r="H273" s="5"/>
      <c r="I273" s="24"/>
      <c r="J273" s="18"/>
      <c r="K273" s="42">
        <f t="shared" si="92"/>
        <v>0</v>
      </c>
    </row>
    <row r="274" spans="2:12" x14ac:dyDescent="0.15">
      <c r="B274" s="5"/>
      <c r="C274" s="21"/>
      <c r="D274" s="15"/>
      <c r="E274" s="42">
        <f t="shared" si="90"/>
        <v>0</v>
      </c>
      <c r="H274" s="5"/>
      <c r="I274" s="24"/>
      <c r="J274" s="18"/>
      <c r="K274" s="42">
        <f t="shared" si="92"/>
        <v>0</v>
      </c>
    </row>
    <row r="275" spans="2:12" x14ac:dyDescent="0.15">
      <c r="B275" s="5"/>
      <c r="C275" s="21"/>
      <c r="D275" s="15"/>
      <c r="E275" s="42">
        <f t="shared" si="90"/>
        <v>0</v>
      </c>
      <c r="H275" s="5"/>
      <c r="I275" s="24"/>
      <c r="J275" s="18"/>
      <c r="K275" s="42">
        <f t="shared" si="92"/>
        <v>0</v>
      </c>
    </row>
    <row r="276" spans="2:12" x14ac:dyDescent="0.15">
      <c r="B276" s="5"/>
      <c r="C276" s="21"/>
      <c r="D276" s="15"/>
      <c r="E276" s="42">
        <f t="shared" si="90"/>
        <v>0</v>
      </c>
      <c r="H276" s="5"/>
      <c r="I276" s="24"/>
      <c r="J276" s="18"/>
      <c r="K276" s="42">
        <f t="shared" si="92"/>
        <v>0</v>
      </c>
    </row>
    <row r="277" spans="2:12" x14ac:dyDescent="0.15">
      <c r="B277" s="5"/>
      <c r="C277" s="21"/>
      <c r="D277" s="15"/>
      <c r="E277" s="42">
        <f t="shared" si="90"/>
        <v>0</v>
      </c>
      <c r="H277" s="5" t="s">
        <v>148</v>
      </c>
      <c r="I277" s="21"/>
      <c r="J277" s="15"/>
      <c r="K277" s="42">
        <f t="shared" ref="K277" si="96">SUM(I277:J277)</f>
        <v>0</v>
      </c>
      <c r="L277" t="s">
        <v>149</v>
      </c>
    </row>
    <row r="278" spans="2:12" x14ac:dyDescent="0.15">
      <c r="B278" s="5"/>
      <c r="C278" s="21"/>
      <c r="D278" s="15"/>
      <c r="E278" s="42">
        <f t="shared" si="90"/>
        <v>0</v>
      </c>
      <c r="H278" s="61" t="s">
        <v>154</v>
      </c>
      <c r="I278" s="62"/>
      <c r="J278" s="63"/>
      <c r="K278" s="64">
        <f t="shared" si="92"/>
        <v>0</v>
      </c>
      <c r="L278" s="71"/>
    </row>
    <row r="279" spans="2:12" x14ac:dyDescent="0.15">
      <c r="B279" s="5"/>
      <c r="C279" s="21"/>
      <c r="D279" s="15"/>
      <c r="E279" s="42">
        <f t="shared" si="90"/>
        <v>0</v>
      </c>
      <c r="H279" s="5" t="s">
        <v>159</v>
      </c>
      <c r="I279" s="21"/>
      <c r="J279" s="15"/>
      <c r="K279" s="42">
        <f t="shared" ref="K279:K280" si="97">SUM(I279:J279)</f>
        <v>0</v>
      </c>
      <c r="L279" t="s">
        <v>121</v>
      </c>
    </row>
    <row r="280" spans="2:12" x14ac:dyDescent="0.15">
      <c r="B280" s="5"/>
      <c r="C280" s="21"/>
      <c r="D280" s="15"/>
      <c r="E280" s="42">
        <f t="shared" si="90"/>
        <v>0</v>
      </c>
      <c r="H280" s="5" t="s">
        <v>112</v>
      </c>
      <c r="I280" s="21"/>
      <c r="J280" s="15"/>
      <c r="K280" s="42">
        <f t="shared" si="97"/>
        <v>0</v>
      </c>
      <c r="L280" t="s">
        <v>113</v>
      </c>
    </row>
    <row r="281" spans="2:12" x14ac:dyDescent="0.15">
      <c r="B281" s="5"/>
      <c r="C281" s="21"/>
      <c r="D281" s="15"/>
      <c r="E281" s="42">
        <f t="shared" si="90"/>
        <v>0</v>
      </c>
      <c r="H281" s="75" t="s">
        <v>85</v>
      </c>
      <c r="I281" s="62">
        <f>120-120</f>
        <v>0</v>
      </c>
      <c r="J281" s="63">
        <f>34-34</f>
        <v>0</v>
      </c>
      <c r="K281" s="72">
        <f t="shared" si="92"/>
        <v>0</v>
      </c>
      <c r="L281" s="29"/>
    </row>
    <row r="282" spans="2:12" ht="14.25" thickBot="1" x14ac:dyDescent="0.2">
      <c r="B282" s="5"/>
      <c r="C282" s="21"/>
      <c r="D282" s="15"/>
      <c r="E282" s="42">
        <f t="shared" si="90"/>
        <v>0</v>
      </c>
      <c r="H282" s="27" t="s">
        <v>161</v>
      </c>
      <c r="I282" s="76">
        <f>200-200</f>
        <v>0</v>
      </c>
      <c r="J282" s="77">
        <f>200-200</f>
        <v>0</v>
      </c>
      <c r="K282" s="43">
        <f t="shared" si="92"/>
        <v>0</v>
      </c>
      <c r="L282" s="29" t="s">
        <v>86</v>
      </c>
    </row>
    <row r="283" spans="2:12" ht="14.25" thickBot="1" x14ac:dyDescent="0.2">
      <c r="B283" s="4" t="s">
        <v>1</v>
      </c>
      <c r="C283" s="23">
        <f>SUM(C258:C282)</f>
        <v>84</v>
      </c>
      <c r="D283" s="17">
        <f>SUM(D258:D282)</f>
        <v>38</v>
      </c>
      <c r="E283" s="44">
        <f t="shared" si="90"/>
        <v>122</v>
      </c>
      <c r="H283" s="4" t="s">
        <v>1</v>
      </c>
      <c r="I283" s="23">
        <f>SUM(I258:I282)</f>
        <v>140</v>
      </c>
      <c r="J283" s="17">
        <f t="shared" ref="J283" si="98">SUM(J258:J282)</f>
        <v>170</v>
      </c>
      <c r="K283" s="44">
        <f t="shared" ref="K283" si="99">SUM(K258:K282)</f>
        <v>310</v>
      </c>
    </row>
    <row r="284" spans="2:12" ht="14.25" thickBot="1" x14ac:dyDescent="0.2">
      <c r="B284" s="3" t="s">
        <v>0</v>
      </c>
      <c r="C284" s="26">
        <f>+C257-C283</f>
        <v>21</v>
      </c>
      <c r="D284" s="2">
        <f>+D257-D283</f>
        <v>18</v>
      </c>
      <c r="E284" s="45">
        <f t="shared" si="90"/>
        <v>39</v>
      </c>
      <c r="H284" s="3" t="s">
        <v>0</v>
      </c>
      <c r="I284" s="26">
        <f>+I257-I283</f>
        <v>360</v>
      </c>
      <c r="J284" s="2">
        <f t="shared" ref="J284" si="100">+J257-J283</f>
        <v>302</v>
      </c>
      <c r="K284" s="45">
        <f t="shared" ref="K284" si="101">+K257-K283</f>
        <v>662</v>
      </c>
    </row>
    <row r="288" spans="2:12" ht="18.75" x14ac:dyDescent="0.2">
      <c r="B288" s="13" t="s">
        <v>9</v>
      </c>
      <c r="C288" s="12"/>
      <c r="D288" s="12"/>
      <c r="E288" s="59"/>
      <c r="F288" s="66" t="s">
        <v>102</v>
      </c>
      <c r="H288" s="48" t="s">
        <v>10</v>
      </c>
      <c r="I288" s="49"/>
      <c r="J288" s="49"/>
      <c r="K288" s="60"/>
      <c r="L288" s="66" t="s">
        <v>102</v>
      </c>
    </row>
    <row r="289" spans="2:12" ht="15" thickBot="1" x14ac:dyDescent="0.2">
      <c r="B289" s="52" t="s">
        <v>16</v>
      </c>
      <c r="C289" s="12"/>
      <c r="D289" s="67" t="s">
        <v>103</v>
      </c>
      <c r="E289" s="68"/>
      <c r="F289" s="66" t="s">
        <v>101</v>
      </c>
      <c r="H289" s="53" t="s">
        <v>16</v>
      </c>
      <c r="I289" s="49"/>
      <c r="J289" s="69" t="s">
        <v>103</v>
      </c>
      <c r="K289" s="70"/>
      <c r="L289" s="66" t="s">
        <v>101</v>
      </c>
    </row>
    <row r="290" spans="2:12" ht="14.25" thickBot="1" x14ac:dyDescent="0.2">
      <c r="B290" s="11"/>
      <c r="C290" s="96" t="s">
        <v>6</v>
      </c>
      <c r="D290" s="97"/>
      <c r="E290" s="98"/>
      <c r="H290" s="11"/>
      <c r="I290" s="96" t="s">
        <v>6</v>
      </c>
      <c r="J290" s="97"/>
      <c r="K290" s="98"/>
    </row>
    <row r="291" spans="2:12" ht="19.5" thickBot="1" x14ac:dyDescent="0.25">
      <c r="B291" s="10"/>
      <c r="C291" s="19" t="s">
        <v>7</v>
      </c>
      <c r="D291" s="58" t="s">
        <v>8</v>
      </c>
      <c r="E291" s="37" t="s">
        <v>4</v>
      </c>
      <c r="H291" s="10"/>
      <c r="I291" s="19" t="s">
        <v>7</v>
      </c>
      <c r="J291" s="58" t="s">
        <v>8</v>
      </c>
      <c r="K291" s="37" t="s">
        <v>4</v>
      </c>
    </row>
    <row r="292" spans="2:12" x14ac:dyDescent="0.15">
      <c r="B292" s="34" t="s">
        <v>0</v>
      </c>
      <c r="C292" s="35">
        <f>C284</f>
        <v>21</v>
      </c>
      <c r="D292" s="36">
        <f t="shared" ref="D292:E292" si="102">D284</f>
        <v>18</v>
      </c>
      <c r="E292" s="46">
        <f t="shared" si="102"/>
        <v>39</v>
      </c>
      <c r="H292" s="34" t="s">
        <v>0</v>
      </c>
      <c r="I292" s="35">
        <f>I284</f>
        <v>360</v>
      </c>
      <c r="J292" s="36">
        <f t="shared" ref="J292:K292" si="103">J284</f>
        <v>302</v>
      </c>
      <c r="K292" s="46">
        <f t="shared" si="103"/>
        <v>662</v>
      </c>
    </row>
    <row r="293" spans="2:12" x14ac:dyDescent="0.15">
      <c r="B293" s="8" t="s">
        <v>3</v>
      </c>
      <c r="C293" s="21"/>
      <c r="D293" s="15">
        <v>20</v>
      </c>
      <c r="E293" s="39">
        <f t="shared" ref="E293:E325" si="104">SUM(C293:D293)</f>
        <v>20</v>
      </c>
      <c r="F293" s="29">
        <v>45692</v>
      </c>
      <c r="H293" s="8" t="s">
        <v>3</v>
      </c>
      <c r="I293" s="21"/>
      <c r="J293" s="15"/>
      <c r="K293" s="56">
        <f t="shared" ref="K293:K319" si="105">SUM(I293:J293)</f>
        <v>0</v>
      </c>
    </row>
    <row r="294" spans="2:12" x14ac:dyDescent="0.15">
      <c r="B294" s="8" t="s">
        <v>3</v>
      </c>
      <c r="C294" s="21">
        <v>20</v>
      </c>
      <c r="D294" s="15"/>
      <c r="E294" s="39">
        <f t="shared" si="104"/>
        <v>20</v>
      </c>
      <c r="F294" s="29">
        <v>45693</v>
      </c>
      <c r="H294" s="8" t="s">
        <v>3</v>
      </c>
      <c r="I294" s="21">
        <v>43</v>
      </c>
      <c r="J294" s="15">
        <v>54</v>
      </c>
      <c r="K294" s="39">
        <f t="shared" si="105"/>
        <v>97</v>
      </c>
      <c r="L294" s="29" t="s">
        <v>177</v>
      </c>
    </row>
    <row r="295" spans="2:12" x14ac:dyDescent="0.15">
      <c r="B295" s="78" t="s">
        <v>178</v>
      </c>
      <c r="C295" s="21">
        <v>60</v>
      </c>
      <c r="D295" s="15">
        <v>100</v>
      </c>
      <c r="E295" s="39">
        <f t="shared" ref="E295:E296" si="106">SUM(C295:D295)</f>
        <v>160</v>
      </c>
      <c r="F295" s="29">
        <v>45700</v>
      </c>
      <c r="H295" s="8" t="s">
        <v>3</v>
      </c>
      <c r="I295" s="21"/>
      <c r="J295" s="15"/>
      <c r="K295" s="56">
        <f t="shared" si="105"/>
        <v>0</v>
      </c>
    </row>
    <row r="296" spans="2:12" x14ac:dyDescent="0.15">
      <c r="B296" s="8" t="s">
        <v>3</v>
      </c>
      <c r="C296" s="21">
        <v>43</v>
      </c>
      <c r="D296" s="15">
        <v>54</v>
      </c>
      <c r="E296" s="39">
        <f t="shared" si="106"/>
        <v>97</v>
      </c>
      <c r="F296" s="29">
        <v>45701</v>
      </c>
      <c r="H296" s="8" t="s">
        <v>3</v>
      </c>
      <c r="I296" s="21"/>
      <c r="J296" s="15"/>
      <c r="K296" s="56">
        <f t="shared" ref="K296" si="107">SUM(I296:J296)</f>
        <v>0</v>
      </c>
    </row>
    <row r="297" spans="2:12" ht="14.25" thickBot="1" x14ac:dyDescent="0.2">
      <c r="B297" s="8" t="s">
        <v>133</v>
      </c>
      <c r="C297" s="21">
        <v>6</v>
      </c>
      <c r="D297" s="15">
        <v>2</v>
      </c>
      <c r="E297" s="40">
        <f t="shared" ref="E297" si="108">SUM(C297:D297)</f>
        <v>8</v>
      </c>
      <c r="F297" s="29">
        <v>45734</v>
      </c>
      <c r="H297" s="8" t="s">
        <v>3</v>
      </c>
      <c r="I297" s="21"/>
      <c r="J297" s="15"/>
      <c r="K297" s="40">
        <f t="shared" ref="K297" si="109">SUM(I297:J297)</f>
        <v>0</v>
      </c>
    </row>
    <row r="298" spans="2:12" ht="14.25" thickBot="1" x14ac:dyDescent="0.2">
      <c r="B298" s="31" t="s">
        <v>2</v>
      </c>
      <c r="C298" s="32">
        <f>SUM(C292:C297)</f>
        <v>150</v>
      </c>
      <c r="D298" s="33">
        <f>SUM(D292:D297)</f>
        <v>194</v>
      </c>
      <c r="E298" s="41">
        <f t="shared" si="104"/>
        <v>344</v>
      </c>
      <c r="H298" s="31" t="s">
        <v>2</v>
      </c>
      <c r="I298" s="32">
        <f>SUM(I292:I297)</f>
        <v>403</v>
      </c>
      <c r="J298" s="33">
        <f t="shared" ref="J298" si="110">SUM(J292:J297)</f>
        <v>356</v>
      </c>
      <c r="K298" s="41">
        <f t="shared" ref="K298" si="111">SUM(K292:K297)</f>
        <v>759</v>
      </c>
    </row>
    <row r="299" spans="2:12" x14ac:dyDescent="0.15">
      <c r="B299" s="5" t="s">
        <v>172</v>
      </c>
      <c r="C299" s="21"/>
      <c r="D299" s="15">
        <v>30</v>
      </c>
      <c r="E299" s="42">
        <f t="shared" si="104"/>
        <v>30</v>
      </c>
      <c r="F299" s="29">
        <v>45693</v>
      </c>
      <c r="H299" s="5" t="s">
        <v>170</v>
      </c>
      <c r="I299" s="21"/>
      <c r="J299" s="15">
        <v>20</v>
      </c>
      <c r="K299" s="42">
        <f t="shared" si="105"/>
        <v>20</v>
      </c>
      <c r="L299" s="57">
        <v>45692</v>
      </c>
    </row>
    <row r="300" spans="2:12" x14ac:dyDescent="0.15">
      <c r="B300" s="5" t="s">
        <v>174</v>
      </c>
      <c r="C300" s="21">
        <v>12</v>
      </c>
      <c r="D300" s="15"/>
      <c r="E300" s="42">
        <f t="shared" si="104"/>
        <v>12</v>
      </c>
      <c r="F300" s="29">
        <v>45694</v>
      </c>
      <c r="H300" s="5" t="s">
        <v>171</v>
      </c>
      <c r="I300" s="21">
        <v>20</v>
      </c>
      <c r="J300" s="15">
        <v>30</v>
      </c>
      <c r="K300" s="42">
        <f t="shared" si="105"/>
        <v>50</v>
      </c>
      <c r="L300" s="57">
        <v>45693</v>
      </c>
    </row>
    <row r="301" spans="2:12" x14ac:dyDescent="0.15">
      <c r="B301" s="5" t="s">
        <v>175</v>
      </c>
      <c r="C301" s="21"/>
      <c r="D301" s="15">
        <v>2</v>
      </c>
      <c r="E301" s="42">
        <f t="shared" ref="E301:E302" si="112">SUM(C301:D301)</f>
        <v>2</v>
      </c>
      <c r="F301" s="29">
        <v>45695</v>
      </c>
      <c r="H301" s="5" t="s">
        <v>13</v>
      </c>
      <c r="I301" s="21">
        <v>20</v>
      </c>
      <c r="J301" s="15"/>
      <c r="K301" s="42">
        <f t="shared" si="105"/>
        <v>20</v>
      </c>
      <c r="L301" s="57">
        <v>45693</v>
      </c>
    </row>
    <row r="302" spans="2:12" x14ac:dyDescent="0.15">
      <c r="B302" s="5" t="s">
        <v>176</v>
      </c>
      <c r="C302" s="21">
        <v>9</v>
      </c>
      <c r="D302" s="15"/>
      <c r="E302" s="42">
        <f t="shared" si="112"/>
        <v>9</v>
      </c>
      <c r="F302" s="29">
        <v>45698</v>
      </c>
      <c r="H302" s="27" t="s">
        <v>173</v>
      </c>
      <c r="I302" s="21">
        <v>320</v>
      </c>
      <c r="J302" s="15">
        <v>234</v>
      </c>
      <c r="K302" s="42">
        <f t="shared" si="105"/>
        <v>554</v>
      </c>
      <c r="L302" s="57">
        <v>45695</v>
      </c>
    </row>
    <row r="303" spans="2:12" x14ac:dyDescent="0.15">
      <c r="B303" s="27" t="s">
        <v>180</v>
      </c>
      <c r="C303" s="21">
        <v>60</v>
      </c>
      <c r="D303" s="15">
        <v>100</v>
      </c>
      <c r="E303" s="42">
        <f t="shared" si="104"/>
        <v>160</v>
      </c>
      <c r="F303" s="29">
        <v>45701</v>
      </c>
      <c r="H303" s="27" t="s">
        <v>179</v>
      </c>
      <c r="I303" s="21">
        <v>0</v>
      </c>
      <c r="J303" s="15">
        <v>18</v>
      </c>
      <c r="K303" s="42">
        <f t="shared" si="105"/>
        <v>18</v>
      </c>
      <c r="L303" s="74">
        <v>45695</v>
      </c>
    </row>
    <row r="304" spans="2:12" x14ac:dyDescent="0.15">
      <c r="B304" s="5" t="s">
        <v>181</v>
      </c>
      <c r="C304" s="21">
        <v>6</v>
      </c>
      <c r="D304" s="15">
        <v>4</v>
      </c>
      <c r="E304" s="42">
        <f t="shared" si="104"/>
        <v>10</v>
      </c>
      <c r="F304" s="29">
        <v>45702</v>
      </c>
      <c r="H304" s="5" t="s">
        <v>13</v>
      </c>
      <c r="I304" s="21"/>
      <c r="J304" s="15">
        <v>54</v>
      </c>
      <c r="K304" s="42">
        <f t="shared" si="105"/>
        <v>54</v>
      </c>
      <c r="L304" s="57">
        <v>45701</v>
      </c>
    </row>
    <row r="305" spans="2:12" x14ac:dyDescent="0.15">
      <c r="B305" s="8" t="s">
        <v>38</v>
      </c>
      <c r="C305" s="21">
        <v>-2</v>
      </c>
      <c r="D305" s="15"/>
      <c r="E305" s="39">
        <f t="shared" si="104"/>
        <v>-2</v>
      </c>
      <c r="F305" s="29">
        <v>45702</v>
      </c>
      <c r="H305" s="5" t="s">
        <v>13</v>
      </c>
      <c r="I305" s="21">
        <v>43</v>
      </c>
      <c r="J305" s="15"/>
      <c r="K305" s="42">
        <f t="shared" si="105"/>
        <v>43</v>
      </c>
      <c r="L305" s="57">
        <v>45703</v>
      </c>
    </row>
    <row r="306" spans="2:12" x14ac:dyDescent="0.15">
      <c r="B306" s="5" t="s">
        <v>183</v>
      </c>
      <c r="C306" s="21"/>
      <c r="D306" s="15">
        <v>6</v>
      </c>
      <c r="E306" s="42">
        <f t="shared" si="104"/>
        <v>6</v>
      </c>
      <c r="F306" s="29">
        <v>45707</v>
      </c>
      <c r="H306" s="5"/>
      <c r="I306" s="21"/>
      <c r="J306" s="15"/>
      <c r="K306" s="42">
        <f t="shared" si="105"/>
        <v>0</v>
      </c>
    </row>
    <row r="307" spans="2:12" x14ac:dyDescent="0.15">
      <c r="B307" s="5" t="s">
        <v>182</v>
      </c>
      <c r="C307" s="21"/>
      <c r="D307" s="15">
        <v>2</v>
      </c>
      <c r="E307" s="42">
        <f t="shared" si="104"/>
        <v>2</v>
      </c>
      <c r="F307" s="29">
        <v>45708</v>
      </c>
      <c r="H307" s="5"/>
      <c r="I307" s="21"/>
      <c r="J307" s="15"/>
      <c r="K307" s="42">
        <f t="shared" si="105"/>
        <v>0</v>
      </c>
    </row>
    <row r="308" spans="2:12" x14ac:dyDescent="0.15">
      <c r="B308" s="5" t="s">
        <v>184</v>
      </c>
      <c r="C308" s="21"/>
      <c r="D308" s="15">
        <v>2</v>
      </c>
      <c r="E308" s="42">
        <f t="shared" si="104"/>
        <v>2</v>
      </c>
      <c r="F308" s="29">
        <v>45709</v>
      </c>
      <c r="H308" s="5"/>
      <c r="I308" s="21"/>
      <c r="J308" s="15"/>
      <c r="K308" s="42">
        <f t="shared" si="105"/>
        <v>0</v>
      </c>
    </row>
    <row r="309" spans="2:12" x14ac:dyDescent="0.15">
      <c r="B309" s="5" t="s">
        <v>185</v>
      </c>
      <c r="C309" s="21"/>
      <c r="D309" s="15">
        <v>6</v>
      </c>
      <c r="E309" s="42">
        <f t="shared" si="104"/>
        <v>6</v>
      </c>
      <c r="F309" s="29">
        <v>45713</v>
      </c>
      <c r="H309" s="5"/>
      <c r="I309" s="24"/>
      <c r="J309" s="18"/>
      <c r="K309" s="42">
        <f t="shared" si="105"/>
        <v>0</v>
      </c>
    </row>
    <row r="310" spans="2:12" x14ac:dyDescent="0.15">
      <c r="B310" s="5" t="s">
        <v>186</v>
      </c>
      <c r="C310" s="21">
        <v>4</v>
      </c>
      <c r="D310" s="15"/>
      <c r="E310" s="42">
        <f t="shared" si="104"/>
        <v>4</v>
      </c>
      <c r="F310" s="29">
        <v>45715</v>
      </c>
      <c r="H310" s="5"/>
      <c r="I310" s="24"/>
      <c r="J310" s="18"/>
      <c r="K310" s="42">
        <f t="shared" si="105"/>
        <v>0</v>
      </c>
    </row>
    <row r="311" spans="2:12" x14ac:dyDescent="0.15">
      <c r="B311" s="5" t="s">
        <v>188</v>
      </c>
      <c r="C311" s="21"/>
      <c r="D311" s="15">
        <v>2</v>
      </c>
      <c r="E311" s="42">
        <f t="shared" si="104"/>
        <v>2</v>
      </c>
      <c r="F311" s="29">
        <v>45716</v>
      </c>
      <c r="H311" s="5"/>
      <c r="I311" s="21"/>
      <c r="J311" s="15"/>
      <c r="K311" s="42">
        <f t="shared" si="105"/>
        <v>0</v>
      </c>
    </row>
    <row r="312" spans="2:12" x14ac:dyDescent="0.15">
      <c r="B312" s="5" t="s">
        <v>38</v>
      </c>
      <c r="C312" s="21">
        <v>-2</v>
      </c>
      <c r="D312" s="15"/>
      <c r="E312" s="42">
        <f t="shared" ref="E312:E315" si="113">SUM(C312:D312)</f>
        <v>-2</v>
      </c>
      <c r="F312" s="29">
        <v>45716</v>
      </c>
      <c r="H312" s="5"/>
      <c r="I312" s="24"/>
      <c r="J312" s="18"/>
      <c r="K312" s="42">
        <f t="shared" si="105"/>
        <v>0</v>
      </c>
    </row>
    <row r="313" spans="2:12" x14ac:dyDescent="0.15">
      <c r="B313" s="5" t="s">
        <v>189</v>
      </c>
      <c r="C313" s="21">
        <v>4</v>
      </c>
      <c r="D313" s="15">
        <v>6</v>
      </c>
      <c r="E313" s="42">
        <f t="shared" si="113"/>
        <v>10</v>
      </c>
      <c r="F313" s="29">
        <v>45721</v>
      </c>
      <c r="H313" s="5"/>
      <c r="I313" s="24"/>
      <c r="J313" s="18"/>
      <c r="K313" s="42">
        <f t="shared" si="105"/>
        <v>0</v>
      </c>
    </row>
    <row r="314" spans="2:12" x14ac:dyDescent="0.15">
      <c r="B314" s="5" t="s">
        <v>190</v>
      </c>
      <c r="C314" s="21"/>
      <c r="D314" s="15">
        <v>2</v>
      </c>
      <c r="E314" s="42">
        <f t="shared" si="113"/>
        <v>2</v>
      </c>
      <c r="F314" s="29">
        <v>45723</v>
      </c>
      <c r="H314" s="5"/>
      <c r="I314" s="24"/>
      <c r="J314" s="18"/>
      <c r="K314" s="42">
        <f t="shared" si="105"/>
        <v>0</v>
      </c>
    </row>
    <row r="315" spans="2:12" x14ac:dyDescent="0.15">
      <c r="B315" s="5" t="s">
        <v>191</v>
      </c>
      <c r="C315" s="21">
        <v>2</v>
      </c>
      <c r="D315" s="15"/>
      <c r="E315" s="42">
        <f t="shared" si="113"/>
        <v>2</v>
      </c>
      <c r="F315" s="29">
        <v>45723</v>
      </c>
      <c r="H315" s="5"/>
      <c r="I315" s="24"/>
      <c r="J315" s="18"/>
      <c r="K315" s="42">
        <f t="shared" si="105"/>
        <v>0</v>
      </c>
    </row>
    <row r="316" spans="2:12" x14ac:dyDescent="0.15">
      <c r="B316" s="5" t="s">
        <v>192</v>
      </c>
      <c r="C316" s="21"/>
      <c r="D316" s="15">
        <v>2</v>
      </c>
      <c r="E316" s="42">
        <f t="shared" si="104"/>
        <v>2</v>
      </c>
      <c r="F316" s="29">
        <v>45735</v>
      </c>
      <c r="H316" s="5"/>
      <c r="I316" s="24"/>
      <c r="J316" s="18"/>
      <c r="K316" s="42">
        <f t="shared" si="105"/>
        <v>0</v>
      </c>
    </row>
    <row r="317" spans="2:12" x14ac:dyDescent="0.15">
      <c r="B317" s="5" t="s">
        <v>193</v>
      </c>
      <c r="C317" s="21">
        <v>2</v>
      </c>
      <c r="D317" s="15"/>
      <c r="E317" s="42">
        <f t="shared" si="104"/>
        <v>2</v>
      </c>
      <c r="F317" s="29">
        <v>45740</v>
      </c>
      <c r="H317" s="5"/>
      <c r="I317" s="24"/>
      <c r="J317" s="18"/>
      <c r="K317" s="42">
        <f t="shared" si="105"/>
        <v>0</v>
      </c>
    </row>
    <row r="318" spans="2:12" x14ac:dyDescent="0.15">
      <c r="B318" s="5" t="s">
        <v>194</v>
      </c>
      <c r="C318" s="21"/>
      <c r="D318" s="15">
        <v>2</v>
      </c>
      <c r="E318" s="42">
        <f t="shared" si="104"/>
        <v>2</v>
      </c>
      <c r="F318" s="29">
        <v>45743</v>
      </c>
      <c r="H318" s="5"/>
      <c r="I318" s="24"/>
      <c r="J318" s="18"/>
      <c r="K318" s="42">
        <f t="shared" si="105"/>
        <v>0</v>
      </c>
    </row>
    <row r="319" spans="2:12" x14ac:dyDescent="0.15">
      <c r="B319" s="5" t="s">
        <v>195</v>
      </c>
      <c r="C319" s="21">
        <v>-2</v>
      </c>
      <c r="D319" s="15"/>
      <c r="E319" s="42">
        <f t="shared" si="104"/>
        <v>-2</v>
      </c>
      <c r="F319" s="29">
        <v>45755</v>
      </c>
      <c r="H319" s="5"/>
      <c r="I319" s="24"/>
      <c r="J319" s="18"/>
      <c r="K319" s="42">
        <f t="shared" si="105"/>
        <v>0</v>
      </c>
    </row>
    <row r="320" spans="2:12" x14ac:dyDescent="0.15">
      <c r="B320" s="5" t="s">
        <v>196</v>
      </c>
      <c r="C320" s="21">
        <v>2</v>
      </c>
      <c r="D320" s="15"/>
      <c r="E320" s="42">
        <f t="shared" ref="E320" si="114">SUM(C320:D320)</f>
        <v>2</v>
      </c>
      <c r="F320" s="29">
        <v>45763</v>
      </c>
      <c r="H320" s="5"/>
      <c r="I320" s="24"/>
      <c r="J320" s="18"/>
      <c r="K320" s="42">
        <f t="shared" ref="K320:K321" si="115">SUM(I320:J320)</f>
        <v>0</v>
      </c>
    </row>
    <row r="321" spans="2:12" x14ac:dyDescent="0.15">
      <c r="B321" s="5"/>
      <c r="C321" s="21"/>
      <c r="D321" s="15"/>
      <c r="E321" s="42">
        <f t="shared" si="104"/>
        <v>0</v>
      </c>
      <c r="H321" s="5"/>
      <c r="I321" s="24"/>
      <c r="J321" s="18"/>
      <c r="K321" s="42">
        <f t="shared" si="115"/>
        <v>0</v>
      </c>
    </row>
    <row r="322" spans="2:12" x14ac:dyDescent="0.15">
      <c r="B322" s="61" t="s">
        <v>155</v>
      </c>
      <c r="C322" s="62"/>
      <c r="D322" s="63"/>
      <c r="E322" s="64">
        <f t="shared" si="104"/>
        <v>0</v>
      </c>
      <c r="F322" s="71"/>
      <c r="H322" s="5"/>
      <c r="I322" s="24"/>
      <c r="J322" s="18"/>
      <c r="K322" s="42">
        <f t="shared" ref="K322:K323" si="116">SUM(I322:J322)</f>
        <v>0</v>
      </c>
    </row>
    <row r="323" spans="2:12" ht="14.25" thickBot="1" x14ac:dyDescent="0.2">
      <c r="B323" s="5" t="s">
        <v>187</v>
      </c>
      <c r="C323" s="21"/>
      <c r="D323" s="15"/>
      <c r="E323" s="42">
        <f t="shared" si="104"/>
        <v>0</v>
      </c>
      <c r="F323" t="s">
        <v>122</v>
      </c>
      <c r="H323" s="5"/>
      <c r="I323" s="24"/>
      <c r="J323" s="18"/>
      <c r="K323" s="42">
        <f t="shared" si="116"/>
        <v>0</v>
      </c>
    </row>
    <row r="324" spans="2:12" ht="14.25" thickBot="1" x14ac:dyDescent="0.2">
      <c r="B324" s="4" t="s">
        <v>1</v>
      </c>
      <c r="C324" s="23">
        <f>SUM(C299:C323)</f>
        <v>95</v>
      </c>
      <c r="D324" s="17">
        <f>SUM(D299:D323)</f>
        <v>166</v>
      </c>
      <c r="E324" s="44">
        <f t="shared" si="104"/>
        <v>261</v>
      </c>
      <c r="H324" s="4" t="s">
        <v>1</v>
      </c>
      <c r="I324" s="23">
        <f>SUM(I299:I323)</f>
        <v>403</v>
      </c>
      <c r="J324" s="17">
        <f t="shared" ref="J324" si="117">SUM(J299:J323)</f>
        <v>356</v>
      </c>
      <c r="K324" s="44">
        <f t="shared" ref="K324" si="118">SUM(K299:K323)</f>
        <v>759</v>
      </c>
    </row>
    <row r="325" spans="2:12" ht="14.25" thickBot="1" x14ac:dyDescent="0.2">
      <c r="B325" s="3" t="s">
        <v>0</v>
      </c>
      <c r="C325" s="26">
        <f>+C298-C324</f>
        <v>55</v>
      </c>
      <c r="D325" s="2">
        <f>+D298-D324</f>
        <v>28</v>
      </c>
      <c r="E325" s="45">
        <f t="shared" si="104"/>
        <v>83</v>
      </c>
      <c r="H325" s="3" t="s">
        <v>0</v>
      </c>
      <c r="I325" s="26">
        <f>+I298-I324</f>
        <v>0</v>
      </c>
      <c r="J325" s="2">
        <f t="shared" ref="J325" si="119">+J298-J324</f>
        <v>0</v>
      </c>
      <c r="K325" s="45">
        <f t="shared" ref="K325" si="120">+K298-K324</f>
        <v>0</v>
      </c>
    </row>
    <row r="329" spans="2:12" ht="18.75" x14ac:dyDescent="0.2">
      <c r="B329" s="13" t="s">
        <v>9</v>
      </c>
      <c r="C329" s="12"/>
      <c r="D329" s="12"/>
      <c r="E329" s="59"/>
      <c r="F329" s="66" t="s">
        <v>102</v>
      </c>
      <c r="H329" s="48" t="s">
        <v>10</v>
      </c>
      <c r="I329" s="49"/>
      <c r="J329" s="49"/>
      <c r="K329" s="60"/>
      <c r="L329" s="66" t="s">
        <v>102</v>
      </c>
    </row>
    <row r="330" spans="2:12" ht="15" thickBot="1" x14ac:dyDescent="0.2">
      <c r="B330" s="52" t="s">
        <v>16</v>
      </c>
      <c r="C330" s="12"/>
      <c r="D330" s="67" t="s">
        <v>103</v>
      </c>
      <c r="E330" s="68"/>
      <c r="F330" s="66" t="s">
        <v>101</v>
      </c>
      <c r="H330" s="53" t="s">
        <v>16</v>
      </c>
      <c r="I330" s="49"/>
      <c r="J330" s="69" t="s">
        <v>103</v>
      </c>
      <c r="K330" s="70"/>
      <c r="L330" s="66" t="s">
        <v>101</v>
      </c>
    </row>
    <row r="331" spans="2:12" ht="14.25" thickBot="1" x14ac:dyDescent="0.2">
      <c r="B331" s="11"/>
      <c r="C331" s="96" t="s">
        <v>6</v>
      </c>
      <c r="D331" s="97"/>
      <c r="E331" s="98"/>
      <c r="H331" s="11"/>
      <c r="I331" s="96" t="s">
        <v>6</v>
      </c>
      <c r="J331" s="97"/>
      <c r="K331" s="98"/>
    </row>
    <row r="332" spans="2:12" ht="19.5" thickBot="1" x14ac:dyDescent="0.25">
      <c r="B332" s="10"/>
      <c r="C332" s="19" t="s">
        <v>7</v>
      </c>
      <c r="D332" s="58" t="s">
        <v>8</v>
      </c>
      <c r="E332" s="37" t="s">
        <v>4</v>
      </c>
      <c r="H332" s="10"/>
      <c r="I332" s="19" t="s">
        <v>7</v>
      </c>
      <c r="J332" s="58" t="s">
        <v>8</v>
      </c>
      <c r="K332" s="37" t="s">
        <v>4</v>
      </c>
    </row>
    <row r="333" spans="2:12" x14ac:dyDescent="0.15">
      <c r="B333" s="34" t="s">
        <v>0</v>
      </c>
      <c r="C333" s="35">
        <f>C325</f>
        <v>55</v>
      </c>
      <c r="D333" s="36">
        <f t="shared" ref="D333:E333" si="121">D325</f>
        <v>28</v>
      </c>
      <c r="E333" s="46">
        <f t="shared" si="121"/>
        <v>83</v>
      </c>
      <c r="H333" s="34" t="s">
        <v>0</v>
      </c>
      <c r="I333" s="35">
        <f>I325</f>
        <v>0</v>
      </c>
      <c r="J333" s="36">
        <f t="shared" ref="J333:K333" si="122">J325</f>
        <v>0</v>
      </c>
      <c r="K333" s="46">
        <f t="shared" si="122"/>
        <v>0</v>
      </c>
    </row>
    <row r="334" spans="2:12" x14ac:dyDescent="0.15">
      <c r="B334" s="8" t="s">
        <v>133</v>
      </c>
      <c r="C334" s="21">
        <v>2</v>
      </c>
      <c r="D334" s="15">
        <v>2</v>
      </c>
      <c r="E334" s="56">
        <f t="shared" ref="E334:E338" si="123">SUM(C334:D334)</f>
        <v>4</v>
      </c>
      <c r="F334" s="29">
        <v>45768</v>
      </c>
      <c r="H334" s="8" t="s">
        <v>3</v>
      </c>
      <c r="I334" s="21"/>
      <c r="J334" s="15"/>
      <c r="K334" s="56">
        <f t="shared" ref="K334:K335" si="124">SUM(I334:J334)</f>
        <v>0</v>
      </c>
    </row>
    <row r="335" spans="2:12" x14ac:dyDescent="0.15">
      <c r="B335" s="5" t="s">
        <v>198</v>
      </c>
      <c r="C335" s="21">
        <v>1</v>
      </c>
      <c r="D335" s="15"/>
      <c r="E335" s="42">
        <f t="shared" si="123"/>
        <v>1</v>
      </c>
      <c r="F335" s="29">
        <v>45786</v>
      </c>
      <c r="H335" s="8" t="s">
        <v>3</v>
      </c>
      <c r="I335" s="21"/>
      <c r="J335" s="15"/>
      <c r="K335" s="56">
        <f t="shared" si="124"/>
        <v>0</v>
      </c>
    </row>
    <row r="336" spans="2:12" x14ac:dyDescent="0.15">
      <c r="B336" s="8" t="s">
        <v>199</v>
      </c>
      <c r="C336" s="21">
        <v>4</v>
      </c>
      <c r="D336" s="15">
        <v>5</v>
      </c>
      <c r="E336" s="56">
        <f t="shared" si="123"/>
        <v>9</v>
      </c>
      <c r="F336" s="29">
        <v>45797</v>
      </c>
      <c r="H336" s="8" t="s">
        <v>3</v>
      </c>
      <c r="I336" s="21"/>
      <c r="J336" s="15"/>
      <c r="K336" s="56">
        <f t="shared" ref="K336:K364" si="125">SUM(I336:J336)</f>
        <v>0</v>
      </c>
    </row>
    <row r="337" spans="2:12" x14ac:dyDescent="0.15">
      <c r="B337" s="8" t="s">
        <v>70</v>
      </c>
      <c r="C337" s="21">
        <v>-3</v>
      </c>
      <c r="D337" s="15">
        <v>0</v>
      </c>
      <c r="E337" s="56">
        <f t="shared" si="123"/>
        <v>-3</v>
      </c>
      <c r="F337" s="29">
        <v>45878</v>
      </c>
      <c r="H337" s="8" t="s">
        <v>3</v>
      </c>
      <c r="I337" s="21"/>
      <c r="J337" s="15"/>
      <c r="K337" s="56">
        <f t="shared" si="125"/>
        <v>0</v>
      </c>
    </row>
    <row r="338" spans="2:12" ht="14.25" thickBot="1" x14ac:dyDescent="0.2">
      <c r="B338" s="5" t="s">
        <v>251</v>
      </c>
      <c r="C338" s="21">
        <v>2</v>
      </c>
      <c r="D338" s="15"/>
      <c r="E338" s="42">
        <f t="shared" si="123"/>
        <v>2</v>
      </c>
      <c r="F338" s="29">
        <v>45948</v>
      </c>
      <c r="H338" s="8" t="s">
        <v>3</v>
      </c>
      <c r="I338" s="21"/>
      <c r="J338" s="15"/>
      <c r="K338" s="40">
        <f t="shared" si="125"/>
        <v>0</v>
      </c>
    </row>
    <row r="339" spans="2:12" ht="14.25" thickBot="1" x14ac:dyDescent="0.2">
      <c r="B339" s="31" t="s">
        <v>2</v>
      </c>
      <c r="C339" s="32">
        <f>SUM(C333:C338)</f>
        <v>61</v>
      </c>
      <c r="D339" s="33">
        <f>SUM(D333:D338)</f>
        <v>35</v>
      </c>
      <c r="E339" s="41">
        <f t="shared" ref="E339:E366" si="126">SUM(C339:D339)</f>
        <v>96</v>
      </c>
      <c r="H339" s="31" t="s">
        <v>2</v>
      </c>
      <c r="I339" s="32">
        <f>SUM(I333:I338)</f>
        <v>0</v>
      </c>
      <c r="J339" s="33">
        <f t="shared" ref="J339" si="127">SUM(J333:J338)</f>
        <v>0</v>
      </c>
      <c r="K339" s="41">
        <f t="shared" ref="K339" si="128">SUM(K333:K338)</f>
        <v>0</v>
      </c>
    </row>
    <row r="340" spans="2:12" x14ac:dyDescent="0.15">
      <c r="B340" s="5" t="s">
        <v>197</v>
      </c>
      <c r="C340" s="21"/>
      <c r="D340" s="15">
        <v>2</v>
      </c>
      <c r="E340" s="42">
        <f t="shared" ref="E340:E360" si="129">SUM(C340:D340)</f>
        <v>2</v>
      </c>
      <c r="F340" s="29">
        <v>45775</v>
      </c>
      <c r="H340" s="5"/>
      <c r="I340" s="21"/>
      <c r="J340" s="15"/>
      <c r="K340" s="42">
        <f t="shared" si="125"/>
        <v>0</v>
      </c>
      <c r="L340" s="28"/>
    </row>
    <row r="341" spans="2:12" x14ac:dyDescent="0.15">
      <c r="B341" s="5" t="s">
        <v>200</v>
      </c>
      <c r="C341" s="21">
        <v>2</v>
      </c>
      <c r="D341" s="15"/>
      <c r="E341" s="42">
        <f t="shared" si="129"/>
        <v>2</v>
      </c>
      <c r="F341" s="29">
        <v>45805</v>
      </c>
      <c r="H341" s="5"/>
      <c r="I341" s="21"/>
      <c r="J341" s="15"/>
      <c r="K341" s="42">
        <f t="shared" si="125"/>
        <v>0</v>
      </c>
      <c r="L341" s="28"/>
    </row>
    <row r="342" spans="2:12" x14ac:dyDescent="0.15">
      <c r="B342" s="5" t="s">
        <v>201</v>
      </c>
      <c r="C342" s="21">
        <v>3</v>
      </c>
      <c r="D342" s="15"/>
      <c r="E342" s="42">
        <f t="shared" si="129"/>
        <v>3</v>
      </c>
      <c r="F342" s="29">
        <v>45806</v>
      </c>
      <c r="H342" s="5"/>
      <c r="I342" s="21"/>
      <c r="J342" s="15"/>
      <c r="K342" s="42">
        <f t="shared" si="125"/>
        <v>0</v>
      </c>
      <c r="L342" s="28"/>
    </row>
    <row r="343" spans="2:12" x14ac:dyDescent="0.15">
      <c r="B343" s="5" t="s">
        <v>202</v>
      </c>
      <c r="C343" s="21">
        <v>2</v>
      </c>
      <c r="D343" s="15"/>
      <c r="E343" s="42">
        <f t="shared" si="129"/>
        <v>2</v>
      </c>
      <c r="F343" s="29">
        <v>45817</v>
      </c>
      <c r="H343" s="5"/>
      <c r="I343" s="21"/>
      <c r="J343" s="15"/>
      <c r="K343" s="42">
        <f t="shared" si="125"/>
        <v>0</v>
      </c>
      <c r="L343" s="28"/>
    </row>
    <row r="344" spans="2:12" x14ac:dyDescent="0.15">
      <c r="B344" s="5" t="s">
        <v>203</v>
      </c>
      <c r="C344" s="21"/>
      <c r="D344" s="15">
        <v>2</v>
      </c>
      <c r="E344" s="42">
        <f t="shared" si="129"/>
        <v>2</v>
      </c>
      <c r="F344" s="29">
        <v>45824</v>
      </c>
      <c r="H344" s="5"/>
      <c r="I344" s="21"/>
      <c r="J344" s="15"/>
      <c r="K344" s="42">
        <f t="shared" si="125"/>
        <v>0</v>
      </c>
      <c r="L344" s="28"/>
    </row>
    <row r="345" spans="2:12" x14ac:dyDescent="0.15">
      <c r="B345" s="5" t="s">
        <v>204</v>
      </c>
      <c r="C345" s="21">
        <v>1</v>
      </c>
      <c r="D345" s="15">
        <v>1</v>
      </c>
      <c r="E345" s="42">
        <f t="shared" si="129"/>
        <v>2</v>
      </c>
      <c r="F345" s="29">
        <v>45831</v>
      </c>
      <c r="H345" s="5"/>
      <c r="I345" s="21"/>
      <c r="J345" s="15"/>
      <c r="K345" s="42">
        <f t="shared" si="125"/>
        <v>0</v>
      </c>
      <c r="L345" s="28"/>
    </row>
    <row r="346" spans="2:12" x14ac:dyDescent="0.15">
      <c r="B346" s="5" t="s">
        <v>208</v>
      </c>
      <c r="C346" s="21">
        <v>1</v>
      </c>
      <c r="D346" s="15"/>
      <c r="E346" s="42">
        <f t="shared" si="129"/>
        <v>1</v>
      </c>
      <c r="F346" s="29">
        <v>45877</v>
      </c>
      <c r="H346" s="5"/>
      <c r="I346" s="21"/>
      <c r="J346" s="15"/>
      <c r="K346" s="42">
        <f t="shared" si="125"/>
        <v>0</v>
      </c>
      <c r="L346" s="28"/>
    </row>
    <row r="347" spans="2:12" x14ac:dyDescent="0.15">
      <c r="B347" s="5" t="s">
        <v>357</v>
      </c>
      <c r="C347" s="21">
        <v>-2</v>
      </c>
      <c r="D347" s="15"/>
      <c r="E347" s="42">
        <f t="shared" ref="E347" si="130">SUM(C347:D347)</f>
        <v>-2</v>
      </c>
      <c r="F347" s="29">
        <v>46050</v>
      </c>
      <c r="H347" s="5"/>
      <c r="I347" s="21"/>
      <c r="J347" s="15"/>
      <c r="K347" s="42">
        <f t="shared" si="125"/>
        <v>0</v>
      </c>
      <c r="L347" s="28"/>
    </row>
    <row r="348" spans="2:12" x14ac:dyDescent="0.15">
      <c r="B348" s="5"/>
      <c r="C348" s="21"/>
      <c r="D348" s="15"/>
      <c r="E348" s="42">
        <f t="shared" si="129"/>
        <v>0</v>
      </c>
      <c r="H348" s="5"/>
      <c r="I348" s="21"/>
      <c r="J348" s="15"/>
      <c r="K348" s="42">
        <f t="shared" si="125"/>
        <v>0</v>
      </c>
      <c r="L348" s="28"/>
    </row>
    <row r="349" spans="2:12" x14ac:dyDescent="0.15">
      <c r="B349" s="5"/>
      <c r="C349" s="21"/>
      <c r="D349" s="15"/>
      <c r="E349" s="42">
        <f t="shared" si="129"/>
        <v>0</v>
      </c>
      <c r="H349" s="5"/>
      <c r="I349" s="21"/>
      <c r="J349" s="15"/>
      <c r="K349" s="42">
        <f t="shared" si="125"/>
        <v>0</v>
      </c>
      <c r="L349" s="28"/>
    </row>
    <row r="350" spans="2:12" x14ac:dyDescent="0.15">
      <c r="B350" s="5"/>
      <c r="C350" s="21"/>
      <c r="D350" s="15"/>
      <c r="E350" s="42">
        <f t="shared" si="129"/>
        <v>0</v>
      </c>
      <c r="H350" s="5"/>
      <c r="I350" s="21"/>
      <c r="J350" s="15"/>
      <c r="K350" s="42">
        <f t="shared" si="125"/>
        <v>0</v>
      </c>
      <c r="L350" s="28"/>
    </row>
    <row r="351" spans="2:12" x14ac:dyDescent="0.15">
      <c r="B351" s="5"/>
      <c r="C351" s="21"/>
      <c r="D351" s="15"/>
      <c r="E351" s="42">
        <f t="shared" si="129"/>
        <v>0</v>
      </c>
      <c r="H351" s="5"/>
      <c r="I351" s="21"/>
      <c r="J351" s="15"/>
      <c r="K351" s="42">
        <f t="shared" si="125"/>
        <v>0</v>
      </c>
      <c r="L351" s="28"/>
    </row>
    <row r="352" spans="2:12" x14ac:dyDescent="0.15">
      <c r="B352" s="5"/>
      <c r="C352" s="21"/>
      <c r="D352" s="15"/>
      <c r="E352" s="42">
        <f t="shared" si="129"/>
        <v>0</v>
      </c>
      <c r="H352" s="5"/>
      <c r="I352" s="21"/>
      <c r="J352" s="15"/>
      <c r="K352" s="42">
        <f t="shared" si="125"/>
        <v>0</v>
      </c>
      <c r="L352" s="28"/>
    </row>
    <row r="353" spans="2:12" x14ac:dyDescent="0.15">
      <c r="B353" s="5"/>
      <c r="C353" s="21"/>
      <c r="D353" s="15"/>
      <c r="E353" s="42">
        <f t="shared" si="129"/>
        <v>0</v>
      </c>
      <c r="H353" s="5"/>
      <c r="I353" s="21"/>
      <c r="J353" s="15"/>
      <c r="K353" s="42">
        <f t="shared" si="125"/>
        <v>0</v>
      </c>
      <c r="L353" s="28"/>
    </row>
    <row r="354" spans="2:12" x14ac:dyDescent="0.15">
      <c r="B354" s="5"/>
      <c r="C354" s="21"/>
      <c r="D354" s="15"/>
      <c r="E354" s="42">
        <f t="shared" si="129"/>
        <v>0</v>
      </c>
      <c r="H354" s="5"/>
      <c r="I354" s="21"/>
      <c r="J354" s="15"/>
      <c r="K354" s="42">
        <f t="shared" si="125"/>
        <v>0</v>
      </c>
      <c r="L354" s="28"/>
    </row>
    <row r="355" spans="2:12" x14ac:dyDescent="0.15">
      <c r="B355" s="5"/>
      <c r="C355" s="21"/>
      <c r="D355" s="15"/>
      <c r="E355" s="42">
        <f t="shared" si="129"/>
        <v>0</v>
      </c>
      <c r="H355" s="5"/>
      <c r="I355" s="21"/>
      <c r="J355" s="15"/>
      <c r="K355" s="42">
        <f t="shared" si="125"/>
        <v>0</v>
      </c>
      <c r="L355" s="28"/>
    </row>
    <row r="356" spans="2:12" x14ac:dyDescent="0.15">
      <c r="B356" s="5"/>
      <c r="C356" s="21"/>
      <c r="D356" s="15"/>
      <c r="E356" s="42">
        <f t="shared" si="129"/>
        <v>0</v>
      </c>
      <c r="H356" s="5"/>
      <c r="I356" s="21"/>
      <c r="J356" s="15"/>
      <c r="K356" s="42">
        <f t="shared" si="125"/>
        <v>0</v>
      </c>
      <c r="L356" s="28"/>
    </row>
    <row r="357" spans="2:12" x14ac:dyDescent="0.15">
      <c r="B357" s="5"/>
      <c r="C357" s="21"/>
      <c r="D357" s="15"/>
      <c r="E357" s="42">
        <f t="shared" si="129"/>
        <v>0</v>
      </c>
      <c r="H357" s="5"/>
      <c r="I357" s="21"/>
      <c r="J357" s="15"/>
      <c r="K357" s="42">
        <f t="shared" si="125"/>
        <v>0</v>
      </c>
      <c r="L357" s="28"/>
    </row>
    <row r="358" spans="2:12" x14ac:dyDescent="0.15">
      <c r="B358" s="5"/>
      <c r="C358" s="21"/>
      <c r="D358" s="15"/>
      <c r="E358" s="42">
        <f t="shared" si="129"/>
        <v>0</v>
      </c>
      <c r="H358" s="5"/>
      <c r="I358" s="21"/>
      <c r="J358" s="15"/>
      <c r="K358" s="42">
        <f t="shared" si="125"/>
        <v>0</v>
      </c>
      <c r="L358" s="28"/>
    </row>
    <row r="359" spans="2:12" x14ac:dyDescent="0.15">
      <c r="B359" s="5"/>
      <c r="C359" s="21"/>
      <c r="D359" s="15"/>
      <c r="E359" s="42">
        <f t="shared" si="129"/>
        <v>0</v>
      </c>
      <c r="H359" s="5"/>
      <c r="I359" s="21"/>
      <c r="J359" s="15"/>
      <c r="K359" s="42">
        <f t="shared" si="125"/>
        <v>0</v>
      </c>
      <c r="L359" s="28"/>
    </row>
    <row r="360" spans="2:12" x14ac:dyDescent="0.15">
      <c r="B360" s="5"/>
      <c r="C360" s="21"/>
      <c r="D360" s="15"/>
      <c r="E360" s="42">
        <f t="shared" si="129"/>
        <v>0</v>
      </c>
      <c r="H360" s="5"/>
      <c r="I360" s="21"/>
      <c r="J360" s="15"/>
      <c r="K360" s="42">
        <f t="shared" si="125"/>
        <v>0</v>
      </c>
      <c r="L360" s="28"/>
    </row>
    <row r="361" spans="2:12" x14ac:dyDescent="0.15">
      <c r="B361" s="5"/>
      <c r="C361" s="21"/>
      <c r="D361" s="15"/>
      <c r="E361" s="42">
        <f t="shared" si="126"/>
        <v>0</v>
      </c>
      <c r="H361" s="5"/>
      <c r="I361" s="21"/>
      <c r="J361" s="15"/>
      <c r="K361" s="42">
        <f t="shared" si="125"/>
        <v>0</v>
      </c>
      <c r="L361" s="28"/>
    </row>
    <row r="362" spans="2:12" x14ac:dyDescent="0.15">
      <c r="B362" s="5"/>
      <c r="C362" s="21"/>
      <c r="D362" s="15"/>
      <c r="E362" s="42">
        <f t="shared" ref="E362:E364" si="131">SUM(C362:D362)</f>
        <v>0</v>
      </c>
      <c r="H362" s="5"/>
      <c r="I362" s="21"/>
      <c r="J362" s="15"/>
      <c r="K362" s="42">
        <f t="shared" si="125"/>
        <v>0</v>
      </c>
      <c r="L362" s="28"/>
    </row>
    <row r="363" spans="2:12" x14ac:dyDescent="0.15">
      <c r="B363" s="5"/>
      <c r="C363" s="21"/>
      <c r="D363" s="15"/>
      <c r="E363" s="42">
        <f t="shared" si="131"/>
        <v>0</v>
      </c>
      <c r="H363" s="5"/>
      <c r="I363" s="21"/>
      <c r="J363" s="15"/>
      <c r="K363" s="42">
        <f t="shared" si="125"/>
        <v>0</v>
      </c>
      <c r="L363" s="28"/>
    </row>
    <row r="364" spans="2:12" ht="14.25" thickBot="1" x14ac:dyDescent="0.2">
      <c r="B364" s="5"/>
      <c r="C364" s="21"/>
      <c r="D364" s="15"/>
      <c r="E364" s="42">
        <f t="shared" si="131"/>
        <v>0</v>
      </c>
      <c r="H364" s="5"/>
      <c r="I364" s="21"/>
      <c r="J364" s="15"/>
      <c r="K364" s="42">
        <f t="shared" si="125"/>
        <v>0</v>
      </c>
      <c r="L364" s="28"/>
    </row>
    <row r="365" spans="2:12" ht="14.25" thickBot="1" x14ac:dyDescent="0.2">
      <c r="B365" s="4" t="s">
        <v>1</v>
      </c>
      <c r="C365" s="23">
        <f>SUM(C340:C364)</f>
        <v>7</v>
      </c>
      <c r="D365" s="17">
        <f>SUM(D340:D364)</f>
        <v>5</v>
      </c>
      <c r="E365" s="44">
        <f t="shared" si="126"/>
        <v>12</v>
      </c>
      <c r="H365" s="4" t="s">
        <v>1</v>
      </c>
      <c r="I365" s="23">
        <f>SUM(I340:I364)</f>
        <v>0</v>
      </c>
      <c r="J365" s="17">
        <f t="shared" ref="J365" si="132">SUM(J340:J364)</f>
        <v>0</v>
      </c>
      <c r="K365" s="44">
        <f t="shared" ref="K365" si="133">SUM(K340:K364)</f>
        <v>0</v>
      </c>
    </row>
    <row r="366" spans="2:12" ht="14.25" thickBot="1" x14ac:dyDescent="0.2">
      <c r="B366" s="3" t="s">
        <v>0</v>
      </c>
      <c r="C366" s="26">
        <f>+C339-C365</f>
        <v>54</v>
      </c>
      <c r="D366" s="2">
        <f>+D339-D365</f>
        <v>30</v>
      </c>
      <c r="E366" s="45">
        <f t="shared" si="126"/>
        <v>84</v>
      </c>
      <c r="H366" s="3" t="s">
        <v>0</v>
      </c>
      <c r="I366" s="26">
        <f>+I339-I365</f>
        <v>0</v>
      </c>
      <c r="J366" s="2">
        <f t="shared" ref="J366" si="134">+J339-J365</f>
        <v>0</v>
      </c>
      <c r="K366" s="45">
        <f t="shared" ref="K366" si="135">+K339-K365</f>
        <v>0</v>
      </c>
    </row>
    <row r="367" spans="2:12" x14ac:dyDescent="0.15">
      <c r="H367" s="80" t="s">
        <v>205</v>
      </c>
      <c r="I367" s="79">
        <f>I324+I283+I242+I201+I160+I119+I78+I37</f>
        <v>1245</v>
      </c>
      <c r="J367" s="79">
        <f t="shared" ref="J367:K367" si="136">J324+J283+J242+J201+J160+J119+J78+J37</f>
        <v>1172</v>
      </c>
      <c r="K367" s="79">
        <f t="shared" si="136"/>
        <v>2417</v>
      </c>
    </row>
    <row r="368" spans="2:12" ht="15.75" customHeight="1" x14ac:dyDescent="0.15">
      <c r="B368"/>
      <c r="F368"/>
      <c r="I368" s="81">
        <f>I367/$K$367*100</f>
        <v>51.510136532892012</v>
      </c>
      <c r="J368" s="81">
        <f t="shared" ref="J368:K368" si="137">J367/$K$367*100</f>
        <v>48.489863467107988</v>
      </c>
      <c r="K368" s="81">
        <f t="shared" si="137"/>
        <v>100</v>
      </c>
    </row>
    <row r="369" spans="2:12" ht="54" customHeight="1" x14ac:dyDescent="0.25">
      <c r="B369" s="99" t="s">
        <v>218</v>
      </c>
      <c r="C369" s="99"/>
      <c r="D369" s="99"/>
      <c r="E369" s="99"/>
      <c r="F369" s="99"/>
      <c r="G369" s="99"/>
      <c r="H369" s="99"/>
      <c r="I369" s="99"/>
      <c r="J369" s="99"/>
      <c r="K369" s="99"/>
    </row>
    <row r="370" spans="2:12" ht="18.75" x14ac:dyDescent="0.2">
      <c r="B370" s="13" t="s">
        <v>9</v>
      </c>
      <c r="C370" s="12"/>
      <c r="D370" s="12"/>
      <c r="E370" s="59"/>
      <c r="F370" s="66"/>
      <c r="H370" s="48" t="s">
        <v>10</v>
      </c>
      <c r="I370" s="49"/>
      <c r="J370" s="49"/>
      <c r="K370" s="60"/>
      <c r="L370" s="66"/>
    </row>
    <row r="371" spans="2:12" ht="15" thickBot="1" x14ac:dyDescent="0.2">
      <c r="B371" s="52" t="s">
        <v>16</v>
      </c>
      <c r="C371" s="12"/>
      <c r="D371" s="67" t="s">
        <v>237</v>
      </c>
      <c r="E371" s="68"/>
      <c r="F371" s="66"/>
      <c r="H371" s="53" t="s">
        <v>16</v>
      </c>
      <c r="I371" s="49"/>
      <c r="J371" s="69" t="s">
        <v>236</v>
      </c>
      <c r="K371" s="70"/>
      <c r="L371" s="66"/>
    </row>
    <row r="372" spans="2:12" ht="14.25" thickBot="1" x14ac:dyDescent="0.2">
      <c r="B372" s="11"/>
      <c r="C372" s="96" t="s">
        <v>209</v>
      </c>
      <c r="D372" s="97"/>
      <c r="E372" s="98"/>
      <c r="H372" s="11"/>
      <c r="I372" s="96" t="s">
        <v>209</v>
      </c>
      <c r="J372" s="97"/>
      <c r="K372" s="98"/>
    </row>
    <row r="373" spans="2:12" ht="19.5" thickBot="1" x14ac:dyDescent="0.25">
      <c r="B373" s="10"/>
      <c r="C373" s="19" t="s">
        <v>7</v>
      </c>
      <c r="D373" s="58" t="s">
        <v>8</v>
      </c>
      <c r="E373" s="37" t="s">
        <v>4</v>
      </c>
      <c r="H373" s="10"/>
      <c r="I373" s="19" t="s">
        <v>7</v>
      </c>
      <c r="J373" s="58" t="s">
        <v>8</v>
      </c>
      <c r="K373" s="37" t="s">
        <v>4</v>
      </c>
    </row>
    <row r="374" spans="2:12" x14ac:dyDescent="0.15">
      <c r="B374" s="34" t="s">
        <v>0</v>
      </c>
      <c r="C374" s="35">
        <v>27</v>
      </c>
      <c r="D374" s="36">
        <v>15</v>
      </c>
      <c r="E374" s="46">
        <f t="shared" ref="E374" si="138">E366</f>
        <v>84</v>
      </c>
      <c r="H374" s="34" t="s">
        <v>0</v>
      </c>
      <c r="I374" s="35">
        <f>I366</f>
        <v>0</v>
      </c>
      <c r="J374" s="36">
        <f t="shared" ref="J374:K374" si="139">J366</f>
        <v>0</v>
      </c>
      <c r="K374" s="46">
        <f t="shared" si="139"/>
        <v>0</v>
      </c>
    </row>
    <row r="375" spans="2:12" x14ac:dyDescent="0.15">
      <c r="B375" s="8" t="s">
        <v>217</v>
      </c>
      <c r="C375" s="21">
        <v>50</v>
      </c>
      <c r="D375" s="15">
        <v>50</v>
      </c>
      <c r="E375" s="56">
        <f t="shared" ref="E375" si="140">SUM(C375:D375)</f>
        <v>100</v>
      </c>
      <c r="F375" s="57" t="s">
        <v>222</v>
      </c>
      <c r="H375" s="8" t="s">
        <v>258</v>
      </c>
      <c r="I375" s="21">
        <v>50</v>
      </c>
      <c r="J375" s="15">
        <v>50</v>
      </c>
      <c r="K375" s="56">
        <f t="shared" ref="K375:K399" si="141">SUM(I375:J375)</f>
        <v>100</v>
      </c>
      <c r="L375" s="57">
        <v>45953</v>
      </c>
    </row>
    <row r="376" spans="2:12" x14ac:dyDescent="0.15">
      <c r="B376" s="8" t="s">
        <v>221</v>
      </c>
      <c r="C376" s="21">
        <v>50</v>
      </c>
      <c r="D376" s="15">
        <v>50</v>
      </c>
      <c r="E376" s="56">
        <f t="shared" ref="E376" si="142">SUM(C376:D376)</f>
        <v>100</v>
      </c>
      <c r="F376" s="57" t="s">
        <v>235</v>
      </c>
      <c r="H376" s="8" t="s">
        <v>3</v>
      </c>
      <c r="I376" s="21"/>
      <c r="J376" s="15"/>
      <c r="K376" s="56">
        <f t="shared" ref="K376" si="143">SUM(I376:J376)</f>
        <v>0</v>
      </c>
      <c r="L376" s="57"/>
    </row>
    <row r="377" spans="2:12" x14ac:dyDescent="0.15">
      <c r="B377" s="8" t="s">
        <v>3</v>
      </c>
      <c r="C377" s="21">
        <v>37</v>
      </c>
      <c r="D377" s="15">
        <v>37</v>
      </c>
      <c r="E377" s="56">
        <f t="shared" ref="E377" si="144">SUM(C377:D377)</f>
        <v>74</v>
      </c>
      <c r="F377" s="29">
        <v>45962</v>
      </c>
      <c r="H377" s="8" t="s">
        <v>3</v>
      </c>
      <c r="I377" s="21"/>
      <c r="J377" s="15"/>
      <c r="K377" s="56">
        <f t="shared" ref="K377:K378" si="145">SUM(I377:J377)</f>
        <v>0</v>
      </c>
      <c r="L377" s="57"/>
    </row>
    <row r="378" spans="2:12" x14ac:dyDescent="0.15">
      <c r="B378" s="8" t="s">
        <v>38</v>
      </c>
      <c r="C378" s="21">
        <v>1</v>
      </c>
      <c r="D378" s="15">
        <v>1</v>
      </c>
      <c r="E378" s="56">
        <f t="shared" ref="E378:E407" si="146">SUM(C378:D378)</f>
        <v>2</v>
      </c>
      <c r="F378" s="29">
        <v>45973</v>
      </c>
      <c r="H378" s="8" t="s">
        <v>3</v>
      </c>
      <c r="I378" s="21"/>
      <c r="J378" s="15"/>
      <c r="K378" s="56">
        <f t="shared" si="145"/>
        <v>0</v>
      </c>
      <c r="L378" s="57"/>
    </row>
    <row r="379" spans="2:12" ht="14.25" thickBot="1" x14ac:dyDescent="0.2">
      <c r="B379" s="8" t="s">
        <v>3</v>
      </c>
      <c r="C379" s="21"/>
      <c r="D379" s="15"/>
      <c r="E379" s="40">
        <f t="shared" si="146"/>
        <v>0</v>
      </c>
      <c r="H379" s="8" t="s">
        <v>3</v>
      </c>
      <c r="I379" s="21"/>
      <c r="J379" s="15"/>
      <c r="K379" s="86">
        <f t="shared" si="141"/>
        <v>0</v>
      </c>
    </row>
    <row r="380" spans="2:12" ht="14.25" thickBot="1" x14ac:dyDescent="0.2">
      <c r="B380" s="31" t="s">
        <v>2</v>
      </c>
      <c r="C380" s="32">
        <f>SUM(C374:C379)</f>
        <v>165</v>
      </c>
      <c r="D380" s="33">
        <f>SUM(D374:D379)</f>
        <v>153</v>
      </c>
      <c r="E380" s="41">
        <f t="shared" si="146"/>
        <v>318</v>
      </c>
      <c r="H380" s="31" t="s">
        <v>2</v>
      </c>
      <c r="I380" s="32">
        <f>SUM(I374:I379)</f>
        <v>50</v>
      </c>
      <c r="J380" s="33">
        <f t="shared" ref="J380" si="147">SUM(J374:J379)</f>
        <v>50</v>
      </c>
      <c r="K380" s="41">
        <f t="shared" ref="K380" si="148">SUM(K374:K379)</f>
        <v>100</v>
      </c>
    </row>
    <row r="381" spans="2:12" x14ac:dyDescent="0.15">
      <c r="B381" s="5" t="s">
        <v>223</v>
      </c>
      <c r="C381" s="21">
        <v>12</v>
      </c>
      <c r="D381" s="15">
        <v>12</v>
      </c>
      <c r="E381" s="42">
        <f t="shared" si="146"/>
        <v>24</v>
      </c>
      <c r="F381" s="29">
        <v>45926</v>
      </c>
      <c r="H381" s="5" t="s">
        <v>260</v>
      </c>
      <c r="I381" s="21">
        <v>7</v>
      </c>
      <c r="J381" s="15">
        <v>8</v>
      </c>
      <c r="K381" s="42">
        <f t="shared" ref="K381" si="149">SUM(I381:J381)</f>
        <v>15</v>
      </c>
      <c r="L381" s="57">
        <v>45960</v>
      </c>
    </row>
    <row r="382" spans="2:12" x14ac:dyDescent="0.15">
      <c r="B382" s="5" t="s">
        <v>231</v>
      </c>
      <c r="C382" s="21"/>
      <c r="D382" s="15">
        <v>4</v>
      </c>
      <c r="E382" s="42">
        <f t="shared" ref="E382:E386" si="150">SUM(C382:D382)</f>
        <v>4</v>
      </c>
      <c r="F382" s="29">
        <v>45930</v>
      </c>
      <c r="H382" s="5" t="s">
        <v>261</v>
      </c>
      <c r="I382" s="21">
        <v>6</v>
      </c>
      <c r="J382" s="15">
        <v>5</v>
      </c>
      <c r="K382" s="42">
        <f t="shared" si="141"/>
        <v>11</v>
      </c>
      <c r="L382" s="57">
        <v>45961</v>
      </c>
    </row>
    <row r="383" spans="2:12" x14ac:dyDescent="0.15">
      <c r="B383" s="5" t="s">
        <v>246</v>
      </c>
      <c r="C383" s="21"/>
      <c r="D383" s="15">
        <v>9</v>
      </c>
      <c r="E383" s="42">
        <f t="shared" si="150"/>
        <v>9</v>
      </c>
      <c r="F383" s="29">
        <v>45947</v>
      </c>
      <c r="H383" s="5" t="s">
        <v>258</v>
      </c>
      <c r="I383" s="21">
        <v>37</v>
      </c>
      <c r="J383" s="15">
        <v>37</v>
      </c>
      <c r="K383" s="42">
        <f t="shared" si="141"/>
        <v>74</v>
      </c>
      <c r="L383" s="57">
        <v>45962</v>
      </c>
    </row>
    <row r="384" spans="2:12" x14ac:dyDescent="0.15">
      <c r="B384" s="5" t="s">
        <v>245</v>
      </c>
      <c r="C384" s="21">
        <v>1</v>
      </c>
      <c r="D384" s="15"/>
      <c r="E384" s="42">
        <f t="shared" si="150"/>
        <v>1</v>
      </c>
      <c r="F384" s="29">
        <v>45946</v>
      </c>
      <c r="H384" s="5"/>
      <c r="I384" s="21"/>
      <c r="J384" s="15"/>
      <c r="K384" s="42">
        <f t="shared" si="141"/>
        <v>0</v>
      </c>
    </row>
    <row r="385" spans="2:11" x14ac:dyDescent="0.15">
      <c r="B385" s="5" t="s">
        <v>247</v>
      </c>
      <c r="C385" s="21">
        <v>7</v>
      </c>
      <c r="D385" s="15"/>
      <c r="E385" s="42">
        <f t="shared" si="150"/>
        <v>7</v>
      </c>
      <c r="F385" s="29">
        <v>45947</v>
      </c>
      <c r="H385" s="5"/>
      <c r="I385" s="21"/>
      <c r="J385" s="15"/>
      <c r="K385" s="42">
        <f t="shared" si="141"/>
        <v>0</v>
      </c>
    </row>
    <row r="386" spans="2:11" x14ac:dyDescent="0.15">
      <c r="B386" s="5" t="s">
        <v>248</v>
      </c>
      <c r="C386" s="21">
        <v>10</v>
      </c>
      <c r="D386" s="15">
        <v>6</v>
      </c>
      <c r="E386" s="42">
        <f t="shared" si="150"/>
        <v>16</v>
      </c>
      <c r="F386" s="29">
        <v>45950</v>
      </c>
      <c r="H386" s="5"/>
      <c r="I386" s="21"/>
      <c r="J386" s="15"/>
      <c r="K386" s="42">
        <f t="shared" si="141"/>
        <v>0</v>
      </c>
    </row>
    <row r="387" spans="2:11" x14ac:dyDescent="0.15">
      <c r="B387" s="5" t="s">
        <v>252</v>
      </c>
      <c r="C387" s="21">
        <v>9</v>
      </c>
      <c r="D387" s="15">
        <v>2</v>
      </c>
      <c r="E387" s="42">
        <f t="shared" si="146"/>
        <v>11</v>
      </c>
      <c r="F387" s="29">
        <v>45952</v>
      </c>
      <c r="H387" s="5"/>
      <c r="I387" s="21"/>
      <c r="J387" s="15"/>
      <c r="K387" s="42">
        <f t="shared" si="141"/>
        <v>0</v>
      </c>
    </row>
    <row r="388" spans="2:11" x14ac:dyDescent="0.15">
      <c r="B388" s="5" t="s">
        <v>253</v>
      </c>
      <c r="C388" s="21">
        <v>2</v>
      </c>
      <c r="D388" s="15"/>
      <c r="E388" s="42">
        <f t="shared" si="146"/>
        <v>2</v>
      </c>
      <c r="F388" s="29">
        <v>45953</v>
      </c>
      <c r="H388" s="5"/>
      <c r="I388" s="21"/>
      <c r="J388" s="15"/>
      <c r="K388" s="42">
        <f t="shared" si="141"/>
        <v>0</v>
      </c>
    </row>
    <row r="389" spans="2:11" x14ac:dyDescent="0.15">
      <c r="B389" s="5" t="s">
        <v>254</v>
      </c>
      <c r="C389" s="21">
        <v>7</v>
      </c>
      <c r="D389" s="15">
        <v>1</v>
      </c>
      <c r="E389" s="42">
        <f t="shared" si="146"/>
        <v>8</v>
      </c>
      <c r="F389" s="29">
        <v>45954</v>
      </c>
      <c r="H389" s="5"/>
      <c r="I389" s="21"/>
      <c r="J389" s="15"/>
      <c r="K389" s="42">
        <f t="shared" si="141"/>
        <v>0</v>
      </c>
    </row>
    <row r="390" spans="2:11" x14ac:dyDescent="0.15">
      <c r="B390" s="5" t="s">
        <v>255</v>
      </c>
      <c r="C390" s="21">
        <v>10</v>
      </c>
      <c r="D390" s="15">
        <v>7</v>
      </c>
      <c r="E390" s="42">
        <f t="shared" si="146"/>
        <v>17</v>
      </c>
      <c r="F390" s="29">
        <v>45954</v>
      </c>
      <c r="H390" s="5"/>
      <c r="I390" s="21"/>
      <c r="J390" s="15"/>
      <c r="K390" s="42">
        <f t="shared" si="141"/>
        <v>0</v>
      </c>
    </row>
    <row r="391" spans="2:11" x14ac:dyDescent="0.15">
      <c r="B391" s="87" t="s">
        <v>257</v>
      </c>
      <c r="C391" s="88">
        <v>50</v>
      </c>
      <c r="D391" s="89">
        <v>50</v>
      </c>
      <c r="E391" s="90">
        <f t="shared" si="146"/>
        <v>100</v>
      </c>
      <c r="F391" s="91">
        <v>45953</v>
      </c>
      <c r="H391" s="5"/>
      <c r="I391" s="21"/>
      <c r="J391" s="15"/>
      <c r="K391" s="42">
        <f t="shared" si="141"/>
        <v>0</v>
      </c>
    </row>
    <row r="392" spans="2:11" x14ac:dyDescent="0.15">
      <c r="B392" s="5" t="s">
        <v>256</v>
      </c>
      <c r="C392" s="21">
        <v>3</v>
      </c>
      <c r="D392" s="15">
        <v>4</v>
      </c>
      <c r="E392" s="42">
        <f t="shared" ref="E392" si="151">SUM(C392:D392)</f>
        <v>7</v>
      </c>
      <c r="F392" s="29">
        <v>45957</v>
      </c>
      <c r="H392" s="5"/>
      <c r="I392" s="21"/>
      <c r="J392" s="15"/>
      <c r="K392" s="42">
        <f t="shared" si="141"/>
        <v>0</v>
      </c>
    </row>
    <row r="393" spans="2:11" x14ac:dyDescent="0.15">
      <c r="B393" s="5" t="s">
        <v>259</v>
      </c>
      <c r="C393" s="21">
        <v>8</v>
      </c>
      <c r="D393" s="15">
        <v>9</v>
      </c>
      <c r="E393" s="42">
        <f t="shared" si="146"/>
        <v>17</v>
      </c>
      <c r="F393" s="29">
        <v>45959</v>
      </c>
      <c r="H393" s="5"/>
      <c r="I393" s="21"/>
      <c r="J393" s="15"/>
      <c r="K393" s="42">
        <f t="shared" si="141"/>
        <v>0</v>
      </c>
    </row>
    <row r="394" spans="2:11" x14ac:dyDescent="0.15">
      <c r="B394" s="5" t="s">
        <v>262</v>
      </c>
      <c r="C394" s="21">
        <v>3</v>
      </c>
      <c r="D394" s="15">
        <v>3</v>
      </c>
      <c r="E394" s="42">
        <f t="shared" si="146"/>
        <v>6</v>
      </c>
      <c r="F394" s="29">
        <v>45961</v>
      </c>
      <c r="H394" s="5"/>
      <c r="I394" s="21"/>
      <c r="J394" s="15"/>
      <c r="K394" s="42">
        <f t="shared" si="141"/>
        <v>0</v>
      </c>
    </row>
    <row r="395" spans="2:11" x14ac:dyDescent="0.15">
      <c r="B395" s="5" t="s">
        <v>263</v>
      </c>
      <c r="C395" s="21">
        <v>1</v>
      </c>
      <c r="D395" s="15">
        <v>4</v>
      </c>
      <c r="E395" s="42">
        <f t="shared" si="146"/>
        <v>5</v>
      </c>
      <c r="F395" s="29">
        <v>45965</v>
      </c>
      <c r="H395" s="5"/>
      <c r="I395" s="21"/>
      <c r="J395" s="15"/>
      <c r="K395" s="42">
        <f t="shared" ref="K395:K398" si="152">SUM(I395:J395)</f>
        <v>0</v>
      </c>
    </row>
    <row r="396" spans="2:11" x14ac:dyDescent="0.15">
      <c r="B396" s="5" t="s">
        <v>264</v>
      </c>
      <c r="C396" s="21">
        <v>10</v>
      </c>
      <c r="D396" s="15">
        <v>12</v>
      </c>
      <c r="E396" s="42">
        <f t="shared" si="146"/>
        <v>22</v>
      </c>
      <c r="F396" s="29">
        <v>45967</v>
      </c>
      <c r="H396" s="5"/>
      <c r="I396" s="21"/>
      <c r="J396" s="15"/>
      <c r="K396" s="42">
        <f t="shared" si="152"/>
        <v>0</v>
      </c>
    </row>
    <row r="397" spans="2:11" x14ac:dyDescent="0.15">
      <c r="B397" s="5" t="s">
        <v>265</v>
      </c>
      <c r="C397" s="21">
        <v>2</v>
      </c>
      <c r="D397" s="15">
        <v>6</v>
      </c>
      <c r="E397" s="42">
        <f t="shared" si="146"/>
        <v>8</v>
      </c>
      <c r="F397" s="29">
        <v>45968</v>
      </c>
      <c r="H397" s="5"/>
      <c r="I397" s="21"/>
      <c r="J397" s="15"/>
      <c r="K397" s="42">
        <f t="shared" si="152"/>
        <v>0</v>
      </c>
    </row>
    <row r="398" spans="2:11" x14ac:dyDescent="0.15">
      <c r="B398" s="5" t="s">
        <v>266</v>
      </c>
      <c r="C398" s="21">
        <v>5</v>
      </c>
      <c r="D398" s="15">
        <v>4</v>
      </c>
      <c r="E398" s="42">
        <f t="shared" si="146"/>
        <v>9</v>
      </c>
      <c r="F398" s="29">
        <v>45968</v>
      </c>
      <c r="H398" s="5"/>
      <c r="I398" s="21"/>
      <c r="J398" s="15"/>
      <c r="K398" s="42">
        <f t="shared" si="152"/>
        <v>0</v>
      </c>
    </row>
    <row r="399" spans="2:11" x14ac:dyDescent="0.15">
      <c r="B399" s="5" t="s">
        <v>271</v>
      </c>
      <c r="C399" s="21">
        <v>2</v>
      </c>
      <c r="D399" s="15">
        <v>6</v>
      </c>
      <c r="E399" s="42">
        <f t="shared" si="146"/>
        <v>8</v>
      </c>
      <c r="F399" s="29">
        <v>45971</v>
      </c>
      <c r="H399" s="5"/>
      <c r="I399" s="21"/>
      <c r="J399" s="15"/>
      <c r="K399" s="42">
        <f t="shared" si="141"/>
        <v>0</v>
      </c>
    </row>
    <row r="400" spans="2:11" x14ac:dyDescent="0.15">
      <c r="B400" s="5" t="s">
        <v>272</v>
      </c>
      <c r="C400" s="21">
        <v>3</v>
      </c>
      <c r="D400" s="15">
        <v>3</v>
      </c>
      <c r="E400" s="42">
        <f t="shared" si="146"/>
        <v>6</v>
      </c>
      <c r="F400" s="29">
        <v>45973</v>
      </c>
      <c r="H400" s="5"/>
      <c r="I400" s="21"/>
      <c r="J400" s="15"/>
      <c r="K400" s="42">
        <f t="shared" ref="K400:K401" si="153">SUM(I400:J400)</f>
        <v>0</v>
      </c>
    </row>
    <row r="401" spans="2:14" x14ac:dyDescent="0.15">
      <c r="B401" s="5" t="s">
        <v>274</v>
      </c>
      <c r="C401" s="21">
        <v>3</v>
      </c>
      <c r="D401" s="15">
        <v>4</v>
      </c>
      <c r="E401" s="42">
        <f t="shared" si="146"/>
        <v>7</v>
      </c>
      <c r="F401" s="29">
        <v>45974</v>
      </c>
      <c r="H401" s="5"/>
      <c r="I401" s="21"/>
      <c r="J401" s="15"/>
      <c r="K401" s="42">
        <f t="shared" si="153"/>
        <v>0</v>
      </c>
    </row>
    <row r="402" spans="2:14" x14ac:dyDescent="0.15">
      <c r="B402" s="5" t="s">
        <v>279</v>
      </c>
      <c r="C402" s="21">
        <v>3</v>
      </c>
      <c r="D402" s="15"/>
      <c r="E402" s="42">
        <f t="shared" si="146"/>
        <v>3</v>
      </c>
      <c r="F402" s="29">
        <v>45975</v>
      </c>
      <c r="H402" s="61" t="s">
        <v>226</v>
      </c>
      <c r="I402" s="62"/>
      <c r="J402" s="63"/>
      <c r="K402" s="64">
        <f t="shared" ref="K402:K405" si="154">SUM(I402:J402)</f>
        <v>0</v>
      </c>
      <c r="L402" s="71"/>
    </row>
    <row r="403" spans="2:14" x14ac:dyDescent="0.15">
      <c r="B403" s="5" t="s">
        <v>282</v>
      </c>
      <c r="C403" s="21">
        <v>5</v>
      </c>
      <c r="D403" s="15">
        <v>2</v>
      </c>
      <c r="E403" s="42">
        <f t="shared" si="146"/>
        <v>7</v>
      </c>
      <c r="F403" s="29">
        <v>45975</v>
      </c>
      <c r="H403" s="5" t="s">
        <v>213</v>
      </c>
      <c r="I403" s="21"/>
      <c r="J403" s="15"/>
      <c r="K403" s="42">
        <f t="shared" si="154"/>
        <v>0</v>
      </c>
      <c r="L403" t="s">
        <v>206</v>
      </c>
    </row>
    <row r="404" spans="2:14" x14ac:dyDescent="0.15">
      <c r="B404" s="5" t="s">
        <v>285</v>
      </c>
      <c r="C404" s="21"/>
      <c r="D404" s="15">
        <v>1</v>
      </c>
      <c r="E404" s="42">
        <f t="shared" si="146"/>
        <v>1</v>
      </c>
      <c r="F404" s="29">
        <v>45978</v>
      </c>
      <c r="H404" s="5" t="s">
        <v>212</v>
      </c>
      <c r="I404" s="21"/>
      <c r="J404" s="15"/>
      <c r="K404" s="42">
        <f t="shared" si="154"/>
        <v>0</v>
      </c>
      <c r="L404" t="s">
        <v>214</v>
      </c>
    </row>
    <row r="405" spans="2:14" ht="14.25" thickBot="1" x14ac:dyDescent="0.2">
      <c r="B405" s="5"/>
      <c r="C405" s="21"/>
      <c r="D405" s="15"/>
      <c r="E405" s="42">
        <f t="shared" si="146"/>
        <v>0</v>
      </c>
      <c r="H405" s="5" t="s">
        <v>220</v>
      </c>
      <c r="I405" s="21"/>
      <c r="J405" s="15"/>
      <c r="K405" s="42">
        <f t="shared" si="154"/>
        <v>0</v>
      </c>
      <c r="L405" t="s">
        <v>74</v>
      </c>
    </row>
    <row r="406" spans="2:14" ht="14.25" thickBot="1" x14ac:dyDescent="0.2">
      <c r="B406" s="4" t="s">
        <v>1</v>
      </c>
      <c r="C406" s="23">
        <f>SUM(C381:C405)</f>
        <v>156</v>
      </c>
      <c r="D406" s="17">
        <f>SUM(D381:D405)</f>
        <v>149</v>
      </c>
      <c r="E406" s="44">
        <f t="shared" si="146"/>
        <v>305</v>
      </c>
      <c r="H406" s="4" t="s">
        <v>1</v>
      </c>
      <c r="I406" s="23">
        <f>SUM(I381:I405)</f>
        <v>50</v>
      </c>
      <c r="J406" s="17">
        <f t="shared" ref="J406" si="155">SUM(J381:J405)</f>
        <v>50</v>
      </c>
      <c r="K406" s="44">
        <f t="shared" ref="K406" si="156">SUM(K381:K405)</f>
        <v>100</v>
      </c>
    </row>
    <row r="407" spans="2:14" ht="14.25" thickBot="1" x14ac:dyDescent="0.2">
      <c r="B407" s="3" t="s">
        <v>0</v>
      </c>
      <c r="C407" s="26">
        <f>+C380-C406</f>
        <v>9</v>
      </c>
      <c r="D407" s="2">
        <f>+D380-D406</f>
        <v>4</v>
      </c>
      <c r="E407" s="45">
        <f t="shared" si="146"/>
        <v>13</v>
      </c>
      <c r="H407" s="3" t="s">
        <v>0</v>
      </c>
      <c r="I407" s="26">
        <f>+I380-I406</f>
        <v>0</v>
      </c>
      <c r="J407" s="2">
        <f t="shared" ref="J407" si="157">+J380-J406</f>
        <v>0</v>
      </c>
      <c r="K407" s="45">
        <f t="shared" ref="K407" si="158">+K380-K406</f>
        <v>0</v>
      </c>
      <c r="N407" t="s">
        <v>207</v>
      </c>
    </row>
    <row r="411" spans="2:14" ht="18.75" x14ac:dyDescent="0.2">
      <c r="B411" s="13" t="s">
        <v>9</v>
      </c>
      <c r="C411" s="12"/>
      <c r="D411" s="12"/>
      <c r="E411" s="59"/>
      <c r="H411" s="48" t="s">
        <v>10</v>
      </c>
      <c r="I411" s="49"/>
      <c r="J411" s="49"/>
      <c r="K411" s="60"/>
      <c r="L411" s="66"/>
    </row>
    <row r="412" spans="2:14" ht="15" thickBot="1" x14ac:dyDescent="0.2">
      <c r="B412" s="52" t="s">
        <v>16</v>
      </c>
      <c r="C412" s="12"/>
      <c r="D412" s="67" t="s">
        <v>215</v>
      </c>
      <c r="E412" s="68"/>
      <c r="H412" s="53" t="s">
        <v>16</v>
      </c>
      <c r="I412" s="49"/>
      <c r="J412" s="69" t="s">
        <v>215</v>
      </c>
      <c r="K412" s="70"/>
      <c r="L412" s="66"/>
    </row>
    <row r="413" spans="2:14" ht="14.25" thickBot="1" x14ac:dyDescent="0.2">
      <c r="B413" s="11"/>
      <c r="C413" s="96" t="s">
        <v>209</v>
      </c>
      <c r="D413" s="97"/>
      <c r="E413" s="98"/>
      <c r="H413" s="11"/>
      <c r="I413" s="96" t="s">
        <v>209</v>
      </c>
      <c r="J413" s="97"/>
      <c r="K413" s="98"/>
    </row>
    <row r="414" spans="2:14" ht="19.5" thickBot="1" x14ac:dyDescent="0.25">
      <c r="B414" s="10"/>
      <c r="C414" s="19" t="s">
        <v>7</v>
      </c>
      <c r="D414" s="58" t="s">
        <v>8</v>
      </c>
      <c r="E414" s="37" t="s">
        <v>4</v>
      </c>
      <c r="H414" s="10"/>
      <c r="I414" s="19" t="s">
        <v>7</v>
      </c>
      <c r="J414" s="58" t="s">
        <v>8</v>
      </c>
      <c r="K414" s="37" t="s">
        <v>4</v>
      </c>
    </row>
    <row r="415" spans="2:14" x14ac:dyDescent="0.15">
      <c r="B415" s="34" t="s">
        <v>0</v>
      </c>
      <c r="C415" s="35">
        <f>C407</f>
        <v>9</v>
      </c>
      <c r="D415" s="95">
        <f t="shared" ref="D415:E415" si="159">D407</f>
        <v>4</v>
      </c>
      <c r="E415" s="84">
        <f t="shared" si="159"/>
        <v>13</v>
      </c>
      <c r="H415" s="34" t="s">
        <v>0</v>
      </c>
      <c r="I415" s="35">
        <f>I407</f>
        <v>0</v>
      </c>
      <c r="J415" s="36">
        <f t="shared" ref="J415:K415" si="160">J407</f>
        <v>0</v>
      </c>
      <c r="K415" s="46">
        <f t="shared" si="160"/>
        <v>0</v>
      </c>
    </row>
    <row r="416" spans="2:14" x14ac:dyDescent="0.15">
      <c r="B416" s="8" t="s">
        <v>3</v>
      </c>
      <c r="C416" s="21">
        <v>50</v>
      </c>
      <c r="D416" s="15">
        <v>50</v>
      </c>
      <c r="E416" s="56">
        <f t="shared" ref="E416" si="161">SUM(C416:D416)</f>
        <v>100</v>
      </c>
      <c r="F416" s="29">
        <v>45976</v>
      </c>
      <c r="H416" s="8" t="s">
        <v>216</v>
      </c>
      <c r="I416" s="21">
        <v>100</v>
      </c>
      <c r="J416" s="15">
        <v>100</v>
      </c>
      <c r="K416" s="56">
        <f t="shared" ref="K416" si="162">SUM(I416:J416)</f>
        <v>200</v>
      </c>
      <c r="L416" t="s">
        <v>268</v>
      </c>
      <c r="M416" t="s">
        <v>249</v>
      </c>
    </row>
    <row r="417" spans="2:13" x14ac:dyDescent="0.15">
      <c r="B417" s="8" t="s">
        <v>298</v>
      </c>
      <c r="C417" s="21">
        <v>4</v>
      </c>
      <c r="D417" s="15"/>
      <c r="E417" s="56">
        <f t="shared" ref="E417:E448" si="163">SUM(C417:D417)</f>
        <v>4</v>
      </c>
      <c r="F417" s="29">
        <v>45987</v>
      </c>
      <c r="H417" s="8" t="s">
        <v>275</v>
      </c>
      <c r="I417" s="21">
        <v>200</v>
      </c>
      <c r="J417" s="15">
        <v>200</v>
      </c>
      <c r="K417" s="56">
        <f t="shared" ref="K417:K420" si="164">SUM(I417:J417)</f>
        <v>400</v>
      </c>
      <c r="L417" t="s">
        <v>268</v>
      </c>
      <c r="M417" t="s">
        <v>249</v>
      </c>
    </row>
    <row r="418" spans="2:13" x14ac:dyDescent="0.15">
      <c r="B418" s="8" t="s">
        <v>38</v>
      </c>
      <c r="C418" s="21">
        <v>3</v>
      </c>
      <c r="D418" s="15">
        <v>2</v>
      </c>
      <c r="E418" s="56">
        <f t="shared" si="163"/>
        <v>5</v>
      </c>
      <c r="F418" s="29">
        <v>45986</v>
      </c>
      <c r="H418" s="8" t="s">
        <v>276</v>
      </c>
      <c r="I418" s="21">
        <v>100</v>
      </c>
      <c r="J418" s="15">
        <v>70</v>
      </c>
      <c r="K418" s="56">
        <f t="shared" ref="K418" si="165">SUM(I418:J418)</f>
        <v>170</v>
      </c>
      <c r="L418" s="57" t="s">
        <v>281</v>
      </c>
      <c r="M418" t="s">
        <v>249</v>
      </c>
    </row>
    <row r="419" spans="2:13" x14ac:dyDescent="0.15">
      <c r="B419" s="92" t="s">
        <v>3</v>
      </c>
      <c r="C419" s="88">
        <v>25</v>
      </c>
      <c r="D419" s="89">
        <v>25</v>
      </c>
      <c r="E419" s="93">
        <f t="shared" si="163"/>
        <v>50</v>
      </c>
      <c r="F419" s="91">
        <v>46007</v>
      </c>
      <c r="H419" s="8" t="s">
        <v>3</v>
      </c>
      <c r="I419" s="21"/>
      <c r="J419" s="15"/>
      <c r="K419" s="56">
        <f t="shared" ref="K419" si="166">SUM(I419:J419)</f>
        <v>0</v>
      </c>
      <c r="L419" s="57"/>
    </row>
    <row r="420" spans="2:13" ht="14.25" thickBot="1" x14ac:dyDescent="0.2">
      <c r="B420" s="8" t="s">
        <v>3</v>
      </c>
      <c r="C420" s="21"/>
      <c r="D420" s="15"/>
      <c r="E420" s="40">
        <f t="shared" si="163"/>
        <v>0</v>
      </c>
      <c r="H420" s="8" t="s">
        <v>3</v>
      </c>
      <c r="I420" s="21"/>
      <c r="J420" s="15"/>
      <c r="K420" s="40">
        <f t="shared" si="164"/>
        <v>0</v>
      </c>
    </row>
    <row r="421" spans="2:13" ht="14.25" thickBot="1" x14ac:dyDescent="0.2">
      <c r="B421" s="31" t="s">
        <v>2</v>
      </c>
      <c r="C421" s="32">
        <f>SUM(C415:C420)</f>
        <v>91</v>
      </c>
      <c r="D421" s="33">
        <f>SUM(D415:D420)</f>
        <v>81</v>
      </c>
      <c r="E421" s="41">
        <f t="shared" si="163"/>
        <v>172</v>
      </c>
      <c r="H421" s="31" t="s">
        <v>2</v>
      </c>
      <c r="I421" s="32">
        <f>SUM(I415:I420)</f>
        <v>400</v>
      </c>
      <c r="J421" s="33">
        <f t="shared" ref="J421:K421" si="167">SUM(J415:J420)</f>
        <v>370</v>
      </c>
      <c r="K421" s="41">
        <f t="shared" si="167"/>
        <v>770</v>
      </c>
    </row>
    <row r="422" spans="2:13" x14ac:dyDescent="0.15">
      <c r="B422" s="5" t="s">
        <v>287</v>
      </c>
      <c r="C422" s="21">
        <v>1</v>
      </c>
      <c r="D422" s="15">
        <v>8</v>
      </c>
      <c r="E422" s="42">
        <f t="shared" ref="E422" si="168">SUM(C422:D422)</f>
        <v>9</v>
      </c>
      <c r="F422" s="29">
        <v>45980</v>
      </c>
      <c r="H422" s="5" t="s">
        <v>267</v>
      </c>
      <c r="I422" s="21">
        <v>10</v>
      </c>
      <c r="J422" s="15">
        <v>15</v>
      </c>
      <c r="K422" s="42">
        <f t="shared" ref="K422:K433" si="169">SUM(I422:J422)</f>
        <v>25</v>
      </c>
      <c r="L422" s="57">
        <v>45972</v>
      </c>
    </row>
    <row r="423" spans="2:13" x14ac:dyDescent="0.15">
      <c r="B423" s="5" t="s">
        <v>289</v>
      </c>
      <c r="C423" s="21">
        <v>7</v>
      </c>
      <c r="D423" s="15"/>
      <c r="E423" s="42">
        <f t="shared" si="163"/>
        <v>7</v>
      </c>
      <c r="F423" s="29">
        <v>45981</v>
      </c>
      <c r="H423" s="5" t="s">
        <v>278</v>
      </c>
      <c r="I423" s="21">
        <v>15</v>
      </c>
      <c r="J423" s="15">
        <v>15</v>
      </c>
      <c r="K423" s="42">
        <f t="shared" si="169"/>
        <v>30</v>
      </c>
      <c r="L423" s="57">
        <v>45974</v>
      </c>
    </row>
    <row r="424" spans="2:13" x14ac:dyDescent="0.15">
      <c r="B424" s="5" t="s">
        <v>290</v>
      </c>
      <c r="C424" s="21">
        <v>2</v>
      </c>
      <c r="D424" s="15">
        <v>3</v>
      </c>
      <c r="E424" s="42">
        <f t="shared" si="163"/>
        <v>5</v>
      </c>
      <c r="F424" s="29">
        <v>45982</v>
      </c>
      <c r="H424" s="5" t="s">
        <v>280</v>
      </c>
      <c r="I424" s="21">
        <v>40</v>
      </c>
      <c r="J424" s="15"/>
      <c r="K424" s="42">
        <f t="shared" si="169"/>
        <v>40</v>
      </c>
      <c r="L424" s="57">
        <v>45974</v>
      </c>
    </row>
    <row r="425" spans="2:13" x14ac:dyDescent="0.15">
      <c r="B425" s="5" t="s">
        <v>291</v>
      </c>
      <c r="C425" s="21">
        <v>5</v>
      </c>
      <c r="D425" s="15">
        <v>4</v>
      </c>
      <c r="E425" s="42">
        <f t="shared" si="163"/>
        <v>9</v>
      </c>
      <c r="F425" s="29">
        <v>45982</v>
      </c>
      <c r="H425" s="5" t="s">
        <v>283</v>
      </c>
      <c r="I425" s="21"/>
      <c r="J425" s="15">
        <v>15</v>
      </c>
      <c r="K425" s="42">
        <f t="shared" si="169"/>
        <v>15</v>
      </c>
      <c r="L425" s="57">
        <v>45975</v>
      </c>
    </row>
    <row r="426" spans="2:13" x14ac:dyDescent="0.15">
      <c r="B426" s="5" t="s">
        <v>292</v>
      </c>
      <c r="C426" s="21">
        <v>2</v>
      </c>
      <c r="D426" s="15"/>
      <c r="E426" s="42">
        <f t="shared" si="163"/>
        <v>2</v>
      </c>
      <c r="F426" s="29">
        <v>45986</v>
      </c>
      <c r="H426" s="5" t="s">
        <v>284</v>
      </c>
      <c r="I426" s="21"/>
      <c r="J426" s="15">
        <v>5</v>
      </c>
      <c r="K426" s="42">
        <f t="shared" si="169"/>
        <v>5</v>
      </c>
      <c r="L426" s="57">
        <v>45976</v>
      </c>
    </row>
    <row r="427" spans="2:13" x14ac:dyDescent="0.15">
      <c r="B427" s="5" t="s">
        <v>293</v>
      </c>
      <c r="C427" s="21"/>
      <c r="D427" s="15">
        <v>2</v>
      </c>
      <c r="E427" s="42">
        <f t="shared" si="163"/>
        <v>2</v>
      </c>
      <c r="F427" s="29">
        <v>45988</v>
      </c>
      <c r="H427" s="5" t="s">
        <v>286</v>
      </c>
      <c r="I427" s="21">
        <v>50</v>
      </c>
      <c r="J427" s="15">
        <v>50</v>
      </c>
      <c r="K427" s="42">
        <f t="shared" si="169"/>
        <v>100</v>
      </c>
      <c r="L427" s="57">
        <v>45976</v>
      </c>
    </row>
    <row r="428" spans="2:13" x14ac:dyDescent="0.15">
      <c r="B428" s="5" t="s">
        <v>297</v>
      </c>
      <c r="C428" s="21">
        <v>1</v>
      </c>
      <c r="D428" s="15"/>
      <c r="E428" s="42">
        <f t="shared" si="163"/>
        <v>1</v>
      </c>
      <c r="F428" s="29">
        <v>45989</v>
      </c>
      <c r="H428" s="5" t="s">
        <v>288</v>
      </c>
      <c r="I428" s="21">
        <v>30</v>
      </c>
      <c r="J428" s="15">
        <v>50</v>
      </c>
      <c r="K428" s="42">
        <f t="shared" si="169"/>
        <v>80</v>
      </c>
      <c r="L428" s="57">
        <v>45981</v>
      </c>
    </row>
    <row r="429" spans="2:13" x14ac:dyDescent="0.15">
      <c r="B429" s="5"/>
      <c r="C429" s="21"/>
      <c r="D429" s="15"/>
      <c r="E429" s="42">
        <f t="shared" ref="E429:E434" si="170">SUM(C429:D429)</f>
        <v>0</v>
      </c>
      <c r="H429" s="5" t="s">
        <v>307</v>
      </c>
      <c r="I429" s="21">
        <v>10</v>
      </c>
      <c r="J429" s="15">
        <v>30</v>
      </c>
      <c r="K429" s="42">
        <f t="shared" ref="K429" si="171">SUM(I429:J429)</f>
        <v>40</v>
      </c>
      <c r="L429" s="57">
        <v>45995</v>
      </c>
    </row>
    <row r="430" spans="2:13" x14ac:dyDescent="0.15">
      <c r="B430" s="5"/>
      <c r="C430" s="21"/>
      <c r="D430" s="15"/>
      <c r="E430" s="42">
        <f t="shared" si="170"/>
        <v>0</v>
      </c>
      <c r="H430" s="5" t="s">
        <v>308</v>
      </c>
      <c r="I430" s="21">
        <v>20</v>
      </c>
      <c r="J430" s="15">
        <v>50</v>
      </c>
      <c r="K430" s="42">
        <f t="shared" si="169"/>
        <v>70</v>
      </c>
      <c r="L430" s="57">
        <v>45996</v>
      </c>
    </row>
    <row r="431" spans="2:13" x14ac:dyDescent="0.15">
      <c r="B431" s="5"/>
      <c r="C431" s="21"/>
      <c r="D431" s="15"/>
      <c r="E431" s="42">
        <f t="shared" si="170"/>
        <v>0</v>
      </c>
      <c r="H431" s="5" t="s">
        <v>311</v>
      </c>
      <c r="I431" s="21">
        <v>17</v>
      </c>
      <c r="J431" s="15">
        <v>15</v>
      </c>
      <c r="K431" s="42">
        <f t="shared" si="169"/>
        <v>32</v>
      </c>
      <c r="L431" s="57">
        <v>45999</v>
      </c>
    </row>
    <row r="432" spans="2:13" x14ac:dyDescent="0.15">
      <c r="B432" s="5"/>
      <c r="C432" s="21"/>
      <c r="D432" s="15"/>
      <c r="E432" s="42">
        <f t="shared" si="170"/>
        <v>0</v>
      </c>
      <c r="H432" s="5" t="s">
        <v>312</v>
      </c>
      <c r="I432" s="21">
        <v>5</v>
      </c>
      <c r="J432" s="15">
        <v>20</v>
      </c>
      <c r="K432" s="42">
        <f t="shared" si="169"/>
        <v>25</v>
      </c>
      <c r="L432" s="57">
        <v>45997</v>
      </c>
    </row>
    <row r="433" spans="2:12" x14ac:dyDescent="0.15">
      <c r="B433" s="5"/>
      <c r="C433" s="21"/>
      <c r="D433" s="15"/>
      <c r="E433" s="42">
        <f t="shared" si="170"/>
        <v>0</v>
      </c>
      <c r="H433" s="5"/>
      <c r="I433" s="21"/>
      <c r="J433" s="15"/>
      <c r="K433" s="42">
        <f t="shared" si="169"/>
        <v>0</v>
      </c>
    </row>
    <row r="434" spans="2:12" x14ac:dyDescent="0.15">
      <c r="B434" s="5"/>
      <c r="C434" s="21"/>
      <c r="D434" s="15"/>
      <c r="E434" s="42">
        <f t="shared" si="170"/>
        <v>0</v>
      </c>
      <c r="H434" s="5"/>
      <c r="I434" s="21"/>
      <c r="J434" s="15"/>
      <c r="K434" s="42">
        <f t="shared" ref="K434:K438" si="172">SUM(I434:J434)</f>
        <v>0</v>
      </c>
    </row>
    <row r="435" spans="2:12" x14ac:dyDescent="0.15">
      <c r="B435" s="5"/>
      <c r="C435" s="21"/>
      <c r="D435" s="15"/>
      <c r="E435" s="42">
        <f t="shared" si="163"/>
        <v>0</v>
      </c>
      <c r="H435" s="5"/>
      <c r="I435" s="21"/>
      <c r="J435" s="15"/>
      <c r="K435" s="42">
        <f t="shared" si="172"/>
        <v>0</v>
      </c>
    </row>
    <row r="436" spans="2:12" x14ac:dyDescent="0.15">
      <c r="B436" s="5"/>
      <c r="C436" s="21"/>
      <c r="D436" s="15"/>
      <c r="E436" s="42">
        <f t="shared" si="163"/>
        <v>0</v>
      </c>
      <c r="H436" s="5"/>
      <c r="I436" s="21"/>
      <c r="J436" s="15"/>
      <c r="K436" s="42">
        <f t="shared" si="172"/>
        <v>0</v>
      </c>
    </row>
    <row r="437" spans="2:12" x14ac:dyDescent="0.15">
      <c r="B437" s="5"/>
      <c r="C437" s="21"/>
      <c r="D437" s="15"/>
      <c r="E437" s="42">
        <f t="shared" si="163"/>
        <v>0</v>
      </c>
      <c r="H437" s="5"/>
      <c r="I437" s="21"/>
      <c r="J437" s="15"/>
      <c r="K437" s="42">
        <f t="shared" si="172"/>
        <v>0</v>
      </c>
    </row>
    <row r="438" spans="2:12" x14ac:dyDescent="0.15">
      <c r="B438" s="5"/>
      <c r="C438" s="21"/>
      <c r="D438" s="15"/>
      <c r="E438" s="42">
        <f t="shared" si="163"/>
        <v>0</v>
      </c>
      <c r="H438" s="5"/>
      <c r="I438" s="21"/>
      <c r="J438" s="15"/>
      <c r="K438" s="42">
        <f t="shared" si="172"/>
        <v>0</v>
      </c>
    </row>
    <row r="439" spans="2:12" x14ac:dyDescent="0.15">
      <c r="B439" s="5"/>
      <c r="C439" s="21"/>
      <c r="D439" s="15"/>
      <c r="E439" s="42">
        <f t="shared" si="163"/>
        <v>0</v>
      </c>
      <c r="H439" s="5"/>
      <c r="I439" s="21"/>
      <c r="J439" s="15"/>
      <c r="K439" s="42">
        <f t="shared" ref="K439:K446" si="173">SUM(I439:J439)</f>
        <v>0</v>
      </c>
    </row>
    <row r="440" spans="2:12" x14ac:dyDescent="0.15">
      <c r="B440" s="5"/>
      <c r="C440" s="21"/>
      <c r="D440" s="15"/>
      <c r="E440" s="42">
        <f t="shared" si="163"/>
        <v>0</v>
      </c>
      <c r="H440" s="5" t="s">
        <v>238</v>
      </c>
      <c r="I440" s="21"/>
      <c r="J440" s="15"/>
      <c r="K440" s="42">
        <f t="shared" si="173"/>
        <v>0</v>
      </c>
      <c r="L440" t="s">
        <v>239</v>
      </c>
    </row>
    <row r="441" spans="2:12" x14ac:dyDescent="0.15">
      <c r="B441" s="5"/>
      <c r="C441" s="21"/>
      <c r="D441" s="15"/>
      <c r="E441" s="42">
        <f t="shared" si="163"/>
        <v>0</v>
      </c>
      <c r="H441" s="61" t="s">
        <v>230</v>
      </c>
      <c r="I441" s="62"/>
      <c r="J441" s="63"/>
      <c r="K441" s="64">
        <f t="shared" si="173"/>
        <v>0</v>
      </c>
    </row>
    <row r="442" spans="2:12" x14ac:dyDescent="0.15">
      <c r="B442" s="5"/>
      <c r="C442" s="21"/>
      <c r="D442" s="15"/>
      <c r="E442" s="42">
        <f t="shared" si="163"/>
        <v>0</v>
      </c>
      <c r="H442" s="5" t="s">
        <v>228</v>
      </c>
      <c r="I442" s="21"/>
      <c r="J442" s="15"/>
      <c r="K442" s="42">
        <f t="shared" si="173"/>
        <v>0</v>
      </c>
      <c r="L442" t="s">
        <v>229</v>
      </c>
    </row>
    <row r="443" spans="2:12" x14ac:dyDescent="0.15">
      <c r="B443" s="5"/>
      <c r="C443" s="21"/>
      <c r="D443" s="15"/>
      <c r="E443" s="42">
        <f t="shared" si="163"/>
        <v>0</v>
      </c>
      <c r="H443" s="61" t="s">
        <v>227</v>
      </c>
      <c r="I443" s="62"/>
      <c r="J443" s="63"/>
      <c r="K443" s="64">
        <f t="shared" si="173"/>
        <v>0</v>
      </c>
      <c r="L443" s="71"/>
    </row>
    <row r="444" spans="2:12" x14ac:dyDescent="0.15">
      <c r="B444" s="5"/>
      <c r="C444" s="21"/>
      <c r="D444" s="15"/>
      <c r="E444" s="42">
        <f t="shared" si="163"/>
        <v>0</v>
      </c>
      <c r="H444" s="5" t="s">
        <v>210</v>
      </c>
      <c r="I444" s="21"/>
      <c r="J444" s="15"/>
      <c r="K444" s="42">
        <f t="shared" si="173"/>
        <v>0</v>
      </c>
      <c r="L444" t="s">
        <v>211</v>
      </c>
    </row>
    <row r="445" spans="2:12" x14ac:dyDescent="0.15">
      <c r="B445" s="5"/>
      <c r="C445" s="21"/>
      <c r="D445" s="15"/>
      <c r="E445" s="42">
        <f t="shared" si="163"/>
        <v>0</v>
      </c>
      <c r="H445" s="61" t="s">
        <v>241</v>
      </c>
      <c r="I445" s="62"/>
      <c r="J445" s="63"/>
      <c r="K445" s="64">
        <f t="shared" si="173"/>
        <v>0</v>
      </c>
      <c r="L445" s="71"/>
    </row>
    <row r="446" spans="2:12" ht="14.25" thickBot="1" x14ac:dyDescent="0.2">
      <c r="B446" s="5"/>
      <c r="C446" s="21"/>
      <c r="D446" s="15"/>
      <c r="E446" s="42">
        <f t="shared" si="163"/>
        <v>0</v>
      </c>
      <c r="H446" s="5" t="s">
        <v>242</v>
      </c>
      <c r="I446" s="21"/>
      <c r="J446" s="15"/>
      <c r="K446" s="42">
        <f t="shared" si="173"/>
        <v>0</v>
      </c>
      <c r="L446" t="s">
        <v>240</v>
      </c>
    </row>
    <row r="447" spans="2:12" ht="14.25" thickBot="1" x14ac:dyDescent="0.2">
      <c r="B447" s="4" t="s">
        <v>1</v>
      </c>
      <c r="C447" s="23">
        <f>SUM(C422:C446)</f>
        <v>18</v>
      </c>
      <c r="D447" s="17">
        <f>SUM(D422:D446)</f>
        <v>17</v>
      </c>
      <c r="E447" s="44">
        <f t="shared" si="163"/>
        <v>35</v>
      </c>
      <c r="H447" s="4" t="s">
        <v>1</v>
      </c>
      <c r="I447" s="23">
        <f>SUM(I422:I446)</f>
        <v>197</v>
      </c>
      <c r="J447" s="17">
        <f t="shared" ref="J447:K447" si="174">SUM(J422:J446)</f>
        <v>265</v>
      </c>
      <c r="K447" s="44">
        <f t="shared" si="174"/>
        <v>462</v>
      </c>
    </row>
    <row r="448" spans="2:12" ht="14.25" thickBot="1" x14ac:dyDescent="0.2">
      <c r="B448" s="3" t="s">
        <v>0</v>
      </c>
      <c r="C448" s="26">
        <f>+C421-C447</f>
        <v>73</v>
      </c>
      <c r="D448" s="2">
        <f>+D421-D447</f>
        <v>64</v>
      </c>
      <c r="E448" s="45">
        <f t="shared" si="163"/>
        <v>137</v>
      </c>
      <c r="H448" s="3" t="s">
        <v>0</v>
      </c>
      <c r="I448" s="26">
        <f>+I421-I447</f>
        <v>203</v>
      </c>
      <c r="J448" s="2">
        <f t="shared" ref="J448:K448" si="175">+J421-J447</f>
        <v>105</v>
      </c>
      <c r="K448" s="45">
        <f t="shared" si="175"/>
        <v>308</v>
      </c>
    </row>
    <row r="452" spans="2:14" ht="18.75" x14ac:dyDescent="0.2">
      <c r="B452" s="13" t="s">
        <v>9</v>
      </c>
      <c r="C452" s="12"/>
      <c r="D452" s="12"/>
      <c r="E452" s="59"/>
      <c r="H452" s="48" t="s">
        <v>10</v>
      </c>
      <c r="I452" s="49"/>
      <c r="J452" s="49"/>
      <c r="K452" s="60"/>
      <c r="L452" s="66"/>
    </row>
    <row r="453" spans="2:14" ht="15" thickBot="1" x14ac:dyDescent="0.2">
      <c r="B453" s="52" t="s">
        <v>16</v>
      </c>
      <c r="C453" s="12"/>
      <c r="D453" s="67" t="s">
        <v>215</v>
      </c>
      <c r="E453" s="68"/>
      <c r="H453" s="53" t="s">
        <v>16</v>
      </c>
      <c r="I453" s="49"/>
      <c r="J453" s="69" t="s">
        <v>215</v>
      </c>
      <c r="K453" s="70"/>
      <c r="L453" s="66"/>
    </row>
    <row r="454" spans="2:14" ht="14.25" thickBot="1" x14ac:dyDescent="0.2">
      <c r="B454" s="11"/>
      <c r="C454" s="96" t="s">
        <v>209</v>
      </c>
      <c r="D454" s="97"/>
      <c r="E454" s="98"/>
      <c r="H454" s="11"/>
      <c r="I454" s="96" t="s">
        <v>209</v>
      </c>
      <c r="J454" s="97"/>
      <c r="K454" s="98"/>
    </row>
    <row r="455" spans="2:14" ht="19.5" thickBot="1" x14ac:dyDescent="0.25">
      <c r="B455" s="10"/>
      <c r="C455" s="19" t="s">
        <v>7</v>
      </c>
      <c r="D455" s="58" t="s">
        <v>8</v>
      </c>
      <c r="E455" s="37" t="s">
        <v>4</v>
      </c>
      <c r="H455" s="10"/>
      <c r="I455" s="19" t="s">
        <v>7</v>
      </c>
      <c r="J455" s="58" t="s">
        <v>8</v>
      </c>
      <c r="K455" s="37" t="s">
        <v>4</v>
      </c>
    </row>
    <row r="456" spans="2:14" x14ac:dyDescent="0.15">
      <c r="B456" s="34" t="s">
        <v>0</v>
      </c>
      <c r="C456" s="35">
        <f>C448</f>
        <v>73</v>
      </c>
      <c r="D456" s="35">
        <f t="shared" ref="D456:E456" si="176">D448</f>
        <v>64</v>
      </c>
      <c r="E456" s="84">
        <f t="shared" si="176"/>
        <v>137</v>
      </c>
      <c r="H456" s="34" t="s">
        <v>0</v>
      </c>
      <c r="I456" s="35">
        <f>I448</f>
        <v>203</v>
      </c>
      <c r="J456" s="36">
        <f t="shared" ref="J456:K456" si="177">J448</f>
        <v>105</v>
      </c>
      <c r="K456" s="46">
        <f t="shared" si="177"/>
        <v>308</v>
      </c>
    </row>
    <row r="457" spans="2:14" x14ac:dyDescent="0.15">
      <c r="B457" s="8" t="s">
        <v>133</v>
      </c>
      <c r="C457" s="21">
        <v>1</v>
      </c>
      <c r="D457" s="15"/>
      <c r="E457" s="56">
        <f t="shared" ref="E457:E460" si="178">SUM(C457:D457)</f>
        <v>1</v>
      </c>
      <c r="F457" s="29">
        <v>46007</v>
      </c>
      <c r="H457" s="8" t="s">
        <v>3</v>
      </c>
      <c r="I457" s="21">
        <v>158</v>
      </c>
      <c r="J457" s="15">
        <v>65</v>
      </c>
      <c r="K457" s="56">
        <f t="shared" ref="K457:K461" si="179">SUM(I457:J457)</f>
        <v>223</v>
      </c>
      <c r="L457" s="57" t="s">
        <v>320</v>
      </c>
    </row>
    <row r="458" spans="2:14" x14ac:dyDescent="0.15">
      <c r="B458" s="8" t="s">
        <v>3</v>
      </c>
      <c r="C458" s="21"/>
      <c r="D458" s="15">
        <v>25</v>
      </c>
      <c r="E458" s="56">
        <f t="shared" si="178"/>
        <v>25</v>
      </c>
      <c r="F458" s="29">
        <v>46011</v>
      </c>
      <c r="H458" s="8" t="s">
        <v>3</v>
      </c>
      <c r="I458" s="21">
        <f>800-158</f>
        <v>642</v>
      </c>
      <c r="J458" s="15">
        <v>700</v>
      </c>
      <c r="K458" s="56">
        <f t="shared" si="179"/>
        <v>1342</v>
      </c>
      <c r="L458" s="57" t="s">
        <v>321</v>
      </c>
      <c r="M458" s="71"/>
      <c r="N458" s="85" t="s">
        <v>250</v>
      </c>
    </row>
    <row r="459" spans="2:14" x14ac:dyDescent="0.15">
      <c r="B459" s="8" t="s">
        <v>337</v>
      </c>
      <c r="C459" s="21">
        <v>1</v>
      </c>
      <c r="D459" s="15">
        <v>2</v>
      </c>
      <c r="E459" s="56">
        <f t="shared" si="178"/>
        <v>3</v>
      </c>
      <c r="F459" s="29">
        <v>46015</v>
      </c>
      <c r="H459" s="8" t="s">
        <v>3</v>
      </c>
      <c r="I459" s="21">
        <v>70</v>
      </c>
      <c r="J459" s="15"/>
      <c r="K459" s="56">
        <f t="shared" si="179"/>
        <v>70</v>
      </c>
      <c r="L459" s="57" t="s">
        <v>321</v>
      </c>
    </row>
    <row r="460" spans="2:14" ht="14.25" thickBot="1" x14ac:dyDescent="0.2">
      <c r="B460" s="8" t="s">
        <v>3</v>
      </c>
      <c r="C460" s="21">
        <v>25</v>
      </c>
      <c r="D460" s="15">
        <v>25</v>
      </c>
      <c r="E460" s="40">
        <f t="shared" si="178"/>
        <v>50</v>
      </c>
      <c r="F460" s="29">
        <v>46032</v>
      </c>
      <c r="H460" s="8" t="s">
        <v>3</v>
      </c>
      <c r="I460" s="21"/>
      <c r="J460" s="15"/>
      <c r="K460" s="56">
        <f t="shared" ref="K460" si="180">SUM(I460:J460)</f>
        <v>0</v>
      </c>
      <c r="L460" s="57"/>
    </row>
    <row r="461" spans="2:14" ht="14.25" thickBot="1" x14ac:dyDescent="0.2">
      <c r="B461" s="8" t="s">
        <v>139</v>
      </c>
      <c r="C461" s="21"/>
      <c r="D461" s="15">
        <v>1</v>
      </c>
      <c r="E461" s="40">
        <f t="shared" ref="E461:E489" si="181">SUM(C461:D461)</f>
        <v>1</v>
      </c>
      <c r="F461" s="29">
        <v>46031</v>
      </c>
      <c r="H461" s="8" t="s">
        <v>3</v>
      </c>
      <c r="I461" s="21"/>
      <c r="J461" s="15"/>
      <c r="K461" s="40">
        <f t="shared" si="179"/>
        <v>0</v>
      </c>
    </row>
    <row r="462" spans="2:14" ht="14.25" thickBot="1" x14ac:dyDescent="0.2">
      <c r="B462" s="31" t="s">
        <v>2</v>
      </c>
      <c r="C462" s="32">
        <f>SUM(C456:C461)</f>
        <v>100</v>
      </c>
      <c r="D462" s="33">
        <f>SUM(D456:D461)</f>
        <v>117</v>
      </c>
      <c r="E462" s="41">
        <f t="shared" si="181"/>
        <v>217</v>
      </c>
      <c r="H462" s="31" t="s">
        <v>2</v>
      </c>
      <c r="I462" s="32">
        <f>SUM(I456:I461)</f>
        <v>1073</v>
      </c>
      <c r="J462" s="33">
        <f t="shared" ref="J462:K462" si="182">SUM(J456:J461)</f>
        <v>870</v>
      </c>
      <c r="K462" s="41">
        <f t="shared" si="182"/>
        <v>1943</v>
      </c>
    </row>
    <row r="463" spans="2:14" x14ac:dyDescent="0.15">
      <c r="B463" s="5" t="s">
        <v>301</v>
      </c>
      <c r="C463" s="21">
        <v>2</v>
      </c>
      <c r="D463" s="15"/>
      <c r="E463" s="42">
        <f t="shared" si="181"/>
        <v>2</v>
      </c>
      <c r="F463" s="29">
        <v>45992</v>
      </c>
      <c r="H463" s="5" t="s">
        <v>316</v>
      </c>
      <c r="I463" s="21">
        <v>20</v>
      </c>
      <c r="J463" s="15">
        <v>30</v>
      </c>
      <c r="K463" s="42">
        <f t="shared" ref="K463:K474" si="183">SUM(I463:J463)</f>
        <v>50</v>
      </c>
      <c r="L463" s="57">
        <v>46004</v>
      </c>
    </row>
    <row r="464" spans="2:14" x14ac:dyDescent="0.15">
      <c r="B464" s="5" t="s">
        <v>302</v>
      </c>
      <c r="C464" s="21">
        <v>1</v>
      </c>
      <c r="D464" s="15">
        <v>4</v>
      </c>
      <c r="E464" s="42">
        <f t="shared" si="181"/>
        <v>5</v>
      </c>
      <c r="F464" s="29">
        <v>45994</v>
      </c>
      <c r="H464" s="5" t="s">
        <v>317</v>
      </c>
      <c r="I464" s="21">
        <v>120</v>
      </c>
      <c r="J464" s="15">
        <v>130</v>
      </c>
      <c r="K464" s="42">
        <f t="shared" si="183"/>
        <v>250</v>
      </c>
      <c r="L464" s="57">
        <v>46004</v>
      </c>
    </row>
    <row r="465" spans="2:13" x14ac:dyDescent="0.15">
      <c r="B465" s="5" t="s">
        <v>305</v>
      </c>
      <c r="C465" s="21"/>
      <c r="D465" s="15">
        <v>2</v>
      </c>
      <c r="E465" s="42">
        <f t="shared" si="181"/>
        <v>2</v>
      </c>
      <c r="F465" s="29">
        <v>45994</v>
      </c>
      <c r="H465" s="5" t="s">
        <v>319</v>
      </c>
      <c r="I465" s="21">
        <v>80</v>
      </c>
      <c r="J465" s="15">
        <v>50</v>
      </c>
      <c r="K465" s="42">
        <f t="shared" si="183"/>
        <v>130</v>
      </c>
      <c r="L465" s="57">
        <v>46007</v>
      </c>
    </row>
    <row r="466" spans="2:13" x14ac:dyDescent="0.15">
      <c r="B466" s="5" t="s">
        <v>304</v>
      </c>
      <c r="C466" s="21">
        <v>2</v>
      </c>
      <c r="D466" s="15">
        <v>3</v>
      </c>
      <c r="E466" s="42">
        <f t="shared" si="181"/>
        <v>5</v>
      </c>
      <c r="F466" s="29">
        <v>45995</v>
      </c>
      <c r="H466" s="5" t="s">
        <v>323</v>
      </c>
      <c r="I466" s="21">
        <v>25</v>
      </c>
      <c r="J466" s="15">
        <v>25</v>
      </c>
      <c r="K466" s="42">
        <f t="shared" si="183"/>
        <v>50</v>
      </c>
      <c r="L466" s="57">
        <v>46007</v>
      </c>
    </row>
    <row r="467" spans="2:13" x14ac:dyDescent="0.15">
      <c r="B467" s="5" t="s">
        <v>306</v>
      </c>
      <c r="C467" s="21">
        <v>1</v>
      </c>
      <c r="D467" s="15">
        <v>1</v>
      </c>
      <c r="E467" s="42">
        <f t="shared" si="181"/>
        <v>2</v>
      </c>
      <c r="F467" s="29">
        <v>45996</v>
      </c>
      <c r="H467" s="5" t="s">
        <v>326</v>
      </c>
      <c r="I467" s="21">
        <v>100</v>
      </c>
      <c r="J467" s="15">
        <v>90</v>
      </c>
      <c r="K467" s="42">
        <f t="shared" si="183"/>
        <v>190</v>
      </c>
      <c r="L467" s="57">
        <v>46010</v>
      </c>
    </row>
    <row r="468" spans="2:13" x14ac:dyDescent="0.15">
      <c r="B468" s="5" t="s">
        <v>315</v>
      </c>
      <c r="C468" s="21">
        <v>7</v>
      </c>
      <c r="D468" s="15">
        <v>9</v>
      </c>
      <c r="E468" s="42">
        <f t="shared" si="181"/>
        <v>16</v>
      </c>
      <c r="F468" s="29">
        <v>46001</v>
      </c>
      <c r="H468" s="5" t="s">
        <v>329</v>
      </c>
      <c r="I468" s="21">
        <v>5</v>
      </c>
      <c r="J468" s="15">
        <v>60</v>
      </c>
      <c r="K468" s="42">
        <f t="shared" si="183"/>
        <v>65</v>
      </c>
      <c r="L468" s="57">
        <v>46010</v>
      </c>
    </row>
    <row r="469" spans="2:13" x14ac:dyDescent="0.15">
      <c r="B469" s="5" t="s">
        <v>311</v>
      </c>
      <c r="C469" s="21"/>
      <c r="D469" s="15">
        <v>1</v>
      </c>
      <c r="E469" s="42">
        <f t="shared" si="181"/>
        <v>1</v>
      </c>
      <c r="F469" s="29">
        <v>46006</v>
      </c>
      <c r="H469" s="5" t="s">
        <v>331</v>
      </c>
      <c r="I469" s="21">
        <v>30</v>
      </c>
      <c r="J469" s="15"/>
      <c r="K469" s="42">
        <f t="shared" si="183"/>
        <v>30</v>
      </c>
      <c r="L469" s="57">
        <v>46011</v>
      </c>
    </row>
    <row r="470" spans="2:13" x14ac:dyDescent="0.15">
      <c r="B470" s="5" t="s">
        <v>318</v>
      </c>
      <c r="C470" s="21">
        <v>4</v>
      </c>
      <c r="D470" s="15">
        <v>6</v>
      </c>
      <c r="E470" s="42">
        <f t="shared" si="181"/>
        <v>10</v>
      </c>
      <c r="F470" s="29">
        <v>46008</v>
      </c>
      <c r="H470" s="5" t="s">
        <v>332</v>
      </c>
      <c r="I470" s="21"/>
      <c r="J470" s="15">
        <v>25</v>
      </c>
      <c r="K470" s="42">
        <f t="shared" si="183"/>
        <v>25</v>
      </c>
      <c r="L470" s="57">
        <v>46011</v>
      </c>
    </row>
    <row r="471" spans="2:13" x14ac:dyDescent="0.15">
      <c r="B471" s="5" t="s">
        <v>324</v>
      </c>
      <c r="C471" s="21">
        <v>12</v>
      </c>
      <c r="D471" s="15">
        <v>18</v>
      </c>
      <c r="E471" s="42">
        <f t="shared" si="181"/>
        <v>30</v>
      </c>
      <c r="F471" s="29">
        <v>46008</v>
      </c>
      <c r="H471" s="5" t="s">
        <v>332</v>
      </c>
      <c r="I471" s="21">
        <v>25</v>
      </c>
      <c r="J471" s="15">
        <v>25</v>
      </c>
      <c r="K471" s="42">
        <f t="shared" si="183"/>
        <v>50</v>
      </c>
      <c r="L471" s="57">
        <v>46032</v>
      </c>
    </row>
    <row r="472" spans="2:13" x14ac:dyDescent="0.15">
      <c r="B472" s="5" t="s">
        <v>322</v>
      </c>
      <c r="C472" s="21"/>
      <c r="D472" s="15">
        <v>1</v>
      </c>
      <c r="E472" s="42">
        <f t="shared" si="181"/>
        <v>1</v>
      </c>
      <c r="F472" s="29">
        <v>46009</v>
      </c>
      <c r="H472" s="5"/>
      <c r="I472" s="21"/>
      <c r="J472" s="15"/>
      <c r="K472" s="42">
        <f t="shared" si="183"/>
        <v>0</v>
      </c>
    </row>
    <row r="473" spans="2:13" x14ac:dyDescent="0.15">
      <c r="B473" s="5" t="s">
        <v>325</v>
      </c>
      <c r="C473" s="21">
        <v>5</v>
      </c>
      <c r="D473" s="15">
        <v>5</v>
      </c>
      <c r="E473" s="42">
        <f t="shared" si="181"/>
        <v>10</v>
      </c>
      <c r="F473" s="29">
        <v>46010</v>
      </c>
      <c r="H473" s="5"/>
      <c r="I473" s="21"/>
      <c r="J473" s="15"/>
      <c r="K473" s="42">
        <f t="shared" si="183"/>
        <v>0</v>
      </c>
    </row>
    <row r="474" spans="2:13" x14ac:dyDescent="0.15">
      <c r="B474" s="5" t="s">
        <v>330</v>
      </c>
      <c r="C474" s="21"/>
      <c r="D474" s="15">
        <v>1</v>
      </c>
      <c r="E474" s="42">
        <f t="shared" si="181"/>
        <v>1</v>
      </c>
      <c r="F474" s="29">
        <v>46013</v>
      </c>
      <c r="H474" s="5"/>
      <c r="I474" s="21"/>
      <c r="J474" s="15"/>
      <c r="K474" s="42">
        <f t="shared" si="183"/>
        <v>0</v>
      </c>
    </row>
    <row r="475" spans="2:13" x14ac:dyDescent="0.15">
      <c r="B475" s="5" t="s">
        <v>333</v>
      </c>
      <c r="C475" s="21">
        <v>2</v>
      </c>
      <c r="D475" s="15">
        <v>3</v>
      </c>
      <c r="E475" s="42">
        <f t="shared" si="181"/>
        <v>5</v>
      </c>
      <c r="F475" s="29">
        <v>46015</v>
      </c>
      <c r="H475" s="5"/>
      <c r="I475" s="21"/>
      <c r="J475" s="15"/>
      <c r="K475" s="42">
        <f t="shared" ref="K475:K478" si="184">SUM(I475:J475)</f>
        <v>0</v>
      </c>
    </row>
    <row r="476" spans="2:13" x14ac:dyDescent="0.15">
      <c r="B476" s="5" t="s">
        <v>335</v>
      </c>
      <c r="C476" s="21">
        <v>15</v>
      </c>
      <c r="D476" s="15">
        <v>15</v>
      </c>
      <c r="E476" s="42">
        <f t="shared" si="181"/>
        <v>30</v>
      </c>
      <c r="F476" s="29">
        <v>46015</v>
      </c>
      <c r="H476" s="5"/>
      <c r="I476" s="21"/>
      <c r="J476" s="15"/>
      <c r="K476" s="42">
        <f t="shared" si="184"/>
        <v>0</v>
      </c>
    </row>
    <row r="477" spans="2:13" x14ac:dyDescent="0.15">
      <c r="B477" s="5" t="s">
        <v>334</v>
      </c>
      <c r="C477" s="21">
        <v>3</v>
      </c>
      <c r="D477" s="15">
        <v>3</v>
      </c>
      <c r="E477" s="42">
        <f t="shared" si="181"/>
        <v>6</v>
      </c>
      <c r="F477" s="29">
        <v>46016</v>
      </c>
      <c r="H477" s="5"/>
      <c r="I477" s="21"/>
      <c r="J477" s="15"/>
      <c r="K477" s="42">
        <f t="shared" si="184"/>
        <v>0</v>
      </c>
    </row>
    <row r="478" spans="2:13" x14ac:dyDescent="0.15">
      <c r="B478" s="5" t="s">
        <v>336</v>
      </c>
      <c r="C478" s="21">
        <v>4</v>
      </c>
      <c r="D478" s="15">
        <v>2</v>
      </c>
      <c r="E478" s="42">
        <f t="shared" si="181"/>
        <v>6</v>
      </c>
      <c r="F478" s="29">
        <v>46017</v>
      </c>
      <c r="H478" s="5"/>
      <c r="I478" s="21"/>
      <c r="J478" s="15"/>
      <c r="K478" s="42">
        <f t="shared" si="184"/>
        <v>0</v>
      </c>
      <c r="M478" s="71"/>
    </row>
    <row r="479" spans="2:13" x14ac:dyDescent="0.15">
      <c r="B479" s="5" t="s">
        <v>338</v>
      </c>
      <c r="C479" s="21">
        <v>3</v>
      </c>
      <c r="D479" s="15"/>
      <c r="E479" s="42">
        <f t="shared" si="181"/>
        <v>3</v>
      </c>
      <c r="F479" s="29">
        <v>46017</v>
      </c>
      <c r="H479" s="5"/>
      <c r="I479" s="21"/>
      <c r="J479" s="15"/>
      <c r="K479" s="42">
        <f t="shared" ref="K479:K480" si="185">SUM(I479:J479)</f>
        <v>0</v>
      </c>
    </row>
    <row r="480" spans="2:13" x14ac:dyDescent="0.15">
      <c r="B480" s="5" t="s">
        <v>17</v>
      </c>
      <c r="C480" s="21"/>
      <c r="D480" s="15">
        <v>2</v>
      </c>
      <c r="E480" s="42">
        <f t="shared" si="181"/>
        <v>2</v>
      </c>
      <c r="F480" s="29">
        <v>46016</v>
      </c>
      <c r="H480" s="5"/>
      <c r="I480" s="21"/>
      <c r="J480" s="15"/>
      <c r="K480" s="42">
        <f t="shared" si="185"/>
        <v>0</v>
      </c>
    </row>
    <row r="481" spans="2:12" x14ac:dyDescent="0.15">
      <c r="B481" s="5" t="s">
        <v>339</v>
      </c>
      <c r="C481" s="21"/>
      <c r="D481" s="15">
        <v>3</v>
      </c>
      <c r="E481" s="42">
        <f t="shared" si="181"/>
        <v>3</v>
      </c>
      <c r="F481" s="29">
        <v>46029</v>
      </c>
      <c r="H481" s="5" t="s">
        <v>269</v>
      </c>
      <c r="I481" s="21"/>
      <c r="J481" s="15"/>
      <c r="K481" s="42">
        <f t="shared" ref="K481:K487" si="186">SUM(I481:J481)</f>
        <v>0</v>
      </c>
      <c r="L481" t="s">
        <v>270</v>
      </c>
    </row>
    <row r="482" spans="2:12" x14ac:dyDescent="0.15">
      <c r="B482" s="5" t="s">
        <v>340</v>
      </c>
      <c r="C482" s="21">
        <v>1</v>
      </c>
      <c r="D482" s="15">
        <v>1</v>
      </c>
      <c r="E482" s="42">
        <f t="shared" si="181"/>
        <v>2</v>
      </c>
      <c r="F482" s="29">
        <v>46030</v>
      </c>
      <c r="H482" s="61" t="s">
        <v>243</v>
      </c>
      <c r="I482" s="62"/>
      <c r="J482" s="63"/>
      <c r="K482" s="64">
        <f t="shared" si="186"/>
        <v>0</v>
      </c>
      <c r="L482" s="71"/>
    </row>
    <row r="483" spans="2:12" x14ac:dyDescent="0.15">
      <c r="B483" s="5" t="s">
        <v>341</v>
      </c>
      <c r="C483" s="21"/>
      <c r="D483" s="15">
        <v>1</v>
      </c>
      <c r="E483" s="42">
        <f t="shared" si="181"/>
        <v>1</v>
      </c>
      <c r="F483" s="29">
        <v>46031</v>
      </c>
      <c r="H483" s="5" t="s">
        <v>346</v>
      </c>
      <c r="I483" s="21"/>
      <c r="J483" s="15"/>
      <c r="K483" s="42">
        <f t="shared" si="186"/>
        <v>0</v>
      </c>
      <c r="L483" t="s">
        <v>244</v>
      </c>
    </row>
    <row r="484" spans="2:12" x14ac:dyDescent="0.15">
      <c r="B484" s="5" t="s">
        <v>342</v>
      </c>
      <c r="C484" s="21">
        <v>3</v>
      </c>
      <c r="D484" s="15">
        <v>1</v>
      </c>
      <c r="E484" s="42">
        <f t="shared" si="181"/>
        <v>4</v>
      </c>
      <c r="F484" s="29">
        <v>46031</v>
      </c>
      <c r="H484" s="61" t="s">
        <v>232</v>
      </c>
      <c r="I484" s="62"/>
      <c r="J484" s="63"/>
      <c r="K484" s="64">
        <f t="shared" si="186"/>
        <v>0</v>
      </c>
    </row>
    <row r="485" spans="2:12" x14ac:dyDescent="0.15">
      <c r="B485" s="5" t="s">
        <v>343</v>
      </c>
      <c r="C485" s="21"/>
      <c r="D485" s="15">
        <v>3</v>
      </c>
      <c r="E485" s="42">
        <f t="shared" si="181"/>
        <v>3</v>
      </c>
      <c r="F485" s="29">
        <v>46035</v>
      </c>
      <c r="H485" s="5" t="s">
        <v>234</v>
      </c>
      <c r="I485" s="21"/>
      <c r="J485" s="15"/>
      <c r="K485" s="42">
        <f t="shared" si="186"/>
        <v>0</v>
      </c>
      <c r="L485" t="s">
        <v>233</v>
      </c>
    </row>
    <row r="486" spans="2:12" x14ac:dyDescent="0.15">
      <c r="B486" s="5" t="s">
        <v>344</v>
      </c>
      <c r="C486" s="21"/>
      <c r="D486" s="15">
        <v>1</v>
      </c>
      <c r="E486" s="42">
        <f t="shared" si="181"/>
        <v>1</v>
      </c>
      <c r="F486" s="29">
        <v>46038</v>
      </c>
      <c r="H486" s="61" t="s">
        <v>225</v>
      </c>
      <c r="I486" s="62"/>
      <c r="J486" s="63"/>
      <c r="K486" s="64">
        <f t="shared" si="186"/>
        <v>0</v>
      </c>
      <c r="L486" s="71"/>
    </row>
    <row r="487" spans="2:12" ht="14.25" thickBot="1" x14ac:dyDescent="0.2">
      <c r="B487" s="5" t="s">
        <v>345</v>
      </c>
      <c r="C487" s="21">
        <v>8</v>
      </c>
      <c r="D487" s="15">
        <v>9</v>
      </c>
      <c r="E487" s="42">
        <f t="shared" si="181"/>
        <v>17</v>
      </c>
      <c r="F487" s="29">
        <v>46038</v>
      </c>
      <c r="H487" s="5" t="s">
        <v>219</v>
      </c>
      <c r="I487" s="21"/>
      <c r="J487" s="15"/>
      <c r="K487" s="42">
        <f t="shared" si="186"/>
        <v>0</v>
      </c>
      <c r="L487" t="s">
        <v>224</v>
      </c>
    </row>
    <row r="488" spans="2:12" ht="14.25" thickBot="1" x14ac:dyDescent="0.2">
      <c r="B488" s="4" t="s">
        <v>1</v>
      </c>
      <c r="C488" s="23">
        <f>SUM(C463:C487)</f>
        <v>73</v>
      </c>
      <c r="D488" s="17">
        <f>SUM(D463:D487)</f>
        <v>95</v>
      </c>
      <c r="E488" s="44">
        <f t="shared" si="181"/>
        <v>168</v>
      </c>
      <c r="H488" s="4" t="s">
        <v>1</v>
      </c>
      <c r="I488" s="23">
        <f>SUM(I463:I487)</f>
        <v>405</v>
      </c>
      <c r="J488" s="17">
        <f t="shared" ref="J488:K488" si="187">SUM(J463:J487)</f>
        <v>435</v>
      </c>
      <c r="K488" s="44">
        <f t="shared" si="187"/>
        <v>840</v>
      </c>
    </row>
    <row r="489" spans="2:12" ht="14.25" thickBot="1" x14ac:dyDescent="0.2">
      <c r="B489" s="3" t="s">
        <v>0</v>
      </c>
      <c r="C489" s="26">
        <f>+C462-C488</f>
        <v>27</v>
      </c>
      <c r="D489" s="2">
        <f>+D462-D488</f>
        <v>22</v>
      </c>
      <c r="E489" s="45">
        <f t="shared" si="181"/>
        <v>49</v>
      </c>
      <c r="H489" s="3" t="s">
        <v>0</v>
      </c>
      <c r="I489" s="26">
        <f>+I462-I488</f>
        <v>668</v>
      </c>
      <c r="J489" s="2">
        <f t="shared" ref="J489:K489" si="188">+J462-J488</f>
        <v>435</v>
      </c>
      <c r="K489" s="45">
        <f t="shared" si="188"/>
        <v>1103</v>
      </c>
    </row>
    <row r="493" spans="2:12" ht="18.75" x14ac:dyDescent="0.2">
      <c r="B493" s="13" t="s">
        <v>9</v>
      </c>
      <c r="C493" s="12"/>
      <c r="D493" s="12"/>
      <c r="E493" s="59"/>
      <c r="H493" s="48" t="s">
        <v>10</v>
      </c>
      <c r="I493" s="49"/>
      <c r="J493" s="49"/>
      <c r="K493" s="60"/>
      <c r="L493" s="66"/>
    </row>
    <row r="494" spans="2:12" ht="15" thickBot="1" x14ac:dyDescent="0.2">
      <c r="B494" s="52" t="s">
        <v>16</v>
      </c>
      <c r="C494" s="12"/>
      <c r="D494" s="67" t="s">
        <v>215</v>
      </c>
      <c r="E494" s="68"/>
      <c r="H494" s="53" t="s">
        <v>16</v>
      </c>
      <c r="I494" s="49"/>
      <c r="J494" s="69" t="s">
        <v>215</v>
      </c>
      <c r="K494" s="70"/>
      <c r="L494" s="66"/>
    </row>
    <row r="495" spans="2:12" ht="14.25" thickBot="1" x14ac:dyDescent="0.2">
      <c r="B495" s="11"/>
      <c r="C495" s="96" t="s">
        <v>209</v>
      </c>
      <c r="D495" s="97"/>
      <c r="E495" s="98"/>
      <c r="H495" s="11"/>
      <c r="I495" s="96" t="s">
        <v>209</v>
      </c>
      <c r="J495" s="97"/>
      <c r="K495" s="98"/>
    </row>
    <row r="496" spans="2:12" ht="19.5" thickBot="1" x14ac:dyDescent="0.25">
      <c r="B496" s="10"/>
      <c r="C496" s="19" t="s">
        <v>7</v>
      </c>
      <c r="D496" s="58" t="s">
        <v>8</v>
      </c>
      <c r="E496" s="37" t="s">
        <v>4</v>
      </c>
      <c r="H496" s="10"/>
      <c r="I496" s="19" t="s">
        <v>7</v>
      </c>
      <c r="J496" s="58" t="s">
        <v>8</v>
      </c>
      <c r="K496" s="37" t="s">
        <v>4</v>
      </c>
    </row>
    <row r="497" spans="2:12" x14ac:dyDescent="0.15">
      <c r="B497" s="34" t="s">
        <v>0</v>
      </c>
      <c r="C497" s="35">
        <f>C489</f>
        <v>27</v>
      </c>
      <c r="D497" s="35">
        <f t="shared" ref="D497:E497" si="189">D489</f>
        <v>22</v>
      </c>
      <c r="E497" s="84">
        <f t="shared" si="189"/>
        <v>49</v>
      </c>
      <c r="H497" s="34" t="s">
        <v>0</v>
      </c>
      <c r="I497" s="35">
        <f>I489</f>
        <v>668</v>
      </c>
      <c r="J497" s="36">
        <f t="shared" ref="J497:K497" si="190">J489</f>
        <v>435</v>
      </c>
      <c r="K497" s="46">
        <f t="shared" si="190"/>
        <v>1103</v>
      </c>
    </row>
    <row r="498" spans="2:12" x14ac:dyDescent="0.15">
      <c r="B498" s="8" t="s">
        <v>38</v>
      </c>
      <c r="C498" s="21"/>
      <c r="D498" s="15">
        <v>1</v>
      </c>
      <c r="E498" s="56">
        <f t="shared" ref="E498:E530" si="191">SUM(C498:D498)</f>
        <v>1</v>
      </c>
      <c r="F498" s="29">
        <v>46038</v>
      </c>
      <c r="H498" s="8" t="s">
        <v>3</v>
      </c>
      <c r="I498" s="21"/>
      <c r="J498" s="15"/>
      <c r="K498" s="56">
        <f t="shared" ref="K498:K499" si="192">SUM(I498:J498)</f>
        <v>0</v>
      </c>
      <c r="L498" s="57"/>
    </row>
    <row r="499" spans="2:12" x14ac:dyDescent="0.15">
      <c r="B499" s="92" t="s">
        <v>3</v>
      </c>
      <c r="C499" s="88">
        <v>50</v>
      </c>
      <c r="D499" s="89"/>
      <c r="E499" s="93">
        <f t="shared" si="191"/>
        <v>50</v>
      </c>
      <c r="F499" s="91">
        <v>46044</v>
      </c>
      <c r="H499" s="8" t="s">
        <v>277</v>
      </c>
      <c r="I499" s="21">
        <v>0</v>
      </c>
      <c r="J499" s="15">
        <v>198</v>
      </c>
      <c r="K499" s="56">
        <f t="shared" si="192"/>
        <v>198</v>
      </c>
      <c r="L499" s="57" t="s">
        <v>359</v>
      </c>
    </row>
    <row r="500" spans="2:12" x14ac:dyDescent="0.15">
      <c r="B500" s="8" t="s">
        <v>3</v>
      </c>
      <c r="C500" s="21"/>
      <c r="D500" s="15">
        <v>25</v>
      </c>
      <c r="E500" s="56">
        <f t="shared" si="191"/>
        <v>25</v>
      </c>
      <c r="F500" s="29">
        <v>46048</v>
      </c>
      <c r="H500" s="8" t="s">
        <v>3</v>
      </c>
      <c r="I500" s="21"/>
      <c r="J500" s="15"/>
      <c r="K500" s="56">
        <f t="shared" ref="K500:K502" si="193">SUM(I500:J500)</f>
        <v>0</v>
      </c>
      <c r="L500" s="57"/>
    </row>
    <row r="501" spans="2:12" x14ac:dyDescent="0.15">
      <c r="B501" s="8" t="s">
        <v>38</v>
      </c>
      <c r="C501" s="21">
        <v>1</v>
      </c>
      <c r="D501" s="15"/>
      <c r="E501" s="56">
        <f t="shared" si="191"/>
        <v>1</v>
      </c>
      <c r="F501" s="29">
        <v>46051</v>
      </c>
      <c r="H501" s="8" t="s">
        <v>3</v>
      </c>
      <c r="I501" s="82"/>
      <c r="J501" s="83"/>
      <c r="K501" s="56">
        <f t="shared" ref="K501" si="194">SUM(I501:J501)</f>
        <v>0</v>
      </c>
      <c r="L501" s="57"/>
    </row>
    <row r="502" spans="2:12" ht="14.25" thickBot="1" x14ac:dyDescent="0.2">
      <c r="B502" s="8" t="s">
        <v>3</v>
      </c>
      <c r="C502" s="21">
        <v>25</v>
      </c>
      <c r="D502" s="15">
        <v>25</v>
      </c>
      <c r="E502" s="40">
        <f t="shared" si="191"/>
        <v>50</v>
      </c>
      <c r="F502" s="29">
        <v>46053</v>
      </c>
      <c r="H502" s="8" t="s">
        <v>3</v>
      </c>
      <c r="I502" s="21"/>
      <c r="J502" s="15"/>
      <c r="K502" s="40">
        <f t="shared" si="193"/>
        <v>0</v>
      </c>
    </row>
    <row r="503" spans="2:12" ht="14.25" thickBot="1" x14ac:dyDescent="0.2">
      <c r="B503" s="31" t="s">
        <v>2</v>
      </c>
      <c r="C503" s="32">
        <f>SUM(C497:C502)</f>
        <v>103</v>
      </c>
      <c r="D503" s="33">
        <f>SUM(D497:D502)</f>
        <v>73</v>
      </c>
      <c r="E503" s="41">
        <f t="shared" si="191"/>
        <v>176</v>
      </c>
      <c r="H503" s="31" t="s">
        <v>2</v>
      </c>
      <c r="I503" s="32">
        <f>SUM(I497:I502)</f>
        <v>668</v>
      </c>
      <c r="J503" s="33">
        <f t="shared" ref="J503:K503" si="195">SUM(J497:J502)</f>
        <v>633</v>
      </c>
      <c r="K503" s="41">
        <f t="shared" si="195"/>
        <v>1301</v>
      </c>
    </row>
    <row r="504" spans="2:12" x14ac:dyDescent="0.15">
      <c r="B504" s="5" t="s">
        <v>347</v>
      </c>
      <c r="C504" s="21">
        <v>1</v>
      </c>
      <c r="D504" s="15"/>
      <c r="E504" s="42">
        <f t="shared" si="191"/>
        <v>1</v>
      </c>
      <c r="F504" s="29">
        <v>46043</v>
      </c>
      <c r="H504" s="87" t="s">
        <v>349</v>
      </c>
      <c r="I504" s="88">
        <v>50</v>
      </c>
      <c r="J504" s="89"/>
      <c r="K504" s="90">
        <f t="shared" ref="K504:K520" si="196">SUM(I504:J504)</f>
        <v>50</v>
      </c>
      <c r="L504" s="94">
        <v>46044</v>
      </c>
    </row>
    <row r="505" spans="2:12" x14ac:dyDescent="0.15">
      <c r="B505" s="5" t="s">
        <v>348</v>
      </c>
      <c r="C505" s="21">
        <v>6</v>
      </c>
      <c r="D505" s="15"/>
      <c r="E505" s="42">
        <f t="shared" si="191"/>
        <v>6</v>
      </c>
      <c r="F505" s="29">
        <v>46044</v>
      </c>
      <c r="H505" s="5" t="s">
        <v>332</v>
      </c>
      <c r="I505" s="21"/>
      <c r="J505" s="15">
        <v>25</v>
      </c>
      <c r="K505" s="42">
        <f t="shared" si="196"/>
        <v>25</v>
      </c>
      <c r="L505" s="57">
        <v>46048</v>
      </c>
    </row>
    <row r="506" spans="2:12" x14ac:dyDescent="0.15">
      <c r="B506" s="5" t="s">
        <v>17</v>
      </c>
      <c r="C506" s="21">
        <v>1</v>
      </c>
      <c r="D506" s="15"/>
      <c r="E506" s="42">
        <f t="shared" si="191"/>
        <v>1</v>
      </c>
      <c r="F506" s="29">
        <v>46042</v>
      </c>
      <c r="H506" s="5" t="s">
        <v>332</v>
      </c>
      <c r="I506" s="21">
        <v>25</v>
      </c>
      <c r="J506" s="15">
        <v>25</v>
      </c>
      <c r="K506" s="42">
        <f t="shared" si="196"/>
        <v>50</v>
      </c>
      <c r="L506" s="57">
        <v>46053</v>
      </c>
    </row>
    <row r="507" spans="2:12" x14ac:dyDescent="0.15">
      <c r="B507" s="5" t="s">
        <v>352</v>
      </c>
      <c r="C507" s="21">
        <v>30</v>
      </c>
      <c r="D507" s="15"/>
      <c r="E507" s="42">
        <f t="shared" si="191"/>
        <v>30</v>
      </c>
      <c r="F507" s="29">
        <v>46045</v>
      </c>
      <c r="H507" s="5" t="s">
        <v>332</v>
      </c>
      <c r="I507" s="21">
        <v>10</v>
      </c>
      <c r="J507" s="15">
        <v>10</v>
      </c>
      <c r="K507" s="42">
        <f t="shared" si="196"/>
        <v>20</v>
      </c>
      <c r="L507" s="57">
        <v>46060</v>
      </c>
    </row>
    <row r="508" spans="2:12" x14ac:dyDescent="0.15">
      <c r="B508" s="5" t="s">
        <v>350</v>
      </c>
      <c r="C508" s="21">
        <v>4</v>
      </c>
      <c r="D508" s="15">
        <v>3</v>
      </c>
      <c r="E508" s="42">
        <f t="shared" si="191"/>
        <v>7</v>
      </c>
      <c r="F508" s="29">
        <v>46045</v>
      </c>
      <c r="H508" s="5" t="s">
        <v>366</v>
      </c>
      <c r="I508" s="21">
        <v>17</v>
      </c>
      <c r="J508" s="15">
        <v>13</v>
      </c>
      <c r="K508" s="42">
        <f t="shared" si="196"/>
        <v>30</v>
      </c>
      <c r="L508" s="57">
        <v>46063</v>
      </c>
    </row>
    <row r="509" spans="2:12" x14ac:dyDescent="0.15">
      <c r="B509" s="5" t="s">
        <v>351</v>
      </c>
      <c r="C509" s="21"/>
      <c r="D509" s="15">
        <v>4</v>
      </c>
      <c r="E509" s="42">
        <f t="shared" si="191"/>
        <v>4</v>
      </c>
      <c r="F509" s="29">
        <v>46045</v>
      </c>
      <c r="H509" s="5"/>
      <c r="I509" s="21"/>
      <c r="J509" s="15"/>
      <c r="K509" s="42">
        <f t="shared" si="196"/>
        <v>0</v>
      </c>
    </row>
    <row r="510" spans="2:12" x14ac:dyDescent="0.15">
      <c r="B510" s="5" t="s">
        <v>353</v>
      </c>
      <c r="C510" s="21">
        <v>8</v>
      </c>
      <c r="D510" s="15">
        <v>5</v>
      </c>
      <c r="E510" s="42">
        <f t="shared" si="191"/>
        <v>13</v>
      </c>
      <c r="F510" s="29">
        <v>46048</v>
      </c>
      <c r="H510" s="5"/>
      <c r="I510" s="21"/>
      <c r="J510" s="15"/>
      <c r="K510" s="42">
        <f t="shared" si="196"/>
        <v>0</v>
      </c>
    </row>
    <row r="511" spans="2:12" x14ac:dyDescent="0.15">
      <c r="B511" s="5" t="s">
        <v>354</v>
      </c>
      <c r="C511" s="21">
        <v>3</v>
      </c>
      <c r="D511" s="15">
        <v>9</v>
      </c>
      <c r="E511" s="42">
        <f t="shared" si="191"/>
        <v>12</v>
      </c>
      <c r="F511" s="29">
        <v>46050</v>
      </c>
      <c r="H511" s="5"/>
      <c r="I511" s="21"/>
      <c r="J511" s="15"/>
      <c r="K511" s="42">
        <f t="shared" si="196"/>
        <v>0</v>
      </c>
    </row>
    <row r="512" spans="2:12" x14ac:dyDescent="0.15">
      <c r="B512" s="5" t="s">
        <v>17</v>
      </c>
      <c r="C512" s="21">
        <v>2</v>
      </c>
      <c r="D512" s="15"/>
      <c r="E512" s="42">
        <f t="shared" si="191"/>
        <v>2</v>
      </c>
      <c r="F512" s="29">
        <v>46048</v>
      </c>
      <c r="H512" s="5"/>
      <c r="I512" s="21"/>
      <c r="J512" s="15"/>
      <c r="K512" s="42">
        <f t="shared" si="196"/>
        <v>0</v>
      </c>
    </row>
    <row r="513" spans="2:12" x14ac:dyDescent="0.15">
      <c r="B513" s="5" t="s">
        <v>355</v>
      </c>
      <c r="C513" s="21">
        <v>4</v>
      </c>
      <c r="D513" s="15">
        <v>4</v>
      </c>
      <c r="E513" s="42">
        <f t="shared" si="191"/>
        <v>8</v>
      </c>
      <c r="F513" s="29">
        <v>46051</v>
      </c>
      <c r="H513" s="5"/>
      <c r="I513" s="21"/>
      <c r="J513" s="15"/>
      <c r="K513" s="42">
        <f t="shared" si="196"/>
        <v>0</v>
      </c>
    </row>
    <row r="514" spans="2:12" x14ac:dyDescent="0.15">
      <c r="B514" s="5" t="s">
        <v>356</v>
      </c>
      <c r="C514" s="21"/>
      <c r="D514" s="15">
        <v>1</v>
      </c>
      <c r="E514" s="42">
        <f t="shared" si="191"/>
        <v>1</v>
      </c>
      <c r="F514" s="29">
        <v>46052</v>
      </c>
      <c r="H514" s="5"/>
      <c r="I514" s="21"/>
      <c r="J514" s="15"/>
      <c r="K514" s="42">
        <f t="shared" si="196"/>
        <v>0</v>
      </c>
    </row>
    <row r="515" spans="2:12" x14ac:dyDescent="0.15">
      <c r="B515" s="5" t="s">
        <v>358</v>
      </c>
      <c r="C515" s="21">
        <v>3</v>
      </c>
      <c r="D515" s="15">
        <v>4</v>
      </c>
      <c r="E515" s="42">
        <f t="shared" si="191"/>
        <v>7</v>
      </c>
      <c r="F515" s="29">
        <v>46052</v>
      </c>
      <c r="H515" s="5"/>
      <c r="I515" s="21"/>
      <c r="J515" s="15"/>
      <c r="K515" s="42">
        <f t="shared" si="196"/>
        <v>0</v>
      </c>
    </row>
    <row r="516" spans="2:12" x14ac:dyDescent="0.15">
      <c r="B516" s="5" t="s">
        <v>360</v>
      </c>
      <c r="C516" s="21">
        <v>5</v>
      </c>
      <c r="D516" s="15">
        <v>6</v>
      </c>
      <c r="E516" s="42">
        <f t="shared" si="191"/>
        <v>11</v>
      </c>
      <c r="F516" s="29">
        <v>46057</v>
      </c>
      <c r="H516" s="5"/>
      <c r="I516" s="21"/>
      <c r="J516" s="15"/>
      <c r="K516" s="42">
        <f t="shared" si="196"/>
        <v>0</v>
      </c>
    </row>
    <row r="517" spans="2:12" x14ac:dyDescent="0.15">
      <c r="B517" s="5" t="s">
        <v>362</v>
      </c>
      <c r="C517" s="21">
        <v>12</v>
      </c>
      <c r="D517" s="15">
        <v>18</v>
      </c>
      <c r="E517" s="42">
        <f t="shared" si="191"/>
        <v>30</v>
      </c>
      <c r="F517" s="29">
        <v>46057</v>
      </c>
      <c r="H517" s="5"/>
      <c r="I517" s="21"/>
      <c r="J517" s="15"/>
      <c r="K517" s="42">
        <f t="shared" si="196"/>
        <v>0</v>
      </c>
    </row>
    <row r="518" spans="2:12" x14ac:dyDescent="0.15">
      <c r="B518" s="5" t="s">
        <v>361</v>
      </c>
      <c r="C518" s="21">
        <v>1</v>
      </c>
      <c r="D518" s="15">
        <v>1</v>
      </c>
      <c r="E518" s="42">
        <f t="shared" si="191"/>
        <v>2</v>
      </c>
      <c r="F518" s="29">
        <v>46058</v>
      </c>
      <c r="H518" s="5"/>
      <c r="I518" s="21"/>
      <c r="J518" s="15"/>
      <c r="K518" s="42">
        <f t="shared" si="196"/>
        <v>0</v>
      </c>
    </row>
    <row r="519" spans="2:12" x14ac:dyDescent="0.15">
      <c r="B519" s="5" t="s">
        <v>363</v>
      </c>
      <c r="C519" s="21">
        <v>1</v>
      </c>
      <c r="D519" s="15">
        <v>1</v>
      </c>
      <c r="E519" s="42">
        <f t="shared" si="191"/>
        <v>2</v>
      </c>
      <c r="F519" s="29">
        <v>46059</v>
      </c>
      <c r="H519" s="5"/>
      <c r="I519" s="21"/>
      <c r="J519" s="15"/>
      <c r="K519" s="42">
        <f t="shared" si="196"/>
        <v>0</v>
      </c>
    </row>
    <row r="520" spans="2:12" x14ac:dyDescent="0.15">
      <c r="B520" s="5" t="s">
        <v>364</v>
      </c>
      <c r="C520" s="21">
        <v>3</v>
      </c>
      <c r="D520" s="15"/>
      <c r="E520" s="42">
        <f t="shared" si="191"/>
        <v>3</v>
      </c>
      <c r="F520" s="29">
        <v>46059</v>
      </c>
      <c r="H520" s="5"/>
      <c r="I520" s="21"/>
      <c r="J520" s="15"/>
      <c r="K520" s="42">
        <f t="shared" si="196"/>
        <v>0</v>
      </c>
    </row>
    <row r="521" spans="2:12" x14ac:dyDescent="0.15">
      <c r="B521" s="5" t="s">
        <v>365</v>
      </c>
      <c r="C521" s="21">
        <v>-10</v>
      </c>
      <c r="D521" s="15">
        <v>-10</v>
      </c>
      <c r="E521" s="42">
        <f t="shared" si="191"/>
        <v>-20</v>
      </c>
      <c r="F521" s="29">
        <v>46060</v>
      </c>
      <c r="H521" s="5"/>
      <c r="I521" s="21"/>
      <c r="J521" s="15"/>
      <c r="K521" s="42">
        <f t="shared" ref="K521:K524" si="197">SUM(I521:J521)</f>
        <v>0</v>
      </c>
    </row>
    <row r="522" spans="2:12" x14ac:dyDescent="0.15">
      <c r="B522" s="5" t="s">
        <v>17</v>
      </c>
      <c r="C522" s="21"/>
      <c r="D522" s="15">
        <v>1</v>
      </c>
      <c r="E522" s="42">
        <f t="shared" si="191"/>
        <v>1</v>
      </c>
      <c r="F522" s="29">
        <v>46062</v>
      </c>
      <c r="H522" s="5"/>
      <c r="I522" s="21"/>
      <c r="J522" s="15"/>
      <c r="K522" s="42">
        <f t="shared" si="197"/>
        <v>0</v>
      </c>
    </row>
    <row r="523" spans="2:12" x14ac:dyDescent="0.15">
      <c r="B523" s="5" t="s">
        <v>367</v>
      </c>
      <c r="C523" s="21">
        <v>5</v>
      </c>
      <c r="D523" s="15">
        <v>9</v>
      </c>
      <c r="E523" s="42">
        <f t="shared" si="191"/>
        <v>14</v>
      </c>
      <c r="F523" s="29">
        <v>46065</v>
      </c>
      <c r="H523" s="5"/>
      <c r="I523" s="21"/>
      <c r="J523" s="15"/>
      <c r="K523" s="42">
        <f t="shared" si="197"/>
        <v>0</v>
      </c>
    </row>
    <row r="524" spans="2:12" x14ac:dyDescent="0.15">
      <c r="B524" s="5" t="s">
        <v>368</v>
      </c>
      <c r="C524" s="21">
        <v>-1</v>
      </c>
      <c r="D524" s="15"/>
      <c r="E524" s="42">
        <f t="shared" si="191"/>
        <v>-1</v>
      </c>
      <c r="F524" s="29">
        <v>46058</v>
      </c>
      <c r="H524" s="5"/>
      <c r="I524" s="21"/>
      <c r="J524" s="15"/>
      <c r="K524" s="42">
        <f t="shared" si="197"/>
        <v>0</v>
      </c>
    </row>
    <row r="525" spans="2:12" x14ac:dyDescent="0.15">
      <c r="B525" s="5" t="s">
        <v>370</v>
      </c>
      <c r="C525" s="21">
        <v>2</v>
      </c>
      <c r="D525" s="15">
        <v>5</v>
      </c>
      <c r="E525" s="42">
        <f t="shared" si="191"/>
        <v>7</v>
      </c>
      <c r="F525" s="29">
        <v>46066</v>
      </c>
      <c r="H525" s="5" t="s">
        <v>309</v>
      </c>
      <c r="I525" s="21"/>
      <c r="J525" s="15"/>
      <c r="K525" s="42">
        <f t="shared" ref="K525:K528" si="198">SUM(I525:J525)</f>
        <v>0</v>
      </c>
      <c r="L525" t="s">
        <v>310</v>
      </c>
    </row>
    <row r="526" spans="2:12" x14ac:dyDescent="0.15">
      <c r="B526" s="5" t="s">
        <v>372</v>
      </c>
      <c r="C526" s="21">
        <v>-1</v>
      </c>
      <c r="D526" s="15">
        <v>-1</v>
      </c>
      <c r="E526" s="42">
        <f t="shared" si="191"/>
        <v>-2</v>
      </c>
      <c r="F526" s="29">
        <v>46062</v>
      </c>
      <c r="H526" s="5" t="s">
        <v>299</v>
      </c>
      <c r="I526" s="21"/>
      <c r="J526" s="15"/>
      <c r="K526" s="42">
        <f t="shared" si="198"/>
        <v>0</v>
      </c>
      <c r="L526" t="s">
        <v>300</v>
      </c>
    </row>
    <row r="527" spans="2:12" x14ac:dyDescent="0.15">
      <c r="B527" s="5" t="s">
        <v>373</v>
      </c>
      <c r="C527" s="21">
        <v>10</v>
      </c>
      <c r="D527" s="15">
        <v>3</v>
      </c>
      <c r="E527" s="42">
        <f t="shared" si="191"/>
        <v>13</v>
      </c>
      <c r="F527" s="29">
        <v>46069</v>
      </c>
      <c r="H527" s="61" t="s">
        <v>154</v>
      </c>
      <c r="I527" s="62"/>
      <c r="J527" s="63"/>
      <c r="K527" s="64">
        <f t="shared" si="198"/>
        <v>0</v>
      </c>
      <c r="L527" s="71"/>
    </row>
    <row r="528" spans="2:12" ht="14.25" thickBot="1" x14ac:dyDescent="0.2">
      <c r="B528" s="5"/>
      <c r="C528" s="21"/>
      <c r="D528" s="15"/>
      <c r="E528" s="42">
        <f t="shared" si="191"/>
        <v>0</v>
      </c>
      <c r="H528" s="5" t="s">
        <v>159</v>
      </c>
      <c r="I528" s="21"/>
      <c r="J528" s="15"/>
      <c r="K528" s="42">
        <f t="shared" si="198"/>
        <v>0</v>
      </c>
      <c r="L528" t="s">
        <v>273</v>
      </c>
    </row>
    <row r="529" spans="2:12" ht="14.25" thickBot="1" x14ac:dyDescent="0.2">
      <c r="B529" s="4" t="s">
        <v>1</v>
      </c>
      <c r="C529" s="23">
        <f>SUM(C504:C528)</f>
        <v>89</v>
      </c>
      <c r="D529" s="17">
        <f>SUM(D504:D528)</f>
        <v>63</v>
      </c>
      <c r="E529" s="44">
        <f t="shared" si="191"/>
        <v>152</v>
      </c>
      <c r="H529" s="4" t="s">
        <v>1</v>
      </c>
      <c r="I529" s="23">
        <f>SUM(I504:I528)</f>
        <v>102</v>
      </c>
      <c r="J529" s="17">
        <f t="shared" ref="J529:K529" si="199">SUM(J504:J528)</f>
        <v>73</v>
      </c>
      <c r="K529" s="44">
        <f t="shared" si="199"/>
        <v>175</v>
      </c>
    </row>
    <row r="530" spans="2:12" ht="14.25" thickBot="1" x14ac:dyDescent="0.2">
      <c r="B530" s="3" t="s">
        <v>0</v>
      </c>
      <c r="C530" s="26">
        <f>+C503-C529</f>
        <v>14</v>
      </c>
      <c r="D530" s="2">
        <f>+D503-D529</f>
        <v>10</v>
      </c>
      <c r="E530" s="45">
        <f t="shared" si="191"/>
        <v>24</v>
      </c>
      <c r="H530" s="3" t="s">
        <v>0</v>
      </c>
      <c r="I530" s="26">
        <f>+I503-I529</f>
        <v>566</v>
      </c>
      <c r="J530" s="2">
        <f t="shared" ref="J530:K530" si="200">+J503-J529</f>
        <v>560</v>
      </c>
      <c r="K530" s="45">
        <f t="shared" si="200"/>
        <v>1126</v>
      </c>
    </row>
    <row r="534" spans="2:12" ht="18.75" x14ac:dyDescent="0.2">
      <c r="B534" s="13" t="s">
        <v>9</v>
      </c>
      <c r="C534" s="12"/>
      <c r="D534" s="12"/>
      <c r="E534" s="59"/>
      <c r="H534" s="48" t="s">
        <v>10</v>
      </c>
      <c r="I534" s="49"/>
      <c r="J534" s="49"/>
      <c r="K534" s="60"/>
      <c r="L534" s="66"/>
    </row>
    <row r="535" spans="2:12" ht="15" thickBot="1" x14ac:dyDescent="0.2">
      <c r="B535" s="52" t="s">
        <v>16</v>
      </c>
      <c r="C535" s="12"/>
      <c r="D535" s="67" t="s">
        <v>215</v>
      </c>
      <c r="E535" s="68"/>
      <c r="H535" s="53" t="s">
        <v>16</v>
      </c>
      <c r="I535" s="49"/>
      <c r="J535" s="69" t="s">
        <v>215</v>
      </c>
      <c r="K535" s="70"/>
      <c r="L535" s="66"/>
    </row>
    <row r="536" spans="2:12" ht="14.25" thickBot="1" x14ac:dyDescent="0.2">
      <c r="B536" s="11"/>
      <c r="C536" s="96" t="s">
        <v>209</v>
      </c>
      <c r="D536" s="97"/>
      <c r="E536" s="98"/>
      <c r="H536" s="11"/>
      <c r="I536" s="96" t="s">
        <v>209</v>
      </c>
      <c r="J536" s="97"/>
      <c r="K536" s="98"/>
    </row>
    <row r="537" spans="2:12" ht="19.5" thickBot="1" x14ac:dyDescent="0.25">
      <c r="B537" s="10"/>
      <c r="C537" s="19" t="s">
        <v>7</v>
      </c>
      <c r="D537" s="58" t="s">
        <v>8</v>
      </c>
      <c r="E537" s="37" t="s">
        <v>4</v>
      </c>
      <c r="H537" s="10"/>
      <c r="I537" s="19" t="s">
        <v>7</v>
      </c>
      <c r="J537" s="58" t="s">
        <v>8</v>
      </c>
      <c r="K537" s="37" t="s">
        <v>4</v>
      </c>
    </row>
    <row r="538" spans="2:12" x14ac:dyDescent="0.15">
      <c r="B538" s="34" t="s">
        <v>0</v>
      </c>
      <c r="C538" s="35">
        <f>C530</f>
        <v>14</v>
      </c>
      <c r="D538" s="35">
        <f t="shared" ref="D538:E538" si="201">D530</f>
        <v>10</v>
      </c>
      <c r="E538" s="84">
        <f t="shared" si="201"/>
        <v>24</v>
      </c>
      <c r="H538" s="34" t="s">
        <v>0</v>
      </c>
      <c r="I538" s="35">
        <f>I530</f>
        <v>566</v>
      </c>
      <c r="J538" s="36">
        <f t="shared" ref="J538:K538" si="202">J530</f>
        <v>560</v>
      </c>
      <c r="K538" s="46">
        <f t="shared" si="202"/>
        <v>1126</v>
      </c>
    </row>
    <row r="539" spans="2:12" x14ac:dyDescent="0.15">
      <c r="B539" s="92" t="s">
        <v>3</v>
      </c>
      <c r="C539" s="88">
        <v>10</v>
      </c>
      <c r="D539" s="89">
        <v>15</v>
      </c>
      <c r="E539" s="93">
        <f t="shared" ref="E539:E571" si="203">SUM(C539:D539)</f>
        <v>25</v>
      </c>
      <c r="F539" s="91">
        <v>46069</v>
      </c>
      <c r="H539" s="8" t="s">
        <v>133</v>
      </c>
      <c r="I539" s="21">
        <v>38</v>
      </c>
      <c r="J539" s="15">
        <v>26</v>
      </c>
      <c r="K539" s="56">
        <f t="shared" ref="K539:K543" si="204">SUM(I539:J539)</f>
        <v>64</v>
      </c>
      <c r="L539" s="57">
        <v>46093</v>
      </c>
    </row>
    <row r="540" spans="2:12" x14ac:dyDescent="0.15">
      <c r="B540" s="92" t="s">
        <v>3</v>
      </c>
      <c r="C540" s="88">
        <v>15</v>
      </c>
      <c r="D540" s="89">
        <v>15</v>
      </c>
      <c r="E540" s="93">
        <f t="shared" si="203"/>
        <v>30</v>
      </c>
      <c r="F540" s="91">
        <v>46072</v>
      </c>
      <c r="H540" s="8" t="s">
        <v>393</v>
      </c>
      <c r="I540" s="21">
        <v>11</v>
      </c>
      <c r="J540" s="15">
        <v>12</v>
      </c>
      <c r="K540" s="56">
        <f t="shared" ref="K540" si="205">SUM(I540:J540)</f>
        <v>23</v>
      </c>
      <c r="L540" s="57">
        <v>46100</v>
      </c>
    </row>
    <row r="541" spans="2:12" x14ac:dyDescent="0.15">
      <c r="B541" s="8" t="s">
        <v>133</v>
      </c>
      <c r="C541" s="21">
        <v>2</v>
      </c>
      <c r="D541" s="15">
        <v>9</v>
      </c>
      <c r="E541" s="56">
        <f t="shared" si="203"/>
        <v>11</v>
      </c>
      <c r="F541" s="29">
        <v>46070</v>
      </c>
      <c r="H541" s="8" t="s">
        <v>258</v>
      </c>
      <c r="I541" s="21">
        <v>19</v>
      </c>
      <c r="J541" s="15">
        <v>27</v>
      </c>
      <c r="K541" s="56">
        <f t="shared" si="204"/>
        <v>46</v>
      </c>
      <c r="L541" s="57">
        <v>46102</v>
      </c>
    </row>
    <row r="542" spans="2:12" x14ac:dyDescent="0.15">
      <c r="B542" s="8" t="s">
        <v>3</v>
      </c>
      <c r="C542" s="21">
        <v>10</v>
      </c>
      <c r="D542" s="15">
        <v>10</v>
      </c>
      <c r="E542" s="56">
        <f t="shared" si="203"/>
        <v>20</v>
      </c>
      <c r="F542" s="29">
        <v>46074</v>
      </c>
      <c r="H542" s="8" t="s">
        <v>3</v>
      </c>
      <c r="I542" s="21"/>
      <c r="J542" s="15"/>
      <c r="K542" s="56">
        <f t="shared" si="204"/>
        <v>0</v>
      </c>
      <c r="L542" s="57"/>
    </row>
    <row r="543" spans="2:12" ht="14.25" thickBot="1" x14ac:dyDescent="0.2">
      <c r="B543" s="8" t="s">
        <v>382</v>
      </c>
      <c r="C543" s="21">
        <v>8</v>
      </c>
      <c r="D543" s="15">
        <v>8</v>
      </c>
      <c r="E543" s="40">
        <f t="shared" si="203"/>
        <v>16</v>
      </c>
      <c r="F543" s="29">
        <v>46073</v>
      </c>
      <c r="H543" s="8" t="s">
        <v>3</v>
      </c>
      <c r="I543" s="21"/>
      <c r="J543" s="15"/>
      <c r="K543" s="40">
        <f t="shared" si="204"/>
        <v>0</v>
      </c>
    </row>
    <row r="544" spans="2:12" ht="14.25" thickBot="1" x14ac:dyDescent="0.2">
      <c r="B544" s="31" t="s">
        <v>2</v>
      </c>
      <c r="C544" s="32">
        <f>SUM(C538:C543)</f>
        <v>59</v>
      </c>
      <c r="D544" s="33">
        <f>SUM(D538:D543)</f>
        <v>67</v>
      </c>
      <c r="E544" s="41">
        <f t="shared" si="203"/>
        <v>126</v>
      </c>
      <c r="H544" s="31" t="s">
        <v>2</v>
      </c>
      <c r="I544" s="32">
        <f>SUM(I538:I543)</f>
        <v>634</v>
      </c>
      <c r="J544" s="33">
        <f t="shared" ref="J544:K544" si="206">SUM(J538:J543)</f>
        <v>625</v>
      </c>
      <c r="K544" s="41">
        <f t="shared" si="206"/>
        <v>1259</v>
      </c>
    </row>
    <row r="545" spans="2:12" x14ac:dyDescent="0.15">
      <c r="B545" s="5" t="s">
        <v>375</v>
      </c>
      <c r="C545" s="21">
        <v>1</v>
      </c>
      <c r="D545" s="15">
        <v>9</v>
      </c>
      <c r="E545" s="42">
        <f t="shared" si="203"/>
        <v>10</v>
      </c>
      <c r="F545" s="29">
        <v>46071</v>
      </c>
      <c r="H545" s="27" t="s">
        <v>369</v>
      </c>
      <c r="I545" s="21">
        <v>50</v>
      </c>
      <c r="J545" s="15">
        <v>70</v>
      </c>
      <c r="K545" s="42">
        <f t="shared" ref="K545:K569" si="207">SUM(I545:J545)</f>
        <v>120</v>
      </c>
      <c r="L545" s="57">
        <v>46067</v>
      </c>
    </row>
    <row r="546" spans="2:12" x14ac:dyDescent="0.15">
      <c r="B546" s="5" t="s">
        <v>377</v>
      </c>
      <c r="C546" s="21">
        <v>4</v>
      </c>
      <c r="D546" s="15">
        <v>3</v>
      </c>
      <c r="E546" s="42">
        <f t="shared" si="203"/>
        <v>7</v>
      </c>
      <c r="F546" s="29">
        <v>46072</v>
      </c>
      <c r="H546" s="27" t="s">
        <v>371</v>
      </c>
      <c r="I546" s="21">
        <v>30</v>
      </c>
      <c r="J546" s="15">
        <v>20</v>
      </c>
      <c r="K546" s="42">
        <f t="shared" si="207"/>
        <v>50</v>
      </c>
      <c r="L546" s="57">
        <v>46067</v>
      </c>
    </row>
    <row r="547" spans="2:12" x14ac:dyDescent="0.15">
      <c r="B547" s="5" t="s">
        <v>378</v>
      </c>
      <c r="C547" s="21"/>
      <c r="D547" s="15">
        <v>1</v>
      </c>
      <c r="E547" s="42">
        <f t="shared" si="203"/>
        <v>1</v>
      </c>
      <c r="F547" s="29">
        <v>46073</v>
      </c>
      <c r="H547" s="87" t="s">
        <v>374</v>
      </c>
      <c r="I547" s="88">
        <v>10</v>
      </c>
      <c r="J547" s="89">
        <v>15</v>
      </c>
      <c r="K547" s="90">
        <f t="shared" si="207"/>
        <v>25</v>
      </c>
      <c r="L547" s="94">
        <v>46069</v>
      </c>
    </row>
    <row r="548" spans="2:12" x14ac:dyDescent="0.15">
      <c r="B548" s="5" t="s">
        <v>164</v>
      </c>
      <c r="C548" s="21">
        <v>18</v>
      </c>
      <c r="D548" s="15">
        <v>12</v>
      </c>
      <c r="E548" s="42">
        <f t="shared" si="203"/>
        <v>30</v>
      </c>
      <c r="F548" s="29">
        <v>46073</v>
      </c>
      <c r="H548" s="27" t="s">
        <v>376</v>
      </c>
      <c r="I548" s="21">
        <v>29</v>
      </c>
      <c r="J548" s="15">
        <v>16</v>
      </c>
      <c r="K548" s="42">
        <f t="shared" si="207"/>
        <v>45</v>
      </c>
      <c r="L548" s="57">
        <v>46070</v>
      </c>
    </row>
    <row r="549" spans="2:12" x14ac:dyDescent="0.15">
      <c r="B549" s="5" t="s">
        <v>379</v>
      </c>
      <c r="C549" s="21"/>
      <c r="D549" s="15">
        <v>1</v>
      </c>
      <c r="E549" s="42">
        <f t="shared" si="203"/>
        <v>1</v>
      </c>
      <c r="F549" s="29">
        <v>46073</v>
      </c>
      <c r="H549" s="87" t="s">
        <v>332</v>
      </c>
      <c r="I549" s="88">
        <v>15</v>
      </c>
      <c r="J549" s="89">
        <v>15</v>
      </c>
      <c r="K549" s="90">
        <f t="shared" si="207"/>
        <v>30</v>
      </c>
      <c r="L549" s="94">
        <v>46072</v>
      </c>
    </row>
    <row r="550" spans="2:12" x14ac:dyDescent="0.15">
      <c r="B550" s="5" t="s">
        <v>380</v>
      </c>
      <c r="C550" s="21"/>
      <c r="D550" s="15">
        <v>1</v>
      </c>
      <c r="E550" s="42">
        <f t="shared" si="203"/>
        <v>1</v>
      </c>
      <c r="F550" s="29">
        <v>46077</v>
      </c>
      <c r="H550" s="87" t="s">
        <v>332</v>
      </c>
      <c r="I550" s="21">
        <v>10</v>
      </c>
      <c r="J550" s="15">
        <v>10</v>
      </c>
      <c r="K550" s="42">
        <f t="shared" si="207"/>
        <v>20</v>
      </c>
      <c r="L550" s="57">
        <v>46074</v>
      </c>
    </row>
    <row r="551" spans="2:12" x14ac:dyDescent="0.15">
      <c r="B551" s="5" t="s">
        <v>381</v>
      </c>
      <c r="C551" s="21"/>
      <c r="D551" s="15">
        <v>1</v>
      </c>
      <c r="E551" s="42">
        <f t="shared" si="203"/>
        <v>1</v>
      </c>
      <c r="F551" s="29">
        <v>46073</v>
      </c>
      <c r="H551" s="5" t="s">
        <v>323</v>
      </c>
      <c r="I551" s="21">
        <v>3</v>
      </c>
      <c r="J551" s="15">
        <v>3</v>
      </c>
      <c r="K551" s="42">
        <f t="shared" si="207"/>
        <v>6</v>
      </c>
      <c r="L551" s="57">
        <v>46144</v>
      </c>
    </row>
    <row r="552" spans="2:12" x14ac:dyDescent="0.15">
      <c r="B552" s="5" t="s">
        <v>383</v>
      </c>
      <c r="C552" s="21">
        <v>3</v>
      </c>
      <c r="D552" s="15">
        <v>2</v>
      </c>
      <c r="E552" s="42">
        <f t="shared" si="203"/>
        <v>5</v>
      </c>
      <c r="F552" s="29">
        <v>46079</v>
      </c>
      <c r="H552" s="5"/>
      <c r="I552" s="21"/>
      <c r="J552" s="15"/>
      <c r="K552" s="42">
        <f t="shared" si="207"/>
        <v>0</v>
      </c>
    </row>
    <row r="553" spans="2:12" x14ac:dyDescent="0.15">
      <c r="B553" s="5" t="s">
        <v>384</v>
      </c>
      <c r="C553" s="21"/>
      <c r="D553" s="15">
        <v>1</v>
      </c>
      <c r="E553" s="42">
        <f t="shared" si="203"/>
        <v>1</v>
      </c>
      <c r="F553" s="29">
        <v>46080</v>
      </c>
      <c r="H553" s="5"/>
      <c r="I553" s="21"/>
      <c r="J553" s="15"/>
      <c r="K553" s="42">
        <f t="shared" si="207"/>
        <v>0</v>
      </c>
    </row>
    <row r="554" spans="2:12" x14ac:dyDescent="0.15">
      <c r="B554" s="5" t="s">
        <v>385</v>
      </c>
      <c r="C554" s="21">
        <v>1</v>
      </c>
      <c r="D554" s="15">
        <v>2</v>
      </c>
      <c r="E554" s="42">
        <f t="shared" si="203"/>
        <v>3</v>
      </c>
      <c r="F554" s="29">
        <v>46080</v>
      </c>
      <c r="H554" s="5"/>
      <c r="I554" s="21"/>
      <c r="J554" s="15"/>
      <c r="K554" s="42">
        <f t="shared" si="207"/>
        <v>0</v>
      </c>
    </row>
    <row r="555" spans="2:12" x14ac:dyDescent="0.15">
      <c r="B555" s="5" t="s">
        <v>387</v>
      </c>
      <c r="C555" s="21"/>
      <c r="D555" s="15">
        <v>-1</v>
      </c>
      <c r="E555" s="42">
        <f t="shared" si="203"/>
        <v>-1</v>
      </c>
      <c r="F555" s="29">
        <v>46077</v>
      </c>
      <c r="H555" s="5"/>
      <c r="I555" s="21"/>
      <c r="J555" s="15"/>
      <c r="K555" s="42">
        <f t="shared" si="207"/>
        <v>0</v>
      </c>
    </row>
    <row r="556" spans="2:12" x14ac:dyDescent="0.15">
      <c r="B556" s="5" t="s">
        <v>388</v>
      </c>
      <c r="C556" s="21"/>
      <c r="D556" s="15">
        <v>3</v>
      </c>
      <c r="E556" s="42">
        <f t="shared" si="203"/>
        <v>3</v>
      </c>
      <c r="F556" s="29">
        <v>46085</v>
      </c>
      <c r="H556" s="5"/>
      <c r="I556" s="21"/>
      <c r="J556" s="15"/>
      <c r="K556" s="42">
        <f t="shared" si="207"/>
        <v>0</v>
      </c>
    </row>
    <row r="557" spans="2:12" x14ac:dyDescent="0.15">
      <c r="B557" s="5" t="s">
        <v>389</v>
      </c>
      <c r="C557" s="21">
        <v>2</v>
      </c>
      <c r="D557" s="15">
        <v>2</v>
      </c>
      <c r="E557" s="42">
        <f t="shared" si="203"/>
        <v>4</v>
      </c>
      <c r="F557" s="29">
        <v>46086</v>
      </c>
      <c r="H557" s="5"/>
      <c r="I557" s="21"/>
      <c r="J557" s="15"/>
      <c r="K557" s="42">
        <f t="shared" si="207"/>
        <v>0</v>
      </c>
    </row>
    <row r="558" spans="2:12" x14ac:dyDescent="0.15">
      <c r="B558" s="5" t="s">
        <v>390</v>
      </c>
      <c r="C558" s="21">
        <v>2</v>
      </c>
      <c r="D558" s="15">
        <v>2</v>
      </c>
      <c r="E558" s="42">
        <f t="shared" si="203"/>
        <v>4</v>
      </c>
      <c r="F558" s="29">
        <v>46087</v>
      </c>
      <c r="H558" s="5"/>
      <c r="I558" s="21"/>
      <c r="J558" s="15"/>
      <c r="K558" s="42">
        <f t="shared" si="207"/>
        <v>0</v>
      </c>
    </row>
    <row r="559" spans="2:12" x14ac:dyDescent="0.15">
      <c r="B559" s="5" t="s">
        <v>391</v>
      </c>
      <c r="C559" s="21"/>
      <c r="D559" s="15">
        <v>-7</v>
      </c>
      <c r="E559" s="42">
        <f t="shared" si="203"/>
        <v>-7</v>
      </c>
      <c r="F559" s="29">
        <v>46085</v>
      </c>
      <c r="H559" s="5"/>
      <c r="I559" s="21"/>
      <c r="J559" s="15"/>
      <c r="K559" s="42">
        <f t="shared" si="207"/>
        <v>0</v>
      </c>
    </row>
    <row r="560" spans="2:12" x14ac:dyDescent="0.15">
      <c r="B560" s="5" t="s">
        <v>392</v>
      </c>
      <c r="C560" s="21">
        <v>2</v>
      </c>
      <c r="D560" s="15">
        <v>2</v>
      </c>
      <c r="E560" s="42">
        <f t="shared" si="203"/>
        <v>4</v>
      </c>
      <c r="F560" s="29">
        <v>46091</v>
      </c>
      <c r="H560" s="5"/>
      <c r="I560" s="21"/>
      <c r="J560" s="15"/>
      <c r="K560" s="42">
        <f t="shared" si="207"/>
        <v>0</v>
      </c>
    </row>
    <row r="561" spans="2:12" x14ac:dyDescent="0.15">
      <c r="B561" s="5" t="s">
        <v>394</v>
      </c>
      <c r="C561" s="21">
        <v>2</v>
      </c>
      <c r="D561" s="15">
        <v>1</v>
      </c>
      <c r="E561" s="42">
        <f t="shared" si="203"/>
        <v>3</v>
      </c>
      <c r="F561" s="29">
        <v>46093</v>
      </c>
      <c r="H561" s="5"/>
      <c r="I561" s="21"/>
      <c r="J561" s="15"/>
      <c r="K561" s="42">
        <f t="shared" si="207"/>
        <v>0</v>
      </c>
    </row>
    <row r="562" spans="2:12" x14ac:dyDescent="0.15">
      <c r="B562" s="5" t="s">
        <v>38</v>
      </c>
      <c r="C562" s="21"/>
      <c r="D562" s="15">
        <v>-2</v>
      </c>
      <c r="E562" s="42">
        <f t="shared" si="203"/>
        <v>-2</v>
      </c>
      <c r="F562" s="29">
        <v>46090</v>
      </c>
      <c r="H562" s="5"/>
      <c r="I562" s="21"/>
      <c r="J562" s="15"/>
      <c r="K562" s="42">
        <f t="shared" ref="K562:K565" si="208">SUM(I562:J562)</f>
        <v>0</v>
      </c>
    </row>
    <row r="563" spans="2:12" x14ac:dyDescent="0.15">
      <c r="B563" s="5" t="s">
        <v>395</v>
      </c>
      <c r="C563" s="21"/>
      <c r="D563" s="15">
        <v>1</v>
      </c>
      <c r="E563" s="42">
        <f t="shared" si="203"/>
        <v>1</v>
      </c>
      <c r="F563" s="29">
        <v>46099</v>
      </c>
      <c r="H563" s="5"/>
      <c r="I563" s="21"/>
      <c r="J563" s="15"/>
      <c r="K563" s="42">
        <f t="shared" si="208"/>
        <v>0</v>
      </c>
    </row>
    <row r="564" spans="2:12" x14ac:dyDescent="0.15">
      <c r="B564" s="5" t="s">
        <v>396</v>
      </c>
      <c r="C564" s="21">
        <v>19</v>
      </c>
      <c r="D564" s="15">
        <v>27</v>
      </c>
      <c r="E564" s="42">
        <f t="shared" si="203"/>
        <v>46</v>
      </c>
      <c r="F564" s="29">
        <v>46102</v>
      </c>
      <c r="H564" s="5"/>
      <c r="I564" s="21"/>
      <c r="J564" s="15"/>
      <c r="K564" s="42">
        <f t="shared" si="208"/>
        <v>0</v>
      </c>
    </row>
    <row r="565" spans="2:12" x14ac:dyDescent="0.15">
      <c r="B565" s="5" t="s">
        <v>397</v>
      </c>
      <c r="C565" s="21">
        <v>-1</v>
      </c>
      <c r="D565" s="15"/>
      <c r="E565" s="42">
        <f t="shared" si="203"/>
        <v>-1</v>
      </c>
      <c r="F565" s="29">
        <v>46106</v>
      </c>
      <c r="H565" s="5" t="s">
        <v>327</v>
      </c>
      <c r="I565" s="21"/>
      <c r="J565" s="15"/>
      <c r="K565" s="42">
        <f t="shared" si="208"/>
        <v>0</v>
      </c>
      <c r="L565" t="s">
        <v>328</v>
      </c>
    </row>
    <row r="566" spans="2:12" x14ac:dyDescent="0.15">
      <c r="B566" s="5" t="s">
        <v>395</v>
      </c>
      <c r="C566" s="21"/>
      <c r="D566" s="15">
        <v>1</v>
      </c>
      <c r="E566" s="42">
        <f t="shared" si="203"/>
        <v>1</v>
      </c>
      <c r="F566" s="29">
        <v>46114</v>
      </c>
      <c r="H566" s="75" t="s">
        <v>295</v>
      </c>
      <c r="I566" s="62"/>
      <c r="J566" s="63"/>
      <c r="K566" s="64">
        <f t="shared" si="207"/>
        <v>0</v>
      </c>
      <c r="L566" s="71"/>
    </row>
    <row r="567" spans="2:12" x14ac:dyDescent="0.15">
      <c r="B567" s="5" t="s">
        <v>398</v>
      </c>
      <c r="C567" s="21">
        <v>1</v>
      </c>
      <c r="D567" s="15">
        <v>2</v>
      </c>
      <c r="E567" s="42">
        <f t="shared" si="203"/>
        <v>3</v>
      </c>
      <c r="F567" s="29">
        <v>46115</v>
      </c>
      <c r="H567" s="27" t="s">
        <v>294</v>
      </c>
      <c r="I567" s="21"/>
      <c r="J567" s="15"/>
      <c r="K567" s="42">
        <f t="shared" si="207"/>
        <v>0</v>
      </c>
      <c r="L567" t="s">
        <v>296</v>
      </c>
    </row>
    <row r="568" spans="2:12" x14ac:dyDescent="0.15">
      <c r="B568" s="5" t="s">
        <v>399</v>
      </c>
      <c r="C568" s="21">
        <v>1</v>
      </c>
      <c r="D568" s="15"/>
      <c r="E568" s="42">
        <f t="shared" si="203"/>
        <v>1</v>
      </c>
      <c r="F568" s="29">
        <v>46120</v>
      </c>
      <c r="H568" s="61" t="s">
        <v>155</v>
      </c>
      <c r="I568" s="62"/>
      <c r="J568" s="63"/>
      <c r="K568" s="64">
        <f t="shared" si="207"/>
        <v>0</v>
      </c>
      <c r="L568" s="71"/>
    </row>
    <row r="569" spans="2:12" ht="14.25" thickBot="1" x14ac:dyDescent="0.2">
      <c r="B569" s="5" t="s">
        <v>400</v>
      </c>
      <c r="C569" s="21">
        <v>1</v>
      </c>
      <c r="D569" s="15"/>
      <c r="E569" s="42">
        <f t="shared" si="203"/>
        <v>1</v>
      </c>
      <c r="F569" s="29">
        <v>46122</v>
      </c>
      <c r="H569" s="5" t="s">
        <v>187</v>
      </c>
      <c r="I569" s="21"/>
      <c r="J569" s="15"/>
      <c r="K569" s="42">
        <f t="shared" si="207"/>
        <v>0</v>
      </c>
      <c r="L569" t="s">
        <v>313</v>
      </c>
    </row>
    <row r="570" spans="2:12" ht="14.25" thickBot="1" x14ac:dyDescent="0.2">
      <c r="B570" s="4" t="s">
        <v>1</v>
      </c>
      <c r="C570" s="23">
        <f>SUM(C545:C569)</f>
        <v>56</v>
      </c>
      <c r="D570" s="17">
        <f>SUM(D545:D569)</f>
        <v>64</v>
      </c>
      <c r="E570" s="44">
        <f t="shared" si="203"/>
        <v>120</v>
      </c>
      <c r="H570" s="4" t="s">
        <v>1</v>
      </c>
      <c r="I570" s="23">
        <f>SUM(I545:I569)</f>
        <v>147</v>
      </c>
      <c r="J570" s="17">
        <f t="shared" ref="J570:K570" si="209">SUM(J545:J569)</f>
        <v>149</v>
      </c>
      <c r="K570" s="44">
        <f t="shared" si="209"/>
        <v>296</v>
      </c>
    </row>
    <row r="571" spans="2:12" ht="14.25" thickBot="1" x14ac:dyDescent="0.2">
      <c r="B571" s="3" t="s">
        <v>0</v>
      </c>
      <c r="C571" s="26">
        <f>+C544-C570</f>
        <v>3</v>
      </c>
      <c r="D571" s="2">
        <f>+D544-D570</f>
        <v>3</v>
      </c>
      <c r="E571" s="45">
        <f t="shared" si="203"/>
        <v>6</v>
      </c>
      <c r="H571" s="3" t="s">
        <v>0</v>
      </c>
      <c r="I571" s="26">
        <f>+I544-I570</f>
        <v>487</v>
      </c>
      <c r="J571" s="2">
        <f t="shared" ref="J571:K571" si="210">+J544-J570</f>
        <v>476</v>
      </c>
      <c r="K571" s="45">
        <f t="shared" si="210"/>
        <v>963</v>
      </c>
      <c r="L571" s="85" t="s">
        <v>386</v>
      </c>
    </row>
    <row r="575" spans="2:12" ht="18.75" x14ac:dyDescent="0.2">
      <c r="B575" s="13" t="s">
        <v>9</v>
      </c>
      <c r="C575" s="12"/>
      <c r="D575" s="12"/>
      <c r="E575" s="59"/>
      <c r="H575" s="48" t="s">
        <v>10</v>
      </c>
      <c r="I575" s="49"/>
      <c r="J575" s="49"/>
      <c r="K575" s="60"/>
    </row>
    <row r="576" spans="2:12" ht="15" thickBot="1" x14ac:dyDescent="0.2">
      <c r="B576" s="52" t="s">
        <v>16</v>
      </c>
      <c r="C576" s="12"/>
      <c r="D576" s="67" t="s">
        <v>215</v>
      </c>
      <c r="E576" s="68"/>
      <c r="H576" s="53" t="s">
        <v>16</v>
      </c>
      <c r="I576" s="49"/>
      <c r="J576" s="69" t="s">
        <v>215</v>
      </c>
      <c r="K576" s="70"/>
    </row>
    <row r="577" spans="2:11" ht="14.25" thickBot="1" x14ac:dyDescent="0.2">
      <c r="B577" s="11"/>
      <c r="C577" s="96" t="s">
        <v>409</v>
      </c>
      <c r="D577" s="97"/>
      <c r="E577" s="98"/>
      <c r="H577" s="11"/>
      <c r="I577" s="96" t="s">
        <v>409</v>
      </c>
      <c r="J577" s="97"/>
      <c r="K577" s="98"/>
    </row>
    <row r="578" spans="2:11" ht="19.5" thickBot="1" x14ac:dyDescent="0.25">
      <c r="B578" s="10"/>
      <c r="C578" s="19" t="s">
        <v>7</v>
      </c>
      <c r="D578" s="58" t="s">
        <v>8</v>
      </c>
      <c r="E578" s="37" t="s">
        <v>4</v>
      </c>
      <c r="H578" s="10"/>
      <c r="I578" s="19" t="s">
        <v>7</v>
      </c>
      <c r="J578" s="58" t="s">
        <v>8</v>
      </c>
      <c r="K578" s="37" t="s">
        <v>4</v>
      </c>
    </row>
    <row r="579" spans="2:11" x14ac:dyDescent="0.15">
      <c r="B579" s="34" t="s">
        <v>0</v>
      </c>
      <c r="C579" s="35">
        <f>C571</f>
        <v>3</v>
      </c>
      <c r="D579" s="35">
        <f t="shared" ref="D579:E579" si="211">D571</f>
        <v>3</v>
      </c>
      <c r="E579" s="84">
        <f t="shared" si="211"/>
        <v>6</v>
      </c>
      <c r="H579" s="34" t="s">
        <v>0</v>
      </c>
      <c r="I579" s="35">
        <f>I571</f>
        <v>487</v>
      </c>
      <c r="J579" s="36">
        <f t="shared" ref="J579:K579" si="212">J571</f>
        <v>476</v>
      </c>
      <c r="K579" s="46">
        <f t="shared" si="212"/>
        <v>963</v>
      </c>
    </row>
    <row r="580" spans="2:11" x14ac:dyDescent="0.15">
      <c r="B580" s="92" t="s">
        <v>133</v>
      </c>
      <c r="C580" s="88"/>
      <c r="D580" s="89">
        <v>1</v>
      </c>
      <c r="E580" s="93">
        <f t="shared" ref="E580:E612" si="213">SUM(C580:D580)</f>
        <v>1</v>
      </c>
      <c r="F580" s="91">
        <v>46129</v>
      </c>
      <c r="H580" s="8" t="s">
        <v>3</v>
      </c>
      <c r="I580" s="21"/>
      <c r="J580" s="15"/>
      <c r="K580" s="56">
        <f t="shared" ref="K580:K584" si="214">SUM(I580:J580)</f>
        <v>0</v>
      </c>
    </row>
    <row r="581" spans="2:11" x14ac:dyDescent="0.15">
      <c r="B581" s="8" t="s">
        <v>3</v>
      </c>
      <c r="C581" s="21">
        <v>3</v>
      </c>
      <c r="D581" s="15">
        <v>3</v>
      </c>
      <c r="E581" s="56">
        <f t="shared" si="213"/>
        <v>6</v>
      </c>
      <c r="F581" s="29">
        <v>46144</v>
      </c>
      <c r="H581" s="8" t="s">
        <v>3</v>
      </c>
      <c r="I581" s="21"/>
      <c r="J581" s="15"/>
      <c r="K581" s="56">
        <f t="shared" si="214"/>
        <v>0</v>
      </c>
    </row>
    <row r="582" spans="2:11" x14ac:dyDescent="0.15">
      <c r="B582" s="8" t="s">
        <v>139</v>
      </c>
      <c r="C582" s="21">
        <v>13</v>
      </c>
      <c r="D582" s="15"/>
      <c r="E582" s="56">
        <f t="shared" si="213"/>
        <v>13</v>
      </c>
      <c r="F582" s="29">
        <v>46142</v>
      </c>
      <c r="H582" s="8" t="s">
        <v>3</v>
      </c>
      <c r="I582" s="21">
        <v>350</v>
      </c>
      <c r="J582" s="15">
        <v>500</v>
      </c>
      <c r="K582" s="56">
        <f t="shared" si="214"/>
        <v>850</v>
      </c>
    </row>
    <row r="583" spans="2:11" x14ac:dyDescent="0.15">
      <c r="B583" s="92" t="s">
        <v>3</v>
      </c>
      <c r="C583" s="21"/>
      <c r="D583" s="15"/>
      <c r="E583" s="56">
        <f t="shared" si="213"/>
        <v>0</v>
      </c>
      <c r="F583" s="29"/>
      <c r="H583" s="8" t="s">
        <v>3</v>
      </c>
      <c r="I583" s="21"/>
      <c r="J583" s="15"/>
      <c r="K583" s="56">
        <f t="shared" si="214"/>
        <v>0</v>
      </c>
    </row>
    <row r="584" spans="2:11" ht="14.25" thickBot="1" x14ac:dyDescent="0.2">
      <c r="B584" s="92" t="s">
        <v>3</v>
      </c>
      <c r="C584" s="21"/>
      <c r="D584" s="15"/>
      <c r="E584" s="40">
        <f t="shared" si="213"/>
        <v>0</v>
      </c>
      <c r="F584" s="29"/>
      <c r="H584" s="8" t="s">
        <v>3</v>
      </c>
      <c r="I584" s="21">
        <v>150</v>
      </c>
      <c r="J584" s="15">
        <v>438</v>
      </c>
      <c r="K584" s="40">
        <f t="shared" si="214"/>
        <v>588</v>
      </c>
    </row>
    <row r="585" spans="2:11" ht="14.25" thickBot="1" x14ac:dyDescent="0.2">
      <c r="B585" s="31" t="s">
        <v>2</v>
      </c>
      <c r="C585" s="32">
        <f>SUM(C579:C584)</f>
        <v>19</v>
      </c>
      <c r="D585" s="33">
        <f>SUM(D579:D584)</f>
        <v>7</v>
      </c>
      <c r="E585" s="41">
        <f t="shared" si="213"/>
        <v>26</v>
      </c>
      <c r="H585" s="31" t="s">
        <v>2</v>
      </c>
      <c r="I585" s="32">
        <f>SUM(I579:I584)</f>
        <v>987</v>
      </c>
      <c r="J585" s="33">
        <f t="shared" ref="J585:K585" si="215">SUM(J579:J584)</f>
        <v>1414</v>
      </c>
      <c r="K585" s="41">
        <f t="shared" si="215"/>
        <v>2401</v>
      </c>
    </row>
    <row r="586" spans="2:11" x14ac:dyDescent="0.15">
      <c r="B586" s="5" t="s">
        <v>401</v>
      </c>
      <c r="C586" s="21"/>
      <c r="D586" s="15">
        <v>1</v>
      </c>
      <c r="E586" s="42">
        <f t="shared" si="213"/>
        <v>1</v>
      </c>
      <c r="F586" s="29">
        <v>46125</v>
      </c>
      <c r="H586" s="27" t="s">
        <v>407</v>
      </c>
      <c r="I586" s="21">
        <v>150</v>
      </c>
      <c r="J586" s="15">
        <v>438</v>
      </c>
      <c r="K586" s="42">
        <f t="shared" ref="K586:K610" si="216">SUM(I586:J586)</f>
        <v>588</v>
      </c>
    </row>
    <row r="587" spans="2:11" x14ac:dyDescent="0.15">
      <c r="B587" s="5" t="s">
        <v>402</v>
      </c>
      <c r="C587" s="21">
        <v>1</v>
      </c>
      <c r="D587" s="15"/>
      <c r="E587" s="42">
        <f t="shared" si="213"/>
        <v>1</v>
      </c>
      <c r="F587" s="29">
        <v>46136</v>
      </c>
      <c r="H587" s="27" t="s">
        <v>406</v>
      </c>
      <c r="I587" s="21"/>
      <c r="J587" s="15"/>
      <c r="K587" s="42">
        <f t="shared" si="216"/>
        <v>0</v>
      </c>
    </row>
    <row r="588" spans="2:11" x14ac:dyDescent="0.15">
      <c r="B588" s="5" t="s">
        <v>403</v>
      </c>
      <c r="C588" s="21"/>
      <c r="D588" s="15">
        <v>1</v>
      </c>
      <c r="E588" s="42">
        <f t="shared" si="213"/>
        <v>1</v>
      </c>
      <c r="F588" s="29">
        <v>46140</v>
      </c>
      <c r="H588" s="87"/>
      <c r="I588" s="88"/>
      <c r="J588" s="89"/>
      <c r="K588" s="90">
        <f t="shared" si="216"/>
        <v>0</v>
      </c>
    </row>
    <row r="589" spans="2:11" x14ac:dyDescent="0.15">
      <c r="B589" s="5" t="s">
        <v>404</v>
      </c>
      <c r="C589" s="21">
        <v>1</v>
      </c>
      <c r="D589" s="15"/>
      <c r="E589" s="42">
        <f t="shared" si="213"/>
        <v>1</v>
      </c>
      <c r="F589" s="29">
        <v>46143</v>
      </c>
      <c r="H589" s="27"/>
      <c r="I589" s="21"/>
      <c r="J589" s="15"/>
      <c r="K589" s="42">
        <f t="shared" si="216"/>
        <v>0</v>
      </c>
    </row>
    <row r="590" spans="2:11" x14ac:dyDescent="0.15">
      <c r="B590" s="5" t="s">
        <v>405</v>
      </c>
      <c r="C590" s="21"/>
      <c r="D590" s="15">
        <v>1</v>
      </c>
      <c r="E590" s="42">
        <f t="shared" si="213"/>
        <v>1</v>
      </c>
      <c r="F590" s="29">
        <v>46170</v>
      </c>
      <c r="H590" s="87"/>
      <c r="I590" s="88"/>
      <c r="J590" s="89"/>
      <c r="K590" s="90">
        <f t="shared" si="216"/>
        <v>0</v>
      </c>
    </row>
    <row r="591" spans="2:11" x14ac:dyDescent="0.15">
      <c r="B591" s="5" t="s">
        <v>61</v>
      </c>
      <c r="C591" s="21">
        <v>1</v>
      </c>
      <c r="D591" s="15">
        <v>1</v>
      </c>
      <c r="E591" s="42">
        <f t="shared" si="213"/>
        <v>2</v>
      </c>
      <c r="F591" s="29">
        <v>46177</v>
      </c>
      <c r="H591" s="87"/>
      <c r="I591" s="21"/>
      <c r="J591" s="15"/>
      <c r="K591" s="42">
        <f t="shared" si="216"/>
        <v>0</v>
      </c>
    </row>
    <row r="592" spans="2:11" x14ac:dyDescent="0.15">
      <c r="B592" s="5"/>
      <c r="C592" s="21"/>
      <c r="D592" s="15"/>
      <c r="E592" s="42">
        <f t="shared" si="213"/>
        <v>0</v>
      </c>
      <c r="F592" s="29"/>
      <c r="H592" s="5"/>
      <c r="I592" s="21"/>
      <c r="J592" s="15"/>
      <c r="K592" s="42">
        <f t="shared" si="216"/>
        <v>0</v>
      </c>
    </row>
    <row r="593" spans="2:11" x14ac:dyDescent="0.15">
      <c r="B593" s="5"/>
      <c r="C593" s="21"/>
      <c r="D593" s="15"/>
      <c r="E593" s="42">
        <f t="shared" si="213"/>
        <v>0</v>
      </c>
      <c r="F593" s="29"/>
      <c r="H593" s="5"/>
      <c r="I593" s="21"/>
      <c r="J593" s="15"/>
      <c r="K593" s="42">
        <f t="shared" si="216"/>
        <v>0</v>
      </c>
    </row>
    <row r="594" spans="2:11" x14ac:dyDescent="0.15">
      <c r="B594" s="5"/>
      <c r="C594" s="21"/>
      <c r="D594" s="15"/>
      <c r="E594" s="42">
        <f t="shared" si="213"/>
        <v>0</v>
      </c>
      <c r="F594" s="29"/>
      <c r="H594" s="5"/>
      <c r="I594" s="21"/>
      <c r="J594" s="15"/>
      <c r="K594" s="42">
        <f t="shared" si="216"/>
        <v>0</v>
      </c>
    </row>
    <row r="595" spans="2:11" x14ac:dyDescent="0.15">
      <c r="B595" s="5"/>
      <c r="C595" s="21"/>
      <c r="D595" s="15"/>
      <c r="E595" s="42">
        <f t="shared" si="213"/>
        <v>0</v>
      </c>
      <c r="F595" s="29"/>
      <c r="H595" s="5"/>
      <c r="I595" s="21"/>
      <c r="J595" s="15"/>
      <c r="K595" s="42">
        <f t="shared" si="216"/>
        <v>0</v>
      </c>
    </row>
    <row r="596" spans="2:11" x14ac:dyDescent="0.15">
      <c r="B596" s="5"/>
      <c r="C596" s="21"/>
      <c r="D596" s="15"/>
      <c r="E596" s="42">
        <f t="shared" si="213"/>
        <v>0</v>
      </c>
      <c r="F596" s="29"/>
      <c r="H596" s="5"/>
      <c r="I596" s="21"/>
      <c r="J596" s="15"/>
      <c r="K596" s="42">
        <f t="shared" si="216"/>
        <v>0</v>
      </c>
    </row>
    <row r="597" spans="2:11" x14ac:dyDescent="0.15">
      <c r="B597" s="5"/>
      <c r="C597" s="21"/>
      <c r="D597" s="15"/>
      <c r="E597" s="42">
        <f t="shared" si="213"/>
        <v>0</v>
      </c>
      <c r="F597" s="29"/>
      <c r="H597" s="5"/>
      <c r="I597" s="21"/>
      <c r="J597" s="15"/>
      <c r="K597" s="42">
        <f t="shared" si="216"/>
        <v>0</v>
      </c>
    </row>
    <row r="598" spans="2:11" x14ac:dyDescent="0.15">
      <c r="B598" s="5"/>
      <c r="C598" s="21"/>
      <c r="D598" s="15"/>
      <c r="E598" s="42">
        <f t="shared" si="213"/>
        <v>0</v>
      </c>
      <c r="F598" s="29"/>
      <c r="H598" s="5"/>
      <c r="I598" s="21"/>
      <c r="J598" s="15"/>
      <c r="K598" s="42">
        <f t="shared" si="216"/>
        <v>0</v>
      </c>
    </row>
    <row r="599" spans="2:11" x14ac:dyDescent="0.15">
      <c r="B599" s="5"/>
      <c r="C599" s="21"/>
      <c r="D599" s="15"/>
      <c r="E599" s="42">
        <f t="shared" si="213"/>
        <v>0</v>
      </c>
      <c r="F599" s="29"/>
      <c r="H599" s="5"/>
      <c r="I599" s="21"/>
      <c r="J599" s="15"/>
      <c r="K599" s="42">
        <f t="shared" si="216"/>
        <v>0</v>
      </c>
    </row>
    <row r="600" spans="2:11" x14ac:dyDescent="0.15">
      <c r="B600" s="5"/>
      <c r="C600" s="21"/>
      <c r="D600" s="15"/>
      <c r="E600" s="42">
        <f t="shared" si="213"/>
        <v>0</v>
      </c>
      <c r="F600" s="29"/>
      <c r="H600" s="5"/>
      <c r="I600" s="21"/>
      <c r="J600" s="15"/>
      <c r="K600" s="42">
        <f t="shared" si="216"/>
        <v>0</v>
      </c>
    </row>
    <row r="601" spans="2:11" x14ac:dyDescent="0.15">
      <c r="B601" s="5"/>
      <c r="C601" s="21"/>
      <c r="D601" s="15"/>
      <c r="E601" s="42">
        <f t="shared" si="213"/>
        <v>0</v>
      </c>
      <c r="F601" s="29"/>
      <c r="H601" s="5"/>
      <c r="I601" s="21"/>
      <c r="J601" s="15"/>
      <c r="K601" s="42">
        <f t="shared" si="216"/>
        <v>0</v>
      </c>
    </row>
    <row r="602" spans="2:11" x14ac:dyDescent="0.15">
      <c r="B602" s="5"/>
      <c r="C602" s="21"/>
      <c r="D602" s="15"/>
      <c r="E602" s="42">
        <f t="shared" si="213"/>
        <v>0</v>
      </c>
      <c r="F602" s="29"/>
      <c r="H602" s="5"/>
      <c r="I602" s="21"/>
      <c r="J602" s="15"/>
      <c r="K602" s="42">
        <f t="shared" si="216"/>
        <v>0</v>
      </c>
    </row>
    <row r="603" spans="2:11" x14ac:dyDescent="0.15">
      <c r="B603" s="5"/>
      <c r="C603" s="21"/>
      <c r="D603" s="15"/>
      <c r="E603" s="42">
        <f t="shared" si="213"/>
        <v>0</v>
      </c>
      <c r="F603" s="29"/>
      <c r="H603" s="5"/>
      <c r="I603" s="21"/>
      <c r="J603" s="15"/>
      <c r="K603" s="42">
        <f t="shared" si="216"/>
        <v>0</v>
      </c>
    </row>
    <row r="604" spans="2:11" x14ac:dyDescent="0.15">
      <c r="B604" s="5"/>
      <c r="C604" s="21"/>
      <c r="D604" s="15"/>
      <c r="E604" s="42">
        <f t="shared" si="213"/>
        <v>0</v>
      </c>
      <c r="F604" s="29"/>
      <c r="H604" s="5"/>
      <c r="I604" s="21"/>
      <c r="J604" s="15"/>
      <c r="K604" s="42">
        <f t="shared" si="216"/>
        <v>0</v>
      </c>
    </row>
    <row r="605" spans="2:11" x14ac:dyDescent="0.15">
      <c r="B605" s="5"/>
      <c r="C605" s="21"/>
      <c r="D605" s="15"/>
      <c r="E605" s="42">
        <f t="shared" si="213"/>
        <v>0</v>
      </c>
      <c r="F605" s="29"/>
      <c r="H605" s="5"/>
      <c r="I605" s="21"/>
      <c r="J605" s="15"/>
      <c r="K605" s="42">
        <f t="shared" si="216"/>
        <v>0</v>
      </c>
    </row>
    <row r="606" spans="2:11" x14ac:dyDescent="0.15">
      <c r="B606" s="5"/>
      <c r="C606" s="21"/>
      <c r="D606" s="15"/>
      <c r="E606" s="42">
        <f t="shared" si="213"/>
        <v>0</v>
      </c>
      <c r="F606" s="29"/>
      <c r="H606" s="5"/>
      <c r="I606" s="21"/>
      <c r="J606" s="15"/>
      <c r="K606" s="42">
        <f t="shared" si="216"/>
        <v>0</v>
      </c>
    </row>
    <row r="607" spans="2:11" x14ac:dyDescent="0.15">
      <c r="B607" s="5"/>
      <c r="C607" s="21"/>
      <c r="D607" s="15"/>
      <c r="E607" s="42">
        <f t="shared" si="213"/>
        <v>0</v>
      </c>
      <c r="F607" s="29"/>
      <c r="H607" s="75"/>
      <c r="I607" s="62"/>
      <c r="J607" s="63"/>
      <c r="K607" s="64">
        <f t="shared" si="216"/>
        <v>0</v>
      </c>
    </row>
    <row r="608" spans="2:11" x14ac:dyDescent="0.15">
      <c r="B608" s="5"/>
      <c r="C608" s="21"/>
      <c r="D608" s="15"/>
      <c r="E608" s="42">
        <f t="shared" si="213"/>
        <v>0</v>
      </c>
      <c r="F608" s="29"/>
      <c r="H608" s="27"/>
      <c r="I608" s="21"/>
      <c r="J608" s="15"/>
      <c r="K608" s="42">
        <f t="shared" si="216"/>
        <v>0</v>
      </c>
    </row>
    <row r="609" spans="2:11" x14ac:dyDescent="0.15">
      <c r="B609" s="5"/>
      <c r="C609" s="21"/>
      <c r="D609" s="15"/>
      <c r="E609" s="42">
        <f t="shared" si="213"/>
        <v>0</v>
      </c>
      <c r="H609" s="61"/>
      <c r="I609" s="62"/>
      <c r="J609" s="63"/>
      <c r="K609" s="64">
        <f t="shared" si="216"/>
        <v>0</v>
      </c>
    </row>
    <row r="610" spans="2:11" ht="14.25" thickBot="1" x14ac:dyDescent="0.2">
      <c r="B610" s="5"/>
      <c r="C610" s="21"/>
      <c r="D610" s="15"/>
      <c r="E610" s="42">
        <f t="shared" si="213"/>
        <v>0</v>
      </c>
      <c r="H610" s="5" t="s">
        <v>408</v>
      </c>
      <c r="I610" s="21">
        <v>781</v>
      </c>
      <c r="J610" s="15">
        <v>892</v>
      </c>
      <c r="K610" s="42">
        <f t="shared" si="216"/>
        <v>1673</v>
      </c>
    </row>
    <row r="611" spans="2:11" ht="14.25" thickBot="1" x14ac:dyDescent="0.2">
      <c r="B611" s="4" t="s">
        <v>1</v>
      </c>
      <c r="C611" s="23">
        <f>SUM(C586:C610)</f>
        <v>3</v>
      </c>
      <c r="D611" s="17">
        <f>SUM(D586:D610)</f>
        <v>4</v>
      </c>
      <c r="E611" s="44">
        <f t="shared" si="213"/>
        <v>7</v>
      </c>
      <c r="H611" s="4" t="s">
        <v>1</v>
      </c>
      <c r="I611" s="23">
        <f>SUM(I586:I610)</f>
        <v>931</v>
      </c>
      <c r="J611" s="17">
        <f t="shared" ref="J611:K611" si="217">SUM(J586:J610)</f>
        <v>1330</v>
      </c>
      <c r="K611" s="44">
        <f t="shared" si="217"/>
        <v>2261</v>
      </c>
    </row>
    <row r="612" spans="2:11" ht="14.25" thickBot="1" x14ac:dyDescent="0.2">
      <c r="B612" s="3" t="s">
        <v>0</v>
      </c>
      <c r="C612" s="26">
        <f>+C585-C611</f>
        <v>16</v>
      </c>
      <c r="D612" s="2">
        <f>+D585-D611</f>
        <v>3</v>
      </c>
      <c r="E612" s="45">
        <f t="shared" si="213"/>
        <v>19</v>
      </c>
      <c r="H612" s="3" t="s">
        <v>0</v>
      </c>
      <c r="I612" s="26">
        <f>+I585-I611</f>
        <v>56</v>
      </c>
      <c r="J612" s="2">
        <f t="shared" ref="J612:K612" si="218">+J585-J611</f>
        <v>84</v>
      </c>
      <c r="K612" s="45">
        <f t="shared" si="218"/>
        <v>140</v>
      </c>
    </row>
  </sheetData>
  <mergeCells count="31">
    <mergeCell ref="C208:E208"/>
    <mergeCell ref="I208:K208"/>
    <mergeCell ref="I167:K167"/>
    <mergeCell ref="C167:E167"/>
    <mergeCell ref="C126:E126"/>
    <mergeCell ref="I126:K126"/>
    <mergeCell ref="I3:K3"/>
    <mergeCell ref="I44:K44"/>
    <mergeCell ref="C3:E3"/>
    <mergeCell ref="C44:E44"/>
    <mergeCell ref="C85:E85"/>
    <mergeCell ref="I85:K85"/>
    <mergeCell ref="C249:E249"/>
    <mergeCell ref="I249:K249"/>
    <mergeCell ref="C495:E495"/>
    <mergeCell ref="I495:K495"/>
    <mergeCell ref="B369:K369"/>
    <mergeCell ref="C331:E331"/>
    <mergeCell ref="I331:K331"/>
    <mergeCell ref="C290:E290"/>
    <mergeCell ref="C454:E454"/>
    <mergeCell ref="I454:K454"/>
    <mergeCell ref="I413:K413"/>
    <mergeCell ref="C413:E413"/>
    <mergeCell ref="C372:E372"/>
    <mergeCell ref="I372:K372"/>
    <mergeCell ref="C577:E577"/>
    <mergeCell ref="I577:K577"/>
    <mergeCell ref="I536:K536"/>
    <mergeCell ref="C536:E536"/>
    <mergeCell ref="I290:K290"/>
  </mergeCells>
  <phoneticPr fontId="2"/>
  <pageMargins left="0.78700000000000003" right="0.78700000000000003" top="0.98399999999999999" bottom="0.98399999999999999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0"/>
  <sheetViews>
    <sheetView zoomScaleNormal="100" workbookViewId="0">
      <selection activeCell="F66" sqref="F66"/>
    </sheetView>
  </sheetViews>
  <sheetFormatPr defaultRowHeight="13.5" x14ac:dyDescent="0.15"/>
  <cols>
    <col min="2" max="2" width="29.625" style="1" customWidth="1"/>
    <col min="3" max="5" width="9.25" customWidth="1"/>
    <col min="6" max="6" width="9.25" style="28" bestFit="1" customWidth="1"/>
  </cols>
  <sheetData>
    <row r="1" spans="2:6" ht="18.75" x14ac:dyDescent="0.2">
      <c r="B1" s="13" t="s">
        <v>9</v>
      </c>
      <c r="C1" s="12"/>
      <c r="D1" s="12"/>
      <c r="E1" s="12"/>
    </row>
    <row r="2" spans="2:6" ht="15" thickBot="1" x14ac:dyDescent="0.2">
      <c r="B2" s="52" t="s">
        <v>15</v>
      </c>
      <c r="C2" s="12"/>
      <c r="D2" s="12"/>
      <c r="E2" s="12"/>
    </row>
    <row r="3" spans="2:6" ht="14.25" thickBot="1" x14ac:dyDescent="0.2">
      <c r="B3" s="11"/>
      <c r="C3" s="96" t="s">
        <v>6</v>
      </c>
      <c r="D3" s="97"/>
      <c r="E3" s="98"/>
    </row>
    <row r="4" spans="2:6" s="1" customFormat="1" ht="14.25" thickBot="1" x14ac:dyDescent="0.2">
      <c r="B4" s="10"/>
      <c r="C4" s="19" t="s">
        <v>7</v>
      </c>
      <c r="D4" s="9" t="s">
        <v>8</v>
      </c>
      <c r="E4" s="37" t="s">
        <v>4</v>
      </c>
      <c r="F4" s="28"/>
    </row>
    <row r="5" spans="2:6" ht="14.25" customHeight="1" x14ac:dyDescent="0.15">
      <c r="B5" s="6" t="s">
        <v>5</v>
      </c>
      <c r="C5" s="20"/>
      <c r="D5" s="14">
        <v>2</v>
      </c>
      <c r="E5" s="38">
        <f t="shared" ref="E5:E38" si="0">SUM(C5:D5)</f>
        <v>2</v>
      </c>
      <c r="F5" s="29">
        <v>45251</v>
      </c>
    </row>
    <row r="6" spans="2:6" x14ac:dyDescent="0.15">
      <c r="B6" s="8" t="s">
        <v>3</v>
      </c>
      <c r="C6" s="21">
        <v>2</v>
      </c>
      <c r="D6" s="15"/>
      <c r="E6" s="39">
        <f>SUM(C6:D6)</f>
        <v>2</v>
      </c>
      <c r="F6" s="29">
        <v>45252</v>
      </c>
    </row>
    <row r="7" spans="2:6" x14ac:dyDescent="0.15">
      <c r="B7" s="8" t="s">
        <v>3</v>
      </c>
      <c r="C7" s="21"/>
      <c r="D7" s="15">
        <v>2</v>
      </c>
      <c r="E7" s="39">
        <f t="shared" si="0"/>
        <v>2</v>
      </c>
      <c r="F7" s="29">
        <v>45265</v>
      </c>
    </row>
    <row r="8" spans="2:6" x14ac:dyDescent="0.15">
      <c r="B8" s="8" t="s">
        <v>3</v>
      </c>
      <c r="C8" s="21"/>
      <c r="D8" s="15">
        <v>2</v>
      </c>
      <c r="E8" s="39">
        <f t="shared" ref="E8:E15" si="1">SUM(C8:D8)</f>
        <v>2</v>
      </c>
      <c r="F8" s="29">
        <v>45271</v>
      </c>
    </row>
    <row r="9" spans="2:6" x14ac:dyDescent="0.15">
      <c r="B9" s="8" t="s">
        <v>3</v>
      </c>
      <c r="C9" s="21">
        <v>2</v>
      </c>
      <c r="D9" s="15"/>
      <c r="E9" s="39">
        <f t="shared" si="1"/>
        <v>2</v>
      </c>
      <c r="F9" s="29">
        <v>45310</v>
      </c>
    </row>
    <row r="10" spans="2:6" x14ac:dyDescent="0.15">
      <c r="B10" s="7" t="s">
        <v>3</v>
      </c>
      <c r="C10" s="22"/>
      <c r="D10" s="16">
        <v>2</v>
      </c>
      <c r="E10" s="39">
        <f t="shared" si="1"/>
        <v>2</v>
      </c>
      <c r="F10" s="29">
        <v>45314</v>
      </c>
    </row>
    <row r="11" spans="2:6" x14ac:dyDescent="0.15">
      <c r="B11" s="7" t="s">
        <v>3</v>
      </c>
      <c r="C11" s="21">
        <v>2</v>
      </c>
      <c r="D11" s="15"/>
      <c r="E11" s="39">
        <f t="shared" si="1"/>
        <v>2</v>
      </c>
      <c r="F11" s="29">
        <v>45331</v>
      </c>
    </row>
    <row r="12" spans="2:6" x14ac:dyDescent="0.15">
      <c r="B12" s="7" t="s">
        <v>3</v>
      </c>
      <c r="C12" s="21">
        <v>2</v>
      </c>
      <c r="D12" s="15"/>
      <c r="E12" s="39">
        <f t="shared" si="1"/>
        <v>2</v>
      </c>
      <c r="F12" s="29">
        <v>45358</v>
      </c>
    </row>
    <row r="13" spans="2:6" x14ac:dyDescent="0.15">
      <c r="B13" s="8" t="s">
        <v>70</v>
      </c>
      <c r="C13" s="21">
        <v>2</v>
      </c>
      <c r="D13" s="15"/>
      <c r="E13" s="39">
        <f t="shared" si="1"/>
        <v>2</v>
      </c>
      <c r="F13" s="29">
        <v>45526</v>
      </c>
    </row>
    <row r="14" spans="2:6" x14ac:dyDescent="0.15">
      <c r="B14" s="7" t="s">
        <v>3</v>
      </c>
      <c r="C14" s="21"/>
      <c r="D14" s="15">
        <v>1</v>
      </c>
      <c r="E14" s="39">
        <f t="shared" si="1"/>
        <v>1</v>
      </c>
      <c r="F14" s="29">
        <v>45625</v>
      </c>
    </row>
    <row r="15" spans="2:6" x14ac:dyDescent="0.15">
      <c r="B15" s="7" t="s">
        <v>3</v>
      </c>
      <c r="C15" s="21"/>
      <c r="D15" s="15">
        <v>2</v>
      </c>
      <c r="E15" s="39">
        <f t="shared" si="1"/>
        <v>2</v>
      </c>
      <c r="F15" s="29">
        <v>45663</v>
      </c>
    </row>
    <row r="16" spans="2:6" x14ac:dyDescent="0.15">
      <c r="B16" s="7" t="s">
        <v>3</v>
      </c>
      <c r="C16" s="21"/>
      <c r="D16" s="15"/>
      <c r="E16" s="39">
        <f t="shared" si="0"/>
        <v>0</v>
      </c>
      <c r="F16" s="29"/>
    </row>
    <row r="17" spans="2:6" ht="14.25" thickBot="1" x14ac:dyDescent="0.2">
      <c r="B17" s="7" t="s">
        <v>3</v>
      </c>
      <c r="C17" s="22"/>
      <c r="D17" s="16">
        <v>-1</v>
      </c>
      <c r="E17" s="40">
        <f t="shared" si="0"/>
        <v>-1</v>
      </c>
      <c r="F17" s="29"/>
    </row>
    <row r="18" spans="2:6" ht="14.25" thickBot="1" x14ac:dyDescent="0.2">
      <c r="B18" s="31" t="s">
        <v>2</v>
      </c>
      <c r="C18" s="32">
        <f>SUM(C5:C17)</f>
        <v>10</v>
      </c>
      <c r="D18" s="33">
        <f>SUM(D5:D17)</f>
        <v>10</v>
      </c>
      <c r="E18" s="41">
        <f>SUM(C18:D18)</f>
        <v>20</v>
      </c>
    </row>
    <row r="19" spans="2:6" x14ac:dyDescent="0.15">
      <c r="B19" s="6" t="s">
        <v>17</v>
      </c>
      <c r="C19" s="20"/>
      <c r="D19" s="14">
        <v>1</v>
      </c>
      <c r="E19" s="42">
        <f t="shared" si="0"/>
        <v>1</v>
      </c>
      <c r="F19" s="29">
        <v>45251</v>
      </c>
    </row>
    <row r="20" spans="2:6" x14ac:dyDescent="0.15">
      <c r="B20" s="27" t="s">
        <v>17</v>
      </c>
      <c r="C20" s="21">
        <v>1</v>
      </c>
      <c r="D20" s="15">
        <v>1</v>
      </c>
      <c r="E20" s="42">
        <f t="shared" si="0"/>
        <v>2</v>
      </c>
      <c r="F20" s="29">
        <v>45252</v>
      </c>
    </row>
    <row r="21" spans="2:6" x14ac:dyDescent="0.15">
      <c r="B21" s="27" t="s">
        <v>17</v>
      </c>
      <c r="C21" s="21">
        <v>1</v>
      </c>
      <c r="D21" s="15"/>
      <c r="E21" s="42">
        <f t="shared" si="0"/>
        <v>1</v>
      </c>
      <c r="F21" s="29">
        <v>45257</v>
      </c>
    </row>
    <row r="22" spans="2:6" x14ac:dyDescent="0.15">
      <c r="B22" s="27" t="s">
        <v>17</v>
      </c>
      <c r="C22" s="21"/>
      <c r="D22" s="15">
        <v>1</v>
      </c>
      <c r="E22" s="42">
        <f t="shared" si="0"/>
        <v>1</v>
      </c>
      <c r="F22" s="29">
        <v>45265</v>
      </c>
    </row>
    <row r="23" spans="2:6" x14ac:dyDescent="0.15">
      <c r="B23" s="27" t="s">
        <v>17</v>
      </c>
      <c r="C23" s="21"/>
      <c r="D23" s="15">
        <v>2</v>
      </c>
      <c r="E23" s="42">
        <f t="shared" si="0"/>
        <v>2</v>
      </c>
      <c r="F23" s="29">
        <v>45271</v>
      </c>
    </row>
    <row r="24" spans="2:6" x14ac:dyDescent="0.15">
      <c r="B24" s="27" t="s">
        <v>17</v>
      </c>
      <c r="C24" s="21"/>
      <c r="D24" s="15">
        <v>1</v>
      </c>
      <c r="E24" s="42">
        <f t="shared" si="0"/>
        <v>1</v>
      </c>
      <c r="F24" s="29">
        <v>45303</v>
      </c>
    </row>
    <row r="25" spans="2:6" x14ac:dyDescent="0.15">
      <c r="B25" s="27" t="s">
        <v>17</v>
      </c>
      <c r="C25" s="21">
        <v>1</v>
      </c>
      <c r="D25" s="15"/>
      <c r="E25" s="42">
        <f t="shared" si="0"/>
        <v>1</v>
      </c>
      <c r="F25" s="29">
        <v>45310</v>
      </c>
    </row>
    <row r="26" spans="2:6" x14ac:dyDescent="0.15">
      <c r="B26" s="27" t="s">
        <v>17</v>
      </c>
      <c r="C26" s="21"/>
      <c r="D26" s="15">
        <v>1</v>
      </c>
      <c r="E26" s="42">
        <f t="shared" si="0"/>
        <v>1</v>
      </c>
      <c r="F26" s="29">
        <v>45314</v>
      </c>
    </row>
    <row r="27" spans="2:6" x14ac:dyDescent="0.15">
      <c r="B27" s="27" t="s">
        <v>17</v>
      </c>
      <c r="C27" s="21">
        <v>1</v>
      </c>
      <c r="D27" s="15"/>
      <c r="E27" s="42">
        <f t="shared" si="0"/>
        <v>1</v>
      </c>
      <c r="F27" s="29">
        <v>45328</v>
      </c>
    </row>
    <row r="28" spans="2:6" x14ac:dyDescent="0.15">
      <c r="B28" s="27" t="s">
        <v>17</v>
      </c>
      <c r="C28" s="21">
        <v>1</v>
      </c>
      <c r="D28" s="15">
        <v>1</v>
      </c>
      <c r="E28" s="42">
        <f t="shared" si="0"/>
        <v>2</v>
      </c>
      <c r="F28" s="29">
        <v>45331</v>
      </c>
    </row>
    <row r="29" spans="2:6" x14ac:dyDescent="0.15">
      <c r="B29" s="27" t="s">
        <v>17</v>
      </c>
      <c r="C29" s="24">
        <v>1</v>
      </c>
      <c r="D29" s="18"/>
      <c r="E29" s="42">
        <f t="shared" si="0"/>
        <v>1</v>
      </c>
      <c r="F29" s="30">
        <v>45358</v>
      </c>
    </row>
    <row r="30" spans="2:6" x14ac:dyDescent="0.15">
      <c r="B30" s="5" t="s">
        <v>55</v>
      </c>
      <c r="C30" s="24">
        <v>1</v>
      </c>
      <c r="D30" s="18"/>
      <c r="E30" s="42">
        <f t="shared" si="0"/>
        <v>1</v>
      </c>
      <c r="F30" s="30">
        <v>45358</v>
      </c>
    </row>
    <row r="31" spans="2:6" x14ac:dyDescent="0.15">
      <c r="B31" s="5" t="s">
        <v>64</v>
      </c>
      <c r="C31" s="21">
        <v>1</v>
      </c>
      <c r="D31" s="15"/>
      <c r="E31" s="42">
        <f t="shared" si="0"/>
        <v>1</v>
      </c>
      <c r="F31" s="29">
        <v>45397</v>
      </c>
    </row>
    <row r="32" spans="2:6" x14ac:dyDescent="0.15">
      <c r="B32" s="27" t="s">
        <v>17</v>
      </c>
      <c r="C32" s="21"/>
      <c r="D32" s="15">
        <v>1</v>
      </c>
      <c r="E32" s="42">
        <f t="shared" si="0"/>
        <v>1</v>
      </c>
      <c r="F32" s="29">
        <v>45622</v>
      </c>
    </row>
    <row r="33" spans="1:6" x14ac:dyDescent="0.15">
      <c r="B33" s="27" t="s">
        <v>17</v>
      </c>
      <c r="C33" s="21"/>
      <c r="D33" s="15">
        <v>1</v>
      </c>
      <c r="E33" s="42">
        <f t="shared" si="0"/>
        <v>1</v>
      </c>
      <c r="F33" s="29">
        <v>45650</v>
      </c>
    </row>
    <row r="34" spans="1:6" x14ac:dyDescent="0.15">
      <c r="B34" s="27" t="s">
        <v>17</v>
      </c>
      <c r="C34" s="21"/>
      <c r="D34" s="15">
        <v>1</v>
      </c>
      <c r="E34" s="42">
        <f t="shared" si="0"/>
        <v>1</v>
      </c>
      <c r="F34" s="29">
        <v>45663</v>
      </c>
    </row>
    <row r="35" spans="1:6" x14ac:dyDescent="0.15">
      <c r="B35" s="5" t="s">
        <v>64</v>
      </c>
      <c r="C35" s="21">
        <v>1</v>
      </c>
      <c r="D35" s="15"/>
      <c r="E35" s="42">
        <f t="shared" si="0"/>
        <v>1</v>
      </c>
      <c r="F35" s="29">
        <v>45716</v>
      </c>
    </row>
    <row r="36" spans="1:6" ht="14.25" thickBot="1" x14ac:dyDescent="0.2">
      <c r="B36" s="5" t="s">
        <v>303</v>
      </c>
      <c r="C36" s="25"/>
      <c r="D36" s="16">
        <v>-1</v>
      </c>
      <c r="E36" s="43">
        <f t="shared" si="0"/>
        <v>-1</v>
      </c>
      <c r="F36" s="29">
        <v>45994</v>
      </c>
    </row>
    <row r="37" spans="1:6" ht="14.25" thickBot="1" x14ac:dyDescent="0.2">
      <c r="B37" s="4" t="s">
        <v>1</v>
      </c>
      <c r="C37" s="23">
        <f>SUM(C19:C36)</f>
        <v>9</v>
      </c>
      <c r="D37" s="17">
        <f>SUM(D19:D36)</f>
        <v>10</v>
      </c>
      <c r="E37" s="44">
        <f>SUM(C37:D37)</f>
        <v>19</v>
      </c>
    </row>
    <row r="38" spans="1:6" ht="14.25" thickBot="1" x14ac:dyDescent="0.2">
      <c r="B38" s="3" t="s">
        <v>0</v>
      </c>
      <c r="C38" s="26">
        <f>+C18-C37</f>
        <v>1</v>
      </c>
      <c r="D38" s="2">
        <f>+D18-D37</f>
        <v>0</v>
      </c>
      <c r="E38" s="45">
        <f t="shared" si="0"/>
        <v>1</v>
      </c>
    </row>
    <row r="41" spans="1:6" x14ac:dyDescent="0.15">
      <c r="B41"/>
      <c r="F41"/>
    </row>
    <row r="42" spans="1:6" ht="18.75" x14ac:dyDescent="0.2">
      <c r="B42" s="13" t="s">
        <v>9</v>
      </c>
      <c r="C42" s="12"/>
      <c r="D42" s="12"/>
      <c r="E42" s="12"/>
    </row>
    <row r="43" spans="1:6" ht="15" thickBot="1" x14ac:dyDescent="0.2">
      <c r="B43" s="52" t="s">
        <v>16</v>
      </c>
      <c r="C43" s="12"/>
      <c r="D43" s="12"/>
      <c r="E43" s="12"/>
    </row>
    <row r="44" spans="1:6" ht="14.25" thickBot="1" x14ac:dyDescent="0.2">
      <c r="B44" s="11"/>
      <c r="C44" s="96" t="s">
        <v>6</v>
      </c>
      <c r="D44" s="97"/>
      <c r="E44" s="98"/>
    </row>
    <row r="45" spans="1:6" ht="14.25" thickBot="1" x14ac:dyDescent="0.2">
      <c r="A45" s="1"/>
      <c r="B45" s="10"/>
      <c r="C45" s="19" t="s">
        <v>7</v>
      </c>
      <c r="D45" s="9" t="s">
        <v>8</v>
      </c>
      <c r="E45" s="37" t="s">
        <v>4</v>
      </c>
    </row>
    <row r="46" spans="1:6" x14ac:dyDescent="0.15">
      <c r="B46" s="34" t="s">
        <v>0</v>
      </c>
      <c r="C46" s="35">
        <f>C38</f>
        <v>1</v>
      </c>
      <c r="D46" s="36">
        <f>D38</f>
        <v>0</v>
      </c>
      <c r="E46" s="46">
        <f t="shared" ref="E46" si="2">E38</f>
        <v>1</v>
      </c>
      <c r="F46" s="29"/>
    </row>
    <row r="47" spans="1:6" x14ac:dyDescent="0.15">
      <c r="B47" s="5" t="s">
        <v>139</v>
      </c>
      <c r="C47" s="21">
        <v>1</v>
      </c>
      <c r="D47" s="15"/>
      <c r="E47" s="39">
        <f t="shared" ref="E47:E48" si="3">SUM(C47:D47)</f>
        <v>1</v>
      </c>
      <c r="F47" s="29">
        <v>46058</v>
      </c>
    </row>
    <row r="48" spans="1:6" x14ac:dyDescent="0.15">
      <c r="B48" s="8"/>
      <c r="C48" s="21"/>
      <c r="D48" s="15"/>
      <c r="E48" s="39">
        <f t="shared" si="3"/>
        <v>0</v>
      </c>
      <c r="F48" s="29"/>
    </row>
    <row r="49" spans="2:6" x14ac:dyDescent="0.15">
      <c r="B49" s="8"/>
      <c r="C49" s="21"/>
      <c r="D49" s="15"/>
      <c r="E49" s="39">
        <f t="shared" ref="E49:E79" si="4">SUM(C49:D49)</f>
        <v>0</v>
      </c>
      <c r="F49" s="29"/>
    </row>
    <row r="50" spans="2:6" x14ac:dyDescent="0.15">
      <c r="B50" s="8"/>
      <c r="C50" s="21"/>
      <c r="D50" s="15"/>
      <c r="E50" s="39">
        <f t="shared" si="4"/>
        <v>0</v>
      </c>
      <c r="F50" s="29"/>
    </row>
    <row r="51" spans="2:6" x14ac:dyDescent="0.15">
      <c r="B51" s="7"/>
      <c r="C51" s="22"/>
      <c r="D51" s="16"/>
      <c r="E51" s="39">
        <f t="shared" si="4"/>
        <v>0</v>
      </c>
      <c r="F51" s="29"/>
    </row>
    <row r="52" spans="2:6" x14ac:dyDescent="0.15">
      <c r="B52" s="8"/>
      <c r="C52" s="21"/>
      <c r="D52" s="15"/>
      <c r="E52" s="39">
        <f t="shared" si="4"/>
        <v>0</v>
      </c>
    </row>
    <row r="53" spans="2:6" x14ac:dyDescent="0.15">
      <c r="B53" s="8"/>
      <c r="C53" s="21"/>
      <c r="D53" s="15"/>
      <c r="E53" s="39">
        <f t="shared" si="4"/>
        <v>0</v>
      </c>
      <c r="F53" s="29"/>
    </row>
    <row r="54" spans="2:6" x14ac:dyDescent="0.15">
      <c r="B54" s="8"/>
      <c r="C54" s="21"/>
      <c r="D54" s="15"/>
      <c r="E54" s="39">
        <f t="shared" si="4"/>
        <v>0</v>
      </c>
      <c r="F54" s="29"/>
    </row>
    <row r="55" spans="2:6" x14ac:dyDescent="0.15">
      <c r="B55" s="8"/>
      <c r="C55" s="21"/>
      <c r="D55" s="15"/>
      <c r="E55" s="39">
        <f t="shared" si="4"/>
        <v>0</v>
      </c>
      <c r="F55" s="29"/>
    </row>
    <row r="56" spans="2:6" x14ac:dyDescent="0.15">
      <c r="B56" s="8"/>
      <c r="C56" s="21"/>
      <c r="D56" s="15"/>
      <c r="E56" s="39">
        <f t="shared" si="4"/>
        <v>0</v>
      </c>
      <c r="F56" s="29"/>
    </row>
    <row r="57" spans="2:6" x14ac:dyDescent="0.15">
      <c r="B57" s="8"/>
      <c r="C57" s="21"/>
      <c r="D57" s="15"/>
      <c r="E57" s="39">
        <f t="shared" si="4"/>
        <v>0</v>
      </c>
      <c r="F57" s="29"/>
    </row>
    <row r="58" spans="2:6" ht="14.25" thickBot="1" x14ac:dyDescent="0.2">
      <c r="B58" s="7"/>
      <c r="C58" s="22"/>
      <c r="D58" s="16"/>
      <c r="E58" s="40">
        <f t="shared" si="4"/>
        <v>0</v>
      </c>
      <c r="F58" s="29"/>
    </row>
    <row r="59" spans="2:6" ht="14.25" thickBot="1" x14ac:dyDescent="0.2">
      <c r="B59" s="31" t="s">
        <v>2</v>
      </c>
      <c r="C59" s="32">
        <f>SUM(C46:C58)</f>
        <v>2</v>
      </c>
      <c r="D59" s="33">
        <f>SUM(D46:D58)</f>
        <v>0</v>
      </c>
      <c r="E59" s="41">
        <f t="shared" si="4"/>
        <v>2</v>
      </c>
      <c r="F59" s="29"/>
    </row>
    <row r="60" spans="2:6" x14ac:dyDescent="0.15">
      <c r="B60" s="6" t="s">
        <v>314</v>
      </c>
      <c r="C60" s="20">
        <v>1</v>
      </c>
      <c r="D60" s="14"/>
      <c r="E60" s="42">
        <f t="shared" si="4"/>
        <v>1</v>
      </c>
      <c r="F60" s="29">
        <v>46000</v>
      </c>
    </row>
    <row r="61" spans="2:6" x14ac:dyDescent="0.15">
      <c r="B61" s="27"/>
      <c r="C61" s="21"/>
      <c r="D61" s="15"/>
      <c r="E61" s="42">
        <f t="shared" si="4"/>
        <v>0</v>
      </c>
      <c r="F61" s="29"/>
    </row>
    <row r="62" spans="2:6" x14ac:dyDescent="0.15">
      <c r="B62" s="27"/>
      <c r="C62" s="21"/>
      <c r="D62" s="15"/>
      <c r="E62" s="42">
        <f t="shared" si="4"/>
        <v>0</v>
      </c>
      <c r="F62" s="29"/>
    </row>
    <row r="63" spans="2:6" x14ac:dyDescent="0.15">
      <c r="B63" s="27"/>
      <c r="C63" s="21"/>
      <c r="D63" s="15"/>
      <c r="E63" s="42">
        <f t="shared" si="4"/>
        <v>0</v>
      </c>
      <c r="F63" s="29"/>
    </row>
    <row r="64" spans="2:6" x14ac:dyDescent="0.15">
      <c r="B64" s="27"/>
      <c r="C64" s="21"/>
      <c r="D64" s="15"/>
      <c r="E64" s="42">
        <f t="shared" si="4"/>
        <v>0</v>
      </c>
      <c r="F64" s="30"/>
    </row>
    <row r="65" spans="2:6" x14ac:dyDescent="0.15">
      <c r="B65" s="27"/>
      <c r="C65" s="21"/>
      <c r="D65" s="15"/>
      <c r="E65" s="42">
        <f t="shared" si="4"/>
        <v>0</v>
      </c>
      <c r="F65" s="29"/>
    </row>
    <row r="66" spans="2:6" x14ac:dyDescent="0.15">
      <c r="B66" s="27"/>
      <c r="C66" s="21"/>
      <c r="D66" s="15"/>
      <c r="E66" s="42">
        <f t="shared" si="4"/>
        <v>0</v>
      </c>
      <c r="F66" s="29"/>
    </row>
    <row r="67" spans="2:6" x14ac:dyDescent="0.15">
      <c r="B67" s="27"/>
      <c r="C67" s="21"/>
      <c r="D67" s="15"/>
      <c r="E67" s="42">
        <f t="shared" si="4"/>
        <v>0</v>
      </c>
      <c r="F67" s="29"/>
    </row>
    <row r="68" spans="2:6" x14ac:dyDescent="0.15">
      <c r="B68" s="5"/>
      <c r="C68" s="21"/>
      <c r="D68" s="15"/>
      <c r="E68" s="42">
        <f t="shared" si="4"/>
        <v>0</v>
      </c>
      <c r="F68" s="30"/>
    </row>
    <row r="69" spans="2:6" x14ac:dyDescent="0.15">
      <c r="B69" s="27"/>
      <c r="C69" s="21"/>
      <c r="D69" s="15"/>
      <c r="E69" s="42">
        <f t="shared" si="4"/>
        <v>0</v>
      </c>
      <c r="F69" s="29"/>
    </row>
    <row r="70" spans="2:6" x14ac:dyDescent="0.15">
      <c r="B70" s="5"/>
      <c r="C70" s="24"/>
      <c r="D70" s="18"/>
      <c r="E70" s="42">
        <f t="shared" si="4"/>
        <v>0</v>
      </c>
      <c r="F70" s="30"/>
    </row>
    <row r="71" spans="2:6" x14ac:dyDescent="0.15">
      <c r="B71" s="5"/>
      <c r="C71" s="24"/>
      <c r="D71" s="18"/>
      <c r="E71" s="42">
        <f t="shared" si="4"/>
        <v>0</v>
      </c>
      <c r="F71" s="29"/>
    </row>
    <row r="72" spans="2:6" x14ac:dyDescent="0.15">
      <c r="B72" s="5"/>
      <c r="C72" s="21"/>
      <c r="D72" s="15"/>
      <c r="E72" s="42">
        <f t="shared" si="4"/>
        <v>0</v>
      </c>
      <c r="F72" s="29"/>
    </row>
    <row r="73" spans="2:6" x14ac:dyDescent="0.15">
      <c r="B73" s="5"/>
      <c r="C73" s="21"/>
      <c r="D73" s="15"/>
      <c r="E73" s="42">
        <f t="shared" si="4"/>
        <v>0</v>
      </c>
      <c r="F73" s="29"/>
    </row>
    <row r="74" spans="2:6" x14ac:dyDescent="0.15">
      <c r="B74" s="5"/>
      <c r="C74" s="21"/>
      <c r="D74" s="15"/>
      <c r="E74" s="42">
        <f t="shared" si="4"/>
        <v>0</v>
      </c>
      <c r="F74" s="29"/>
    </row>
    <row r="75" spans="2:6" x14ac:dyDescent="0.15">
      <c r="B75" s="5"/>
      <c r="C75" s="21"/>
      <c r="D75" s="15"/>
      <c r="E75" s="42">
        <f t="shared" si="4"/>
        <v>0</v>
      </c>
      <c r="F75" s="29"/>
    </row>
    <row r="76" spans="2:6" x14ac:dyDescent="0.15">
      <c r="B76" s="5"/>
      <c r="C76" s="21"/>
      <c r="D76" s="15"/>
      <c r="E76" s="42">
        <f t="shared" si="4"/>
        <v>0</v>
      </c>
      <c r="F76" s="29"/>
    </row>
    <row r="77" spans="2:6" ht="14.25" thickBot="1" x14ac:dyDescent="0.2">
      <c r="B77" s="5"/>
      <c r="C77" s="25"/>
      <c r="D77" s="16"/>
      <c r="E77" s="43">
        <f t="shared" si="4"/>
        <v>0</v>
      </c>
      <c r="F77" s="29"/>
    </row>
    <row r="78" spans="2:6" ht="14.25" thickBot="1" x14ac:dyDescent="0.2">
      <c r="B78" s="4" t="s">
        <v>1</v>
      </c>
      <c r="C78" s="23">
        <f>SUM(C60:C77)</f>
        <v>1</v>
      </c>
      <c r="D78" s="17">
        <f>SUM(D60:D77)</f>
        <v>0</v>
      </c>
      <c r="E78" s="44">
        <f t="shared" si="4"/>
        <v>1</v>
      </c>
    </row>
    <row r="79" spans="2:6" ht="14.25" thickBot="1" x14ac:dyDescent="0.2">
      <c r="B79" s="3" t="s">
        <v>0</v>
      </c>
      <c r="C79" s="26">
        <f>+C59-C78</f>
        <v>1</v>
      </c>
      <c r="D79" s="2">
        <f>+D59-D78</f>
        <v>0</v>
      </c>
      <c r="E79" s="45">
        <f t="shared" si="4"/>
        <v>1</v>
      </c>
    </row>
    <row r="82" spans="1:6" x14ac:dyDescent="0.15">
      <c r="B82"/>
      <c r="F82"/>
    </row>
    <row r="83" spans="1:6" ht="18.75" x14ac:dyDescent="0.2">
      <c r="B83" s="13" t="s">
        <v>9</v>
      </c>
      <c r="C83" s="12"/>
      <c r="D83" s="12"/>
      <c r="E83" s="12"/>
    </row>
    <row r="84" spans="1:6" ht="15" thickBot="1" x14ac:dyDescent="0.2">
      <c r="B84" s="52" t="s">
        <v>16</v>
      </c>
      <c r="C84" s="12"/>
      <c r="D84" s="12"/>
      <c r="E84" s="12"/>
    </row>
    <row r="85" spans="1:6" ht="14.25" thickBot="1" x14ac:dyDescent="0.2">
      <c r="B85" s="11"/>
      <c r="C85" s="96" t="s">
        <v>6</v>
      </c>
      <c r="D85" s="97"/>
      <c r="E85" s="98"/>
    </row>
    <row r="86" spans="1:6" ht="14.25" thickBot="1" x14ac:dyDescent="0.2">
      <c r="A86" s="1"/>
      <c r="B86" s="10"/>
      <c r="C86" s="19" t="s">
        <v>7</v>
      </c>
      <c r="D86" s="9" t="s">
        <v>8</v>
      </c>
      <c r="E86" s="37" t="s">
        <v>4</v>
      </c>
    </row>
    <row r="87" spans="1:6" x14ac:dyDescent="0.15">
      <c r="B87" s="34" t="s">
        <v>0</v>
      </c>
      <c r="C87" s="35">
        <f>C79</f>
        <v>1</v>
      </c>
      <c r="D87" s="36">
        <f t="shared" ref="D87:E87" si="5">D79</f>
        <v>0</v>
      </c>
      <c r="E87" s="46">
        <f t="shared" si="5"/>
        <v>1</v>
      </c>
      <c r="F87" s="29"/>
    </row>
    <row r="88" spans="1:6" x14ac:dyDescent="0.15">
      <c r="B88" s="8"/>
      <c r="C88" s="21"/>
      <c r="D88" s="15"/>
      <c r="E88" s="39">
        <f t="shared" ref="E88:E120" si="6">SUM(C88:D88)</f>
        <v>0</v>
      </c>
      <c r="F88" s="29"/>
    </row>
    <row r="89" spans="1:6" x14ac:dyDescent="0.15">
      <c r="B89" s="8"/>
      <c r="C89" s="21"/>
      <c r="D89" s="15"/>
      <c r="E89" s="39">
        <f t="shared" si="6"/>
        <v>0</v>
      </c>
      <c r="F89" s="29"/>
    </row>
    <row r="90" spans="1:6" x14ac:dyDescent="0.15">
      <c r="B90" s="8"/>
      <c r="C90" s="21"/>
      <c r="D90" s="15"/>
      <c r="E90" s="39">
        <f t="shared" si="6"/>
        <v>0</v>
      </c>
      <c r="F90" s="29"/>
    </row>
    <row r="91" spans="1:6" x14ac:dyDescent="0.15">
      <c r="B91" s="8"/>
      <c r="C91" s="21"/>
      <c r="D91" s="15"/>
      <c r="E91" s="39">
        <f t="shared" si="6"/>
        <v>0</v>
      </c>
      <c r="F91" s="29"/>
    </row>
    <row r="92" spans="1:6" x14ac:dyDescent="0.15">
      <c r="B92" s="7"/>
      <c r="C92" s="22"/>
      <c r="D92" s="16"/>
      <c r="E92" s="39">
        <f t="shared" si="6"/>
        <v>0</v>
      </c>
      <c r="F92" s="29"/>
    </row>
    <row r="93" spans="1:6" x14ac:dyDescent="0.15">
      <c r="B93" s="8"/>
      <c r="C93" s="21"/>
      <c r="D93" s="15"/>
      <c r="E93" s="39">
        <f t="shared" si="6"/>
        <v>0</v>
      </c>
    </row>
    <row r="94" spans="1:6" x14ac:dyDescent="0.15">
      <c r="B94" s="8"/>
      <c r="C94" s="21"/>
      <c r="D94" s="15"/>
      <c r="E94" s="39">
        <f t="shared" si="6"/>
        <v>0</v>
      </c>
      <c r="F94" s="29"/>
    </row>
    <row r="95" spans="1:6" x14ac:dyDescent="0.15">
      <c r="B95" s="8"/>
      <c r="C95" s="21"/>
      <c r="D95" s="15"/>
      <c r="E95" s="39">
        <f t="shared" si="6"/>
        <v>0</v>
      </c>
      <c r="F95" s="29"/>
    </row>
    <row r="96" spans="1:6" x14ac:dyDescent="0.15">
      <c r="B96" s="8"/>
      <c r="C96" s="21"/>
      <c r="D96" s="15"/>
      <c r="E96" s="39">
        <f t="shared" si="6"/>
        <v>0</v>
      </c>
      <c r="F96" s="29"/>
    </row>
    <row r="97" spans="2:6" x14ac:dyDescent="0.15">
      <c r="B97" s="8"/>
      <c r="C97" s="21"/>
      <c r="D97" s="15"/>
      <c r="E97" s="39">
        <f t="shared" si="6"/>
        <v>0</v>
      </c>
      <c r="F97" s="29"/>
    </row>
    <row r="98" spans="2:6" x14ac:dyDescent="0.15">
      <c r="B98" s="8"/>
      <c r="C98" s="21"/>
      <c r="D98" s="15"/>
      <c r="E98" s="39">
        <f t="shared" si="6"/>
        <v>0</v>
      </c>
      <c r="F98" s="29"/>
    </row>
    <row r="99" spans="2:6" ht="14.25" thickBot="1" x14ac:dyDescent="0.2">
      <c r="B99" s="7"/>
      <c r="C99" s="22"/>
      <c r="D99" s="16"/>
      <c r="E99" s="40">
        <f t="shared" si="6"/>
        <v>0</v>
      </c>
      <c r="F99" s="29"/>
    </row>
    <row r="100" spans="2:6" ht="14.25" thickBot="1" x14ac:dyDescent="0.2">
      <c r="B100" s="31" t="s">
        <v>2</v>
      </c>
      <c r="C100" s="32">
        <f>SUM(C87:C99)</f>
        <v>1</v>
      </c>
      <c r="D100" s="33">
        <f>SUM(D87:D99)</f>
        <v>0</v>
      </c>
      <c r="E100" s="41">
        <f t="shared" si="6"/>
        <v>1</v>
      </c>
      <c r="F100" s="29"/>
    </row>
    <row r="101" spans="2:6" x14ac:dyDescent="0.15">
      <c r="B101" s="6"/>
      <c r="C101" s="20"/>
      <c r="D101" s="14"/>
      <c r="E101" s="42">
        <f t="shared" si="6"/>
        <v>0</v>
      </c>
      <c r="F101" s="29"/>
    </row>
    <row r="102" spans="2:6" x14ac:dyDescent="0.15">
      <c r="B102" s="27"/>
      <c r="C102" s="21"/>
      <c r="D102" s="15"/>
      <c r="E102" s="42">
        <f t="shared" si="6"/>
        <v>0</v>
      </c>
      <c r="F102" s="29"/>
    </row>
    <row r="103" spans="2:6" x14ac:dyDescent="0.15">
      <c r="B103" s="27"/>
      <c r="C103" s="21"/>
      <c r="D103" s="15"/>
      <c r="E103" s="42">
        <f t="shared" si="6"/>
        <v>0</v>
      </c>
      <c r="F103" s="29"/>
    </row>
    <row r="104" spans="2:6" x14ac:dyDescent="0.15">
      <c r="B104" s="27"/>
      <c r="C104" s="21"/>
      <c r="D104" s="15"/>
      <c r="E104" s="42">
        <f t="shared" si="6"/>
        <v>0</v>
      </c>
      <c r="F104" s="29"/>
    </row>
    <row r="105" spans="2:6" x14ac:dyDescent="0.15">
      <c r="B105" s="27"/>
      <c r="C105" s="21"/>
      <c r="D105" s="15"/>
      <c r="E105" s="42">
        <f t="shared" si="6"/>
        <v>0</v>
      </c>
      <c r="F105" s="30"/>
    </row>
    <row r="106" spans="2:6" x14ac:dyDescent="0.15">
      <c r="B106" s="27"/>
      <c r="C106" s="21"/>
      <c r="D106" s="15"/>
      <c r="E106" s="42">
        <f t="shared" si="6"/>
        <v>0</v>
      </c>
      <c r="F106" s="29"/>
    </row>
    <row r="107" spans="2:6" x14ac:dyDescent="0.15">
      <c r="B107" s="27"/>
      <c r="C107" s="21"/>
      <c r="D107" s="15"/>
      <c r="E107" s="42">
        <f t="shared" si="6"/>
        <v>0</v>
      </c>
      <c r="F107" s="29"/>
    </row>
    <row r="108" spans="2:6" x14ac:dyDescent="0.15">
      <c r="B108" s="27"/>
      <c r="C108" s="21"/>
      <c r="D108" s="15"/>
      <c r="E108" s="42">
        <f t="shared" si="6"/>
        <v>0</v>
      </c>
      <c r="F108" s="29"/>
    </row>
    <row r="109" spans="2:6" x14ac:dyDescent="0.15">
      <c r="B109" s="5"/>
      <c r="C109" s="21"/>
      <c r="D109" s="15"/>
      <c r="E109" s="42">
        <f t="shared" si="6"/>
        <v>0</v>
      </c>
      <c r="F109" s="30"/>
    </row>
    <row r="110" spans="2:6" x14ac:dyDescent="0.15">
      <c r="B110" s="27"/>
      <c r="C110" s="21"/>
      <c r="D110" s="15"/>
      <c r="E110" s="42">
        <f t="shared" si="6"/>
        <v>0</v>
      </c>
      <c r="F110" s="29"/>
    </row>
    <row r="111" spans="2:6" x14ac:dyDescent="0.15">
      <c r="B111" s="5"/>
      <c r="C111" s="24"/>
      <c r="D111" s="18"/>
      <c r="E111" s="42">
        <f t="shared" si="6"/>
        <v>0</v>
      </c>
      <c r="F111" s="30"/>
    </row>
    <row r="112" spans="2:6" x14ac:dyDescent="0.15">
      <c r="B112" s="5"/>
      <c r="C112" s="24"/>
      <c r="D112" s="18"/>
      <c r="E112" s="42">
        <f t="shared" si="6"/>
        <v>0</v>
      </c>
      <c r="F112" s="29"/>
    </row>
    <row r="113" spans="2:6" x14ac:dyDescent="0.15">
      <c r="B113" s="5"/>
      <c r="C113" s="21"/>
      <c r="D113" s="15"/>
      <c r="E113" s="42">
        <f t="shared" si="6"/>
        <v>0</v>
      </c>
      <c r="F113" s="29"/>
    </row>
    <row r="114" spans="2:6" x14ac:dyDescent="0.15">
      <c r="B114" s="5"/>
      <c r="C114" s="21"/>
      <c r="D114" s="15"/>
      <c r="E114" s="42">
        <f t="shared" si="6"/>
        <v>0</v>
      </c>
      <c r="F114" s="29"/>
    </row>
    <row r="115" spans="2:6" x14ac:dyDescent="0.15">
      <c r="B115" s="5"/>
      <c r="C115" s="21"/>
      <c r="D115" s="15"/>
      <c r="E115" s="42">
        <f t="shared" si="6"/>
        <v>0</v>
      </c>
      <c r="F115" s="29"/>
    </row>
    <row r="116" spans="2:6" x14ac:dyDescent="0.15">
      <c r="B116" s="5"/>
      <c r="C116" s="21"/>
      <c r="D116" s="15"/>
      <c r="E116" s="42">
        <f t="shared" si="6"/>
        <v>0</v>
      </c>
      <c r="F116" s="29"/>
    </row>
    <row r="117" spans="2:6" x14ac:dyDescent="0.15">
      <c r="B117" s="5"/>
      <c r="C117" s="21"/>
      <c r="D117" s="15"/>
      <c r="E117" s="42">
        <f t="shared" si="6"/>
        <v>0</v>
      </c>
      <c r="F117" s="29"/>
    </row>
    <row r="118" spans="2:6" ht="14.25" thickBot="1" x14ac:dyDescent="0.2">
      <c r="B118" s="5"/>
      <c r="C118" s="25"/>
      <c r="D118" s="16"/>
      <c r="E118" s="43">
        <f t="shared" si="6"/>
        <v>0</v>
      </c>
      <c r="F118" s="29"/>
    </row>
    <row r="119" spans="2:6" ht="14.25" thickBot="1" x14ac:dyDescent="0.2">
      <c r="B119" s="4" t="s">
        <v>1</v>
      </c>
      <c r="C119" s="23">
        <f>SUM(C101:C118)</f>
        <v>0</v>
      </c>
      <c r="D119" s="17">
        <f>SUM(D101:D118)</f>
        <v>0</v>
      </c>
      <c r="E119" s="44">
        <f t="shared" si="6"/>
        <v>0</v>
      </c>
    </row>
    <row r="120" spans="2:6" ht="14.25" thickBot="1" x14ac:dyDescent="0.2">
      <c r="B120" s="3" t="s">
        <v>0</v>
      </c>
      <c r="C120" s="26">
        <f>+C100-C119</f>
        <v>1</v>
      </c>
      <c r="D120" s="2">
        <f>+D100-D119</f>
        <v>0</v>
      </c>
      <c r="E120" s="45">
        <f t="shared" si="6"/>
        <v>1</v>
      </c>
    </row>
  </sheetData>
  <mergeCells count="3">
    <mergeCell ref="C3:E3"/>
    <mergeCell ref="C44:E44"/>
    <mergeCell ref="C85:E85"/>
  </mergeCells>
  <phoneticPr fontId="2"/>
  <pageMargins left="0.78700000000000003" right="0.78700000000000003" top="0.98399999999999999" bottom="0.98399999999999999" header="0.51200000000000001" footer="0.51200000000000001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2色組</vt:lpstr>
      <vt:lpstr>ネット用単品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yumeh</dc:creator>
  <cp:lastModifiedBy>AT MR</cp:lastModifiedBy>
  <dcterms:created xsi:type="dcterms:W3CDTF">2023-04-17T08:28:36Z</dcterms:created>
  <dcterms:modified xsi:type="dcterms:W3CDTF">2026-06-08T06:18:04Z</dcterms:modified>
</cp:coreProperties>
</file>