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8652D72B-95EB-4782-B106-04ADD033D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お腹すっきりﾚｷﾞﾝ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39" i="1" s="1"/>
  <c r="F79" i="1"/>
  <c r="H79" i="1" s="1"/>
  <c r="M78" i="1"/>
  <c r="M79" i="1" s="1"/>
  <c r="L78" i="1"/>
  <c r="J78" i="1"/>
  <c r="I78" i="1"/>
  <c r="K78" i="1" s="1"/>
  <c r="G78" i="1"/>
  <c r="G79" i="1" s="1"/>
  <c r="F78" i="1"/>
  <c r="D78" i="1"/>
  <c r="D79" i="1" s="1"/>
  <c r="C78" i="1"/>
  <c r="E78" i="1" s="1"/>
  <c r="G38" i="1"/>
  <c r="G39" i="1" s="1"/>
  <c r="F38" i="1"/>
  <c r="H38" i="1" s="1"/>
  <c r="D38" i="1"/>
  <c r="D39" i="1" s="1"/>
  <c r="M38" i="1"/>
  <c r="M39" i="1" s="1"/>
  <c r="M46" i="1" s="1"/>
  <c r="M52" i="1" s="1"/>
  <c r="E47" i="1"/>
  <c r="H47" i="1"/>
  <c r="K47" i="1"/>
  <c r="N47" i="1"/>
  <c r="E48" i="1"/>
  <c r="H48" i="1"/>
  <c r="K48" i="1"/>
  <c r="N48" i="1"/>
  <c r="E49" i="1"/>
  <c r="H49" i="1"/>
  <c r="K49" i="1"/>
  <c r="N49" i="1"/>
  <c r="E50" i="1"/>
  <c r="H50" i="1"/>
  <c r="K50" i="1"/>
  <c r="N50" i="1"/>
  <c r="E51" i="1"/>
  <c r="H51" i="1"/>
  <c r="K51" i="1"/>
  <c r="N51" i="1"/>
  <c r="E53" i="1"/>
  <c r="H53" i="1"/>
  <c r="K53" i="1"/>
  <c r="N53" i="1"/>
  <c r="E54" i="1"/>
  <c r="H54" i="1"/>
  <c r="K54" i="1"/>
  <c r="N54" i="1"/>
  <c r="E55" i="1"/>
  <c r="H55" i="1"/>
  <c r="K55" i="1"/>
  <c r="N55" i="1"/>
  <c r="O55" i="1"/>
  <c r="E56" i="1"/>
  <c r="H56" i="1"/>
  <c r="K56" i="1"/>
  <c r="N56" i="1"/>
  <c r="E57" i="1"/>
  <c r="H57" i="1"/>
  <c r="K57" i="1"/>
  <c r="N57" i="1"/>
  <c r="E58" i="1"/>
  <c r="H58" i="1"/>
  <c r="K58" i="1"/>
  <c r="N58" i="1"/>
  <c r="E59" i="1"/>
  <c r="H59" i="1"/>
  <c r="K59" i="1"/>
  <c r="N59" i="1"/>
  <c r="E60" i="1"/>
  <c r="H60" i="1"/>
  <c r="K60" i="1"/>
  <c r="N60" i="1"/>
  <c r="E61" i="1"/>
  <c r="H61" i="1"/>
  <c r="K61" i="1"/>
  <c r="N61" i="1"/>
  <c r="O61" i="1" s="1"/>
  <c r="E62" i="1"/>
  <c r="H62" i="1"/>
  <c r="K62" i="1"/>
  <c r="N62" i="1"/>
  <c r="O62" i="1" s="1"/>
  <c r="E63" i="1"/>
  <c r="H63" i="1"/>
  <c r="K63" i="1"/>
  <c r="N63" i="1"/>
  <c r="E64" i="1"/>
  <c r="H64" i="1"/>
  <c r="K64" i="1"/>
  <c r="N64" i="1"/>
  <c r="E65" i="1"/>
  <c r="H65" i="1"/>
  <c r="K65" i="1"/>
  <c r="N65" i="1"/>
  <c r="E66" i="1"/>
  <c r="H66" i="1"/>
  <c r="K66" i="1"/>
  <c r="N66" i="1"/>
  <c r="E67" i="1"/>
  <c r="H67" i="1"/>
  <c r="K67" i="1"/>
  <c r="N67" i="1"/>
  <c r="E68" i="1"/>
  <c r="H68" i="1"/>
  <c r="K68" i="1"/>
  <c r="N68" i="1"/>
  <c r="E69" i="1"/>
  <c r="H69" i="1"/>
  <c r="K69" i="1"/>
  <c r="N69" i="1"/>
  <c r="E70" i="1"/>
  <c r="H70" i="1"/>
  <c r="K70" i="1"/>
  <c r="N70" i="1"/>
  <c r="E71" i="1"/>
  <c r="H71" i="1"/>
  <c r="K71" i="1"/>
  <c r="N71" i="1"/>
  <c r="E72" i="1"/>
  <c r="H72" i="1"/>
  <c r="K72" i="1"/>
  <c r="N72" i="1"/>
  <c r="E73" i="1"/>
  <c r="H73" i="1"/>
  <c r="K73" i="1"/>
  <c r="O73" i="1" s="1"/>
  <c r="N73" i="1"/>
  <c r="E74" i="1"/>
  <c r="H74" i="1"/>
  <c r="K74" i="1"/>
  <c r="N74" i="1"/>
  <c r="E75" i="1"/>
  <c r="H75" i="1"/>
  <c r="K75" i="1"/>
  <c r="N75" i="1"/>
  <c r="E76" i="1"/>
  <c r="H76" i="1"/>
  <c r="K76" i="1"/>
  <c r="N76" i="1"/>
  <c r="E77" i="1"/>
  <c r="H77" i="1"/>
  <c r="K77" i="1"/>
  <c r="N77" i="1"/>
  <c r="E6" i="1"/>
  <c r="H6" i="1"/>
  <c r="K6" i="1"/>
  <c r="O6" i="1" s="1"/>
  <c r="N6" i="1"/>
  <c r="E7" i="1"/>
  <c r="H7" i="1"/>
  <c r="K7" i="1"/>
  <c r="N7" i="1"/>
  <c r="E8" i="1"/>
  <c r="H8" i="1"/>
  <c r="K8" i="1"/>
  <c r="N8" i="1"/>
  <c r="E9" i="1"/>
  <c r="H9" i="1"/>
  <c r="K9" i="1"/>
  <c r="N9" i="1"/>
  <c r="E10" i="1"/>
  <c r="H10" i="1"/>
  <c r="K10" i="1"/>
  <c r="N10" i="1"/>
  <c r="O10" i="1" s="1"/>
  <c r="E11" i="1"/>
  <c r="H11" i="1"/>
  <c r="O11" i="1" s="1"/>
  <c r="K11" i="1"/>
  <c r="N11" i="1"/>
  <c r="C12" i="1"/>
  <c r="D12" i="1"/>
  <c r="F12" i="1"/>
  <c r="G12" i="1"/>
  <c r="I12" i="1"/>
  <c r="J12" i="1"/>
  <c r="L12" i="1"/>
  <c r="M12" i="1"/>
  <c r="E13" i="1"/>
  <c r="H13" i="1"/>
  <c r="K13" i="1"/>
  <c r="N13" i="1"/>
  <c r="O13" i="1"/>
  <c r="E14" i="1"/>
  <c r="H14" i="1"/>
  <c r="O14" i="1" s="1"/>
  <c r="K14" i="1"/>
  <c r="N14" i="1"/>
  <c r="E15" i="1"/>
  <c r="H15" i="1"/>
  <c r="K15" i="1"/>
  <c r="N15" i="1"/>
  <c r="E16" i="1"/>
  <c r="H16" i="1"/>
  <c r="K16" i="1"/>
  <c r="N16" i="1"/>
  <c r="E17" i="1"/>
  <c r="H17" i="1"/>
  <c r="K17" i="1"/>
  <c r="N17" i="1"/>
  <c r="E18" i="1"/>
  <c r="H18" i="1"/>
  <c r="K18" i="1"/>
  <c r="N18" i="1"/>
  <c r="E19" i="1"/>
  <c r="H19" i="1"/>
  <c r="K19" i="1"/>
  <c r="N19" i="1"/>
  <c r="O19" i="1" s="1"/>
  <c r="E20" i="1"/>
  <c r="H20" i="1"/>
  <c r="K20" i="1"/>
  <c r="N20" i="1"/>
  <c r="E21" i="1"/>
  <c r="H21" i="1"/>
  <c r="K21" i="1"/>
  <c r="N21" i="1"/>
  <c r="E22" i="1"/>
  <c r="H22" i="1"/>
  <c r="K22" i="1"/>
  <c r="N22" i="1"/>
  <c r="E23" i="1"/>
  <c r="H23" i="1"/>
  <c r="K23" i="1"/>
  <c r="N23" i="1"/>
  <c r="E24" i="1"/>
  <c r="H24" i="1"/>
  <c r="K24" i="1"/>
  <c r="N24" i="1"/>
  <c r="E25" i="1"/>
  <c r="H25" i="1"/>
  <c r="K25" i="1"/>
  <c r="N25" i="1"/>
  <c r="E26" i="1"/>
  <c r="H26" i="1"/>
  <c r="K26" i="1"/>
  <c r="N26" i="1"/>
  <c r="O26" i="1" s="1"/>
  <c r="E27" i="1"/>
  <c r="H27" i="1"/>
  <c r="K27" i="1"/>
  <c r="N27" i="1"/>
  <c r="E28" i="1"/>
  <c r="H28" i="1"/>
  <c r="K28" i="1"/>
  <c r="N28" i="1"/>
  <c r="E29" i="1"/>
  <c r="H29" i="1"/>
  <c r="K29" i="1"/>
  <c r="N29" i="1"/>
  <c r="E30" i="1"/>
  <c r="H30" i="1"/>
  <c r="K30" i="1"/>
  <c r="N30" i="1"/>
  <c r="E31" i="1"/>
  <c r="H31" i="1"/>
  <c r="K31" i="1"/>
  <c r="N31" i="1"/>
  <c r="E32" i="1"/>
  <c r="H32" i="1"/>
  <c r="K32" i="1"/>
  <c r="N32" i="1"/>
  <c r="E33" i="1"/>
  <c r="H33" i="1"/>
  <c r="K33" i="1"/>
  <c r="N33" i="1"/>
  <c r="E34" i="1"/>
  <c r="H34" i="1"/>
  <c r="K34" i="1"/>
  <c r="N34" i="1"/>
  <c r="E35" i="1"/>
  <c r="H35" i="1"/>
  <c r="K35" i="1"/>
  <c r="N35" i="1"/>
  <c r="E36" i="1"/>
  <c r="H36" i="1"/>
  <c r="K36" i="1"/>
  <c r="N36" i="1"/>
  <c r="E37" i="1"/>
  <c r="H37" i="1"/>
  <c r="K37" i="1"/>
  <c r="O37" i="1" s="1"/>
  <c r="N37" i="1"/>
  <c r="C38" i="1"/>
  <c r="J38" i="1"/>
  <c r="L38" i="1"/>
  <c r="H78" i="1" l="1"/>
  <c r="N78" i="1"/>
  <c r="O78" i="1" s="1"/>
  <c r="C79" i="1"/>
  <c r="E79" i="1" s="1"/>
  <c r="F39" i="1"/>
  <c r="O32" i="1"/>
  <c r="O31" i="1"/>
  <c r="L39" i="1"/>
  <c r="L46" i="1" s="1"/>
  <c r="L52" i="1" s="1"/>
  <c r="L79" i="1" s="1"/>
  <c r="N79" i="1" s="1"/>
  <c r="J39" i="1"/>
  <c r="J46" i="1" s="1"/>
  <c r="J52" i="1" s="1"/>
  <c r="J79" i="1" s="1"/>
  <c r="K12" i="1"/>
  <c r="O8" i="1"/>
  <c r="E38" i="1"/>
  <c r="O25" i="1"/>
  <c r="O20" i="1"/>
  <c r="C39" i="1"/>
  <c r="C46" i="1" s="1"/>
  <c r="C52" i="1" s="1"/>
  <c r="O27" i="1"/>
  <c r="O35" i="1"/>
  <c r="O34" i="1"/>
  <c r="O24" i="1"/>
  <c r="O21" i="1"/>
  <c r="H12" i="1"/>
  <c r="O74" i="1"/>
  <c r="O72" i="1"/>
  <c r="O66" i="1"/>
  <c r="O18" i="1"/>
  <c r="K38" i="1"/>
  <c r="O36" i="1"/>
  <c r="O33" i="1"/>
  <c r="O29" i="1"/>
  <c r="O28" i="1"/>
  <c r="N12" i="1"/>
  <c r="E12" i="1"/>
  <c r="O9" i="1"/>
  <c r="O67" i="1"/>
  <c r="O56" i="1"/>
  <c r="O54" i="1"/>
  <c r="O30" i="1"/>
  <c r="O23" i="1"/>
  <c r="O22" i="1"/>
  <c r="O64" i="1"/>
  <c r="O48" i="1"/>
  <c r="O17" i="1"/>
  <c r="O68" i="1"/>
  <c r="O47" i="1"/>
  <c r="G46" i="1"/>
  <c r="G52" i="1" s="1"/>
  <c r="D46" i="1"/>
  <c r="D52" i="1" s="1"/>
  <c r="O7" i="1"/>
  <c r="N38" i="1"/>
  <c r="O16" i="1"/>
  <c r="O15" i="1"/>
  <c r="F46" i="1"/>
  <c r="F52" i="1" s="1"/>
  <c r="O76" i="1"/>
  <c r="O58" i="1"/>
  <c r="O49" i="1"/>
  <c r="O77" i="1"/>
  <c r="O69" i="1"/>
  <c r="O59" i="1"/>
  <c r="O50" i="1"/>
  <c r="O75" i="1"/>
  <c r="O65" i="1"/>
  <c r="O70" i="1"/>
  <c r="O60" i="1"/>
  <c r="O51" i="1"/>
  <c r="O71" i="1"/>
  <c r="O63" i="1"/>
  <c r="O53" i="1"/>
  <c r="O57" i="1"/>
  <c r="N52" i="1"/>
  <c r="O38" i="1" l="1"/>
  <c r="N39" i="1"/>
  <c r="N46" i="1" s="1"/>
  <c r="O12" i="1"/>
  <c r="H39" i="1"/>
  <c r="H46" i="1" s="1"/>
  <c r="H52" i="1"/>
  <c r="E52" i="1"/>
  <c r="E39" i="1"/>
  <c r="E46" i="1" s="1"/>
  <c r="K39" i="1"/>
  <c r="I46" i="1"/>
  <c r="I52" i="1" s="1"/>
  <c r="I79" i="1" s="1"/>
  <c r="K79" i="1" s="1"/>
  <c r="O79" i="1" s="1"/>
  <c r="K52" i="1" l="1"/>
  <c r="O52" i="1" s="1"/>
  <c r="K46" i="1"/>
  <c r="O39" i="1"/>
  <c r="O46" i="1" s="1"/>
</calcChain>
</file>

<file path=xl/sharedStrings.xml><?xml version="1.0" encoding="utf-8"?>
<sst xmlns="http://schemas.openxmlformats.org/spreadsheetml/2006/main" count="87" uniqueCount="18">
  <si>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</si>
  <si>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</si>
  <si>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</si>
  <si>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</si>
  <si>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</si>
  <si>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</si>
  <si>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</si>
  <si>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10分丈</t>
    <rPh sb="2" eb="4">
      <t>ブタケ</t>
    </rPh>
    <phoneticPr fontId="2"/>
  </si>
  <si>
    <t>7分丈</t>
    <rPh sb="1" eb="3">
      <t>ブタケ</t>
    </rPh>
    <phoneticPr fontId="2"/>
  </si>
  <si>
    <t>5分丈</t>
    <rPh sb="1" eb="3">
      <t>ブタケ</t>
    </rPh>
    <phoneticPr fontId="2"/>
  </si>
  <si>
    <t>3分丈</t>
    <rPh sb="1" eb="3">
      <t>ブタケ</t>
    </rPh>
    <phoneticPr fontId="2"/>
  </si>
  <si>
    <t>【3分丈 A2126-01～02 @550】【5分丈 A2127-01～02 @580】【7分丈 A2128-01～02 @600】【10分丈 A2129-01～02 @630】</t>
    <rPh sb="2" eb="4">
      <t>ブタケ</t>
    </rPh>
    <phoneticPr fontId="2"/>
  </si>
  <si>
    <t>おなかすっきりレギンス　</t>
    <phoneticPr fontId="2"/>
  </si>
  <si>
    <t>ネット</t>
    <phoneticPr fontId="2"/>
  </si>
  <si>
    <t>2023/3/13数伝</t>
    <rPh sb="9" eb="11">
      <t>スウデン</t>
    </rPh>
    <phoneticPr fontId="2"/>
  </si>
  <si>
    <t>初回</t>
    <rPh sb="0" eb="2">
      <t>ショカイ</t>
    </rPh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</si>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</sst>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56" fontId="0" fillId="0" borderId="0" xfId="0" applyNumberFormat="1" applyAlignment="1">
      <alignment horizontal="right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7" xfId="0" applyBorder="1"/>
    <xf numFmtId="56" fontId="1" fillId="0" borderId="0" xfId="0" applyNumberFormat="1" applyFont="1"/>
    <xf numFmtId="0" fontId="1" fillId="0" borderId="8" xfId="0" applyFont="1" applyBorder="1"/>
    <xf numFmtId="56" fontId="0" fillId="0" borderId="0" xfId="0" applyNumberFormat="1"/>
    <xf numFmtId="0" fontId="0" fillId="0" borderId="9" xfId="0" applyBorder="1"/>
    <xf numFmtId="56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3" fillId="0" borderId="0" xfId="0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0" fillId="0" borderId="24" xfId="0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56" fontId="0" fillId="0" borderId="28" xfId="0" applyNumberFormat="1" applyBorder="1" applyAlignment="1">
      <alignment horizontal="center"/>
    </xf>
    <xf numFmtId="0" fontId="0" fillId="3" borderId="16" xfId="0" applyFill="1" applyBorder="1"/>
    <xf numFmtId="0" fontId="3" fillId="3" borderId="25" xfId="0" applyFont="1" applyFill="1" applyBorder="1"/>
    <xf numFmtId="0" fontId="0" fillId="3" borderId="13" xfId="0" applyFill="1" applyBorder="1"/>
    <xf numFmtId="0" fontId="3" fillId="3" borderId="1" xfId="0" applyFont="1" applyFill="1" applyBorder="1"/>
    <xf numFmtId="0" fontId="0" fillId="3" borderId="3" xfId="0" applyFill="1" applyBorder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43" zoomScaleNormal="100" workbookViewId="0">
      <selection activeCell="P60" sqref="P60"/>
    </sheetView>
  </sheetViews>
  <sheetFormatPr defaultRowHeight="13.5" x14ac:dyDescent="0.15"/>
  <cols>
    <col min="2" max="2" width="22.75" style="1" customWidth="1"/>
    <col min="3" max="15" width="7" customWidth="1"/>
    <col min="16" max="16" width="9.25" bestFit="1" customWidth="1"/>
  </cols>
  <sheetData>
    <row r="1" spans="2:17" ht="18.75" x14ac:dyDescent="0.2">
      <c r="B1" s="26" t="s">
        <v>12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2:17" ht="14.25" x14ac:dyDescent="0.15">
      <c r="B2" s="25" t="s">
        <v>11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2:17" ht="14.25" thickBot="1" x14ac:dyDescent="0.2"/>
    <row r="4" spans="2:17" ht="14.25" thickBot="1" x14ac:dyDescent="0.2">
      <c r="B4" s="23"/>
      <c r="C4" s="49" t="s">
        <v>10</v>
      </c>
      <c r="D4" s="50"/>
      <c r="E4" s="51"/>
      <c r="F4" s="49" t="s">
        <v>9</v>
      </c>
      <c r="G4" s="50"/>
      <c r="H4" s="51"/>
      <c r="I4" s="49" t="s">
        <v>8</v>
      </c>
      <c r="J4" s="50"/>
      <c r="K4" s="51"/>
      <c r="L4" s="49" t="s">
        <v>7</v>
      </c>
      <c r="M4" s="50"/>
      <c r="N4" s="51"/>
      <c r="O4" s="22"/>
    </row>
    <row r="5" spans="2:17" s="1" customFormat="1" ht="14.25" thickBot="1" x14ac:dyDescent="0.2">
      <c r="B5" s="21"/>
      <c r="C5" s="32" t="s">
        <v>6</v>
      </c>
      <c r="D5" s="20" t="s">
        <v>5</v>
      </c>
      <c r="E5" s="20" t="s">
        <v>4</v>
      </c>
      <c r="F5" s="32" t="s">
        <v>6</v>
      </c>
      <c r="G5" s="20" t="s">
        <v>5</v>
      </c>
      <c r="H5" s="20" t="s">
        <v>4</v>
      </c>
      <c r="I5" s="32" t="s">
        <v>6</v>
      </c>
      <c r="J5" s="20" t="s">
        <v>5</v>
      </c>
      <c r="K5" s="20" t="s">
        <v>4</v>
      </c>
      <c r="L5" s="32" t="s">
        <v>6</v>
      </c>
      <c r="M5" s="20" t="s">
        <v>5</v>
      </c>
      <c r="N5" s="20" t="s">
        <v>4</v>
      </c>
      <c r="O5" s="20" t="s">
        <v>4</v>
      </c>
    </row>
    <row r="6" spans="2:17" ht="14.25" customHeight="1" x14ac:dyDescent="0.15">
      <c r="B6" s="15" t="s">
        <v>15</v>
      </c>
      <c r="C6" s="33">
        <v>3</v>
      </c>
      <c r="D6" s="28">
        <v>3</v>
      </c>
      <c r="E6" s="14">
        <f t="shared" ref="E6:E39" si="0">SUM(C6:D6)</f>
        <v>6</v>
      </c>
      <c r="F6" s="33">
        <v>3</v>
      </c>
      <c r="G6" s="28">
        <v>3</v>
      </c>
      <c r="H6" s="14">
        <f t="shared" ref="H6:H39" si="1">SUM(F6:G6)</f>
        <v>6</v>
      </c>
      <c r="I6" s="33">
        <v>5</v>
      </c>
      <c r="J6" s="28">
        <v>5</v>
      </c>
      <c r="K6" s="14">
        <f t="shared" ref="K6:K39" si="2">SUM(I6:J6)</f>
        <v>10</v>
      </c>
      <c r="L6" s="33">
        <v>5</v>
      </c>
      <c r="M6" s="28">
        <v>5</v>
      </c>
      <c r="N6" s="14">
        <f t="shared" ref="N6:N39" si="3">SUM(L6:M6)</f>
        <v>10</v>
      </c>
      <c r="O6" s="14">
        <f t="shared" ref="O6:O39" si="4">SUM(N6,K6,H6,E6)</f>
        <v>32</v>
      </c>
      <c r="P6" s="13" t="s">
        <v>14</v>
      </c>
      <c r="Q6" s="27"/>
    </row>
    <row r="7" spans="2:17" x14ac:dyDescent="0.15">
      <c r="B7" s="19" t="s">
        <v>16</v>
      </c>
      <c r="C7" s="34">
        <v>0</v>
      </c>
      <c r="D7" s="29">
        <v>0</v>
      </c>
      <c r="E7" s="10">
        <f t="shared" si="0"/>
        <v>0</v>
      </c>
      <c r="F7" s="40">
        <v>0</v>
      </c>
      <c r="G7" s="9">
        <v>0</v>
      </c>
      <c r="H7" s="10">
        <f t="shared" si="1"/>
        <v>0</v>
      </c>
      <c r="I7" s="34">
        <v>0</v>
      </c>
      <c r="J7" s="29">
        <v>0</v>
      </c>
      <c r="K7" s="10">
        <f t="shared" si="2"/>
        <v>0</v>
      </c>
      <c r="L7" s="40">
        <v>0</v>
      </c>
      <c r="M7" s="9">
        <v>0</v>
      </c>
      <c r="N7" s="10">
        <f t="shared" si="3"/>
        <v>0</v>
      </c>
      <c r="O7" s="10">
        <f t="shared" si="4"/>
        <v>0</v>
      </c>
      <c r="P7" s="13">
        <v>45162</v>
      </c>
    </row>
    <row r="8" spans="2:17" x14ac:dyDescent="0.15">
      <c r="B8" s="19" t="s">
        <v>16</v>
      </c>
      <c r="C8" s="34">
        <v>0</v>
      </c>
      <c r="D8" s="29">
        <v>0</v>
      </c>
      <c r="E8" s="10">
        <f t="shared" si="0"/>
        <v>0</v>
      </c>
      <c r="F8" s="40">
        <v>0</v>
      </c>
      <c r="G8" s="9">
        <v>0</v>
      </c>
      <c r="H8" s="10">
        <f t="shared" si="1"/>
        <v>0</v>
      </c>
      <c r="I8" s="34">
        <v>0</v>
      </c>
      <c r="J8" s="29">
        <v>0</v>
      </c>
      <c r="K8" s="10">
        <f t="shared" si="2"/>
        <v>0</v>
      </c>
      <c r="L8" s="40">
        <v>0</v>
      </c>
      <c r="M8" s="9">
        <v>0</v>
      </c>
      <c r="N8" s="10">
        <f t="shared" si="3"/>
        <v>0</v>
      </c>
      <c r="O8" s="10">
        <f t="shared" si="4"/>
        <v>0</v>
      </c>
      <c r="P8" s="13">
        <v>45527</v>
      </c>
    </row>
    <row r="9" spans="2:17" x14ac:dyDescent="0.15">
      <c r="B9" s="19" t="s">
        <v>16</v>
      </c>
      <c r="C9" s="34"/>
      <c r="D9" s="29"/>
      <c r="E9" s="10">
        <f t="shared" si="0"/>
        <v>0</v>
      </c>
      <c r="F9" s="40"/>
      <c r="G9" s="9"/>
      <c r="H9" s="10">
        <f t="shared" si="1"/>
        <v>0</v>
      </c>
      <c r="I9" s="34"/>
      <c r="J9" s="29">
        <v>0</v>
      </c>
      <c r="K9" s="10">
        <f t="shared" si="2"/>
        <v>0</v>
      </c>
      <c r="L9" s="40">
        <v>-1</v>
      </c>
      <c r="M9" s="9"/>
      <c r="N9" s="10">
        <f t="shared" si="3"/>
        <v>-1</v>
      </c>
      <c r="O9" s="10">
        <f t="shared" si="4"/>
        <v>-1</v>
      </c>
      <c r="P9" s="13">
        <v>45890</v>
      </c>
    </row>
    <row r="10" spans="2:17" x14ac:dyDescent="0.15">
      <c r="B10" s="19" t="s">
        <v>3</v>
      </c>
      <c r="C10" s="34"/>
      <c r="D10" s="29"/>
      <c r="E10" s="10">
        <f t="shared" si="0"/>
        <v>0</v>
      </c>
      <c r="F10" s="40"/>
      <c r="G10" s="9"/>
      <c r="H10" s="10">
        <f t="shared" si="1"/>
        <v>0</v>
      </c>
      <c r="I10" s="34"/>
      <c r="J10" s="29"/>
      <c r="K10" s="10">
        <f t="shared" si="2"/>
        <v>0</v>
      </c>
      <c r="L10" s="40"/>
      <c r="M10" s="9"/>
      <c r="N10" s="10">
        <f t="shared" si="3"/>
        <v>0</v>
      </c>
      <c r="O10" s="10">
        <f t="shared" si="4"/>
        <v>0</v>
      </c>
      <c r="P10" s="13"/>
    </row>
    <row r="11" spans="2:17" ht="14.25" thickBot="1" x14ac:dyDescent="0.2">
      <c r="B11" s="18" t="s">
        <v>3</v>
      </c>
      <c r="C11" s="35"/>
      <c r="D11" s="30"/>
      <c r="E11" s="17">
        <f t="shared" si="0"/>
        <v>0</v>
      </c>
      <c r="F11" s="41"/>
      <c r="G11" s="7"/>
      <c r="H11" s="17">
        <f t="shared" si="1"/>
        <v>0</v>
      </c>
      <c r="I11" s="35"/>
      <c r="J11" s="30"/>
      <c r="K11" s="17">
        <f t="shared" si="2"/>
        <v>0</v>
      </c>
      <c r="L11" s="41"/>
      <c r="M11" s="7"/>
      <c r="N11" s="17">
        <f t="shared" si="3"/>
        <v>0</v>
      </c>
      <c r="O11" s="17">
        <f t="shared" si="4"/>
        <v>0</v>
      </c>
      <c r="P11" s="13"/>
    </row>
    <row r="12" spans="2:17" ht="14.25" thickBot="1" x14ac:dyDescent="0.2">
      <c r="B12" s="5" t="s">
        <v>2</v>
      </c>
      <c r="C12" s="36">
        <f>SUM(C6:C11)</f>
        <v>3</v>
      </c>
      <c r="D12" s="22">
        <f>SUM(D6:D11)</f>
        <v>3</v>
      </c>
      <c r="E12" s="16">
        <f t="shared" si="0"/>
        <v>6</v>
      </c>
      <c r="F12" s="36">
        <f>SUM(F6:F11)</f>
        <v>3</v>
      </c>
      <c r="G12" s="22">
        <f>SUM(G6:G11)</f>
        <v>3</v>
      </c>
      <c r="H12" s="16">
        <f t="shared" si="1"/>
        <v>6</v>
      </c>
      <c r="I12" s="36">
        <f>SUM(I6:I11)</f>
        <v>5</v>
      </c>
      <c r="J12" s="22">
        <f>SUM(J6:J11)</f>
        <v>5</v>
      </c>
      <c r="K12" s="16">
        <f t="shared" si="2"/>
        <v>10</v>
      </c>
      <c r="L12" s="36">
        <f>SUM(L6:L11)</f>
        <v>4</v>
      </c>
      <c r="M12" s="22">
        <f>SUM(M6:M11)</f>
        <v>5</v>
      </c>
      <c r="N12" s="16">
        <f t="shared" si="3"/>
        <v>9</v>
      </c>
      <c r="O12" s="16">
        <f t="shared" si="4"/>
        <v>31</v>
      </c>
    </row>
    <row r="13" spans="2:17" x14ac:dyDescent="0.15">
      <c r="B13" s="15" t="s">
        <v>13</v>
      </c>
      <c r="C13" s="33"/>
      <c r="D13" s="28"/>
      <c r="E13" s="9">
        <f t="shared" si="0"/>
        <v>0</v>
      </c>
      <c r="F13" s="40"/>
      <c r="G13" s="9"/>
      <c r="H13" s="9">
        <f t="shared" si="1"/>
        <v>0</v>
      </c>
      <c r="I13" s="33"/>
      <c r="J13" s="28">
        <v>1</v>
      </c>
      <c r="K13" s="9">
        <f t="shared" si="2"/>
        <v>1</v>
      </c>
      <c r="L13" s="40"/>
      <c r="M13" s="9"/>
      <c r="N13" s="9">
        <f t="shared" si="3"/>
        <v>0</v>
      </c>
      <c r="O13" s="9">
        <f t="shared" si="4"/>
        <v>1</v>
      </c>
      <c r="P13" s="13">
        <v>45033</v>
      </c>
    </row>
    <row r="14" spans="2:17" x14ac:dyDescent="0.15">
      <c r="B14" s="43" t="s">
        <v>13</v>
      </c>
      <c r="C14" s="34"/>
      <c r="D14" s="29"/>
      <c r="E14" s="9">
        <f t="shared" si="0"/>
        <v>0</v>
      </c>
      <c r="F14" s="40">
        <v>1</v>
      </c>
      <c r="G14" s="9"/>
      <c r="H14" s="9">
        <f t="shared" si="1"/>
        <v>1</v>
      </c>
      <c r="I14" s="34"/>
      <c r="J14" s="29"/>
      <c r="K14" s="9">
        <f t="shared" si="2"/>
        <v>0</v>
      </c>
      <c r="L14" s="40"/>
      <c r="M14" s="9"/>
      <c r="N14" s="9">
        <f t="shared" si="3"/>
        <v>0</v>
      </c>
      <c r="O14" s="9">
        <f t="shared" si="4"/>
        <v>1</v>
      </c>
      <c r="P14" s="13">
        <v>45043</v>
      </c>
    </row>
    <row r="15" spans="2:17" x14ac:dyDescent="0.15">
      <c r="B15" s="43" t="s">
        <v>13</v>
      </c>
      <c r="C15" s="34"/>
      <c r="D15" s="29"/>
      <c r="E15" s="9">
        <f t="shared" si="0"/>
        <v>0</v>
      </c>
      <c r="F15" s="40"/>
      <c r="G15" s="9">
        <v>1</v>
      </c>
      <c r="H15" s="9">
        <f t="shared" si="1"/>
        <v>1</v>
      </c>
      <c r="I15" s="34"/>
      <c r="J15" s="29"/>
      <c r="K15" s="9">
        <f t="shared" si="2"/>
        <v>0</v>
      </c>
      <c r="L15" s="40"/>
      <c r="M15" s="9"/>
      <c r="N15" s="9">
        <f t="shared" si="3"/>
        <v>0</v>
      </c>
      <c r="O15" s="9">
        <f t="shared" si="4"/>
        <v>1</v>
      </c>
      <c r="P15" s="13">
        <v>45061</v>
      </c>
    </row>
    <row r="16" spans="2:17" x14ac:dyDescent="0.15">
      <c r="B16" s="43" t="s">
        <v>13</v>
      </c>
      <c r="C16" s="34"/>
      <c r="D16" s="29"/>
      <c r="E16" s="9">
        <f t="shared" si="0"/>
        <v>0</v>
      </c>
      <c r="F16" s="40"/>
      <c r="G16" s="9"/>
      <c r="H16" s="9">
        <f t="shared" si="1"/>
        <v>0</v>
      </c>
      <c r="I16" s="34">
        <v>1</v>
      </c>
      <c r="J16" s="29"/>
      <c r="K16" s="9">
        <f t="shared" si="2"/>
        <v>1</v>
      </c>
      <c r="L16" s="40"/>
      <c r="M16" s="9"/>
      <c r="N16" s="9">
        <f t="shared" si="3"/>
        <v>0</v>
      </c>
      <c r="O16" s="9">
        <f t="shared" si="4"/>
        <v>1</v>
      </c>
      <c r="P16" s="13">
        <v>45083</v>
      </c>
    </row>
    <row r="17" spans="2:16" x14ac:dyDescent="0.15">
      <c r="B17" s="43" t="s">
        <v>13</v>
      </c>
      <c r="C17" s="34"/>
      <c r="D17" s="29"/>
      <c r="E17" s="9">
        <f t="shared" si="0"/>
        <v>0</v>
      </c>
      <c r="F17" s="40"/>
      <c r="G17" s="9"/>
      <c r="H17" s="9">
        <f t="shared" si="1"/>
        <v>0</v>
      </c>
      <c r="I17" s="34"/>
      <c r="J17" s="29"/>
      <c r="K17" s="9">
        <f t="shared" si="2"/>
        <v>0</v>
      </c>
      <c r="L17" s="40"/>
      <c r="M17" s="9">
        <v>1</v>
      </c>
      <c r="N17" s="9">
        <f t="shared" si="3"/>
        <v>1</v>
      </c>
      <c r="O17" s="9">
        <f t="shared" si="4"/>
        <v>1</v>
      </c>
      <c r="P17" s="13">
        <v>45114</v>
      </c>
    </row>
    <row r="18" spans="2:16" x14ac:dyDescent="0.15">
      <c r="B18" s="43" t="s">
        <v>13</v>
      </c>
      <c r="C18" s="34"/>
      <c r="D18" s="29"/>
      <c r="E18" s="9">
        <f t="shared" si="0"/>
        <v>0</v>
      </c>
      <c r="F18" s="40"/>
      <c r="G18" s="9"/>
      <c r="H18" s="9">
        <f t="shared" si="1"/>
        <v>0</v>
      </c>
      <c r="I18" s="34"/>
      <c r="J18" s="29"/>
      <c r="K18" s="9">
        <f t="shared" si="2"/>
        <v>0</v>
      </c>
      <c r="L18" s="40"/>
      <c r="M18" s="9">
        <v>1</v>
      </c>
      <c r="N18" s="9">
        <f t="shared" si="3"/>
        <v>1</v>
      </c>
      <c r="O18" s="9">
        <f t="shared" si="4"/>
        <v>1</v>
      </c>
      <c r="P18" s="13">
        <v>45121</v>
      </c>
    </row>
    <row r="19" spans="2:16" x14ac:dyDescent="0.15">
      <c r="B19" s="43" t="s">
        <v>13</v>
      </c>
      <c r="C19" s="34"/>
      <c r="D19" s="29"/>
      <c r="E19" s="9">
        <f t="shared" si="0"/>
        <v>0</v>
      </c>
      <c r="F19" s="40"/>
      <c r="G19" s="9"/>
      <c r="H19" s="9">
        <f t="shared" si="1"/>
        <v>0</v>
      </c>
      <c r="I19" s="34"/>
      <c r="J19" s="29"/>
      <c r="K19" s="9">
        <f t="shared" si="2"/>
        <v>0</v>
      </c>
      <c r="L19" s="40"/>
      <c r="M19" s="9">
        <v>1</v>
      </c>
      <c r="N19" s="9">
        <f t="shared" si="3"/>
        <v>1</v>
      </c>
      <c r="O19" s="9">
        <f t="shared" si="4"/>
        <v>1</v>
      </c>
      <c r="P19" s="13">
        <v>45142</v>
      </c>
    </row>
    <row r="20" spans="2:16" x14ac:dyDescent="0.15">
      <c r="B20" s="43" t="s">
        <v>13</v>
      </c>
      <c r="C20" s="34">
        <v>1</v>
      </c>
      <c r="D20" s="29"/>
      <c r="E20" s="9">
        <f t="shared" si="0"/>
        <v>1</v>
      </c>
      <c r="F20" s="40"/>
      <c r="G20" s="9"/>
      <c r="H20" s="9">
        <f t="shared" si="1"/>
        <v>0</v>
      </c>
      <c r="I20" s="34"/>
      <c r="J20" s="29"/>
      <c r="K20" s="9">
        <f t="shared" si="2"/>
        <v>0</v>
      </c>
      <c r="L20" s="40"/>
      <c r="M20" s="9"/>
      <c r="N20" s="9">
        <f t="shared" si="3"/>
        <v>0</v>
      </c>
      <c r="O20" s="9">
        <f t="shared" si="4"/>
        <v>1</v>
      </c>
      <c r="P20" s="13">
        <v>45211</v>
      </c>
    </row>
    <row r="21" spans="2:16" x14ac:dyDescent="0.15">
      <c r="B21" s="43" t="s">
        <v>13</v>
      </c>
      <c r="C21" s="34"/>
      <c r="D21" s="29"/>
      <c r="E21" s="9">
        <f t="shared" si="0"/>
        <v>0</v>
      </c>
      <c r="F21" s="40"/>
      <c r="G21" s="9"/>
      <c r="H21" s="9">
        <f t="shared" si="1"/>
        <v>0</v>
      </c>
      <c r="I21" s="34">
        <v>1</v>
      </c>
      <c r="J21" s="29"/>
      <c r="K21" s="9">
        <f t="shared" si="2"/>
        <v>1</v>
      </c>
      <c r="L21" s="40"/>
      <c r="M21" s="9"/>
      <c r="N21" s="9">
        <f t="shared" si="3"/>
        <v>0</v>
      </c>
      <c r="O21" s="9">
        <f t="shared" si="4"/>
        <v>1</v>
      </c>
      <c r="P21" s="13">
        <v>45250</v>
      </c>
    </row>
    <row r="22" spans="2:16" x14ac:dyDescent="0.15">
      <c r="B22" s="43" t="s">
        <v>13</v>
      </c>
      <c r="C22" s="34"/>
      <c r="D22" s="29"/>
      <c r="E22" s="9">
        <f t="shared" si="0"/>
        <v>0</v>
      </c>
      <c r="F22" s="40"/>
      <c r="G22" s="9"/>
      <c r="H22" s="9">
        <f t="shared" si="1"/>
        <v>0</v>
      </c>
      <c r="I22" s="34"/>
      <c r="J22" s="29">
        <v>1</v>
      </c>
      <c r="K22" s="9">
        <f t="shared" si="2"/>
        <v>1</v>
      </c>
      <c r="L22" s="40"/>
      <c r="M22" s="9"/>
      <c r="N22" s="9">
        <f t="shared" si="3"/>
        <v>0</v>
      </c>
      <c r="O22" s="9">
        <f t="shared" si="4"/>
        <v>1</v>
      </c>
      <c r="P22" s="13">
        <v>45254</v>
      </c>
    </row>
    <row r="23" spans="2:16" x14ac:dyDescent="0.15">
      <c r="B23" s="43" t="s">
        <v>13</v>
      </c>
      <c r="C23" s="37"/>
      <c r="D23" s="31"/>
      <c r="E23" s="9">
        <f t="shared" si="0"/>
        <v>0</v>
      </c>
      <c r="F23" s="42"/>
      <c r="G23" s="12">
        <v>1</v>
      </c>
      <c r="H23" s="9">
        <f t="shared" si="1"/>
        <v>1</v>
      </c>
      <c r="I23" s="37"/>
      <c r="J23" s="31"/>
      <c r="K23" s="9">
        <f t="shared" si="2"/>
        <v>0</v>
      </c>
      <c r="L23" s="42"/>
      <c r="M23" s="12"/>
      <c r="N23" s="9">
        <f t="shared" si="3"/>
        <v>0</v>
      </c>
      <c r="O23" s="9">
        <f t="shared" si="4"/>
        <v>1</v>
      </c>
      <c r="P23" s="11">
        <v>45265</v>
      </c>
    </row>
    <row r="24" spans="2:16" x14ac:dyDescent="0.15">
      <c r="B24" s="43" t="s">
        <v>13</v>
      </c>
      <c r="C24" s="37">
        <v>1</v>
      </c>
      <c r="D24" s="31"/>
      <c r="E24" s="9">
        <f t="shared" si="0"/>
        <v>1</v>
      </c>
      <c r="F24" s="42"/>
      <c r="G24" s="12"/>
      <c r="H24" s="9">
        <f t="shared" si="1"/>
        <v>0</v>
      </c>
      <c r="I24" s="37"/>
      <c r="J24" s="31"/>
      <c r="K24" s="9">
        <f t="shared" si="2"/>
        <v>0</v>
      </c>
      <c r="L24" s="42"/>
      <c r="M24" s="12"/>
      <c r="N24" s="9">
        <f t="shared" si="3"/>
        <v>0</v>
      </c>
      <c r="O24" s="9">
        <f t="shared" si="4"/>
        <v>1</v>
      </c>
      <c r="P24" s="11">
        <v>45286</v>
      </c>
    </row>
    <row r="25" spans="2:16" x14ac:dyDescent="0.15">
      <c r="B25" s="43" t="s">
        <v>13</v>
      </c>
      <c r="C25" s="34">
        <v>1</v>
      </c>
      <c r="D25" s="29"/>
      <c r="E25" s="9">
        <f t="shared" si="0"/>
        <v>1</v>
      </c>
      <c r="F25" s="40">
        <v>1</v>
      </c>
      <c r="G25" s="9"/>
      <c r="H25" s="9">
        <f t="shared" si="1"/>
        <v>1</v>
      </c>
      <c r="I25" s="34"/>
      <c r="J25" s="29"/>
      <c r="K25" s="9">
        <f t="shared" si="2"/>
        <v>0</v>
      </c>
      <c r="L25" s="40"/>
      <c r="M25" s="9"/>
      <c r="N25" s="9">
        <f t="shared" si="3"/>
        <v>0</v>
      </c>
      <c r="O25" s="9">
        <f t="shared" si="4"/>
        <v>2</v>
      </c>
      <c r="P25" s="13">
        <v>45388</v>
      </c>
    </row>
    <row r="26" spans="2:16" x14ac:dyDescent="0.15">
      <c r="B26" s="43" t="s">
        <v>13</v>
      </c>
      <c r="C26" s="37"/>
      <c r="D26" s="31"/>
      <c r="E26" s="9">
        <f t="shared" si="0"/>
        <v>0</v>
      </c>
      <c r="F26" s="42"/>
      <c r="G26" s="12">
        <v>1</v>
      </c>
      <c r="H26" s="9">
        <f t="shared" si="1"/>
        <v>1</v>
      </c>
      <c r="I26" s="37"/>
      <c r="J26" s="31"/>
      <c r="K26" s="9">
        <f t="shared" si="2"/>
        <v>0</v>
      </c>
      <c r="L26" s="42"/>
      <c r="M26" s="12"/>
      <c r="N26" s="9">
        <f t="shared" si="3"/>
        <v>0</v>
      </c>
      <c r="O26" s="9">
        <f t="shared" si="4"/>
        <v>1</v>
      </c>
      <c r="P26" s="11">
        <v>45412</v>
      </c>
    </row>
    <row r="27" spans="2:16" x14ac:dyDescent="0.15">
      <c r="B27" s="43" t="s">
        <v>13</v>
      </c>
      <c r="C27" s="37"/>
      <c r="D27" s="31"/>
      <c r="E27" s="9">
        <f t="shared" si="0"/>
        <v>0</v>
      </c>
      <c r="F27" s="42"/>
      <c r="G27" s="12"/>
      <c r="H27" s="9">
        <f t="shared" si="1"/>
        <v>0</v>
      </c>
      <c r="I27" s="37"/>
      <c r="J27" s="31"/>
      <c r="K27" s="9">
        <f t="shared" si="2"/>
        <v>0</v>
      </c>
      <c r="L27" s="42"/>
      <c r="M27" s="12">
        <v>1</v>
      </c>
      <c r="N27" s="9">
        <f t="shared" si="3"/>
        <v>1</v>
      </c>
      <c r="O27" s="9">
        <f t="shared" si="4"/>
        <v>1</v>
      </c>
      <c r="P27" s="11">
        <v>45439</v>
      </c>
    </row>
    <row r="28" spans="2:16" x14ac:dyDescent="0.15">
      <c r="B28" s="43" t="s">
        <v>13</v>
      </c>
      <c r="C28" s="37"/>
      <c r="D28" s="31"/>
      <c r="E28" s="9">
        <f t="shared" si="0"/>
        <v>0</v>
      </c>
      <c r="F28" s="42"/>
      <c r="G28" s="12"/>
      <c r="H28" s="9">
        <f t="shared" si="1"/>
        <v>0</v>
      </c>
      <c r="I28" s="37"/>
      <c r="J28" s="31">
        <v>1</v>
      </c>
      <c r="K28" s="9">
        <f t="shared" si="2"/>
        <v>1</v>
      </c>
      <c r="L28" s="42"/>
      <c r="M28" s="12"/>
      <c r="N28" s="9">
        <f t="shared" si="3"/>
        <v>0</v>
      </c>
      <c r="O28" s="9">
        <f t="shared" si="4"/>
        <v>1</v>
      </c>
      <c r="P28" s="11">
        <v>45461</v>
      </c>
    </row>
    <row r="29" spans="2:16" x14ac:dyDescent="0.15">
      <c r="B29" s="43" t="s">
        <v>13</v>
      </c>
      <c r="C29" s="37"/>
      <c r="D29" s="31">
        <v>1</v>
      </c>
      <c r="E29" s="9">
        <f t="shared" si="0"/>
        <v>1</v>
      </c>
      <c r="F29" s="42"/>
      <c r="G29" s="12"/>
      <c r="H29" s="9">
        <f t="shared" si="1"/>
        <v>0</v>
      </c>
      <c r="I29" s="37"/>
      <c r="J29" s="31"/>
      <c r="K29" s="9">
        <f t="shared" si="2"/>
        <v>0</v>
      </c>
      <c r="L29" s="42"/>
      <c r="M29" s="12"/>
      <c r="N29" s="9">
        <f t="shared" si="3"/>
        <v>0</v>
      </c>
      <c r="O29" s="9">
        <f t="shared" si="4"/>
        <v>1</v>
      </c>
      <c r="P29" s="11">
        <v>45520</v>
      </c>
    </row>
    <row r="30" spans="2:16" x14ac:dyDescent="0.15">
      <c r="B30" s="43" t="s">
        <v>13</v>
      </c>
      <c r="C30" s="37"/>
      <c r="D30" s="31"/>
      <c r="E30" s="9">
        <f t="shared" si="0"/>
        <v>0</v>
      </c>
      <c r="F30" s="42"/>
      <c r="G30" s="12"/>
      <c r="H30" s="9">
        <f t="shared" si="1"/>
        <v>0</v>
      </c>
      <c r="I30" s="37"/>
      <c r="J30" s="31">
        <v>1</v>
      </c>
      <c r="K30" s="9">
        <f t="shared" si="2"/>
        <v>1</v>
      </c>
      <c r="L30" s="42"/>
      <c r="M30" s="12">
        <v>1</v>
      </c>
      <c r="N30" s="9">
        <f t="shared" si="3"/>
        <v>1</v>
      </c>
      <c r="O30" s="9">
        <f t="shared" si="4"/>
        <v>2</v>
      </c>
      <c r="P30" s="11">
        <v>45559</v>
      </c>
    </row>
    <row r="31" spans="2:16" x14ac:dyDescent="0.15">
      <c r="B31" s="43" t="s">
        <v>13</v>
      </c>
      <c r="C31" s="37"/>
      <c r="D31" s="31"/>
      <c r="E31" s="9">
        <f t="shared" si="0"/>
        <v>0</v>
      </c>
      <c r="F31" s="42"/>
      <c r="G31" s="12"/>
      <c r="H31" s="9">
        <f t="shared" si="1"/>
        <v>0</v>
      </c>
      <c r="I31" s="37"/>
      <c r="J31" s="31"/>
      <c r="K31" s="9">
        <f t="shared" si="2"/>
        <v>0</v>
      </c>
      <c r="L31" s="42">
        <v>1</v>
      </c>
      <c r="M31" s="12"/>
      <c r="N31" s="9">
        <f t="shared" si="3"/>
        <v>1</v>
      </c>
      <c r="O31" s="9">
        <f t="shared" si="4"/>
        <v>1</v>
      </c>
      <c r="P31" s="11">
        <v>45608</v>
      </c>
    </row>
    <row r="32" spans="2:16" x14ac:dyDescent="0.15">
      <c r="B32" s="43" t="s">
        <v>13</v>
      </c>
      <c r="C32" s="34"/>
      <c r="D32" s="29"/>
      <c r="E32" s="9">
        <f t="shared" si="0"/>
        <v>0</v>
      </c>
      <c r="F32" s="40"/>
      <c r="G32" s="9"/>
      <c r="H32" s="9">
        <f t="shared" si="1"/>
        <v>0</v>
      </c>
      <c r="I32" s="34">
        <v>1</v>
      </c>
      <c r="J32" s="29"/>
      <c r="K32" s="9">
        <f t="shared" si="2"/>
        <v>1</v>
      </c>
      <c r="L32" s="40"/>
      <c r="M32" s="9"/>
      <c r="N32" s="9">
        <f t="shared" si="3"/>
        <v>0</v>
      </c>
      <c r="O32" s="9">
        <f t="shared" si="4"/>
        <v>1</v>
      </c>
      <c r="P32" s="6">
        <v>45708</v>
      </c>
    </row>
    <row r="33" spans="1:17" x14ac:dyDescent="0.15">
      <c r="B33" s="43" t="s">
        <v>13</v>
      </c>
      <c r="C33" s="34"/>
      <c r="D33" s="29"/>
      <c r="E33" s="9">
        <f t="shared" si="0"/>
        <v>0</v>
      </c>
      <c r="F33" s="40">
        <v>1</v>
      </c>
      <c r="G33" s="9"/>
      <c r="H33" s="9">
        <f t="shared" si="1"/>
        <v>1</v>
      </c>
      <c r="I33" s="34"/>
      <c r="J33" s="29"/>
      <c r="K33" s="9">
        <f t="shared" si="2"/>
        <v>0</v>
      </c>
      <c r="L33" s="40"/>
      <c r="M33" s="9"/>
      <c r="N33" s="9">
        <f t="shared" si="3"/>
        <v>0</v>
      </c>
      <c r="O33" s="9">
        <f t="shared" si="4"/>
        <v>1</v>
      </c>
      <c r="P33" s="6">
        <v>45757</v>
      </c>
    </row>
    <row r="34" spans="1:17" x14ac:dyDescent="0.15">
      <c r="B34" s="43" t="s">
        <v>13</v>
      </c>
      <c r="C34" s="34"/>
      <c r="D34" s="29">
        <v>2</v>
      </c>
      <c r="E34" s="9">
        <f t="shared" si="0"/>
        <v>2</v>
      </c>
      <c r="F34" s="40"/>
      <c r="G34" s="9"/>
      <c r="H34" s="9">
        <f t="shared" si="1"/>
        <v>0</v>
      </c>
      <c r="I34" s="34"/>
      <c r="J34" s="29"/>
      <c r="K34" s="9">
        <f t="shared" si="2"/>
        <v>0</v>
      </c>
      <c r="L34" s="40"/>
      <c r="M34" s="9"/>
      <c r="N34" s="9">
        <f t="shared" si="3"/>
        <v>0</v>
      </c>
      <c r="O34" s="9">
        <f t="shared" si="4"/>
        <v>2</v>
      </c>
      <c r="P34" s="6">
        <v>45791</v>
      </c>
    </row>
    <row r="35" spans="1:17" x14ac:dyDescent="0.15">
      <c r="B35" s="43" t="s">
        <v>13</v>
      </c>
      <c r="C35" s="34"/>
      <c r="D35" s="29"/>
      <c r="E35" s="9">
        <f t="shared" si="0"/>
        <v>0</v>
      </c>
      <c r="F35" s="40"/>
      <c r="G35" s="9"/>
      <c r="H35" s="9">
        <f t="shared" si="1"/>
        <v>0</v>
      </c>
      <c r="I35" s="34">
        <v>1</v>
      </c>
      <c r="J35" s="29"/>
      <c r="K35" s="9">
        <f t="shared" si="2"/>
        <v>1</v>
      </c>
      <c r="L35" s="40"/>
      <c r="M35" s="9"/>
      <c r="N35" s="9">
        <f t="shared" si="3"/>
        <v>0</v>
      </c>
      <c r="O35" s="9">
        <f t="shared" si="4"/>
        <v>1</v>
      </c>
      <c r="P35" s="6">
        <v>45792</v>
      </c>
    </row>
    <row r="36" spans="1:17" x14ac:dyDescent="0.15">
      <c r="B36" s="43" t="s">
        <v>13</v>
      </c>
      <c r="C36" s="34"/>
      <c r="D36" s="29"/>
      <c r="E36" s="9">
        <f t="shared" si="0"/>
        <v>0</v>
      </c>
      <c r="F36" s="40"/>
      <c r="G36" s="9"/>
      <c r="H36" s="9">
        <f t="shared" si="1"/>
        <v>0</v>
      </c>
      <c r="I36" s="34">
        <v>1</v>
      </c>
      <c r="J36" s="29"/>
      <c r="K36" s="9">
        <f t="shared" si="2"/>
        <v>1</v>
      </c>
      <c r="L36" s="40"/>
      <c r="M36" s="9"/>
      <c r="N36" s="9">
        <f t="shared" si="3"/>
        <v>0</v>
      </c>
      <c r="O36" s="9">
        <f t="shared" si="4"/>
        <v>1</v>
      </c>
      <c r="P36" s="6">
        <v>45845</v>
      </c>
    </row>
    <row r="37" spans="1:17" ht="14.25" thickBot="1" x14ac:dyDescent="0.2">
      <c r="B37" s="8" t="s">
        <v>13</v>
      </c>
      <c r="C37" s="38"/>
      <c r="D37" s="30"/>
      <c r="E37" s="7">
        <f t="shared" si="0"/>
        <v>0</v>
      </c>
      <c r="F37" s="41"/>
      <c r="G37" s="7"/>
      <c r="H37" s="7">
        <f t="shared" si="1"/>
        <v>0</v>
      </c>
      <c r="I37" s="38"/>
      <c r="J37" s="30">
        <v>1</v>
      </c>
      <c r="K37" s="7">
        <f t="shared" si="2"/>
        <v>1</v>
      </c>
      <c r="L37" s="41"/>
      <c r="M37" s="7"/>
      <c r="N37" s="7">
        <f t="shared" si="3"/>
        <v>0</v>
      </c>
      <c r="O37" s="7">
        <f t="shared" si="4"/>
        <v>1</v>
      </c>
      <c r="P37" s="6">
        <v>45930</v>
      </c>
    </row>
    <row r="38" spans="1:17" ht="14.25" thickBot="1" x14ac:dyDescent="0.2">
      <c r="B38" s="5" t="s">
        <v>1</v>
      </c>
      <c r="C38" s="44">
        <f>SUM(C13:C37)</f>
        <v>3</v>
      </c>
      <c r="D38" s="46">
        <f>SUM(D13:D37)</f>
        <v>3</v>
      </c>
      <c r="E38" s="48">
        <f t="shared" si="0"/>
        <v>6</v>
      </c>
      <c r="F38" s="44">
        <f>SUM(F13:F37)</f>
        <v>3</v>
      </c>
      <c r="G38" s="46">
        <f>SUM(G13:G37)</f>
        <v>3</v>
      </c>
      <c r="H38" s="48">
        <f t="shared" si="1"/>
        <v>6</v>
      </c>
      <c r="I38" s="44">
        <f>SUM(I13:I37)</f>
        <v>5</v>
      </c>
      <c r="J38" s="22">
        <f>SUM(J13:J37)</f>
        <v>5</v>
      </c>
      <c r="K38" s="4">
        <f t="shared" si="2"/>
        <v>10</v>
      </c>
      <c r="L38" s="36">
        <f>SUM(L13:L37)</f>
        <v>1</v>
      </c>
      <c r="M38" s="46">
        <f>SUM(M13:M37)</f>
        <v>5</v>
      </c>
      <c r="N38" s="4">
        <f t="shared" si="3"/>
        <v>6</v>
      </c>
      <c r="O38" s="4">
        <f t="shared" si="4"/>
        <v>28</v>
      </c>
    </row>
    <row r="39" spans="1:17" ht="14.25" thickBot="1" x14ac:dyDescent="0.2">
      <c r="B39" s="3" t="s">
        <v>0</v>
      </c>
      <c r="C39" s="45">
        <f>+C12-C38</f>
        <v>0</v>
      </c>
      <c r="D39" s="47">
        <f>+D12-D38</f>
        <v>0</v>
      </c>
      <c r="E39" s="47">
        <f t="shared" si="0"/>
        <v>0</v>
      </c>
      <c r="F39" s="45">
        <f>+F12-F38</f>
        <v>0</v>
      </c>
      <c r="G39" s="47">
        <f>+G12-G38</f>
        <v>0</v>
      </c>
      <c r="H39" s="47">
        <f t="shared" si="1"/>
        <v>0</v>
      </c>
      <c r="I39" s="45">
        <f>+I12-I38</f>
        <v>0</v>
      </c>
      <c r="J39" s="2">
        <f>+J12-J38</f>
        <v>0</v>
      </c>
      <c r="K39" s="2">
        <f t="shared" si="2"/>
        <v>0</v>
      </c>
      <c r="L39" s="39">
        <f>+L12-L38</f>
        <v>3</v>
      </c>
      <c r="M39" s="47">
        <f>+M12-M38</f>
        <v>0</v>
      </c>
      <c r="N39" s="2">
        <f t="shared" si="3"/>
        <v>3</v>
      </c>
      <c r="O39" s="2">
        <f t="shared" si="4"/>
        <v>3</v>
      </c>
    </row>
    <row r="41" spans="1:17" ht="18.75" x14ac:dyDescent="0.2">
      <c r="B41" s="26" t="s">
        <v>12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7" ht="14.25" x14ac:dyDescent="0.15">
      <c r="B42" s="25" t="s">
        <v>11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7" ht="14.25" thickBot="1" x14ac:dyDescent="0.2"/>
    <row r="44" spans="1:17" ht="14.25" thickBot="1" x14ac:dyDescent="0.2">
      <c r="B44" s="23"/>
      <c r="C44" s="49" t="s">
        <v>10</v>
      </c>
      <c r="D44" s="50"/>
      <c r="E44" s="51"/>
      <c r="F44" s="49" t="s">
        <v>9</v>
      </c>
      <c r="G44" s="50"/>
      <c r="H44" s="51"/>
      <c r="I44" s="49" t="s">
        <v>8</v>
      </c>
      <c r="J44" s="50"/>
      <c r="K44" s="51"/>
      <c r="L44" s="49" t="s">
        <v>7</v>
      </c>
      <c r="M44" s="50"/>
      <c r="N44" s="51"/>
      <c r="O44" s="22"/>
    </row>
    <row r="45" spans="1:17" ht="14.25" thickBot="1" x14ac:dyDescent="0.2">
      <c r="A45" s="1"/>
      <c r="B45" s="21"/>
      <c r="C45" s="32" t="s">
        <v>6</v>
      </c>
      <c r="D45" s="20" t="s">
        <v>5</v>
      </c>
      <c r="E45" s="20" t="s">
        <v>4</v>
      </c>
      <c r="F45" s="32" t="s">
        <v>6</v>
      </c>
      <c r="G45" s="20" t="s">
        <v>5</v>
      </c>
      <c r="H45" s="20" t="s">
        <v>4</v>
      </c>
      <c r="I45" s="32" t="s">
        <v>6</v>
      </c>
      <c r="J45" s="20" t="s">
        <v>5</v>
      </c>
      <c r="K45" s="20" t="s">
        <v>4</v>
      </c>
      <c r="L45" s="32" t="s">
        <v>6</v>
      </c>
      <c r="M45" s="20" t="s">
        <v>5</v>
      </c>
      <c r="N45" s="20" t="s">
        <v>4</v>
      </c>
      <c r="O45" s="20" t="s">
        <v>4</v>
      </c>
      <c r="P45" s="1"/>
      <c r="Q45" s="1"/>
    </row>
    <row r="46" spans="1:17" x14ac:dyDescent="0.15">
      <c r="B46" s="15" t="s">
        <v>0</v>
      </c>
      <c r="C46" s="33">
        <f t="shared" ref="C46:O46" si="5">C39</f>
        <v>0</v>
      </c>
      <c r="D46" s="28">
        <f t="shared" si="5"/>
        <v>0</v>
      </c>
      <c r="E46" s="14">
        <f t="shared" si="5"/>
        <v>0</v>
      </c>
      <c r="F46" s="33">
        <f t="shared" si="5"/>
        <v>0</v>
      </c>
      <c r="G46" s="28">
        <f t="shared" si="5"/>
        <v>0</v>
      </c>
      <c r="H46" s="14">
        <f t="shared" si="5"/>
        <v>0</v>
      </c>
      <c r="I46" s="33">
        <f t="shared" si="5"/>
        <v>0</v>
      </c>
      <c r="J46" s="28">
        <f t="shared" si="5"/>
        <v>0</v>
      </c>
      <c r="K46" s="14">
        <f t="shared" si="5"/>
        <v>0</v>
      </c>
      <c r="L46" s="33">
        <f t="shared" si="5"/>
        <v>3</v>
      </c>
      <c r="M46" s="28">
        <f t="shared" si="5"/>
        <v>0</v>
      </c>
      <c r="N46" s="14">
        <f t="shared" si="5"/>
        <v>3</v>
      </c>
      <c r="O46" s="14">
        <f t="shared" si="5"/>
        <v>3</v>
      </c>
      <c r="P46" s="13"/>
    </row>
    <row r="47" spans="1:17" x14ac:dyDescent="0.15">
      <c r="B47" s="19" t="s">
        <v>3</v>
      </c>
      <c r="C47" s="34"/>
      <c r="D47" s="29"/>
      <c r="E47" s="10">
        <f t="shared" ref="E47:E79" si="6">SUM(C47:D47)</f>
        <v>0</v>
      </c>
      <c r="F47" s="40"/>
      <c r="G47" s="9"/>
      <c r="H47" s="10">
        <f t="shared" ref="H47:H79" si="7">SUM(F47:G47)</f>
        <v>0</v>
      </c>
      <c r="I47" s="34"/>
      <c r="J47" s="29"/>
      <c r="K47" s="10">
        <f t="shared" ref="K47:K79" si="8">SUM(I47:J47)</f>
        <v>0</v>
      </c>
      <c r="L47" s="40"/>
      <c r="M47" s="9"/>
      <c r="N47" s="10">
        <f t="shared" ref="N47:N79" si="9">SUM(L47:M47)</f>
        <v>0</v>
      </c>
      <c r="O47" s="10">
        <f t="shared" ref="O47:O79" si="10">SUM(N47,K47,H47,E47)</f>
        <v>0</v>
      </c>
      <c r="P47" s="13"/>
    </row>
    <row r="48" spans="1:17" x14ac:dyDescent="0.15">
      <c r="B48" s="19" t="s">
        <v>3</v>
      </c>
      <c r="C48" s="34"/>
      <c r="D48" s="29"/>
      <c r="E48" s="10">
        <f t="shared" si="6"/>
        <v>0</v>
      </c>
      <c r="F48" s="40"/>
      <c r="G48" s="9"/>
      <c r="H48" s="10">
        <f t="shared" si="7"/>
        <v>0</v>
      </c>
      <c r="I48" s="34"/>
      <c r="J48" s="29"/>
      <c r="K48" s="10">
        <f t="shared" si="8"/>
        <v>0</v>
      </c>
      <c r="L48" s="40"/>
      <c r="M48" s="9"/>
      <c r="N48" s="10">
        <f t="shared" si="9"/>
        <v>0</v>
      </c>
      <c r="O48" s="10">
        <f t="shared" si="10"/>
        <v>0</v>
      </c>
      <c r="P48" s="13"/>
    </row>
    <row r="49" spans="2:16" x14ac:dyDescent="0.15">
      <c r="B49" s="19" t="s">
        <v>3</v>
      </c>
      <c r="C49" s="34"/>
      <c r="D49" s="29"/>
      <c r="E49" s="10">
        <f t="shared" si="6"/>
        <v>0</v>
      </c>
      <c r="F49" s="40"/>
      <c r="G49" s="9"/>
      <c r="H49" s="10">
        <f t="shared" si="7"/>
        <v>0</v>
      </c>
      <c r="I49" s="34"/>
      <c r="J49" s="29"/>
      <c r="K49" s="10">
        <f t="shared" si="8"/>
        <v>0</v>
      </c>
      <c r="L49" s="40"/>
      <c r="M49" s="9"/>
      <c r="N49" s="10">
        <f t="shared" si="9"/>
        <v>0</v>
      </c>
      <c r="O49" s="10">
        <f t="shared" si="10"/>
        <v>0</v>
      </c>
      <c r="P49" s="13"/>
    </row>
    <row r="50" spans="2:16" x14ac:dyDescent="0.15">
      <c r="B50" s="19" t="s">
        <v>3</v>
      </c>
      <c r="C50" s="34"/>
      <c r="D50" s="29"/>
      <c r="E50" s="10">
        <f t="shared" si="6"/>
        <v>0</v>
      </c>
      <c r="F50" s="40"/>
      <c r="G50" s="9"/>
      <c r="H50" s="10">
        <f t="shared" si="7"/>
        <v>0</v>
      </c>
      <c r="I50" s="34"/>
      <c r="J50" s="29"/>
      <c r="K50" s="10">
        <f t="shared" si="8"/>
        <v>0</v>
      </c>
      <c r="L50" s="40"/>
      <c r="M50" s="9"/>
      <c r="N50" s="10">
        <f t="shared" si="9"/>
        <v>0</v>
      </c>
      <c r="O50" s="10">
        <f t="shared" si="10"/>
        <v>0</v>
      </c>
      <c r="P50" s="13"/>
    </row>
    <row r="51" spans="2:16" ht="14.25" thickBot="1" x14ac:dyDescent="0.2">
      <c r="B51" s="18" t="s">
        <v>3</v>
      </c>
      <c r="C51" s="35"/>
      <c r="D51" s="30"/>
      <c r="E51" s="17">
        <f t="shared" si="6"/>
        <v>0</v>
      </c>
      <c r="F51" s="41"/>
      <c r="G51" s="7"/>
      <c r="H51" s="17">
        <f t="shared" si="7"/>
        <v>0</v>
      </c>
      <c r="I51" s="35"/>
      <c r="J51" s="30"/>
      <c r="K51" s="17">
        <f t="shared" si="8"/>
        <v>0</v>
      </c>
      <c r="L51" s="41"/>
      <c r="M51" s="7"/>
      <c r="N51" s="17">
        <f t="shared" si="9"/>
        <v>0</v>
      </c>
      <c r="O51" s="17">
        <f t="shared" si="10"/>
        <v>0</v>
      </c>
      <c r="P51" s="13"/>
    </row>
    <row r="52" spans="2:16" ht="14.25" thickBot="1" x14ac:dyDescent="0.2">
      <c r="B52" s="5" t="s">
        <v>2</v>
      </c>
      <c r="C52" s="36">
        <f>SUM(C46:C51)</f>
        <v>0</v>
      </c>
      <c r="D52" s="22">
        <f>SUM(D46:D51)</f>
        <v>0</v>
      </c>
      <c r="E52" s="16">
        <f t="shared" si="6"/>
        <v>0</v>
      </c>
      <c r="F52" s="36">
        <f>SUM(F46:F51)</f>
        <v>0</v>
      </c>
      <c r="G52" s="22">
        <f>SUM(G46:G51)</f>
        <v>0</v>
      </c>
      <c r="H52" s="16">
        <f t="shared" si="7"/>
        <v>0</v>
      </c>
      <c r="I52" s="36">
        <f>SUM(I46:I51)</f>
        <v>0</v>
      </c>
      <c r="J52" s="22">
        <f>SUM(J46:J51)</f>
        <v>0</v>
      </c>
      <c r="K52" s="16">
        <f t="shared" si="8"/>
        <v>0</v>
      </c>
      <c r="L52" s="36">
        <f>SUM(L46:L51)</f>
        <v>3</v>
      </c>
      <c r="M52" s="22">
        <f>SUM(M46:M51)</f>
        <v>0</v>
      </c>
      <c r="N52" s="16">
        <f t="shared" si="9"/>
        <v>3</v>
      </c>
      <c r="O52" s="16">
        <f t="shared" si="10"/>
        <v>3</v>
      </c>
    </row>
    <row r="53" spans="2:16" x14ac:dyDescent="0.15">
      <c r="B53" s="15" t="s">
        <v>13</v>
      </c>
      <c r="C53" s="33"/>
      <c r="D53" s="28"/>
      <c r="E53" s="9">
        <f t="shared" si="6"/>
        <v>0</v>
      </c>
      <c r="F53" s="40"/>
      <c r="G53" s="9"/>
      <c r="H53" s="9">
        <f t="shared" si="7"/>
        <v>0</v>
      </c>
      <c r="I53" s="33"/>
      <c r="J53" s="28"/>
      <c r="K53" s="9">
        <f t="shared" si="8"/>
        <v>0</v>
      </c>
      <c r="L53" s="40">
        <v>1</v>
      </c>
      <c r="M53" s="9"/>
      <c r="N53" s="9">
        <f t="shared" si="9"/>
        <v>1</v>
      </c>
      <c r="O53" s="9">
        <f t="shared" si="10"/>
        <v>1</v>
      </c>
      <c r="P53" s="13">
        <v>45986</v>
      </c>
    </row>
    <row r="54" spans="2:16" x14ac:dyDescent="0.15">
      <c r="B54" s="8" t="s">
        <v>17</v>
      </c>
      <c r="C54" s="34"/>
      <c r="D54" s="29"/>
      <c r="E54" s="9">
        <f t="shared" si="6"/>
        <v>0</v>
      </c>
      <c r="F54" s="40"/>
      <c r="G54" s="9"/>
      <c r="H54" s="9">
        <f t="shared" si="7"/>
        <v>0</v>
      </c>
      <c r="I54" s="34"/>
      <c r="J54" s="29"/>
      <c r="K54" s="9">
        <f t="shared" si="8"/>
        <v>0</v>
      </c>
      <c r="L54" s="40">
        <v>-1</v>
      </c>
      <c r="M54" s="9"/>
      <c r="N54" s="9">
        <f t="shared" si="9"/>
        <v>-1</v>
      </c>
      <c r="O54" s="9">
        <f t="shared" si="10"/>
        <v>-1</v>
      </c>
      <c r="P54" s="13">
        <v>45999</v>
      </c>
    </row>
    <row r="55" spans="2:16" x14ac:dyDescent="0.15">
      <c r="B55" s="8" t="s">
        <v>13</v>
      </c>
      <c r="C55" s="34"/>
      <c r="D55" s="29"/>
      <c r="E55" s="9">
        <f t="shared" si="6"/>
        <v>0</v>
      </c>
      <c r="F55" s="40"/>
      <c r="G55" s="9"/>
      <c r="H55" s="9">
        <f t="shared" si="7"/>
        <v>0</v>
      </c>
      <c r="I55" s="34"/>
      <c r="J55" s="29"/>
      <c r="K55" s="9">
        <f t="shared" si="8"/>
        <v>0</v>
      </c>
      <c r="L55" s="40">
        <v>1</v>
      </c>
      <c r="M55" s="9"/>
      <c r="N55" s="9">
        <f t="shared" si="9"/>
        <v>1</v>
      </c>
      <c r="O55" s="9">
        <f t="shared" si="10"/>
        <v>1</v>
      </c>
      <c r="P55" s="13">
        <v>46118</v>
      </c>
    </row>
    <row r="56" spans="2:16" x14ac:dyDescent="0.15">
      <c r="B56" s="8" t="s">
        <v>13</v>
      </c>
      <c r="C56" s="34"/>
      <c r="D56" s="29"/>
      <c r="E56" s="9">
        <f t="shared" si="6"/>
        <v>0</v>
      </c>
      <c r="F56" s="40"/>
      <c r="G56" s="9"/>
      <c r="H56" s="9">
        <f t="shared" si="7"/>
        <v>0</v>
      </c>
      <c r="I56" s="34"/>
      <c r="J56" s="29"/>
      <c r="K56" s="9">
        <f t="shared" si="8"/>
        <v>0</v>
      </c>
      <c r="L56" s="40">
        <v>1</v>
      </c>
      <c r="M56" s="9"/>
      <c r="N56" s="9">
        <f t="shared" si="9"/>
        <v>1</v>
      </c>
      <c r="O56" s="9">
        <f t="shared" si="10"/>
        <v>1</v>
      </c>
      <c r="P56" s="13">
        <v>46142</v>
      </c>
    </row>
    <row r="57" spans="2:16" x14ac:dyDescent="0.15">
      <c r="B57" s="8" t="s">
        <v>13</v>
      </c>
      <c r="C57" s="34"/>
      <c r="D57" s="29"/>
      <c r="E57" s="9">
        <f t="shared" si="6"/>
        <v>0</v>
      </c>
      <c r="F57" s="40"/>
      <c r="G57" s="9"/>
      <c r="H57" s="9">
        <f t="shared" si="7"/>
        <v>0</v>
      </c>
      <c r="I57" s="34"/>
      <c r="J57" s="29"/>
      <c r="K57" s="9">
        <f t="shared" si="8"/>
        <v>0</v>
      </c>
      <c r="L57" s="40">
        <v>1</v>
      </c>
      <c r="M57" s="9"/>
      <c r="N57" s="9">
        <f t="shared" si="9"/>
        <v>1</v>
      </c>
      <c r="O57" s="9">
        <f t="shared" si="10"/>
        <v>1</v>
      </c>
      <c r="P57" s="13">
        <v>46184</v>
      </c>
    </row>
    <row r="58" spans="2:16" x14ac:dyDescent="0.15">
      <c r="B58" s="8"/>
      <c r="C58" s="34"/>
      <c r="D58" s="29"/>
      <c r="E58" s="9">
        <f t="shared" si="6"/>
        <v>0</v>
      </c>
      <c r="F58" s="40"/>
      <c r="G58" s="9"/>
      <c r="H58" s="9">
        <f t="shared" si="7"/>
        <v>0</v>
      </c>
      <c r="I58" s="34"/>
      <c r="J58" s="29"/>
      <c r="K58" s="9">
        <f t="shared" si="8"/>
        <v>0</v>
      </c>
      <c r="L58" s="40"/>
      <c r="M58" s="9"/>
      <c r="N58" s="9">
        <f t="shared" si="9"/>
        <v>0</v>
      </c>
      <c r="O58" s="9">
        <f t="shared" si="10"/>
        <v>0</v>
      </c>
      <c r="P58" s="13"/>
    </row>
    <row r="59" spans="2:16" x14ac:dyDescent="0.15">
      <c r="B59" s="8"/>
      <c r="C59" s="34"/>
      <c r="D59" s="29"/>
      <c r="E59" s="9">
        <f t="shared" si="6"/>
        <v>0</v>
      </c>
      <c r="F59" s="40"/>
      <c r="G59" s="9"/>
      <c r="H59" s="9">
        <f t="shared" si="7"/>
        <v>0</v>
      </c>
      <c r="I59" s="34"/>
      <c r="J59" s="29"/>
      <c r="K59" s="9">
        <f t="shared" si="8"/>
        <v>0</v>
      </c>
      <c r="L59" s="40"/>
      <c r="M59" s="9"/>
      <c r="N59" s="9">
        <f t="shared" si="9"/>
        <v>0</v>
      </c>
      <c r="O59" s="9">
        <f t="shared" si="10"/>
        <v>0</v>
      </c>
      <c r="P59" s="13"/>
    </row>
    <row r="60" spans="2:16" x14ac:dyDescent="0.15">
      <c r="B60" s="8"/>
      <c r="C60" s="34"/>
      <c r="D60" s="29"/>
      <c r="E60" s="9">
        <f t="shared" si="6"/>
        <v>0</v>
      </c>
      <c r="F60" s="40"/>
      <c r="G60" s="9"/>
      <c r="H60" s="9">
        <f t="shared" si="7"/>
        <v>0</v>
      </c>
      <c r="I60" s="34"/>
      <c r="J60" s="29"/>
      <c r="K60" s="9">
        <f t="shared" si="8"/>
        <v>0</v>
      </c>
      <c r="L60" s="40"/>
      <c r="M60" s="9"/>
      <c r="N60" s="9">
        <f t="shared" si="9"/>
        <v>0</v>
      </c>
      <c r="O60" s="9">
        <f t="shared" si="10"/>
        <v>0</v>
      </c>
      <c r="P60" s="13"/>
    </row>
    <row r="61" spans="2:16" x14ac:dyDescent="0.15">
      <c r="B61" s="8"/>
      <c r="C61" s="34"/>
      <c r="D61" s="29"/>
      <c r="E61" s="9">
        <f t="shared" si="6"/>
        <v>0</v>
      </c>
      <c r="F61" s="40"/>
      <c r="G61" s="9"/>
      <c r="H61" s="9">
        <f t="shared" si="7"/>
        <v>0</v>
      </c>
      <c r="I61" s="34"/>
      <c r="J61" s="29"/>
      <c r="K61" s="9">
        <f t="shared" si="8"/>
        <v>0</v>
      </c>
      <c r="L61" s="40"/>
      <c r="M61" s="9"/>
      <c r="N61" s="9">
        <f t="shared" si="9"/>
        <v>0</v>
      </c>
      <c r="O61" s="9">
        <f t="shared" si="10"/>
        <v>0</v>
      </c>
      <c r="P61" s="13"/>
    </row>
    <row r="62" spans="2:16" x14ac:dyDescent="0.15">
      <c r="B62" s="8"/>
      <c r="C62" s="34"/>
      <c r="D62" s="29"/>
      <c r="E62" s="9">
        <f t="shared" si="6"/>
        <v>0</v>
      </c>
      <c r="F62" s="40"/>
      <c r="G62" s="9"/>
      <c r="H62" s="9">
        <f t="shared" si="7"/>
        <v>0</v>
      </c>
      <c r="I62" s="34"/>
      <c r="J62" s="29"/>
      <c r="K62" s="9">
        <f t="shared" si="8"/>
        <v>0</v>
      </c>
      <c r="L62" s="40"/>
      <c r="M62" s="9"/>
      <c r="N62" s="9">
        <f t="shared" si="9"/>
        <v>0</v>
      </c>
      <c r="O62" s="9">
        <f t="shared" si="10"/>
        <v>0</v>
      </c>
      <c r="P62" s="13"/>
    </row>
    <row r="63" spans="2:16" x14ac:dyDescent="0.15">
      <c r="B63" s="8"/>
      <c r="C63" s="37"/>
      <c r="D63" s="31"/>
      <c r="E63" s="9">
        <f t="shared" si="6"/>
        <v>0</v>
      </c>
      <c r="F63" s="42"/>
      <c r="G63" s="12"/>
      <c r="H63" s="9">
        <f t="shared" si="7"/>
        <v>0</v>
      </c>
      <c r="I63" s="37"/>
      <c r="J63" s="31"/>
      <c r="K63" s="9">
        <f t="shared" si="8"/>
        <v>0</v>
      </c>
      <c r="L63" s="42"/>
      <c r="M63" s="12"/>
      <c r="N63" s="9">
        <f t="shared" si="9"/>
        <v>0</v>
      </c>
      <c r="O63" s="9">
        <f t="shared" si="10"/>
        <v>0</v>
      </c>
      <c r="P63" s="11"/>
    </row>
    <row r="64" spans="2:16" x14ac:dyDescent="0.15">
      <c r="B64" s="8"/>
      <c r="C64" s="37"/>
      <c r="D64" s="31"/>
      <c r="E64" s="9">
        <f t="shared" si="6"/>
        <v>0</v>
      </c>
      <c r="F64" s="42"/>
      <c r="G64" s="12"/>
      <c r="H64" s="9">
        <f t="shared" si="7"/>
        <v>0</v>
      </c>
      <c r="I64" s="37"/>
      <c r="J64" s="31"/>
      <c r="K64" s="9">
        <f t="shared" si="8"/>
        <v>0</v>
      </c>
      <c r="L64" s="42"/>
      <c r="M64" s="12"/>
      <c r="N64" s="9">
        <f t="shared" si="9"/>
        <v>0</v>
      </c>
      <c r="O64" s="9">
        <f t="shared" si="10"/>
        <v>0</v>
      </c>
      <c r="P64" s="11"/>
    </row>
    <row r="65" spans="2:16" x14ac:dyDescent="0.15">
      <c r="B65" s="8"/>
      <c r="C65" s="34"/>
      <c r="D65" s="29"/>
      <c r="E65" s="9">
        <f t="shared" si="6"/>
        <v>0</v>
      </c>
      <c r="F65" s="40"/>
      <c r="G65" s="9"/>
      <c r="H65" s="9">
        <f t="shared" si="7"/>
        <v>0</v>
      </c>
      <c r="I65" s="34"/>
      <c r="J65" s="29"/>
      <c r="K65" s="9">
        <f t="shared" si="8"/>
        <v>0</v>
      </c>
      <c r="L65" s="40"/>
      <c r="M65" s="9"/>
      <c r="N65" s="9">
        <f t="shared" si="9"/>
        <v>0</v>
      </c>
      <c r="O65" s="9">
        <f t="shared" si="10"/>
        <v>0</v>
      </c>
      <c r="P65" s="13"/>
    </row>
    <row r="66" spans="2:16" x14ac:dyDescent="0.15">
      <c r="B66" s="8"/>
      <c r="C66" s="37"/>
      <c r="D66" s="31"/>
      <c r="E66" s="9">
        <f t="shared" si="6"/>
        <v>0</v>
      </c>
      <c r="F66" s="42"/>
      <c r="G66" s="12"/>
      <c r="H66" s="9">
        <f t="shared" si="7"/>
        <v>0</v>
      </c>
      <c r="I66" s="37"/>
      <c r="J66" s="31"/>
      <c r="K66" s="9">
        <f t="shared" si="8"/>
        <v>0</v>
      </c>
      <c r="L66" s="42"/>
      <c r="M66" s="12"/>
      <c r="N66" s="9">
        <f t="shared" si="9"/>
        <v>0</v>
      </c>
      <c r="O66" s="9">
        <f t="shared" si="10"/>
        <v>0</v>
      </c>
      <c r="P66" s="11"/>
    </row>
    <row r="67" spans="2:16" x14ac:dyDescent="0.15">
      <c r="B67" s="8"/>
      <c r="C67" s="37"/>
      <c r="D67" s="31"/>
      <c r="E67" s="9">
        <f t="shared" si="6"/>
        <v>0</v>
      </c>
      <c r="F67" s="42"/>
      <c r="G67" s="12"/>
      <c r="H67" s="9">
        <f t="shared" si="7"/>
        <v>0</v>
      </c>
      <c r="I67" s="37"/>
      <c r="J67" s="31"/>
      <c r="K67" s="9">
        <f t="shared" si="8"/>
        <v>0</v>
      </c>
      <c r="L67" s="42"/>
      <c r="M67" s="12"/>
      <c r="N67" s="9">
        <f t="shared" si="9"/>
        <v>0</v>
      </c>
      <c r="O67" s="9">
        <f t="shared" si="10"/>
        <v>0</v>
      </c>
      <c r="P67" s="11"/>
    </row>
    <row r="68" spans="2:16" x14ac:dyDescent="0.15">
      <c r="B68" s="8"/>
      <c r="C68" s="37"/>
      <c r="D68" s="31"/>
      <c r="E68" s="9">
        <f t="shared" si="6"/>
        <v>0</v>
      </c>
      <c r="F68" s="42"/>
      <c r="G68" s="12"/>
      <c r="H68" s="9">
        <f t="shared" si="7"/>
        <v>0</v>
      </c>
      <c r="I68" s="37"/>
      <c r="J68" s="31"/>
      <c r="K68" s="9">
        <f t="shared" si="8"/>
        <v>0</v>
      </c>
      <c r="L68" s="42"/>
      <c r="M68" s="12"/>
      <c r="N68" s="9">
        <f t="shared" si="9"/>
        <v>0</v>
      </c>
      <c r="O68" s="9">
        <f t="shared" si="10"/>
        <v>0</v>
      </c>
      <c r="P68" s="11"/>
    </row>
    <row r="69" spans="2:16" x14ac:dyDescent="0.15">
      <c r="B69" s="8"/>
      <c r="C69" s="37"/>
      <c r="D69" s="31"/>
      <c r="E69" s="9">
        <f t="shared" si="6"/>
        <v>0</v>
      </c>
      <c r="F69" s="42"/>
      <c r="G69" s="12"/>
      <c r="H69" s="9">
        <f t="shared" si="7"/>
        <v>0</v>
      </c>
      <c r="I69" s="37"/>
      <c r="J69" s="31"/>
      <c r="K69" s="9">
        <f t="shared" si="8"/>
        <v>0</v>
      </c>
      <c r="L69" s="42"/>
      <c r="M69" s="12"/>
      <c r="N69" s="9">
        <f t="shared" si="9"/>
        <v>0</v>
      </c>
      <c r="O69" s="9">
        <f t="shared" si="10"/>
        <v>0</v>
      </c>
      <c r="P69" s="11"/>
    </row>
    <row r="70" spans="2:16" x14ac:dyDescent="0.15">
      <c r="B70" s="8"/>
      <c r="C70" s="37"/>
      <c r="D70" s="31"/>
      <c r="E70" s="9">
        <f t="shared" si="6"/>
        <v>0</v>
      </c>
      <c r="F70" s="42"/>
      <c r="G70" s="12"/>
      <c r="H70" s="9">
        <f t="shared" si="7"/>
        <v>0</v>
      </c>
      <c r="I70" s="37"/>
      <c r="J70" s="31"/>
      <c r="K70" s="9">
        <f t="shared" si="8"/>
        <v>0</v>
      </c>
      <c r="L70" s="42"/>
      <c r="M70" s="12"/>
      <c r="N70" s="9">
        <f t="shared" si="9"/>
        <v>0</v>
      </c>
      <c r="O70" s="9">
        <f t="shared" si="10"/>
        <v>0</v>
      </c>
      <c r="P70" s="11"/>
    </row>
    <row r="71" spans="2:16" x14ac:dyDescent="0.15">
      <c r="B71" s="8"/>
      <c r="C71" s="37"/>
      <c r="D71" s="31"/>
      <c r="E71" s="9">
        <f t="shared" si="6"/>
        <v>0</v>
      </c>
      <c r="F71" s="42"/>
      <c r="G71" s="12"/>
      <c r="H71" s="9">
        <f t="shared" si="7"/>
        <v>0</v>
      </c>
      <c r="I71" s="37"/>
      <c r="J71" s="31"/>
      <c r="K71" s="9">
        <f t="shared" si="8"/>
        <v>0</v>
      </c>
      <c r="L71" s="42"/>
      <c r="M71" s="12"/>
      <c r="N71" s="9">
        <f t="shared" si="9"/>
        <v>0</v>
      </c>
      <c r="O71" s="9">
        <f t="shared" si="10"/>
        <v>0</v>
      </c>
      <c r="P71" s="11"/>
    </row>
    <row r="72" spans="2:16" x14ac:dyDescent="0.15">
      <c r="B72" s="8"/>
      <c r="C72" s="34"/>
      <c r="D72" s="29"/>
      <c r="E72" s="9">
        <f t="shared" si="6"/>
        <v>0</v>
      </c>
      <c r="F72" s="40"/>
      <c r="G72" s="9"/>
      <c r="H72" s="9">
        <f t="shared" si="7"/>
        <v>0</v>
      </c>
      <c r="I72" s="34"/>
      <c r="J72" s="29"/>
      <c r="K72" s="9">
        <f t="shared" si="8"/>
        <v>0</v>
      </c>
      <c r="L72" s="40"/>
      <c r="M72" s="9"/>
      <c r="N72" s="9">
        <f t="shared" si="9"/>
        <v>0</v>
      </c>
      <c r="O72" s="9">
        <f t="shared" si="10"/>
        <v>0</v>
      </c>
      <c r="P72" s="6"/>
    </row>
    <row r="73" spans="2:16" x14ac:dyDescent="0.15">
      <c r="B73" s="8"/>
      <c r="C73" s="34"/>
      <c r="D73" s="29"/>
      <c r="E73" s="9">
        <f t="shared" si="6"/>
        <v>0</v>
      </c>
      <c r="F73" s="40"/>
      <c r="G73" s="9"/>
      <c r="H73" s="9">
        <f t="shared" si="7"/>
        <v>0</v>
      </c>
      <c r="I73" s="34"/>
      <c r="J73" s="29"/>
      <c r="K73" s="9">
        <f t="shared" si="8"/>
        <v>0</v>
      </c>
      <c r="L73" s="40"/>
      <c r="M73" s="9"/>
      <c r="N73" s="9">
        <f t="shared" si="9"/>
        <v>0</v>
      </c>
      <c r="O73" s="9">
        <f t="shared" si="10"/>
        <v>0</v>
      </c>
      <c r="P73" s="6"/>
    </row>
    <row r="74" spans="2:16" x14ac:dyDescent="0.15">
      <c r="B74" s="8"/>
      <c r="C74" s="34"/>
      <c r="D74" s="29"/>
      <c r="E74" s="9">
        <f t="shared" si="6"/>
        <v>0</v>
      </c>
      <c r="F74" s="40"/>
      <c r="G74" s="9"/>
      <c r="H74" s="9">
        <f t="shared" si="7"/>
        <v>0</v>
      </c>
      <c r="I74" s="34"/>
      <c r="J74" s="29"/>
      <c r="K74" s="9">
        <f t="shared" si="8"/>
        <v>0</v>
      </c>
      <c r="L74" s="40"/>
      <c r="M74" s="9"/>
      <c r="N74" s="9">
        <f t="shared" si="9"/>
        <v>0</v>
      </c>
      <c r="O74" s="9">
        <f t="shared" si="10"/>
        <v>0</v>
      </c>
      <c r="P74" s="6"/>
    </row>
    <row r="75" spans="2:16" x14ac:dyDescent="0.15">
      <c r="B75" s="8"/>
      <c r="C75" s="34"/>
      <c r="D75" s="29"/>
      <c r="E75" s="9">
        <f t="shared" si="6"/>
        <v>0</v>
      </c>
      <c r="F75" s="40"/>
      <c r="G75" s="9"/>
      <c r="H75" s="9">
        <f t="shared" si="7"/>
        <v>0</v>
      </c>
      <c r="I75" s="34"/>
      <c r="J75" s="29"/>
      <c r="K75" s="9">
        <f t="shared" si="8"/>
        <v>0</v>
      </c>
      <c r="L75" s="40"/>
      <c r="M75" s="9"/>
      <c r="N75" s="9">
        <f t="shared" si="9"/>
        <v>0</v>
      </c>
      <c r="O75" s="9">
        <f t="shared" si="10"/>
        <v>0</v>
      </c>
      <c r="P75" s="6"/>
    </row>
    <row r="76" spans="2:16" x14ac:dyDescent="0.15">
      <c r="B76" s="8"/>
      <c r="C76" s="34"/>
      <c r="D76" s="29"/>
      <c r="E76" s="9">
        <f t="shared" si="6"/>
        <v>0</v>
      </c>
      <c r="F76" s="40"/>
      <c r="G76" s="9"/>
      <c r="H76" s="9">
        <f t="shared" si="7"/>
        <v>0</v>
      </c>
      <c r="I76" s="34"/>
      <c r="J76" s="29"/>
      <c r="K76" s="9">
        <f t="shared" si="8"/>
        <v>0</v>
      </c>
      <c r="L76" s="40"/>
      <c r="M76" s="9"/>
      <c r="N76" s="9">
        <f t="shared" si="9"/>
        <v>0</v>
      </c>
      <c r="O76" s="9">
        <f t="shared" si="10"/>
        <v>0</v>
      </c>
      <c r="P76" s="6"/>
    </row>
    <row r="77" spans="2:16" ht="14.25" thickBot="1" x14ac:dyDescent="0.2">
      <c r="B77" s="8"/>
      <c r="C77" s="38"/>
      <c r="D77" s="30"/>
      <c r="E77" s="7">
        <f t="shared" si="6"/>
        <v>0</v>
      </c>
      <c r="F77" s="41"/>
      <c r="G77" s="7"/>
      <c r="H77" s="7">
        <f t="shared" si="7"/>
        <v>0</v>
      </c>
      <c r="I77" s="38"/>
      <c r="J77" s="30"/>
      <c r="K77" s="7">
        <f t="shared" si="8"/>
        <v>0</v>
      </c>
      <c r="L77" s="41"/>
      <c r="M77" s="7"/>
      <c r="N77" s="7">
        <f t="shared" si="9"/>
        <v>0</v>
      </c>
      <c r="O77" s="7">
        <f t="shared" si="10"/>
        <v>0</v>
      </c>
      <c r="P77" s="6"/>
    </row>
    <row r="78" spans="2:16" ht="14.25" thickBot="1" x14ac:dyDescent="0.2">
      <c r="B78" s="5" t="s">
        <v>1</v>
      </c>
      <c r="C78" s="44">
        <f>SUM(C53:C77)</f>
        <v>0</v>
      </c>
      <c r="D78" s="46">
        <f>SUM(D53:D77)</f>
        <v>0</v>
      </c>
      <c r="E78" s="4">
        <f t="shared" si="6"/>
        <v>0</v>
      </c>
      <c r="F78" s="44">
        <f>SUM(F53:F77)</f>
        <v>0</v>
      </c>
      <c r="G78" s="46">
        <f>SUM(G53:G77)</f>
        <v>0</v>
      </c>
      <c r="H78" s="4">
        <f t="shared" si="7"/>
        <v>0</v>
      </c>
      <c r="I78" s="44">
        <f>SUM(I53:I77)</f>
        <v>0</v>
      </c>
      <c r="J78" s="46">
        <f>SUM(J53:J77)</f>
        <v>0</v>
      </c>
      <c r="K78" s="4">
        <f t="shared" si="8"/>
        <v>0</v>
      </c>
      <c r="L78" s="36">
        <f>SUM(L53:L77)</f>
        <v>3</v>
      </c>
      <c r="M78" s="46">
        <f>SUM(M53:M77)</f>
        <v>0</v>
      </c>
      <c r="N78" s="4">
        <f t="shared" si="9"/>
        <v>3</v>
      </c>
      <c r="O78" s="4">
        <f t="shared" si="10"/>
        <v>3</v>
      </c>
    </row>
    <row r="79" spans="2:16" ht="14.25" thickBot="1" x14ac:dyDescent="0.2">
      <c r="B79" s="3" t="s">
        <v>0</v>
      </c>
      <c r="C79" s="45">
        <f>+C52-C78</f>
        <v>0</v>
      </c>
      <c r="D79" s="47">
        <f>+D52-D78</f>
        <v>0</v>
      </c>
      <c r="E79" s="2">
        <f t="shared" si="6"/>
        <v>0</v>
      </c>
      <c r="F79" s="45">
        <f>+F52-F78</f>
        <v>0</v>
      </c>
      <c r="G79" s="47">
        <f>+G52-G78</f>
        <v>0</v>
      </c>
      <c r="H79" s="2">
        <f t="shared" si="7"/>
        <v>0</v>
      </c>
      <c r="I79" s="45">
        <f>+I52-I78</f>
        <v>0</v>
      </c>
      <c r="J79" s="47">
        <f>+J52-J78</f>
        <v>0</v>
      </c>
      <c r="K79" s="2">
        <f t="shared" si="8"/>
        <v>0</v>
      </c>
      <c r="L79" s="39">
        <f>+L52-L78</f>
        <v>0</v>
      </c>
      <c r="M79" s="47">
        <f>+M52-M78</f>
        <v>0</v>
      </c>
      <c r="N79" s="2">
        <f t="shared" si="9"/>
        <v>0</v>
      </c>
      <c r="O79" s="2">
        <f t="shared" si="10"/>
        <v>0</v>
      </c>
    </row>
  </sheetData>
  <mergeCells count="8">
    <mergeCell ref="C4:E4"/>
    <mergeCell ref="F4:H4"/>
    <mergeCell ref="I4:K4"/>
    <mergeCell ref="L4:N4"/>
    <mergeCell ref="C44:E44"/>
    <mergeCell ref="F44:H44"/>
    <mergeCell ref="I44:K44"/>
    <mergeCell ref="L44:N44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お腹すっきりﾚｷﾞﾝｽ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村田敦彦</cp:lastModifiedBy>
  <dcterms:created xsi:type="dcterms:W3CDTF">2023-04-17T08:29:26Z</dcterms:created>
  <dcterms:modified xsi:type="dcterms:W3CDTF">2026-06-11T05:34:28Z</dcterms:modified>
</cp:coreProperties>
</file>