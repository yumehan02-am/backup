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B43C5CB2-6321-411B-9B8E-42545DA1960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ネコ・星柄" sheetId="1" r:id="rId1"/>
    <sheet name="大花小花柄" sheetId="3" r:id="rId2"/>
    <sheet name="ネコ・花柄・星柄・リバティ柄4柄展開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7" i="5" l="1"/>
  <c r="Z147" i="5"/>
  <c r="W147" i="5"/>
  <c r="T147" i="5"/>
  <c r="AD147" i="5" s="1"/>
  <c r="T191" i="5"/>
  <c r="W191" i="5"/>
  <c r="AD191" i="5" s="1"/>
  <c r="Z191" i="5"/>
  <c r="AC191" i="5"/>
  <c r="T192" i="5"/>
  <c r="W192" i="5"/>
  <c r="AD192" i="5" s="1"/>
  <c r="Z192" i="5"/>
  <c r="AC192" i="5"/>
  <c r="AC196" i="5"/>
  <c r="Z196" i="5"/>
  <c r="W196" i="5"/>
  <c r="T196" i="5"/>
  <c r="AD196" i="5" s="1"/>
  <c r="AC195" i="5"/>
  <c r="Z195" i="5"/>
  <c r="W195" i="5"/>
  <c r="T195" i="5"/>
  <c r="AD195" i="5" s="1"/>
  <c r="P118" i="3"/>
  <c r="O118" i="3"/>
  <c r="M118" i="3"/>
  <c r="L118" i="3"/>
  <c r="T116" i="5"/>
  <c r="W116" i="5"/>
  <c r="T144" i="5"/>
  <c r="W144" i="5"/>
  <c r="AD144" i="5" s="1"/>
  <c r="Z144" i="5"/>
  <c r="AC144" i="5"/>
  <c r="T145" i="5"/>
  <c r="W145" i="5"/>
  <c r="Z145" i="5"/>
  <c r="AD145" i="5" s="1"/>
  <c r="AC145" i="5"/>
  <c r="T146" i="5"/>
  <c r="W146" i="5"/>
  <c r="AD146" i="5" s="1"/>
  <c r="Z146" i="5"/>
  <c r="AC146" i="5"/>
  <c r="T148" i="5"/>
  <c r="W148" i="5"/>
  <c r="AD148" i="5" s="1"/>
  <c r="Z148" i="5"/>
  <c r="AC148" i="5"/>
  <c r="T149" i="5"/>
  <c r="W149" i="5"/>
  <c r="AD149" i="5" s="1"/>
  <c r="Z149" i="5"/>
  <c r="AC149" i="5"/>
  <c r="T150" i="5"/>
  <c r="W150" i="5"/>
  <c r="AD150" i="5" s="1"/>
  <c r="Z150" i="5"/>
  <c r="AC150" i="5"/>
  <c r="T151" i="5"/>
  <c r="W151" i="5"/>
  <c r="Z151" i="5"/>
  <c r="AC151" i="5"/>
  <c r="AD151" i="5"/>
  <c r="T152" i="5"/>
  <c r="W152" i="5"/>
  <c r="AD152" i="5" s="1"/>
  <c r="Z152" i="5"/>
  <c r="AC152" i="5"/>
  <c r="T153" i="5"/>
  <c r="W153" i="5"/>
  <c r="AD153" i="5" s="1"/>
  <c r="Z153" i="5"/>
  <c r="AC153" i="5"/>
  <c r="T154" i="5"/>
  <c r="W154" i="5"/>
  <c r="AD154" i="5" s="1"/>
  <c r="Z154" i="5"/>
  <c r="AC154" i="5"/>
  <c r="T155" i="5"/>
  <c r="W155" i="5"/>
  <c r="Z155" i="5"/>
  <c r="AC155" i="5"/>
  <c r="AD155" i="5"/>
  <c r="T156" i="5"/>
  <c r="W156" i="5"/>
  <c r="AD156" i="5" s="1"/>
  <c r="Z156" i="5"/>
  <c r="AC156" i="5"/>
  <c r="AC194" i="5"/>
  <c r="Z194" i="5"/>
  <c r="W194" i="5"/>
  <c r="T194" i="5"/>
  <c r="AD194" i="5" s="1"/>
  <c r="AC193" i="5"/>
  <c r="Z193" i="5"/>
  <c r="W193" i="5"/>
  <c r="T193" i="5"/>
  <c r="T184" i="5"/>
  <c r="AD184" i="5" s="1"/>
  <c r="W184" i="5"/>
  <c r="Z184" i="5"/>
  <c r="AC184" i="5"/>
  <c r="T185" i="5"/>
  <c r="W185" i="5"/>
  <c r="AD185" i="5" s="1"/>
  <c r="Z185" i="5"/>
  <c r="AC185" i="5"/>
  <c r="T186" i="5"/>
  <c r="W186" i="5"/>
  <c r="Z186" i="5"/>
  <c r="AC186" i="5"/>
  <c r="AD186" i="5"/>
  <c r="T187" i="5"/>
  <c r="AD187" i="5" s="1"/>
  <c r="W187" i="5"/>
  <c r="Z187" i="5"/>
  <c r="AC187" i="5"/>
  <c r="T188" i="5"/>
  <c r="AD188" i="5" s="1"/>
  <c r="W188" i="5"/>
  <c r="Z188" i="5"/>
  <c r="AC188" i="5"/>
  <c r="T189" i="5"/>
  <c r="AD189" i="5" s="1"/>
  <c r="W189" i="5"/>
  <c r="Z189" i="5"/>
  <c r="AC189" i="5"/>
  <c r="T190" i="5"/>
  <c r="AD190" i="5" s="1"/>
  <c r="W190" i="5"/>
  <c r="Z190" i="5"/>
  <c r="AC190" i="5"/>
  <c r="T167" i="5"/>
  <c r="W167" i="5"/>
  <c r="Z167" i="5"/>
  <c r="AC167" i="5"/>
  <c r="AD167" i="5"/>
  <c r="T168" i="5"/>
  <c r="W168" i="5"/>
  <c r="Z168" i="5"/>
  <c r="AC168" i="5"/>
  <c r="T169" i="5"/>
  <c r="W169" i="5"/>
  <c r="Z169" i="5"/>
  <c r="AC169" i="5"/>
  <c r="AD169" i="5"/>
  <c r="AB197" i="5"/>
  <c r="AA197" i="5"/>
  <c r="Y197" i="5"/>
  <c r="X197" i="5"/>
  <c r="V197" i="5"/>
  <c r="U197" i="5"/>
  <c r="S197" i="5"/>
  <c r="R197" i="5"/>
  <c r="N197" i="5"/>
  <c r="M197" i="5"/>
  <c r="L197" i="5"/>
  <c r="K197" i="5"/>
  <c r="J197" i="5"/>
  <c r="I197" i="5"/>
  <c r="G197" i="5"/>
  <c r="F197" i="5"/>
  <c r="H197" i="5" s="1"/>
  <c r="D197" i="5"/>
  <c r="C197" i="5"/>
  <c r="E197" i="5" s="1"/>
  <c r="O197" i="5" s="1"/>
  <c r="N196" i="5"/>
  <c r="K196" i="5"/>
  <c r="O196" i="5" s="1"/>
  <c r="H196" i="5"/>
  <c r="E196" i="5"/>
  <c r="O195" i="5"/>
  <c r="N195" i="5"/>
  <c r="K195" i="5"/>
  <c r="H195" i="5"/>
  <c r="E195" i="5"/>
  <c r="N194" i="5"/>
  <c r="K194" i="5"/>
  <c r="H194" i="5"/>
  <c r="E194" i="5"/>
  <c r="O194" i="5" s="1"/>
  <c r="N193" i="5"/>
  <c r="K193" i="5"/>
  <c r="H193" i="5"/>
  <c r="E193" i="5"/>
  <c r="O193" i="5" s="1"/>
  <c r="N192" i="5"/>
  <c r="K192" i="5"/>
  <c r="O192" i="5" s="1"/>
  <c r="H192" i="5"/>
  <c r="E192" i="5"/>
  <c r="O191" i="5"/>
  <c r="N191" i="5"/>
  <c r="K191" i="5"/>
  <c r="H191" i="5"/>
  <c r="E191" i="5"/>
  <c r="N190" i="5"/>
  <c r="K190" i="5"/>
  <c r="H190" i="5"/>
  <c r="E190" i="5"/>
  <c r="O190" i="5" s="1"/>
  <c r="N189" i="5"/>
  <c r="K189" i="5"/>
  <c r="H189" i="5"/>
  <c r="E189" i="5"/>
  <c r="O189" i="5" s="1"/>
  <c r="N188" i="5"/>
  <c r="K188" i="5"/>
  <c r="O188" i="5" s="1"/>
  <c r="H188" i="5"/>
  <c r="E188" i="5"/>
  <c r="O187" i="5"/>
  <c r="N187" i="5"/>
  <c r="K187" i="5"/>
  <c r="H187" i="5"/>
  <c r="E187" i="5"/>
  <c r="N186" i="5"/>
  <c r="K186" i="5"/>
  <c r="H186" i="5"/>
  <c r="E186" i="5"/>
  <c r="O186" i="5" s="1"/>
  <c r="N185" i="5"/>
  <c r="K185" i="5"/>
  <c r="H185" i="5"/>
  <c r="E185" i="5"/>
  <c r="O185" i="5" s="1"/>
  <c r="N184" i="5"/>
  <c r="K184" i="5"/>
  <c r="O184" i="5" s="1"/>
  <c r="H184" i="5"/>
  <c r="E184" i="5"/>
  <c r="AC183" i="5"/>
  <c r="Z183" i="5"/>
  <c r="W183" i="5"/>
  <c r="T183" i="5"/>
  <c r="AD183" i="5" s="1"/>
  <c r="O183" i="5"/>
  <c r="N183" i="5"/>
  <c r="K183" i="5"/>
  <c r="H183" i="5"/>
  <c r="E183" i="5"/>
  <c r="AD182" i="5"/>
  <c r="AC182" i="5"/>
  <c r="Z182" i="5"/>
  <c r="W182" i="5"/>
  <c r="T182" i="5"/>
  <c r="N182" i="5"/>
  <c r="K182" i="5"/>
  <c r="H182" i="5"/>
  <c r="E182" i="5"/>
  <c r="O182" i="5" s="1"/>
  <c r="AC181" i="5"/>
  <c r="AD181" i="5" s="1"/>
  <c r="Z181" i="5"/>
  <c r="W181" i="5"/>
  <c r="T181" i="5"/>
  <c r="N181" i="5"/>
  <c r="K181" i="5"/>
  <c r="H181" i="5"/>
  <c r="E181" i="5"/>
  <c r="O181" i="5" s="1"/>
  <c r="AC180" i="5"/>
  <c r="Z180" i="5"/>
  <c r="W180" i="5"/>
  <c r="T180" i="5"/>
  <c r="AD180" i="5" s="1"/>
  <c r="N180" i="5"/>
  <c r="K180" i="5"/>
  <c r="O180" i="5" s="1"/>
  <c r="H180" i="5"/>
  <c r="E180" i="5"/>
  <c r="AC179" i="5"/>
  <c r="Z179" i="5"/>
  <c r="W179" i="5"/>
  <c r="T179" i="5"/>
  <c r="AD179" i="5" s="1"/>
  <c r="O179" i="5"/>
  <c r="N179" i="5"/>
  <c r="K179" i="5"/>
  <c r="H179" i="5"/>
  <c r="E179" i="5"/>
  <c r="AD178" i="5"/>
  <c r="AC178" i="5"/>
  <c r="Z178" i="5"/>
  <c r="W178" i="5"/>
  <c r="T178" i="5"/>
  <c r="N178" i="5"/>
  <c r="K178" i="5"/>
  <c r="H178" i="5"/>
  <c r="E178" i="5"/>
  <c r="O178" i="5" s="1"/>
  <c r="AC177" i="5"/>
  <c r="AD177" i="5" s="1"/>
  <c r="Z177" i="5"/>
  <c r="W177" i="5"/>
  <c r="T177" i="5"/>
  <c r="N177" i="5"/>
  <c r="K177" i="5"/>
  <c r="H177" i="5"/>
  <c r="E177" i="5"/>
  <c r="O177" i="5" s="1"/>
  <c r="AC176" i="5"/>
  <c r="Z176" i="5"/>
  <c r="W176" i="5"/>
  <c r="T176" i="5"/>
  <c r="AD176" i="5" s="1"/>
  <c r="N176" i="5"/>
  <c r="K176" i="5"/>
  <c r="O176" i="5" s="1"/>
  <c r="H176" i="5"/>
  <c r="E176" i="5"/>
  <c r="AC175" i="5"/>
  <c r="Z175" i="5"/>
  <c r="W175" i="5"/>
  <c r="T175" i="5"/>
  <c r="AD175" i="5" s="1"/>
  <c r="O175" i="5"/>
  <c r="N175" i="5"/>
  <c r="K175" i="5"/>
  <c r="H175" i="5"/>
  <c r="E175" i="5"/>
  <c r="AD174" i="5"/>
  <c r="AC174" i="5"/>
  <c r="Z174" i="5"/>
  <c r="W174" i="5"/>
  <c r="T174" i="5"/>
  <c r="N174" i="5"/>
  <c r="K174" i="5"/>
  <c r="H174" i="5"/>
  <c r="E174" i="5"/>
  <c r="O174" i="5" s="1"/>
  <c r="AC173" i="5"/>
  <c r="AD173" i="5" s="1"/>
  <c r="Z173" i="5"/>
  <c r="W173" i="5"/>
  <c r="T173" i="5"/>
  <c r="N173" i="5"/>
  <c r="K173" i="5"/>
  <c r="H173" i="5"/>
  <c r="E173" i="5"/>
  <c r="O173" i="5" s="1"/>
  <c r="AC172" i="5"/>
  <c r="Z172" i="5"/>
  <c r="W172" i="5"/>
  <c r="T172" i="5"/>
  <c r="AD172" i="5" s="1"/>
  <c r="N172" i="5"/>
  <c r="K172" i="5"/>
  <c r="O172" i="5" s="1"/>
  <c r="H172" i="5"/>
  <c r="E172" i="5"/>
  <c r="AD170" i="5"/>
  <c r="AC170" i="5"/>
  <c r="Z170" i="5"/>
  <c r="W170" i="5"/>
  <c r="T170" i="5"/>
  <c r="N170" i="5"/>
  <c r="K170" i="5"/>
  <c r="H170" i="5"/>
  <c r="E170" i="5"/>
  <c r="O170" i="5" s="1"/>
  <c r="N169" i="5"/>
  <c r="K169" i="5"/>
  <c r="H169" i="5"/>
  <c r="E169" i="5"/>
  <c r="O169" i="5" s="1"/>
  <c r="N168" i="5"/>
  <c r="K168" i="5"/>
  <c r="O168" i="5" s="1"/>
  <c r="H168" i="5"/>
  <c r="E168" i="5"/>
  <c r="O167" i="5"/>
  <c r="N167" i="5"/>
  <c r="K167" i="5"/>
  <c r="H167" i="5"/>
  <c r="E167" i="5"/>
  <c r="AD166" i="5"/>
  <c r="AC166" i="5"/>
  <c r="Z166" i="5"/>
  <c r="W166" i="5"/>
  <c r="T166" i="5"/>
  <c r="N166" i="5"/>
  <c r="K166" i="5"/>
  <c r="H166" i="5"/>
  <c r="E166" i="5"/>
  <c r="O166" i="5" s="1"/>
  <c r="AC129" i="5"/>
  <c r="Z129" i="5"/>
  <c r="W129" i="5"/>
  <c r="T129" i="5"/>
  <c r="AD129" i="5" s="1"/>
  <c r="T128" i="5"/>
  <c r="W128" i="5"/>
  <c r="Z128" i="5"/>
  <c r="AC128" i="5"/>
  <c r="AD128" i="5" s="1"/>
  <c r="AC127" i="5"/>
  <c r="Z127" i="5"/>
  <c r="W127" i="5"/>
  <c r="T127" i="5"/>
  <c r="AD127" i="5" s="1"/>
  <c r="Z115" i="5"/>
  <c r="W115" i="5"/>
  <c r="T115" i="5"/>
  <c r="T76" i="5"/>
  <c r="AC113" i="5"/>
  <c r="Z113" i="5"/>
  <c r="W113" i="5"/>
  <c r="T113" i="5"/>
  <c r="AC112" i="5"/>
  <c r="Z112" i="5"/>
  <c r="W112" i="5"/>
  <c r="T112" i="5"/>
  <c r="T130" i="5"/>
  <c r="W130" i="5"/>
  <c r="Z130" i="5"/>
  <c r="AC130" i="5"/>
  <c r="T30" i="5"/>
  <c r="W30" i="5"/>
  <c r="AD30" i="5" s="1"/>
  <c r="Z30" i="5"/>
  <c r="AC30" i="5"/>
  <c r="AC53" i="5"/>
  <c r="Z53" i="5"/>
  <c r="W53" i="5"/>
  <c r="T53" i="5"/>
  <c r="AD53" i="5" s="1"/>
  <c r="T90" i="5"/>
  <c r="W90" i="5"/>
  <c r="Z90" i="5"/>
  <c r="AC90" i="5"/>
  <c r="AD90" i="5" s="1"/>
  <c r="V37" i="5"/>
  <c r="M157" i="5"/>
  <c r="N157" i="5" s="1"/>
  <c r="L157" i="5"/>
  <c r="J157" i="5"/>
  <c r="I157" i="5"/>
  <c r="K157" i="5" s="1"/>
  <c r="G157" i="5"/>
  <c r="F157" i="5"/>
  <c r="H157" i="5" s="1"/>
  <c r="E157" i="5"/>
  <c r="D157" i="5"/>
  <c r="C157" i="5"/>
  <c r="N156" i="5"/>
  <c r="K156" i="5"/>
  <c r="H156" i="5"/>
  <c r="E156" i="5"/>
  <c r="O156" i="5" s="1"/>
  <c r="N155" i="5"/>
  <c r="K155" i="5"/>
  <c r="H155" i="5"/>
  <c r="E155" i="5"/>
  <c r="O155" i="5" s="1"/>
  <c r="N154" i="5"/>
  <c r="K154" i="5"/>
  <c r="H154" i="5"/>
  <c r="E154" i="5"/>
  <c r="O154" i="5" s="1"/>
  <c r="N153" i="5"/>
  <c r="K153" i="5"/>
  <c r="H153" i="5"/>
  <c r="E153" i="5"/>
  <c r="O153" i="5" s="1"/>
  <c r="N152" i="5"/>
  <c r="K152" i="5"/>
  <c r="H152" i="5"/>
  <c r="E152" i="5"/>
  <c r="O152" i="5" s="1"/>
  <c r="N151" i="5"/>
  <c r="K151" i="5"/>
  <c r="H151" i="5"/>
  <c r="E151" i="5"/>
  <c r="O151" i="5" s="1"/>
  <c r="N150" i="5"/>
  <c r="K150" i="5"/>
  <c r="H150" i="5"/>
  <c r="E150" i="5"/>
  <c r="O150" i="5" s="1"/>
  <c r="N149" i="5"/>
  <c r="K149" i="5"/>
  <c r="H149" i="5"/>
  <c r="E149" i="5"/>
  <c r="O149" i="5" s="1"/>
  <c r="N148" i="5"/>
  <c r="K148" i="5"/>
  <c r="H148" i="5"/>
  <c r="E148" i="5"/>
  <c r="O148" i="5" s="1"/>
  <c r="N147" i="5"/>
  <c r="K147" i="5"/>
  <c r="H147" i="5"/>
  <c r="E147" i="5"/>
  <c r="O147" i="5" s="1"/>
  <c r="N146" i="5"/>
  <c r="K146" i="5"/>
  <c r="H146" i="5"/>
  <c r="E146" i="5"/>
  <c r="O146" i="5" s="1"/>
  <c r="N145" i="5"/>
  <c r="K145" i="5"/>
  <c r="H145" i="5"/>
  <c r="E145" i="5"/>
  <c r="O145" i="5" s="1"/>
  <c r="N144" i="5"/>
  <c r="K144" i="5"/>
  <c r="H144" i="5"/>
  <c r="E144" i="5"/>
  <c r="O144" i="5" s="1"/>
  <c r="N143" i="5"/>
  <c r="K143" i="5"/>
  <c r="H143" i="5"/>
  <c r="E143" i="5"/>
  <c r="O143" i="5" s="1"/>
  <c r="N142" i="5"/>
  <c r="K142" i="5"/>
  <c r="H142" i="5"/>
  <c r="E142" i="5"/>
  <c r="O142" i="5" s="1"/>
  <c r="N141" i="5"/>
  <c r="K141" i="5"/>
  <c r="H141" i="5"/>
  <c r="E141" i="5"/>
  <c r="O141" i="5" s="1"/>
  <c r="N140" i="5"/>
  <c r="K140" i="5"/>
  <c r="H140" i="5"/>
  <c r="E140" i="5"/>
  <c r="O140" i="5" s="1"/>
  <c r="N139" i="5"/>
  <c r="K139" i="5"/>
  <c r="H139" i="5"/>
  <c r="E139" i="5"/>
  <c r="O139" i="5" s="1"/>
  <c r="N138" i="5"/>
  <c r="K138" i="5"/>
  <c r="H138" i="5"/>
  <c r="E138" i="5"/>
  <c r="O138" i="5" s="1"/>
  <c r="N137" i="5"/>
  <c r="K137" i="5"/>
  <c r="H137" i="5"/>
  <c r="E137" i="5"/>
  <c r="O137" i="5" s="1"/>
  <c r="N136" i="5"/>
  <c r="K136" i="5"/>
  <c r="H136" i="5"/>
  <c r="E136" i="5"/>
  <c r="O136" i="5" s="1"/>
  <c r="N135" i="5"/>
  <c r="K135" i="5"/>
  <c r="H135" i="5"/>
  <c r="E135" i="5"/>
  <c r="O135" i="5" s="1"/>
  <c r="N134" i="5"/>
  <c r="K134" i="5"/>
  <c r="H134" i="5"/>
  <c r="E134" i="5"/>
  <c r="O134" i="5" s="1"/>
  <c r="N133" i="5"/>
  <c r="K133" i="5"/>
  <c r="H133" i="5"/>
  <c r="E133" i="5"/>
  <c r="O133" i="5" s="1"/>
  <c r="N132" i="5"/>
  <c r="K132" i="5"/>
  <c r="H132" i="5"/>
  <c r="E132" i="5"/>
  <c r="O132" i="5" s="1"/>
  <c r="N130" i="5"/>
  <c r="K130" i="5"/>
  <c r="H130" i="5"/>
  <c r="E130" i="5"/>
  <c r="O130" i="5" s="1"/>
  <c r="N129" i="5"/>
  <c r="K129" i="5"/>
  <c r="H129" i="5"/>
  <c r="E129" i="5"/>
  <c r="O129" i="5" s="1"/>
  <c r="N128" i="5"/>
  <c r="K128" i="5"/>
  <c r="H128" i="5"/>
  <c r="E128" i="5"/>
  <c r="O128" i="5" s="1"/>
  <c r="N127" i="5"/>
  <c r="K127" i="5"/>
  <c r="H127" i="5"/>
  <c r="E127" i="5"/>
  <c r="O127" i="5" s="1"/>
  <c r="N126" i="5"/>
  <c r="K126" i="5"/>
  <c r="H126" i="5"/>
  <c r="E126" i="5"/>
  <c r="O126" i="5" s="1"/>
  <c r="T106" i="5"/>
  <c r="W106" i="5"/>
  <c r="Z106" i="5"/>
  <c r="AC106" i="5"/>
  <c r="AD106" i="5" s="1"/>
  <c r="T107" i="5"/>
  <c r="W107" i="5"/>
  <c r="Z107" i="5"/>
  <c r="AD107" i="5" s="1"/>
  <c r="AC107" i="5"/>
  <c r="T108" i="5"/>
  <c r="W108" i="5"/>
  <c r="AD108" i="5" s="1"/>
  <c r="Z108" i="5"/>
  <c r="AC108" i="5"/>
  <c r="T109" i="5"/>
  <c r="W109" i="5"/>
  <c r="Z109" i="5"/>
  <c r="AC109" i="5"/>
  <c r="T110" i="5"/>
  <c r="W110" i="5"/>
  <c r="Z110" i="5"/>
  <c r="AC110" i="5"/>
  <c r="T111" i="5"/>
  <c r="W111" i="5"/>
  <c r="Z111" i="5"/>
  <c r="AD111" i="5" s="1"/>
  <c r="AC111" i="5"/>
  <c r="AC116" i="5"/>
  <c r="Z116" i="5"/>
  <c r="AC115" i="5"/>
  <c r="AC114" i="5"/>
  <c r="Z114" i="5"/>
  <c r="W114" i="5"/>
  <c r="T114" i="5"/>
  <c r="AB157" i="5"/>
  <c r="AA157" i="5"/>
  <c r="Y157" i="5"/>
  <c r="X157" i="5"/>
  <c r="V157" i="5"/>
  <c r="U157" i="5"/>
  <c r="S157" i="5"/>
  <c r="R157" i="5"/>
  <c r="AC143" i="5"/>
  <c r="Z143" i="5"/>
  <c r="W143" i="5"/>
  <c r="T143" i="5"/>
  <c r="AD143" i="5" s="1"/>
  <c r="AC142" i="5"/>
  <c r="Z142" i="5"/>
  <c r="W142" i="5"/>
  <c r="T142" i="5"/>
  <c r="AD142" i="5" s="1"/>
  <c r="AC141" i="5"/>
  <c r="Z141" i="5"/>
  <c r="W141" i="5"/>
  <c r="T141" i="5"/>
  <c r="AD141" i="5" s="1"/>
  <c r="AC140" i="5"/>
  <c r="Z140" i="5"/>
  <c r="W140" i="5"/>
  <c r="T140" i="5"/>
  <c r="AD140" i="5" s="1"/>
  <c r="AC139" i="5"/>
  <c r="Z139" i="5"/>
  <c r="W139" i="5"/>
  <c r="T139" i="5"/>
  <c r="AD139" i="5" s="1"/>
  <c r="AC138" i="5"/>
  <c r="Z138" i="5"/>
  <c r="W138" i="5"/>
  <c r="T138" i="5"/>
  <c r="AD138" i="5" s="1"/>
  <c r="AC137" i="5"/>
  <c r="Z137" i="5"/>
  <c r="W137" i="5"/>
  <c r="T137" i="5"/>
  <c r="AD137" i="5" s="1"/>
  <c r="AC136" i="5"/>
  <c r="Z136" i="5"/>
  <c r="W136" i="5"/>
  <c r="T136" i="5"/>
  <c r="AD136" i="5" s="1"/>
  <c r="AC135" i="5"/>
  <c r="Z135" i="5"/>
  <c r="W135" i="5"/>
  <c r="T135" i="5"/>
  <c r="AD135" i="5" s="1"/>
  <c r="AC134" i="5"/>
  <c r="Z134" i="5"/>
  <c r="W134" i="5"/>
  <c r="T134" i="5"/>
  <c r="AD134" i="5" s="1"/>
  <c r="AC133" i="5"/>
  <c r="Z133" i="5"/>
  <c r="W133" i="5"/>
  <c r="T133" i="5"/>
  <c r="AD133" i="5" s="1"/>
  <c r="AC132" i="5"/>
  <c r="Z132" i="5"/>
  <c r="W132" i="5"/>
  <c r="T132" i="5"/>
  <c r="AD132" i="5" s="1"/>
  <c r="AC126" i="5"/>
  <c r="Z126" i="5"/>
  <c r="W126" i="5"/>
  <c r="T126" i="5"/>
  <c r="AD126" i="5" s="1"/>
  <c r="Z26" i="5"/>
  <c r="AC73" i="5"/>
  <c r="Z73" i="5"/>
  <c r="W73" i="5"/>
  <c r="T73" i="5"/>
  <c r="AD73" i="5" s="1"/>
  <c r="T21" i="5"/>
  <c r="N281" i="1"/>
  <c r="Q281" i="1"/>
  <c r="Q258" i="1"/>
  <c r="N258" i="1"/>
  <c r="R258" i="1" s="1"/>
  <c r="Z75" i="5"/>
  <c r="W75" i="5"/>
  <c r="T75" i="5"/>
  <c r="AA37" i="5"/>
  <c r="T31" i="5"/>
  <c r="W31" i="5"/>
  <c r="AD31" i="5" s="1"/>
  <c r="Z31" i="5"/>
  <c r="AC31" i="5"/>
  <c r="T32" i="5"/>
  <c r="W32" i="5"/>
  <c r="Z32" i="5"/>
  <c r="AC32" i="5"/>
  <c r="T33" i="5"/>
  <c r="W33" i="5"/>
  <c r="Z33" i="5"/>
  <c r="AC33" i="5"/>
  <c r="T34" i="5"/>
  <c r="W34" i="5"/>
  <c r="Z34" i="5"/>
  <c r="AC34" i="5"/>
  <c r="M117" i="5"/>
  <c r="N117" i="5" s="1"/>
  <c r="L117" i="5"/>
  <c r="J117" i="5"/>
  <c r="I117" i="5"/>
  <c r="K117" i="5" s="1"/>
  <c r="G117" i="5"/>
  <c r="F117" i="5"/>
  <c r="H117" i="5" s="1"/>
  <c r="E117" i="5"/>
  <c r="D117" i="5"/>
  <c r="C117" i="5"/>
  <c r="N116" i="5"/>
  <c r="K116" i="5"/>
  <c r="H116" i="5"/>
  <c r="E116" i="5"/>
  <c r="O116" i="5" s="1"/>
  <c r="N115" i="5"/>
  <c r="K115" i="5"/>
  <c r="H115" i="5"/>
  <c r="E115" i="5"/>
  <c r="O115" i="5" s="1"/>
  <c r="N114" i="5"/>
  <c r="K114" i="5"/>
  <c r="H114" i="5"/>
  <c r="E114" i="5"/>
  <c r="O114" i="5" s="1"/>
  <c r="N113" i="5"/>
  <c r="K113" i="5"/>
  <c r="H113" i="5"/>
  <c r="E113" i="5"/>
  <c r="O113" i="5" s="1"/>
  <c r="N112" i="5"/>
  <c r="K112" i="5"/>
  <c r="H112" i="5"/>
  <c r="E112" i="5"/>
  <c r="O112" i="5" s="1"/>
  <c r="N111" i="5"/>
  <c r="K111" i="5"/>
  <c r="H111" i="5"/>
  <c r="E111" i="5"/>
  <c r="O111" i="5" s="1"/>
  <c r="N110" i="5"/>
  <c r="K110" i="5"/>
  <c r="H110" i="5"/>
  <c r="E110" i="5"/>
  <c r="O110" i="5" s="1"/>
  <c r="N109" i="5"/>
  <c r="K109" i="5"/>
  <c r="H109" i="5"/>
  <c r="E109" i="5"/>
  <c r="O109" i="5" s="1"/>
  <c r="N108" i="5"/>
  <c r="K108" i="5"/>
  <c r="H108" i="5"/>
  <c r="E108" i="5"/>
  <c r="O108" i="5" s="1"/>
  <c r="N107" i="5"/>
  <c r="K107" i="5"/>
  <c r="H107" i="5"/>
  <c r="E107" i="5"/>
  <c r="O107" i="5" s="1"/>
  <c r="N106" i="5"/>
  <c r="K106" i="5"/>
  <c r="H106" i="5"/>
  <c r="E106" i="5"/>
  <c r="O106" i="5" s="1"/>
  <c r="N105" i="5"/>
  <c r="K105" i="5"/>
  <c r="H105" i="5"/>
  <c r="E105" i="5"/>
  <c r="O105" i="5" s="1"/>
  <c r="N104" i="5"/>
  <c r="K104" i="5"/>
  <c r="H104" i="5"/>
  <c r="E104" i="5"/>
  <c r="O104" i="5" s="1"/>
  <c r="N103" i="5"/>
  <c r="K103" i="5"/>
  <c r="H103" i="5"/>
  <c r="E103" i="5"/>
  <c r="O103" i="5" s="1"/>
  <c r="N102" i="5"/>
  <c r="K102" i="5"/>
  <c r="H102" i="5"/>
  <c r="E102" i="5"/>
  <c r="O102" i="5" s="1"/>
  <c r="N101" i="5"/>
  <c r="K101" i="5"/>
  <c r="H101" i="5"/>
  <c r="E101" i="5"/>
  <c r="O101" i="5" s="1"/>
  <c r="N100" i="5"/>
  <c r="K100" i="5"/>
  <c r="H100" i="5"/>
  <c r="E100" i="5"/>
  <c r="O100" i="5" s="1"/>
  <c r="N99" i="5"/>
  <c r="K99" i="5"/>
  <c r="H99" i="5"/>
  <c r="E99" i="5"/>
  <c r="O99" i="5" s="1"/>
  <c r="N98" i="5"/>
  <c r="K98" i="5"/>
  <c r="H98" i="5"/>
  <c r="E98" i="5"/>
  <c r="O98" i="5" s="1"/>
  <c r="N97" i="5"/>
  <c r="K97" i="5"/>
  <c r="H97" i="5"/>
  <c r="E97" i="5"/>
  <c r="O97" i="5" s="1"/>
  <c r="N96" i="5"/>
  <c r="K96" i="5"/>
  <c r="H96" i="5"/>
  <c r="E96" i="5"/>
  <c r="O96" i="5" s="1"/>
  <c r="N95" i="5"/>
  <c r="K95" i="5"/>
  <c r="H95" i="5"/>
  <c r="E95" i="5"/>
  <c r="O95" i="5" s="1"/>
  <c r="N94" i="5"/>
  <c r="K94" i="5"/>
  <c r="H94" i="5"/>
  <c r="E94" i="5"/>
  <c r="O94" i="5" s="1"/>
  <c r="N93" i="5"/>
  <c r="K93" i="5"/>
  <c r="H93" i="5"/>
  <c r="E93" i="5"/>
  <c r="O93" i="5" s="1"/>
  <c r="N92" i="5"/>
  <c r="K92" i="5"/>
  <c r="H92" i="5"/>
  <c r="E92" i="5"/>
  <c r="O92" i="5" s="1"/>
  <c r="N90" i="5"/>
  <c r="K90" i="5"/>
  <c r="H90" i="5"/>
  <c r="E90" i="5"/>
  <c r="O90" i="5" s="1"/>
  <c r="N89" i="5"/>
  <c r="K89" i="5"/>
  <c r="H89" i="5"/>
  <c r="E89" i="5"/>
  <c r="O89" i="5" s="1"/>
  <c r="N88" i="5"/>
  <c r="K88" i="5"/>
  <c r="H88" i="5"/>
  <c r="E88" i="5"/>
  <c r="O88" i="5" s="1"/>
  <c r="N87" i="5"/>
  <c r="K87" i="5"/>
  <c r="H87" i="5"/>
  <c r="E87" i="5"/>
  <c r="O87" i="5" s="1"/>
  <c r="N86" i="5"/>
  <c r="K86" i="5"/>
  <c r="H86" i="5"/>
  <c r="E86" i="5"/>
  <c r="O86" i="5" s="1"/>
  <c r="T48" i="5"/>
  <c r="W48" i="5"/>
  <c r="AD48" i="5" s="1"/>
  <c r="Z48" i="5"/>
  <c r="AC48" i="5"/>
  <c r="AC87" i="5"/>
  <c r="Z87" i="5"/>
  <c r="W87" i="5"/>
  <c r="T87" i="5"/>
  <c r="AD87" i="5" s="1"/>
  <c r="T74" i="5"/>
  <c r="W74" i="5"/>
  <c r="Z74" i="5"/>
  <c r="AC74" i="5"/>
  <c r="AC76" i="5"/>
  <c r="Z76" i="5"/>
  <c r="W76" i="5"/>
  <c r="AC75" i="5"/>
  <c r="T88" i="5"/>
  <c r="W88" i="5"/>
  <c r="Z88" i="5"/>
  <c r="AC88" i="5"/>
  <c r="AB117" i="5"/>
  <c r="AA117" i="5"/>
  <c r="Y117" i="5"/>
  <c r="X117" i="5"/>
  <c r="V117" i="5"/>
  <c r="U117" i="5"/>
  <c r="R117" i="5"/>
  <c r="AC105" i="5"/>
  <c r="Z105" i="5"/>
  <c r="W105" i="5"/>
  <c r="T105" i="5"/>
  <c r="AC104" i="5"/>
  <c r="Z104" i="5"/>
  <c r="W104" i="5"/>
  <c r="T104" i="5"/>
  <c r="AC103" i="5"/>
  <c r="Z103" i="5"/>
  <c r="W103" i="5"/>
  <c r="T103" i="5"/>
  <c r="AD103" i="5" s="1"/>
  <c r="AC102" i="5"/>
  <c r="Z102" i="5"/>
  <c r="W102" i="5"/>
  <c r="T102" i="5"/>
  <c r="AC101" i="5"/>
  <c r="Z101" i="5"/>
  <c r="W101" i="5"/>
  <c r="T101" i="5"/>
  <c r="AD101" i="5" s="1"/>
  <c r="AC100" i="5"/>
  <c r="Z100" i="5"/>
  <c r="W100" i="5"/>
  <c r="T100" i="5"/>
  <c r="AC99" i="5"/>
  <c r="Z99" i="5"/>
  <c r="W99" i="5"/>
  <c r="T99" i="5"/>
  <c r="AD99" i="5" s="1"/>
  <c r="AC98" i="5"/>
  <c r="Z98" i="5"/>
  <c r="W98" i="5"/>
  <c r="T98" i="5"/>
  <c r="AD98" i="5" s="1"/>
  <c r="AC97" i="5"/>
  <c r="Z97" i="5"/>
  <c r="W97" i="5"/>
  <c r="T97" i="5"/>
  <c r="AD97" i="5" s="1"/>
  <c r="AC96" i="5"/>
  <c r="Z96" i="5"/>
  <c r="W96" i="5"/>
  <c r="T96" i="5"/>
  <c r="AD96" i="5" s="1"/>
  <c r="AC95" i="5"/>
  <c r="Z95" i="5"/>
  <c r="W95" i="5"/>
  <c r="T95" i="5"/>
  <c r="AD95" i="5" s="1"/>
  <c r="AC94" i="5"/>
  <c r="Z94" i="5"/>
  <c r="W94" i="5"/>
  <c r="T94" i="5"/>
  <c r="AD94" i="5" s="1"/>
  <c r="AC93" i="5"/>
  <c r="Z93" i="5"/>
  <c r="W93" i="5"/>
  <c r="T93" i="5"/>
  <c r="AD93" i="5" s="1"/>
  <c r="AC92" i="5"/>
  <c r="Z92" i="5"/>
  <c r="W92" i="5"/>
  <c r="T92" i="5"/>
  <c r="AD92" i="5" s="1"/>
  <c r="AC89" i="5"/>
  <c r="Z89" i="5"/>
  <c r="W89" i="5"/>
  <c r="T89" i="5"/>
  <c r="AD89" i="5" s="1"/>
  <c r="AC86" i="5"/>
  <c r="Z86" i="5"/>
  <c r="W86" i="5"/>
  <c r="T86" i="5"/>
  <c r="AD86" i="5" s="1"/>
  <c r="T8" i="5"/>
  <c r="W8" i="5"/>
  <c r="Z8" i="5"/>
  <c r="AC8" i="5"/>
  <c r="AD8" i="5" s="1"/>
  <c r="T29" i="5"/>
  <c r="W29" i="5"/>
  <c r="Z29" i="5"/>
  <c r="AC29" i="5"/>
  <c r="AD29" i="5" s="1"/>
  <c r="T35" i="5"/>
  <c r="W35" i="5"/>
  <c r="Z35" i="5"/>
  <c r="AC35" i="5"/>
  <c r="T36" i="5"/>
  <c r="W36" i="5"/>
  <c r="Z36" i="5"/>
  <c r="AC36" i="5"/>
  <c r="E282" i="1"/>
  <c r="I282" i="1" s="1"/>
  <c r="H282" i="1"/>
  <c r="N256" i="1"/>
  <c r="R256" i="1" s="1"/>
  <c r="Q256" i="1"/>
  <c r="N92" i="3"/>
  <c r="R92" i="3" s="1"/>
  <c r="Q92" i="3"/>
  <c r="W6" i="5"/>
  <c r="T47" i="5"/>
  <c r="W47" i="5"/>
  <c r="AD47" i="5" s="1"/>
  <c r="Z47" i="5"/>
  <c r="AC47" i="5"/>
  <c r="AC7" i="5"/>
  <c r="Z7" i="5"/>
  <c r="W7" i="5"/>
  <c r="T7" i="5"/>
  <c r="AB77" i="5"/>
  <c r="AA77" i="5"/>
  <c r="Y77" i="5"/>
  <c r="X77" i="5"/>
  <c r="V77" i="5"/>
  <c r="U77" i="5"/>
  <c r="R77" i="5"/>
  <c r="AC72" i="5"/>
  <c r="Z72" i="5"/>
  <c r="W72" i="5"/>
  <c r="T72" i="5"/>
  <c r="AD72" i="5" s="1"/>
  <c r="AC71" i="5"/>
  <c r="Z71" i="5"/>
  <c r="W71" i="5"/>
  <c r="T71" i="5"/>
  <c r="AD71" i="5" s="1"/>
  <c r="AC70" i="5"/>
  <c r="Z70" i="5"/>
  <c r="W70" i="5"/>
  <c r="T70" i="5"/>
  <c r="AD70" i="5" s="1"/>
  <c r="AC69" i="5"/>
  <c r="Z69" i="5"/>
  <c r="W69" i="5"/>
  <c r="T69" i="5"/>
  <c r="AD69" i="5" s="1"/>
  <c r="AC68" i="5"/>
  <c r="Z68" i="5"/>
  <c r="W68" i="5"/>
  <c r="T68" i="5"/>
  <c r="AD68" i="5" s="1"/>
  <c r="AC67" i="5"/>
  <c r="Z67" i="5"/>
  <c r="W67" i="5"/>
  <c r="T67" i="5"/>
  <c r="AD67" i="5" s="1"/>
  <c r="AC66" i="5"/>
  <c r="Z66" i="5"/>
  <c r="W66" i="5"/>
  <c r="T66" i="5"/>
  <c r="AC65" i="5"/>
  <c r="Z65" i="5"/>
  <c r="W65" i="5"/>
  <c r="T65" i="5"/>
  <c r="AC64" i="5"/>
  <c r="Z64" i="5"/>
  <c r="W64" i="5"/>
  <c r="T64" i="5"/>
  <c r="AD64" i="5" s="1"/>
  <c r="AC63" i="5"/>
  <c r="Z63" i="5"/>
  <c r="W63" i="5"/>
  <c r="T63" i="5"/>
  <c r="AD63" i="5" s="1"/>
  <c r="AC62" i="5"/>
  <c r="Z62" i="5"/>
  <c r="W62" i="5"/>
  <c r="T62" i="5"/>
  <c r="AD62" i="5" s="1"/>
  <c r="AC61" i="5"/>
  <c r="Z61" i="5"/>
  <c r="W61" i="5"/>
  <c r="T61" i="5"/>
  <c r="AD61" i="5" s="1"/>
  <c r="AC60" i="5"/>
  <c r="Z60" i="5"/>
  <c r="W60" i="5"/>
  <c r="T60" i="5"/>
  <c r="AD60" i="5" s="1"/>
  <c r="AC59" i="5"/>
  <c r="Z59" i="5"/>
  <c r="W59" i="5"/>
  <c r="T59" i="5"/>
  <c r="AD59" i="5" s="1"/>
  <c r="AC58" i="5"/>
  <c r="Z58" i="5"/>
  <c r="W58" i="5"/>
  <c r="T58" i="5"/>
  <c r="AD58" i="5" s="1"/>
  <c r="AC57" i="5"/>
  <c r="Z57" i="5"/>
  <c r="W57" i="5"/>
  <c r="T57" i="5"/>
  <c r="AC56" i="5"/>
  <c r="Z56" i="5"/>
  <c r="W56" i="5"/>
  <c r="T56" i="5"/>
  <c r="AD56" i="5" s="1"/>
  <c r="AC55" i="5"/>
  <c r="Z55" i="5"/>
  <c r="W55" i="5"/>
  <c r="T55" i="5"/>
  <c r="AD55" i="5" s="1"/>
  <c r="AC54" i="5"/>
  <c r="Z54" i="5"/>
  <c r="W54" i="5"/>
  <c r="T54" i="5"/>
  <c r="AD54" i="5" s="1"/>
  <c r="AC52" i="5"/>
  <c r="Z52" i="5"/>
  <c r="W52" i="5"/>
  <c r="T52" i="5"/>
  <c r="AD52" i="5" s="1"/>
  <c r="AC50" i="5"/>
  <c r="Z50" i="5"/>
  <c r="W50" i="5"/>
  <c r="T50" i="5"/>
  <c r="AD50" i="5" s="1"/>
  <c r="AC49" i="5"/>
  <c r="Z49" i="5"/>
  <c r="W49" i="5"/>
  <c r="T49" i="5"/>
  <c r="AD49" i="5" s="1"/>
  <c r="AC46" i="5"/>
  <c r="Z46" i="5"/>
  <c r="W46" i="5"/>
  <c r="T46" i="5"/>
  <c r="AD46" i="5" s="1"/>
  <c r="AB37" i="5"/>
  <c r="Y37" i="5"/>
  <c r="X37" i="5"/>
  <c r="U37" i="5"/>
  <c r="S37" i="5"/>
  <c r="R37" i="5"/>
  <c r="AC28" i="5"/>
  <c r="Z28" i="5"/>
  <c r="W28" i="5"/>
  <c r="T28" i="5"/>
  <c r="AC27" i="5"/>
  <c r="Z27" i="5"/>
  <c r="W27" i="5"/>
  <c r="T27" i="5"/>
  <c r="AC26" i="5"/>
  <c r="W26" i="5"/>
  <c r="T26" i="5"/>
  <c r="AD26" i="5" s="1"/>
  <c r="AC25" i="5"/>
  <c r="Z25" i="5"/>
  <c r="W25" i="5"/>
  <c r="T25" i="5"/>
  <c r="AD25" i="5" s="1"/>
  <c r="AC24" i="5"/>
  <c r="Z24" i="5"/>
  <c r="W24" i="5"/>
  <c r="T24" i="5"/>
  <c r="AD24" i="5" s="1"/>
  <c r="AC23" i="5"/>
  <c r="Z23" i="5"/>
  <c r="W23" i="5"/>
  <c r="T23" i="5"/>
  <c r="AD23" i="5" s="1"/>
  <c r="AC22" i="5"/>
  <c r="Z22" i="5"/>
  <c r="W22" i="5"/>
  <c r="T22" i="5"/>
  <c r="AD22" i="5" s="1"/>
  <c r="AC21" i="5"/>
  <c r="Z21" i="5"/>
  <c r="W21" i="5"/>
  <c r="AC20" i="5"/>
  <c r="Z20" i="5"/>
  <c r="W20" i="5"/>
  <c r="T20" i="5"/>
  <c r="AC19" i="5"/>
  <c r="Z19" i="5"/>
  <c r="W19" i="5"/>
  <c r="T19" i="5"/>
  <c r="AC18" i="5"/>
  <c r="Z18" i="5"/>
  <c r="W18" i="5"/>
  <c r="T18" i="5"/>
  <c r="AC17" i="5"/>
  <c r="Z17" i="5"/>
  <c r="W17" i="5"/>
  <c r="T17" i="5"/>
  <c r="AC16" i="5"/>
  <c r="Z16" i="5"/>
  <c r="W16" i="5"/>
  <c r="T16" i="5"/>
  <c r="AC15" i="5"/>
  <c r="Z15" i="5"/>
  <c r="W15" i="5"/>
  <c r="T15" i="5"/>
  <c r="AC14" i="5"/>
  <c r="Z14" i="5"/>
  <c r="W14" i="5"/>
  <c r="T14" i="5"/>
  <c r="AC13" i="5"/>
  <c r="Z13" i="5"/>
  <c r="W13" i="5"/>
  <c r="T13" i="5"/>
  <c r="AC12" i="5"/>
  <c r="Z12" i="5"/>
  <c r="W12" i="5"/>
  <c r="T12" i="5"/>
  <c r="AB11" i="5"/>
  <c r="AA11" i="5"/>
  <c r="Y11" i="5"/>
  <c r="X11" i="5"/>
  <c r="V11" i="5"/>
  <c r="U11" i="5"/>
  <c r="S11" i="5"/>
  <c r="R11" i="5"/>
  <c r="AC10" i="5"/>
  <c r="Z10" i="5"/>
  <c r="W10" i="5"/>
  <c r="T10" i="5"/>
  <c r="AD10" i="5" s="1"/>
  <c r="AC9" i="5"/>
  <c r="Z9" i="5"/>
  <c r="W9" i="5"/>
  <c r="T9" i="5"/>
  <c r="AD9" i="5" s="1"/>
  <c r="AC6" i="5"/>
  <c r="Z6" i="5"/>
  <c r="T6" i="5"/>
  <c r="AC5" i="5"/>
  <c r="Z5" i="5"/>
  <c r="W5" i="5"/>
  <c r="T5" i="5"/>
  <c r="AD5" i="5" s="1"/>
  <c r="M77" i="5"/>
  <c r="L77" i="5"/>
  <c r="N77" i="5" s="1"/>
  <c r="J77" i="5"/>
  <c r="I77" i="5"/>
  <c r="K77" i="5" s="1"/>
  <c r="G77" i="5"/>
  <c r="F77" i="5"/>
  <c r="H77" i="5" s="1"/>
  <c r="E77" i="5"/>
  <c r="D77" i="5"/>
  <c r="C77" i="5"/>
  <c r="N76" i="5"/>
  <c r="K76" i="5"/>
  <c r="H76" i="5"/>
  <c r="E76" i="5"/>
  <c r="O76" i="5" s="1"/>
  <c r="N75" i="5"/>
  <c r="K75" i="5"/>
  <c r="H75" i="5"/>
  <c r="E75" i="5"/>
  <c r="O75" i="5" s="1"/>
  <c r="N74" i="5"/>
  <c r="K74" i="5"/>
  <c r="H74" i="5"/>
  <c r="E74" i="5"/>
  <c r="O74" i="5" s="1"/>
  <c r="N73" i="5"/>
  <c r="K73" i="5"/>
  <c r="H73" i="5"/>
  <c r="E73" i="5"/>
  <c r="O73" i="5" s="1"/>
  <c r="N72" i="5"/>
  <c r="K72" i="5"/>
  <c r="H72" i="5"/>
  <c r="E72" i="5"/>
  <c r="O72" i="5" s="1"/>
  <c r="N71" i="5"/>
  <c r="K71" i="5"/>
  <c r="H71" i="5"/>
  <c r="E71" i="5"/>
  <c r="O71" i="5" s="1"/>
  <c r="N70" i="5"/>
  <c r="K70" i="5"/>
  <c r="H70" i="5"/>
  <c r="E70" i="5"/>
  <c r="O70" i="5" s="1"/>
  <c r="N69" i="5"/>
  <c r="K69" i="5"/>
  <c r="H69" i="5"/>
  <c r="E69" i="5"/>
  <c r="O69" i="5" s="1"/>
  <c r="N68" i="5"/>
  <c r="K68" i="5"/>
  <c r="H68" i="5"/>
  <c r="E68" i="5"/>
  <c r="O68" i="5" s="1"/>
  <c r="N67" i="5"/>
  <c r="K67" i="5"/>
  <c r="H67" i="5"/>
  <c r="E67" i="5"/>
  <c r="O67" i="5" s="1"/>
  <c r="N66" i="5"/>
  <c r="K66" i="5"/>
  <c r="H66" i="5"/>
  <c r="E66" i="5"/>
  <c r="O66" i="5" s="1"/>
  <c r="N65" i="5"/>
  <c r="K65" i="5"/>
  <c r="H65" i="5"/>
  <c r="E65" i="5"/>
  <c r="O65" i="5" s="1"/>
  <c r="N64" i="5"/>
  <c r="K64" i="5"/>
  <c r="H64" i="5"/>
  <c r="E64" i="5"/>
  <c r="O64" i="5" s="1"/>
  <c r="N63" i="5"/>
  <c r="K63" i="5"/>
  <c r="H63" i="5"/>
  <c r="E63" i="5"/>
  <c r="O63" i="5" s="1"/>
  <c r="N62" i="5"/>
  <c r="K62" i="5"/>
  <c r="H62" i="5"/>
  <c r="E62" i="5"/>
  <c r="O62" i="5" s="1"/>
  <c r="N61" i="5"/>
  <c r="K61" i="5"/>
  <c r="H61" i="5"/>
  <c r="E61" i="5"/>
  <c r="O61" i="5" s="1"/>
  <c r="N60" i="5"/>
  <c r="K60" i="5"/>
  <c r="H60" i="5"/>
  <c r="E60" i="5"/>
  <c r="O60" i="5" s="1"/>
  <c r="N59" i="5"/>
  <c r="K59" i="5"/>
  <c r="H59" i="5"/>
  <c r="E59" i="5"/>
  <c r="O59" i="5" s="1"/>
  <c r="N58" i="5"/>
  <c r="K58" i="5"/>
  <c r="H58" i="5"/>
  <c r="E58" i="5"/>
  <c r="O58" i="5" s="1"/>
  <c r="N57" i="5"/>
  <c r="K57" i="5"/>
  <c r="H57" i="5"/>
  <c r="E57" i="5"/>
  <c r="O57" i="5" s="1"/>
  <c r="N56" i="5"/>
  <c r="K56" i="5"/>
  <c r="H56" i="5"/>
  <c r="E56" i="5"/>
  <c r="O56" i="5" s="1"/>
  <c r="N55" i="5"/>
  <c r="K55" i="5"/>
  <c r="H55" i="5"/>
  <c r="E55" i="5"/>
  <c r="O55" i="5" s="1"/>
  <c r="N54" i="5"/>
  <c r="K54" i="5"/>
  <c r="H54" i="5"/>
  <c r="E54" i="5"/>
  <c r="O54" i="5" s="1"/>
  <c r="N53" i="5"/>
  <c r="K53" i="5"/>
  <c r="H53" i="5"/>
  <c r="E53" i="5"/>
  <c r="N52" i="5"/>
  <c r="K52" i="5"/>
  <c r="H52" i="5"/>
  <c r="E52" i="5"/>
  <c r="N50" i="5"/>
  <c r="K50" i="5"/>
  <c r="H50" i="5"/>
  <c r="E50" i="5"/>
  <c r="O50" i="5" s="1"/>
  <c r="N49" i="5"/>
  <c r="K49" i="5"/>
  <c r="H49" i="5"/>
  <c r="E49" i="5"/>
  <c r="O49" i="5" s="1"/>
  <c r="N48" i="5"/>
  <c r="K48" i="5"/>
  <c r="H48" i="5"/>
  <c r="E48" i="5"/>
  <c r="O48" i="5" s="1"/>
  <c r="N47" i="5"/>
  <c r="K47" i="5"/>
  <c r="H47" i="5"/>
  <c r="E47" i="5"/>
  <c r="N46" i="5"/>
  <c r="K46" i="5"/>
  <c r="H46" i="5"/>
  <c r="E46" i="5"/>
  <c r="M37" i="5"/>
  <c r="L37" i="5"/>
  <c r="J37" i="5"/>
  <c r="I37" i="5"/>
  <c r="N36" i="5"/>
  <c r="K36" i="5"/>
  <c r="N35" i="5"/>
  <c r="K35" i="5"/>
  <c r="N34" i="5"/>
  <c r="K34" i="5"/>
  <c r="N33" i="5"/>
  <c r="K33" i="5"/>
  <c r="N32" i="5"/>
  <c r="K32" i="5"/>
  <c r="N31" i="5"/>
  <c r="K31" i="5"/>
  <c r="N30" i="5"/>
  <c r="K30" i="5"/>
  <c r="N29" i="5"/>
  <c r="K29" i="5"/>
  <c r="N28" i="5"/>
  <c r="K28" i="5"/>
  <c r="N27" i="5"/>
  <c r="K27" i="5"/>
  <c r="N26" i="5"/>
  <c r="K26" i="5"/>
  <c r="N25" i="5"/>
  <c r="K25" i="5"/>
  <c r="N24" i="5"/>
  <c r="K24" i="5"/>
  <c r="N23" i="5"/>
  <c r="K23" i="5"/>
  <c r="N22" i="5"/>
  <c r="K22" i="5"/>
  <c r="N21" i="5"/>
  <c r="K21" i="5"/>
  <c r="N20" i="5"/>
  <c r="K20" i="5"/>
  <c r="N19" i="5"/>
  <c r="K19" i="5"/>
  <c r="N18" i="5"/>
  <c r="K18" i="5"/>
  <c r="N17" i="5"/>
  <c r="K17" i="5"/>
  <c r="N16" i="5"/>
  <c r="K16" i="5"/>
  <c r="N15" i="5"/>
  <c r="K15" i="5"/>
  <c r="N14" i="5"/>
  <c r="K14" i="5"/>
  <c r="N13" i="5"/>
  <c r="K13" i="5"/>
  <c r="N12" i="5"/>
  <c r="K12" i="5"/>
  <c r="M11" i="5"/>
  <c r="L11" i="5"/>
  <c r="L38" i="5" s="1"/>
  <c r="L45" i="5" s="1"/>
  <c r="J11" i="5"/>
  <c r="I11" i="5"/>
  <c r="N10" i="5"/>
  <c r="K10" i="5"/>
  <c r="N9" i="5"/>
  <c r="K9" i="5"/>
  <c r="N8" i="5"/>
  <c r="K8" i="5"/>
  <c r="N7" i="5"/>
  <c r="K7" i="5"/>
  <c r="N6" i="5"/>
  <c r="K6" i="5"/>
  <c r="N5" i="5"/>
  <c r="K5" i="5"/>
  <c r="G37" i="5"/>
  <c r="F37" i="5"/>
  <c r="D37" i="5"/>
  <c r="C37" i="5"/>
  <c r="H36" i="5"/>
  <c r="E36" i="5"/>
  <c r="O36" i="5" s="1"/>
  <c r="H35" i="5"/>
  <c r="E35" i="5"/>
  <c r="O35" i="5" s="1"/>
  <c r="H34" i="5"/>
  <c r="O34" i="5" s="1"/>
  <c r="E34" i="5"/>
  <c r="H33" i="5"/>
  <c r="E33" i="5"/>
  <c r="O33" i="5" s="1"/>
  <c r="H32" i="5"/>
  <c r="E32" i="5"/>
  <c r="O32" i="5" s="1"/>
  <c r="H31" i="5"/>
  <c r="E31" i="5"/>
  <c r="O31" i="5" s="1"/>
  <c r="H30" i="5"/>
  <c r="O30" i="5" s="1"/>
  <c r="E30" i="5"/>
  <c r="H29" i="5"/>
  <c r="E29" i="5"/>
  <c r="O29" i="5" s="1"/>
  <c r="H28" i="5"/>
  <c r="E28" i="5"/>
  <c r="O28" i="5" s="1"/>
  <c r="H27" i="5"/>
  <c r="E27" i="5"/>
  <c r="O27" i="5" s="1"/>
  <c r="H26" i="5"/>
  <c r="O26" i="5" s="1"/>
  <c r="E26" i="5"/>
  <c r="H25" i="5"/>
  <c r="E25" i="5"/>
  <c r="O25" i="5" s="1"/>
  <c r="H24" i="5"/>
  <c r="E24" i="5"/>
  <c r="O24" i="5" s="1"/>
  <c r="H23" i="5"/>
  <c r="E23" i="5"/>
  <c r="O23" i="5" s="1"/>
  <c r="H22" i="5"/>
  <c r="O22" i="5" s="1"/>
  <c r="E22" i="5"/>
  <c r="H21" i="5"/>
  <c r="E21" i="5"/>
  <c r="O21" i="5" s="1"/>
  <c r="H20" i="5"/>
  <c r="E20" i="5"/>
  <c r="O20" i="5" s="1"/>
  <c r="H19" i="5"/>
  <c r="E19" i="5"/>
  <c r="O19" i="5" s="1"/>
  <c r="H18" i="5"/>
  <c r="O18" i="5" s="1"/>
  <c r="E18" i="5"/>
  <c r="H17" i="5"/>
  <c r="E17" i="5"/>
  <c r="O17" i="5" s="1"/>
  <c r="H16" i="5"/>
  <c r="E16" i="5"/>
  <c r="O16" i="5" s="1"/>
  <c r="H15" i="5"/>
  <c r="E15" i="5"/>
  <c r="H14" i="5"/>
  <c r="E14" i="5"/>
  <c r="H13" i="5"/>
  <c r="E13" i="5"/>
  <c r="H12" i="5"/>
  <c r="E12" i="5"/>
  <c r="O12" i="5" s="1"/>
  <c r="G11" i="5"/>
  <c r="F11" i="5"/>
  <c r="D11" i="5"/>
  <c r="C11" i="5"/>
  <c r="H10" i="5"/>
  <c r="E10" i="5"/>
  <c r="O10" i="5" s="1"/>
  <c r="H9" i="5"/>
  <c r="E9" i="5"/>
  <c r="O9" i="5" s="1"/>
  <c r="H8" i="5"/>
  <c r="O8" i="5" s="1"/>
  <c r="E8" i="5"/>
  <c r="H7" i="5"/>
  <c r="E7" i="5"/>
  <c r="H6" i="5"/>
  <c r="E6" i="5"/>
  <c r="O6" i="5" s="1"/>
  <c r="H5" i="5"/>
  <c r="E5" i="5"/>
  <c r="M244" i="1"/>
  <c r="N81" i="3"/>
  <c r="M81" i="3"/>
  <c r="L81" i="3"/>
  <c r="N80" i="3"/>
  <c r="M80" i="3"/>
  <c r="L80" i="3"/>
  <c r="I234" i="1"/>
  <c r="H232" i="1"/>
  <c r="E232" i="1"/>
  <c r="Q223" i="1"/>
  <c r="N223" i="1"/>
  <c r="R223" i="1" s="1"/>
  <c r="Q71" i="3"/>
  <c r="N71" i="3"/>
  <c r="R71" i="3" s="1"/>
  <c r="R78" i="3" s="1"/>
  <c r="Q221" i="1"/>
  <c r="N221" i="1"/>
  <c r="R221" i="1" s="1"/>
  <c r="Q219" i="1"/>
  <c r="N219" i="1"/>
  <c r="R219" i="1" s="1"/>
  <c r="H51" i="3"/>
  <c r="E51" i="3"/>
  <c r="I51" i="3" s="1"/>
  <c r="R49" i="3"/>
  <c r="Q49" i="3"/>
  <c r="N49" i="3"/>
  <c r="H50" i="3"/>
  <c r="E50" i="3"/>
  <c r="I50" i="3" s="1"/>
  <c r="H49" i="3"/>
  <c r="E49" i="3"/>
  <c r="I49" i="3" s="1"/>
  <c r="H48" i="3"/>
  <c r="E48" i="3"/>
  <c r="I48" i="3" s="1"/>
  <c r="H47" i="3"/>
  <c r="E47" i="3"/>
  <c r="I47" i="3" s="1"/>
  <c r="H9" i="3"/>
  <c r="E9" i="3"/>
  <c r="I9" i="3" s="1"/>
  <c r="H92" i="3"/>
  <c r="E92" i="3"/>
  <c r="I92" i="3" s="1"/>
  <c r="I91" i="3"/>
  <c r="H91" i="3"/>
  <c r="E91" i="3"/>
  <c r="H90" i="3"/>
  <c r="E90" i="3"/>
  <c r="H89" i="3"/>
  <c r="E89" i="3"/>
  <c r="I89" i="3" s="1"/>
  <c r="H88" i="3"/>
  <c r="E88" i="3"/>
  <c r="I88" i="3" s="1"/>
  <c r="H118" i="3"/>
  <c r="E118" i="3"/>
  <c r="I118" i="3" s="1"/>
  <c r="H117" i="3"/>
  <c r="E117" i="3"/>
  <c r="I117" i="3" s="1"/>
  <c r="H116" i="3"/>
  <c r="E116" i="3"/>
  <c r="I116" i="3" s="1"/>
  <c r="H115" i="3"/>
  <c r="E115" i="3"/>
  <c r="I115" i="3" s="1"/>
  <c r="H114" i="3"/>
  <c r="E114" i="3"/>
  <c r="I114" i="3" s="1"/>
  <c r="H113" i="3"/>
  <c r="E113" i="3"/>
  <c r="I113" i="3" s="1"/>
  <c r="H112" i="3"/>
  <c r="E112" i="3"/>
  <c r="I112" i="3" s="1"/>
  <c r="H111" i="3"/>
  <c r="E111" i="3"/>
  <c r="I111" i="3" s="1"/>
  <c r="H110" i="3"/>
  <c r="E110" i="3"/>
  <c r="I110" i="3" s="1"/>
  <c r="H109" i="3"/>
  <c r="E109" i="3"/>
  <c r="I109" i="3" s="1"/>
  <c r="H108" i="3"/>
  <c r="E108" i="3"/>
  <c r="I108" i="3" s="1"/>
  <c r="H107" i="3"/>
  <c r="E107" i="3"/>
  <c r="I107" i="3" s="1"/>
  <c r="H106" i="3"/>
  <c r="E106" i="3"/>
  <c r="I106" i="3" s="1"/>
  <c r="H105" i="3"/>
  <c r="E105" i="3"/>
  <c r="I105" i="3" s="1"/>
  <c r="H104" i="3"/>
  <c r="E104" i="3"/>
  <c r="I104" i="3" s="1"/>
  <c r="H103" i="3"/>
  <c r="E103" i="3"/>
  <c r="I103" i="3" s="1"/>
  <c r="H102" i="3"/>
  <c r="E102" i="3"/>
  <c r="H101" i="3"/>
  <c r="E101" i="3"/>
  <c r="I101" i="3" s="1"/>
  <c r="H100" i="3"/>
  <c r="E100" i="3"/>
  <c r="H99" i="3"/>
  <c r="E99" i="3"/>
  <c r="I99" i="3" s="1"/>
  <c r="H98" i="3"/>
  <c r="E98" i="3"/>
  <c r="H97" i="3"/>
  <c r="E97" i="3"/>
  <c r="I97" i="3" s="1"/>
  <c r="H96" i="3"/>
  <c r="E96" i="3"/>
  <c r="H95" i="3"/>
  <c r="E95" i="3"/>
  <c r="H94" i="3"/>
  <c r="E94" i="3"/>
  <c r="I94" i="3" s="1"/>
  <c r="N89" i="3"/>
  <c r="Q89" i="3"/>
  <c r="N94" i="3"/>
  <c r="Q94" i="3"/>
  <c r="R94" i="3"/>
  <c r="N95" i="3"/>
  <c r="Q95" i="3"/>
  <c r="N96" i="3"/>
  <c r="Q96" i="3"/>
  <c r="R96" i="3"/>
  <c r="N97" i="3"/>
  <c r="R97" i="3" s="1"/>
  <c r="Q97" i="3"/>
  <c r="N98" i="3"/>
  <c r="Q98" i="3"/>
  <c r="R98" i="3"/>
  <c r="N99" i="3"/>
  <c r="R99" i="3" s="1"/>
  <c r="Q99" i="3"/>
  <c r="N100" i="3"/>
  <c r="Q100" i="3"/>
  <c r="R100" i="3"/>
  <c r="N101" i="3"/>
  <c r="R101" i="3" s="1"/>
  <c r="Q101" i="3"/>
  <c r="N102" i="3"/>
  <c r="Q102" i="3"/>
  <c r="R102" i="3"/>
  <c r="N103" i="3"/>
  <c r="R103" i="3" s="1"/>
  <c r="Q103" i="3"/>
  <c r="N104" i="3"/>
  <c r="Q104" i="3"/>
  <c r="R104" i="3"/>
  <c r="N105" i="3"/>
  <c r="R105" i="3" s="1"/>
  <c r="Q105" i="3"/>
  <c r="N106" i="3"/>
  <c r="Q106" i="3"/>
  <c r="R106" i="3"/>
  <c r="N107" i="3"/>
  <c r="R107" i="3" s="1"/>
  <c r="Q107" i="3"/>
  <c r="N108" i="3"/>
  <c r="Q108" i="3"/>
  <c r="R108" i="3"/>
  <c r="N109" i="3"/>
  <c r="R109" i="3" s="1"/>
  <c r="Q109" i="3"/>
  <c r="N110" i="3"/>
  <c r="Q110" i="3"/>
  <c r="R110" i="3"/>
  <c r="N111" i="3"/>
  <c r="R111" i="3" s="1"/>
  <c r="Q111" i="3"/>
  <c r="N112" i="3"/>
  <c r="Q112" i="3"/>
  <c r="R112" i="3"/>
  <c r="N114" i="3"/>
  <c r="Q114" i="3"/>
  <c r="R114" i="3"/>
  <c r="N115" i="3"/>
  <c r="Q115" i="3"/>
  <c r="R115" i="3"/>
  <c r="N116" i="3"/>
  <c r="Q116" i="3"/>
  <c r="R116" i="3"/>
  <c r="N117" i="3"/>
  <c r="Q117" i="3"/>
  <c r="R117" i="3" s="1"/>
  <c r="N118" i="3"/>
  <c r="Q118" i="3"/>
  <c r="P119" i="3"/>
  <c r="O119" i="3"/>
  <c r="M119" i="3"/>
  <c r="L119" i="3"/>
  <c r="G119" i="3"/>
  <c r="F119" i="3"/>
  <c r="D119" i="3"/>
  <c r="C119" i="3"/>
  <c r="Q113" i="3"/>
  <c r="N113" i="3"/>
  <c r="R113" i="3" s="1"/>
  <c r="Q91" i="3"/>
  <c r="N91" i="3"/>
  <c r="R91" i="3" s="1"/>
  <c r="Q90" i="3"/>
  <c r="N90" i="3"/>
  <c r="R90" i="3" s="1"/>
  <c r="Q88" i="3"/>
  <c r="N88" i="3"/>
  <c r="R88" i="3" s="1"/>
  <c r="M46" i="3"/>
  <c r="N46" i="3"/>
  <c r="O46" i="3"/>
  <c r="P46" i="3"/>
  <c r="Q46" i="3"/>
  <c r="R46" i="3"/>
  <c r="L46" i="3"/>
  <c r="R11" i="3"/>
  <c r="Q11" i="3"/>
  <c r="Q38" i="3" s="1"/>
  <c r="P11" i="3"/>
  <c r="O11" i="3"/>
  <c r="N11" i="3"/>
  <c r="M11" i="3"/>
  <c r="L11" i="3"/>
  <c r="O38" i="3"/>
  <c r="R37" i="3"/>
  <c r="Q37" i="3"/>
  <c r="P37" i="3"/>
  <c r="O37" i="3"/>
  <c r="N37" i="3"/>
  <c r="M37" i="3"/>
  <c r="M38" i="3" s="1"/>
  <c r="L37" i="3"/>
  <c r="M78" i="3"/>
  <c r="N78" i="3"/>
  <c r="O78" i="3"/>
  <c r="P78" i="3"/>
  <c r="Q78" i="3"/>
  <c r="L78" i="3"/>
  <c r="L38" i="3"/>
  <c r="N280" i="1"/>
  <c r="R280" i="1" s="1"/>
  <c r="Q280" i="1"/>
  <c r="N282" i="1"/>
  <c r="Q282" i="1"/>
  <c r="O283" i="1"/>
  <c r="L283" i="1"/>
  <c r="G283" i="1"/>
  <c r="F283" i="1"/>
  <c r="D283" i="1"/>
  <c r="C283" i="1"/>
  <c r="P283" i="1"/>
  <c r="M283" i="1"/>
  <c r="I281" i="1"/>
  <c r="H281" i="1"/>
  <c r="E281" i="1"/>
  <c r="I280" i="1"/>
  <c r="H280" i="1"/>
  <c r="E280" i="1"/>
  <c r="R279" i="1"/>
  <c r="Q279" i="1"/>
  <c r="N279" i="1"/>
  <c r="I279" i="1"/>
  <c r="H279" i="1"/>
  <c r="E279" i="1"/>
  <c r="R278" i="1"/>
  <c r="Q278" i="1"/>
  <c r="N278" i="1"/>
  <c r="I278" i="1"/>
  <c r="H278" i="1"/>
  <c r="E278" i="1"/>
  <c r="R277" i="1"/>
  <c r="Q277" i="1"/>
  <c r="N277" i="1"/>
  <c r="I277" i="1"/>
  <c r="H277" i="1"/>
  <c r="E277" i="1"/>
  <c r="R276" i="1"/>
  <c r="Q276" i="1"/>
  <c r="N276" i="1"/>
  <c r="I276" i="1"/>
  <c r="H276" i="1"/>
  <c r="E276" i="1"/>
  <c r="R275" i="1"/>
  <c r="Q275" i="1"/>
  <c r="N275" i="1"/>
  <c r="I275" i="1"/>
  <c r="H275" i="1"/>
  <c r="E275" i="1"/>
  <c r="R274" i="1"/>
  <c r="Q274" i="1"/>
  <c r="N274" i="1"/>
  <c r="I274" i="1"/>
  <c r="H274" i="1"/>
  <c r="E274" i="1"/>
  <c r="R273" i="1"/>
  <c r="Q273" i="1"/>
  <c r="N273" i="1"/>
  <c r="I273" i="1"/>
  <c r="H273" i="1"/>
  <c r="E273" i="1"/>
  <c r="R272" i="1"/>
  <c r="Q272" i="1"/>
  <c r="N272" i="1"/>
  <c r="I272" i="1"/>
  <c r="H272" i="1"/>
  <c r="E272" i="1"/>
  <c r="R271" i="1"/>
  <c r="Q271" i="1"/>
  <c r="N271" i="1"/>
  <c r="I271" i="1"/>
  <c r="H271" i="1"/>
  <c r="E271" i="1"/>
  <c r="R270" i="1"/>
  <c r="Q270" i="1"/>
  <c r="N270" i="1"/>
  <c r="I270" i="1"/>
  <c r="H270" i="1"/>
  <c r="E270" i="1"/>
  <c r="R269" i="1"/>
  <c r="Q269" i="1"/>
  <c r="N269" i="1"/>
  <c r="I269" i="1"/>
  <c r="H269" i="1"/>
  <c r="E269" i="1"/>
  <c r="R268" i="1"/>
  <c r="Q268" i="1"/>
  <c r="N268" i="1"/>
  <c r="I268" i="1"/>
  <c r="H268" i="1"/>
  <c r="E268" i="1"/>
  <c r="R267" i="1"/>
  <c r="Q267" i="1"/>
  <c r="N267" i="1"/>
  <c r="I267" i="1"/>
  <c r="H267" i="1"/>
  <c r="E267" i="1"/>
  <c r="R266" i="1"/>
  <c r="Q266" i="1"/>
  <c r="N266" i="1"/>
  <c r="I266" i="1"/>
  <c r="H266" i="1"/>
  <c r="E266" i="1"/>
  <c r="R265" i="1"/>
  <c r="Q265" i="1"/>
  <c r="N265" i="1"/>
  <c r="I265" i="1"/>
  <c r="H265" i="1"/>
  <c r="E265" i="1"/>
  <c r="R264" i="1"/>
  <c r="Q264" i="1"/>
  <c r="N264" i="1"/>
  <c r="I264" i="1"/>
  <c r="H264" i="1"/>
  <c r="E264" i="1"/>
  <c r="R263" i="1"/>
  <c r="Q263" i="1"/>
  <c r="N263" i="1"/>
  <c r="H263" i="1"/>
  <c r="E263" i="1"/>
  <c r="I263" i="1" s="1"/>
  <c r="R262" i="1"/>
  <c r="Q262" i="1"/>
  <c r="N262" i="1"/>
  <c r="H262" i="1"/>
  <c r="E262" i="1"/>
  <c r="R261" i="1"/>
  <c r="Q261" i="1"/>
  <c r="N261" i="1"/>
  <c r="H261" i="1"/>
  <c r="E261" i="1"/>
  <c r="I261" i="1" s="1"/>
  <c r="R260" i="1"/>
  <c r="Q260" i="1"/>
  <c r="N260" i="1"/>
  <c r="H260" i="1"/>
  <c r="E260" i="1"/>
  <c r="I260" i="1" s="1"/>
  <c r="R259" i="1"/>
  <c r="Q259" i="1"/>
  <c r="N259" i="1"/>
  <c r="H259" i="1"/>
  <c r="E259" i="1"/>
  <c r="I259" i="1" s="1"/>
  <c r="H258" i="1"/>
  <c r="E258" i="1"/>
  <c r="I258" i="1" s="1"/>
  <c r="I256" i="1"/>
  <c r="H256" i="1"/>
  <c r="E256" i="1"/>
  <c r="Q255" i="1"/>
  <c r="N255" i="1"/>
  <c r="R255" i="1" s="1"/>
  <c r="I255" i="1"/>
  <c r="H255" i="1"/>
  <c r="E255" i="1"/>
  <c r="Q254" i="1"/>
  <c r="N254" i="1"/>
  <c r="R254" i="1" s="1"/>
  <c r="I254" i="1"/>
  <c r="H254" i="1"/>
  <c r="E254" i="1"/>
  <c r="Q253" i="1"/>
  <c r="N253" i="1"/>
  <c r="R253" i="1" s="1"/>
  <c r="I253" i="1"/>
  <c r="H253" i="1"/>
  <c r="E253" i="1"/>
  <c r="Q252" i="1"/>
  <c r="N252" i="1"/>
  <c r="R252" i="1" s="1"/>
  <c r="I252" i="1"/>
  <c r="H252" i="1"/>
  <c r="E252" i="1"/>
  <c r="R46" i="1"/>
  <c r="Q46" i="1"/>
  <c r="P46" i="1"/>
  <c r="O46" i="1"/>
  <c r="N46" i="1"/>
  <c r="M46" i="1"/>
  <c r="L46" i="1"/>
  <c r="R11" i="1"/>
  <c r="Q11" i="1"/>
  <c r="Q38" i="1" s="1"/>
  <c r="P11" i="1"/>
  <c r="O11" i="1"/>
  <c r="N11" i="1"/>
  <c r="M11" i="1"/>
  <c r="M38" i="1" s="1"/>
  <c r="L11" i="1"/>
  <c r="R37" i="1"/>
  <c r="Q37" i="1"/>
  <c r="P37" i="1"/>
  <c r="O37" i="1"/>
  <c r="N37" i="1"/>
  <c r="M37" i="1"/>
  <c r="L37" i="1"/>
  <c r="R78" i="1"/>
  <c r="Q78" i="1"/>
  <c r="P78" i="1"/>
  <c r="O78" i="1"/>
  <c r="N78" i="1"/>
  <c r="M78" i="1"/>
  <c r="L78" i="1"/>
  <c r="R119" i="1"/>
  <c r="Q119" i="1"/>
  <c r="P119" i="1"/>
  <c r="O119" i="1"/>
  <c r="N119" i="1"/>
  <c r="M119" i="1"/>
  <c r="L119" i="1"/>
  <c r="R160" i="1"/>
  <c r="Q160" i="1"/>
  <c r="P160" i="1"/>
  <c r="O160" i="1"/>
  <c r="N160" i="1"/>
  <c r="M160" i="1"/>
  <c r="L160" i="1"/>
  <c r="R201" i="1"/>
  <c r="Q201" i="1"/>
  <c r="P201" i="1"/>
  <c r="O201" i="1"/>
  <c r="N201" i="1"/>
  <c r="M201" i="1"/>
  <c r="L201" i="1"/>
  <c r="M242" i="1"/>
  <c r="O242" i="1"/>
  <c r="P242" i="1"/>
  <c r="L242" i="1"/>
  <c r="L244" i="1" s="1"/>
  <c r="R38" i="1"/>
  <c r="P38" i="1"/>
  <c r="O38" i="1"/>
  <c r="L38" i="1"/>
  <c r="Q191" i="1"/>
  <c r="N191" i="1"/>
  <c r="E65" i="3"/>
  <c r="H65" i="3"/>
  <c r="Q70" i="3"/>
  <c r="N70" i="3"/>
  <c r="R70" i="3" s="1"/>
  <c r="Q69" i="3"/>
  <c r="N69" i="3"/>
  <c r="R69" i="3" s="1"/>
  <c r="Q190" i="1"/>
  <c r="N190" i="1"/>
  <c r="R190" i="1" s="1"/>
  <c r="R66" i="3"/>
  <c r="Q66" i="3"/>
  <c r="N66" i="3"/>
  <c r="Q189" i="1"/>
  <c r="N189" i="1"/>
  <c r="R189" i="1" s="1"/>
  <c r="Q62" i="3"/>
  <c r="N62" i="3"/>
  <c r="R62" i="3" s="1"/>
  <c r="E57" i="3"/>
  <c r="Q188" i="1"/>
  <c r="N188" i="1"/>
  <c r="R188" i="1" s="1"/>
  <c r="Q186" i="1"/>
  <c r="N186" i="1"/>
  <c r="R186" i="1" s="1"/>
  <c r="N217" i="1"/>
  <c r="Q217" i="1"/>
  <c r="N218" i="1"/>
  <c r="Q218" i="1"/>
  <c r="R185" i="1"/>
  <c r="Q185" i="1"/>
  <c r="N185" i="1"/>
  <c r="Q241" i="1"/>
  <c r="N241" i="1"/>
  <c r="Q240" i="1"/>
  <c r="Q200" i="1"/>
  <c r="Q176" i="1"/>
  <c r="N176" i="1"/>
  <c r="R176" i="1" s="1"/>
  <c r="E18" i="3"/>
  <c r="H18" i="3"/>
  <c r="I18" i="3" s="1"/>
  <c r="E19" i="3"/>
  <c r="H19" i="3"/>
  <c r="I19" i="3"/>
  <c r="H54" i="3"/>
  <c r="E54" i="3"/>
  <c r="I53" i="3"/>
  <c r="H53" i="3"/>
  <c r="E53" i="3"/>
  <c r="Q19" i="3"/>
  <c r="N19" i="3"/>
  <c r="R19" i="3" s="1"/>
  <c r="N20" i="3"/>
  <c r="Q20" i="3"/>
  <c r="R20" i="3"/>
  <c r="Q54" i="3"/>
  <c r="N54" i="3"/>
  <c r="R54" i="3" s="1"/>
  <c r="Q53" i="3"/>
  <c r="N53" i="3"/>
  <c r="R53" i="3" s="1"/>
  <c r="Q139" i="1"/>
  <c r="N139" i="1"/>
  <c r="R139" i="1" s="1"/>
  <c r="N36" i="3"/>
  <c r="N75" i="3"/>
  <c r="R18" i="3"/>
  <c r="Q18" i="3"/>
  <c r="N18" i="3"/>
  <c r="Q76" i="3"/>
  <c r="N76" i="3"/>
  <c r="Q17" i="3"/>
  <c r="N17" i="3"/>
  <c r="R17" i="3" s="1"/>
  <c r="Q36" i="3"/>
  <c r="N138" i="1"/>
  <c r="Q138" i="1"/>
  <c r="E130" i="1"/>
  <c r="H130" i="1"/>
  <c r="N35" i="3"/>
  <c r="R35" i="3" s="1"/>
  <c r="Q35" i="3"/>
  <c r="N199" i="1"/>
  <c r="Q199" i="1"/>
  <c r="R199" i="1"/>
  <c r="N200" i="1"/>
  <c r="N212" i="1"/>
  <c r="Q212" i="1"/>
  <c r="G242" i="1"/>
  <c r="F242" i="1"/>
  <c r="D242" i="1"/>
  <c r="C242" i="1"/>
  <c r="H241" i="1"/>
  <c r="E241" i="1"/>
  <c r="H240" i="1"/>
  <c r="E240" i="1"/>
  <c r="Q239" i="1"/>
  <c r="R239" i="1" s="1"/>
  <c r="N239" i="1"/>
  <c r="H239" i="1"/>
  <c r="E239" i="1"/>
  <c r="Q238" i="1"/>
  <c r="N238" i="1"/>
  <c r="R238" i="1" s="1"/>
  <c r="H238" i="1"/>
  <c r="E238" i="1"/>
  <c r="Q237" i="1"/>
  <c r="N237" i="1"/>
  <c r="H237" i="1"/>
  <c r="E237" i="1"/>
  <c r="I237" i="1" s="1"/>
  <c r="Q236" i="1"/>
  <c r="N236" i="1"/>
  <c r="H236" i="1"/>
  <c r="E236" i="1"/>
  <c r="Q235" i="1"/>
  <c r="R235" i="1" s="1"/>
  <c r="N235" i="1"/>
  <c r="H235" i="1"/>
  <c r="E235" i="1"/>
  <c r="I235" i="1" s="1"/>
  <c r="Q234" i="1"/>
  <c r="N234" i="1"/>
  <c r="R234" i="1" s="1"/>
  <c r="H234" i="1"/>
  <c r="E234" i="1"/>
  <c r="Q233" i="1"/>
  <c r="N233" i="1"/>
  <c r="H233" i="1"/>
  <c r="E233" i="1"/>
  <c r="Q232" i="1"/>
  <c r="N232" i="1"/>
  <c r="Q231" i="1"/>
  <c r="N231" i="1"/>
  <c r="H231" i="1"/>
  <c r="E231" i="1"/>
  <c r="Q230" i="1"/>
  <c r="N230" i="1"/>
  <c r="R230" i="1" s="1"/>
  <c r="H230" i="1"/>
  <c r="E230" i="1"/>
  <c r="Q229" i="1"/>
  <c r="N229" i="1"/>
  <c r="H229" i="1"/>
  <c r="E229" i="1"/>
  <c r="Q228" i="1"/>
  <c r="N228" i="1"/>
  <c r="H228" i="1"/>
  <c r="E228" i="1"/>
  <c r="Q227" i="1"/>
  <c r="R227" i="1" s="1"/>
  <c r="N227" i="1"/>
  <c r="H227" i="1"/>
  <c r="I227" i="1"/>
  <c r="Q226" i="1"/>
  <c r="N226" i="1"/>
  <c r="R226" i="1" s="1"/>
  <c r="H226" i="1"/>
  <c r="E226" i="1"/>
  <c r="Q225" i="1"/>
  <c r="N225" i="1"/>
  <c r="H225" i="1"/>
  <c r="E225" i="1"/>
  <c r="Q224" i="1"/>
  <c r="N224" i="1"/>
  <c r="H224" i="1"/>
  <c r="E224" i="1"/>
  <c r="H223" i="1"/>
  <c r="E223" i="1"/>
  <c r="Q222" i="1"/>
  <c r="N222" i="1"/>
  <c r="H222" i="1"/>
  <c r="E222" i="1"/>
  <c r="H221" i="1"/>
  <c r="E221" i="1"/>
  <c r="I221" i="1" s="1"/>
  <c r="Q220" i="1"/>
  <c r="N220" i="1"/>
  <c r="H220" i="1"/>
  <c r="E220" i="1"/>
  <c r="H219" i="1"/>
  <c r="E219" i="1"/>
  <c r="H218" i="1"/>
  <c r="E218" i="1"/>
  <c r="I218" i="1" s="1"/>
  <c r="H217" i="1"/>
  <c r="E217" i="1"/>
  <c r="Q215" i="1"/>
  <c r="R215" i="1" s="1"/>
  <c r="N215" i="1"/>
  <c r="H215" i="1"/>
  <c r="E215" i="1"/>
  <c r="I215" i="1" s="1"/>
  <c r="Q214" i="1"/>
  <c r="N214" i="1"/>
  <c r="R214" i="1" s="1"/>
  <c r="H214" i="1"/>
  <c r="E214" i="1"/>
  <c r="Q213" i="1"/>
  <c r="N213" i="1"/>
  <c r="H213" i="1"/>
  <c r="E213" i="1"/>
  <c r="H212" i="1"/>
  <c r="E212" i="1"/>
  <c r="Q211" i="1"/>
  <c r="N211" i="1"/>
  <c r="H211" i="1"/>
  <c r="E211" i="1"/>
  <c r="I211" i="1" s="1"/>
  <c r="N198" i="1"/>
  <c r="Q198" i="1"/>
  <c r="Q77" i="3"/>
  <c r="N77" i="3"/>
  <c r="N137" i="1"/>
  <c r="Q137" i="1"/>
  <c r="R137" i="1" s="1"/>
  <c r="N156" i="1"/>
  <c r="Q156" i="1"/>
  <c r="R156" i="1" s="1"/>
  <c r="N157" i="1"/>
  <c r="Q157" i="1"/>
  <c r="R157" i="1" s="1"/>
  <c r="N158" i="1"/>
  <c r="Q158" i="1"/>
  <c r="N197" i="1"/>
  <c r="Q197" i="1"/>
  <c r="N172" i="1"/>
  <c r="Q172" i="1"/>
  <c r="Q171" i="1"/>
  <c r="N171" i="1"/>
  <c r="N131" i="1"/>
  <c r="Q131" i="1"/>
  <c r="G201" i="1"/>
  <c r="F201" i="1"/>
  <c r="D201" i="1"/>
  <c r="C201" i="1"/>
  <c r="H200" i="1"/>
  <c r="E200" i="1"/>
  <c r="H199" i="1"/>
  <c r="E199" i="1"/>
  <c r="H198" i="1"/>
  <c r="E198" i="1"/>
  <c r="H197" i="1"/>
  <c r="E197" i="1"/>
  <c r="Q196" i="1"/>
  <c r="N196" i="1"/>
  <c r="H196" i="1"/>
  <c r="E196" i="1"/>
  <c r="Q195" i="1"/>
  <c r="N195" i="1"/>
  <c r="H195" i="1"/>
  <c r="E195" i="1"/>
  <c r="Q194" i="1"/>
  <c r="N194" i="1"/>
  <c r="H194" i="1"/>
  <c r="E194" i="1"/>
  <c r="Q193" i="1"/>
  <c r="N193" i="1"/>
  <c r="H193" i="1"/>
  <c r="E193" i="1"/>
  <c r="Q192" i="1"/>
  <c r="N192" i="1"/>
  <c r="H192" i="1"/>
  <c r="E192" i="1"/>
  <c r="H191" i="1"/>
  <c r="E191" i="1"/>
  <c r="H190" i="1"/>
  <c r="E190" i="1"/>
  <c r="H189" i="1"/>
  <c r="E189" i="1"/>
  <c r="H188" i="1"/>
  <c r="E188" i="1"/>
  <c r="Q187" i="1"/>
  <c r="N187" i="1"/>
  <c r="H187" i="1"/>
  <c r="E187" i="1"/>
  <c r="H186" i="1"/>
  <c r="E186" i="1"/>
  <c r="H185" i="1"/>
  <c r="E185" i="1"/>
  <c r="Q184" i="1"/>
  <c r="N184" i="1"/>
  <c r="H184" i="1"/>
  <c r="E184" i="1"/>
  <c r="Q183" i="1"/>
  <c r="N183" i="1"/>
  <c r="H183" i="1"/>
  <c r="E183" i="1"/>
  <c r="Q182" i="1"/>
  <c r="N182" i="1"/>
  <c r="H182" i="1"/>
  <c r="E182" i="1"/>
  <c r="Q181" i="1"/>
  <c r="N181" i="1"/>
  <c r="H181" i="1"/>
  <c r="E181" i="1"/>
  <c r="Q180" i="1"/>
  <c r="N180" i="1"/>
  <c r="H180" i="1"/>
  <c r="E180" i="1"/>
  <c r="Q179" i="1"/>
  <c r="N179" i="1"/>
  <c r="H179" i="1"/>
  <c r="E179" i="1"/>
  <c r="Q178" i="1"/>
  <c r="N178" i="1"/>
  <c r="H178" i="1"/>
  <c r="E178" i="1"/>
  <c r="Q177" i="1"/>
  <c r="N177" i="1"/>
  <c r="H177" i="1"/>
  <c r="E177" i="1"/>
  <c r="H176" i="1"/>
  <c r="E176" i="1"/>
  <c r="Q174" i="1"/>
  <c r="N174" i="1"/>
  <c r="H174" i="1"/>
  <c r="E174" i="1"/>
  <c r="Q173" i="1"/>
  <c r="N173" i="1"/>
  <c r="H173" i="1"/>
  <c r="E173" i="1"/>
  <c r="H172" i="1"/>
  <c r="E172" i="1"/>
  <c r="H171" i="1"/>
  <c r="E171" i="1"/>
  <c r="Q170" i="1"/>
  <c r="N170" i="1"/>
  <c r="H170" i="1"/>
  <c r="E170" i="1"/>
  <c r="N7" i="3"/>
  <c r="Q7" i="3"/>
  <c r="R7" i="3"/>
  <c r="Q48" i="3"/>
  <c r="N48" i="3"/>
  <c r="Q10" i="3"/>
  <c r="N10" i="3"/>
  <c r="R10" i="3" s="1"/>
  <c r="Q9" i="3"/>
  <c r="N9" i="3"/>
  <c r="R9" i="3" s="1"/>
  <c r="Q8" i="3"/>
  <c r="N8" i="3"/>
  <c r="R8" i="3" s="1"/>
  <c r="Q6" i="3"/>
  <c r="N6" i="3"/>
  <c r="Q5" i="3"/>
  <c r="N5" i="3"/>
  <c r="G78" i="3"/>
  <c r="F78" i="3"/>
  <c r="D78" i="3"/>
  <c r="C78" i="3"/>
  <c r="H77" i="3"/>
  <c r="E77" i="3"/>
  <c r="H76" i="3"/>
  <c r="E76" i="3"/>
  <c r="H75" i="3"/>
  <c r="E75" i="3"/>
  <c r="I75" i="3" s="1"/>
  <c r="Q74" i="3"/>
  <c r="N74" i="3"/>
  <c r="H74" i="3"/>
  <c r="E74" i="3"/>
  <c r="Q73" i="3"/>
  <c r="N73" i="3"/>
  <c r="R73" i="3" s="1"/>
  <c r="H73" i="3"/>
  <c r="E73" i="3"/>
  <c r="Q72" i="3"/>
  <c r="N72" i="3"/>
  <c r="H72" i="3"/>
  <c r="E72" i="3"/>
  <c r="I72" i="3" s="1"/>
  <c r="H71" i="3"/>
  <c r="E71" i="3"/>
  <c r="H70" i="3"/>
  <c r="E70" i="3"/>
  <c r="H69" i="3"/>
  <c r="E69" i="3"/>
  <c r="Q68" i="3"/>
  <c r="N68" i="3"/>
  <c r="H68" i="3"/>
  <c r="E68" i="3"/>
  <c r="Q67" i="3"/>
  <c r="N67" i="3"/>
  <c r="H67" i="3"/>
  <c r="E67" i="3"/>
  <c r="H66" i="3"/>
  <c r="E66" i="3"/>
  <c r="Q65" i="3"/>
  <c r="N65" i="3"/>
  <c r="Q64" i="3"/>
  <c r="N64" i="3"/>
  <c r="H64" i="3"/>
  <c r="E64" i="3"/>
  <c r="Q63" i="3"/>
  <c r="N63" i="3"/>
  <c r="H63" i="3"/>
  <c r="E63" i="3"/>
  <c r="H62" i="3"/>
  <c r="E62" i="3"/>
  <c r="Q61" i="3"/>
  <c r="N61" i="3"/>
  <c r="H61" i="3"/>
  <c r="E61" i="3"/>
  <c r="Q60" i="3"/>
  <c r="N60" i="3"/>
  <c r="H60" i="3"/>
  <c r="E60" i="3"/>
  <c r="Q59" i="3"/>
  <c r="N59" i="3"/>
  <c r="H59" i="3"/>
  <c r="E59" i="3"/>
  <c r="Q58" i="3"/>
  <c r="N58" i="3"/>
  <c r="H58" i="3"/>
  <c r="E58" i="3"/>
  <c r="Q57" i="3"/>
  <c r="N57" i="3"/>
  <c r="H57" i="3"/>
  <c r="I57" i="3"/>
  <c r="Q56" i="3"/>
  <c r="N56" i="3"/>
  <c r="H56" i="3"/>
  <c r="E56" i="3"/>
  <c r="Q55" i="3"/>
  <c r="N55" i="3"/>
  <c r="H55" i="3"/>
  <c r="E55" i="3"/>
  <c r="Q51" i="3"/>
  <c r="N51" i="3"/>
  <c r="Q50" i="3"/>
  <c r="N50" i="3"/>
  <c r="R50" i="3" s="1"/>
  <c r="Q47" i="3"/>
  <c r="R47" i="3" s="1"/>
  <c r="N47" i="3"/>
  <c r="G37" i="3"/>
  <c r="F37" i="3"/>
  <c r="D37" i="3"/>
  <c r="C37" i="3"/>
  <c r="H36" i="3"/>
  <c r="E36" i="3"/>
  <c r="I36" i="3" s="1"/>
  <c r="H35" i="3"/>
  <c r="E35" i="3"/>
  <c r="Q34" i="3"/>
  <c r="N34" i="3"/>
  <c r="R34" i="3" s="1"/>
  <c r="H34" i="3"/>
  <c r="E34" i="3"/>
  <c r="I34" i="3" s="1"/>
  <c r="Q33" i="3"/>
  <c r="N33" i="3"/>
  <c r="R33" i="3" s="1"/>
  <c r="H33" i="3"/>
  <c r="E33" i="3"/>
  <c r="Q32" i="3"/>
  <c r="N32" i="3"/>
  <c r="R32" i="3" s="1"/>
  <c r="H32" i="3"/>
  <c r="E32" i="3"/>
  <c r="I32" i="3" s="1"/>
  <c r="Q31" i="3"/>
  <c r="N31" i="3"/>
  <c r="R31" i="3" s="1"/>
  <c r="H31" i="3"/>
  <c r="E31" i="3"/>
  <c r="I31" i="3" s="1"/>
  <c r="R30" i="3"/>
  <c r="Q30" i="3"/>
  <c r="N30" i="3"/>
  <c r="H30" i="3"/>
  <c r="E30" i="3"/>
  <c r="I30" i="3" s="1"/>
  <c r="Q29" i="3"/>
  <c r="R29" i="3" s="1"/>
  <c r="N29" i="3"/>
  <c r="H29" i="3"/>
  <c r="E29" i="3"/>
  <c r="Q28" i="3"/>
  <c r="N28" i="3"/>
  <c r="R28" i="3" s="1"/>
  <c r="H28" i="3"/>
  <c r="E28" i="3"/>
  <c r="Q27" i="3"/>
  <c r="N27" i="3"/>
  <c r="R27" i="3" s="1"/>
  <c r="H27" i="3"/>
  <c r="E27" i="3"/>
  <c r="Q26" i="3"/>
  <c r="N26" i="3"/>
  <c r="R26" i="3" s="1"/>
  <c r="H26" i="3"/>
  <c r="E26" i="3"/>
  <c r="I26" i="3" s="1"/>
  <c r="Q25" i="3"/>
  <c r="N25" i="3"/>
  <c r="R25" i="3" s="1"/>
  <c r="H25" i="3"/>
  <c r="E25" i="3"/>
  <c r="R24" i="3"/>
  <c r="Q24" i="3"/>
  <c r="N24" i="3"/>
  <c r="H24" i="3"/>
  <c r="E24" i="3"/>
  <c r="Q23" i="3"/>
  <c r="R23" i="3" s="1"/>
  <c r="N23" i="3"/>
  <c r="H23" i="3"/>
  <c r="E23" i="3"/>
  <c r="Q22" i="3"/>
  <c r="N22" i="3"/>
  <c r="R22" i="3" s="1"/>
  <c r="H22" i="3"/>
  <c r="E22" i="3"/>
  <c r="Q21" i="3"/>
  <c r="N21" i="3"/>
  <c r="R21" i="3" s="1"/>
  <c r="H21" i="3"/>
  <c r="E21" i="3"/>
  <c r="H20" i="3"/>
  <c r="E20" i="3"/>
  <c r="I20" i="3" s="1"/>
  <c r="H17" i="3"/>
  <c r="E17" i="3"/>
  <c r="Q16" i="3"/>
  <c r="N16" i="3"/>
  <c r="H16" i="3"/>
  <c r="E16" i="3"/>
  <c r="Q15" i="3"/>
  <c r="N15" i="3"/>
  <c r="H15" i="3"/>
  <c r="E15" i="3"/>
  <c r="Q14" i="3"/>
  <c r="N14" i="3"/>
  <c r="H14" i="3"/>
  <c r="E14" i="3"/>
  <c r="I14" i="3" s="1"/>
  <c r="Q13" i="3"/>
  <c r="N13" i="3"/>
  <c r="H13" i="3"/>
  <c r="E13" i="3"/>
  <c r="Q12" i="3"/>
  <c r="R12" i="3" s="1"/>
  <c r="N12" i="3"/>
  <c r="H12" i="3"/>
  <c r="E12" i="3"/>
  <c r="G11" i="3"/>
  <c r="F11" i="3"/>
  <c r="D11" i="3"/>
  <c r="C11" i="3"/>
  <c r="H10" i="3"/>
  <c r="E10" i="3"/>
  <c r="H8" i="3"/>
  <c r="E8" i="3"/>
  <c r="H7" i="3"/>
  <c r="E7" i="3"/>
  <c r="H6" i="3"/>
  <c r="E6" i="3"/>
  <c r="H5" i="3"/>
  <c r="E5" i="3"/>
  <c r="N118" i="1"/>
  <c r="Q118" i="1"/>
  <c r="R118" i="1"/>
  <c r="N116" i="1"/>
  <c r="Q116" i="1"/>
  <c r="N117" i="1"/>
  <c r="Q117" i="1"/>
  <c r="R117" i="1" s="1"/>
  <c r="N135" i="1"/>
  <c r="Q135" i="1"/>
  <c r="N129" i="1"/>
  <c r="Q129" i="1"/>
  <c r="N130" i="1"/>
  <c r="Q130" i="1"/>
  <c r="E135" i="1"/>
  <c r="H135" i="1"/>
  <c r="E136" i="1"/>
  <c r="H136" i="1"/>
  <c r="E137" i="1"/>
  <c r="H137" i="1"/>
  <c r="E138" i="1"/>
  <c r="H138" i="1"/>
  <c r="I138" i="1" s="1"/>
  <c r="E129" i="1"/>
  <c r="H129" i="1"/>
  <c r="I129" i="1" s="1"/>
  <c r="E131" i="1"/>
  <c r="H131" i="1"/>
  <c r="G160" i="1"/>
  <c r="F160" i="1"/>
  <c r="D160" i="1"/>
  <c r="C160" i="1"/>
  <c r="Q159" i="1"/>
  <c r="N159" i="1"/>
  <c r="H159" i="1"/>
  <c r="E159" i="1"/>
  <c r="I159" i="1" s="1"/>
  <c r="H158" i="1"/>
  <c r="E158" i="1"/>
  <c r="I158" i="1" s="1"/>
  <c r="H157" i="1"/>
  <c r="E157" i="1"/>
  <c r="I157" i="1" s="1"/>
  <c r="H156" i="1"/>
  <c r="E156" i="1"/>
  <c r="Q155" i="1"/>
  <c r="R155" i="1" s="1"/>
  <c r="N155" i="1"/>
  <c r="H155" i="1"/>
  <c r="E155" i="1"/>
  <c r="I155" i="1" s="1"/>
  <c r="Q154" i="1"/>
  <c r="N154" i="1"/>
  <c r="R154" i="1" s="1"/>
  <c r="H154" i="1"/>
  <c r="E154" i="1"/>
  <c r="I154" i="1" s="1"/>
  <c r="Q153" i="1"/>
  <c r="N153" i="1"/>
  <c r="R153" i="1" s="1"/>
  <c r="H153" i="1"/>
  <c r="E153" i="1"/>
  <c r="I153" i="1" s="1"/>
  <c r="Q152" i="1"/>
  <c r="N152" i="1"/>
  <c r="H152" i="1"/>
  <c r="E152" i="1"/>
  <c r="Q151" i="1"/>
  <c r="N151" i="1"/>
  <c r="H151" i="1"/>
  <c r="E151" i="1"/>
  <c r="I151" i="1" s="1"/>
  <c r="Q150" i="1"/>
  <c r="N150" i="1"/>
  <c r="R150" i="1" s="1"/>
  <c r="H150" i="1"/>
  <c r="E150" i="1"/>
  <c r="I150" i="1" s="1"/>
  <c r="Q149" i="1"/>
  <c r="N149" i="1"/>
  <c r="R149" i="1" s="1"/>
  <c r="H149" i="1"/>
  <c r="E149" i="1"/>
  <c r="I149" i="1" s="1"/>
  <c r="Q148" i="1"/>
  <c r="N148" i="1"/>
  <c r="R148" i="1" s="1"/>
  <c r="H148" i="1"/>
  <c r="E148" i="1"/>
  <c r="I148" i="1" s="1"/>
  <c r="Q147" i="1"/>
  <c r="N147" i="1"/>
  <c r="R147" i="1" s="1"/>
  <c r="H147" i="1"/>
  <c r="E147" i="1"/>
  <c r="I147" i="1" s="1"/>
  <c r="Q146" i="1"/>
  <c r="N146" i="1"/>
  <c r="R146" i="1" s="1"/>
  <c r="H146" i="1"/>
  <c r="E146" i="1"/>
  <c r="I146" i="1" s="1"/>
  <c r="Q145" i="1"/>
  <c r="N145" i="1"/>
  <c r="R145" i="1" s="1"/>
  <c r="H145" i="1"/>
  <c r="E145" i="1"/>
  <c r="I145" i="1" s="1"/>
  <c r="Q144" i="1"/>
  <c r="N144" i="1"/>
  <c r="R144" i="1" s="1"/>
  <c r="H144" i="1"/>
  <c r="E144" i="1"/>
  <c r="I144" i="1" s="1"/>
  <c r="Q143" i="1"/>
  <c r="N143" i="1"/>
  <c r="R143" i="1" s="1"/>
  <c r="H143" i="1"/>
  <c r="E143" i="1"/>
  <c r="Q142" i="1"/>
  <c r="N142" i="1"/>
  <c r="H142" i="1"/>
  <c r="E142" i="1"/>
  <c r="Q141" i="1"/>
  <c r="N141" i="1"/>
  <c r="R141" i="1" s="1"/>
  <c r="H141" i="1"/>
  <c r="E141" i="1"/>
  <c r="Q140" i="1"/>
  <c r="N140" i="1"/>
  <c r="R140" i="1" s="1"/>
  <c r="H140" i="1"/>
  <c r="E140" i="1"/>
  <c r="H139" i="1"/>
  <c r="E139" i="1"/>
  <c r="Q136" i="1"/>
  <c r="N136" i="1"/>
  <c r="R136" i="1" s="1"/>
  <c r="Q133" i="1"/>
  <c r="N133" i="1"/>
  <c r="R133" i="1" s="1"/>
  <c r="H133" i="1"/>
  <c r="E133" i="1"/>
  <c r="I133" i="1" s="1"/>
  <c r="Q132" i="1"/>
  <c r="N132" i="1"/>
  <c r="R132" i="1" s="1"/>
  <c r="H132" i="1"/>
  <c r="E132" i="1"/>
  <c r="I132" i="1" s="1"/>
  <c r="Q94" i="1"/>
  <c r="N94" i="1"/>
  <c r="R94" i="1" s="1"/>
  <c r="Q89" i="1"/>
  <c r="N89" i="1"/>
  <c r="R89" i="1" s="1"/>
  <c r="Q88" i="1"/>
  <c r="N88" i="1"/>
  <c r="R88" i="1" s="1"/>
  <c r="E48" i="1"/>
  <c r="H48" i="1"/>
  <c r="I48" i="1" s="1"/>
  <c r="E54" i="1"/>
  <c r="I54" i="1" s="1"/>
  <c r="H54" i="1"/>
  <c r="H94" i="1"/>
  <c r="E94" i="1"/>
  <c r="H88" i="1"/>
  <c r="E88" i="1"/>
  <c r="E89" i="1"/>
  <c r="H89" i="1"/>
  <c r="I89" i="1"/>
  <c r="E90" i="1"/>
  <c r="H90" i="1"/>
  <c r="N92" i="1"/>
  <c r="Q92" i="1"/>
  <c r="R92" i="1" s="1"/>
  <c r="N90" i="1"/>
  <c r="Q90" i="1"/>
  <c r="R90" i="1"/>
  <c r="N91" i="1"/>
  <c r="Q91" i="1"/>
  <c r="R91" i="1" s="1"/>
  <c r="N47" i="1"/>
  <c r="R47" i="1" s="1"/>
  <c r="Q47" i="1"/>
  <c r="E95" i="1"/>
  <c r="H95" i="1"/>
  <c r="N95" i="1"/>
  <c r="Q95" i="1"/>
  <c r="R95" i="1"/>
  <c r="E96" i="1"/>
  <c r="H96" i="1"/>
  <c r="N96" i="1"/>
  <c r="Q96" i="1"/>
  <c r="R96" i="1" s="1"/>
  <c r="E97" i="1"/>
  <c r="I97" i="1" s="1"/>
  <c r="H97" i="1"/>
  <c r="N97" i="1"/>
  <c r="Q97" i="1"/>
  <c r="R97" i="1"/>
  <c r="E98" i="1"/>
  <c r="H98" i="1"/>
  <c r="I98" i="1" s="1"/>
  <c r="N98" i="1"/>
  <c r="Q98" i="1"/>
  <c r="R98" i="1"/>
  <c r="E99" i="1"/>
  <c r="H99" i="1"/>
  <c r="I99" i="1" s="1"/>
  <c r="N99" i="1"/>
  <c r="Q99" i="1"/>
  <c r="R99" i="1"/>
  <c r="E100" i="1"/>
  <c r="H100" i="1"/>
  <c r="I100" i="1" s="1"/>
  <c r="N100" i="1"/>
  <c r="Q100" i="1"/>
  <c r="R100" i="1"/>
  <c r="E101" i="1"/>
  <c r="H101" i="1"/>
  <c r="I101" i="1" s="1"/>
  <c r="N101" i="1"/>
  <c r="Q101" i="1"/>
  <c r="R101" i="1"/>
  <c r="E102" i="1"/>
  <c r="H102" i="1"/>
  <c r="I102" i="1" s="1"/>
  <c r="N102" i="1"/>
  <c r="Q102" i="1"/>
  <c r="R102" i="1"/>
  <c r="E103" i="1"/>
  <c r="H103" i="1"/>
  <c r="I103" i="1" s="1"/>
  <c r="N103" i="1"/>
  <c r="Q103" i="1"/>
  <c r="R103" i="1"/>
  <c r="E104" i="1"/>
  <c r="H104" i="1"/>
  <c r="I104" i="1" s="1"/>
  <c r="N104" i="1"/>
  <c r="Q104" i="1"/>
  <c r="R104" i="1"/>
  <c r="E105" i="1"/>
  <c r="H105" i="1"/>
  <c r="I105" i="1" s="1"/>
  <c r="N105" i="1"/>
  <c r="Q105" i="1"/>
  <c r="R105" i="1"/>
  <c r="E106" i="1"/>
  <c r="H106" i="1"/>
  <c r="I106" i="1" s="1"/>
  <c r="N106" i="1"/>
  <c r="Q106" i="1"/>
  <c r="R106" i="1"/>
  <c r="E107" i="1"/>
  <c r="H107" i="1"/>
  <c r="I107" i="1" s="1"/>
  <c r="N107" i="1"/>
  <c r="Q107" i="1"/>
  <c r="R107" i="1"/>
  <c r="E108" i="1"/>
  <c r="H108" i="1"/>
  <c r="I108" i="1" s="1"/>
  <c r="N108" i="1"/>
  <c r="Q108" i="1"/>
  <c r="R108" i="1"/>
  <c r="E113" i="1"/>
  <c r="H113" i="1"/>
  <c r="I113" i="1" s="1"/>
  <c r="N113" i="1"/>
  <c r="R113" i="1" s="1"/>
  <c r="Q113" i="1"/>
  <c r="E114" i="1"/>
  <c r="H114" i="1"/>
  <c r="I114" i="1"/>
  <c r="N114" i="1"/>
  <c r="Q114" i="1"/>
  <c r="E115" i="1"/>
  <c r="H115" i="1"/>
  <c r="I115" i="1" s="1"/>
  <c r="N115" i="1"/>
  <c r="R115" i="1" s="1"/>
  <c r="Q115" i="1"/>
  <c r="E116" i="1"/>
  <c r="H116" i="1"/>
  <c r="I116" i="1"/>
  <c r="E117" i="1"/>
  <c r="H117" i="1"/>
  <c r="I117" i="1" s="1"/>
  <c r="E118" i="1"/>
  <c r="H118" i="1"/>
  <c r="I118" i="1"/>
  <c r="G119" i="1"/>
  <c r="F119" i="1"/>
  <c r="D119" i="1"/>
  <c r="C119" i="1"/>
  <c r="Q112" i="1"/>
  <c r="R112" i="1" s="1"/>
  <c r="N112" i="1"/>
  <c r="H112" i="1"/>
  <c r="E112" i="1"/>
  <c r="Q111" i="1"/>
  <c r="R111" i="1" s="1"/>
  <c r="N111" i="1"/>
  <c r="H111" i="1"/>
  <c r="E111" i="1"/>
  <c r="Q110" i="1"/>
  <c r="R110" i="1" s="1"/>
  <c r="N110" i="1"/>
  <c r="H110" i="1"/>
  <c r="E110" i="1"/>
  <c r="Q109" i="1"/>
  <c r="R109" i="1" s="1"/>
  <c r="N109" i="1"/>
  <c r="H109" i="1"/>
  <c r="E109" i="1"/>
  <c r="H92" i="1"/>
  <c r="E92" i="1"/>
  <c r="H91" i="1"/>
  <c r="E91" i="1"/>
  <c r="Q48" i="1"/>
  <c r="N48" i="1"/>
  <c r="Q63" i="1"/>
  <c r="N77" i="1"/>
  <c r="N49" i="1"/>
  <c r="Q49" i="1"/>
  <c r="N50" i="1"/>
  <c r="Q50" i="1"/>
  <c r="Q9" i="1"/>
  <c r="R9" i="1" s="1"/>
  <c r="N9" i="1"/>
  <c r="Q16" i="1"/>
  <c r="N16" i="1"/>
  <c r="H26" i="1"/>
  <c r="E26" i="1"/>
  <c r="E19" i="1"/>
  <c r="H19" i="1"/>
  <c r="Q14" i="1"/>
  <c r="N14" i="1"/>
  <c r="Q13" i="1"/>
  <c r="N13" i="1"/>
  <c r="G78" i="1"/>
  <c r="H78" i="1" s="1"/>
  <c r="F78" i="1"/>
  <c r="D78" i="1"/>
  <c r="C78" i="1"/>
  <c r="H77" i="1"/>
  <c r="E77" i="1"/>
  <c r="H76" i="1"/>
  <c r="E76" i="1"/>
  <c r="H75" i="1"/>
  <c r="E75" i="1"/>
  <c r="H74" i="1"/>
  <c r="E74" i="1"/>
  <c r="H73" i="1"/>
  <c r="E73" i="1"/>
  <c r="H72" i="1"/>
  <c r="E72" i="1"/>
  <c r="H71" i="1"/>
  <c r="E71" i="1"/>
  <c r="H70" i="1"/>
  <c r="E70" i="1"/>
  <c r="H69" i="1"/>
  <c r="E69" i="1"/>
  <c r="H68" i="1"/>
  <c r="E68" i="1"/>
  <c r="H67" i="1"/>
  <c r="E67" i="1"/>
  <c r="H66" i="1"/>
  <c r="E66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3" i="1"/>
  <c r="E53" i="1"/>
  <c r="H51" i="1"/>
  <c r="E51" i="1"/>
  <c r="H50" i="1"/>
  <c r="E50" i="1"/>
  <c r="H49" i="1"/>
  <c r="I49" i="1" s="1"/>
  <c r="E49" i="1"/>
  <c r="H47" i="1"/>
  <c r="E47" i="1"/>
  <c r="G37" i="1"/>
  <c r="F37" i="1"/>
  <c r="D37" i="1"/>
  <c r="C37" i="1"/>
  <c r="H36" i="1"/>
  <c r="E36" i="1"/>
  <c r="H35" i="1"/>
  <c r="E35" i="1"/>
  <c r="H34" i="1"/>
  <c r="I34" i="1" s="1"/>
  <c r="E34" i="1"/>
  <c r="H33" i="1"/>
  <c r="E33" i="1"/>
  <c r="I33" i="1" s="1"/>
  <c r="H32" i="1"/>
  <c r="E32" i="1"/>
  <c r="H31" i="1"/>
  <c r="E31" i="1"/>
  <c r="I31" i="1" s="1"/>
  <c r="H30" i="1"/>
  <c r="E30" i="1"/>
  <c r="H29" i="1"/>
  <c r="E29" i="1"/>
  <c r="H28" i="1"/>
  <c r="E28" i="1"/>
  <c r="H27" i="1"/>
  <c r="E27" i="1"/>
  <c r="H25" i="1"/>
  <c r="E25" i="1"/>
  <c r="I25" i="1" s="1"/>
  <c r="H24" i="1"/>
  <c r="E24" i="1"/>
  <c r="H23" i="1"/>
  <c r="E23" i="1"/>
  <c r="H22" i="1"/>
  <c r="E22" i="1"/>
  <c r="H21" i="1"/>
  <c r="E21" i="1"/>
  <c r="I21" i="1" s="1"/>
  <c r="H20" i="1"/>
  <c r="E20" i="1"/>
  <c r="H18" i="1"/>
  <c r="E18" i="1"/>
  <c r="H17" i="1"/>
  <c r="E17" i="1"/>
  <c r="H16" i="1"/>
  <c r="E16" i="1"/>
  <c r="H15" i="1"/>
  <c r="E15" i="1"/>
  <c r="H14" i="1"/>
  <c r="E14" i="1"/>
  <c r="I14" i="1" s="1"/>
  <c r="H13" i="1"/>
  <c r="E13" i="1"/>
  <c r="I13" i="1" s="1"/>
  <c r="H12" i="1"/>
  <c r="E12" i="1"/>
  <c r="G11" i="1"/>
  <c r="F11" i="1"/>
  <c r="D11" i="1"/>
  <c r="C11" i="1"/>
  <c r="H10" i="1"/>
  <c r="E10" i="1"/>
  <c r="I10" i="1" s="1"/>
  <c r="H9" i="1"/>
  <c r="E9" i="1"/>
  <c r="H8" i="1"/>
  <c r="E8" i="1"/>
  <c r="H7" i="1"/>
  <c r="E7" i="1"/>
  <c r="H6" i="1"/>
  <c r="E6" i="1"/>
  <c r="I6" i="1" s="1"/>
  <c r="H5" i="1"/>
  <c r="E5" i="1"/>
  <c r="I5" i="1" s="1"/>
  <c r="Q77" i="1"/>
  <c r="N8" i="1"/>
  <c r="Q8" i="1"/>
  <c r="Q76" i="1"/>
  <c r="N76" i="1"/>
  <c r="Q75" i="1"/>
  <c r="N75" i="1"/>
  <c r="Q74" i="1"/>
  <c r="N74" i="1"/>
  <c r="Q73" i="1"/>
  <c r="N73" i="1"/>
  <c r="Q72" i="1"/>
  <c r="N72" i="1"/>
  <c r="R72" i="1" s="1"/>
  <c r="Q71" i="1"/>
  <c r="N71" i="1"/>
  <c r="Q70" i="1"/>
  <c r="N70" i="1"/>
  <c r="Q69" i="1"/>
  <c r="N69" i="1"/>
  <c r="Q68" i="1"/>
  <c r="N68" i="1"/>
  <c r="Q67" i="1"/>
  <c r="N67" i="1"/>
  <c r="R67" i="1" s="1"/>
  <c r="Q66" i="1"/>
  <c r="N66" i="1"/>
  <c r="R66" i="1" s="1"/>
  <c r="Q65" i="1"/>
  <c r="N65" i="1"/>
  <c r="R65" i="1" s="1"/>
  <c r="Q64" i="1"/>
  <c r="N64" i="1"/>
  <c r="N63" i="1"/>
  <c r="Q62" i="1"/>
  <c r="N62" i="1"/>
  <c r="Q61" i="1"/>
  <c r="N61" i="1"/>
  <c r="Q60" i="1"/>
  <c r="N60" i="1"/>
  <c r="Q59" i="1"/>
  <c r="N59" i="1"/>
  <c r="Q58" i="1"/>
  <c r="N58" i="1"/>
  <c r="Q57" i="1"/>
  <c r="N57" i="1"/>
  <c r="Q56" i="1"/>
  <c r="N56" i="1"/>
  <c r="Q55" i="1"/>
  <c r="N55" i="1"/>
  <c r="Q54" i="1"/>
  <c r="N54" i="1"/>
  <c r="Q53" i="1"/>
  <c r="N53" i="1"/>
  <c r="Q51" i="1"/>
  <c r="N51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12" i="1"/>
  <c r="O47" i="5" l="1"/>
  <c r="AD110" i="5"/>
  <c r="AD109" i="5"/>
  <c r="R95" i="3"/>
  <c r="AD105" i="5"/>
  <c r="S117" i="5"/>
  <c r="T117" i="5" s="1"/>
  <c r="AD104" i="5"/>
  <c r="AD193" i="5"/>
  <c r="AD168" i="5"/>
  <c r="AC197" i="5"/>
  <c r="AD102" i="5"/>
  <c r="W197" i="5"/>
  <c r="T197" i="5"/>
  <c r="Z197" i="5"/>
  <c r="AD100" i="5"/>
  <c r="AD130" i="5"/>
  <c r="AD113" i="5"/>
  <c r="AD112" i="5"/>
  <c r="I262" i="1"/>
  <c r="R281" i="1"/>
  <c r="AD116" i="5"/>
  <c r="AD66" i="5"/>
  <c r="AD65" i="5"/>
  <c r="O53" i="5"/>
  <c r="S77" i="5"/>
  <c r="T77" i="5" s="1"/>
  <c r="O52" i="5"/>
  <c r="AD57" i="5"/>
  <c r="O46" i="5"/>
  <c r="AD115" i="5"/>
  <c r="T157" i="5"/>
  <c r="W157" i="5"/>
  <c r="AC157" i="5"/>
  <c r="AD28" i="5"/>
  <c r="AD27" i="5"/>
  <c r="AD114" i="5"/>
  <c r="O157" i="5"/>
  <c r="Z157" i="5"/>
  <c r="AD33" i="5"/>
  <c r="AD36" i="5"/>
  <c r="AD35" i="5"/>
  <c r="O14" i="5"/>
  <c r="AD76" i="5"/>
  <c r="AD21" i="5"/>
  <c r="AD88" i="5"/>
  <c r="AD20" i="5"/>
  <c r="AD19" i="5"/>
  <c r="AD18" i="5"/>
  <c r="AD17" i="5"/>
  <c r="AD16" i="5"/>
  <c r="AD15" i="5"/>
  <c r="AD14" i="5"/>
  <c r="J38" i="5"/>
  <c r="J45" i="5" s="1"/>
  <c r="J51" i="5" s="1"/>
  <c r="J78" i="5" s="1"/>
  <c r="J85" i="5" s="1"/>
  <c r="J91" i="5" s="1"/>
  <c r="J118" i="5" s="1"/>
  <c r="J125" i="5" s="1"/>
  <c r="J131" i="5" s="1"/>
  <c r="J158" i="5" s="1"/>
  <c r="J165" i="5" s="1"/>
  <c r="I38" i="5"/>
  <c r="I45" i="5" s="1"/>
  <c r="O13" i="5"/>
  <c r="AD13" i="5"/>
  <c r="L51" i="5"/>
  <c r="L78" i="5" s="1"/>
  <c r="L85" i="5" s="1"/>
  <c r="L91" i="5" s="1"/>
  <c r="L118" i="5" s="1"/>
  <c r="L125" i="5" s="1"/>
  <c r="L131" i="5" s="1"/>
  <c r="L158" i="5" s="1"/>
  <c r="L165" i="5" s="1"/>
  <c r="I51" i="5"/>
  <c r="K45" i="5"/>
  <c r="O5" i="5"/>
  <c r="AD75" i="5"/>
  <c r="Q283" i="1"/>
  <c r="H37" i="5"/>
  <c r="F38" i="5"/>
  <c r="F45" i="5" s="1"/>
  <c r="AD32" i="5"/>
  <c r="W117" i="5"/>
  <c r="AC117" i="5"/>
  <c r="Z117" i="5"/>
  <c r="I102" i="3"/>
  <c r="AD34" i="5"/>
  <c r="AD12" i="5"/>
  <c r="AD74" i="5"/>
  <c r="O117" i="5"/>
  <c r="W77" i="5"/>
  <c r="N244" i="1"/>
  <c r="M245" i="1" s="1"/>
  <c r="AC77" i="5"/>
  <c r="Z77" i="5"/>
  <c r="I100" i="3"/>
  <c r="I239" i="1"/>
  <c r="S38" i="5"/>
  <c r="S45" i="5" s="1"/>
  <c r="S51" i="5" s="1"/>
  <c r="I98" i="3"/>
  <c r="I238" i="1"/>
  <c r="Z37" i="5"/>
  <c r="T37" i="5"/>
  <c r="AC37" i="5"/>
  <c r="AA38" i="5"/>
  <c r="AA45" i="5" s="1"/>
  <c r="Y38" i="5"/>
  <c r="Y45" i="5" s="1"/>
  <c r="Y51" i="5" s="1"/>
  <c r="Y78" i="5" s="1"/>
  <c r="Y85" i="5" s="1"/>
  <c r="Y91" i="5" s="1"/>
  <c r="Y118" i="5" s="1"/>
  <c r="Y125" i="5" s="1"/>
  <c r="Y131" i="5" s="1"/>
  <c r="Y158" i="5" s="1"/>
  <c r="Y165" i="5" s="1"/>
  <c r="Y171" i="5" s="1"/>
  <c r="Y198" i="5" s="1"/>
  <c r="X38" i="5"/>
  <c r="X45" i="5" s="1"/>
  <c r="V38" i="5"/>
  <c r="V45" i="5" s="1"/>
  <c r="V51" i="5" s="1"/>
  <c r="V78" i="5" s="1"/>
  <c r="V85" i="5" s="1"/>
  <c r="V91" i="5" s="1"/>
  <c r="V118" i="5" s="1"/>
  <c r="V125" i="5" s="1"/>
  <c r="V131" i="5" s="1"/>
  <c r="V158" i="5" s="1"/>
  <c r="V165" i="5" s="1"/>
  <c r="V171" i="5" s="1"/>
  <c r="V198" i="5" s="1"/>
  <c r="W37" i="5"/>
  <c r="U38" i="5"/>
  <c r="U45" i="5" s="1"/>
  <c r="R38" i="5"/>
  <c r="H283" i="1"/>
  <c r="E283" i="1"/>
  <c r="AD6" i="5"/>
  <c r="R118" i="3"/>
  <c r="R119" i="3" s="1"/>
  <c r="AC11" i="5"/>
  <c r="AD7" i="5"/>
  <c r="I96" i="3"/>
  <c r="E119" i="3"/>
  <c r="R282" i="1"/>
  <c r="N283" i="1"/>
  <c r="Z11" i="5"/>
  <c r="W11" i="5"/>
  <c r="AB38" i="5"/>
  <c r="AB45" i="5" s="1"/>
  <c r="AB51" i="5" s="1"/>
  <c r="AB78" i="5" s="1"/>
  <c r="AB85" i="5" s="1"/>
  <c r="AB91" i="5" s="1"/>
  <c r="AB118" i="5" s="1"/>
  <c r="AB125" i="5" s="1"/>
  <c r="AB131" i="5" s="1"/>
  <c r="AB158" i="5" s="1"/>
  <c r="AB165" i="5" s="1"/>
  <c r="AB171" i="5" s="1"/>
  <c r="AB198" i="5" s="1"/>
  <c r="T11" i="5"/>
  <c r="O77" i="5"/>
  <c r="K37" i="5"/>
  <c r="M38" i="5"/>
  <c r="O7" i="5"/>
  <c r="O15" i="5"/>
  <c r="K38" i="5"/>
  <c r="N37" i="5"/>
  <c r="N11" i="5"/>
  <c r="K11" i="5"/>
  <c r="D38" i="5"/>
  <c r="D45" i="5" s="1"/>
  <c r="D51" i="5" s="1"/>
  <c r="D78" i="5" s="1"/>
  <c r="D85" i="5" s="1"/>
  <c r="D91" i="5" s="1"/>
  <c r="D118" i="5" s="1"/>
  <c r="D125" i="5" s="1"/>
  <c r="G38" i="5"/>
  <c r="G45" i="5" s="1"/>
  <c r="G51" i="5" s="1"/>
  <c r="G78" i="5" s="1"/>
  <c r="G85" i="5" s="1"/>
  <c r="G91" i="5" s="1"/>
  <c r="G118" i="5" s="1"/>
  <c r="G125" i="5" s="1"/>
  <c r="G131" i="5" s="1"/>
  <c r="G158" i="5" s="1"/>
  <c r="G165" i="5" s="1"/>
  <c r="G171" i="5" s="1"/>
  <c r="G198" i="5" s="1"/>
  <c r="E37" i="5"/>
  <c r="C38" i="5"/>
  <c r="C45" i="5" s="1"/>
  <c r="H11" i="5"/>
  <c r="E11" i="5"/>
  <c r="H119" i="3"/>
  <c r="I119" i="3" s="1"/>
  <c r="I95" i="3"/>
  <c r="L245" i="1"/>
  <c r="N245" i="1"/>
  <c r="I90" i="3"/>
  <c r="R211" i="1"/>
  <c r="I232" i="1"/>
  <c r="I231" i="1"/>
  <c r="I230" i="1"/>
  <c r="I229" i="1"/>
  <c r="I226" i="1"/>
  <c r="I214" i="1"/>
  <c r="I223" i="1"/>
  <c r="I222" i="1"/>
  <c r="I213" i="1"/>
  <c r="I69" i="3"/>
  <c r="R222" i="1"/>
  <c r="I219" i="1"/>
  <c r="Q242" i="1"/>
  <c r="N242" i="1"/>
  <c r="R218" i="1"/>
  <c r="I66" i="3"/>
  <c r="R217" i="1"/>
  <c r="G38" i="3"/>
  <c r="G46" i="3" s="1"/>
  <c r="G52" i="3" s="1"/>
  <c r="G79" i="3" s="1"/>
  <c r="G87" i="3" s="1"/>
  <c r="G93" i="3" s="1"/>
  <c r="G120" i="3" s="1"/>
  <c r="H11" i="3"/>
  <c r="I65" i="3"/>
  <c r="R89" i="3"/>
  <c r="N119" i="3"/>
  <c r="Q119" i="3"/>
  <c r="R38" i="3"/>
  <c r="N38" i="3"/>
  <c r="P38" i="3"/>
  <c r="N38" i="1"/>
  <c r="R191" i="1"/>
  <c r="I63" i="3"/>
  <c r="I54" i="3"/>
  <c r="I60" i="3"/>
  <c r="R67" i="3"/>
  <c r="R241" i="1"/>
  <c r="N240" i="1"/>
  <c r="R240" i="1" s="1"/>
  <c r="R53" i="1"/>
  <c r="R54" i="1"/>
  <c r="I35" i="1"/>
  <c r="I50" i="1"/>
  <c r="I56" i="1"/>
  <c r="I58" i="1"/>
  <c r="I60" i="1"/>
  <c r="I62" i="1"/>
  <c r="I64" i="1"/>
  <c r="I66" i="1"/>
  <c r="I68" i="1"/>
  <c r="I70" i="1"/>
  <c r="I74" i="1"/>
  <c r="R13" i="1"/>
  <c r="R14" i="1"/>
  <c r="R16" i="1"/>
  <c r="R48" i="1"/>
  <c r="I91" i="1"/>
  <c r="I92" i="1"/>
  <c r="I109" i="1"/>
  <c r="I110" i="1"/>
  <c r="I111" i="1"/>
  <c r="I112" i="1"/>
  <c r="R114" i="1"/>
  <c r="I88" i="1"/>
  <c r="I94" i="1"/>
  <c r="I142" i="1"/>
  <c r="R142" i="1"/>
  <c r="I143" i="1"/>
  <c r="R151" i="1"/>
  <c r="I152" i="1"/>
  <c r="R152" i="1"/>
  <c r="I156" i="1"/>
  <c r="R129" i="1"/>
  <c r="R135" i="1"/>
  <c r="R116" i="1"/>
  <c r="I217" i="1"/>
  <c r="I225" i="1"/>
  <c r="I233" i="1"/>
  <c r="I241" i="1"/>
  <c r="I171" i="1"/>
  <c r="I172" i="1"/>
  <c r="I173" i="1"/>
  <c r="R173" i="1"/>
  <c r="I174" i="1"/>
  <c r="I177" i="1"/>
  <c r="I178" i="1"/>
  <c r="I179" i="1"/>
  <c r="I180" i="1"/>
  <c r="I181" i="1"/>
  <c r="R181" i="1"/>
  <c r="I182" i="1"/>
  <c r="R182" i="1"/>
  <c r="I183" i="1"/>
  <c r="R183" i="1"/>
  <c r="I184" i="1"/>
  <c r="R184" i="1"/>
  <c r="I185" i="1"/>
  <c r="I186" i="1"/>
  <c r="I187" i="1"/>
  <c r="R187" i="1"/>
  <c r="I188" i="1"/>
  <c r="I189" i="1"/>
  <c r="I190" i="1"/>
  <c r="I191" i="1"/>
  <c r="I192" i="1"/>
  <c r="R192" i="1"/>
  <c r="I193" i="1"/>
  <c r="R193" i="1"/>
  <c r="I194" i="1"/>
  <c r="R194" i="1"/>
  <c r="I195" i="1"/>
  <c r="R195" i="1"/>
  <c r="I196" i="1"/>
  <c r="R196" i="1"/>
  <c r="I197" i="1"/>
  <c r="I198" i="1"/>
  <c r="I199" i="1"/>
  <c r="I200" i="1"/>
  <c r="R131" i="1"/>
  <c r="R171" i="1"/>
  <c r="R172" i="1"/>
  <c r="R197" i="1"/>
  <c r="R158" i="1"/>
  <c r="R198" i="1"/>
  <c r="I212" i="1"/>
  <c r="R213" i="1"/>
  <c r="I220" i="1"/>
  <c r="R220" i="1"/>
  <c r="I224" i="1"/>
  <c r="R224" i="1"/>
  <c r="R225" i="1"/>
  <c r="I228" i="1"/>
  <c r="R228" i="1"/>
  <c r="R229" i="1"/>
  <c r="R231" i="1"/>
  <c r="R232" i="1"/>
  <c r="R233" i="1"/>
  <c r="I236" i="1"/>
  <c r="R236" i="1"/>
  <c r="R237" i="1"/>
  <c r="I240" i="1"/>
  <c r="E242" i="1"/>
  <c r="H242" i="1"/>
  <c r="R212" i="1"/>
  <c r="R179" i="1"/>
  <c r="R177" i="1"/>
  <c r="E78" i="3"/>
  <c r="I170" i="1"/>
  <c r="I176" i="1"/>
  <c r="H201" i="1"/>
  <c r="E201" i="1"/>
  <c r="R76" i="3"/>
  <c r="I131" i="1"/>
  <c r="I16" i="3"/>
  <c r="R200" i="1"/>
  <c r="Q75" i="3"/>
  <c r="R75" i="3" s="1"/>
  <c r="I13" i="3"/>
  <c r="R36" i="3"/>
  <c r="R15" i="3"/>
  <c r="R14" i="3"/>
  <c r="H37" i="3"/>
  <c r="R138" i="1"/>
  <c r="I130" i="1"/>
  <c r="I5" i="3"/>
  <c r="I141" i="1"/>
  <c r="I140" i="1"/>
  <c r="I139" i="1"/>
  <c r="R77" i="3"/>
  <c r="I137" i="1"/>
  <c r="R6" i="3"/>
  <c r="I136" i="1"/>
  <c r="E160" i="1"/>
  <c r="I135" i="1"/>
  <c r="R170" i="1"/>
  <c r="R174" i="1"/>
  <c r="R178" i="1"/>
  <c r="R180" i="1"/>
  <c r="R48" i="3"/>
  <c r="R5" i="3"/>
  <c r="R159" i="1"/>
  <c r="I7" i="3"/>
  <c r="I12" i="3"/>
  <c r="I22" i="3"/>
  <c r="E37" i="3"/>
  <c r="R13" i="3"/>
  <c r="R16" i="3"/>
  <c r="I25" i="3"/>
  <c r="I28" i="3"/>
  <c r="R51" i="3"/>
  <c r="R55" i="3"/>
  <c r="R58" i="3"/>
  <c r="R61" i="3"/>
  <c r="R64" i="3"/>
  <c r="I24" i="3"/>
  <c r="I6" i="3"/>
  <c r="C38" i="3"/>
  <c r="C46" i="3" s="1"/>
  <c r="I15" i="3"/>
  <c r="I21" i="3"/>
  <c r="I27" i="3"/>
  <c r="I33" i="3"/>
  <c r="F38" i="3"/>
  <c r="F46" i="3" s="1"/>
  <c r="I55" i="3"/>
  <c r="R56" i="3"/>
  <c r="I58" i="3"/>
  <c r="R59" i="3"/>
  <c r="I61" i="3"/>
  <c r="I64" i="3"/>
  <c r="R65" i="3"/>
  <c r="I67" i="3"/>
  <c r="R68" i="3"/>
  <c r="I70" i="3"/>
  <c r="I73" i="3"/>
  <c r="R74" i="3"/>
  <c r="I76" i="3"/>
  <c r="I10" i="3"/>
  <c r="I8" i="3"/>
  <c r="I17" i="3"/>
  <c r="I23" i="3"/>
  <c r="I29" i="3"/>
  <c r="I35" i="3"/>
  <c r="I56" i="3"/>
  <c r="R57" i="3"/>
  <c r="I59" i="3"/>
  <c r="R60" i="3"/>
  <c r="I62" i="3"/>
  <c r="R63" i="3"/>
  <c r="I68" i="3"/>
  <c r="I71" i="3"/>
  <c r="R72" i="3"/>
  <c r="I74" i="3"/>
  <c r="I77" i="3"/>
  <c r="H78" i="3"/>
  <c r="D38" i="3"/>
  <c r="D46" i="3" s="1"/>
  <c r="D52" i="3" s="1"/>
  <c r="D79" i="3" s="1"/>
  <c r="D87" i="3" s="1"/>
  <c r="D93" i="3" s="1"/>
  <c r="D120" i="3" s="1"/>
  <c r="E11" i="3"/>
  <c r="I11" i="3" s="1"/>
  <c r="R130" i="1"/>
  <c r="H160" i="1"/>
  <c r="I90" i="1"/>
  <c r="I96" i="1"/>
  <c r="I95" i="1"/>
  <c r="H119" i="1"/>
  <c r="E119" i="1"/>
  <c r="E78" i="1"/>
  <c r="I78" i="1" s="1"/>
  <c r="R51" i="1"/>
  <c r="R59" i="1"/>
  <c r="R50" i="1"/>
  <c r="R49" i="1"/>
  <c r="R57" i="1"/>
  <c r="I8" i="1"/>
  <c r="I29" i="1"/>
  <c r="I27" i="1"/>
  <c r="I26" i="1"/>
  <c r="I23" i="1"/>
  <c r="I22" i="1"/>
  <c r="I7" i="1"/>
  <c r="E11" i="1"/>
  <c r="I19" i="1"/>
  <c r="I17" i="1"/>
  <c r="E37" i="1"/>
  <c r="I16" i="1"/>
  <c r="F38" i="1"/>
  <c r="F46" i="1" s="1"/>
  <c r="D38" i="1"/>
  <c r="D46" i="1" s="1"/>
  <c r="D52" i="1" s="1"/>
  <c r="D79" i="1" s="1"/>
  <c r="D87" i="1" s="1"/>
  <c r="D93" i="1" s="1"/>
  <c r="D120" i="1" s="1"/>
  <c r="D128" i="1" s="1"/>
  <c r="D134" i="1" s="1"/>
  <c r="D161" i="1" s="1"/>
  <c r="D169" i="1" s="1"/>
  <c r="D175" i="1" s="1"/>
  <c r="D202" i="1" s="1"/>
  <c r="D210" i="1" s="1"/>
  <c r="D216" i="1" s="1"/>
  <c r="D243" i="1" s="1"/>
  <c r="D251" i="1" s="1"/>
  <c r="D257" i="1" s="1"/>
  <c r="D284" i="1" s="1"/>
  <c r="I15" i="1"/>
  <c r="I12" i="1"/>
  <c r="I47" i="1"/>
  <c r="I65" i="1"/>
  <c r="I77" i="1"/>
  <c r="R55" i="1"/>
  <c r="R69" i="1"/>
  <c r="I9" i="1"/>
  <c r="I18" i="1"/>
  <c r="I30" i="1"/>
  <c r="I72" i="1"/>
  <c r="R63" i="1"/>
  <c r="I53" i="1"/>
  <c r="R61" i="1"/>
  <c r="R71" i="1"/>
  <c r="R75" i="1"/>
  <c r="I28" i="1"/>
  <c r="I57" i="1"/>
  <c r="I63" i="1"/>
  <c r="I69" i="1"/>
  <c r="I75" i="1"/>
  <c r="G38" i="1"/>
  <c r="G46" i="1" s="1"/>
  <c r="G52" i="1" s="1"/>
  <c r="G79" i="1" s="1"/>
  <c r="G87" i="1" s="1"/>
  <c r="G93" i="1" s="1"/>
  <c r="G120" i="1" s="1"/>
  <c r="G128" i="1" s="1"/>
  <c r="G134" i="1" s="1"/>
  <c r="G161" i="1" s="1"/>
  <c r="G169" i="1" s="1"/>
  <c r="G175" i="1" s="1"/>
  <c r="G202" i="1" s="1"/>
  <c r="G210" i="1" s="1"/>
  <c r="G216" i="1" s="1"/>
  <c r="G243" i="1" s="1"/>
  <c r="G251" i="1" s="1"/>
  <c r="G257" i="1" s="1"/>
  <c r="G284" i="1" s="1"/>
  <c r="I76" i="1"/>
  <c r="I20" i="1"/>
  <c r="I32" i="1"/>
  <c r="I59" i="1"/>
  <c r="I71" i="1"/>
  <c r="R60" i="1"/>
  <c r="R73" i="1"/>
  <c r="R77" i="1"/>
  <c r="I24" i="1"/>
  <c r="I36" i="1"/>
  <c r="I51" i="1"/>
  <c r="I55" i="1"/>
  <c r="I61" i="1"/>
  <c r="I67" i="1"/>
  <c r="I73" i="1"/>
  <c r="R8" i="1"/>
  <c r="R58" i="1"/>
  <c r="R64" i="1"/>
  <c r="R70" i="1"/>
  <c r="R76" i="1"/>
  <c r="H11" i="1"/>
  <c r="C38" i="1"/>
  <c r="R56" i="1"/>
  <c r="R62" i="1"/>
  <c r="R68" i="1"/>
  <c r="R74" i="1"/>
  <c r="H37" i="1"/>
  <c r="L171" i="5" l="1"/>
  <c r="K51" i="5"/>
  <c r="J171" i="5"/>
  <c r="D131" i="5"/>
  <c r="AD197" i="5"/>
  <c r="R283" i="1"/>
  <c r="S78" i="5"/>
  <c r="S85" i="5" s="1"/>
  <c r="S91" i="5" s="1"/>
  <c r="S118" i="5" s="1"/>
  <c r="S125" i="5" s="1"/>
  <c r="S131" i="5" s="1"/>
  <c r="S158" i="5" s="1"/>
  <c r="S165" i="5" s="1"/>
  <c r="AD157" i="5"/>
  <c r="O37" i="5"/>
  <c r="N38" i="5"/>
  <c r="M45" i="5"/>
  <c r="I78" i="5"/>
  <c r="I85" i="5" s="1"/>
  <c r="H45" i="5"/>
  <c r="F51" i="5"/>
  <c r="AD117" i="5"/>
  <c r="T38" i="5"/>
  <c r="R45" i="5"/>
  <c r="X51" i="5"/>
  <c r="Z45" i="5"/>
  <c r="AC45" i="5"/>
  <c r="AA51" i="5"/>
  <c r="U51" i="5"/>
  <c r="W45" i="5"/>
  <c r="AD77" i="5"/>
  <c r="C51" i="5"/>
  <c r="E45" i="5"/>
  <c r="I283" i="1"/>
  <c r="W38" i="5"/>
  <c r="AC38" i="5"/>
  <c r="AD37" i="5"/>
  <c r="Z38" i="5"/>
  <c r="AD11" i="5"/>
  <c r="O11" i="5"/>
  <c r="E38" i="5"/>
  <c r="H38" i="5"/>
  <c r="R242" i="1"/>
  <c r="I242" i="1"/>
  <c r="P52" i="3"/>
  <c r="P79" i="3" s="1"/>
  <c r="P87" i="3" s="1"/>
  <c r="P93" i="3" s="1"/>
  <c r="P120" i="3" s="1"/>
  <c r="O52" i="3"/>
  <c r="O79" i="3" s="1"/>
  <c r="O87" i="3" s="1"/>
  <c r="O93" i="3" s="1"/>
  <c r="O120" i="3" s="1"/>
  <c r="M52" i="3"/>
  <c r="M79" i="3" s="1"/>
  <c r="M87" i="3" s="1"/>
  <c r="M93" i="3" s="1"/>
  <c r="M120" i="3" s="1"/>
  <c r="I78" i="3"/>
  <c r="I201" i="1"/>
  <c r="I37" i="3"/>
  <c r="I160" i="1"/>
  <c r="H38" i="3"/>
  <c r="L52" i="3"/>
  <c r="Q52" i="3"/>
  <c r="Q79" i="3" s="1"/>
  <c r="Q87" i="3" s="1"/>
  <c r="Q93" i="3" s="1"/>
  <c r="Q120" i="3" s="1"/>
  <c r="E38" i="3"/>
  <c r="F52" i="3"/>
  <c r="H46" i="3"/>
  <c r="E46" i="3"/>
  <c r="C52" i="3"/>
  <c r="I119" i="1"/>
  <c r="I11" i="1"/>
  <c r="H38" i="1"/>
  <c r="I37" i="1"/>
  <c r="F52" i="1"/>
  <c r="H46" i="1"/>
  <c r="E38" i="1"/>
  <c r="C46" i="1"/>
  <c r="O121" i="1"/>
  <c r="N5" i="1"/>
  <c r="Q5" i="1"/>
  <c r="N6" i="1"/>
  <c r="Q6" i="1"/>
  <c r="N7" i="1"/>
  <c r="Q7" i="1"/>
  <c r="N10" i="1"/>
  <c r="Q10" i="1"/>
  <c r="Q12" i="1"/>
  <c r="Q15" i="1"/>
  <c r="Q17" i="1"/>
  <c r="Q18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3" i="1"/>
  <c r="Q34" i="1"/>
  <c r="Q35" i="1"/>
  <c r="Q36" i="1"/>
  <c r="L121" i="1"/>
  <c r="L198" i="5" l="1"/>
  <c r="J198" i="5"/>
  <c r="D158" i="5"/>
  <c r="S171" i="5"/>
  <c r="S198" i="5" s="1"/>
  <c r="K78" i="5"/>
  <c r="M51" i="5"/>
  <c r="N45" i="5"/>
  <c r="O45" i="5" s="1"/>
  <c r="I91" i="5"/>
  <c r="K85" i="5"/>
  <c r="F78" i="5"/>
  <c r="H51" i="5"/>
  <c r="O38" i="5"/>
  <c r="U78" i="5"/>
  <c r="W51" i="5"/>
  <c r="X78" i="5"/>
  <c r="Z51" i="5"/>
  <c r="AA78" i="5"/>
  <c r="AC51" i="5"/>
  <c r="T45" i="5"/>
  <c r="AD45" i="5" s="1"/>
  <c r="R51" i="5"/>
  <c r="C78" i="5"/>
  <c r="E51" i="5"/>
  <c r="AD38" i="5"/>
  <c r="I38" i="3"/>
  <c r="I46" i="3"/>
  <c r="F79" i="3"/>
  <c r="F87" i="3" s="1"/>
  <c r="H52" i="3"/>
  <c r="C79" i="3"/>
  <c r="C87" i="3" s="1"/>
  <c r="E52" i="3"/>
  <c r="L79" i="3"/>
  <c r="L87" i="3" s="1"/>
  <c r="L93" i="3" s="1"/>
  <c r="L120" i="3" s="1"/>
  <c r="I38" i="1"/>
  <c r="E46" i="1"/>
  <c r="I46" i="1" s="1"/>
  <c r="C52" i="1"/>
  <c r="H52" i="1"/>
  <c r="F79" i="1"/>
  <c r="R31" i="1"/>
  <c r="R27" i="1"/>
  <c r="R24" i="1"/>
  <c r="R21" i="1"/>
  <c r="R18" i="1"/>
  <c r="R29" i="1"/>
  <c r="R34" i="1"/>
  <c r="R6" i="1"/>
  <c r="R36" i="1"/>
  <c r="R33" i="1"/>
  <c r="R30" i="1"/>
  <c r="R26" i="1"/>
  <c r="R23" i="1"/>
  <c r="R20" i="1"/>
  <c r="R17" i="1"/>
  <c r="R35" i="1"/>
  <c r="R32" i="1"/>
  <c r="R25" i="1"/>
  <c r="R22" i="1"/>
  <c r="R19" i="1"/>
  <c r="R5" i="1"/>
  <c r="R15" i="1"/>
  <c r="R12" i="1"/>
  <c r="R10" i="1"/>
  <c r="R7" i="1"/>
  <c r="Q28" i="1"/>
  <c r="R28" i="1" s="1"/>
  <c r="L52" i="1"/>
  <c r="O52" i="1"/>
  <c r="D165" i="5" l="1"/>
  <c r="M78" i="5"/>
  <c r="N51" i="5"/>
  <c r="O51" i="5" s="1"/>
  <c r="K91" i="5"/>
  <c r="I118" i="5"/>
  <c r="F85" i="5"/>
  <c r="H78" i="5"/>
  <c r="E78" i="5"/>
  <c r="C85" i="5"/>
  <c r="Z78" i="5"/>
  <c r="X85" i="5"/>
  <c r="AC78" i="5"/>
  <c r="AA85" i="5"/>
  <c r="W78" i="5"/>
  <c r="U85" i="5"/>
  <c r="R78" i="5"/>
  <c r="T51" i="5"/>
  <c r="AD51" i="5" s="1"/>
  <c r="F93" i="3"/>
  <c r="H87" i="3"/>
  <c r="C93" i="3"/>
  <c r="E87" i="3"/>
  <c r="R52" i="3"/>
  <c r="N52" i="3"/>
  <c r="M52" i="1"/>
  <c r="M121" i="1"/>
  <c r="Q121" i="1"/>
  <c r="P121" i="1"/>
  <c r="I52" i="3"/>
  <c r="E79" i="3"/>
  <c r="H79" i="3"/>
  <c r="H79" i="1"/>
  <c r="F87" i="1"/>
  <c r="C79" i="1"/>
  <c r="E52" i="1"/>
  <c r="I52" i="1" s="1"/>
  <c r="L79" i="1"/>
  <c r="L87" i="1" s="1"/>
  <c r="O79" i="1"/>
  <c r="O87" i="1" s="1"/>
  <c r="P52" i="1"/>
  <c r="K118" i="5" l="1"/>
  <c r="I125" i="5"/>
  <c r="D171" i="5"/>
  <c r="M85" i="5"/>
  <c r="N78" i="5"/>
  <c r="O78" i="5" s="1"/>
  <c r="F91" i="5"/>
  <c r="H85" i="5"/>
  <c r="E85" i="5"/>
  <c r="C91" i="5"/>
  <c r="AA91" i="5"/>
  <c r="AC85" i="5"/>
  <c r="T78" i="5"/>
  <c r="AD78" i="5" s="1"/>
  <c r="R85" i="5"/>
  <c r="U91" i="5"/>
  <c r="W85" i="5"/>
  <c r="X91" i="5"/>
  <c r="Z85" i="5"/>
  <c r="I87" i="3"/>
  <c r="H93" i="3"/>
  <c r="F120" i="3"/>
  <c r="H120" i="3" s="1"/>
  <c r="C120" i="3"/>
  <c r="E120" i="3" s="1"/>
  <c r="E93" i="3"/>
  <c r="R79" i="3"/>
  <c r="R87" i="3" s="1"/>
  <c r="R93" i="3" s="1"/>
  <c r="R120" i="3" s="1"/>
  <c r="N79" i="3"/>
  <c r="N87" i="3" s="1"/>
  <c r="N93" i="3" s="1"/>
  <c r="N120" i="3" s="1"/>
  <c r="P79" i="1"/>
  <c r="P87" i="1" s="1"/>
  <c r="M79" i="1"/>
  <c r="M87" i="1" s="1"/>
  <c r="N52" i="1"/>
  <c r="N79" i="1" s="1"/>
  <c r="N87" i="1" s="1"/>
  <c r="R121" i="1"/>
  <c r="N121" i="1"/>
  <c r="I79" i="3"/>
  <c r="E79" i="1"/>
  <c r="I79" i="1" s="1"/>
  <c r="C87" i="1"/>
  <c r="F93" i="1"/>
  <c r="H87" i="1"/>
  <c r="Q52" i="1"/>
  <c r="Q79" i="1"/>
  <c r="Q87" i="1" s="1"/>
  <c r="I131" i="5" l="1"/>
  <c r="K125" i="5"/>
  <c r="D198" i="5"/>
  <c r="M91" i="5"/>
  <c r="N85" i="5"/>
  <c r="O85" i="5" s="1"/>
  <c r="F118" i="5"/>
  <c r="H91" i="5"/>
  <c r="C118" i="5"/>
  <c r="E91" i="5"/>
  <c r="T85" i="5"/>
  <c r="AD85" i="5" s="1"/>
  <c r="R91" i="5"/>
  <c r="X118" i="5"/>
  <c r="Z91" i="5"/>
  <c r="U118" i="5"/>
  <c r="W91" i="5"/>
  <c r="AA118" i="5"/>
  <c r="AC91" i="5"/>
  <c r="I120" i="3"/>
  <c r="I93" i="3"/>
  <c r="M93" i="1"/>
  <c r="M120" i="1" s="1"/>
  <c r="P93" i="1"/>
  <c r="P120" i="1" s="1"/>
  <c r="R52" i="1"/>
  <c r="R79" i="1" s="1"/>
  <c r="R87" i="1" s="1"/>
  <c r="N122" i="1"/>
  <c r="L122" i="1"/>
  <c r="M122" i="1"/>
  <c r="F120" i="1"/>
  <c r="H93" i="1"/>
  <c r="C93" i="1"/>
  <c r="E87" i="1"/>
  <c r="I87" i="1" s="1"/>
  <c r="O93" i="1"/>
  <c r="L93" i="1"/>
  <c r="I158" i="5" l="1"/>
  <c r="K131" i="5"/>
  <c r="E118" i="5"/>
  <c r="C125" i="5"/>
  <c r="H118" i="5"/>
  <c r="F125" i="5"/>
  <c r="AC118" i="5"/>
  <c r="AA125" i="5"/>
  <c r="Z118" i="5"/>
  <c r="X125" i="5"/>
  <c r="W118" i="5"/>
  <c r="U125" i="5"/>
  <c r="M118" i="5"/>
  <c r="N91" i="5"/>
  <c r="O91" i="5" s="1"/>
  <c r="R118" i="5"/>
  <c r="T91" i="5"/>
  <c r="AD91" i="5" s="1"/>
  <c r="P128" i="1"/>
  <c r="P134" i="1" s="1"/>
  <c r="P161" i="1" s="1"/>
  <c r="P169" i="1" s="1"/>
  <c r="P175" i="1" s="1"/>
  <c r="P202" i="1" s="1"/>
  <c r="P210" i="1" s="1"/>
  <c r="P216" i="1" s="1"/>
  <c r="P243" i="1" s="1"/>
  <c r="P251" i="1" s="1"/>
  <c r="P257" i="1" s="1"/>
  <c r="P284" i="1" s="1"/>
  <c r="M134" i="1"/>
  <c r="M161" i="1" s="1"/>
  <c r="M169" i="1" s="1"/>
  <c r="M175" i="1" s="1"/>
  <c r="M202" i="1" s="1"/>
  <c r="M210" i="1" s="1"/>
  <c r="M216" i="1" s="1"/>
  <c r="M243" i="1" s="1"/>
  <c r="M251" i="1" s="1"/>
  <c r="M257" i="1" s="1"/>
  <c r="M284" i="1" s="1"/>
  <c r="M128" i="1"/>
  <c r="H120" i="1"/>
  <c r="F128" i="1"/>
  <c r="C120" i="1"/>
  <c r="E93" i="1"/>
  <c r="I93" i="1" s="1"/>
  <c r="O120" i="1"/>
  <c r="O128" i="1" s="1"/>
  <c r="Q93" i="1"/>
  <c r="L120" i="1"/>
  <c r="L128" i="1" s="1"/>
  <c r="N93" i="1"/>
  <c r="K158" i="5" l="1"/>
  <c r="I165" i="5"/>
  <c r="C131" i="5"/>
  <c r="E125" i="5"/>
  <c r="F131" i="5"/>
  <c r="H125" i="5"/>
  <c r="N118" i="5"/>
  <c r="O118" i="5" s="1"/>
  <c r="M125" i="5"/>
  <c r="AA131" i="5"/>
  <c r="AC125" i="5"/>
  <c r="X131" i="5"/>
  <c r="Z125" i="5"/>
  <c r="U131" i="5"/>
  <c r="W125" i="5"/>
  <c r="T118" i="5"/>
  <c r="AD118" i="5" s="1"/>
  <c r="R125" i="5"/>
  <c r="R93" i="1"/>
  <c r="F134" i="1"/>
  <c r="H128" i="1"/>
  <c r="E120" i="1"/>
  <c r="I120" i="1" s="1"/>
  <c r="C128" i="1"/>
  <c r="N120" i="1"/>
  <c r="N128" i="1" s="1"/>
  <c r="Q120" i="1"/>
  <c r="Q128" i="1" s="1"/>
  <c r="I171" i="5" l="1"/>
  <c r="K165" i="5"/>
  <c r="C158" i="5"/>
  <c r="E131" i="5"/>
  <c r="F158" i="5"/>
  <c r="H131" i="5"/>
  <c r="N125" i="5"/>
  <c r="O125" i="5" s="1"/>
  <c r="M131" i="5"/>
  <c r="AC131" i="5"/>
  <c r="AA158" i="5"/>
  <c r="Z131" i="5"/>
  <c r="X158" i="5"/>
  <c r="W131" i="5"/>
  <c r="U158" i="5"/>
  <c r="T125" i="5"/>
  <c r="AD125" i="5" s="1"/>
  <c r="R131" i="5"/>
  <c r="E128" i="1"/>
  <c r="C134" i="1"/>
  <c r="I128" i="1"/>
  <c r="H134" i="1"/>
  <c r="F161" i="1"/>
  <c r="O134" i="1"/>
  <c r="L134" i="1"/>
  <c r="R120" i="1"/>
  <c r="R128" i="1" s="1"/>
  <c r="H158" i="5" l="1"/>
  <c r="F165" i="5"/>
  <c r="I198" i="5"/>
  <c r="K198" i="5" s="1"/>
  <c r="K171" i="5"/>
  <c r="C165" i="5"/>
  <c r="E158" i="5"/>
  <c r="AC158" i="5"/>
  <c r="AA165" i="5"/>
  <c r="W158" i="5"/>
  <c r="U165" i="5"/>
  <c r="Z158" i="5"/>
  <c r="X165" i="5"/>
  <c r="M158" i="5"/>
  <c r="N131" i="5"/>
  <c r="O131" i="5" s="1"/>
  <c r="T131" i="5"/>
  <c r="AD131" i="5" s="1"/>
  <c r="R158" i="5"/>
  <c r="C161" i="1"/>
  <c r="E134" i="1"/>
  <c r="I134" i="1" s="1"/>
  <c r="H161" i="1"/>
  <c r="F169" i="1"/>
  <c r="L161" i="1"/>
  <c r="L169" i="1" s="1"/>
  <c r="N134" i="1"/>
  <c r="O161" i="1"/>
  <c r="O169" i="1" s="1"/>
  <c r="Q134" i="1"/>
  <c r="N158" i="5" l="1"/>
  <c r="M165" i="5"/>
  <c r="F171" i="5"/>
  <c r="H165" i="5"/>
  <c r="O158" i="5"/>
  <c r="C171" i="5"/>
  <c r="E165" i="5"/>
  <c r="AC165" i="5"/>
  <c r="AA171" i="5"/>
  <c r="W165" i="5"/>
  <c r="U171" i="5"/>
  <c r="X171" i="5"/>
  <c r="Z165" i="5"/>
  <c r="T158" i="5"/>
  <c r="AD158" i="5" s="1"/>
  <c r="R165" i="5"/>
  <c r="F175" i="1"/>
  <c r="H169" i="1"/>
  <c r="E161" i="1"/>
  <c r="I161" i="1" s="1"/>
  <c r="C169" i="1"/>
  <c r="Q161" i="1"/>
  <c r="Q169" i="1" s="1"/>
  <c r="R134" i="1"/>
  <c r="M171" i="5" l="1"/>
  <c r="N165" i="5"/>
  <c r="O165" i="5" s="1"/>
  <c r="F198" i="5"/>
  <c r="H198" i="5" s="1"/>
  <c r="H171" i="5"/>
  <c r="C198" i="5"/>
  <c r="E198" i="5" s="1"/>
  <c r="E171" i="5"/>
  <c r="AA198" i="5"/>
  <c r="AC198" i="5" s="1"/>
  <c r="AC171" i="5"/>
  <c r="W171" i="5"/>
  <c r="U198" i="5"/>
  <c r="W198" i="5" s="1"/>
  <c r="Z171" i="5"/>
  <c r="X198" i="5"/>
  <c r="Z198" i="5" s="1"/>
  <c r="R171" i="5"/>
  <c r="T165" i="5"/>
  <c r="AD165" i="5" s="1"/>
  <c r="R161" i="1"/>
  <c r="R169" i="1" s="1"/>
  <c r="N161" i="1"/>
  <c r="N169" i="1" s="1"/>
  <c r="E169" i="1"/>
  <c r="I169" i="1" s="1"/>
  <c r="C175" i="1"/>
  <c r="F202" i="1"/>
  <c r="H175" i="1"/>
  <c r="L175" i="1"/>
  <c r="O175" i="1"/>
  <c r="M198" i="5" l="1"/>
  <c r="N198" i="5" s="1"/>
  <c r="O198" i="5" s="1"/>
  <c r="N171" i="5"/>
  <c r="O171" i="5"/>
  <c r="T171" i="5"/>
  <c r="AD171" i="5" s="1"/>
  <c r="R198" i="5"/>
  <c r="T198" i="5" s="1"/>
  <c r="AD198" i="5" s="1"/>
  <c r="E175" i="1"/>
  <c r="I175" i="1" s="1"/>
  <c r="C202" i="1"/>
  <c r="F210" i="1"/>
  <c r="H202" i="1"/>
  <c r="Q175" i="1"/>
  <c r="O202" i="1"/>
  <c r="O210" i="1" s="1"/>
  <c r="L202" i="1"/>
  <c r="L210" i="1" s="1"/>
  <c r="N175" i="1"/>
  <c r="C210" i="1" l="1"/>
  <c r="E202" i="1"/>
  <c r="I202" i="1" s="1"/>
  <c r="H210" i="1"/>
  <c r="F216" i="1"/>
  <c r="N202" i="1"/>
  <c r="N210" i="1" s="1"/>
  <c r="R175" i="1"/>
  <c r="Q202" i="1"/>
  <c r="Q210" i="1" s="1"/>
  <c r="F243" i="1" l="1"/>
  <c r="H216" i="1"/>
  <c r="E210" i="1"/>
  <c r="I210" i="1" s="1"/>
  <c r="C216" i="1"/>
  <c r="O216" i="1"/>
  <c r="L216" i="1"/>
  <c r="R202" i="1"/>
  <c r="R210" i="1" s="1"/>
  <c r="H243" i="1" l="1"/>
  <c r="F251" i="1"/>
  <c r="E216" i="1"/>
  <c r="I216" i="1" s="1"/>
  <c r="C243" i="1"/>
  <c r="L243" i="1"/>
  <c r="L251" i="1" s="1"/>
  <c r="L257" i="1" s="1"/>
  <c r="L284" i="1" s="1"/>
  <c r="N216" i="1"/>
  <c r="O243" i="1"/>
  <c r="O251" i="1" s="1"/>
  <c r="O257" i="1" s="1"/>
  <c r="O284" i="1" s="1"/>
  <c r="Q216" i="1"/>
  <c r="F257" i="1" l="1"/>
  <c r="H251" i="1"/>
  <c r="E243" i="1"/>
  <c r="I243" i="1" s="1"/>
  <c r="C251" i="1"/>
  <c r="R216" i="1"/>
  <c r="Q243" i="1"/>
  <c r="Q251" i="1" s="1"/>
  <c r="Q257" i="1" s="1"/>
  <c r="Q284" i="1" s="1"/>
  <c r="N243" i="1"/>
  <c r="N251" i="1" s="1"/>
  <c r="N257" i="1" s="1"/>
  <c r="N284" i="1" s="1"/>
  <c r="F284" i="1" l="1"/>
  <c r="H284" i="1" s="1"/>
  <c r="H257" i="1"/>
  <c r="C257" i="1"/>
  <c r="E251" i="1"/>
  <c r="I251" i="1" s="1"/>
  <c r="R243" i="1"/>
  <c r="R251" i="1" s="1"/>
  <c r="R257" i="1" s="1"/>
  <c r="R284" i="1" s="1"/>
  <c r="E257" i="1" l="1"/>
  <c r="I257" i="1" s="1"/>
  <c r="C284" i="1"/>
  <c r="E284" i="1" s="1"/>
  <c r="I284" i="1" s="1"/>
</calcChain>
</file>

<file path=xl/sharedStrings.xml><?xml version="1.0" encoding="utf-8"?>
<sst xmlns="http://schemas.openxmlformats.org/spreadsheetml/2006/main" count="1045" uniqueCount="257">
  <si>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</si>
  <si>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</si>
  <si>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</si>
  <si>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</si>
  <si>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</si>
  <si>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L-LL</t>
    <phoneticPr fontId="2"/>
  </si>
  <si>
    <t>M-L</t>
    <phoneticPr fontId="2"/>
  </si>
  <si>
    <t>初回</t>
    <rPh sb="0" eb="2">
      <t>ショカイ</t>
    </rPh>
    <phoneticPr fontId="2"/>
  </si>
  <si>
    <t>合計</t>
    <rPh sb="0" eb="2">
      <t>ゴウケイ</t>
    </rPh>
    <phoneticPr fontId="2"/>
  </si>
  <si>
    <t>ネコ柄</t>
    <rPh sb="2" eb="3">
      <t>ガラ</t>
    </rPh>
    <phoneticPr fontId="2"/>
  </si>
  <si>
    <t>星柄</t>
    <rPh sb="0" eb="2">
      <t>ホシガラ</t>
    </rPh>
    <phoneticPr fontId="2"/>
  </si>
  <si>
    <t>ルームパンツ＜夢販在庫＞</t>
    <rPh sb="7" eb="11">
      <t>ユメハンザイコ</t>
    </rPh>
    <phoneticPr fontId="2"/>
  </si>
  <si>
    <t>【ネコ柄 A3089 @480】【星柄 A3088 @480】</t>
    <rPh sb="3" eb="4">
      <t>ガラ</t>
    </rPh>
    <rPh sb="17" eb="19">
      <t>ホシガラ</t>
    </rPh>
    <phoneticPr fontId="2"/>
  </si>
  <si>
    <t>初回 2-1</t>
    <rPh sb="0" eb="2">
      <t>ショカイ</t>
    </rPh>
    <phoneticPr fontId="2"/>
  </si>
  <si>
    <t xml:space="preserve">追加 2-2 </t>
    <rPh sb="0" eb="2">
      <t>ツイカ</t>
    </rPh>
    <phoneticPr fontId="2"/>
  </si>
  <si>
    <t>JODララコフレ7274</t>
    <phoneticPr fontId="2"/>
  </si>
  <si>
    <t>5/23～</t>
    <phoneticPr fontId="2"/>
  </si>
  <si>
    <t>ルームパンツ＜K-PORT在庫＞</t>
    <rPh sb="13" eb="15">
      <t>ザイコ</t>
    </rPh>
    <phoneticPr fontId="2"/>
  </si>
  <si>
    <t>夢販</t>
    <rPh sb="0" eb="2">
      <t>ユメハン</t>
    </rPh>
    <phoneticPr fontId="2"/>
  </si>
  <si>
    <t>2024/5/2数伝</t>
    <rPh sb="8" eb="10">
      <t>スウデン</t>
    </rPh>
    <phoneticPr fontId="2"/>
  </si>
  <si>
    <t>ネット</t>
    <phoneticPr fontId="2"/>
  </si>
  <si>
    <t>JOD①</t>
    <phoneticPr fontId="2"/>
  </si>
  <si>
    <t>なごみ8月号DM</t>
    <rPh sb="4" eb="6">
      <t>ガツゴウ</t>
    </rPh>
    <phoneticPr fontId="2"/>
  </si>
  <si>
    <t>8/1～9/30</t>
    <phoneticPr fontId="2"/>
  </si>
  <si>
    <t>なごみsample</t>
    <phoneticPr fontId="2"/>
  </si>
  <si>
    <t>なごみ8月号DM①</t>
    <rPh sb="4" eb="6">
      <t>ガツゴウ</t>
    </rPh>
    <phoneticPr fontId="2"/>
  </si>
  <si>
    <t>JOD②</t>
    <phoneticPr fontId="2"/>
  </si>
  <si>
    <t>JOD③</t>
    <phoneticPr fontId="2"/>
  </si>
  <si>
    <t>JOD④</t>
    <phoneticPr fontId="2"/>
  </si>
  <si>
    <t>JOD⑤</t>
    <phoneticPr fontId="2"/>
  </si>
  <si>
    <t>2024/6/4数伝</t>
    <rPh sb="8" eb="9">
      <t>スウ</t>
    </rPh>
    <rPh sb="9" eb="10">
      <t>デン</t>
    </rPh>
    <phoneticPr fontId="2"/>
  </si>
  <si>
    <t>JOD⑥</t>
    <phoneticPr fontId="2"/>
  </si>
  <si>
    <t>JOD⑦</t>
    <phoneticPr fontId="2"/>
  </si>
  <si>
    <t>JOD⑧</t>
    <phoneticPr fontId="2"/>
  </si>
  <si>
    <t>シンエイsample</t>
    <phoneticPr fontId="2"/>
  </si>
  <si>
    <t>JOD⑨</t>
    <phoneticPr fontId="2"/>
  </si>
  <si>
    <t>8/19、26</t>
    <phoneticPr fontId="2"/>
  </si>
  <si>
    <t>JOD⑩</t>
    <phoneticPr fontId="2"/>
  </si>
  <si>
    <t>JOD⑪</t>
    <phoneticPr fontId="2"/>
  </si>
  <si>
    <t>JOD⑫</t>
    <phoneticPr fontId="2"/>
  </si>
  <si>
    <t>なごみ8月号DM②</t>
    <rPh sb="4" eb="6">
      <t>ガツゴウ</t>
    </rPh>
    <phoneticPr fontId="2"/>
  </si>
  <si>
    <t>なごみ8月号DM③</t>
    <rPh sb="4" eb="6">
      <t>ガツゴウ</t>
    </rPh>
    <phoneticPr fontId="2"/>
  </si>
  <si>
    <t>なごみ8月号DM④</t>
    <rPh sb="4" eb="6">
      <t>ガツゴウ</t>
    </rPh>
    <phoneticPr fontId="2"/>
  </si>
  <si>
    <t>KPORT</t>
    <phoneticPr fontId="2"/>
  </si>
  <si>
    <t>夢販移動</t>
    <rPh sb="0" eb="4">
      <t>ユメハンイドウ</t>
    </rPh>
    <phoneticPr fontId="2"/>
  </si>
  <si>
    <t>なごみ8月号DM⑤</t>
    <rPh sb="4" eb="6">
      <t>ガツゴウ</t>
    </rPh>
    <phoneticPr fontId="2"/>
  </si>
  <si>
    <r>
      <t>コープ北陸8月1回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シール貼付①</t>
    </r>
    <rPh sb="3" eb="5">
      <t>ホクリク</t>
    </rPh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</si>
  <si>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t>なごみ8月号DM⑥</t>
    <rPh sb="4" eb="6">
      <t>ガツゴウ</t>
    </rPh>
    <phoneticPr fontId="2"/>
  </si>
  <si>
    <t>2024/8/8数伝</t>
    <rPh sb="8" eb="10">
      <t>スウデン</t>
    </rPh>
    <phoneticPr fontId="2"/>
  </si>
  <si>
    <r>
      <t>コープ北陸8月1回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シール貼付②</t>
    </r>
    <rPh sb="3" eb="5">
      <t>ホクリク</t>
    </rPh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</si>
  <si>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t>2024/8/10数伝</t>
    <rPh sb="9" eb="11">
      <t>スウデン</t>
    </rPh>
    <phoneticPr fontId="2"/>
  </si>
  <si>
    <t>2024/8/9数伝</t>
    <rPh sb="8" eb="9">
      <t>スウ</t>
    </rPh>
    <rPh sb="9" eb="10">
      <t>デン</t>
    </rPh>
    <phoneticPr fontId="2"/>
  </si>
  <si>
    <r>
      <t>コープしが8月3回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</t>
    </r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</si>
  <si>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r>
      <t>コープ北陸8月1回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シール貼付③</t>
    </r>
    <rPh sb="3" eb="5">
      <t>ホクリク</t>
    </rPh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</si>
  <si>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r>
      <t>コープしが8月3回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シール貼付①</t>
    </r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</si>
  <si>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t>在庫確認</t>
    <rPh sb="0" eb="4">
      <t>ザイコカクニン</t>
    </rPh>
    <phoneticPr fontId="2"/>
  </si>
  <si>
    <r>
      <t>コープしが8月3回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シール貼付②</t>
    </r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</si>
  <si>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r>
      <t>コープしが8月3回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シール貼付③</t>
    </r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</si>
  <si>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t>JOD⑬</t>
    <phoneticPr fontId="2"/>
  </si>
  <si>
    <t>シンエイ返品</t>
    <rPh sb="4" eb="6">
      <t>ヘンピン</t>
    </rPh>
    <phoneticPr fontId="2"/>
  </si>
  <si>
    <t>KPORT</t>
    <phoneticPr fontId="2"/>
  </si>
  <si>
    <r>
      <t>コープ北陸8月1回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シール貼付</t>
    </r>
    <rPh sb="3" eb="5">
      <t>ホクリク</t>
    </rPh>
    <rPh sb="6" eb="7">
      <t>ガツ</t>
    </rPh>
    <rPh sb="8" eb="9">
      <t>カイ</t>
    </rPh>
    <rPh sb="10" eb="14">
      <t>フトウメイフクロ</t>
    </rPh>
    <rPh sb="18" eb="20">
      <t>チョウフ</t>
    </rPh>
    <phoneticPr fontId="2"/>
  </si>
  <si>
    <t>なごみ返品</t>
    <rPh sb="3" eb="5">
      <t>ヘンピン</t>
    </rPh>
    <phoneticPr fontId="2"/>
  </si>
  <si>
    <t>はぴねすくらぶsample</t>
    <phoneticPr fontId="2"/>
  </si>
  <si>
    <t>はぴねすくらぶ4月号</t>
    <rPh sb="8" eb="10">
      <t>ガツゴウ</t>
    </rPh>
    <phoneticPr fontId="2"/>
  </si>
  <si>
    <t>4/7～</t>
    <phoneticPr fontId="2"/>
  </si>
  <si>
    <t>ここから　　　２０２５年２月～</t>
    <rPh sb="11" eb="12">
      <t>ネン</t>
    </rPh>
    <rPh sb="13" eb="14">
      <t>ガツ</t>
    </rPh>
    <phoneticPr fontId="2"/>
  </si>
  <si>
    <t>追加 2-1</t>
    <rPh sb="0" eb="2">
      <t>ツイカ</t>
    </rPh>
    <phoneticPr fontId="2"/>
  </si>
  <si>
    <t>追加 2-2</t>
    <rPh sb="0" eb="2">
      <t>ツイカ</t>
    </rPh>
    <phoneticPr fontId="2"/>
  </si>
  <si>
    <t>花柄</t>
  </si>
  <si>
    <t>小花柄</t>
  </si>
  <si>
    <t>はぴねすくらぶ4月号①</t>
    <rPh sb="8" eb="10">
      <t>ガツゴウ</t>
    </rPh>
    <phoneticPr fontId="2"/>
  </si>
  <si>
    <t>初回　2-1</t>
    <rPh sb="0" eb="2">
      <t>ショカイ</t>
    </rPh>
    <phoneticPr fontId="2"/>
  </si>
  <si>
    <t>追加　2-2</t>
    <rPh sb="0" eb="2">
      <t>ツイカ</t>
    </rPh>
    <phoneticPr fontId="2"/>
  </si>
  <si>
    <t>なごみ6月号DM</t>
    <rPh sb="4" eb="5">
      <t>ガツ</t>
    </rPh>
    <rPh sb="5" eb="6">
      <t>ゴウ</t>
    </rPh>
    <phoneticPr fontId="2"/>
  </si>
  <si>
    <t>6/1～7/30</t>
    <phoneticPr fontId="2"/>
  </si>
  <si>
    <t>2025/4/1数伝</t>
    <rPh sb="8" eb="10">
      <t>スウデン</t>
    </rPh>
    <phoneticPr fontId="2"/>
  </si>
  <si>
    <t>JODララコフレ7279（表4）</t>
    <rPh sb="13" eb="14">
      <t>ヒョウ</t>
    </rPh>
    <phoneticPr fontId="2"/>
  </si>
  <si>
    <t>はぴねすくらぶ4月号②</t>
    <rPh sb="8" eb="10">
      <t>ガツゴウ</t>
    </rPh>
    <phoneticPr fontId="2"/>
  </si>
  <si>
    <t>夢販</t>
    <rPh sb="0" eb="2">
      <t>ユメハン</t>
    </rPh>
    <phoneticPr fontId="2"/>
  </si>
  <si>
    <t>はぴねすくらぶ4月号③</t>
    <rPh sb="8" eb="10">
      <t>ガツゴウ</t>
    </rPh>
    <phoneticPr fontId="2"/>
  </si>
  <si>
    <t>はぴねすくらぶ4月号④</t>
    <rPh sb="8" eb="10">
      <t>ガツゴウ</t>
    </rPh>
    <phoneticPr fontId="2"/>
  </si>
  <si>
    <t>2025/5/2数伝</t>
    <rPh sb="8" eb="9">
      <t>スウ</t>
    </rPh>
    <rPh sb="9" eb="10">
      <t>デン</t>
    </rPh>
    <phoneticPr fontId="2"/>
  </si>
  <si>
    <t>注残分</t>
    <rPh sb="0" eb="3">
      <t>チュウザンブン</t>
    </rPh>
    <phoneticPr fontId="2"/>
  </si>
  <si>
    <t>2025/5/7数伝</t>
    <rPh sb="8" eb="9">
      <t>スウ</t>
    </rPh>
    <rPh sb="9" eb="10">
      <t>デン</t>
    </rPh>
    <phoneticPr fontId="2"/>
  </si>
  <si>
    <t>はぴねすくらぶ4月号⑤</t>
    <rPh sb="8" eb="10">
      <t>ガツゴウ</t>
    </rPh>
    <phoneticPr fontId="2"/>
  </si>
  <si>
    <t>JODアクセス7010</t>
    <phoneticPr fontId="2"/>
  </si>
  <si>
    <t>7/10～</t>
    <phoneticPr fontId="2"/>
  </si>
  <si>
    <t>なごみ6月号①</t>
    <rPh sb="4" eb="5">
      <t>ガツ</t>
    </rPh>
    <rPh sb="5" eb="6">
      <t>ゴウ</t>
    </rPh>
    <phoneticPr fontId="2"/>
  </si>
  <si>
    <t>はぴねすくらぶ4月号⑥</t>
    <rPh sb="8" eb="10">
      <t>ガツゴウ</t>
    </rPh>
    <phoneticPr fontId="2"/>
  </si>
  <si>
    <t>はぴねすくらぶ4月号⑦</t>
    <rPh sb="8" eb="9">
      <t>ガツ</t>
    </rPh>
    <rPh sb="9" eb="10">
      <t>ゴウ</t>
    </rPh>
    <phoneticPr fontId="2"/>
  </si>
  <si>
    <t>6/24～</t>
    <phoneticPr fontId="2"/>
  </si>
  <si>
    <t>JOD特別版0625</t>
    <rPh sb="3" eb="5">
      <t>トクベツ</t>
    </rPh>
    <rPh sb="5" eb="6">
      <t>バン</t>
    </rPh>
    <phoneticPr fontId="2"/>
  </si>
  <si>
    <t>なごみ8月号DM2柄組</t>
    <rPh sb="4" eb="6">
      <t>ガツゴウ</t>
    </rPh>
    <rPh sb="9" eb="11">
      <t>ガラクミ</t>
    </rPh>
    <phoneticPr fontId="2"/>
  </si>
  <si>
    <t>なごみ検品用sample</t>
    <rPh sb="3" eb="6">
      <t>ケンピンヨウ</t>
    </rPh>
    <phoneticPr fontId="2"/>
  </si>
  <si>
    <t>はぴねすくらぶ4月号⑧</t>
    <rPh sb="8" eb="9">
      <t>ガツ</t>
    </rPh>
    <rPh sb="9" eb="10">
      <t>ゴウ</t>
    </rPh>
    <phoneticPr fontId="2"/>
  </si>
  <si>
    <t>夢販</t>
    <rPh sb="0" eb="2">
      <t>ユメハン</t>
    </rPh>
    <phoneticPr fontId="2"/>
  </si>
  <si>
    <t>夢販</t>
    <rPh sb="0" eb="2">
      <t>ユメハン</t>
    </rPh>
    <phoneticPr fontId="2"/>
  </si>
  <si>
    <t>JOD①</t>
    <phoneticPr fontId="2"/>
  </si>
  <si>
    <t>【花柄 A3092@480】【小花柄 A3093 @480】</t>
    <phoneticPr fontId="2"/>
  </si>
  <si>
    <t>【花柄 A3092 @480】【小花柄 A3093 @480】</t>
    <phoneticPr fontId="2"/>
  </si>
  <si>
    <t>6/2数伝</t>
    <rPh sb="3" eb="4">
      <t>スウ</t>
    </rPh>
    <rPh sb="4" eb="5">
      <t>デン</t>
    </rPh>
    <phoneticPr fontId="2"/>
  </si>
  <si>
    <t>JOD特別版0718</t>
    <rPh sb="3" eb="6">
      <t>トクベツバン</t>
    </rPh>
    <phoneticPr fontId="2"/>
  </si>
  <si>
    <t>7/17～</t>
    <phoneticPr fontId="2"/>
  </si>
  <si>
    <t>はぴねすくらぶ4月号⑨</t>
    <rPh sb="8" eb="9">
      <t>ガツ</t>
    </rPh>
    <rPh sb="9" eb="10">
      <t>ゴウ</t>
    </rPh>
    <phoneticPr fontId="2"/>
  </si>
  <si>
    <t>なごみ6月号②</t>
    <rPh sb="4" eb="5">
      <t>ガツ</t>
    </rPh>
    <rPh sb="5" eb="6">
      <t>ゴウ</t>
    </rPh>
    <phoneticPr fontId="2"/>
  </si>
  <si>
    <t>はぴねすくらぶ4月号⑩</t>
    <rPh sb="8" eb="9">
      <t>ガツ</t>
    </rPh>
    <rPh sb="9" eb="10">
      <t>ゴウ</t>
    </rPh>
    <phoneticPr fontId="2"/>
  </si>
  <si>
    <t>なごみ6月号③</t>
    <rPh sb="4" eb="5">
      <t>ガツ</t>
    </rPh>
    <rPh sb="5" eb="6">
      <t>ゴウ</t>
    </rPh>
    <phoneticPr fontId="2"/>
  </si>
  <si>
    <t>なごみ6月号④</t>
    <rPh sb="4" eb="5">
      <t>ガツ</t>
    </rPh>
    <rPh sb="5" eb="6">
      <t>ゴウ</t>
    </rPh>
    <phoneticPr fontId="2"/>
  </si>
  <si>
    <t>JOD返品</t>
    <rPh sb="3" eb="5">
      <t>ヘンピン</t>
    </rPh>
    <phoneticPr fontId="2"/>
  </si>
  <si>
    <t>なごみ6月号⑤</t>
    <rPh sb="4" eb="5">
      <t>ガツ</t>
    </rPh>
    <rPh sb="5" eb="6">
      <t>ゴウ</t>
    </rPh>
    <phoneticPr fontId="2"/>
  </si>
  <si>
    <t>JOD</t>
    <phoneticPr fontId="2"/>
  </si>
  <si>
    <t>なごみ6月号⑥</t>
    <rPh sb="4" eb="5">
      <t>ガツ</t>
    </rPh>
    <rPh sb="5" eb="6">
      <t>ゴウ</t>
    </rPh>
    <phoneticPr fontId="2"/>
  </si>
  <si>
    <t>JOD特別版0826</t>
    <rPh sb="3" eb="5">
      <t>トクベツ</t>
    </rPh>
    <rPh sb="5" eb="6">
      <t>バン</t>
    </rPh>
    <phoneticPr fontId="2"/>
  </si>
  <si>
    <t>8/25～</t>
    <phoneticPr fontId="2"/>
  </si>
  <si>
    <t>JOD⑭</t>
    <phoneticPr fontId="2"/>
  </si>
  <si>
    <t>なごみ8月号DM2柄組①</t>
  </si>
  <si>
    <t>JOD⑮</t>
    <phoneticPr fontId="2"/>
  </si>
  <si>
    <t>JOD⑯</t>
    <phoneticPr fontId="2"/>
  </si>
  <si>
    <t>JOD⑰</t>
    <phoneticPr fontId="2"/>
  </si>
  <si>
    <t>JOD⑱</t>
    <phoneticPr fontId="2"/>
  </si>
  <si>
    <t>JOD⑲</t>
    <phoneticPr fontId="2"/>
  </si>
  <si>
    <t>JOD⑳</t>
    <phoneticPr fontId="2"/>
  </si>
  <si>
    <t>JOD㉑</t>
    <phoneticPr fontId="2"/>
  </si>
  <si>
    <t>JOD㉒</t>
    <phoneticPr fontId="2"/>
  </si>
  <si>
    <t>JOD㉓</t>
    <phoneticPr fontId="2"/>
  </si>
  <si>
    <t>はぴねすくらぶ4月号⑪</t>
    <rPh sb="8" eb="9">
      <t>ガツ</t>
    </rPh>
    <rPh sb="9" eb="10">
      <t>ゴウ</t>
    </rPh>
    <phoneticPr fontId="2"/>
  </si>
  <si>
    <t>JOD㉔</t>
    <phoneticPr fontId="2"/>
  </si>
  <si>
    <t>JOD㉕</t>
    <phoneticPr fontId="2"/>
  </si>
  <si>
    <t>JOD㉖</t>
    <phoneticPr fontId="2"/>
  </si>
  <si>
    <t>JOD返品</t>
    <rPh sb="3" eb="5">
      <t>ヘンピン</t>
    </rPh>
    <phoneticPr fontId="2"/>
  </si>
  <si>
    <t>在庫確認</t>
    <rPh sb="0" eb="4">
      <t>ザイコカクニン</t>
    </rPh>
    <phoneticPr fontId="2"/>
  </si>
  <si>
    <t>JOD㉗</t>
    <phoneticPr fontId="2"/>
  </si>
  <si>
    <t>JOD㉘</t>
    <phoneticPr fontId="2"/>
  </si>
  <si>
    <t>追加</t>
    <rPh sb="0" eb="2">
      <t>ツイカ</t>
    </rPh>
    <phoneticPr fontId="2"/>
  </si>
  <si>
    <t>JOD㉙</t>
    <phoneticPr fontId="2"/>
  </si>
  <si>
    <t>JOD㉚</t>
    <phoneticPr fontId="2"/>
  </si>
  <si>
    <t>JOD㉛</t>
    <phoneticPr fontId="2"/>
  </si>
  <si>
    <t>←ここまで式確認2025/8/28</t>
    <rPh sb="5" eb="8">
      <t>シキカクニン</t>
    </rPh>
    <phoneticPr fontId="2"/>
  </si>
  <si>
    <t>←ここまで式確認2025/08/28</t>
    <rPh sb="0" eb="8">
      <t>&lt;-ココマデシキカクニン</t>
    </rPh>
    <phoneticPr fontId="2"/>
  </si>
  <si>
    <t>JOD㉜</t>
    <phoneticPr fontId="2"/>
  </si>
  <si>
    <t>なごみ返品</t>
  </si>
  <si>
    <t>JOD㉝</t>
    <phoneticPr fontId="2"/>
  </si>
  <si>
    <t>JOD㉞</t>
    <phoneticPr fontId="2"/>
  </si>
  <si>
    <t>JOD㉟</t>
    <phoneticPr fontId="2"/>
  </si>
  <si>
    <t>JOD㊱</t>
    <phoneticPr fontId="2"/>
  </si>
  <si>
    <t>JOD㊲</t>
    <phoneticPr fontId="2"/>
  </si>
  <si>
    <t>JOD㊳</t>
    <phoneticPr fontId="2"/>
  </si>
  <si>
    <t>JOD㊴</t>
    <phoneticPr fontId="2"/>
  </si>
  <si>
    <t>JOD返品</t>
    <rPh sb="3" eb="5">
      <t>ヘンピン</t>
    </rPh>
    <phoneticPr fontId="2"/>
  </si>
  <si>
    <t>はぴねすくらぶsamplehe返却</t>
    <rPh sb="15" eb="17">
      <t>ヘンキャク</t>
    </rPh>
    <phoneticPr fontId="2"/>
  </si>
  <si>
    <t>JOD㊵</t>
    <phoneticPr fontId="2"/>
  </si>
  <si>
    <t>なごみ返品</t>
    <rPh sb="3" eb="5">
      <t>ヘンピン</t>
    </rPh>
    <phoneticPr fontId="2"/>
  </si>
  <si>
    <t>KPORT</t>
    <phoneticPr fontId="2"/>
  </si>
  <si>
    <t>大花柄</t>
    <rPh sb="0" eb="1">
      <t>オオ</t>
    </rPh>
    <phoneticPr fontId="2"/>
  </si>
  <si>
    <t>くらし（パル）sample</t>
    <phoneticPr fontId="2"/>
  </si>
  <si>
    <t>【ネコ柄 A3089】【大花柄 A3092】【星柄A3088】【リバティ柄A3093】</t>
    <rPh sb="12" eb="13">
      <t>オオ</t>
    </rPh>
    <rPh sb="23" eb="25">
      <t>ホシガラ</t>
    </rPh>
    <rPh sb="36" eb="37">
      <t>ガラ</t>
    </rPh>
    <phoneticPr fontId="2"/>
  </si>
  <si>
    <t>１P　450円→￥1280（生協特価価格）　　￥1580</t>
    <rPh sb="6" eb="7">
      <t>エン</t>
    </rPh>
    <rPh sb="14" eb="16">
      <t>セイキョウ</t>
    </rPh>
    <rPh sb="16" eb="18">
      <t>トッカ</t>
    </rPh>
    <rPh sb="18" eb="20">
      <t>カカク</t>
    </rPh>
    <phoneticPr fontId="2"/>
  </si>
  <si>
    <t>ルームパンツ＜KPORT在庫＞</t>
    <rPh sb="12" eb="14">
      <t>ザイコ</t>
    </rPh>
    <phoneticPr fontId="2"/>
  </si>
  <si>
    <t>交換分</t>
    <rPh sb="0" eb="2">
      <t>コウカン</t>
    </rPh>
    <rPh sb="2" eb="3">
      <t>ブン</t>
    </rPh>
    <phoneticPr fontId="2"/>
  </si>
  <si>
    <t>はぴねすくらぶ4月号2柄組</t>
    <rPh sb="8" eb="10">
      <t>ガツゴウ</t>
    </rPh>
    <rPh sb="11" eb="13">
      <t>ガラクミ</t>
    </rPh>
    <phoneticPr fontId="2"/>
  </si>
  <si>
    <t>くらし（きんき）sample</t>
    <phoneticPr fontId="2"/>
  </si>
  <si>
    <t>プリント不良</t>
    <rPh sb="4" eb="6">
      <t>フリョウ</t>
    </rPh>
    <phoneticPr fontId="2"/>
  </si>
  <si>
    <t>グリーンコープ4月6号</t>
    <rPh sb="8" eb="9">
      <t>ガツ</t>
    </rPh>
    <rPh sb="10" eb="11">
      <t>ゴウ</t>
    </rPh>
    <phoneticPr fontId="2"/>
  </si>
  <si>
    <t>小花柄</t>
    <rPh sb="0" eb="3">
      <t>コバナガラ</t>
    </rPh>
    <phoneticPr fontId="2"/>
  </si>
  <si>
    <t>追加（交換分依頼）</t>
    <rPh sb="0" eb="2">
      <t>ツイカ</t>
    </rPh>
    <rPh sb="3" eb="5">
      <t>コウカン</t>
    </rPh>
    <rPh sb="5" eb="6">
      <t>ブン</t>
    </rPh>
    <rPh sb="6" eb="8">
      <t>イライ</t>
    </rPh>
    <phoneticPr fontId="2"/>
  </si>
  <si>
    <t>コープきんき5月3回￥1280</t>
    <rPh sb="7" eb="8">
      <t>ガツ</t>
    </rPh>
    <rPh sb="9" eb="10">
      <t>カイ</t>
    </rPh>
    <phoneticPr fontId="2"/>
  </si>
  <si>
    <t>4/22～30</t>
    <phoneticPr fontId="11"/>
  </si>
  <si>
    <t>グリーンコープ4月6号差分予測</t>
    <rPh sb="8" eb="9">
      <t>ガツ</t>
    </rPh>
    <rPh sb="10" eb="11">
      <t>ゴウ</t>
    </rPh>
    <rPh sb="11" eb="15">
      <t>サブンヨソク</t>
    </rPh>
    <phoneticPr fontId="2"/>
  </si>
  <si>
    <t>コープきんき5月3回￥1280差分予測</t>
    <rPh sb="7" eb="8">
      <t>ガツ</t>
    </rPh>
    <rPh sb="9" eb="10">
      <t>カイ</t>
    </rPh>
    <rPh sb="15" eb="19">
      <t>サブンヨソク</t>
    </rPh>
    <phoneticPr fontId="2"/>
  </si>
  <si>
    <t>はぴねすくらぶ4月号2柄組差分予測</t>
    <rPh sb="8" eb="10">
      <t>ガツゴウ</t>
    </rPh>
    <rPh sb="11" eb="13">
      <t>ガラクミ</t>
    </rPh>
    <rPh sb="13" eb="17">
      <t>サブンヨソク</t>
    </rPh>
    <phoneticPr fontId="2"/>
  </si>
  <si>
    <t>4/3～</t>
    <phoneticPr fontId="2"/>
  </si>
  <si>
    <t>西夢</t>
    <rPh sb="0" eb="2">
      <t>ニシユメ</t>
    </rPh>
    <phoneticPr fontId="2"/>
  </si>
  <si>
    <t>在庫</t>
    <rPh sb="0" eb="2">
      <t>ザイコ</t>
    </rPh>
    <phoneticPr fontId="2"/>
  </si>
  <si>
    <t>くらし（岡本さん）sample</t>
    <rPh sb="4" eb="6">
      <t>オカモト</t>
    </rPh>
    <phoneticPr fontId="2"/>
  </si>
  <si>
    <t>西夢</t>
    <rPh sb="0" eb="2">
      <t>ニシユメ</t>
    </rPh>
    <phoneticPr fontId="2"/>
  </si>
  <si>
    <t>コープきんき6月3回￥1280</t>
    <rPh sb="7" eb="8">
      <t>ガツ</t>
    </rPh>
    <rPh sb="9" eb="10">
      <t>カイ</t>
    </rPh>
    <phoneticPr fontId="2"/>
  </si>
  <si>
    <t>コープきんき6月3回￥1280差分予測</t>
    <rPh sb="7" eb="8">
      <t>ガツ</t>
    </rPh>
    <rPh sb="9" eb="10">
      <t>カイ</t>
    </rPh>
    <rPh sb="15" eb="19">
      <t>サブンヨソク</t>
    </rPh>
    <phoneticPr fontId="2"/>
  </si>
  <si>
    <t>←ここまで在庫管理済2026/2/26</t>
    <rPh sb="0" eb="10">
      <t>ヤジルシココマデザイコカンリスミ</t>
    </rPh>
    <phoneticPr fontId="2"/>
  </si>
  <si>
    <t>点4/24、アバウト5/12、本5/12～18</t>
    <rPh sb="0" eb="1">
      <t>テン</t>
    </rPh>
    <rPh sb="15" eb="16">
      <t>ホン</t>
    </rPh>
    <phoneticPr fontId="2"/>
  </si>
  <si>
    <t>5/7～</t>
    <phoneticPr fontId="2"/>
  </si>
  <si>
    <t>西夢取り置き</t>
    <rPh sb="0" eb="2">
      <t>ニシユメ</t>
    </rPh>
    <rPh sb="2" eb="3">
      <t>ト</t>
    </rPh>
    <rPh sb="4" eb="5">
      <t>オ</t>
    </rPh>
    <phoneticPr fontId="2"/>
  </si>
  <si>
    <t>なごみDM6月号</t>
    <rPh sb="6" eb="8">
      <t>ガツゴウ</t>
    </rPh>
    <phoneticPr fontId="2"/>
  </si>
  <si>
    <t>6/1～8/10</t>
    <phoneticPr fontId="2"/>
  </si>
  <si>
    <t>なごみDM6月号差分予測</t>
    <rPh sb="6" eb="8">
      <t>ガツゴウ</t>
    </rPh>
    <rPh sb="8" eb="12">
      <t>サブンヨソク</t>
    </rPh>
    <phoneticPr fontId="2"/>
  </si>
  <si>
    <t>なごみDM6月号①</t>
    <rPh sb="6" eb="8">
      <t>ガツゴウ</t>
    </rPh>
    <phoneticPr fontId="2"/>
  </si>
  <si>
    <t>はぴねすくらぶ4月号2柄組①</t>
    <rPh sb="8" eb="10">
      <t>ガツゴウ</t>
    </rPh>
    <rPh sb="11" eb="13">
      <t>ガラクミ</t>
    </rPh>
    <phoneticPr fontId="2"/>
  </si>
  <si>
    <t>コープこうべ7月3回￥1580</t>
    <rPh sb="7" eb="8">
      <t>ガツ</t>
    </rPh>
    <rPh sb="9" eb="10">
      <t>カイ</t>
    </rPh>
    <phoneticPr fontId="2"/>
  </si>
  <si>
    <t>コープこうべ7月3回￥1580差分予測</t>
    <rPh sb="7" eb="8">
      <t>ガツ</t>
    </rPh>
    <rPh sb="9" eb="10">
      <t>カイ</t>
    </rPh>
    <rPh sb="15" eb="19">
      <t>サブンヨソク</t>
    </rPh>
    <phoneticPr fontId="2"/>
  </si>
  <si>
    <t>2025/4/2数伝</t>
    <rPh sb="8" eb="9">
      <t>スウ</t>
    </rPh>
    <rPh sb="9" eb="10">
      <t>デン</t>
    </rPh>
    <phoneticPr fontId="2"/>
  </si>
  <si>
    <t>点5/22、アバウト6/9、本6/9～15</t>
    <rPh sb="0" eb="1">
      <t>テン</t>
    </rPh>
    <rPh sb="14" eb="15">
      <t>ホン</t>
    </rPh>
    <phoneticPr fontId="2"/>
  </si>
  <si>
    <t>JODエレソア0409/2柄組</t>
    <rPh sb="13" eb="15">
      <t>ガラクミ</t>
    </rPh>
    <phoneticPr fontId="2"/>
  </si>
  <si>
    <t>サクラマチ（九州）sample</t>
    <rPh sb="6" eb="8">
      <t>キュウシュウ</t>
    </rPh>
    <phoneticPr fontId="2"/>
  </si>
  <si>
    <t>パルりすぺーる繊維7月5回\1280差分予測</t>
    <rPh sb="7" eb="9">
      <t>センイ</t>
    </rPh>
    <rPh sb="10" eb="11">
      <t>ガツ</t>
    </rPh>
    <rPh sb="12" eb="13">
      <t>カイ</t>
    </rPh>
    <rPh sb="18" eb="22">
      <t>サブンヨソク</t>
    </rPh>
    <phoneticPr fontId="2"/>
  </si>
  <si>
    <t>点7/9、初回・アバウト7/21、最終発注日7/27</t>
    <rPh sb="0" eb="1">
      <t>テン</t>
    </rPh>
    <rPh sb="5" eb="7">
      <t>ショカイ</t>
    </rPh>
    <rPh sb="17" eb="22">
      <t>サイシュウハッチュウビ</t>
    </rPh>
    <phoneticPr fontId="2"/>
  </si>
  <si>
    <t>パルりすぺーる繊維7月5回　特価　\1280</t>
    <rPh sb="7" eb="9">
      <t>センイ</t>
    </rPh>
    <rPh sb="10" eb="11">
      <t>ガツ</t>
    </rPh>
    <rPh sb="12" eb="13">
      <t>カイ</t>
    </rPh>
    <rPh sb="14" eb="16">
      <t>トッカ</t>
    </rPh>
    <phoneticPr fontId="2"/>
  </si>
  <si>
    <t>6/15～</t>
    <phoneticPr fontId="2"/>
  </si>
  <si>
    <t>JODメルシー0507/2柄組￥2990</t>
    <rPh sb="13" eb="15">
      <t>ガラクミ</t>
    </rPh>
    <phoneticPr fontId="2"/>
  </si>
  <si>
    <t>ゆめはん</t>
    <phoneticPr fontId="2"/>
  </si>
  <si>
    <t>営業sample</t>
    <rPh sb="0" eb="2">
      <t>エイギョウ</t>
    </rPh>
    <phoneticPr fontId="2"/>
  </si>
  <si>
    <t>JOD</t>
    <phoneticPr fontId="2"/>
  </si>
  <si>
    <t>JODペラ入れ</t>
    <rPh sb="5" eb="6">
      <t>イ</t>
    </rPh>
    <phoneticPr fontId="2"/>
  </si>
  <si>
    <t>はぴねすくらぶ4月号2柄組②</t>
    <rPh sb="8" eb="10">
      <t>ガツゴウ</t>
    </rPh>
    <rPh sb="11" eb="13">
      <t>ガラクミ</t>
    </rPh>
    <phoneticPr fontId="2"/>
  </si>
  <si>
    <t>コープきんき8月2回￥1280差分予測</t>
    <rPh sb="7" eb="8">
      <t>ガツ</t>
    </rPh>
    <rPh sb="9" eb="10">
      <t>カイ</t>
    </rPh>
    <rPh sb="15" eb="19">
      <t>サブンヨソク</t>
    </rPh>
    <phoneticPr fontId="2"/>
  </si>
  <si>
    <t>コープきんき8月2回￥1280</t>
    <rPh sb="7" eb="8">
      <t>ガツ</t>
    </rPh>
    <rPh sb="9" eb="10">
      <t>カイ</t>
    </rPh>
    <phoneticPr fontId="2"/>
  </si>
  <si>
    <t>コープきんき5月3回￥1280①</t>
    <rPh sb="7" eb="8">
      <t>ガツ</t>
    </rPh>
    <rPh sb="9" eb="10">
      <t>カイ</t>
    </rPh>
    <phoneticPr fontId="2"/>
  </si>
  <si>
    <t>7/15～7/30</t>
    <phoneticPr fontId="2"/>
  </si>
  <si>
    <t>サクラマチ（東北ｻﾝﾈｯﾄ）sample</t>
    <rPh sb="6" eb="8">
      <t>トウホク</t>
    </rPh>
    <phoneticPr fontId="2"/>
  </si>
  <si>
    <t>グリーンコープ4月6号①</t>
    <rPh sb="8" eb="9">
      <t>ガツ</t>
    </rPh>
    <rPh sb="10" eb="11">
      <t>ゴウ</t>
    </rPh>
    <phoneticPr fontId="2"/>
  </si>
  <si>
    <t>あいコープみやぎ7月3回</t>
    <rPh sb="9" eb="10">
      <t>ガツ</t>
    </rPh>
    <rPh sb="11" eb="12">
      <t>カイ</t>
    </rPh>
    <phoneticPr fontId="2"/>
  </si>
  <si>
    <t>あいコープみやぎ7月3回差分予測</t>
    <rPh sb="9" eb="10">
      <t>ガツ</t>
    </rPh>
    <rPh sb="11" eb="12">
      <t>カイ</t>
    </rPh>
    <rPh sb="12" eb="16">
      <t>サブンヨソク</t>
    </rPh>
    <phoneticPr fontId="2"/>
  </si>
  <si>
    <t>確定発注7/8</t>
    <rPh sb="0" eb="4">
      <t>カクテイハッチュウ</t>
    </rPh>
    <phoneticPr fontId="2"/>
  </si>
  <si>
    <t>JODBEAUTY通信0529/2柄組￥2990</t>
    <rPh sb="9" eb="11">
      <t>ツウシン</t>
    </rPh>
    <rPh sb="17" eb="19">
      <t>ガラクミ</t>
    </rPh>
    <phoneticPr fontId="2"/>
  </si>
  <si>
    <t>5/26～</t>
    <phoneticPr fontId="2"/>
  </si>
  <si>
    <t>グリーンコープ4月6号②</t>
    <rPh sb="8" eb="9">
      <t>ガツ</t>
    </rPh>
    <rPh sb="10" eb="11">
      <t>ゴウ</t>
    </rPh>
    <phoneticPr fontId="2"/>
  </si>
  <si>
    <t>はぴねすくらぶ4月号2柄組③</t>
    <rPh sb="8" eb="10">
      <t>ガツゴウ</t>
    </rPh>
    <rPh sb="11" eb="13">
      <t>ガラクミ</t>
    </rPh>
    <phoneticPr fontId="2"/>
  </si>
  <si>
    <t>コープ東北サンネット7月5回</t>
    <rPh sb="3" eb="5">
      <t>トウホク</t>
    </rPh>
    <rPh sb="11" eb="12">
      <t>ガツ</t>
    </rPh>
    <rPh sb="13" eb="14">
      <t>カイ</t>
    </rPh>
    <phoneticPr fontId="2"/>
  </si>
  <si>
    <t>コープ東北サンネット7月5回差分予測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2"/>
  </si>
  <si>
    <t>7/16～29</t>
    <phoneticPr fontId="2"/>
  </si>
  <si>
    <t>JOD特別号9566/2柄組￥2990</t>
    <rPh sb="3" eb="6">
      <t>トクベツゴウ</t>
    </rPh>
    <rPh sb="12" eb="14">
      <t>ガラクミ</t>
    </rPh>
    <phoneticPr fontId="2"/>
  </si>
  <si>
    <t>6/9～</t>
    <phoneticPr fontId="2"/>
  </si>
  <si>
    <t>JODアクセス7017/2柄組 ￥2990</t>
    <rPh sb="13" eb="15">
      <t>ガラクミ</t>
    </rPh>
    <phoneticPr fontId="2"/>
  </si>
  <si>
    <t>JOD</t>
    <phoneticPr fontId="2"/>
  </si>
  <si>
    <t>コープきんき5月3回￥1280②</t>
    <rPh sb="7" eb="8">
      <t>ガツ</t>
    </rPh>
    <rPh sb="9" eb="10">
      <t>カイ</t>
    </rPh>
    <phoneticPr fontId="2"/>
  </si>
  <si>
    <t>JOD</t>
  </si>
  <si>
    <t>JODメルシー0624/2柄組 ￥2990</t>
    <rPh sb="13" eb="15">
      <t>ガラクミ</t>
    </rPh>
    <phoneticPr fontId="2"/>
  </si>
  <si>
    <t>コープきんき5月3回￥1280③</t>
    <rPh sb="7" eb="8">
      <t>ガツ</t>
    </rPh>
    <rPh sb="9" eb="10">
      <t>カイ</t>
    </rPh>
    <phoneticPr fontId="2"/>
  </si>
  <si>
    <t>コープきんき5月3回￥1280④</t>
    <rPh sb="7" eb="8">
      <t>ガツ</t>
    </rPh>
    <rPh sb="9" eb="10">
      <t>カイ</t>
    </rPh>
    <phoneticPr fontId="2"/>
  </si>
  <si>
    <t>はぴねすくらぶ4月号2柄組④</t>
    <rPh sb="8" eb="10">
      <t>ガツゴウ</t>
    </rPh>
    <rPh sb="11" eb="13">
      <t>ガラクミ</t>
    </rPh>
    <phoneticPr fontId="2"/>
  </si>
  <si>
    <t>コープきんき5月3回￥1280⑤</t>
    <rPh sb="7" eb="8">
      <t>ガツ</t>
    </rPh>
    <rPh sb="9" eb="10">
      <t>カイ</t>
    </rPh>
    <phoneticPr fontId="2"/>
  </si>
  <si>
    <t>JOD</t>
    <phoneticPr fontId="2"/>
  </si>
  <si>
    <t>はぴねすくらぶ4月号2柄組⑤</t>
    <rPh sb="8" eb="10">
      <t>ガツゴウ</t>
    </rPh>
    <rPh sb="11" eb="13">
      <t>ガラクミ</t>
    </rPh>
    <phoneticPr fontId="2"/>
  </si>
  <si>
    <t>コープきんき6月3回￥1280①</t>
    <rPh sb="7" eb="8">
      <t>ガツ</t>
    </rPh>
    <rPh sb="9" eb="10">
      <t>カイ</t>
    </rPh>
    <phoneticPr fontId="2"/>
  </si>
  <si>
    <t>追加 1-1</t>
    <rPh sb="0" eb="2">
      <t>ツイカ</t>
    </rPh>
    <phoneticPr fontId="2"/>
  </si>
  <si>
    <t>なごみ2026年8月号DM</t>
    <rPh sb="7" eb="8">
      <t>ネン</t>
    </rPh>
    <rPh sb="9" eb="11">
      <t>ガツゴウ</t>
    </rPh>
    <phoneticPr fontId="2"/>
  </si>
  <si>
    <t>8/1～10/10</t>
    <phoneticPr fontId="2"/>
  </si>
  <si>
    <t>なごみ2026年8月号DM差分予測</t>
    <rPh sb="7" eb="8">
      <t>ネン</t>
    </rPh>
    <rPh sb="9" eb="11">
      <t>ガツゴウ</t>
    </rPh>
    <rPh sb="13" eb="17">
      <t>サブンヨソク</t>
    </rPh>
    <phoneticPr fontId="2"/>
  </si>
  <si>
    <t>はぴねすくらぶ4月号2柄組⑥</t>
    <rPh sb="8" eb="10">
      <t>ガツゴウ</t>
    </rPh>
    <rPh sb="11" eb="13">
      <t>ガラクミ</t>
    </rPh>
    <phoneticPr fontId="2"/>
  </si>
  <si>
    <t>KPORT</t>
    <phoneticPr fontId="2"/>
  </si>
  <si>
    <t>JOD特別版0705</t>
    <rPh sb="3" eb="6">
      <t>トクベツバン</t>
    </rPh>
    <phoneticPr fontId="2"/>
  </si>
  <si>
    <t>7/4～</t>
    <phoneticPr fontId="2"/>
  </si>
  <si>
    <t>はぴねすくらぶ4月号2柄組⑦</t>
    <rPh sb="8" eb="10">
      <t>ガツゴウ</t>
    </rPh>
    <rPh sb="11" eb="13">
      <t>ガラクミ</t>
    </rPh>
    <phoneticPr fontId="2"/>
  </si>
  <si>
    <t>コープ東北サンネット8月4回差分予測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2"/>
  </si>
  <si>
    <t>コープ東北サンネット8月4回</t>
    <rPh sb="3" eb="5">
      <t>トウホク</t>
    </rPh>
    <rPh sb="11" eb="12">
      <t>ガツ</t>
    </rPh>
    <rPh sb="13" eb="14">
      <t>カイ</t>
    </rPh>
    <phoneticPr fontId="2"/>
  </si>
  <si>
    <t>8/12～26</t>
    <phoneticPr fontId="2"/>
  </si>
  <si>
    <t>2026/6/2数伝</t>
    <rPh sb="8" eb="9">
      <t>スウ</t>
    </rPh>
    <rPh sb="9" eb="10">
      <t>デン</t>
    </rPh>
    <phoneticPr fontId="2"/>
  </si>
  <si>
    <t>点7/17、アバウト8/4、本8/4～10</t>
    <rPh sb="0" eb="1">
      <t>テン</t>
    </rPh>
    <rPh sb="14" eb="15">
      <t>ホン</t>
    </rPh>
    <phoneticPr fontId="2"/>
  </si>
  <si>
    <t>コープきんき6月3回￥1280②</t>
    <rPh sb="7" eb="8">
      <t>ガツ</t>
    </rPh>
    <rPh sb="9" eb="10">
      <t>カイ</t>
    </rPh>
    <phoneticPr fontId="2"/>
  </si>
  <si>
    <t>コープきんき6月3回￥1280直送③</t>
    <rPh sb="7" eb="8">
      <t>ガツ</t>
    </rPh>
    <rPh sb="9" eb="10">
      <t>カイ</t>
    </rPh>
    <rPh sb="15" eb="17">
      <t>チョクソウ</t>
    </rPh>
    <phoneticPr fontId="2"/>
  </si>
  <si>
    <t>追加1-1</t>
    <rPh sb="0" eb="2">
      <t>ツイカ</t>
    </rPh>
    <phoneticPr fontId="2"/>
  </si>
  <si>
    <t>コープきんき6月3回￥1280④</t>
    <rPh sb="7" eb="8">
      <t>ガツ</t>
    </rPh>
    <rPh sb="9" eb="10">
      <t>カイ</t>
    </rPh>
    <phoneticPr fontId="2"/>
  </si>
  <si>
    <t>はぴねすくらぶ4月号2柄組⑧</t>
    <rPh sb="8" eb="10">
      <t>ガツゴウ</t>
    </rPh>
    <rPh sb="11" eb="13">
      <t>ガラクミ</t>
    </rPh>
    <phoneticPr fontId="2"/>
  </si>
  <si>
    <t>なごみDM6月号②</t>
    <rPh sb="6" eb="8">
      <t>ガツゴウ</t>
    </rPh>
    <phoneticPr fontId="2"/>
  </si>
  <si>
    <t>7/23～</t>
    <phoneticPr fontId="2"/>
  </si>
  <si>
    <t>2P分</t>
    <rPh sb="2" eb="3">
      <t>ブン</t>
    </rPh>
    <phoneticPr fontId="2"/>
  </si>
  <si>
    <t>くらし在庫</t>
    <rPh sb="3" eb="5">
      <t>ザイコ</t>
    </rPh>
    <phoneticPr fontId="2"/>
  </si>
  <si>
    <t>ゆめはん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</si>
</sst>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56" fontId="0" fillId="0" borderId="7" xfId="0" applyNumberFormat="1" applyBorder="1" applyAlignment="1">
      <alignment horizontal="center"/>
    </xf>
    <xf numFmtId="0" fontId="0" fillId="0" borderId="8" xfId="0" applyBorder="1"/>
    <xf numFmtId="0" fontId="1" fillId="0" borderId="8" xfId="0" applyFont="1" applyBorder="1"/>
    <xf numFmtId="56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0" fillId="0" borderId="24" xfId="0" applyBorder="1"/>
    <xf numFmtId="0" fontId="3" fillId="0" borderId="25" xfId="0" applyFont="1" applyBorder="1"/>
    <xf numFmtId="0" fontId="0" fillId="0" borderId="26" xfId="0" applyBorder="1"/>
    <xf numFmtId="0" fontId="0" fillId="0" borderId="27" xfId="0" applyBorder="1"/>
    <xf numFmtId="0" fontId="1" fillId="0" borderId="26" xfId="0" applyFont="1" applyBorder="1"/>
    <xf numFmtId="56" fontId="0" fillId="0" borderId="28" xfId="0" applyNumberFormat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1" fillId="0" borderId="0" xfId="0" applyNumberFormat="1" applyFont="1" applyAlignment="1">
      <alignment horizontal="left"/>
    </xf>
    <xf numFmtId="0" fontId="0" fillId="4" borderId="28" xfId="0" applyFill="1" applyBorder="1"/>
    <xf numFmtId="0" fontId="0" fillId="4" borderId="36" xfId="0" applyFill="1" applyBorder="1"/>
    <xf numFmtId="0" fontId="0" fillId="4" borderId="3" xfId="0" applyFill="1" applyBorder="1"/>
    <xf numFmtId="0" fontId="3" fillId="4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16" xfId="0" applyFont="1" applyBorder="1"/>
    <xf numFmtId="0" fontId="3" fillId="0" borderId="13" xfId="0" applyFont="1" applyBorder="1"/>
    <xf numFmtId="0" fontId="0" fillId="5" borderId="11" xfId="0" applyFill="1" applyBorder="1" applyAlignment="1">
      <alignment horizontal="center"/>
    </xf>
    <xf numFmtId="0" fontId="0" fillId="5" borderId="7" xfId="0" applyFill="1" applyBorder="1"/>
    <xf numFmtId="0" fontId="0" fillId="5" borderId="10" xfId="0" applyFill="1" applyBorder="1"/>
    <xf numFmtId="0" fontId="3" fillId="5" borderId="2" xfId="0" applyFont="1" applyFill="1" applyBorder="1"/>
    <xf numFmtId="0" fontId="0" fillId="5" borderId="8" xfId="0" applyFill="1" applyBorder="1"/>
    <xf numFmtId="0" fontId="0" fillId="5" borderId="5" xfId="0" applyFill="1" applyBorder="1"/>
    <xf numFmtId="0" fontId="0" fillId="5" borderId="3" xfId="0" applyFill="1" applyBorder="1"/>
    <xf numFmtId="0" fontId="3" fillId="5" borderId="1" xfId="0" applyFont="1" applyFill="1" applyBorder="1"/>
    <xf numFmtId="0" fontId="0" fillId="5" borderId="29" xfId="0" applyFill="1" applyBorder="1" applyAlignment="1">
      <alignment horizontal="center"/>
    </xf>
    <xf numFmtId="0" fontId="0" fillId="5" borderId="31" xfId="0" applyFill="1" applyBorder="1"/>
    <xf numFmtId="0" fontId="0" fillId="5" borderId="32" xfId="0" applyFill="1" applyBorder="1"/>
    <xf numFmtId="0" fontId="3" fillId="5" borderId="33" xfId="0" applyFont="1" applyFill="1" applyBorder="1"/>
    <xf numFmtId="0" fontId="0" fillId="5" borderId="34" xfId="0" applyFill="1" applyBorder="1"/>
    <xf numFmtId="0" fontId="0" fillId="5" borderId="0" xfId="0" applyFill="1"/>
    <xf numFmtId="0" fontId="0" fillId="5" borderId="14" xfId="0" applyFill="1" applyBorder="1"/>
    <xf numFmtId="0" fontId="3" fillId="5" borderId="35" xfId="0" applyFont="1" applyFill="1" applyBorder="1"/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13" xfId="0" applyFill="1" applyBorder="1" applyAlignment="1">
      <alignment horizontal="center"/>
    </xf>
    <xf numFmtId="56" fontId="3" fillId="0" borderId="9" xfId="0" applyNumberFormat="1" applyFont="1" applyBorder="1" applyAlignment="1">
      <alignment horizontal="center"/>
    </xf>
    <xf numFmtId="0" fontId="3" fillId="0" borderId="21" xfId="0" applyFont="1" applyBorder="1"/>
    <xf numFmtId="0" fontId="3" fillId="5" borderId="9" xfId="0" applyFont="1" applyFill="1" applyBorder="1"/>
    <xf numFmtId="0" fontId="3" fillId="5" borderId="30" xfId="0" applyFont="1" applyFill="1" applyBorder="1"/>
    <xf numFmtId="0" fontId="3" fillId="4" borderId="28" xfId="0" applyFont="1" applyFill="1" applyBorder="1"/>
    <xf numFmtId="56" fontId="3" fillId="0" borderId="0" xfId="0" applyNumberFormat="1" applyFont="1" applyAlignment="1">
      <alignment horizontal="left"/>
    </xf>
    <xf numFmtId="0" fontId="4" fillId="4" borderId="0" xfId="0" applyFont="1" applyFill="1"/>
    <xf numFmtId="0" fontId="0" fillId="4" borderId="0" xfId="0" applyFill="1"/>
    <xf numFmtId="0" fontId="5" fillId="4" borderId="0" xfId="0" applyFont="1" applyFill="1"/>
    <xf numFmtId="0" fontId="3" fillId="0" borderId="38" xfId="0" applyFont="1" applyBorder="1"/>
    <xf numFmtId="0" fontId="0" fillId="5" borderId="9" xfId="0" applyFill="1" applyBorder="1"/>
    <xf numFmtId="0" fontId="0" fillId="5" borderId="30" xfId="0" applyFill="1" applyBorder="1"/>
    <xf numFmtId="0" fontId="0" fillId="5" borderId="28" xfId="0" applyFill="1" applyBorder="1"/>
    <xf numFmtId="0" fontId="0" fillId="5" borderId="37" xfId="0" applyFill="1" applyBorder="1"/>
    <xf numFmtId="0" fontId="0" fillId="5" borderId="39" xfId="0" applyFill="1" applyBorder="1"/>
    <xf numFmtId="0" fontId="0" fillId="4" borderId="9" xfId="0" applyFill="1" applyBorder="1"/>
    <xf numFmtId="56" fontId="0" fillId="0" borderId="7" xfId="0" applyNumberFormat="1" applyBorder="1" applyAlignment="1">
      <alignment horizontal="center" shrinkToFit="1"/>
    </xf>
    <xf numFmtId="0" fontId="0" fillId="5" borderId="6" xfId="0" applyFill="1" applyBorder="1"/>
    <xf numFmtId="0" fontId="0" fillId="5" borderId="40" xfId="0" applyFill="1" applyBorder="1"/>
    <xf numFmtId="0" fontId="3" fillId="5" borderId="3" xfId="0" applyFont="1" applyFill="1" applyBorder="1"/>
    <xf numFmtId="0" fontId="3" fillId="5" borderId="14" xfId="0" applyFont="1" applyFill="1" applyBorder="1"/>
    <xf numFmtId="0" fontId="4" fillId="9" borderId="0" xfId="0" applyFont="1" applyFill="1"/>
    <xf numFmtId="0" fontId="0" fillId="9" borderId="0" xfId="0" applyFill="1"/>
    <xf numFmtId="0" fontId="5" fillId="9" borderId="0" xfId="0" applyFont="1" applyFill="1"/>
    <xf numFmtId="0" fontId="4" fillId="10" borderId="0" xfId="0" applyFont="1" applyFill="1"/>
    <xf numFmtId="0" fontId="0" fillId="10" borderId="0" xfId="0" applyFill="1"/>
    <xf numFmtId="0" fontId="5" fillId="10" borderId="0" xfId="0" applyFont="1" applyFill="1"/>
    <xf numFmtId="176" fontId="3" fillId="0" borderId="0" xfId="0" applyNumberFormat="1" applyFont="1"/>
    <xf numFmtId="0" fontId="1" fillId="0" borderId="41" xfId="0" applyFont="1" applyBorder="1"/>
    <xf numFmtId="0" fontId="1" fillId="0" borderId="34" xfId="0" applyFont="1" applyBorder="1"/>
    <xf numFmtId="0" fontId="0" fillId="5" borderId="41" xfId="0" applyFill="1" applyBorder="1"/>
    <xf numFmtId="0" fontId="0" fillId="4" borderId="7" xfId="0" applyFill="1" applyBorder="1"/>
    <xf numFmtId="0" fontId="8" fillId="0" borderId="0" xfId="0" applyFont="1"/>
    <xf numFmtId="0" fontId="0" fillId="0" borderId="41" xfId="0" applyBorder="1"/>
    <xf numFmtId="0" fontId="0" fillId="0" borderId="34" xfId="0" applyBorder="1"/>
    <xf numFmtId="0" fontId="0" fillId="0" borderId="31" xfId="0" applyBorder="1"/>
    <xf numFmtId="0" fontId="0" fillId="0" borderId="42" xfId="0" applyBorder="1"/>
    <xf numFmtId="0" fontId="4" fillId="11" borderId="0" xfId="0" applyFont="1" applyFill="1"/>
    <xf numFmtId="0" fontId="0" fillId="11" borderId="0" xfId="0" applyFill="1"/>
    <xf numFmtId="0" fontId="5" fillId="11" borderId="0" xfId="0" applyFont="1" applyFill="1"/>
    <xf numFmtId="176" fontId="0" fillId="0" borderId="0" xfId="0" applyNumberFormat="1"/>
    <xf numFmtId="0" fontId="0" fillId="0" borderId="28" xfId="0" applyBorder="1" applyAlignment="1">
      <alignment horizontal="center"/>
    </xf>
    <xf numFmtId="56" fontId="3" fillId="0" borderId="3" xfId="0" applyNumberFormat="1" applyFont="1" applyBorder="1" applyAlignment="1">
      <alignment horizontal="center"/>
    </xf>
    <xf numFmtId="0" fontId="4" fillId="6" borderId="0" xfId="0" applyFont="1" applyFill="1"/>
    <xf numFmtId="0" fontId="0" fillId="6" borderId="0" xfId="0" applyFill="1"/>
    <xf numFmtId="0" fontId="5" fillId="6" borderId="0" xfId="0" applyFont="1" applyFill="1"/>
    <xf numFmtId="0" fontId="3" fillId="0" borderId="22" xfId="0" applyFont="1" applyBorder="1"/>
    <xf numFmtId="0" fontId="3" fillId="0" borderId="18" xfId="0" applyFont="1" applyBorder="1"/>
    <xf numFmtId="0" fontId="3" fillId="0" borderId="26" xfId="0" applyFont="1" applyBorder="1"/>
    <xf numFmtId="0" fontId="3" fillId="0" borderId="8" xfId="0" applyFont="1" applyBorder="1"/>
    <xf numFmtId="56" fontId="3" fillId="0" borderId="0" xfId="0" applyNumberFormat="1" applyFont="1"/>
    <xf numFmtId="56" fontId="3" fillId="0" borderId="7" xfId="0" applyNumberFormat="1" applyFont="1" applyBorder="1" applyAlignment="1">
      <alignment horizontal="center"/>
    </xf>
    <xf numFmtId="0" fontId="3" fillId="0" borderId="0" xfId="0" applyFont="1"/>
    <xf numFmtId="0" fontId="3" fillId="5" borderId="8" xfId="0" applyFont="1" applyFill="1" applyBorder="1"/>
    <xf numFmtId="0" fontId="3" fillId="5" borderId="34" xfId="0" applyFont="1" applyFill="1" applyBorder="1"/>
    <xf numFmtId="56" fontId="10" fillId="0" borderId="7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18" xfId="0" applyFont="1" applyBorder="1"/>
    <xf numFmtId="0" fontId="10" fillId="5" borderId="8" xfId="0" applyFont="1" applyFill="1" applyBorder="1"/>
    <xf numFmtId="0" fontId="10" fillId="0" borderId="26" xfId="0" applyFont="1" applyBorder="1"/>
    <xf numFmtId="0" fontId="10" fillId="0" borderId="8" xfId="0" applyFont="1" applyBorder="1"/>
    <xf numFmtId="0" fontId="10" fillId="5" borderId="34" xfId="0" applyFont="1" applyFill="1" applyBorder="1"/>
    <xf numFmtId="0" fontId="10" fillId="4" borderId="28" xfId="0" applyFont="1" applyFill="1" applyBorder="1"/>
    <xf numFmtId="0" fontId="3" fillId="12" borderId="22" xfId="0" applyFont="1" applyFill="1" applyBorder="1"/>
    <xf numFmtId="0" fontId="3" fillId="12" borderId="18" xfId="0" applyFont="1" applyFill="1" applyBorder="1"/>
    <xf numFmtId="0" fontId="3" fillId="12" borderId="26" xfId="0" applyFont="1" applyFill="1" applyBorder="1"/>
    <xf numFmtId="0" fontId="3" fillId="12" borderId="8" xfId="0" applyFont="1" applyFill="1" applyBorder="1"/>
    <xf numFmtId="0" fontId="10" fillId="12" borderId="22" xfId="0" applyFont="1" applyFill="1" applyBorder="1"/>
    <xf numFmtId="0" fontId="10" fillId="12" borderId="18" xfId="0" applyFont="1" applyFill="1" applyBorder="1"/>
    <xf numFmtId="0" fontId="10" fillId="12" borderId="26" xfId="0" applyFont="1" applyFill="1" applyBorder="1"/>
    <xf numFmtId="0" fontId="7" fillId="5" borderId="31" xfId="0" applyFont="1" applyFill="1" applyBorder="1"/>
    <xf numFmtId="0" fontId="7" fillId="4" borderId="7" xfId="0" applyFont="1" applyFill="1" applyBorder="1"/>
    <xf numFmtId="0" fontId="7" fillId="5" borderId="8" xfId="0" applyFont="1" applyFill="1" applyBorder="1"/>
    <xf numFmtId="0" fontId="7" fillId="0" borderId="26" xfId="0" applyFont="1" applyBorder="1"/>
    <xf numFmtId="0" fontId="7" fillId="0" borderId="8" xfId="0" applyFont="1" applyBorder="1"/>
    <xf numFmtId="0" fontId="7" fillId="5" borderId="34" xfId="0" applyFont="1" applyFill="1" applyBorder="1"/>
    <xf numFmtId="0" fontId="10" fillId="0" borderId="0" xfId="0" applyFont="1"/>
    <xf numFmtId="0" fontId="3" fillId="5" borderId="41" xfId="0" applyFont="1" applyFill="1" applyBorder="1"/>
    <xf numFmtId="0" fontId="3" fillId="5" borderId="18" xfId="0" applyFont="1" applyFill="1" applyBorder="1"/>
    <xf numFmtId="0" fontId="3" fillId="4" borderId="7" xfId="0" applyFont="1" applyFill="1" applyBorder="1"/>
    <xf numFmtId="0" fontId="10" fillId="5" borderId="18" xfId="0" applyFont="1" applyFill="1" applyBorder="1"/>
    <xf numFmtId="0" fontId="10" fillId="4" borderId="7" xfId="0" applyFont="1" applyFill="1" applyBorder="1"/>
    <xf numFmtId="0" fontId="12" fillId="0" borderId="7" xfId="0" applyFont="1" applyBorder="1" applyAlignment="1">
      <alignment horizontal="center"/>
    </xf>
    <xf numFmtId="0" fontId="12" fillId="0" borderId="22" xfId="0" applyFont="1" applyBorder="1"/>
    <xf numFmtId="0" fontId="12" fillId="0" borderId="18" xfId="0" applyFont="1" applyBorder="1"/>
    <xf numFmtId="0" fontId="12" fillId="5" borderId="7" xfId="0" applyFont="1" applyFill="1" applyBorder="1"/>
    <xf numFmtId="0" fontId="12" fillId="0" borderId="26" xfId="0" applyFont="1" applyBorder="1"/>
    <xf numFmtId="0" fontId="12" fillId="0" borderId="8" xfId="0" applyFont="1" applyBorder="1"/>
    <xf numFmtId="0" fontId="12" fillId="5" borderId="31" xfId="0" applyFont="1" applyFill="1" applyBorder="1"/>
    <xf numFmtId="0" fontId="12" fillId="4" borderId="28" xfId="0" applyFont="1" applyFill="1" applyBorder="1"/>
    <xf numFmtId="56" fontId="12" fillId="0" borderId="0" xfId="0" applyNumberFormat="1" applyFont="1" applyAlignment="1">
      <alignment horizontal="left"/>
    </xf>
    <xf numFmtId="56" fontId="12" fillId="0" borderId="7" xfId="0" applyNumberFormat="1" applyFont="1" applyBorder="1" applyAlignment="1">
      <alignment horizontal="center"/>
    </xf>
    <xf numFmtId="0" fontId="12" fillId="0" borderId="41" xfId="0" applyFont="1" applyBorder="1"/>
    <xf numFmtId="0" fontId="12" fillId="5" borderId="28" xfId="0" applyFont="1" applyFill="1" applyBorder="1"/>
    <xf numFmtId="0" fontId="12" fillId="0" borderId="34" xfId="0" applyFont="1" applyBorder="1"/>
    <xf numFmtId="0" fontId="10" fillId="5" borderId="31" xfId="0" applyFont="1" applyFill="1" applyBorder="1"/>
    <xf numFmtId="56" fontId="0" fillId="0" borderId="0" xfId="0" applyNumberFormat="1"/>
    <xf numFmtId="56" fontId="12" fillId="0" borderId="3" xfId="0" applyNumberFormat="1" applyFont="1" applyBorder="1" applyAlignment="1">
      <alignment horizontal="center"/>
    </xf>
    <xf numFmtId="0" fontId="12" fillId="0" borderId="16" xfId="0" applyFont="1" applyBorder="1"/>
    <xf numFmtId="0" fontId="12" fillId="0" borderId="13" xfId="0" applyFont="1" applyBorder="1"/>
    <xf numFmtId="0" fontId="12" fillId="5" borderId="3" xfId="0" applyFont="1" applyFill="1" applyBorder="1"/>
    <xf numFmtId="0" fontId="12" fillId="5" borderId="14" xfId="0" applyFont="1" applyFill="1" applyBorder="1"/>
    <xf numFmtId="0" fontId="12" fillId="4" borderId="3" xfId="0" applyFont="1" applyFill="1" applyBorder="1"/>
    <xf numFmtId="56" fontId="0" fillId="0" borderId="28" xfId="0" applyNumberFormat="1" applyBorder="1" applyAlignment="1">
      <alignment horizontal="center" shrinkToFit="1"/>
    </xf>
    <xf numFmtId="0" fontId="0" fillId="13" borderId="22" xfId="0" applyFill="1" applyBorder="1"/>
    <xf numFmtId="0" fontId="0" fillId="13" borderId="18" xfId="0" applyFill="1" applyBorder="1"/>
    <xf numFmtId="56" fontId="7" fillId="0" borderId="7" xfId="0" applyNumberFormat="1" applyFont="1" applyBorder="1" applyAlignment="1">
      <alignment horizontal="center"/>
    </xf>
    <xf numFmtId="0" fontId="7" fillId="12" borderId="22" xfId="0" applyFont="1" applyFill="1" applyBorder="1"/>
    <xf numFmtId="0" fontId="7" fillId="12" borderId="19" xfId="0" applyFont="1" applyFill="1" applyBorder="1"/>
    <xf numFmtId="0" fontId="7" fillId="5" borderId="7" xfId="0" applyFont="1" applyFill="1" applyBorder="1"/>
    <xf numFmtId="0" fontId="7" fillId="0" borderId="22" xfId="0" applyFont="1" applyBorder="1"/>
    <xf numFmtId="0" fontId="7" fillId="0" borderId="18" xfId="0" applyFont="1" applyBorder="1"/>
    <xf numFmtId="0" fontId="7" fillId="5" borderId="41" xfId="0" applyFont="1" applyFill="1" applyBorder="1"/>
    <xf numFmtId="0" fontId="7" fillId="12" borderId="18" xfId="0" applyFont="1" applyFill="1" applyBorder="1"/>
    <xf numFmtId="0" fontId="7" fillId="5" borderId="18" xfId="0" applyFont="1" applyFill="1" applyBorder="1"/>
    <xf numFmtId="0" fontId="7" fillId="0" borderId="0" xfId="0" applyFont="1"/>
    <xf numFmtId="0" fontId="0" fillId="12" borderId="22" xfId="0" applyFill="1" applyBorder="1"/>
    <xf numFmtId="0" fontId="0" fillId="12" borderId="19" xfId="0" applyFill="1" applyBorder="1"/>
    <xf numFmtId="0" fontId="0" fillId="12" borderId="18" xfId="0" applyFill="1" applyBorder="1"/>
    <xf numFmtId="0" fontId="0" fillId="5" borderId="18" xfId="0" applyFill="1" applyBorder="1"/>
    <xf numFmtId="0" fontId="0" fillId="12" borderId="26" xfId="0" applyFill="1" applyBorder="1"/>
    <xf numFmtId="0" fontId="0" fillId="12" borderId="8" xfId="0" applyFill="1" applyBorder="1"/>
    <xf numFmtId="0" fontId="7" fillId="12" borderId="26" xfId="0" applyFont="1" applyFill="1" applyBorder="1"/>
    <xf numFmtId="0" fontId="7" fillId="12" borderId="8" xfId="0" applyFont="1" applyFill="1" applyBorder="1"/>
    <xf numFmtId="0" fontId="7" fillId="4" borderId="28" xfId="0" applyFont="1" applyFill="1" applyBorder="1"/>
    <xf numFmtId="56" fontId="7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3" fillId="0" borderId="28" xfId="0" applyNumberFormat="1" applyFont="1" applyBorder="1" applyAlignment="1">
      <alignment horizontal="center"/>
    </xf>
    <xf numFmtId="56" fontId="10" fillId="0" borderId="28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5" borderId="28" xfId="0" applyFont="1" applyFill="1" applyBorder="1"/>
    <xf numFmtId="0" fontId="3" fillId="5" borderId="37" xfId="0" applyFont="1" applyFill="1" applyBorder="1"/>
    <xf numFmtId="0" fontId="3" fillId="0" borderId="41" xfId="0" applyFont="1" applyBorder="1"/>
    <xf numFmtId="0" fontId="3" fillId="0" borderId="34" xfId="0" applyFont="1" applyBorder="1"/>
    <xf numFmtId="0" fontId="3" fillId="0" borderId="0" xfId="0" applyFont="1" applyAlignment="1">
      <alignment horizontal="left"/>
    </xf>
    <xf numFmtId="0" fontId="10" fillId="0" borderId="41" xfId="0" applyFont="1" applyBorder="1"/>
    <xf numFmtId="0" fontId="10" fillId="5" borderId="28" xfId="0" applyFont="1" applyFill="1" applyBorder="1"/>
    <xf numFmtId="0" fontId="10" fillId="0" borderId="34" xfId="0" applyFont="1" applyBorder="1"/>
    <xf numFmtId="0" fontId="3" fillId="0" borderId="33" xfId="0" applyFont="1" applyBorder="1"/>
    <xf numFmtId="0" fontId="3" fillId="0" borderId="3" xfId="0" applyFont="1" applyBorder="1"/>
    <xf numFmtId="0" fontId="0" fillId="0" borderId="0" xfId="0" applyAlignment="1">
      <alignment horizontal="right"/>
    </xf>
    <xf numFmtId="0" fontId="0" fillId="0" borderId="43" xfId="0" applyBorder="1"/>
    <xf numFmtId="0" fontId="6" fillId="3" borderId="1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6" borderId="0" xfId="0" applyFont="1" applyFill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AC284"/>
  <sheetViews>
    <sheetView topLeftCell="A257" zoomScaleNormal="100" workbookViewId="0">
      <selection activeCell="P282" sqref="P282"/>
    </sheetView>
  </sheetViews>
  <sheetFormatPr defaultRowHeight="13.5" x14ac:dyDescent="0.15"/>
  <cols>
    <col min="2" max="2" width="24.875" customWidth="1"/>
    <col min="3" max="9" width="7.375" customWidth="1"/>
    <col min="10" max="10" width="15.25" customWidth="1"/>
    <col min="11" max="11" width="35" style="1" customWidth="1"/>
    <col min="12" max="18" width="10.25" customWidth="1"/>
    <col min="19" max="19" width="9.25" style="35" bestFit="1" customWidth="1"/>
    <col min="20" max="20" width="4.875" customWidth="1"/>
    <col min="21" max="21" width="16.25" customWidth="1"/>
  </cols>
  <sheetData>
    <row r="1" spans="2:29" ht="18.75" x14ac:dyDescent="0.2">
      <c r="B1" s="70" t="s">
        <v>11</v>
      </c>
      <c r="C1" s="71"/>
      <c r="D1" s="71"/>
      <c r="E1" s="71"/>
      <c r="F1" s="71"/>
      <c r="G1" s="71"/>
      <c r="H1" s="71"/>
      <c r="I1" s="71"/>
      <c r="J1" s="35"/>
      <c r="K1" s="16" t="s">
        <v>17</v>
      </c>
      <c r="L1" s="15"/>
      <c r="M1" s="15"/>
      <c r="N1" s="15"/>
      <c r="O1" s="15"/>
      <c r="P1" s="15"/>
      <c r="Q1" s="15"/>
      <c r="R1" s="15"/>
      <c r="AC1" s="35"/>
    </row>
    <row r="2" spans="2:29" ht="18" thickBot="1" x14ac:dyDescent="0.25">
      <c r="B2" s="72" t="s">
        <v>12</v>
      </c>
      <c r="C2" s="71"/>
      <c r="D2" s="71"/>
      <c r="E2" s="71"/>
      <c r="F2" s="71"/>
      <c r="G2" s="71"/>
      <c r="H2" s="71"/>
      <c r="I2" s="71"/>
      <c r="J2" s="35"/>
      <c r="K2" s="17" t="s">
        <v>12</v>
      </c>
      <c r="L2" s="15"/>
      <c r="M2" s="15"/>
      <c r="N2" s="15"/>
      <c r="O2" s="15"/>
      <c r="P2" s="15"/>
      <c r="Q2" s="15"/>
      <c r="R2" s="15"/>
      <c r="AC2" s="35"/>
    </row>
    <row r="3" spans="2:29" ht="14.25" thickBot="1" x14ac:dyDescent="0.2">
      <c r="B3" s="14"/>
      <c r="C3" s="206" t="s">
        <v>9</v>
      </c>
      <c r="D3" s="207"/>
      <c r="E3" s="208"/>
      <c r="F3" s="219" t="s">
        <v>10</v>
      </c>
      <c r="G3" s="220"/>
      <c r="H3" s="220"/>
      <c r="I3" s="217" t="s">
        <v>8</v>
      </c>
      <c r="J3" s="35"/>
      <c r="K3" s="14"/>
      <c r="L3" s="206" t="s">
        <v>9</v>
      </c>
      <c r="M3" s="207"/>
      <c r="N3" s="208"/>
      <c r="O3" s="219" t="s">
        <v>10</v>
      </c>
      <c r="P3" s="220"/>
      <c r="Q3" s="220"/>
      <c r="R3" s="217" t="s">
        <v>8</v>
      </c>
      <c r="AC3" s="35"/>
    </row>
    <row r="4" spans="2:29" s="1" customFormat="1" ht="14.25" thickBot="1" x14ac:dyDescent="0.2">
      <c r="B4" s="4"/>
      <c r="C4" s="62" t="s">
        <v>6</v>
      </c>
      <c r="D4" s="61" t="s">
        <v>5</v>
      </c>
      <c r="E4" s="63" t="s">
        <v>4</v>
      </c>
      <c r="F4" s="62" t="s">
        <v>6</v>
      </c>
      <c r="G4" s="61" t="s">
        <v>5</v>
      </c>
      <c r="H4" s="63" t="s">
        <v>4</v>
      </c>
      <c r="I4" s="218"/>
      <c r="J4" s="35"/>
      <c r="K4" s="13"/>
      <c r="L4" s="23" t="s">
        <v>6</v>
      </c>
      <c r="M4" s="12" t="s">
        <v>5</v>
      </c>
      <c r="N4" s="45" t="s">
        <v>4</v>
      </c>
      <c r="O4" s="23" t="s">
        <v>6</v>
      </c>
      <c r="P4" s="12" t="s">
        <v>5</v>
      </c>
      <c r="Q4" s="53" t="s">
        <v>4</v>
      </c>
      <c r="R4" s="218"/>
      <c r="S4" s="35"/>
      <c r="U4"/>
      <c r="V4"/>
      <c r="W4"/>
      <c r="X4"/>
      <c r="Y4"/>
      <c r="Z4"/>
      <c r="AA4"/>
      <c r="AB4"/>
      <c r="AC4" s="35"/>
    </row>
    <row r="5" spans="2:29" ht="14.25" customHeight="1" x14ac:dyDescent="0.15">
      <c r="B5" s="34" t="s">
        <v>7</v>
      </c>
      <c r="C5" s="31">
        <v>5</v>
      </c>
      <c r="D5" s="7">
        <v>5</v>
      </c>
      <c r="E5" s="76">
        <f t="shared" ref="E5:E38" si="0">SUM(C5:D5)</f>
        <v>10</v>
      </c>
      <c r="F5" s="31">
        <v>5</v>
      </c>
      <c r="G5" s="7">
        <v>5</v>
      </c>
      <c r="H5" s="77">
        <f t="shared" ref="H5:H38" si="1">SUM(F5:G5)</f>
        <v>10</v>
      </c>
      <c r="I5" s="38">
        <f t="shared" ref="I5:I38" si="2">E5+H5</f>
        <v>20</v>
      </c>
      <c r="J5" s="36">
        <v>45419</v>
      </c>
      <c r="K5" s="9" t="s">
        <v>13</v>
      </c>
      <c r="L5" s="24">
        <v>100</v>
      </c>
      <c r="M5" s="18">
        <v>100</v>
      </c>
      <c r="N5" s="74">
        <f t="shared" ref="N5:N36" si="3">SUM(L5:M5)</f>
        <v>200</v>
      </c>
      <c r="O5" s="24">
        <v>100</v>
      </c>
      <c r="P5" s="18">
        <v>100</v>
      </c>
      <c r="Q5" s="75">
        <f t="shared" ref="Q5:Q36" si="4">SUM(O5:P5)</f>
        <v>200</v>
      </c>
      <c r="R5" s="38">
        <f>N5+Q5</f>
        <v>400</v>
      </c>
      <c r="S5" s="36" t="s">
        <v>19</v>
      </c>
      <c r="AC5" s="36"/>
    </row>
    <row r="6" spans="2:29" x14ac:dyDescent="0.15">
      <c r="B6" s="11" t="s">
        <v>3</v>
      </c>
      <c r="C6" s="25">
        <v>10</v>
      </c>
      <c r="D6" s="19">
        <v>10</v>
      </c>
      <c r="E6" s="46">
        <f t="shared" si="0"/>
        <v>20</v>
      </c>
      <c r="F6" s="31">
        <v>10</v>
      </c>
      <c r="G6" s="7">
        <v>10</v>
      </c>
      <c r="H6" s="54">
        <f t="shared" si="1"/>
        <v>20</v>
      </c>
      <c r="I6" s="38">
        <f t="shared" si="2"/>
        <v>40</v>
      </c>
      <c r="J6" s="36">
        <v>45443</v>
      </c>
      <c r="K6" s="11" t="s">
        <v>3</v>
      </c>
      <c r="L6" s="25"/>
      <c r="M6" s="19"/>
      <c r="N6" s="46">
        <f t="shared" si="3"/>
        <v>0</v>
      </c>
      <c r="O6" s="31"/>
      <c r="P6" s="7"/>
      <c r="Q6" s="54">
        <f t="shared" si="4"/>
        <v>0</v>
      </c>
      <c r="R6" s="38">
        <f t="shared" ref="R6:R36" si="5">N6+Q6</f>
        <v>0</v>
      </c>
      <c r="S6" s="36"/>
      <c r="AC6" s="36"/>
    </row>
    <row r="7" spans="2:29" x14ac:dyDescent="0.15">
      <c r="B7" s="11" t="s">
        <v>3</v>
      </c>
      <c r="C7" s="25">
        <v>5</v>
      </c>
      <c r="D7" s="19">
        <v>5</v>
      </c>
      <c r="E7" s="46">
        <f t="shared" si="0"/>
        <v>10</v>
      </c>
      <c r="F7" s="31">
        <v>5</v>
      </c>
      <c r="G7" s="7">
        <v>5</v>
      </c>
      <c r="H7" s="54">
        <f t="shared" si="1"/>
        <v>10</v>
      </c>
      <c r="I7" s="38">
        <f t="shared" si="2"/>
        <v>20</v>
      </c>
      <c r="J7" s="36">
        <v>45455</v>
      </c>
      <c r="K7" s="11" t="s">
        <v>3</v>
      </c>
      <c r="L7" s="25"/>
      <c r="M7" s="19"/>
      <c r="N7" s="46">
        <f t="shared" si="3"/>
        <v>0</v>
      </c>
      <c r="O7" s="31"/>
      <c r="P7" s="7"/>
      <c r="Q7" s="54">
        <f t="shared" si="4"/>
        <v>0</v>
      </c>
      <c r="R7" s="38">
        <f t="shared" si="5"/>
        <v>0</v>
      </c>
      <c r="S7" s="36"/>
      <c r="AC7" s="36"/>
    </row>
    <row r="8" spans="2:29" x14ac:dyDescent="0.15">
      <c r="B8" s="11" t="s">
        <v>3</v>
      </c>
      <c r="C8" s="25">
        <v>5</v>
      </c>
      <c r="D8" s="19">
        <v>5</v>
      </c>
      <c r="E8" s="46">
        <f t="shared" si="0"/>
        <v>10</v>
      </c>
      <c r="F8" s="31">
        <v>5</v>
      </c>
      <c r="G8" s="7">
        <v>5</v>
      </c>
      <c r="H8" s="54">
        <f t="shared" si="1"/>
        <v>10</v>
      </c>
      <c r="I8" s="38">
        <f t="shared" si="2"/>
        <v>20</v>
      </c>
      <c r="J8" s="36">
        <v>45492</v>
      </c>
      <c r="K8" s="11" t="s">
        <v>3</v>
      </c>
      <c r="L8" s="25"/>
      <c r="M8" s="19"/>
      <c r="N8" s="46">
        <f t="shared" ref="N8:N9" si="6">SUM(L8:M8)</f>
        <v>0</v>
      </c>
      <c r="O8" s="31"/>
      <c r="P8" s="7"/>
      <c r="Q8" s="54">
        <f t="shared" ref="Q8:Q9" si="7">SUM(O8:P8)</f>
        <v>0</v>
      </c>
      <c r="R8" s="38">
        <f t="shared" ref="R8:R9" si="8">N8+Q8</f>
        <v>0</v>
      </c>
      <c r="S8" s="36"/>
      <c r="AC8" s="36"/>
    </row>
    <row r="9" spans="2:29" x14ac:dyDescent="0.15">
      <c r="B9" s="11" t="s">
        <v>3</v>
      </c>
      <c r="C9" s="25"/>
      <c r="D9" s="19"/>
      <c r="E9" s="46">
        <f t="shared" si="0"/>
        <v>0</v>
      </c>
      <c r="F9" s="31"/>
      <c r="G9" s="7"/>
      <c r="H9" s="54">
        <f t="shared" si="1"/>
        <v>0</v>
      </c>
      <c r="I9" s="38">
        <f t="shared" si="2"/>
        <v>0</v>
      </c>
      <c r="J9" s="36"/>
      <c r="K9" s="11" t="s">
        <v>14</v>
      </c>
      <c r="L9" s="25">
        <v>100</v>
      </c>
      <c r="M9" s="19">
        <v>150</v>
      </c>
      <c r="N9" s="46">
        <f t="shared" si="6"/>
        <v>250</v>
      </c>
      <c r="O9" s="31">
        <v>100</v>
      </c>
      <c r="P9" s="7">
        <v>150</v>
      </c>
      <c r="Q9" s="54">
        <f t="shared" si="7"/>
        <v>250</v>
      </c>
      <c r="R9" s="38">
        <f t="shared" si="8"/>
        <v>500</v>
      </c>
      <c r="S9" s="36" t="s">
        <v>30</v>
      </c>
      <c r="AC9" s="36"/>
    </row>
    <row r="10" spans="2:29" ht="14.25" thickBot="1" x14ac:dyDescent="0.2">
      <c r="B10" s="10" t="s">
        <v>3</v>
      </c>
      <c r="C10" s="26"/>
      <c r="D10" s="20"/>
      <c r="E10" s="47">
        <f t="shared" si="0"/>
        <v>0</v>
      </c>
      <c r="F10" s="32"/>
      <c r="G10" s="5"/>
      <c r="H10" s="55">
        <f t="shared" si="1"/>
        <v>0</v>
      </c>
      <c r="I10" s="39">
        <f t="shared" si="2"/>
        <v>0</v>
      </c>
      <c r="J10" s="36"/>
      <c r="K10" s="10" t="s">
        <v>3</v>
      </c>
      <c r="L10" s="26"/>
      <c r="M10" s="20"/>
      <c r="N10" s="47">
        <f t="shared" si="3"/>
        <v>0</v>
      </c>
      <c r="O10" s="32"/>
      <c r="P10" s="5"/>
      <c r="Q10" s="55">
        <f t="shared" si="4"/>
        <v>0</v>
      </c>
      <c r="R10" s="39">
        <f t="shared" si="5"/>
        <v>0</v>
      </c>
      <c r="S10" s="36"/>
      <c r="AC10" s="36"/>
    </row>
    <row r="11" spans="2:29" ht="14.25" thickBot="1" x14ac:dyDescent="0.2">
      <c r="B11" s="42" t="s">
        <v>2</v>
      </c>
      <c r="C11" s="43">
        <f>SUM(C5:C10)</f>
        <v>25</v>
      </c>
      <c r="D11" s="44">
        <f>SUM(D5:D10)</f>
        <v>25</v>
      </c>
      <c r="E11" s="48">
        <f t="shared" si="0"/>
        <v>50</v>
      </c>
      <c r="F11" s="43">
        <f>SUM(F5:F10)</f>
        <v>25</v>
      </c>
      <c r="G11" s="44">
        <f>SUM(G5:G10)</f>
        <v>25</v>
      </c>
      <c r="H11" s="56">
        <f t="shared" si="1"/>
        <v>50</v>
      </c>
      <c r="I11" s="41">
        <f t="shared" si="2"/>
        <v>100</v>
      </c>
      <c r="J11" s="35"/>
      <c r="K11" s="42" t="s">
        <v>2</v>
      </c>
      <c r="L11" s="43">
        <f>SUM(L5:L10)</f>
        <v>200</v>
      </c>
      <c r="M11" s="44">
        <f t="shared" ref="M11" si="9">SUM(M5:M10)</f>
        <v>250</v>
      </c>
      <c r="N11" s="83">
        <f t="shared" ref="N11" si="10">SUM(N5:N10)</f>
        <v>450</v>
      </c>
      <c r="O11" s="43">
        <f t="shared" ref="O11" si="11">SUM(O5:O10)</f>
        <v>200</v>
      </c>
      <c r="P11" s="44">
        <f t="shared" ref="P11" si="12">SUM(P5:P10)</f>
        <v>250</v>
      </c>
      <c r="Q11" s="84">
        <f t="shared" ref="Q11" si="13">SUM(Q5:Q10)</f>
        <v>450</v>
      </c>
      <c r="R11" s="41">
        <f t="shared" ref="R11" si="14">SUM(R5:R10)</f>
        <v>900</v>
      </c>
      <c r="AC11" s="35"/>
    </row>
    <row r="12" spans="2:29" x14ac:dyDescent="0.15">
      <c r="B12" s="9" t="s">
        <v>20</v>
      </c>
      <c r="C12" s="24"/>
      <c r="D12" s="18">
        <v>1</v>
      </c>
      <c r="E12" s="49">
        <f t="shared" si="0"/>
        <v>1</v>
      </c>
      <c r="F12" s="31"/>
      <c r="G12" s="7">
        <v>1</v>
      </c>
      <c r="H12" s="57">
        <f t="shared" si="1"/>
        <v>1</v>
      </c>
      <c r="I12" s="38">
        <f t="shared" si="2"/>
        <v>2</v>
      </c>
      <c r="J12" s="36">
        <v>45419</v>
      </c>
      <c r="K12" s="9" t="s">
        <v>18</v>
      </c>
      <c r="L12" s="24">
        <v>5</v>
      </c>
      <c r="M12" s="18">
        <v>5</v>
      </c>
      <c r="N12" s="78">
        <f t="shared" si="3"/>
        <v>10</v>
      </c>
      <c r="O12" s="24">
        <v>5</v>
      </c>
      <c r="P12" s="18">
        <v>5</v>
      </c>
      <c r="Q12" s="78">
        <f t="shared" si="4"/>
        <v>10</v>
      </c>
      <c r="R12" s="79">
        <f t="shared" si="5"/>
        <v>20</v>
      </c>
      <c r="S12" s="36">
        <v>45419</v>
      </c>
      <c r="AC12" s="36"/>
    </row>
    <row r="13" spans="2:29" x14ac:dyDescent="0.15">
      <c r="B13" s="34" t="s">
        <v>20</v>
      </c>
      <c r="C13" s="25">
        <v>1</v>
      </c>
      <c r="D13" s="19"/>
      <c r="E13" s="49">
        <f t="shared" si="0"/>
        <v>1</v>
      </c>
      <c r="F13" s="31">
        <v>1</v>
      </c>
      <c r="G13" s="7"/>
      <c r="H13" s="57">
        <f t="shared" si="1"/>
        <v>1</v>
      </c>
      <c r="I13" s="38">
        <f t="shared" si="2"/>
        <v>2</v>
      </c>
      <c r="J13" s="36">
        <v>45428</v>
      </c>
      <c r="K13" s="34" t="s">
        <v>18</v>
      </c>
      <c r="L13" s="31">
        <v>10</v>
      </c>
      <c r="M13" s="7">
        <v>10</v>
      </c>
      <c r="N13" s="57">
        <f t="shared" si="3"/>
        <v>20</v>
      </c>
      <c r="O13" s="31">
        <v>10</v>
      </c>
      <c r="P13" s="7">
        <v>10</v>
      </c>
      <c r="Q13" s="57">
        <f t="shared" si="4"/>
        <v>20</v>
      </c>
      <c r="R13" s="38">
        <f t="shared" si="5"/>
        <v>40</v>
      </c>
      <c r="S13" s="36">
        <v>45443</v>
      </c>
      <c r="AC13" s="36"/>
    </row>
    <row r="14" spans="2:29" x14ac:dyDescent="0.15">
      <c r="B14" s="34" t="s">
        <v>20</v>
      </c>
      <c r="C14" s="25"/>
      <c r="D14" s="19">
        <v>1</v>
      </c>
      <c r="E14" s="49">
        <f t="shared" si="0"/>
        <v>1</v>
      </c>
      <c r="F14" s="31"/>
      <c r="G14" s="7">
        <v>1</v>
      </c>
      <c r="H14" s="57">
        <f t="shared" si="1"/>
        <v>1</v>
      </c>
      <c r="I14" s="38">
        <f t="shared" si="2"/>
        <v>2</v>
      </c>
      <c r="J14" s="36">
        <v>45430</v>
      </c>
      <c r="K14" s="6" t="s">
        <v>28</v>
      </c>
      <c r="L14" s="25">
        <v>3</v>
      </c>
      <c r="M14" s="19">
        <v>4</v>
      </c>
      <c r="N14" s="49">
        <f t="shared" si="3"/>
        <v>7</v>
      </c>
      <c r="O14" s="31">
        <v>3</v>
      </c>
      <c r="P14" s="7">
        <v>4</v>
      </c>
      <c r="Q14" s="57">
        <f t="shared" si="4"/>
        <v>7</v>
      </c>
      <c r="R14" s="38">
        <f t="shared" si="5"/>
        <v>14</v>
      </c>
      <c r="S14" s="36">
        <v>45449</v>
      </c>
      <c r="AC14" s="36"/>
    </row>
    <row r="15" spans="2:29" x14ac:dyDescent="0.15">
      <c r="B15" s="6" t="s">
        <v>21</v>
      </c>
      <c r="C15" s="25">
        <v>4</v>
      </c>
      <c r="D15" s="19">
        <v>1</v>
      </c>
      <c r="E15" s="49">
        <f t="shared" si="0"/>
        <v>5</v>
      </c>
      <c r="F15" s="31">
        <v>4</v>
      </c>
      <c r="G15" s="7">
        <v>1</v>
      </c>
      <c r="H15" s="57">
        <f t="shared" si="1"/>
        <v>5</v>
      </c>
      <c r="I15" s="38">
        <f t="shared" si="2"/>
        <v>10</v>
      </c>
      <c r="J15" s="36">
        <v>45443</v>
      </c>
      <c r="K15" s="34" t="s">
        <v>18</v>
      </c>
      <c r="L15" s="25">
        <v>5</v>
      </c>
      <c r="M15" s="19">
        <v>5</v>
      </c>
      <c r="N15" s="57">
        <f t="shared" si="3"/>
        <v>10</v>
      </c>
      <c r="O15" s="31">
        <v>5</v>
      </c>
      <c r="P15" s="7">
        <v>5</v>
      </c>
      <c r="Q15" s="57">
        <f t="shared" si="4"/>
        <v>10</v>
      </c>
      <c r="R15" s="38">
        <f t="shared" si="5"/>
        <v>20</v>
      </c>
      <c r="S15" s="36">
        <v>45455</v>
      </c>
      <c r="AC15" s="36"/>
    </row>
    <row r="16" spans="2:29" x14ac:dyDescent="0.15">
      <c r="B16" s="6" t="s">
        <v>24</v>
      </c>
      <c r="C16" s="25">
        <v>2</v>
      </c>
      <c r="D16" s="19">
        <v>1</v>
      </c>
      <c r="E16" s="49">
        <f t="shared" si="0"/>
        <v>3</v>
      </c>
      <c r="F16" s="31">
        <v>2</v>
      </c>
      <c r="G16" s="7">
        <v>1</v>
      </c>
      <c r="H16" s="57">
        <f t="shared" si="1"/>
        <v>3</v>
      </c>
      <c r="I16" s="38">
        <f t="shared" si="2"/>
        <v>6</v>
      </c>
      <c r="J16" s="36">
        <v>45446</v>
      </c>
      <c r="K16" s="34" t="s">
        <v>18</v>
      </c>
      <c r="L16" s="25">
        <v>5</v>
      </c>
      <c r="M16" s="19">
        <v>5</v>
      </c>
      <c r="N16" s="57">
        <f t="shared" si="3"/>
        <v>10</v>
      </c>
      <c r="O16" s="31">
        <v>5</v>
      </c>
      <c r="P16" s="7">
        <v>5</v>
      </c>
      <c r="Q16" s="57">
        <f t="shared" si="4"/>
        <v>10</v>
      </c>
      <c r="R16" s="38">
        <f t="shared" si="5"/>
        <v>20</v>
      </c>
      <c r="S16" s="36">
        <v>45492</v>
      </c>
      <c r="AC16" s="36"/>
    </row>
    <row r="17" spans="2:29" x14ac:dyDescent="0.15">
      <c r="B17" s="6" t="s">
        <v>26</v>
      </c>
      <c r="C17" s="25">
        <v>2</v>
      </c>
      <c r="D17" s="19"/>
      <c r="E17" s="49">
        <f t="shared" si="0"/>
        <v>2</v>
      </c>
      <c r="F17" s="31">
        <v>2</v>
      </c>
      <c r="G17" s="7"/>
      <c r="H17" s="57">
        <f t="shared" si="1"/>
        <v>2</v>
      </c>
      <c r="I17" s="38">
        <f t="shared" si="2"/>
        <v>4</v>
      </c>
      <c r="J17" s="36">
        <v>45446</v>
      </c>
      <c r="K17" s="34"/>
      <c r="L17" s="25"/>
      <c r="M17" s="19"/>
      <c r="N17" s="57">
        <f t="shared" si="3"/>
        <v>0</v>
      </c>
      <c r="O17" s="31"/>
      <c r="P17" s="7"/>
      <c r="Q17" s="57">
        <f t="shared" si="4"/>
        <v>0</v>
      </c>
      <c r="R17" s="38">
        <f t="shared" si="5"/>
        <v>0</v>
      </c>
      <c r="S17" s="36"/>
      <c r="AC17" s="36"/>
    </row>
    <row r="18" spans="2:29" x14ac:dyDescent="0.15">
      <c r="B18" s="6" t="s">
        <v>27</v>
      </c>
      <c r="C18" s="25">
        <v>3</v>
      </c>
      <c r="D18" s="19">
        <v>4</v>
      </c>
      <c r="E18" s="49">
        <f t="shared" si="0"/>
        <v>7</v>
      </c>
      <c r="F18" s="31">
        <v>3</v>
      </c>
      <c r="G18" s="7">
        <v>4</v>
      </c>
      <c r="H18" s="57">
        <f t="shared" si="1"/>
        <v>7</v>
      </c>
      <c r="I18" s="38">
        <f t="shared" si="2"/>
        <v>14</v>
      </c>
      <c r="J18" s="36">
        <v>45448</v>
      </c>
      <c r="K18" s="6"/>
      <c r="L18" s="25"/>
      <c r="M18" s="19"/>
      <c r="N18" s="57">
        <f t="shared" si="3"/>
        <v>0</v>
      </c>
      <c r="O18" s="31"/>
      <c r="P18" s="7"/>
      <c r="Q18" s="57">
        <f t="shared" si="4"/>
        <v>0</v>
      </c>
      <c r="R18" s="38">
        <f t="shared" si="5"/>
        <v>0</v>
      </c>
      <c r="S18" s="36"/>
      <c r="AC18" s="36"/>
    </row>
    <row r="19" spans="2:29" x14ac:dyDescent="0.15">
      <c r="B19" s="6" t="s">
        <v>29</v>
      </c>
      <c r="C19" s="25"/>
      <c r="D19" s="19">
        <v>2</v>
      </c>
      <c r="E19" s="49">
        <f t="shared" ref="E19" si="15">SUM(C19:D19)</f>
        <v>2</v>
      </c>
      <c r="F19" s="31"/>
      <c r="G19" s="7">
        <v>2</v>
      </c>
      <c r="H19" s="57">
        <f t="shared" ref="H19" si="16">SUM(F19:G19)</f>
        <v>2</v>
      </c>
      <c r="I19" s="38">
        <f t="shared" ref="I19" si="17">E19+H19</f>
        <v>4</v>
      </c>
      <c r="J19" s="36">
        <v>45453</v>
      </c>
      <c r="K19" s="6"/>
      <c r="L19" s="25"/>
      <c r="M19" s="19"/>
      <c r="N19" s="57">
        <f t="shared" si="3"/>
        <v>0</v>
      </c>
      <c r="O19" s="31"/>
      <c r="P19" s="7"/>
      <c r="Q19" s="57">
        <f t="shared" si="4"/>
        <v>0</v>
      </c>
      <c r="R19" s="38">
        <f t="shared" si="5"/>
        <v>0</v>
      </c>
      <c r="S19" s="36"/>
      <c r="AC19" s="36"/>
    </row>
    <row r="20" spans="2:29" x14ac:dyDescent="0.15">
      <c r="B20" s="6" t="s">
        <v>31</v>
      </c>
      <c r="C20" s="25"/>
      <c r="D20" s="19">
        <v>1</v>
      </c>
      <c r="E20" s="49">
        <f t="shared" si="0"/>
        <v>1</v>
      </c>
      <c r="F20" s="31"/>
      <c r="G20" s="7">
        <v>1</v>
      </c>
      <c r="H20" s="57">
        <f t="shared" si="1"/>
        <v>1</v>
      </c>
      <c r="I20" s="38">
        <f t="shared" si="2"/>
        <v>2</v>
      </c>
      <c r="J20" s="36">
        <v>45456</v>
      </c>
      <c r="K20" s="6"/>
      <c r="L20" s="25"/>
      <c r="M20" s="19"/>
      <c r="N20" s="57">
        <f t="shared" si="3"/>
        <v>0</v>
      </c>
      <c r="O20" s="31"/>
      <c r="P20" s="7"/>
      <c r="Q20" s="57">
        <f t="shared" si="4"/>
        <v>0</v>
      </c>
      <c r="R20" s="38">
        <f t="shared" si="5"/>
        <v>0</v>
      </c>
      <c r="S20" s="36"/>
      <c r="AC20" s="36"/>
    </row>
    <row r="21" spans="2:29" x14ac:dyDescent="0.15">
      <c r="B21" s="6" t="s">
        <v>32</v>
      </c>
      <c r="C21" s="25">
        <v>1</v>
      </c>
      <c r="D21" s="19">
        <v>1</v>
      </c>
      <c r="E21" s="49">
        <f t="shared" si="0"/>
        <v>2</v>
      </c>
      <c r="F21" s="31">
        <v>1</v>
      </c>
      <c r="G21" s="7">
        <v>1</v>
      </c>
      <c r="H21" s="57">
        <f t="shared" si="1"/>
        <v>2</v>
      </c>
      <c r="I21" s="38">
        <f t="shared" si="2"/>
        <v>4</v>
      </c>
      <c r="J21" s="36">
        <v>45469</v>
      </c>
      <c r="K21" s="34"/>
      <c r="L21" s="25"/>
      <c r="M21" s="19"/>
      <c r="N21" s="57">
        <f t="shared" si="3"/>
        <v>0</v>
      </c>
      <c r="O21" s="31"/>
      <c r="P21" s="7"/>
      <c r="Q21" s="57">
        <f t="shared" si="4"/>
        <v>0</v>
      </c>
      <c r="R21" s="38">
        <f t="shared" si="5"/>
        <v>0</v>
      </c>
      <c r="S21" s="36"/>
      <c r="AC21" s="36"/>
    </row>
    <row r="22" spans="2:29" x14ac:dyDescent="0.15">
      <c r="B22" s="6" t="s">
        <v>33</v>
      </c>
      <c r="C22" s="25">
        <v>1</v>
      </c>
      <c r="D22" s="19"/>
      <c r="E22" s="49">
        <f t="shared" si="0"/>
        <v>1</v>
      </c>
      <c r="F22" s="31">
        <v>1</v>
      </c>
      <c r="G22" s="7"/>
      <c r="H22" s="57">
        <f t="shared" si="1"/>
        <v>1</v>
      </c>
      <c r="I22" s="38">
        <f t="shared" si="2"/>
        <v>2</v>
      </c>
      <c r="J22" s="36">
        <v>45471</v>
      </c>
      <c r="K22" s="6"/>
      <c r="L22" s="28"/>
      <c r="M22" s="22"/>
      <c r="N22" s="57">
        <f t="shared" si="3"/>
        <v>0</v>
      </c>
      <c r="O22" s="33"/>
      <c r="P22" s="8"/>
      <c r="Q22" s="57">
        <f t="shared" si="4"/>
        <v>0</v>
      </c>
      <c r="R22" s="38">
        <f t="shared" si="5"/>
        <v>0</v>
      </c>
      <c r="S22" s="37"/>
      <c r="AC22" s="37"/>
    </row>
    <row r="23" spans="2:29" x14ac:dyDescent="0.15">
      <c r="B23" s="6" t="s">
        <v>34</v>
      </c>
      <c r="C23" s="25">
        <v>1</v>
      </c>
      <c r="D23" s="19">
        <v>1</v>
      </c>
      <c r="E23" s="49">
        <f t="shared" si="0"/>
        <v>2</v>
      </c>
      <c r="F23" s="31">
        <v>1</v>
      </c>
      <c r="G23" s="7">
        <v>1</v>
      </c>
      <c r="H23" s="57">
        <f t="shared" si="1"/>
        <v>2</v>
      </c>
      <c r="I23" s="38">
        <f t="shared" si="2"/>
        <v>4</v>
      </c>
      <c r="J23" s="36">
        <v>45470</v>
      </c>
      <c r="K23" s="6"/>
      <c r="L23" s="28"/>
      <c r="M23" s="22"/>
      <c r="N23" s="57">
        <f t="shared" si="3"/>
        <v>0</v>
      </c>
      <c r="O23" s="33"/>
      <c r="P23" s="8"/>
      <c r="Q23" s="57">
        <f t="shared" si="4"/>
        <v>0</v>
      </c>
      <c r="R23" s="38">
        <f t="shared" si="5"/>
        <v>0</v>
      </c>
      <c r="S23" s="37"/>
      <c r="AC23" s="37"/>
    </row>
    <row r="24" spans="2:29" x14ac:dyDescent="0.15">
      <c r="B24" s="6" t="s">
        <v>35</v>
      </c>
      <c r="C24" s="25"/>
      <c r="D24" s="19">
        <v>1</v>
      </c>
      <c r="E24" s="49">
        <f t="shared" si="0"/>
        <v>1</v>
      </c>
      <c r="F24" s="31"/>
      <c r="G24" s="7">
        <v>1</v>
      </c>
      <c r="H24" s="57">
        <f t="shared" si="1"/>
        <v>1</v>
      </c>
      <c r="I24" s="38">
        <f t="shared" si="2"/>
        <v>2</v>
      </c>
      <c r="J24" s="36">
        <v>45471</v>
      </c>
      <c r="K24" s="6"/>
      <c r="L24" s="25"/>
      <c r="M24" s="19"/>
      <c r="N24" s="57">
        <f t="shared" si="3"/>
        <v>0</v>
      </c>
      <c r="O24" s="31"/>
      <c r="P24" s="7"/>
      <c r="Q24" s="57">
        <f t="shared" si="4"/>
        <v>0</v>
      </c>
      <c r="R24" s="38">
        <f t="shared" si="5"/>
        <v>0</v>
      </c>
      <c r="S24" s="36"/>
      <c r="AC24" s="36"/>
    </row>
    <row r="25" spans="2:29" x14ac:dyDescent="0.15">
      <c r="B25" s="34" t="s">
        <v>20</v>
      </c>
      <c r="C25" s="25"/>
      <c r="D25" s="19">
        <v>1</v>
      </c>
      <c r="E25" s="49">
        <f t="shared" si="0"/>
        <v>1</v>
      </c>
      <c r="F25" s="31"/>
      <c r="G25" s="7">
        <v>1</v>
      </c>
      <c r="H25" s="57">
        <f t="shared" si="1"/>
        <v>1</v>
      </c>
      <c r="I25" s="38">
        <f t="shared" si="2"/>
        <v>2</v>
      </c>
      <c r="J25" s="36">
        <v>45471</v>
      </c>
      <c r="K25" s="6"/>
      <c r="L25" s="28"/>
      <c r="M25" s="22"/>
      <c r="N25" s="57">
        <f t="shared" si="3"/>
        <v>0</v>
      </c>
      <c r="O25" s="33"/>
      <c r="P25" s="8"/>
      <c r="Q25" s="57">
        <f t="shared" si="4"/>
        <v>0</v>
      </c>
      <c r="R25" s="38">
        <f t="shared" si="5"/>
        <v>0</v>
      </c>
      <c r="S25" s="37"/>
      <c r="AC25" s="37"/>
    </row>
    <row r="26" spans="2:29" x14ac:dyDescent="0.15">
      <c r="B26" s="6" t="s">
        <v>34</v>
      </c>
      <c r="C26" s="25">
        <v>1</v>
      </c>
      <c r="D26" s="19"/>
      <c r="E26" s="49">
        <f t="shared" ref="E26" si="18">SUM(C26:D26)</f>
        <v>1</v>
      </c>
      <c r="F26" s="31">
        <v>1</v>
      </c>
      <c r="G26" s="7"/>
      <c r="H26" s="57">
        <f t="shared" ref="H26" si="19">SUM(F26:G26)</f>
        <v>1</v>
      </c>
      <c r="I26" s="38">
        <f t="shared" ref="I26" si="20">E26+H26</f>
        <v>2</v>
      </c>
      <c r="J26" s="36">
        <v>45476</v>
      </c>
      <c r="K26" s="6"/>
      <c r="L26" s="28"/>
      <c r="M26" s="22"/>
      <c r="N26" s="57">
        <f t="shared" si="3"/>
        <v>0</v>
      </c>
      <c r="O26" s="33"/>
      <c r="P26" s="8"/>
      <c r="Q26" s="57">
        <f t="shared" si="4"/>
        <v>0</v>
      </c>
      <c r="R26" s="38">
        <f t="shared" si="5"/>
        <v>0</v>
      </c>
      <c r="S26" s="37"/>
      <c r="AC26" s="37"/>
    </row>
    <row r="27" spans="2:29" x14ac:dyDescent="0.15">
      <c r="B27" s="6" t="s">
        <v>37</v>
      </c>
      <c r="C27" s="25"/>
      <c r="D27" s="19">
        <v>1</v>
      </c>
      <c r="E27" s="49">
        <f t="shared" si="0"/>
        <v>1</v>
      </c>
      <c r="F27" s="31"/>
      <c r="G27" s="7">
        <v>1</v>
      </c>
      <c r="H27" s="57">
        <f t="shared" si="1"/>
        <v>1</v>
      </c>
      <c r="I27" s="38">
        <f t="shared" si="2"/>
        <v>2</v>
      </c>
      <c r="J27" s="36">
        <v>45481</v>
      </c>
      <c r="K27" s="6"/>
      <c r="L27" s="28"/>
      <c r="M27" s="22"/>
      <c r="N27" s="57">
        <f t="shared" si="3"/>
        <v>0</v>
      </c>
      <c r="O27" s="33"/>
      <c r="P27" s="8"/>
      <c r="Q27" s="57">
        <f t="shared" si="4"/>
        <v>0</v>
      </c>
      <c r="R27" s="38">
        <f t="shared" si="5"/>
        <v>0</v>
      </c>
      <c r="S27" s="37"/>
      <c r="AC27" s="37"/>
    </row>
    <row r="28" spans="2:29" x14ac:dyDescent="0.15">
      <c r="B28" s="6" t="s">
        <v>38</v>
      </c>
      <c r="C28" s="25">
        <v>1</v>
      </c>
      <c r="D28" s="19"/>
      <c r="E28" s="49">
        <f t="shared" si="0"/>
        <v>1</v>
      </c>
      <c r="F28" s="31">
        <v>1</v>
      </c>
      <c r="G28" s="7"/>
      <c r="H28" s="57">
        <f t="shared" si="1"/>
        <v>1</v>
      </c>
      <c r="I28" s="38">
        <f t="shared" si="2"/>
        <v>2</v>
      </c>
      <c r="J28" s="36">
        <v>45485</v>
      </c>
      <c r="K28" s="6"/>
      <c r="L28" s="28"/>
      <c r="M28" s="22"/>
      <c r="N28" s="57">
        <f t="shared" si="3"/>
        <v>0</v>
      </c>
      <c r="O28" s="33"/>
      <c r="P28" s="8"/>
      <c r="Q28" s="57">
        <f t="shared" si="4"/>
        <v>0</v>
      </c>
      <c r="R28" s="38">
        <f t="shared" si="5"/>
        <v>0</v>
      </c>
      <c r="S28" s="37"/>
      <c r="AC28" s="37"/>
    </row>
    <row r="29" spans="2:29" x14ac:dyDescent="0.15">
      <c r="B29" s="6" t="s">
        <v>39</v>
      </c>
      <c r="C29" s="25">
        <v>1</v>
      </c>
      <c r="D29" s="19"/>
      <c r="E29" s="49">
        <f t="shared" si="0"/>
        <v>1</v>
      </c>
      <c r="F29" s="31">
        <v>1</v>
      </c>
      <c r="G29" s="7"/>
      <c r="H29" s="57">
        <f t="shared" si="1"/>
        <v>1</v>
      </c>
      <c r="I29" s="38">
        <f t="shared" si="2"/>
        <v>2</v>
      </c>
      <c r="J29" s="36">
        <v>45492</v>
      </c>
      <c r="K29" s="6"/>
      <c r="L29" s="28"/>
      <c r="M29" s="22"/>
      <c r="N29" s="57">
        <f t="shared" si="3"/>
        <v>0</v>
      </c>
      <c r="O29" s="33"/>
      <c r="P29" s="8"/>
      <c r="Q29" s="57">
        <f t="shared" si="4"/>
        <v>0</v>
      </c>
      <c r="R29" s="38">
        <f t="shared" si="5"/>
        <v>0</v>
      </c>
      <c r="S29" s="37"/>
      <c r="AC29" s="37"/>
    </row>
    <row r="30" spans="2:29" x14ac:dyDescent="0.15">
      <c r="B30" s="34" t="s">
        <v>20</v>
      </c>
      <c r="C30" s="25"/>
      <c r="D30" s="19">
        <v>2</v>
      </c>
      <c r="E30" s="49">
        <f t="shared" si="0"/>
        <v>2</v>
      </c>
      <c r="F30" s="31"/>
      <c r="G30" s="7">
        <v>2</v>
      </c>
      <c r="H30" s="57">
        <f t="shared" si="1"/>
        <v>2</v>
      </c>
      <c r="I30" s="38">
        <f t="shared" si="2"/>
        <v>4</v>
      </c>
      <c r="J30" s="36">
        <v>45491</v>
      </c>
      <c r="K30" s="6"/>
      <c r="L30" s="28"/>
      <c r="M30" s="22"/>
      <c r="N30" s="57">
        <f t="shared" si="3"/>
        <v>0</v>
      </c>
      <c r="O30" s="33"/>
      <c r="P30" s="8"/>
      <c r="Q30" s="57">
        <f t="shared" si="4"/>
        <v>0</v>
      </c>
      <c r="R30" s="38">
        <f t="shared" si="5"/>
        <v>0</v>
      </c>
      <c r="S30" s="37"/>
      <c r="AC30" s="37"/>
    </row>
    <row r="31" spans="2:29" x14ac:dyDescent="0.15">
      <c r="B31" s="6"/>
      <c r="C31" s="25"/>
      <c r="D31" s="19"/>
      <c r="E31" s="49">
        <f t="shared" si="0"/>
        <v>0</v>
      </c>
      <c r="F31" s="31"/>
      <c r="G31" s="7"/>
      <c r="H31" s="57">
        <f t="shared" si="1"/>
        <v>0</v>
      </c>
      <c r="I31" s="38">
        <f t="shared" si="2"/>
        <v>0</v>
      </c>
      <c r="J31" s="36"/>
      <c r="K31" s="6"/>
      <c r="L31" s="25"/>
      <c r="M31" s="19"/>
      <c r="N31" s="57">
        <f t="shared" si="3"/>
        <v>0</v>
      </c>
      <c r="O31" s="31"/>
      <c r="P31" s="7"/>
      <c r="Q31" s="57">
        <f t="shared" si="4"/>
        <v>0</v>
      </c>
      <c r="R31" s="38">
        <f t="shared" si="5"/>
        <v>0</v>
      </c>
      <c r="S31" s="36"/>
      <c r="AC31" s="36"/>
    </row>
    <row r="32" spans="2:29" x14ac:dyDescent="0.15">
      <c r="B32" s="6"/>
      <c r="C32" s="25"/>
      <c r="D32" s="19"/>
      <c r="E32" s="49">
        <f t="shared" si="0"/>
        <v>0</v>
      </c>
      <c r="F32" s="31"/>
      <c r="G32" s="7"/>
      <c r="H32" s="57">
        <f t="shared" si="1"/>
        <v>0</v>
      </c>
      <c r="I32" s="38">
        <f t="shared" si="2"/>
        <v>0</v>
      </c>
      <c r="J32" s="36"/>
      <c r="K32" s="6"/>
      <c r="L32" s="25"/>
      <c r="M32" s="19"/>
      <c r="N32" s="57">
        <f t="shared" si="3"/>
        <v>0</v>
      </c>
      <c r="O32" s="31"/>
      <c r="P32" s="7"/>
      <c r="Q32" s="57">
        <f t="shared" si="4"/>
        <v>0</v>
      </c>
      <c r="R32" s="38">
        <f t="shared" si="5"/>
        <v>0</v>
      </c>
      <c r="S32" s="36"/>
      <c r="AC32" s="36"/>
    </row>
    <row r="33" spans="2:29" x14ac:dyDescent="0.15">
      <c r="B33" s="6"/>
      <c r="C33" s="25"/>
      <c r="D33" s="19"/>
      <c r="E33" s="49">
        <f t="shared" si="0"/>
        <v>0</v>
      </c>
      <c r="F33" s="31"/>
      <c r="G33" s="7"/>
      <c r="H33" s="57">
        <f t="shared" si="1"/>
        <v>0</v>
      </c>
      <c r="I33" s="38">
        <f t="shared" si="2"/>
        <v>0</v>
      </c>
      <c r="J33" s="36"/>
      <c r="K33" s="6"/>
      <c r="L33" s="25"/>
      <c r="M33" s="19"/>
      <c r="N33" s="57">
        <f t="shared" si="3"/>
        <v>0</v>
      </c>
      <c r="O33" s="31"/>
      <c r="P33" s="7"/>
      <c r="Q33" s="57">
        <f t="shared" si="4"/>
        <v>0</v>
      </c>
      <c r="R33" s="38">
        <f t="shared" si="5"/>
        <v>0</v>
      </c>
      <c r="S33" s="36"/>
      <c r="AC33" s="36"/>
    </row>
    <row r="34" spans="2:29" x14ac:dyDescent="0.15">
      <c r="B34" s="6"/>
      <c r="C34" s="25"/>
      <c r="D34" s="19"/>
      <c r="E34" s="49">
        <f t="shared" si="0"/>
        <v>0</v>
      </c>
      <c r="F34" s="31"/>
      <c r="G34" s="7"/>
      <c r="H34" s="57">
        <f t="shared" si="1"/>
        <v>0</v>
      </c>
      <c r="I34" s="38">
        <f t="shared" si="2"/>
        <v>0</v>
      </c>
      <c r="J34" s="36"/>
      <c r="K34" s="6"/>
      <c r="L34" s="25"/>
      <c r="M34" s="19"/>
      <c r="N34" s="57">
        <f t="shared" si="3"/>
        <v>0</v>
      </c>
      <c r="O34" s="31"/>
      <c r="P34" s="7"/>
      <c r="Q34" s="57">
        <f t="shared" si="4"/>
        <v>0</v>
      </c>
      <c r="R34" s="38">
        <f t="shared" si="5"/>
        <v>0</v>
      </c>
      <c r="S34" s="36"/>
      <c r="AC34" s="36"/>
    </row>
    <row r="35" spans="2:29" x14ac:dyDescent="0.15">
      <c r="B35" s="6"/>
      <c r="C35" s="25"/>
      <c r="D35" s="19"/>
      <c r="E35" s="49">
        <f t="shared" si="0"/>
        <v>0</v>
      </c>
      <c r="F35" s="31"/>
      <c r="G35" s="7"/>
      <c r="H35" s="57">
        <f t="shared" si="1"/>
        <v>0</v>
      </c>
      <c r="I35" s="38">
        <f t="shared" si="2"/>
        <v>0</v>
      </c>
      <c r="J35" s="36"/>
      <c r="K35" s="6"/>
      <c r="L35" s="25"/>
      <c r="M35" s="19"/>
      <c r="N35" s="57">
        <f t="shared" si="3"/>
        <v>0</v>
      </c>
      <c r="O35" s="31"/>
      <c r="P35" s="7"/>
      <c r="Q35" s="57">
        <f t="shared" si="4"/>
        <v>0</v>
      </c>
      <c r="R35" s="38">
        <f t="shared" si="5"/>
        <v>0</v>
      </c>
      <c r="S35" s="36"/>
      <c r="AC35" s="36"/>
    </row>
    <row r="36" spans="2:29" ht="14.25" thickBot="1" x14ac:dyDescent="0.2">
      <c r="B36" s="6"/>
      <c r="C36" s="29"/>
      <c r="D36" s="20"/>
      <c r="E36" s="50">
        <f t="shared" si="0"/>
        <v>0</v>
      </c>
      <c r="F36" s="32"/>
      <c r="G36" s="5"/>
      <c r="H36" s="58">
        <f t="shared" si="1"/>
        <v>0</v>
      </c>
      <c r="I36" s="39">
        <f t="shared" si="2"/>
        <v>0</v>
      </c>
      <c r="J36" s="36"/>
      <c r="K36" s="6" t="s">
        <v>15</v>
      </c>
      <c r="L36" s="29"/>
      <c r="M36" s="20"/>
      <c r="N36" s="57">
        <f t="shared" si="3"/>
        <v>0</v>
      </c>
      <c r="O36" s="32"/>
      <c r="P36" s="5"/>
      <c r="Q36" s="58">
        <f t="shared" si="4"/>
        <v>0</v>
      </c>
      <c r="R36" s="39">
        <f t="shared" si="5"/>
        <v>0</v>
      </c>
      <c r="S36" s="36" t="s">
        <v>16</v>
      </c>
      <c r="AC36" s="36"/>
    </row>
    <row r="37" spans="2:29" ht="14.25" thickBot="1" x14ac:dyDescent="0.2">
      <c r="B37" s="4" t="s">
        <v>1</v>
      </c>
      <c r="C37" s="27">
        <f>SUM(C12:C36)</f>
        <v>18</v>
      </c>
      <c r="D37" s="21">
        <f>SUM(D12:D36)</f>
        <v>18</v>
      </c>
      <c r="E37" s="51">
        <f t="shared" si="0"/>
        <v>36</v>
      </c>
      <c r="F37" s="27">
        <f>SUM(F12:F36)</f>
        <v>18</v>
      </c>
      <c r="G37" s="21">
        <f>SUM(G12:G36)</f>
        <v>18</v>
      </c>
      <c r="H37" s="59">
        <f t="shared" si="1"/>
        <v>36</v>
      </c>
      <c r="I37" s="40">
        <f t="shared" si="2"/>
        <v>72</v>
      </c>
      <c r="J37" s="35"/>
      <c r="K37" s="4" t="s">
        <v>1</v>
      </c>
      <c r="L37" s="27">
        <f>SUM(L12:L36)</f>
        <v>28</v>
      </c>
      <c r="M37" s="21">
        <f t="shared" ref="M37" si="21">SUM(M12:M36)</f>
        <v>29</v>
      </c>
      <c r="N37" s="51">
        <f t="shared" ref="N37" si="22">SUM(N12:N36)</f>
        <v>57</v>
      </c>
      <c r="O37" s="27">
        <f t="shared" ref="O37" si="23">SUM(O12:O36)</f>
        <v>28</v>
      </c>
      <c r="P37" s="21">
        <f t="shared" ref="P37" si="24">SUM(P12:P36)</f>
        <v>29</v>
      </c>
      <c r="Q37" s="59">
        <f t="shared" ref="Q37" si="25">SUM(Q12:Q36)</f>
        <v>57</v>
      </c>
      <c r="R37" s="40">
        <f t="shared" ref="R37" si="26">SUM(R12:R36)</f>
        <v>114</v>
      </c>
      <c r="AC37" s="35"/>
    </row>
    <row r="38" spans="2:29" ht="14.25" thickBot="1" x14ac:dyDescent="0.2">
      <c r="B38" s="3" t="s">
        <v>0</v>
      </c>
      <c r="C38" s="30">
        <f>+C11-C37</f>
        <v>7</v>
      </c>
      <c r="D38" s="2">
        <f>+D11-D37</f>
        <v>7</v>
      </c>
      <c r="E38" s="52">
        <f t="shared" si="0"/>
        <v>14</v>
      </c>
      <c r="F38" s="30">
        <f>+F11-F37</f>
        <v>7</v>
      </c>
      <c r="G38" s="2">
        <f>+G11-G37</f>
        <v>7</v>
      </c>
      <c r="H38" s="60">
        <f t="shared" si="1"/>
        <v>14</v>
      </c>
      <c r="I38" s="41">
        <f t="shared" si="2"/>
        <v>28</v>
      </c>
      <c r="J38" s="35"/>
      <c r="K38" s="3" t="s">
        <v>0</v>
      </c>
      <c r="L38" s="30">
        <f>+L11-L37</f>
        <v>172</v>
      </c>
      <c r="M38" s="2">
        <f t="shared" ref="M38" si="27">+M11-M37</f>
        <v>221</v>
      </c>
      <c r="N38" s="52">
        <f t="shared" ref="N38" si="28">+N11-N37</f>
        <v>393</v>
      </c>
      <c r="O38" s="30">
        <f t="shared" ref="O38" si="29">+O11-O37</f>
        <v>172</v>
      </c>
      <c r="P38" s="2">
        <f t="shared" ref="P38" si="30">+P11-P37</f>
        <v>221</v>
      </c>
      <c r="Q38" s="60">
        <f t="shared" ref="Q38" si="31">+Q11-Q37</f>
        <v>393</v>
      </c>
      <c r="R38" s="41">
        <f t="shared" ref="R38" si="32">+R11-R37</f>
        <v>786</v>
      </c>
      <c r="AC38" s="35"/>
    </row>
    <row r="39" spans="2:29" x14ac:dyDescent="0.15">
      <c r="B39" s="1"/>
      <c r="J39" s="35"/>
      <c r="AC39" s="35"/>
    </row>
    <row r="40" spans="2:29" x14ac:dyDescent="0.15">
      <c r="K40"/>
      <c r="S40"/>
    </row>
    <row r="42" spans="2:29" ht="18.75" x14ac:dyDescent="0.2">
      <c r="B42" s="70" t="s">
        <v>11</v>
      </c>
      <c r="C42" s="71"/>
      <c r="D42" s="71"/>
      <c r="E42" s="71"/>
      <c r="F42" s="71"/>
      <c r="G42" s="71"/>
      <c r="H42" s="71"/>
      <c r="I42" s="71"/>
      <c r="K42" s="16" t="s">
        <v>17</v>
      </c>
      <c r="L42" s="15"/>
      <c r="M42" s="15"/>
      <c r="N42" s="15"/>
      <c r="O42" s="15"/>
      <c r="P42" s="15"/>
      <c r="Q42" s="15"/>
      <c r="R42" s="15"/>
    </row>
    <row r="43" spans="2:29" ht="18" thickBot="1" x14ac:dyDescent="0.25">
      <c r="B43" s="72" t="s">
        <v>12</v>
      </c>
      <c r="C43" s="71"/>
      <c r="D43" s="71"/>
      <c r="E43" s="71"/>
      <c r="F43" s="71"/>
      <c r="G43" s="71"/>
      <c r="H43" s="71"/>
      <c r="I43" s="71"/>
      <c r="K43" s="17" t="s">
        <v>12</v>
      </c>
      <c r="L43" s="15"/>
      <c r="M43" s="15"/>
      <c r="N43" s="15"/>
      <c r="O43" s="15"/>
      <c r="P43" s="15"/>
      <c r="Q43" s="15"/>
      <c r="R43" s="15"/>
    </row>
    <row r="44" spans="2:29" ht="14.25" thickBot="1" x14ac:dyDescent="0.2">
      <c r="B44" s="14"/>
      <c r="C44" s="206" t="s">
        <v>9</v>
      </c>
      <c r="D44" s="207"/>
      <c r="E44" s="208"/>
      <c r="F44" s="219" t="s">
        <v>10</v>
      </c>
      <c r="G44" s="220"/>
      <c r="H44" s="220"/>
      <c r="I44" s="217" t="s">
        <v>8</v>
      </c>
      <c r="K44" s="14"/>
      <c r="L44" s="206" t="s">
        <v>9</v>
      </c>
      <c r="M44" s="207"/>
      <c r="N44" s="208"/>
      <c r="O44" s="219" t="s">
        <v>10</v>
      </c>
      <c r="P44" s="220"/>
      <c r="Q44" s="220"/>
      <c r="R44" s="217" t="s">
        <v>8</v>
      </c>
    </row>
    <row r="45" spans="2:29" ht="14.25" thickBot="1" x14ac:dyDescent="0.2">
      <c r="B45" s="4"/>
      <c r="C45" s="62" t="s">
        <v>6</v>
      </c>
      <c r="D45" s="61" t="s">
        <v>5</v>
      </c>
      <c r="E45" s="63" t="s">
        <v>4</v>
      </c>
      <c r="F45" s="62" t="s">
        <v>6</v>
      </c>
      <c r="G45" s="61" t="s">
        <v>5</v>
      </c>
      <c r="H45" s="63" t="s">
        <v>4</v>
      </c>
      <c r="I45" s="218"/>
      <c r="K45" s="13"/>
      <c r="L45" s="23" t="s">
        <v>6</v>
      </c>
      <c r="M45" s="12" t="s">
        <v>5</v>
      </c>
      <c r="N45" s="45" t="s">
        <v>4</v>
      </c>
      <c r="O45" s="23" t="s">
        <v>6</v>
      </c>
      <c r="P45" s="12" t="s">
        <v>5</v>
      </c>
      <c r="Q45" s="53" t="s">
        <v>4</v>
      </c>
      <c r="R45" s="218"/>
      <c r="T45" s="1"/>
    </row>
    <row r="46" spans="2:29" x14ac:dyDescent="0.15">
      <c r="B46" s="64" t="s">
        <v>0</v>
      </c>
      <c r="C46" s="65">
        <f>C38</f>
        <v>7</v>
      </c>
      <c r="D46" s="73">
        <f>D38</f>
        <v>7</v>
      </c>
      <c r="E46" s="66">
        <f t="shared" ref="E46:E79" si="33">SUM(C46:D46)</f>
        <v>14</v>
      </c>
      <c r="F46" s="65">
        <f>F38</f>
        <v>7</v>
      </c>
      <c r="G46" s="73">
        <f>G38</f>
        <v>7</v>
      </c>
      <c r="H46" s="67">
        <f t="shared" ref="H46:H79" si="34">SUM(F46:G46)</f>
        <v>14</v>
      </c>
      <c r="I46" s="68">
        <f>E46+H46</f>
        <v>28</v>
      </c>
      <c r="K46" s="64" t="s">
        <v>0</v>
      </c>
      <c r="L46" s="65">
        <f>L38</f>
        <v>172</v>
      </c>
      <c r="M46" s="73">
        <f t="shared" ref="M46:R46" si="35">M38</f>
        <v>221</v>
      </c>
      <c r="N46" s="66">
        <f t="shared" si="35"/>
        <v>393</v>
      </c>
      <c r="O46" s="65">
        <f t="shared" si="35"/>
        <v>172</v>
      </c>
      <c r="P46" s="73">
        <f t="shared" si="35"/>
        <v>221</v>
      </c>
      <c r="Q46" s="67">
        <f t="shared" si="35"/>
        <v>393</v>
      </c>
      <c r="R46" s="68">
        <f t="shared" si="35"/>
        <v>786</v>
      </c>
      <c r="S46" s="69"/>
    </row>
    <row r="47" spans="2:29" x14ac:dyDescent="0.15">
      <c r="B47" s="11" t="s">
        <v>55</v>
      </c>
      <c r="C47" s="25">
        <v>0</v>
      </c>
      <c r="D47" s="19">
        <v>0</v>
      </c>
      <c r="E47" s="46">
        <f t="shared" si="33"/>
        <v>0</v>
      </c>
      <c r="F47" s="31">
        <v>0</v>
      </c>
      <c r="G47" s="7">
        <v>0</v>
      </c>
      <c r="H47" s="54">
        <f t="shared" si="34"/>
        <v>0</v>
      </c>
      <c r="I47" s="38">
        <f t="shared" ref="I47:I79" si="36">E47+H47</f>
        <v>0</v>
      </c>
      <c r="J47" s="36">
        <v>45530</v>
      </c>
      <c r="K47" s="11" t="s">
        <v>44</v>
      </c>
      <c r="L47" s="25">
        <v>5</v>
      </c>
      <c r="M47" s="19"/>
      <c r="N47" s="46">
        <f t="shared" ref="N47:N76" si="37">SUM(L47:M47)</f>
        <v>5</v>
      </c>
      <c r="O47" s="31">
        <v>5</v>
      </c>
      <c r="P47" s="7"/>
      <c r="Q47" s="54">
        <f t="shared" ref="Q47:Q76" si="38">SUM(O47:P47)</f>
        <v>5</v>
      </c>
      <c r="R47" s="38">
        <f t="shared" ref="R47:R76" si="39">N47+Q47</f>
        <v>10</v>
      </c>
      <c r="S47" s="36">
        <v>45511</v>
      </c>
    </row>
    <row r="48" spans="2:29" x14ac:dyDescent="0.15">
      <c r="B48" s="11" t="s">
        <v>3</v>
      </c>
      <c r="C48" s="25"/>
      <c r="D48" s="19"/>
      <c r="E48" s="46">
        <f t="shared" ref="E48" si="40">SUM(C48:D48)</f>
        <v>0</v>
      </c>
      <c r="F48" s="31"/>
      <c r="G48" s="7"/>
      <c r="H48" s="54">
        <f t="shared" ref="H48" si="41">SUM(F48:G48)</f>
        <v>0</v>
      </c>
      <c r="I48" s="38">
        <f t="shared" ref="I48" si="42">E48+H48</f>
        <v>0</v>
      </c>
      <c r="J48" s="35"/>
      <c r="K48" s="11" t="s">
        <v>3</v>
      </c>
      <c r="L48" s="25"/>
      <c r="M48" s="19"/>
      <c r="N48" s="46">
        <f t="shared" si="37"/>
        <v>0</v>
      </c>
      <c r="O48" s="31"/>
      <c r="P48" s="7"/>
      <c r="Q48" s="54">
        <f t="shared" si="38"/>
        <v>0</v>
      </c>
      <c r="R48" s="38">
        <f t="shared" si="39"/>
        <v>0</v>
      </c>
      <c r="S48" s="36"/>
    </row>
    <row r="49" spans="2:19" x14ac:dyDescent="0.15">
      <c r="B49" s="11" t="s">
        <v>3</v>
      </c>
      <c r="C49" s="25"/>
      <c r="D49" s="19"/>
      <c r="E49" s="46">
        <f t="shared" si="33"/>
        <v>0</v>
      </c>
      <c r="F49" s="31"/>
      <c r="G49" s="7"/>
      <c r="H49" s="54">
        <f t="shared" si="34"/>
        <v>0</v>
      </c>
      <c r="I49" s="38">
        <f t="shared" si="36"/>
        <v>0</v>
      </c>
      <c r="J49" s="35"/>
      <c r="K49" s="11" t="s">
        <v>3</v>
      </c>
      <c r="L49" s="25">
        <v>50</v>
      </c>
      <c r="M49" s="19">
        <v>0</v>
      </c>
      <c r="N49" s="46">
        <f t="shared" ref="N49:N50" si="43">SUM(L49:M49)</f>
        <v>50</v>
      </c>
      <c r="O49" s="31">
        <v>50</v>
      </c>
      <c r="P49" s="7">
        <v>0</v>
      </c>
      <c r="Q49" s="54">
        <f t="shared" ref="Q49:Q50" si="44">SUM(O49:P49)</f>
        <v>50</v>
      </c>
      <c r="R49" s="38">
        <f t="shared" ref="R49:R50" si="45">N49+Q49</f>
        <v>100</v>
      </c>
      <c r="S49" s="36" t="s">
        <v>48</v>
      </c>
    </row>
    <row r="50" spans="2:19" x14ac:dyDescent="0.15">
      <c r="B50" s="11" t="s">
        <v>3</v>
      </c>
      <c r="C50" s="25"/>
      <c r="D50" s="19"/>
      <c r="E50" s="46">
        <f t="shared" si="33"/>
        <v>0</v>
      </c>
      <c r="F50" s="31"/>
      <c r="G50" s="7"/>
      <c r="H50" s="54">
        <f t="shared" si="34"/>
        <v>0</v>
      </c>
      <c r="I50" s="38">
        <f t="shared" si="36"/>
        <v>0</v>
      </c>
      <c r="J50" s="35"/>
      <c r="K50" s="11" t="s">
        <v>3</v>
      </c>
      <c r="L50" s="25">
        <v>30</v>
      </c>
      <c r="M50" s="19">
        <v>30</v>
      </c>
      <c r="N50" s="46">
        <f t="shared" si="43"/>
        <v>60</v>
      </c>
      <c r="O50" s="31">
        <v>30</v>
      </c>
      <c r="P50" s="7">
        <v>30</v>
      </c>
      <c r="Q50" s="54">
        <f t="shared" si="44"/>
        <v>60</v>
      </c>
      <c r="R50" s="38">
        <f t="shared" si="45"/>
        <v>120</v>
      </c>
      <c r="S50" s="36" t="s">
        <v>51</v>
      </c>
    </row>
    <row r="51" spans="2:19" ht="14.25" thickBot="1" x14ac:dyDescent="0.2">
      <c r="B51" s="10" t="s">
        <v>3</v>
      </c>
      <c r="C51" s="26"/>
      <c r="D51" s="20"/>
      <c r="E51" s="47">
        <f t="shared" si="33"/>
        <v>0</v>
      </c>
      <c r="F51" s="32"/>
      <c r="G51" s="5"/>
      <c r="H51" s="55">
        <f t="shared" si="34"/>
        <v>0</v>
      </c>
      <c r="I51" s="39">
        <f t="shared" si="36"/>
        <v>0</v>
      </c>
      <c r="J51" s="35"/>
      <c r="K51" s="10" t="s">
        <v>3</v>
      </c>
      <c r="L51" s="26">
        <v>30</v>
      </c>
      <c r="M51" s="20">
        <v>30</v>
      </c>
      <c r="N51" s="47">
        <f t="shared" si="37"/>
        <v>60</v>
      </c>
      <c r="O51" s="32">
        <v>30</v>
      </c>
      <c r="P51" s="5">
        <v>30</v>
      </c>
      <c r="Q51" s="55">
        <f t="shared" si="38"/>
        <v>60</v>
      </c>
      <c r="R51" s="39">
        <f t="shared" si="39"/>
        <v>120</v>
      </c>
      <c r="S51" s="36" t="s">
        <v>50</v>
      </c>
    </row>
    <row r="52" spans="2:19" ht="14.25" thickBot="1" x14ac:dyDescent="0.2">
      <c r="B52" s="42" t="s">
        <v>2</v>
      </c>
      <c r="C52" s="43">
        <f>SUM(C46:C51)</f>
        <v>7</v>
      </c>
      <c r="D52" s="44">
        <f>SUM(D46:D51)</f>
        <v>7</v>
      </c>
      <c r="E52" s="48">
        <f t="shared" si="33"/>
        <v>14</v>
      </c>
      <c r="F52" s="43">
        <f>SUM(F46:F51)</f>
        <v>7</v>
      </c>
      <c r="G52" s="44">
        <f>SUM(G46:G51)</f>
        <v>7</v>
      </c>
      <c r="H52" s="56">
        <f t="shared" si="34"/>
        <v>14</v>
      </c>
      <c r="I52" s="41">
        <f t="shared" si="36"/>
        <v>28</v>
      </c>
      <c r="J52" s="35"/>
      <c r="K52" s="42" t="s">
        <v>2</v>
      </c>
      <c r="L52" s="43">
        <f>SUM(L46:L51)</f>
        <v>287</v>
      </c>
      <c r="M52" s="44">
        <f t="shared" ref="M52" si="46">SUM(M46:M51)</f>
        <v>281</v>
      </c>
      <c r="N52" s="83">
        <f t="shared" ref="N52" si="47">SUM(N46:N51)</f>
        <v>568</v>
      </c>
      <c r="O52" s="43">
        <f t="shared" ref="O52" si="48">SUM(O46:O51)</f>
        <v>287</v>
      </c>
      <c r="P52" s="44">
        <f t="shared" ref="P52" si="49">SUM(P46:P51)</f>
        <v>281</v>
      </c>
      <c r="Q52" s="84">
        <f t="shared" ref="Q52" si="50">SUM(Q46:Q51)</f>
        <v>568</v>
      </c>
      <c r="R52" s="41">
        <f t="shared" ref="R52" si="51">SUM(R46:R51)</f>
        <v>1136</v>
      </c>
    </row>
    <row r="53" spans="2:19" x14ac:dyDescent="0.15">
      <c r="B53" s="9" t="s">
        <v>43</v>
      </c>
      <c r="C53" s="24">
        <v>5</v>
      </c>
      <c r="D53" s="18"/>
      <c r="E53" s="49">
        <f t="shared" si="33"/>
        <v>5</v>
      </c>
      <c r="F53" s="31">
        <v>5</v>
      </c>
      <c r="G53" s="7"/>
      <c r="H53" s="57">
        <f t="shared" si="34"/>
        <v>5</v>
      </c>
      <c r="I53" s="38">
        <f t="shared" si="36"/>
        <v>10</v>
      </c>
      <c r="J53" s="36">
        <v>45511</v>
      </c>
      <c r="K53" s="6" t="s">
        <v>25</v>
      </c>
      <c r="L53" s="24">
        <v>40</v>
      </c>
      <c r="M53" s="18">
        <v>40</v>
      </c>
      <c r="N53" s="57">
        <f t="shared" si="37"/>
        <v>80</v>
      </c>
      <c r="O53" s="31">
        <v>40</v>
      </c>
      <c r="P53" s="7">
        <v>40</v>
      </c>
      <c r="Q53" s="57">
        <f t="shared" si="38"/>
        <v>80</v>
      </c>
      <c r="R53" s="38">
        <f t="shared" si="39"/>
        <v>160</v>
      </c>
      <c r="S53" s="36">
        <v>45498</v>
      </c>
    </row>
    <row r="54" spans="2:19" x14ac:dyDescent="0.15">
      <c r="B54" s="6"/>
      <c r="C54" s="25"/>
      <c r="D54" s="19"/>
      <c r="E54" s="49">
        <f t="shared" ref="E54" si="52">SUM(C54:D54)</f>
        <v>0</v>
      </c>
      <c r="F54" s="31"/>
      <c r="G54" s="7"/>
      <c r="H54" s="57">
        <f t="shared" ref="H54" si="53">SUM(F54:G54)</f>
        <v>0</v>
      </c>
      <c r="I54" s="38">
        <f t="shared" ref="I54" si="54">E54+H54</f>
        <v>0</v>
      </c>
      <c r="J54" s="35"/>
      <c r="K54" s="6" t="s">
        <v>40</v>
      </c>
      <c r="L54" s="25">
        <v>20</v>
      </c>
      <c r="M54" s="19">
        <v>40</v>
      </c>
      <c r="N54" s="57">
        <f t="shared" si="37"/>
        <v>60</v>
      </c>
      <c r="O54" s="31">
        <v>20</v>
      </c>
      <c r="P54" s="7">
        <v>40</v>
      </c>
      <c r="Q54" s="57">
        <f t="shared" si="38"/>
        <v>60</v>
      </c>
      <c r="R54" s="38">
        <f t="shared" si="39"/>
        <v>120</v>
      </c>
      <c r="S54" s="36">
        <v>45506</v>
      </c>
    </row>
    <row r="55" spans="2:19" x14ac:dyDescent="0.15">
      <c r="B55" s="6"/>
      <c r="C55" s="25"/>
      <c r="D55" s="19"/>
      <c r="E55" s="49">
        <f t="shared" si="33"/>
        <v>0</v>
      </c>
      <c r="F55" s="31"/>
      <c r="G55" s="7"/>
      <c r="H55" s="57">
        <f t="shared" si="34"/>
        <v>0</v>
      </c>
      <c r="I55" s="38">
        <f t="shared" si="36"/>
        <v>0</v>
      </c>
      <c r="J55" s="35"/>
      <c r="K55" s="6" t="s">
        <v>41</v>
      </c>
      <c r="L55" s="25">
        <v>40</v>
      </c>
      <c r="M55" s="19">
        <v>40</v>
      </c>
      <c r="N55" s="57">
        <f t="shared" si="37"/>
        <v>80</v>
      </c>
      <c r="O55" s="31">
        <v>40</v>
      </c>
      <c r="P55" s="7">
        <v>40</v>
      </c>
      <c r="Q55" s="57">
        <f t="shared" si="38"/>
        <v>80</v>
      </c>
      <c r="R55" s="38">
        <f t="shared" si="39"/>
        <v>160</v>
      </c>
      <c r="S55" s="36">
        <v>45510</v>
      </c>
    </row>
    <row r="56" spans="2:19" x14ac:dyDescent="0.15">
      <c r="B56" s="6"/>
      <c r="C56" s="25"/>
      <c r="D56" s="19"/>
      <c r="E56" s="49">
        <f t="shared" si="33"/>
        <v>0</v>
      </c>
      <c r="F56" s="31"/>
      <c r="G56" s="7"/>
      <c r="H56" s="57">
        <f t="shared" si="34"/>
        <v>0</v>
      </c>
      <c r="I56" s="38">
        <f t="shared" si="36"/>
        <v>0</v>
      </c>
      <c r="J56" s="35"/>
      <c r="K56" s="80" t="s">
        <v>46</v>
      </c>
      <c r="L56" s="25">
        <v>20</v>
      </c>
      <c r="M56" s="19">
        <v>20</v>
      </c>
      <c r="N56" s="57">
        <f t="shared" si="37"/>
        <v>40</v>
      </c>
      <c r="O56" s="31">
        <v>20</v>
      </c>
      <c r="P56" s="7">
        <v>20</v>
      </c>
      <c r="Q56" s="57">
        <f t="shared" si="38"/>
        <v>40</v>
      </c>
      <c r="R56" s="38">
        <f t="shared" si="39"/>
        <v>80</v>
      </c>
      <c r="S56" s="36">
        <v>45511</v>
      </c>
    </row>
    <row r="57" spans="2:19" x14ac:dyDescent="0.15">
      <c r="B57" s="6"/>
      <c r="C57" s="25"/>
      <c r="D57" s="19"/>
      <c r="E57" s="49">
        <f t="shared" si="33"/>
        <v>0</v>
      </c>
      <c r="F57" s="31"/>
      <c r="G57" s="7"/>
      <c r="H57" s="57">
        <f t="shared" si="34"/>
        <v>0</v>
      </c>
      <c r="I57" s="38">
        <f t="shared" si="36"/>
        <v>0</v>
      </c>
      <c r="J57" s="35"/>
      <c r="K57" s="6" t="s">
        <v>42</v>
      </c>
      <c r="L57" s="25">
        <v>30</v>
      </c>
      <c r="M57" s="19">
        <v>40</v>
      </c>
      <c r="N57" s="57">
        <f t="shared" si="37"/>
        <v>70</v>
      </c>
      <c r="O57" s="31">
        <v>30</v>
      </c>
      <c r="P57" s="7">
        <v>40</v>
      </c>
      <c r="Q57" s="57">
        <f t="shared" si="38"/>
        <v>70</v>
      </c>
      <c r="R57" s="38">
        <f t="shared" si="39"/>
        <v>140</v>
      </c>
      <c r="S57" s="36">
        <v>45512</v>
      </c>
    </row>
    <row r="58" spans="2:19" x14ac:dyDescent="0.15">
      <c r="B58" s="34"/>
      <c r="C58" s="25"/>
      <c r="D58" s="19"/>
      <c r="E58" s="49">
        <f t="shared" si="33"/>
        <v>0</v>
      </c>
      <c r="F58" s="31"/>
      <c r="G58" s="7"/>
      <c r="H58" s="57">
        <f t="shared" si="34"/>
        <v>0</v>
      </c>
      <c r="I58" s="38">
        <f t="shared" si="36"/>
        <v>0</v>
      </c>
      <c r="J58" s="35"/>
      <c r="K58" s="6" t="s">
        <v>45</v>
      </c>
      <c r="L58" s="25">
        <v>30</v>
      </c>
      <c r="M58" s="19"/>
      <c r="N58" s="57">
        <f t="shared" si="37"/>
        <v>30</v>
      </c>
      <c r="O58" s="31">
        <v>30</v>
      </c>
      <c r="P58" s="7"/>
      <c r="Q58" s="57">
        <f t="shared" si="38"/>
        <v>30</v>
      </c>
      <c r="R58" s="38">
        <f t="shared" si="39"/>
        <v>60</v>
      </c>
      <c r="S58" s="36">
        <v>45513</v>
      </c>
    </row>
    <row r="59" spans="2:19" x14ac:dyDescent="0.15">
      <c r="B59" s="6"/>
      <c r="C59" s="25"/>
      <c r="D59" s="19"/>
      <c r="E59" s="49">
        <f t="shared" si="33"/>
        <v>0</v>
      </c>
      <c r="F59" s="31"/>
      <c r="G59" s="7"/>
      <c r="H59" s="57">
        <f t="shared" si="34"/>
        <v>0</v>
      </c>
      <c r="I59" s="38">
        <f t="shared" si="36"/>
        <v>0</v>
      </c>
      <c r="J59" s="35"/>
      <c r="K59" s="6" t="s">
        <v>47</v>
      </c>
      <c r="L59" s="25">
        <v>40</v>
      </c>
      <c r="M59" s="19">
        <v>40</v>
      </c>
      <c r="N59" s="57">
        <f t="shared" si="37"/>
        <v>80</v>
      </c>
      <c r="O59" s="31">
        <v>40</v>
      </c>
      <c r="P59" s="7">
        <v>40</v>
      </c>
      <c r="Q59" s="57">
        <f t="shared" si="38"/>
        <v>80</v>
      </c>
      <c r="R59" s="38">
        <f t="shared" si="39"/>
        <v>160</v>
      </c>
      <c r="S59" s="36">
        <v>45514</v>
      </c>
    </row>
    <row r="60" spans="2:19" x14ac:dyDescent="0.15">
      <c r="B60" s="6"/>
      <c r="C60" s="25"/>
      <c r="D60" s="19"/>
      <c r="E60" s="49">
        <f t="shared" si="33"/>
        <v>0</v>
      </c>
      <c r="F60" s="31"/>
      <c r="G60" s="7"/>
      <c r="H60" s="57">
        <f t="shared" si="34"/>
        <v>0</v>
      </c>
      <c r="I60" s="38">
        <f t="shared" si="36"/>
        <v>0</v>
      </c>
      <c r="J60" s="35"/>
      <c r="K60" s="80" t="s">
        <v>49</v>
      </c>
      <c r="L60" s="25">
        <v>15</v>
      </c>
      <c r="M60" s="19">
        <v>15</v>
      </c>
      <c r="N60" s="57">
        <f t="shared" si="37"/>
        <v>30</v>
      </c>
      <c r="O60" s="31">
        <v>15</v>
      </c>
      <c r="P60" s="7">
        <v>15</v>
      </c>
      <c r="Q60" s="57">
        <f t="shared" si="38"/>
        <v>30</v>
      </c>
      <c r="R60" s="38">
        <f t="shared" si="39"/>
        <v>60</v>
      </c>
      <c r="S60" s="36">
        <v>45513</v>
      </c>
    </row>
    <row r="61" spans="2:19" x14ac:dyDescent="0.15">
      <c r="B61" s="6"/>
      <c r="C61" s="25"/>
      <c r="D61" s="19"/>
      <c r="E61" s="49">
        <f t="shared" si="33"/>
        <v>0</v>
      </c>
      <c r="F61" s="31"/>
      <c r="G61" s="7"/>
      <c r="H61" s="57">
        <f t="shared" si="34"/>
        <v>0</v>
      </c>
      <c r="I61" s="38">
        <f t="shared" si="36"/>
        <v>0</v>
      </c>
      <c r="J61" s="35"/>
      <c r="K61" s="80" t="s">
        <v>53</v>
      </c>
      <c r="L61" s="25">
        <v>25</v>
      </c>
      <c r="M61" s="19">
        <v>10</v>
      </c>
      <c r="N61" s="57">
        <f t="shared" si="37"/>
        <v>35</v>
      </c>
      <c r="O61" s="31">
        <v>25</v>
      </c>
      <c r="P61" s="7">
        <v>10</v>
      </c>
      <c r="Q61" s="57">
        <f t="shared" si="38"/>
        <v>35</v>
      </c>
      <c r="R61" s="38">
        <f t="shared" si="39"/>
        <v>70</v>
      </c>
      <c r="S61" s="36">
        <v>45523</v>
      </c>
    </row>
    <row r="62" spans="2:19" x14ac:dyDescent="0.15">
      <c r="B62" s="34"/>
      <c r="C62" s="25"/>
      <c r="D62" s="19"/>
      <c r="E62" s="49">
        <f t="shared" si="33"/>
        <v>0</v>
      </c>
      <c r="F62" s="31"/>
      <c r="G62" s="7"/>
      <c r="H62" s="57">
        <f t="shared" si="34"/>
        <v>0</v>
      </c>
      <c r="I62" s="38">
        <f t="shared" si="36"/>
        <v>0</v>
      </c>
      <c r="J62" s="35"/>
      <c r="K62" s="80" t="s">
        <v>54</v>
      </c>
      <c r="L62" s="25"/>
      <c r="M62" s="19">
        <v>1</v>
      </c>
      <c r="N62" s="57">
        <f t="shared" si="37"/>
        <v>1</v>
      </c>
      <c r="O62" s="31"/>
      <c r="P62" s="7">
        <v>1</v>
      </c>
      <c r="Q62" s="57">
        <f t="shared" si="38"/>
        <v>1</v>
      </c>
      <c r="R62" s="38">
        <f t="shared" si="39"/>
        <v>2</v>
      </c>
      <c r="S62" s="36">
        <v>45524</v>
      </c>
    </row>
    <row r="63" spans="2:19" x14ac:dyDescent="0.15">
      <c r="B63" s="6"/>
      <c r="C63" s="28"/>
      <c r="D63" s="22"/>
      <c r="E63" s="49">
        <f t="shared" si="33"/>
        <v>0</v>
      </c>
      <c r="F63" s="33"/>
      <c r="G63" s="8"/>
      <c r="H63" s="57">
        <f t="shared" si="34"/>
        <v>0</v>
      </c>
      <c r="I63" s="38">
        <f t="shared" si="36"/>
        <v>0</v>
      </c>
      <c r="J63" s="35"/>
      <c r="K63" s="80" t="s">
        <v>56</v>
      </c>
      <c r="L63" s="25"/>
      <c r="M63" s="19">
        <v>1</v>
      </c>
      <c r="N63" s="57">
        <f t="shared" si="37"/>
        <v>1</v>
      </c>
      <c r="O63" s="31"/>
      <c r="P63" s="7">
        <v>1</v>
      </c>
      <c r="Q63" s="57">
        <f t="shared" si="38"/>
        <v>1</v>
      </c>
      <c r="R63" s="38">
        <f t="shared" si="39"/>
        <v>2</v>
      </c>
      <c r="S63" s="36">
        <v>45531</v>
      </c>
    </row>
    <row r="64" spans="2:19" x14ac:dyDescent="0.15">
      <c r="B64" s="6"/>
      <c r="C64" s="28"/>
      <c r="D64" s="22"/>
      <c r="E64" s="49">
        <f t="shared" si="33"/>
        <v>0</v>
      </c>
      <c r="F64" s="33"/>
      <c r="G64" s="8"/>
      <c r="H64" s="57">
        <f t="shared" si="34"/>
        <v>0</v>
      </c>
      <c r="I64" s="38">
        <f t="shared" si="36"/>
        <v>0</v>
      </c>
      <c r="J64" s="35"/>
      <c r="K64" s="80" t="s">
        <v>57</v>
      </c>
      <c r="L64" s="25">
        <v>1</v>
      </c>
      <c r="M64" s="19"/>
      <c r="N64" s="57">
        <f t="shared" si="37"/>
        <v>1</v>
      </c>
      <c r="O64" s="31">
        <v>1</v>
      </c>
      <c r="P64" s="7"/>
      <c r="Q64" s="57">
        <f t="shared" si="38"/>
        <v>1</v>
      </c>
      <c r="R64" s="38">
        <f t="shared" si="39"/>
        <v>2</v>
      </c>
      <c r="S64" s="36">
        <v>45534</v>
      </c>
    </row>
    <row r="65" spans="2:19" x14ac:dyDescent="0.15">
      <c r="B65" s="6"/>
      <c r="C65" s="25"/>
      <c r="D65" s="19"/>
      <c r="E65" s="49">
        <f t="shared" si="33"/>
        <v>0</v>
      </c>
      <c r="F65" s="31"/>
      <c r="G65" s="7"/>
      <c r="H65" s="57">
        <f t="shared" si="34"/>
        <v>0</v>
      </c>
      <c r="I65" s="38">
        <f t="shared" si="36"/>
        <v>0</v>
      </c>
      <c r="J65" s="35"/>
      <c r="K65" s="6"/>
      <c r="L65" s="25"/>
      <c r="M65" s="19"/>
      <c r="N65" s="57">
        <f t="shared" si="37"/>
        <v>0</v>
      </c>
      <c r="O65" s="31"/>
      <c r="P65" s="7"/>
      <c r="Q65" s="57">
        <f t="shared" si="38"/>
        <v>0</v>
      </c>
      <c r="R65" s="38">
        <f t="shared" si="39"/>
        <v>0</v>
      </c>
      <c r="S65" s="36"/>
    </row>
    <row r="66" spans="2:19" x14ac:dyDescent="0.15">
      <c r="B66" s="6"/>
      <c r="C66" s="28"/>
      <c r="D66" s="22"/>
      <c r="E66" s="49">
        <f t="shared" si="33"/>
        <v>0</v>
      </c>
      <c r="F66" s="33"/>
      <c r="G66" s="8"/>
      <c r="H66" s="57">
        <f t="shared" si="34"/>
        <v>0</v>
      </c>
      <c r="I66" s="38">
        <f t="shared" si="36"/>
        <v>0</v>
      </c>
      <c r="J66" s="35"/>
      <c r="K66" s="6"/>
      <c r="L66" s="28"/>
      <c r="M66" s="22"/>
      <c r="N66" s="57">
        <f t="shared" si="37"/>
        <v>0</v>
      </c>
      <c r="O66" s="33"/>
      <c r="P66" s="8"/>
      <c r="Q66" s="57">
        <f t="shared" si="38"/>
        <v>0</v>
      </c>
      <c r="R66" s="38">
        <f t="shared" si="39"/>
        <v>0</v>
      </c>
      <c r="S66" s="37"/>
    </row>
    <row r="67" spans="2:19" x14ac:dyDescent="0.15">
      <c r="B67" s="6"/>
      <c r="C67" s="28"/>
      <c r="D67" s="22"/>
      <c r="E67" s="49">
        <f t="shared" si="33"/>
        <v>0</v>
      </c>
      <c r="F67" s="33"/>
      <c r="G67" s="8"/>
      <c r="H67" s="57">
        <f t="shared" si="34"/>
        <v>0</v>
      </c>
      <c r="I67" s="38">
        <f t="shared" si="36"/>
        <v>0</v>
      </c>
      <c r="J67" s="35"/>
      <c r="K67" s="6"/>
      <c r="L67" s="28"/>
      <c r="M67" s="22"/>
      <c r="N67" s="57">
        <f t="shared" si="37"/>
        <v>0</v>
      </c>
      <c r="O67" s="33"/>
      <c r="P67" s="8"/>
      <c r="Q67" s="57">
        <f t="shared" si="38"/>
        <v>0</v>
      </c>
      <c r="R67" s="38">
        <f t="shared" si="39"/>
        <v>0</v>
      </c>
      <c r="S67" s="37"/>
    </row>
    <row r="68" spans="2:19" x14ac:dyDescent="0.15">
      <c r="B68" s="6"/>
      <c r="C68" s="28"/>
      <c r="D68" s="22"/>
      <c r="E68" s="49">
        <f t="shared" si="33"/>
        <v>0</v>
      </c>
      <c r="F68" s="33"/>
      <c r="G68" s="8"/>
      <c r="H68" s="57">
        <f t="shared" si="34"/>
        <v>0</v>
      </c>
      <c r="I68" s="38">
        <f t="shared" si="36"/>
        <v>0</v>
      </c>
      <c r="J68" s="35"/>
      <c r="K68" s="6"/>
      <c r="L68" s="28"/>
      <c r="M68" s="22"/>
      <c r="N68" s="57">
        <f t="shared" si="37"/>
        <v>0</v>
      </c>
      <c r="O68" s="33"/>
      <c r="P68" s="8"/>
      <c r="Q68" s="57">
        <f t="shared" si="38"/>
        <v>0</v>
      </c>
      <c r="R68" s="38">
        <f t="shared" si="39"/>
        <v>0</v>
      </c>
      <c r="S68" s="37"/>
    </row>
    <row r="69" spans="2:19" x14ac:dyDescent="0.15">
      <c r="B69" s="6"/>
      <c r="C69" s="28"/>
      <c r="D69" s="22"/>
      <c r="E69" s="49">
        <f t="shared" si="33"/>
        <v>0</v>
      </c>
      <c r="F69" s="33"/>
      <c r="G69" s="8"/>
      <c r="H69" s="57">
        <f t="shared" si="34"/>
        <v>0</v>
      </c>
      <c r="I69" s="38">
        <f t="shared" si="36"/>
        <v>0</v>
      </c>
      <c r="J69" s="35"/>
      <c r="K69" s="6"/>
      <c r="L69" s="28"/>
      <c r="M69" s="22"/>
      <c r="N69" s="57">
        <f t="shared" si="37"/>
        <v>0</v>
      </c>
      <c r="O69" s="33"/>
      <c r="P69" s="8"/>
      <c r="Q69" s="57">
        <f t="shared" si="38"/>
        <v>0</v>
      </c>
      <c r="R69" s="38">
        <f t="shared" si="39"/>
        <v>0</v>
      </c>
      <c r="S69" s="37"/>
    </row>
    <row r="70" spans="2:19" x14ac:dyDescent="0.15">
      <c r="B70" s="6"/>
      <c r="C70" s="28"/>
      <c r="D70" s="22"/>
      <c r="E70" s="49">
        <f t="shared" si="33"/>
        <v>0</v>
      </c>
      <c r="F70" s="33"/>
      <c r="G70" s="8"/>
      <c r="H70" s="57">
        <f t="shared" si="34"/>
        <v>0</v>
      </c>
      <c r="I70" s="38">
        <f t="shared" si="36"/>
        <v>0</v>
      </c>
      <c r="J70" s="35"/>
      <c r="K70" s="6"/>
      <c r="L70" s="28"/>
      <c r="M70" s="22"/>
      <c r="N70" s="57">
        <f t="shared" si="37"/>
        <v>0</v>
      </c>
      <c r="O70" s="33"/>
      <c r="P70" s="8"/>
      <c r="Q70" s="57">
        <f t="shared" si="38"/>
        <v>0</v>
      </c>
      <c r="R70" s="38">
        <f t="shared" si="39"/>
        <v>0</v>
      </c>
      <c r="S70" s="37"/>
    </row>
    <row r="71" spans="2:19" x14ac:dyDescent="0.15">
      <c r="B71" s="6"/>
      <c r="C71" s="28"/>
      <c r="D71" s="22"/>
      <c r="E71" s="49">
        <f t="shared" si="33"/>
        <v>0</v>
      </c>
      <c r="F71" s="33"/>
      <c r="G71" s="8"/>
      <c r="H71" s="57">
        <f t="shared" si="34"/>
        <v>0</v>
      </c>
      <c r="I71" s="38">
        <f t="shared" si="36"/>
        <v>0</v>
      </c>
      <c r="J71" s="35"/>
      <c r="K71" s="6"/>
      <c r="L71" s="28"/>
      <c r="M71" s="22"/>
      <c r="N71" s="57">
        <f t="shared" si="37"/>
        <v>0</v>
      </c>
      <c r="O71" s="33"/>
      <c r="P71" s="8"/>
      <c r="Q71" s="57">
        <f t="shared" si="38"/>
        <v>0</v>
      </c>
      <c r="R71" s="38">
        <f t="shared" si="39"/>
        <v>0</v>
      </c>
      <c r="S71" s="37"/>
    </row>
    <row r="72" spans="2:19" x14ac:dyDescent="0.15">
      <c r="B72" s="6"/>
      <c r="C72" s="25"/>
      <c r="D72" s="19"/>
      <c r="E72" s="49">
        <f t="shared" si="33"/>
        <v>0</v>
      </c>
      <c r="F72" s="31"/>
      <c r="G72" s="7"/>
      <c r="H72" s="57">
        <f t="shared" si="34"/>
        <v>0</v>
      </c>
      <c r="I72" s="38">
        <f t="shared" si="36"/>
        <v>0</v>
      </c>
      <c r="J72" s="35"/>
      <c r="K72" s="6"/>
      <c r="L72" s="25"/>
      <c r="M72" s="19"/>
      <c r="N72" s="57">
        <f t="shared" si="37"/>
        <v>0</v>
      </c>
      <c r="O72" s="31"/>
      <c r="P72" s="7"/>
      <c r="Q72" s="57">
        <f t="shared" si="38"/>
        <v>0</v>
      </c>
      <c r="R72" s="38">
        <f t="shared" si="39"/>
        <v>0</v>
      </c>
      <c r="S72" s="36"/>
    </row>
    <row r="73" spans="2:19" x14ac:dyDescent="0.15">
      <c r="B73" s="6"/>
      <c r="C73" s="25"/>
      <c r="D73" s="19"/>
      <c r="E73" s="49">
        <f t="shared" si="33"/>
        <v>0</v>
      </c>
      <c r="F73" s="31"/>
      <c r="G73" s="7"/>
      <c r="H73" s="57">
        <f t="shared" si="34"/>
        <v>0</v>
      </c>
      <c r="I73" s="38">
        <f t="shared" si="36"/>
        <v>0</v>
      </c>
      <c r="J73" s="35"/>
      <c r="K73" s="6"/>
      <c r="L73" s="25"/>
      <c r="M73" s="19"/>
      <c r="N73" s="57">
        <f t="shared" si="37"/>
        <v>0</v>
      </c>
      <c r="O73" s="31"/>
      <c r="P73" s="7"/>
      <c r="Q73" s="57">
        <f t="shared" si="38"/>
        <v>0</v>
      </c>
      <c r="R73" s="38">
        <f t="shared" si="39"/>
        <v>0</v>
      </c>
      <c r="S73" s="36"/>
    </row>
    <row r="74" spans="2:19" x14ac:dyDescent="0.15">
      <c r="B74" s="6"/>
      <c r="C74" s="25"/>
      <c r="D74" s="19"/>
      <c r="E74" s="49">
        <f t="shared" si="33"/>
        <v>0</v>
      </c>
      <c r="F74" s="31"/>
      <c r="G74" s="7"/>
      <c r="H74" s="57">
        <f t="shared" si="34"/>
        <v>0</v>
      </c>
      <c r="I74" s="38">
        <f t="shared" si="36"/>
        <v>0</v>
      </c>
      <c r="J74" s="35"/>
      <c r="K74" s="6"/>
      <c r="L74" s="25"/>
      <c r="M74" s="19"/>
      <c r="N74" s="57">
        <f t="shared" si="37"/>
        <v>0</v>
      </c>
      <c r="O74" s="31"/>
      <c r="P74" s="7"/>
      <c r="Q74" s="57">
        <f t="shared" si="38"/>
        <v>0</v>
      </c>
      <c r="R74" s="38">
        <f t="shared" si="39"/>
        <v>0</v>
      </c>
      <c r="S74" s="36"/>
    </row>
    <row r="75" spans="2:19" x14ac:dyDescent="0.15">
      <c r="B75" s="6"/>
      <c r="C75" s="25"/>
      <c r="D75" s="19"/>
      <c r="E75" s="49">
        <f t="shared" si="33"/>
        <v>0</v>
      </c>
      <c r="F75" s="31"/>
      <c r="G75" s="7"/>
      <c r="H75" s="57">
        <f t="shared" si="34"/>
        <v>0</v>
      </c>
      <c r="I75" s="38">
        <f t="shared" si="36"/>
        <v>0</v>
      </c>
      <c r="J75" s="35"/>
      <c r="K75" s="80" t="s">
        <v>52</v>
      </c>
      <c r="L75" s="25"/>
      <c r="M75" s="19"/>
      <c r="N75" s="57">
        <f t="shared" si="37"/>
        <v>0</v>
      </c>
      <c r="O75" s="31"/>
      <c r="P75" s="7"/>
      <c r="Q75" s="57">
        <f t="shared" si="38"/>
        <v>0</v>
      </c>
      <c r="R75" s="38">
        <f t="shared" si="39"/>
        <v>0</v>
      </c>
      <c r="S75" s="36" t="s">
        <v>36</v>
      </c>
    </row>
    <row r="76" spans="2:19" x14ac:dyDescent="0.15">
      <c r="B76" s="6"/>
      <c r="C76" s="25"/>
      <c r="D76" s="19"/>
      <c r="E76" s="49">
        <f t="shared" si="33"/>
        <v>0</v>
      </c>
      <c r="F76" s="31"/>
      <c r="G76" s="7"/>
      <c r="H76" s="57">
        <f t="shared" si="34"/>
        <v>0</v>
      </c>
      <c r="I76" s="38">
        <f t="shared" si="36"/>
        <v>0</v>
      </c>
      <c r="J76" s="35"/>
      <c r="K76" s="80" t="s">
        <v>61</v>
      </c>
      <c r="L76" s="25"/>
      <c r="M76" s="19"/>
      <c r="N76" s="57">
        <f t="shared" si="37"/>
        <v>0</v>
      </c>
      <c r="O76" s="31"/>
      <c r="P76" s="7"/>
      <c r="Q76" s="57">
        <f t="shared" si="38"/>
        <v>0</v>
      </c>
      <c r="R76" s="38">
        <f t="shared" si="39"/>
        <v>0</v>
      </c>
      <c r="S76" s="36">
        <v>45510</v>
      </c>
    </row>
    <row r="77" spans="2:19" ht="14.25" thickBot="1" x14ac:dyDescent="0.2">
      <c r="B77" s="6"/>
      <c r="C77" s="29"/>
      <c r="D77" s="20"/>
      <c r="E77" s="50">
        <f t="shared" si="33"/>
        <v>0</v>
      </c>
      <c r="F77" s="32"/>
      <c r="G77" s="5"/>
      <c r="H77" s="58">
        <f t="shared" si="34"/>
        <v>0</v>
      </c>
      <c r="I77" s="39">
        <f t="shared" si="36"/>
        <v>0</v>
      </c>
      <c r="J77" s="35"/>
      <c r="K77" s="6" t="s">
        <v>22</v>
      </c>
      <c r="L77" s="25"/>
      <c r="M77" s="19"/>
      <c r="N77" s="57">
        <f t="shared" ref="N77" si="55">SUM(L77:M77)</f>
        <v>0</v>
      </c>
      <c r="O77" s="25"/>
      <c r="P77" s="19"/>
      <c r="Q77" s="57">
        <f t="shared" ref="Q77" si="56">SUM(O77:P77)</f>
        <v>0</v>
      </c>
      <c r="R77" s="38">
        <f t="shared" ref="R77" si="57">N77+Q77</f>
        <v>0</v>
      </c>
      <c r="S77" s="36" t="s">
        <v>23</v>
      </c>
    </row>
    <row r="78" spans="2:19" ht="14.25" thickBot="1" x14ac:dyDescent="0.2">
      <c r="B78" s="4" t="s">
        <v>1</v>
      </c>
      <c r="C78" s="27">
        <f>SUM(C53:C77)</f>
        <v>5</v>
      </c>
      <c r="D78" s="21">
        <f>SUM(D53:D77)</f>
        <v>0</v>
      </c>
      <c r="E78" s="51">
        <f t="shared" si="33"/>
        <v>5</v>
      </c>
      <c r="F78" s="27">
        <f>SUM(F53:F77)</f>
        <v>5</v>
      </c>
      <c r="G78" s="21">
        <f>SUM(G53:G77)</f>
        <v>0</v>
      </c>
      <c r="H78" s="59">
        <f t="shared" si="34"/>
        <v>5</v>
      </c>
      <c r="I78" s="40">
        <f t="shared" si="36"/>
        <v>10</v>
      </c>
      <c r="K78" s="4" t="s">
        <v>1</v>
      </c>
      <c r="L78" s="27">
        <f>SUM(L53:L77)</f>
        <v>261</v>
      </c>
      <c r="M78" s="21">
        <f t="shared" ref="M78" si="58">SUM(M53:M77)</f>
        <v>247</v>
      </c>
      <c r="N78" s="51">
        <f t="shared" ref="N78" si="59">SUM(N53:N77)</f>
        <v>508</v>
      </c>
      <c r="O78" s="27">
        <f t="shared" ref="O78" si="60">SUM(O53:O77)</f>
        <v>261</v>
      </c>
      <c r="P78" s="21">
        <f t="shared" ref="P78" si="61">SUM(P53:P77)</f>
        <v>247</v>
      </c>
      <c r="Q78" s="59">
        <f t="shared" ref="Q78" si="62">SUM(Q53:Q77)</f>
        <v>508</v>
      </c>
      <c r="R78" s="40">
        <f t="shared" ref="R78" si="63">SUM(R53:R77)</f>
        <v>1016</v>
      </c>
    </row>
    <row r="79" spans="2:19" ht="14.25" thickBot="1" x14ac:dyDescent="0.2">
      <c r="B79" s="3" t="s">
        <v>0</v>
      </c>
      <c r="C79" s="30">
        <f>+C52-C78</f>
        <v>2</v>
      </c>
      <c r="D79" s="2">
        <f>+D52-D78</f>
        <v>7</v>
      </c>
      <c r="E79" s="52">
        <f t="shared" si="33"/>
        <v>9</v>
      </c>
      <c r="F79" s="30">
        <f>+F52-F78</f>
        <v>2</v>
      </c>
      <c r="G79" s="2">
        <f>+G52-G78</f>
        <v>7</v>
      </c>
      <c r="H79" s="60">
        <f t="shared" si="34"/>
        <v>9</v>
      </c>
      <c r="I79" s="41">
        <f t="shared" si="36"/>
        <v>18</v>
      </c>
      <c r="K79" s="3" t="s">
        <v>0</v>
      </c>
      <c r="L79" s="30">
        <f>+L52-L78</f>
        <v>26</v>
      </c>
      <c r="M79" s="2">
        <f t="shared" ref="M79" si="64">+M52-M78</f>
        <v>34</v>
      </c>
      <c r="N79" s="52">
        <f t="shared" ref="N79" si="65">+N52-N78</f>
        <v>60</v>
      </c>
      <c r="O79" s="30">
        <f t="shared" ref="O79" si="66">+O52-O78</f>
        <v>26</v>
      </c>
      <c r="P79" s="2">
        <f t="shared" ref="P79" si="67">+P52-P78</f>
        <v>34</v>
      </c>
      <c r="Q79" s="60">
        <f t="shared" ref="Q79" si="68">+Q52-Q78</f>
        <v>60</v>
      </c>
      <c r="R79" s="41">
        <f t="shared" ref="R79" si="69">+R52-R78</f>
        <v>120</v>
      </c>
    </row>
    <row r="80" spans="2:19" x14ac:dyDescent="0.15">
      <c r="B80" s="1"/>
      <c r="J80" s="35"/>
    </row>
    <row r="81" spans="2:20" x14ac:dyDescent="0.15">
      <c r="K81"/>
      <c r="S81"/>
    </row>
    <row r="83" spans="2:20" ht="18.75" x14ac:dyDescent="0.2">
      <c r="B83" s="70" t="s">
        <v>11</v>
      </c>
      <c r="C83" s="71"/>
      <c r="D83" s="71"/>
      <c r="E83" s="71"/>
      <c r="F83" s="71"/>
      <c r="G83" s="71"/>
      <c r="H83" s="71"/>
      <c r="I83" s="71"/>
      <c r="K83" s="16" t="s">
        <v>17</v>
      </c>
      <c r="L83" s="15"/>
      <c r="M83" s="15"/>
      <c r="N83" s="15"/>
      <c r="O83" s="15"/>
      <c r="P83" s="15"/>
      <c r="Q83" s="15"/>
      <c r="R83" s="15"/>
    </row>
    <row r="84" spans="2:20" ht="18" thickBot="1" x14ac:dyDescent="0.25">
      <c r="B84" s="72" t="s">
        <v>12</v>
      </c>
      <c r="C84" s="71"/>
      <c r="D84" s="71"/>
      <c r="E84" s="71"/>
      <c r="F84" s="71"/>
      <c r="G84" s="71"/>
      <c r="H84" s="71"/>
      <c r="I84" s="71"/>
      <c r="K84" s="17" t="s">
        <v>12</v>
      </c>
      <c r="L84" s="15"/>
      <c r="M84" s="15"/>
      <c r="N84" s="15"/>
      <c r="O84" s="15"/>
      <c r="P84" s="15"/>
      <c r="Q84" s="15"/>
      <c r="R84" s="15"/>
    </row>
    <row r="85" spans="2:20" ht="14.25" thickBot="1" x14ac:dyDescent="0.2">
      <c r="B85" s="14"/>
      <c r="C85" s="206" t="s">
        <v>9</v>
      </c>
      <c r="D85" s="207"/>
      <c r="E85" s="208"/>
      <c r="F85" s="219" t="s">
        <v>10</v>
      </c>
      <c r="G85" s="220"/>
      <c r="H85" s="220"/>
      <c r="I85" s="217" t="s">
        <v>8</v>
      </c>
      <c r="K85" s="14"/>
      <c r="L85" s="206" t="s">
        <v>9</v>
      </c>
      <c r="M85" s="207"/>
      <c r="N85" s="208"/>
      <c r="O85" s="219" t="s">
        <v>10</v>
      </c>
      <c r="P85" s="220"/>
      <c r="Q85" s="220"/>
      <c r="R85" s="217" t="s">
        <v>8</v>
      </c>
    </row>
    <row r="86" spans="2:20" ht="14.25" thickBot="1" x14ac:dyDescent="0.2">
      <c r="B86" s="4"/>
      <c r="C86" s="62" t="s">
        <v>6</v>
      </c>
      <c r="D86" s="61" t="s">
        <v>5</v>
      </c>
      <c r="E86" s="63" t="s">
        <v>4</v>
      </c>
      <c r="F86" s="62" t="s">
        <v>6</v>
      </c>
      <c r="G86" s="61" t="s">
        <v>5</v>
      </c>
      <c r="H86" s="63" t="s">
        <v>4</v>
      </c>
      <c r="I86" s="218"/>
      <c r="K86" s="13"/>
      <c r="L86" s="23" t="s">
        <v>6</v>
      </c>
      <c r="M86" s="12" t="s">
        <v>5</v>
      </c>
      <c r="N86" s="45" t="s">
        <v>4</v>
      </c>
      <c r="O86" s="23" t="s">
        <v>6</v>
      </c>
      <c r="P86" s="12" t="s">
        <v>5</v>
      </c>
      <c r="Q86" s="53" t="s">
        <v>4</v>
      </c>
      <c r="R86" s="218"/>
      <c r="T86" s="1"/>
    </row>
    <row r="87" spans="2:20" x14ac:dyDescent="0.15">
      <c r="B87" s="64" t="s">
        <v>0</v>
      </c>
      <c r="C87" s="65">
        <f>C79</f>
        <v>2</v>
      </c>
      <c r="D87" s="73">
        <f>D79</f>
        <v>7</v>
      </c>
      <c r="E87" s="66">
        <f t="shared" ref="E87:E120" si="70">SUM(C87:D87)</f>
        <v>9</v>
      </c>
      <c r="F87" s="65">
        <f>F79</f>
        <v>2</v>
      </c>
      <c r="G87" s="73">
        <f>G79</f>
        <v>7</v>
      </c>
      <c r="H87" s="67">
        <f t="shared" ref="H87:H120" si="71">SUM(F87:G87)</f>
        <v>9</v>
      </c>
      <c r="I87" s="68">
        <f>E87+H87</f>
        <v>18</v>
      </c>
      <c r="K87" s="64" t="s">
        <v>0</v>
      </c>
      <c r="L87" s="65">
        <f>L79</f>
        <v>26</v>
      </c>
      <c r="M87" s="73">
        <f t="shared" ref="M87:R87" si="72">M79</f>
        <v>34</v>
      </c>
      <c r="N87" s="66">
        <f t="shared" si="72"/>
        <v>60</v>
      </c>
      <c r="O87" s="65">
        <f t="shared" si="72"/>
        <v>26</v>
      </c>
      <c r="P87" s="73">
        <f t="shared" si="72"/>
        <v>34</v>
      </c>
      <c r="Q87" s="67">
        <f t="shared" si="72"/>
        <v>60</v>
      </c>
      <c r="R87" s="68">
        <f t="shared" si="72"/>
        <v>120</v>
      </c>
      <c r="S87" s="69"/>
    </row>
    <row r="88" spans="2:20" x14ac:dyDescent="0.15">
      <c r="B88" s="11" t="s">
        <v>59</v>
      </c>
      <c r="C88" s="25">
        <v>7</v>
      </c>
      <c r="D88" s="19"/>
      <c r="E88" s="46">
        <f t="shared" si="70"/>
        <v>7</v>
      </c>
      <c r="F88" s="31">
        <v>7</v>
      </c>
      <c r="G88" s="7"/>
      <c r="H88" s="54">
        <f t="shared" si="71"/>
        <v>7</v>
      </c>
      <c r="I88" s="38">
        <f t="shared" ref="I88" si="73">E88+H88</f>
        <v>14</v>
      </c>
      <c r="J88" s="36">
        <v>45537</v>
      </c>
      <c r="K88" s="11" t="s">
        <v>44</v>
      </c>
      <c r="L88" s="25">
        <v>7</v>
      </c>
      <c r="M88" s="19"/>
      <c r="N88" s="46">
        <f t="shared" ref="N88:N112" si="74">SUM(L88:M88)</f>
        <v>7</v>
      </c>
      <c r="O88" s="31">
        <v>7</v>
      </c>
      <c r="P88" s="7"/>
      <c r="Q88" s="54">
        <f t="shared" ref="Q88:Q112" si="75">SUM(O88:P88)</f>
        <v>7</v>
      </c>
      <c r="R88" s="38">
        <f t="shared" ref="R88:R89" si="76">N88+Q88</f>
        <v>14</v>
      </c>
      <c r="S88" s="36">
        <v>45542</v>
      </c>
    </row>
    <row r="89" spans="2:20" x14ac:dyDescent="0.15">
      <c r="B89" s="11" t="s">
        <v>62</v>
      </c>
      <c r="C89" s="25">
        <v>5</v>
      </c>
      <c r="D89" s="19">
        <v>3</v>
      </c>
      <c r="E89" s="46">
        <f t="shared" ref="E89:E90" si="77">SUM(C89:D89)</f>
        <v>8</v>
      </c>
      <c r="F89" s="31">
        <v>5</v>
      </c>
      <c r="G89" s="7">
        <v>3</v>
      </c>
      <c r="H89" s="54">
        <f t="shared" ref="H89:H90" si="78">SUM(F89:G89)</f>
        <v>8</v>
      </c>
      <c r="I89" s="38">
        <f t="shared" ref="I89:I90" si="79">E89+H89</f>
        <v>16</v>
      </c>
      <c r="J89" s="36">
        <v>45590</v>
      </c>
      <c r="K89" s="11" t="s">
        <v>44</v>
      </c>
      <c r="L89" s="25">
        <v>5</v>
      </c>
      <c r="M89" s="19">
        <v>3</v>
      </c>
      <c r="N89" s="46">
        <f t="shared" si="74"/>
        <v>8</v>
      </c>
      <c r="O89" s="31">
        <v>5</v>
      </c>
      <c r="P89" s="7">
        <v>3</v>
      </c>
      <c r="Q89" s="54">
        <f t="shared" si="75"/>
        <v>8</v>
      </c>
      <c r="R89" s="38">
        <f t="shared" si="76"/>
        <v>16</v>
      </c>
      <c r="S89" s="36">
        <v>45598</v>
      </c>
    </row>
    <row r="90" spans="2:20" x14ac:dyDescent="0.15">
      <c r="B90" s="11" t="s">
        <v>3</v>
      </c>
      <c r="C90" s="25">
        <v>2</v>
      </c>
      <c r="D90" s="19"/>
      <c r="E90" s="46">
        <f t="shared" si="77"/>
        <v>2</v>
      </c>
      <c r="F90" s="31">
        <v>2</v>
      </c>
      <c r="G90" s="7"/>
      <c r="H90" s="54">
        <f t="shared" si="78"/>
        <v>2</v>
      </c>
      <c r="I90" s="38">
        <f t="shared" si="79"/>
        <v>4</v>
      </c>
      <c r="J90" s="36">
        <v>45675</v>
      </c>
      <c r="K90" s="11" t="s">
        <v>3</v>
      </c>
      <c r="L90" s="25"/>
      <c r="M90" s="19"/>
      <c r="N90" s="46">
        <f t="shared" ref="N90:N92" si="80">SUM(L90:M90)</f>
        <v>0</v>
      </c>
      <c r="O90" s="31"/>
      <c r="P90" s="7"/>
      <c r="Q90" s="54">
        <f t="shared" ref="Q90:Q92" si="81">SUM(O90:P90)</f>
        <v>0</v>
      </c>
      <c r="R90" s="38">
        <f t="shared" ref="R90:R92" si="82">N90+Q90</f>
        <v>0</v>
      </c>
      <c r="S90" s="36"/>
    </row>
    <row r="91" spans="2:20" x14ac:dyDescent="0.15">
      <c r="B91" s="11" t="s">
        <v>3</v>
      </c>
      <c r="C91" s="25"/>
      <c r="D91" s="19"/>
      <c r="E91" s="46">
        <f t="shared" si="70"/>
        <v>0</v>
      </c>
      <c r="F91" s="31"/>
      <c r="G91" s="7"/>
      <c r="H91" s="54">
        <f t="shared" si="71"/>
        <v>0</v>
      </c>
      <c r="I91" s="38">
        <f t="shared" ref="I91:I120" si="83">E91+H91</f>
        <v>0</v>
      </c>
      <c r="J91" s="35"/>
      <c r="K91" s="11" t="s">
        <v>3</v>
      </c>
      <c r="L91" s="25"/>
      <c r="M91" s="19"/>
      <c r="N91" s="46">
        <f t="shared" si="80"/>
        <v>0</v>
      </c>
      <c r="O91" s="31"/>
      <c r="P91" s="7"/>
      <c r="Q91" s="54">
        <f t="shared" si="81"/>
        <v>0</v>
      </c>
      <c r="R91" s="38">
        <f t="shared" si="82"/>
        <v>0</v>
      </c>
      <c r="S91" s="36"/>
    </row>
    <row r="92" spans="2:20" ht="14.25" thickBot="1" x14ac:dyDescent="0.2">
      <c r="B92" s="10" t="s">
        <v>3</v>
      </c>
      <c r="C92" s="26"/>
      <c r="D92" s="20"/>
      <c r="E92" s="47">
        <f t="shared" si="70"/>
        <v>0</v>
      </c>
      <c r="F92" s="32"/>
      <c r="G92" s="5"/>
      <c r="H92" s="55">
        <f t="shared" si="71"/>
        <v>0</v>
      </c>
      <c r="I92" s="39">
        <f t="shared" si="83"/>
        <v>0</v>
      </c>
      <c r="J92" s="35"/>
      <c r="K92" s="11" t="s">
        <v>3</v>
      </c>
      <c r="L92" s="26"/>
      <c r="M92" s="20"/>
      <c r="N92" s="81">
        <f t="shared" si="80"/>
        <v>0</v>
      </c>
      <c r="O92" s="32"/>
      <c r="P92" s="5"/>
      <c r="Q92" s="82">
        <f t="shared" si="81"/>
        <v>0</v>
      </c>
      <c r="R92" s="39">
        <f t="shared" si="82"/>
        <v>0</v>
      </c>
      <c r="S92" s="36"/>
    </row>
    <row r="93" spans="2:20" ht="14.25" thickBot="1" x14ac:dyDescent="0.2">
      <c r="B93" s="42" t="s">
        <v>2</v>
      </c>
      <c r="C93" s="43">
        <f>SUM(C87:C92)</f>
        <v>16</v>
      </c>
      <c r="D93" s="44">
        <f>SUM(D87:D92)</f>
        <v>10</v>
      </c>
      <c r="E93" s="48">
        <f t="shared" si="70"/>
        <v>26</v>
      </c>
      <c r="F93" s="43">
        <f>SUM(F87:F92)</f>
        <v>16</v>
      </c>
      <c r="G93" s="44">
        <f>SUM(G87:G92)</f>
        <v>10</v>
      </c>
      <c r="H93" s="56">
        <f t="shared" si="71"/>
        <v>26</v>
      </c>
      <c r="I93" s="41">
        <f t="shared" si="83"/>
        <v>52</v>
      </c>
      <c r="J93" s="35"/>
      <c r="K93" s="42" t="s">
        <v>2</v>
      </c>
      <c r="L93" s="43">
        <f>SUM(L87:L92)</f>
        <v>38</v>
      </c>
      <c r="M93" s="44">
        <f t="shared" ref="M93" si="84">SUM(M87:M92)</f>
        <v>37</v>
      </c>
      <c r="N93" s="83">
        <f t="shared" ref="N93" si="85">SUM(N87:N92)</f>
        <v>75</v>
      </c>
      <c r="O93" s="43">
        <f t="shared" ref="O93" si="86">SUM(O87:O92)</f>
        <v>38</v>
      </c>
      <c r="P93" s="44">
        <f t="shared" ref="P93" si="87">SUM(P87:P92)</f>
        <v>37</v>
      </c>
      <c r="Q93" s="84">
        <f t="shared" ref="Q93" si="88">SUM(Q87:Q92)</f>
        <v>75</v>
      </c>
      <c r="R93" s="41">
        <f t="shared" ref="R93" si="89">SUM(R87:R92)</f>
        <v>150</v>
      </c>
    </row>
    <row r="94" spans="2:20" x14ac:dyDescent="0.15">
      <c r="B94" s="6" t="s">
        <v>58</v>
      </c>
      <c r="C94" s="25"/>
      <c r="D94" s="19">
        <v>1</v>
      </c>
      <c r="E94" s="49">
        <f t="shared" si="70"/>
        <v>1</v>
      </c>
      <c r="F94" s="31"/>
      <c r="G94" s="7">
        <v>1</v>
      </c>
      <c r="H94" s="57">
        <f t="shared" si="71"/>
        <v>1</v>
      </c>
      <c r="I94" s="38">
        <f t="shared" si="83"/>
        <v>2</v>
      </c>
      <c r="J94" s="36">
        <v>45537</v>
      </c>
      <c r="K94" s="34" t="s">
        <v>18</v>
      </c>
      <c r="L94" s="25">
        <v>2</v>
      </c>
      <c r="M94" s="19"/>
      <c r="N94" s="57">
        <f t="shared" si="74"/>
        <v>2</v>
      </c>
      <c r="O94" s="31">
        <v>2</v>
      </c>
      <c r="P94" s="7"/>
      <c r="Q94" s="57">
        <f t="shared" si="75"/>
        <v>2</v>
      </c>
      <c r="R94" s="38">
        <f t="shared" ref="R94:R112" si="90">N94+Q94</f>
        <v>4</v>
      </c>
      <c r="S94" s="36">
        <v>45675</v>
      </c>
    </row>
    <row r="95" spans="2:20" x14ac:dyDescent="0.15">
      <c r="B95" s="6" t="s">
        <v>60</v>
      </c>
      <c r="C95" s="28">
        <v>7</v>
      </c>
      <c r="D95" s="22"/>
      <c r="E95" s="49">
        <f t="shared" ref="E95:E108" si="91">SUM(C95:D95)</f>
        <v>7</v>
      </c>
      <c r="F95" s="33">
        <v>7</v>
      </c>
      <c r="G95" s="8"/>
      <c r="H95" s="57">
        <f t="shared" ref="H95:H108" si="92">SUM(F95:G95)</f>
        <v>7</v>
      </c>
      <c r="I95" s="38">
        <f t="shared" ref="I95:I108" si="93">E95+H95</f>
        <v>14</v>
      </c>
      <c r="J95" s="36">
        <v>45542</v>
      </c>
      <c r="K95" s="6"/>
      <c r="L95" s="28"/>
      <c r="M95" s="22"/>
      <c r="N95" s="57">
        <f t="shared" ref="N95:N108" si="94">SUM(L95:M95)</f>
        <v>0</v>
      </c>
      <c r="O95" s="33"/>
      <c r="P95" s="8"/>
      <c r="Q95" s="57">
        <f t="shared" ref="Q95:Q108" si="95">SUM(O95:P95)</f>
        <v>0</v>
      </c>
      <c r="R95" s="38">
        <f t="shared" ref="R95:R108" si="96">N95+Q95</f>
        <v>0</v>
      </c>
      <c r="S95" s="37"/>
    </row>
    <row r="96" spans="2:20" x14ac:dyDescent="0.15">
      <c r="B96" s="6" t="s">
        <v>43</v>
      </c>
      <c r="C96" s="28">
        <v>5</v>
      </c>
      <c r="D96" s="22">
        <v>3</v>
      </c>
      <c r="E96" s="49">
        <f t="shared" si="91"/>
        <v>8</v>
      </c>
      <c r="F96" s="33">
        <v>5</v>
      </c>
      <c r="G96" s="8">
        <v>3</v>
      </c>
      <c r="H96" s="57">
        <f t="shared" si="92"/>
        <v>8</v>
      </c>
      <c r="I96" s="38">
        <f t="shared" si="93"/>
        <v>16</v>
      </c>
      <c r="J96" s="36">
        <v>45598</v>
      </c>
      <c r="K96" s="6"/>
      <c r="L96" s="28"/>
      <c r="M96" s="22"/>
      <c r="N96" s="57">
        <f t="shared" si="94"/>
        <v>0</v>
      </c>
      <c r="O96" s="33"/>
      <c r="P96" s="8"/>
      <c r="Q96" s="57">
        <f t="shared" si="95"/>
        <v>0</v>
      </c>
      <c r="R96" s="38">
        <f t="shared" si="96"/>
        <v>0</v>
      </c>
      <c r="S96" s="37"/>
    </row>
    <row r="97" spans="2:19" x14ac:dyDescent="0.15">
      <c r="B97" s="6" t="s">
        <v>63</v>
      </c>
      <c r="C97" s="28">
        <v>1</v>
      </c>
      <c r="D97" s="22"/>
      <c r="E97" s="49">
        <f t="shared" si="91"/>
        <v>1</v>
      </c>
      <c r="F97" s="33">
        <v>1</v>
      </c>
      <c r="G97" s="8"/>
      <c r="H97" s="57">
        <f t="shared" si="92"/>
        <v>1</v>
      </c>
      <c r="I97" s="38">
        <f t="shared" si="93"/>
        <v>2</v>
      </c>
      <c r="J97" s="36">
        <v>45674</v>
      </c>
      <c r="K97" s="6"/>
      <c r="L97" s="28"/>
      <c r="M97" s="22"/>
      <c r="N97" s="57">
        <f t="shared" si="94"/>
        <v>0</v>
      </c>
      <c r="O97" s="33"/>
      <c r="P97" s="8"/>
      <c r="Q97" s="57">
        <f t="shared" si="95"/>
        <v>0</v>
      </c>
      <c r="R97" s="38">
        <f t="shared" si="96"/>
        <v>0</v>
      </c>
      <c r="S97" s="37"/>
    </row>
    <row r="98" spans="2:19" x14ac:dyDescent="0.15">
      <c r="B98" s="6"/>
      <c r="C98" s="28"/>
      <c r="D98" s="22"/>
      <c r="E98" s="49">
        <f t="shared" si="91"/>
        <v>0</v>
      </c>
      <c r="F98" s="33"/>
      <c r="G98" s="8"/>
      <c r="H98" s="57">
        <f t="shared" si="92"/>
        <v>0</v>
      </c>
      <c r="I98" s="38">
        <f t="shared" si="93"/>
        <v>0</v>
      </c>
      <c r="J98" s="35"/>
      <c r="K98" s="6"/>
      <c r="L98" s="28"/>
      <c r="M98" s="22"/>
      <c r="N98" s="57">
        <f t="shared" si="94"/>
        <v>0</v>
      </c>
      <c r="O98" s="33"/>
      <c r="P98" s="8"/>
      <c r="Q98" s="57">
        <f t="shared" si="95"/>
        <v>0</v>
      </c>
      <c r="R98" s="38">
        <f t="shared" si="96"/>
        <v>0</v>
      </c>
      <c r="S98" s="37"/>
    </row>
    <row r="99" spans="2:19" x14ac:dyDescent="0.15">
      <c r="B99" s="6"/>
      <c r="C99" s="28"/>
      <c r="D99" s="22"/>
      <c r="E99" s="49">
        <f t="shared" si="91"/>
        <v>0</v>
      </c>
      <c r="F99" s="33"/>
      <c r="G99" s="8"/>
      <c r="H99" s="57">
        <f t="shared" si="92"/>
        <v>0</v>
      </c>
      <c r="I99" s="38">
        <f t="shared" si="93"/>
        <v>0</v>
      </c>
      <c r="J99" s="35"/>
      <c r="K99" s="6"/>
      <c r="L99" s="28"/>
      <c r="M99" s="22"/>
      <c r="N99" s="57">
        <f t="shared" si="94"/>
        <v>0</v>
      </c>
      <c r="O99" s="33"/>
      <c r="P99" s="8"/>
      <c r="Q99" s="57">
        <f t="shared" si="95"/>
        <v>0</v>
      </c>
      <c r="R99" s="38">
        <f t="shared" si="96"/>
        <v>0</v>
      </c>
      <c r="S99" s="37"/>
    </row>
    <row r="100" spans="2:19" x14ac:dyDescent="0.15">
      <c r="B100" s="6"/>
      <c r="C100" s="28"/>
      <c r="D100" s="22"/>
      <c r="E100" s="49">
        <f t="shared" si="91"/>
        <v>0</v>
      </c>
      <c r="F100" s="33"/>
      <c r="G100" s="8"/>
      <c r="H100" s="57">
        <f t="shared" si="92"/>
        <v>0</v>
      </c>
      <c r="I100" s="38">
        <f t="shared" si="93"/>
        <v>0</v>
      </c>
      <c r="J100" s="35"/>
      <c r="K100" s="6"/>
      <c r="L100" s="28"/>
      <c r="M100" s="22"/>
      <c r="N100" s="57">
        <f t="shared" si="94"/>
        <v>0</v>
      </c>
      <c r="O100" s="33"/>
      <c r="P100" s="8"/>
      <c r="Q100" s="57">
        <f t="shared" si="95"/>
        <v>0</v>
      </c>
      <c r="R100" s="38">
        <f t="shared" si="96"/>
        <v>0</v>
      </c>
      <c r="S100" s="37"/>
    </row>
    <row r="101" spans="2:19" x14ac:dyDescent="0.15">
      <c r="B101" s="6"/>
      <c r="C101" s="28"/>
      <c r="D101" s="22"/>
      <c r="E101" s="49">
        <f t="shared" si="91"/>
        <v>0</v>
      </c>
      <c r="F101" s="33"/>
      <c r="G101" s="8"/>
      <c r="H101" s="57">
        <f t="shared" si="92"/>
        <v>0</v>
      </c>
      <c r="I101" s="38">
        <f t="shared" si="93"/>
        <v>0</v>
      </c>
      <c r="J101" s="35"/>
      <c r="K101" s="6"/>
      <c r="L101" s="28"/>
      <c r="M101" s="22"/>
      <c r="N101" s="57">
        <f t="shared" si="94"/>
        <v>0</v>
      </c>
      <c r="O101" s="33"/>
      <c r="P101" s="8"/>
      <c r="Q101" s="57">
        <f t="shared" si="95"/>
        <v>0</v>
      </c>
      <c r="R101" s="38">
        <f t="shared" si="96"/>
        <v>0</v>
      </c>
      <c r="S101" s="37"/>
    </row>
    <row r="102" spans="2:19" x14ac:dyDescent="0.15">
      <c r="B102" s="6"/>
      <c r="C102" s="28"/>
      <c r="D102" s="22"/>
      <c r="E102" s="49">
        <f t="shared" si="91"/>
        <v>0</v>
      </c>
      <c r="F102" s="33"/>
      <c r="G102" s="8"/>
      <c r="H102" s="57">
        <f t="shared" si="92"/>
        <v>0</v>
      </c>
      <c r="I102" s="38">
        <f t="shared" si="93"/>
        <v>0</v>
      </c>
      <c r="J102" s="35"/>
      <c r="K102" s="6"/>
      <c r="L102" s="28"/>
      <c r="M102" s="22"/>
      <c r="N102" s="57">
        <f t="shared" si="94"/>
        <v>0</v>
      </c>
      <c r="O102" s="33"/>
      <c r="P102" s="8"/>
      <c r="Q102" s="57">
        <f t="shared" si="95"/>
        <v>0</v>
      </c>
      <c r="R102" s="38">
        <f t="shared" si="96"/>
        <v>0</v>
      </c>
      <c r="S102" s="37"/>
    </row>
    <row r="103" spans="2:19" x14ac:dyDescent="0.15">
      <c r="B103" s="6"/>
      <c r="C103" s="28"/>
      <c r="D103" s="22"/>
      <c r="E103" s="49">
        <f t="shared" si="91"/>
        <v>0</v>
      </c>
      <c r="F103" s="33"/>
      <c r="G103" s="8"/>
      <c r="H103" s="57">
        <f t="shared" si="92"/>
        <v>0</v>
      </c>
      <c r="I103" s="38">
        <f t="shared" si="93"/>
        <v>0</v>
      </c>
      <c r="J103" s="35"/>
      <c r="K103" s="6"/>
      <c r="L103" s="28"/>
      <c r="M103" s="22"/>
      <c r="N103" s="57">
        <f t="shared" si="94"/>
        <v>0</v>
      </c>
      <c r="O103" s="33"/>
      <c r="P103" s="8"/>
      <c r="Q103" s="57">
        <f t="shared" si="95"/>
        <v>0</v>
      </c>
      <c r="R103" s="38">
        <f t="shared" si="96"/>
        <v>0</v>
      </c>
      <c r="S103" s="37"/>
    </row>
    <row r="104" spans="2:19" x14ac:dyDescent="0.15">
      <c r="B104" s="6"/>
      <c r="C104" s="28"/>
      <c r="D104" s="22"/>
      <c r="E104" s="49">
        <f t="shared" si="91"/>
        <v>0</v>
      </c>
      <c r="F104" s="33"/>
      <c r="G104" s="8"/>
      <c r="H104" s="57">
        <f t="shared" si="92"/>
        <v>0</v>
      </c>
      <c r="I104" s="38">
        <f t="shared" si="93"/>
        <v>0</v>
      </c>
      <c r="J104" s="35"/>
      <c r="K104" s="6"/>
      <c r="L104" s="28"/>
      <c r="M104" s="22"/>
      <c r="N104" s="57">
        <f t="shared" si="94"/>
        <v>0</v>
      </c>
      <c r="O104" s="33"/>
      <c r="P104" s="8"/>
      <c r="Q104" s="57">
        <f t="shared" si="95"/>
        <v>0</v>
      </c>
      <c r="R104" s="38">
        <f t="shared" si="96"/>
        <v>0</v>
      </c>
      <c r="S104" s="37"/>
    </row>
    <row r="105" spans="2:19" x14ac:dyDescent="0.15">
      <c r="B105" s="6"/>
      <c r="C105" s="28"/>
      <c r="D105" s="22"/>
      <c r="E105" s="49">
        <f t="shared" si="91"/>
        <v>0</v>
      </c>
      <c r="F105" s="33"/>
      <c r="G105" s="8"/>
      <c r="H105" s="57">
        <f t="shared" si="92"/>
        <v>0</v>
      </c>
      <c r="I105" s="38">
        <f t="shared" si="93"/>
        <v>0</v>
      </c>
      <c r="J105" s="35"/>
      <c r="K105" s="6"/>
      <c r="L105" s="28"/>
      <c r="M105" s="22"/>
      <c r="N105" s="57">
        <f t="shared" si="94"/>
        <v>0</v>
      </c>
      <c r="O105" s="33"/>
      <c r="P105" s="8"/>
      <c r="Q105" s="57">
        <f t="shared" si="95"/>
        <v>0</v>
      </c>
      <c r="R105" s="38">
        <f t="shared" si="96"/>
        <v>0</v>
      </c>
      <c r="S105" s="37"/>
    </row>
    <row r="106" spans="2:19" x14ac:dyDescent="0.15">
      <c r="B106" s="6"/>
      <c r="C106" s="28"/>
      <c r="D106" s="22"/>
      <c r="E106" s="49">
        <f t="shared" si="91"/>
        <v>0</v>
      </c>
      <c r="F106" s="33"/>
      <c r="G106" s="8"/>
      <c r="H106" s="57">
        <f t="shared" si="92"/>
        <v>0</v>
      </c>
      <c r="I106" s="38">
        <f t="shared" si="93"/>
        <v>0</v>
      </c>
      <c r="J106" s="35"/>
      <c r="K106" s="6"/>
      <c r="L106" s="28"/>
      <c r="M106" s="22"/>
      <c r="N106" s="57">
        <f t="shared" si="94"/>
        <v>0</v>
      </c>
      <c r="O106" s="33"/>
      <c r="P106" s="8"/>
      <c r="Q106" s="57">
        <f t="shared" si="95"/>
        <v>0</v>
      </c>
      <c r="R106" s="38">
        <f t="shared" si="96"/>
        <v>0</v>
      </c>
      <c r="S106" s="37"/>
    </row>
    <row r="107" spans="2:19" x14ac:dyDescent="0.15">
      <c r="B107" s="6"/>
      <c r="C107" s="28"/>
      <c r="D107" s="22"/>
      <c r="E107" s="49">
        <f t="shared" si="91"/>
        <v>0</v>
      </c>
      <c r="F107" s="33"/>
      <c r="G107" s="8"/>
      <c r="H107" s="57">
        <f t="shared" si="92"/>
        <v>0</v>
      </c>
      <c r="I107" s="38">
        <f t="shared" si="93"/>
        <v>0</v>
      </c>
      <c r="J107" s="35"/>
      <c r="K107" s="6"/>
      <c r="L107" s="28"/>
      <c r="M107" s="22"/>
      <c r="N107" s="57">
        <f t="shared" si="94"/>
        <v>0</v>
      </c>
      <c r="O107" s="33"/>
      <c r="P107" s="8"/>
      <c r="Q107" s="57">
        <f t="shared" si="95"/>
        <v>0</v>
      </c>
      <c r="R107" s="38">
        <f t="shared" si="96"/>
        <v>0</v>
      </c>
      <c r="S107" s="37"/>
    </row>
    <row r="108" spans="2:19" x14ac:dyDescent="0.15">
      <c r="B108" s="6"/>
      <c r="C108" s="28"/>
      <c r="D108" s="22"/>
      <c r="E108" s="49">
        <f t="shared" si="91"/>
        <v>0</v>
      </c>
      <c r="F108" s="33"/>
      <c r="G108" s="8"/>
      <c r="H108" s="57">
        <f t="shared" si="92"/>
        <v>0</v>
      </c>
      <c r="I108" s="38">
        <f t="shared" si="93"/>
        <v>0</v>
      </c>
      <c r="J108" s="35"/>
      <c r="K108" s="6"/>
      <c r="L108" s="28"/>
      <c r="M108" s="22"/>
      <c r="N108" s="57">
        <f t="shared" si="94"/>
        <v>0</v>
      </c>
      <c r="O108" s="33"/>
      <c r="P108" s="8"/>
      <c r="Q108" s="57">
        <f t="shared" si="95"/>
        <v>0</v>
      </c>
      <c r="R108" s="38">
        <f t="shared" si="96"/>
        <v>0</v>
      </c>
      <c r="S108" s="37"/>
    </row>
    <row r="109" spans="2:19" x14ac:dyDescent="0.15">
      <c r="B109" s="6"/>
      <c r="C109" s="28"/>
      <c r="D109" s="22"/>
      <c r="E109" s="49">
        <f t="shared" si="70"/>
        <v>0</v>
      </c>
      <c r="F109" s="33"/>
      <c r="G109" s="8"/>
      <c r="H109" s="57">
        <f t="shared" si="71"/>
        <v>0</v>
      </c>
      <c r="I109" s="38">
        <f t="shared" si="83"/>
        <v>0</v>
      </c>
      <c r="J109" s="35"/>
      <c r="K109" s="6"/>
      <c r="L109" s="28"/>
      <c r="M109" s="22"/>
      <c r="N109" s="57">
        <f t="shared" si="74"/>
        <v>0</v>
      </c>
      <c r="O109" s="33"/>
      <c r="P109" s="8"/>
      <c r="Q109" s="57">
        <f t="shared" si="75"/>
        <v>0</v>
      </c>
      <c r="R109" s="38">
        <f t="shared" si="90"/>
        <v>0</v>
      </c>
      <c r="S109" s="37"/>
    </row>
    <row r="110" spans="2:19" x14ac:dyDescent="0.15">
      <c r="B110" s="6"/>
      <c r="C110" s="28"/>
      <c r="D110" s="22"/>
      <c r="E110" s="49">
        <f t="shared" si="70"/>
        <v>0</v>
      </c>
      <c r="F110" s="33"/>
      <c r="G110" s="8"/>
      <c r="H110" s="57">
        <f t="shared" si="71"/>
        <v>0</v>
      </c>
      <c r="I110" s="38">
        <f t="shared" si="83"/>
        <v>0</v>
      </c>
      <c r="J110" s="35"/>
      <c r="K110" s="6"/>
      <c r="L110" s="28"/>
      <c r="M110" s="22"/>
      <c r="N110" s="57">
        <f t="shared" si="74"/>
        <v>0</v>
      </c>
      <c r="O110" s="33"/>
      <c r="P110" s="8"/>
      <c r="Q110" s="57">
        <f t="shared" si="75"/>
        <v>0</v>
      </c>
      <c r="R110" s="38">
        <f t="shared" si="90"/>
        <v>0</v>
      </c>
      <c r="S110" s="37"/>
    </row>
    <row r="111" spans="2:19" x14ac:dyDescent="0.15">
      <c r="B111" s="6"/>
      <c r="C111" s="28"/>
      <c r="D111" s="22"/>
      <c r="E111" s="49">
        <f t="shared" si="70"/>
        <v>0</v>
      </c>
      <c r="F111" s="33"/>
      <c r="G111" s="8"/>
      <c r="H111" s="57">
        <f t="shared" si="71"/>
        <v>0</v>
      </c>
      <c r="I111" s="38">
        <f t="shared" si="83"/>
        <v>0</v>
      </c>
      <c r="J111" s="35"/>
      <c r="K111" s="6"/>
      <c r="L111" s="28"/>
      <c r="M111" s="22"/>
      <c r="N111" s="57">
        <f t="shared" si="74"/>
        <v>0</v>
      </c>
      <c r="O111" s="33"/>
      <c r="P111" s="8"/>
      <c r="Q111" s="57">
        <f t="shared" si="75"/>
        <v>0</v>
      </c>
      <c r="R111" s="38">
        <f t="shared" si="90"/>
        <v>0</v>
      </c>
      <c r="S111" s="37"/>
    </row>
    <row r="112" spans="2:19" x14ac:dyDescent="0.15">
      <c r="B112" s="6"/>
      <c r="C112" s="28"/>
      <c r="D112" s="22"/>
      <c r="E112" s="49">
        <f t="shared" si="70"/>
        <v>0</v>
      </c>
      <c r="F112" s="33"/>
      <c r="G112" s="8"/>
      <c r="H112" s="57">
        <f t="shared" si="71"/>
        <v>0</v>
      </c>
      <c r="I112" s="38">
        <f t="shared" si="83"/>
        <v>0</v>
      </c>
      <c r="J112" s="35"/>
      <c r="K112" s="6"/>
      <c r="L112" s="28"/>
      <c r="M112" s="22"/>
      <c r="N112" s="57">
        <f t="shared" si="74"/>
        <v>0</v>
      </c>
      <c r="O112" s="33"/>
      <c r="P112" s="8"/>
      <c r="Q112" s="57">
        <f t="shared" si="75"/>
        <v>0</v>
      </c>
      <c r="R112" s="38">
        <f t="shared" si="90"/>
        <v>0</v>
      </c>
      <c r="S112" s="37"/>
    </row>
    <row r="113" spans="2:19" x14ac:dyDescent="0.15">
      <c r="B113" s="6"/>
      <c r="C113" s="28"/>
      <c r="D113" s="22"/>
      <c r="E113" s="49">
        <f t="shared" ref="E113:E118" si="97">SUM(C113:D113)</f>
        <v>0</v>
      </c>
      <c r="F113" s="33"/>
      <c r="G113" s="8"/>
      <c r="H113" s="57">
        <f t="shared" ref="H113:H118" si="98">SUM(F113:G113)</f>
        <v>0</v>
      </c>
      <c r="I113" s="38">
        <f t="shared" ref="I113:I118" si="99">E113+H113</f>
        <v>0</v>
      </c>
      <c r="J113" s="35"/>
      <c r="K113" s="6"/>
      <c r="L113" s="28"/>
      <c r="M113" s="22"/>
      <c r="N113" s="57">
        <f t="shared" ref="N113:N115" si="100">SUM(L113:M113)</f>
        <v>0</v>
      </c>
      <c r="O113" s="33"/>
      <c r="P113" s="8"/>
      <c r="Q113" s="57">
        <f t="shared" ref="Q113:Q115" si="101">SUM(O113:P113)</f>
        <v>0</v>
      </c>
      <c r="R113" s="38">
        <f t="shared" ref="R113:R115" si="102">N113+Q113</f>
        <v>0</v>
      </c>
      <c r="S113" s="37"/>
    </row>
    <row r="114" spans="2:19" x14ac:dyDescent="0.15">
      <c r="B114" s="6"/>
      <c r="C114" s="28"/>
      <c r="D114" s="22"/>
      <c r="E114" s="49">
        <f t="shared" si="97"/>
        <v>0</v>
      </c>
      <c r="F114" s="33"/>
      <c r="G114" s="8"/>
      <c r="H114" s="57">
        <f t="shared" si="98"/>
        <v>0</v>
      </c>
      <c r="I114" s="38">
        <f t="shared" si="99"/>
        <v>0</v>
      </c>
      <c r="J114" s="35"/>
      <c r="K114" s="6"/>
      <c r="L114" s="28"/>
      <c r="M114" s="22"/>
      <c r="N114" s="57">
        <f t="shared" si="100"/>
        <v>0</v>
      </c>
      <c r="O114" s="33"/>
      <c r="P114" s="8"/>
      <c r="Q114" s="57">
        <f t="shared" si="101"/>
        <v>0</v>
      </c>
      <c r="R114" s="38">
        <f t="shared" si="102"/>
        <v>0</v>
      </c>
      <c r="S114" s="37"/>
    </row>
    <row r="115" spans="2:19" x14ac:dyDescent="0.15">
      <c r="B115" s="6"/>
      <c r="C115" s="28"/>
      <c r="D115" s="22"/>
      <c r="E115" s="49">
        <f t="shared" si="97"/>
        <v>0</v>
      </c>
      <c r="F115" s="33"/>
      <c r="G115" s="8"/>
      <c r="H115" s="57">
        <f t="shared" si="98"/>
        <v>0</v>
      </c>
      <c r="I115" s="38">
        <f t="shared" si="99"/>
        <v>0</v>
      </c>
      <c r="J115" s="35"/>
      <c r="K115" s="6"/>
      <c r="L115" s="28"/>
      <c r="M115" s="22"/>
      <c r="N115" s="57">
        <f t="shared" si="100"/>
        <v>0</v>
      </c>
      <c r="O115" s="33"/>
      <c r="P115" s="8"/>
      <c r="Q115" s="57">
        <f t="shared" si="101"/>
        <v>0</v>
      </c>
      <c r="R115" s="38">
        <f t="shared" si="102"/>
        <v>0</v>
      </c>
      <c r="S115" s="37"/>
    </row>
    <row r="116" spans="2:19" x14ac:dyDescent="0.15">
      <c r="B116" s="6"/>
      <c r="C116" s="28"/>
      <c r="D116" s="22"/>
      <c r="E116" s="49">
        <f t="shared" si="97"/>
        <v>0</v>
      </c>
      <c r="F116" s="33"/>
      <c r="G116" s="8"/>
      <c r="H116" s="57">
        <f t="shared" si="98"/>
        <v>0</v>
      </c>
      <c r="I116" s="38">
        <f t="shared" si="99"/>
        <v>0</v>
      </c>
      <c r="J116" s="35"/>
      <c r="K116" s="6"/>
      <c r="L116" s="28"/>
      <c r="M116" s="22"/>
      <c r="N116" s="57">
        <f t="shared" ref="N116:N118" si="103">SUM(L116:M116)</f>
        <v>0</v>
      </c>
      <c r="O116" s="33"/>
      <c r="P116" s="8"/>
      <c r="Q116" s="57">
        <f t="shared" ref="Q116:Q118" si="104">SUM(O116:P116)</f>
        <v>0</v>
      </c>
      <c r="R116" s="38">
        <f t="shared" ref="R116:R118" si="105">N116+Q116</f>
        <v>0</v>
      </c>
      <c r="S116" s="37"/>
    </row>
    <row r="117" spans="2:19" x14ac:dyDescent="0.15">
      <c r="B117" s="6"/>
      <c r="C117" s="28"/>
      <c r="D117" s="22"/>
      <c r="E117" s="49">
        <f t="shared" si="97"/>
        <v>0</v>
      </c>
      <c r="F117" s="33"/>
      <c r="G117" s="8"/>
      <c r="H117" s="57">
        <f t="shared" si="98"/>
        <v>0</v>
      </c>
      <c r="I117" s="38">
        <f t="shared" si="99"/>
        <v>0</v>
      </c>
      <c r="J117" s="35"/>
      <c r="K117" s="6"/>
      <c r="L117" s="28"/>
      <c r="M117" s="22"/>
      <c r="N117" s="57">
        <f t="shared" si="103"/>
        <v>0</v>
      </c>
      <c r="O117" s="33"/>
      <c r="P117" s="8"/>
      <c r="Q117" s="57">
        <f t="shared" si="104"/>
        <v>0</v>
      </c>
      <c r="R117" s="38">
        <f t="shared" si="105"/>
        <v>0</v>
      </c>
      <c r="S117" s="37"/>
    </row>
    <row r="118" spans="2:19" ht="14.25" thickBot="1" x14ac:dyDescent="0.2">
      <c r="B118" s="6"/>
      <c r="C118" s="28"/>
      <c r="D118" s="22"/>
      <c r="E118" s="49">
        <f t="shared" si="97"/>
        <v>0</v>
      </c>
      <c r="F118" s="33"/>
      <c r="G118" s="8"/>
      <c r="H118" s="57">
        <f t="shared" si="98"/>
        <v>0</v>
      </c>
      <c r="I118" s="38">
        <f t="shared" si="99"/>
        <v>0</v>
      </c>
      <c r="J118" s="35"/>
      <c r="K118" s="6"/>
      <c r="L118" s="28"/>
      <c r="M118" s="22"/>
      <c r="N118" s="57">
        <f t="shared" si="103"/>
        <v>0</v>
      </c>
      <c r="O118" s="33"/>
      <c r="P118" s="8"/>
      <c r="Q118" s="57">
        <f t="shared" si="104"/>
        <v>0</v>
      </c>
      <c r="R118" s="38">
        <f t="shared" si="105"/>
        <v>0</v>
      </c>
      <c r="S118" s="37"/>
    </row>
    <row r="119" spans="2:19" ht="14.25" thickBot="1" x14ac:dyDescent="0.2">
      <c r="B119" s="4" t="s">
        <v>1</v>
      </c>
      <c r="C119" s="27">
        <f>SUM(C94:C118)</f>
        <v>13</v>
      </c>
      <c r="D119" s="21">
        <f>SUM(D94:D118)</f>
        <v>4</v>
      </c>
      <c r="E119" s="51">
        <f t="shared" si="70"/>
        <v>17</v>
      </c>
      <c r="F119" s="27">
        <f>SUM(F94:F118)</f>
        <v>13</v>
      </c>
      <c r="G119" s="21">
        <f>SUM(G94:G118)</f>
        <v>4</v>
      </c>
      <c r="H119" s="59">
        <f t="shared" si="71"/>
        <v>17</v>
      </c>
      <c r="I119" s="40">
        <f t="shared" si="83"/>
        <v>34</v>
      </c>
      <c r="K119" s="4" t="s">
        <v>1</v>
      </c>
      <c r="L119" s="27">
        <f>SUM(L94:L118)</f>
        <v>2</v>
      </c>
      <c r="M119" s="21">
        <f t="shared" ref="M119" si="106">SUM(M94:M118)</f>
        <v>0</v>
      </c>
      <c r="N119" s="51">
        <f t="shared" ref="N119" si="107">SUM(N94:N118)</f>
        <v>2</v>
      </c>
      <c r="O119" s="27">
        <f t="shared" ref="O119" si="108">SUM(O94:O118)</f>
        <v>2</v>
      </c>
      <c r="P119" s="21">
        <f t="shared" ref="P119" si="109">SUM(P94:P118)</f>
        <v>0</v>
      </c>
      <c r="Q119" s="59">
        <f t="shared" ref="Q119" si="110">SUM(Q94:Q118)</f>
        <v>2</v>
      </c>
      <c r="R119" s="40">
        <f t="shared" ref="R119" si="111">SUM(R94:R118)</f>
        <v>4</v>
      </c>
    </row>
    <row r="120" spans="2:19" ht="14.25" thickBot="1" x14ac:dyDescent="0.2">
      <c r="B120" s="3" t="s">
        <v>0</v>
      </c>
      <c r="C120" s="30">
        <f>+C93-C119</f>
        <v>3</v>
      </c>
      <c r="D120" s="2">
        <f>+D93-D119</f>
        <v>6</v>
      </c>
      <c r="E120" s="52">
        <f t="shared" si="70"/>
        <v>9</v>
      </c>
      <c r="F120" s="30">
        <f>+F93-F119</f>
        <v>3</v>
      </c>
      <c r="G120" s="2">
        <f>+G93-G119</f>
        <v>6</v>
      </c>
      <c r="H120" s="60">
        <f t="shared" si="71"/>
        <v>9</v>
      </c>
      <c r="I120" s="41">
        <f t="shared" si="83"/>
        <v>18</v>
      </c>
      <c r="K120" s="3" t="s">
        <v>0</v>
      </c>
      <c r="L120" s="30">
        <f>+L93-L119</f>
        <v>36</v>
      </c>
      <c r="M120" s="2">
        <f t="shared" ref="M120" si="112">+M93-M119</f>
        <v>37</v>
      </c>
      <c r="N120" s="52">
        <f t="shared" ref="N120" si="113">+N93-N119</f>
        <v>73</v>
      </c>
      <c r="O120" s="30">
        <f t="shared" ref="O120" si="114">+O93-O119</f>
        <v>36</v>
      </c>
      <c r="P120" s="2">
        <f t="shared" ref="P120" si="115">+P93-P119</f>
        <v>37</v>
      </c>
      <c r="Q120" s="60">
        <f t="shared" ref="Q120" si="116">+Q93-Q119</f>
        <v>73</v>
      </c>
      <c r="R120" s="41">
        <f t="shared" ref="R120" si="117">+R93-R119</f>
        <v>146</v>
      </c>
    </row>
    <row r="121" spans="2:19" x14ac:dyDescent="0.15">
      <c r="L121">
        <f>L119+L78+L37</f>
        <v>291</v>
      </c>
      <c r="M121">
        <f t="shared" ref="M121:R121" si="118">M119+M78+M37</f>
        <v>276</v>
      </c>
      <c r="N121">
        <f t="shared" si="118"/>
        <v>567</v>
      </c>
      <c r="O121">
        <f t="shared" si="118"/>
        <v>291</v>
      </c>
      <c r="P121">
        <f t="shared" si="118"/>
        <v>276</v>
      </c>
      <c r="Q121">
        <f t="shared" si="118"/>
        <v>567</v>
      </c>
      <c r="R121">
        <f t="shared" si="118"/>
        <v>1134</v>
      </c>
    </row>
    <row r="122" spans="2:19" x14ac:dyDescent="0.15">
      <c r="L122" s="91">
        <f>L121/$N$121*100</f>
        <v>51.322751322751323</v>
      </c>
      <c r="M122" s="91">
        <f t="shared" ref="M122:N122" si="119">M121/$N$121*100</f>
        <v>48.677248677248677</v>
      </c>
      <c r="N122" s="91">
        <f t="shared" si="119"/>
        <v>100</v>
      </c>
    </row>
    <row r="123" spans="2:19" ht="45" customHeight="1" x14ac:dyDescent="0.3">
      <c r="B123" s="221" t="s">
        <v>66</v>
      </c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</row>
    <row r="124" spans="2:19" ht="18.75" x14ac:dyDescent="0.2">
      <c r="B124" s="70" t="s">
        <v>11</v>
      </c>
      <c r="C124" s="71"/>
      <c r="D124" s="71"/>
      <c r="E124" s="71"/>
      <c r="F124" s="71"/>
      <c r="G124" s="71"/>
      <c r="H124" s="71"/>
      <c r="I124" s="71"/>
      <c r="K124" s="16" t="s">
        <v>17</v>
      </c>
      <c r="L124" s="15"/>
      <c r="M124" s="15"/>
      <c r="N124" s="15"/>
      <c r="O124" s="15"/>
      <c r="P124" s="15"/>
      <c r="Q124" s="15"/>
      <c r="R124" s="15"/>
    </row>
    <row r="125" spans="2:19" ht="18" thickBot="1" x14ac:dyDescent="0.25">
      <c r="B125" s="72" t="s">
        <v>12</v>
      </c>
      <c r="C125" s="71"/>
      <c r="D125" s="71"/>
      <c r="E125" s="71"/>
      <c r="F125" s="71"/>
      <c r="G125" s="71"/>
      <c r="H125" s="71"/>
      <c r="I125" s="71"/>
      <c r="K125" s="17" t="s">
        <v>12</v>
      </c>
      <c r="L125" s="15"/>
      <c r="M125" s="15"/>
      <c r="N125" s="15"/>
      <c r="O125" s="15"/>
      <c r="P125" s="15"/>
      <c r="Q125" s="15"/>
      <c r="R125" s="15"/>
    </row>
    <row r="126" spans="2:19" ht="14.25" thickBot="1" x14ac:dyDescent="0.2">
      <c r="B126" s="14"/>
      <c r="C126" s="206" t="s">
        <v>9</v>
      </c>
      <c r="D126" s="207"/>
      <c r="E126" s="208"/>
      <c r="F126" s="219" t="s">
        <v>10</v>
      </c>
      <c r="G126" s="220"/>
      <c r="H126" s="220"/>
      <c r="I126" s="217" t="s">
        <v>8</v>
      </c>
      <c r="K126" s="14"/>
      <c r="L126" s="206" t="s">
        <v>9</v>
      </c>
      <c r="M126" s="207"/>
      <c r="N126" s="208"/>
      <c r="O126" s="219" t="s">
        <v>10</v>
      </c>
      <c r="P126" s="220"/>
      <c r="Q126" s="220"/>
      <c r="R126" s="217" t="s">
        <v>8</v>
      </c>
    </row>
    <row r="127" spans="2:19" ht="14.25" thickBot="1" x14ac:dyDescent="0.2">
      <c r="B127" s="4"/>
      <c r="C127" s="62" t="s">
        <v>6</v>
      </c>
      <c r="D127" s="61" t="s">
        <v>5</v>
      </c>
      <c r="E127" s="63" t="s">
        <v>4</v>
      </c>
      <c r="F127" s="62" t="s">
        <v>6</v>
      </c>
      <c r="G127" s="61" t="s">
        <v>5</v>
      </c>
      <c r="H127" s="63" t="s">
        <v>4</v>
      </c>
      <c r="I127" s="218"/>
      <c r="K127" s="13"/>
      <c r="L127" s="23" t="s">
        <v>6</v>
      </c>
      <c r="M127" s="12" t="s">
        <v>5</v>
      </c>
      <c r="N127" s="45" t="s">
        <v>4</v>
      </c>
      <c r="O127" s="23" t="s">
        <v>6</v>
      </c>
      <c r="P127" s="12" t="s">
        <v>5</v>
      </c>
      <c r="Q127" s="53" t="s">
        <v>4</v>
      </c>
      <c r="R127" s="218"/>
    </row>
    <row r="128" spans="2:19" x14ac:dyDescent="0.15">
      <c r="B128" s="64" t="s">
        <v>0</v>
      </c>
      <c r="C128" s="65">
        <f>C120</f>
        <v>3</v>
      </c>
      <c r="D128" s="73">
        <f>D120</f>
        <v>6</v>
      </c>
      <c r="E128" s="66">
        <f t="shared" ref="E128:E161" si="120">SUM(C128:D128)</f>
        <v>9</v>
      </c>
      <c r="F128" s="65">
        <f>F120</f>
        <v>3</v>
      </c>
      <c r="G128" s="73">
        <f>G120</f>
        <v>6</v>
      </c>
      <c r="H128" s="67">
        <f t="shared" ref="H128:H161" si="121">SUM(F128:G128)</f>
        <v>9</v>
      </c>
      <c r="I128" s="68">
        <f>E128+H128</f>
        <v>18</v>
      </c>
      <c r="K128" s="64" t="s">
        <v>0</v>
      </c>
      <c r="L128" s="65">
        <f>L120</f>
        <v>36</v>
      </c>
      <c r="M128" s="73">
        <f t="shared" ref="M128:R128" si="122">M120</f>
        <v>37</v>
      </c>
      <c r="N128" s="66">
        <f t="shared" si="122"/>
        <v>73</v>
      </c>
      <c r="O128" s="65">
        <f t="shared" si="122"/>
        <v>36</v>
      </c>
      <c r="P128" s="73">
        <f t="shared" si="122"/>
        <v>37</v>
      </c>
      <c r="Q128" s="67">
        <f t="shared" si="122"/>
        <v>73</v>
      </c>
      <c r="R128" s="68">
        <f t="shared" si="122"/>
        <v>146</v>
      </c>
      <c r="S128" s="69"/>
    </row>
    <row r="129" spans="2:19" x14ac:dyDescent="0.15">
      <c r="B129" s="11" t="s">
        <v>3</v>
      </c>
      <c r="C129" s="25">
        <v>10</v>
      </c>
      <c r="D129" s="19">
        <v>5</v>
      </c>
      <c r="E129" s="46">
        <f t="shared" ref="E129:E131" si="123">SUM(C129:D129)</f>
        <v>15</v>
      </c>
      <c r="F129" s="31">
        <v>10</v>
      </c>
      <c r="G129" s="7">
        <v>5</v>
      </c>
      <c r="H129" s="54">
        <f t="shared" ref="H129:H131" si="124">SUM(F129:G129)</f>
        <v>15</v>
      </c>
      <c r="I129" s="38">
        <f t="shared" ref="I129:I131" si="125">E129+H129</f>
        <v>30</v>
      </c>
      <c r="J129" s="36">
        <v>45763</v>
      </c>
      <c r="K129" s="11" t="s">
        <v>3</v>
      </c>
      <c r="L129" s="25"/>
      <c r="M129" s="19"/>
      <c r="N129" s="46">
        <f t="shared" ref="N129:N131" si="126">SUM(L129:M129)</f>
        <v>0</v>
      </c>
      <c r="O129" s="31"/>
      <c r="P129" s="7"/>
      <c r="Q129" s="54">
        <f t="shared" ref="Q129:Q131" si="127">SUM(O129:P129)</f>
        <v>0</v>
      </c>
      <c r="R129" s="38">
        <f t="shared" ref="R129:R131" si="128">N129+Q129</f>
        <v>0</v>
      </c>
      <c r="S129" s="36"/>
    </row>
    <row r="130" spans="2:19" x14ac:dyDescent="0.15">
      <c r="B130" s="11" t="s">
        <v>3</v>
      </c>
      <c r="C130" s="25">
        <v>10</v>
      </c>
      <c r="D130" s="19">
        <v>10</v>
      </c>
      <c r="E130" s="46">
        <f t="shared" ref="E130" si="129">SUM(C130:D130)</f>
        <v>20</v>
      </c>
      <c r="F130" s="31">
        <v>10</v>
      </c>
      <c r="G130" s="7">
        <v>10</v>
      </c>
      <c r="H130" s="54">
        <f t="shared" ref="H130" si="130">SUM(F130:G130)</f>
        <v>20</v>
      </c>
      <c r="I130" s="38">
        <f t="shared" ref="I130" si="131">E130+H130</f>
        <v>40</v>
      </c>
      <c r="J130" s="36">
        <v>45805</v>
      </c>
      <c r="K130" s="11" t="s">
        <v>67</v>
      </c>
      <c r="L130" s="25">
        <v>300</v>
      </c>
      <c r="M130" s="19">
        <v>300</v>
      </c>
      <c r="N130" s="46">
        <f t="shared" si="126"/>
        <v>600</v>
      </c>
      <c r="O130" s="31">
        <v>300</v>
      </c>
      <c r="P130" s="7">
        <v>300</v>
      </c>
      <c r="Q130" s="54">
        <f t="shared" si="127"/>
        <v>600</v>
      </c>
      <c r="R130" s="38">
        <f t="shared" si="128"/>
        <v>1200</v>
      </c>
      <c r="S130" s="36" t="s">
        <v>76</v>
      </c>
    </row>
    <row r="131" spans="2:19" x14ac:dyDescent="0.15">
      <c r="B131" s="11" t="s">
        <v>3</v>
      </c>
      <c r="C131" s="25">
        <v>5</v>
      </c>
      <c r="D131" s="19"/>
      <c r="E131" s="46">
        <f t="shared" si="123"/>
        <v>5</v>
      </c>
      <c r="F131" s="31">
        <v>5</v>
      </c>
      <c r="G131" s="7"/>
      <c r="H131" s="54">
        <f t="shared" si="124"/>
        <v>5</v>
      </c>
      <c r="I131" s="38">
        <f t="shared" si="125"/>
        <v>10</v>
      </c>
      <c r="J131" s="36">
        <v>45827</v>
      </c>
      <c r="K131" s="11" t="s">
        <v>3</v>
      </c>
      <c r="L131" s="25"/>
      <c r="M131" s="19"/>
      <c r="N131" s="46">
        <f t="shared" si="126"/>
        <v>0</v>
      </c>
      <c r="O131" s="31"/>
      <c r="P131" s="7"/>
      <c r="Q131" s="54">
        <f t="shared" si="127"/>
        <v>0</v>
      </c>
      <c r="R131" s="38">
        <f t="shared" si="128"/>
        <v>0</v>
      </c>
      <c r="S131" s="36"/>
    </row>
    <row r="132" spans="2:19" x14ac:dyDescent="0.15">
      <c r="B132" s="11" t="s">
        <v>3</v>
      </c>
      <c r="C132" s="25"/>
      <c r="D132" s="19"/>
      <c r="E132" s="46">
        <f t="shared" si="120"/>
        <v>0</v>
      </c>
      <c r="F132" s="31"/>
      <c r="G132" s="7"/>
      <c r="H132" s="54">
        <f t="shared" si="121"/>
        <v>0</v>
      </c>
      <c r="I132" s="38">
        <f t="shared" ref="I132:I161" si="132">E132+H132</f>
        <v>0</v>
      </c>
      <c r="J132" s="35"/>
      <c r="K132" s="11" t="s">
        <v>3</v>
      </c>
      <c r="L132" s="25"/>
      <c r="M132" s="19"/>
      <c r="N132" s="46">
        <f t="shared" ref="N132:N159" si="133">SUM(L132:M132)</f>
        <v>0</v>
      </c>
      <c r="O132" s="31"/>
      <c r="P132" s="7"/>
      <c r="Q132" s="54">
        <f t="shared" ref="Q132:Q159" si="134">SUM(O132:P132)</f>
        <v>0</v>
      </c>
      <c r="R132" s="38">
        <f t="shared" ref="R132:R159" si="135">N132+Q132</f>
        <v>0</v>
      </c>
      <c r="S132" s="36"/>
    </row>
    <row r="133" spans="2:19" ht="14.25" thickBot="1" x14ac:dyDescent="0.2">
      <c r="B133" s="10" t="s">
        <v>3</v>
      </c>
      <c r="C133" s="26"/>
      <c r="D133" s="20"/>
      <c r="E133" s="47">
        <f t="shared" si="120"/>
        <v>0</v>
      </c>
      <c r="F133" s="32"/>
      <c r="G133" s="5"/>
      <c r="H133" s="55">
        <f t="shared" si="121"/>
        <v>0</v>
      </c>
      <c r="I133" s="39">
        <f t="shared" si="132"/>
        <v>0</v>
      </c>
      <c r="J133" s="35"/>
      <c r="K133" s="11" t="s">
        <v>3</v>
      </c>
      <c r="L133" s="26"/>
      <c r="M133" s="20"/>
      <c r="N133" s="81">
        <f t="shared" si="133"/>
        <v>0</v>
      </c>
      <c r="O133" s="32"/>
      <c r="P133" s="5"/>
      <c r="Q133" s="82">
        <f t="shared" si="134"/>
        <v>0</v>
      </c>
      <c r="R133" s="39">
        <f t="shared" si="135"/>
        <v>0</v>
      </c>
      <c r="S133" s="36"/>
    </row>
    <row r="134" spans="2:19" ht="14.25" thickBot="1" x14ac:dyDescent="0.2">
      <c r="B134" s="42" t="s">
        <v>2</v>
      </c>
      <c r="C134" s="43">
        <f>SUM(C128:C133)</f>
        <v>28</v>
      </c>
      <c r="D134" s="44">
        <f>SUM(D128:D133)</f>
        <v>21</v>
      </c>
      <c r="E134" s="48">
        <f t="shared" si="120"/>
        <v>49</v>
      </c>
      <c r="F134" s="43">
        <f>SUM(F128:F133)</f>
        <v>28</v>
      </c>
      <c r="G134" s="44">
        <f>SUM(G128:G133)</f>
        <v>21</v>
      </c>
      <c r="H134" s="56">
        <f t="shared" si="121"/>
        <v>49</v>
      </c>
      <c r="I134" s="41">
        <f t="shared" si="132"/>
        <v>98</v>
      </c>
      <c r="J134" s="35"/>
      <c r="K134" s="42" t="s">
        <v>2</v>
      </c>
      <c r="L134" s="43">
        <f>SUM(L128:L133)</f>
        <v>336</v>
      </c>
      <c r="M134" s="44">
        <f t="shared" ref="M134" si="136">SUM(M128:M133)</f>
        <v>337</v>
      </c>
      <c r="N134" s="83">
        <f t="shared" ref="N134" si="137">SUM(N128:N133)</f>
        <v>673</v>
      </c>
      <c r="O134" s="43">
        <f t="shared" ref="O134" si="138">SUM(O128:O133)</f>
        <v>336</v>
      </c>
      <c r="P134" s="44">
        <f t="shared" ref="P134" si="139">SUM(P128:P133)</f>
        <v>337</v>
      </c>
      <c r="Q134" s="84">
        <f t="shared" ref="Q134" si="140">SUM(Q128:Q133)</f>
        <v>673</v>
      </c>
      <c r="R134" s="41">
        <f t="shared" ref="R134" si="141">SUM(R128:R133)</f>
        <v>1346</v>
      </c>
    </row>
    <row r="135" spans="2:19" x14ac:dyDescent="0.15">
      <c r="B135" s="6" t="s">
        <v>78</v>
      </c>
      <c r="C135" s="25">
        <v>5</v>
      </c>
      <c r="D135" s="19"/>
      <c r="E135" s="49">
        <f t="shared" ref="E135:E138" si="142">SUM(C135:D135)</f>
        <v>5</v>
      </c>
      <c r="F135" s="31">
        <v>5</v>
      </c>
      <c r="G135" s="7"/>
      <c r="H135" s="57">
        <f t="shared" ref="H135:H138" si="143">SUM(F135:G135)</f>
        <v>5</v>
      </c>
      <c r="I135" s="38">
        <f t="shared" ref="I135:I138" si="144">E135+H135</f>
        <v>10</v>
      </c>
      <c r="J135" s="36">
        <v>45765</v>
      </c>
      <c r="K135" s="6" t="s">
        <v>71</v>
      </c>
      <c r="L135" s="25">
        <v>17</v>
      </c>
      <c r="M135" s="19">
        <v>15</v>
      </c>
      <c r="N135" s="57">
        <f t="shared" ref="N135" si="145">SUM(L135:M135)</f>
        <v>32</v>
      </c>
      <c r="O135" s="31">
        <v>17</v>
      </c>
      <c r="P135" s="7">
        <v>15</v>
      </c>
      <c r="Q135" s="57">
        <f t="shared" ref="Q135" si="146">SUM(O135:P135)</f>
        <v>32</v>
      </c>
      <c r="R135" s="38">
        <f t="shared" ref="R135" si="147">N135+Q135</f>
        <v>64</v>
      </c>
      <c r="S135" s="36">
        <v>45751</v>
      </c>
    </row>
    <row r="136" spans="2:19" x14ac:dyDescent="0.15">
      <c r="B136" s="6" t="s">
        <v>80</v>
      </c>
      <c r="C136" s="25"/>
      <c r="D136" s="19">
        <v>5</v>
      </c>
      <c r="E136" s="49">
        <f t="shared" si="142"/>
        <v>5</v>
      </c>
      <c r="F136" s="31"/>
      <c r="G136" s="7">
        <v>5</v>
      </c>
      <c r="H136" s="57">
        <f t="shared" si="143"/>
        <v>5</v>
      </c>
      <c r="I136" s="38">
        <f t="shared" si="144"/>
        <v>10</v>
      </c>
      <c r="J136" s="36">
        <v>45769</v>
      </c>
      <c r="K136" s="6" t="s">
        <v>79</v>
      </c>
      <c r="L136" s="25">
        <v>10</v>
      </c>
      <c r="M136" s="19">
        <v>5</v>
      </c>
      <c r="N136" s="57">
        <f t="shared" si="133"/>
        <v>15</v>
      </c>
      <c r="O136" s="31">
        <v>10</v>
      </c>
      <c r="P136" s="7">
        <v>5</v>
      </c>
      <c r="Q136" s="57">
        <f t="shared" si="134"/>
        <v>15</v>
      </c>
      <c r="R136" s="38">
        <f t="shared" si="135"/>
        <v>30</v>
      </c>
      <c r="S136" s="36">
        <v>45763</v>
      </c>
    </row>
    <row r="137" spans="2:19" x14ac:dyDescent="0.15">
      <c r="B137" s="6" t="s">
        <v>85</v>
      </c>
      <c r="C137" s="25">
        <v>2</v>
      </c>
      <c r="D137" s="19">
        <v>1</v>
      </c>
      <c r="E137" s="49">
        <f t="shared" si="142"/>
        <v>3</v>
      </c>
      <c r="F137" s="31">
        <v>2</v>
      </c>
      <c r="G137" s="7">
        <v>1</v>
      </c>
      <c r="H137" s="57">
        <f t="shared" si="143"/>
        <v>3</v>
      </c>
      <c r="I137" s="38">
        <f t="shared" si="144"/>
        <v>6</v>
      </c>
      <c r="J137" s="36">
        <v>45792</v>
      </c>
      <c r="K137" s="6" t="s">
        <v>81</v>
      </c>
      <c r="L137" s="25"/>
      <c r="M137" s="19">
        <v>10</v>
      </c>
      <c r="N137" s="57">
        <f t="shared" si="133"/>
        <v>10</v>
      </c>
      <c r="O137" s="31"/>
      <c r="P137" s="7">
        <v>10</v>
      </c>
      <c r="Q137" s="57">
        <f t="shared" si="134"/>
        <v>10</v>
      </c>
      <c r="R137" s="38">
        <f t="shared" si="135"/>
        <v>20</v>
      </c>
      <c r="S137" s="36">
        <v>45779</v>
      </c>
    </row>
    <row r="138" spans="2:19" x14ac:dyDescent="0.15">
      <c r="B138" s="6" t="s">
        <v>89</v>
      </c>
      <c r="C138" s="25"/>
      <c r="D138" s="19">
        <v>1</v>
      </c>
      <c r="E138" s="49">
        <f t="shared" si="142"/>
        <v>1</v>
      </c>
      <c r="F138" s="31"/>
      <c r="G138" s="7">
        <v>1</v>
      </c>
      <c r="H138" s="57">
        <f t="shared" si="143"/>
        <v>1</v>
      </c>
      <c r="I138" s="38">
        <f t="shared" si="144"/>
        <v>2</v>
      </c>
      <c r="J138" s="36">
        <v>45798</v>
      </c>
      <c r="K138" s="6" t="s">
        <v>97</v>
      </c>
      <c r="L138" s="25">
        <v>10</v>
      </c>
      <c r="M138" s="19">
        <v>10</v>
      </c>
      <c r="N138" s="57">
        <f t="shared" ref="N138:N139" si="148">SUM(L138:M138)</f>
        <v>20</v>
      </c>
      <c r="O138" s="31">
        <v>10</v>
      </c>
      <c r="P138" s="7">
        <v>10</v>
      </c>
      <c r="Q138" s="57">
        <f t="shared" ref="Q138:Q139" si="149">SUM(O138:P138)</f>
        <v>20</v>
      </c>
      <c r="R138" s="38">
        <f t="shared" ref="R138:R139" si="150">N138+Q138</f>
        <v>40</v>
      </c>
      <c r="S138" s="36">
        <v>45805</v>
      </c>
    </row>
    <row r="139" spans="2:19" x14ac:dyDescent="0.15">
      <c r="B139" s="6" t="s">
        <v>90</v>
      </c>
      <c r="C139" s="25">
        <v>2</v>
      </c>
      <c r="D139" s="19">
        <v>2</v>
      </c>
      <c r="E139" s="49">
        <f t="shared" si="120"/>
        <v>4</v>
      </c>
      <c r="F139" s="31">
        <v>2</v>
      </c>
      <c r="G139" s="7">
        <v>2</v>
      </c>
      <c r="H139" s="57">
        <f t="shared" si="121"/>
        <v>4</v>
      </c>
      <c r="I139" s="38">
        <f t="shared" si="132"/>
        <v>8</v>
      </c>
      <c r="J139" s="36">
        <v>45801</v>
      </c>
      <c r="K139" s="6" t="s">
        <v>18</v>
      </c>
      <c r="L139" s="25">
        <v>5</v>
      </c>
      <c r="M139" s="19"/>
      <c r="N139" s="57">
        <f t="shared" si="148"/>
        <v>5</v>
      </c>
      <c r="O139" s="31">
        <v>5</v>
      </c>
      <c r="P139" s="7"/>
      <c r="Q139" s="57">
        <f t="shared" si="149"/>
        <v>5</v>
      </c>
      <c r="R139" s="38">
        <f t="shared" si="150"/>
        <v>10</v>
      </c>
      <c r="S139" s="36">
        <v>45827</v>
      </c>
    </row>
    <row r="140" spans="2:19" x14ac:dyDescent="0.15">
      <c r="B140" s="6" t="s">
        <v>94</v>
      </c>
      <c r="C140" s="25">
        <v>1</v>
      </c>
      <c r="D140" s="19">
        <v>1</v>
      </c>
      <c r="E140" s="49">
        <f t="shared" si="120"/>
        <v>2</v>
      </c>
      <c r="F140" s="31">
        <v>1</v>
      </c>
      <c r="G140" s="7">
        <v>1</v>
      </c>
      <c r="H140" s="57">
        <f t="shared" si="121"/>
        <v>2</v>
      </c>
      <c r="I140" s="38">
        <f t="shared" si="132"/>
        <v>4</v>
      </c>
      <c r="J140" s="36">
        <v>45804</v>
      </c>
      <c r="K140" s="6"/>
      <c r="L140" s="25"/>
      <c r="M140" s="19"/>
      <c r="N140" s="57">
        <f t="shared" si="133"/>
        <v>0</v>
      </c>
      <c r="O140" s="31"/>
      <c r="P140" s="7"/>
      <c r="Q140" s="57">
        <f t="shared" si="134"/>
        <v>0</v>
      </c>
      <c r="R140" s="38">
        <f t="shared" si="135"/>
        <v>0</v>
      </c>
      <c r="S140" s="36"/>
    </row>
    <row r="141" spans="2:19" x14ac:dyDescent="0.15">
      <c r="B141" s="6" t="s">
        <v>95</v>
      </c>
      <c r="C141" s="25">
        <v>6</v>
      </c>
      <c r="D141" s="19">
        <v>3</v>
      </c>
      <c r="E141" s="49">
        <f t="shared" si="120"/>
        <v>9</v>
      </c>
      <c r="F141" s="31">
        <v>6</v>
      </c>
      <c r="G141" s="7">
        <v>3</v>
      </c>
      <c r="H141" s="57">
        <f t="shared" si="121"/>
        <v>9</v>
      </c>
      <c r="I141" s="38">
        <f t="shared" si="132"/>
        <v>18</v>
      </c>
      <c r="J141" s="36">
        <v>45807</v>
      </c>
      <c r="K141" s="6"/>
      <c r="L141" s="25"/>
      <c r="M141" s="19"/>
      <c r="N141" s="57">
        <f t="shared" si="133"/>
        <v>0</v>
      </c>
      <c r="O141" s="31"/>
      <c r="P141" s="7"/>
      <c r="Q141" s="57">
        <f t="shared" si="134"/>
        <v>0</v>
      </c>
      <c r="R141" s="38">
        <f t="shared" si="135"/>
        <v>0</v>
      </c>
      <c r="S141" s="36"/>
    </row>
    <row r="142" spans="2:19" x14ac:dyDescent="0.15">
      <c r="B142" s="6" t="s">
        <v>104</v>
      </c>
      <c r="C142" s="25">
        <v>2</v>
      </c>
      <c r="D142" s="19"/>
      <c r="E142" s="49">
        <f t="shared" si="120"/>
        <v>2</v>
      </c>
      <c r="F142" s="31">
        <v>2</v>
      </c>
      <c r="G142" s="7"/>
      <c r="H142" s="57">
        <f t="shared" si="121"/>
        <v>2</v>
      </c>
      <c r="I142" s="38">
        <f t="shared" si="132"/>
        <v>4</v>
      </c>
      <c r="J142" s="36">
        <v>45819</v>
      </c>
      <c r="K142" s="6"/>
      <c r="L142" s="28"/>
      <c r="M142" s="22"/>
      <c r="N142" s="57">
        <f t="shared" si="133"/>
        <v>0</v>
      </c>
      <c r="O142" s="33"/>
      <c r="P142" s="8"/>
      <c r="Q142" s="57">
        <f t="shared" si="134"/>
        <v>0</v>
      </c>
      <c r="R142" s="38">
        <f t="shared" si="135"/>
        <v>0</v>
      </c>
      <c r="S142" s="37"/>
    </row>
    <row r="143" spans="2:19" x14ac:dyDescent="0.15">
      <c r="B143" s="6" t="s">
        <v>106</v>
      </c>
      <c r="C143" s="25">
        <v>4</v>
      </c>
      <c r="D143" s="19">
        <v>3</v>
      </c>
      <c r="E143" s="49">
        <f t="shared" si="120"/>
        <v>7</v>
      </c>
      <c r="F143" s="31">
        <v>4</v>
      </c>
      <c r="G143" s="7">
        <v>3</v>
      </c>
      <c r="H143" s="57">
        <f t="shared" si="121"/>
        <v>7</v>
      </c>
      <c r="I143" s="38">
        <f t="shared" si="132"/>
        <v>14</v>
      </c>
      <c r="J143" s="36">
        <v>45831</v>
      </c>
      <c r="K143" s="6"/>
      <c r="L143" s="28"/>
      <c r="M143" s="22"/>
      <c r="N143" s="57">
        <f t="shared" si="133"/>
        <v>0</v>
      </c>
      <c r="O143" s="33"/>
      <c r="P143" s="8"/>
      <c r="Q143" s="57">
        <f t="shared" si="134"/>
        <v>0</v>
      </c>
      <c r="R143" s="38">
        <f t="shared" si="135"/>
        <v>0</v>
      </c>
      <c r="S143" s="37"/>
    </row>
    <row r="144" spans="2:19" x14ac:dyDescent="0.15">
      <c r="B144" s="6"/>
      <c r="C144" s="25"/>
      <c r="D144" s="19"/>
      <c r="E144" s="49">
        <f t="shared" si="120"/>
        <v>0</v>
      </c>
      <c r="F144" s="31"/>
      <c r="G144" s="7"/>
      <c r="H144" s="57">
        <f t="shared" si="121"/>
        <v>0</v>
      </c>
      <c r="I144" s="38">
        <f t="shared" si="132"/>
        <v>0</v>
      </c>
      <c r="J144" s="35"/>
      <c r="K144" s="6"/>
      <c r="L144" s="28"/>
      <c r="M144" s="22"/>
      <c r="N144" s="57">
        <f t="shared" si="133"/>
        <v>0</v>
      </c>
      <c r="O144" s="33"/>
      <c r="P144" s="8"/>
      <c r="Q144" s="57">
        <f t="shared" si="134"/>
        <v>0</v>
      </c>
      <c r="R144" s="38">
        <f t="shared" si="135"/>
        <v>0</v>
      </c>
      <c r="S144" s="37"/>
    </row>
    <row r="145" spans="2:19" x14ac:dyDescent="0.15">
      <c r="B145" s="6"/>
      <c r="C145" s="25"/>
      <c r="D145" s="19"/>
      <c r="E145" s="49">
        <f t="shared" si="120"/>
        <v>0</v>
      </c>
      <c r="F145" s="31"/>
      <c r="G145" s="7"/>
      <c r="H145" s="57">
        <f t="shared" si="121"/>
        <v>0</v>
      </c>
      <c r="I145" s="38">
        <f t="shared" si="132"/>
        <v>0</v>
      </c>
      <c r="J145" s="35"/>
      <c r="K145" s="6"/>
      <c r="L145" s="28"/>
      <c r="M145" s="22"/>
      <c r="N145" s="57">
        <f t="shared" si="133"/>
        <v>0</v>
      </c>
      <c r="O145" s="33"/>
      <c r="P145" s="8"/>
      <c r="Q145" s="57">
        <f t="shared" si="134"/>
        <v>0</v>
      </c>
      <c r="R145" s="38">
        <f t="shared" si="135"/>
        <v>0</v>
      </c>
      <c r="S145" s="37"/>
    </row>
    <row r="146" spans="2:19" x14ac:dyDescent="0.15">
      <c r="B146" s="6"/>
      <c r="C146" s="25"/>
      <c r="D146" s="19"/>
      <c r="E146" s="49">
        <f t="shared" si="120"/>
        <v>0</v>
      </c>
      <c r="F146" s="31"/>
      <c r="G146" s="7"/>
      <c r="H146" s="57">
        <f t="shared" si="121"/>
        <v>0</v>
      </c>
      <c r="I146" s="38">
        <f t="shared" si="132"/>
        <v>0</v>
      </c>
      <c r="J146" s="35"/>
      <c r="K146" s="6"/>
      <c r="L146" s="28"/>
      <c r="M146" s="22"/>
      <c r="N146" s="57">
        <f t="shared" si="133"/>
        <v>0</v>
      </c>
      <c r="O146" s="33"/>
      <c r="P146" s="8"/>
      <c r="Q146" s="57">
        <f t="shared" si="134"/>
        <v>0</v>
      </c>
      <c r="R146" s="38">
        <f t="shared" si="135"/>
        <v>0</v>
      </c>
      <c r="S146" s="37"/>
    </row>
    <row r="147" spans="2:19" x14ac:dyDescent="0.15">
      <c r="B147" s="6"/>
      <c r="C147" s="25"/>
      <c r="D147" s="19"/>
      <c r="E147" s="49">
        <f t="shared" si="120"/>
        <v>0</v>
      </c>
      <c r="F147" s="31"/>
      <c r="G147" s="7"/>
      <c r="H147" s="57">
        <f t="shared" si="121"/>
        <v>0</v>
      </c>
      <c r="I147" s="38">
        <f t="shared" si="132"/>
        <v>0</v>
      </c>
      <c r="J147" s="35"/>
      <c r="K147" s="6"/>
      <c r="L147" s="28"/>
      <c r="M147" s="22"/>
      <c r="N147" s="57">
        <f t="shared" si="133"/>
        <v>0</v>
      </c>
      <c r="O147" s="33"/>
      <c r="P147" s="8"/>
      <c r="Q147" s="57">
        <f t="shared" si="134"/>
        <v>0</v>
      </c>
      <c r="R147" s="38">
        <f t="shared" si="135"/>
        <v>0</v>
      </c>
      <c r="S147" s="37"/>
    </row>
    <row r="148" spans="2:19" x14ac:dyDescent="0.15">
      <c r="B148" s="6"/>
      <c r="C148" s="28"/>
      <c r="D148" s="22"/>
      <c r="E148" s="49">
        <f t="shared" si="120"/>
        <v>0</v>
      </c>
      <c r="F148" s="33"/>
      <c r="G148" s="8"/>
      <c r="H148" s="57">
        <f t="shared" si="121"/>
        <v>0</v>
      </c>
      <c r="I148" s="38">
        <f t="shared" si="132"/>
        <v>0</v>
      </c>
      <c r="J148" s="35"/>
      <c r="K148" s="6"/>
      <c r="L148" s="28"/>
      <c r="M148" s="22"/>
      <c r="N148" s="57">
        <f t="shared" si="133"/>
        <v>0</v>
      </c>
      <c r="O148" s="33"/>
      <c r="P148" s="8"/>
      <c r="Q148" s="57">
        <f t="shared" si="134"/>
        <v>0</v>
      </c>
      <c r="R148" s="38">
        <f t="shared" si="135"/>
        <v>0</v>
      </c>
      <c r="S148" s="37"/>
    </row>
    <row r="149" spans="2:19" x14ac:dyDescent="0.15">
      <c r="B149" s="6"/>
      <c r="C149" s="28"/>
      <c r="D149" s="22"/>
      <c r="E149" s="49">
        <f t="shared" si="120"/>
        <v>0</v>
      </c>
      <c r="F149" s="33"/>
      <c r="G149" s="8"/>
      <c r="H149" s="57">
        <f t="shared" si="121"/>
        <v>0</v>
      </c>
      <c r="I149" s="38">
        <f t="shared" si="132"/>
        <v>0</v>
      </c>
      <c r="J149" s="35"/>
      <c r="K149" s="6"/>
      <c r="L149" s="28"/>
      <c r="M149" s="22"/>
      <c r="N149" s="57">
        <f t="shared" si="133"/>
        <v>0</v>
      </c>
      <c r="O149" s="33"/>
      <c r="P149" s="8"/>
      <c r="Q149" s="57">
        <f t="shared" si="134"/>
        <v>0</v>
      </c>
      <c r="R149" s="38">
        <f t="shared" si="135"/>
        <v>0</v>
      </c>
      <c r="S149" s="37"/>
    </row>
    <row r="150" spans="2:19" x14ac:dyDescent="0.15">
      <c r="B150" s="6"/>
      <c r="C150" s="28"/>
      <c r="D150" s="22"/>
      <c r="E150" s="49">
        <f t="shared" si="120"/>
        <v>0</v>
      </c>
      <c r="F150" s="33"/>
      <c r="G150" s="8"/>
      <c r="H150" s="57">
        <f t="shared" si="121"/>
        <v>0</v>
      </c>
      <c r="I150" s="38">
        <f t="shared" si="132"/>
        <v>0</v>
      </c>
      <c r="J150" s="35"/>
      <c r="K150" s="6"/>
      <c r="L150" s="28"/>
      <c r="M150" s="22"/>
      <c r="N150" s="57">
        <f t="shared" si="133"/>
        <v>0</v>
      </c>
      <c r="O150" s="33"/>
      <c r="P150" s="8"/>
      <c r="Q150" s="57">
        <f t="shared" si="134"/>
        <v>0</v>
      </c>
      <c r="R150" s="38">
        <f t="shared" si="135"/>
        <v>0</v>
      </c>
      <c r="S150" s="37"/>
    </row>
    <row r="151" spans="2:19" x14ac:dyDescent="0.15">
      <c r="B151" s="6"/>
      <c r="C151" s="28"/>
      <c r="D151" s="22"/>
      <c r="E151" s="49">
        <f t="shared" si="120"/>
        <v>0</v>
      </c>
      <c r="F151" s="33"/>
      <c r="G151" s="8"/>
      <c r="H151" s="57">
        <f t="shared" si="121"/>
        <v>0</v>
      </c>
      <c r="I151" s="38">
        <f t="shared" si="132"/>
        <v>0</v>
      </c>
      <c r="J151" s="35"/>
      <c r="K151" s="6"/>
      <c r="L151" s="28"/>
      <c r="M151" s="22"/>
      <c r="N151" s="57">
        <f t="shared" si="133"/>
        <v>0</v>
      </c>
      <c r="O151" s="33"/>
      <c r="P151" s="8"/>
      <c r="Q151" s="57">
        <f t="shared" si="134"/>
        <v>0</v>
      </c>
      <c r="R151" s="38">
        <f t="shared" si="135"/>
        <v>0</v>
      </c>
      <c r="S151" s="37"/>
    </row>
    <row r="152" spans="2:19" x14ac:dyDescent="0.15">
      <c r="B152" s="6"/>
      <c r="C152" s="28"/>
      <c r="D152" s="22"/>
      <c r="E152" s="49">
        <f t="shared" si="120"/>
        <v>0</v>
      </c>
      <c r="F152" s="33"/>
      <c r="G152" s="8"/>
      <c r="H152" s="57">
        <f t="shared" si="121"/>
        <v>0</v>
      </c>
      <c r="I152" s="38">
        <f t="shared" si="132"/>
        <v>0</v>
      </c>
      <c r="J152" s="35"/>
      <c r="K152" s="6"/>
      <c r="L152" s="28"/>
      <c r="M152" s="22"/>
      <c r="N152" s="57">
        <f t="shared" si="133"/>
        <v>0</v>
      </c>
      <c r="O152" s="33"/>
      <c r="P152" s="8"/>
      <c r="Q152" s="57">
        <f t="shared" si="134"/>
        <v>0</v>
      </c>
      <c r="R152" s="38">
        <f t="shared" si="135"/>
        <v>0</v>
      </c>
      <c r="S152" s="37"/>
    </row>
    <row r="153" spans="2:19" x14ac:dyDescent="0.15">
      <c r="B153" s="6"/>
      <c r="C153" s="28"/>
      <c r="D153" s="22"/>
      <c r="E153" s="49">
        <f t="shared" si="120"/>
        <v>0</v>
      </c>
      <c r="F153" s="33"/>
      <c r="G153" s="8"/>
      <c r="H153" s="57">
        <f t="shared" si="121"/>
        <v>0</v>
      </c>
      <c r="I153" s="38">
        <f t="shared" si="132"/>
        <v>0</v>
      </c>
      <c r="J153" s="35"/>
      <c r="K153" s="6"/>
      <c r="L153" s="28"/>
      <c r="M153" s="22"/>
      <c r="N153" s="57">
        <f t="shared" si="133"/>
        <v>0</v>
      </c>
      <c r="O153" s="33"/>
      <c r="P153" s="8"/>
      <c r="Q153" s="57">
        <f t="shared" si="134"/>
        <v>0</v>
      </c>
      <c r="R153" s="38">
        <f t="shared" si="135"/>
        <v>0</v>
      </c>
      <c r="S153" s="37"/>
    </row>
    <row r="154" spans="2:19" x14ac:dyDescent="0.15">
      <c r="B154" s="6"/>
      <c r="C154" s="28"/>
      <c r="D154" s="22"/>
      <c r="E154" s="49">
        <f t="shared" si="120"/>
        <v>0</v>
      </c>
      <c r="F154" s="33"/>
      <c r="G154" s="8"/>
      <c r="H154" s="57">
        <f t="shared" si="121"/>
        <v>0</v>
      </c>
      <c r="I154" s="38">
        <f t="shared" si="132"/>
        <v>0</v>
      </c>
      <c r="J154" s="35"/>
      <c r="K154" s="6"/>
      <c r="L154" s="28"/>
      <c r="M154" s="22"/>
      <c r="N154" s="57">
        <f t="shared" si="133"/>
        <v>0</v>
      </c>
      <c r="O154" s="33"/>
      <c r="P154" s="8"/>
      <c r="Q154" s="57">
        <f t="shared" si="134"/>
        <v>0</v>
      </c>
      <c r="R154" s="38">
        <f t="shared" si="135"/>
        <v>0</v>
      </c>
      <c r="S154" s="37"/>
    </row>
    <row r="155" spans="2:19" x14ac:dyDescent="0.15">
      <c r="B155" s="6"/>
      <c r="C155" s="28"/>
      <c r="D155" s="22"/>
      <c r="E155" s="49">
        <f t="shared" si="120"/>
        <v>0</v>
      </c>
      <c r="F155" s="33"/>
      <c r="G155" s="8"/>
      <c r="H155" s="57">
        <f t="shared" si="121"/>
        <v>0</v>
      </c>
      <c r="I155" s="38">
        <f t="shared" si="132"/>
        <v>0</v>
      </c>
      <c r="J155" s="35"/>
      <c r="K155" s="6"/>
      <c r="L155" s="28"/>
      <c r="M155" s="22"/>
      <c r="N155" s="57">
        <f t="shared" si="133"/>
        <v>0</v>
      </c>
      <c r="O155" s="33"/>
      <c r="P155" s="8"/>
      <c r="Q155" s="57">
        <f t="shared" si="134"/>
        <v>0</v>
      </c>
      <c r="R155" s="38">
        <f t="shared" si="135"/>
        <v>0</v>
      </c>
      <c r="S155" s="37"/>
    </row>
    <row r="156" spans="2:19" x14ac:dyDescent="0.15">
      <c r="B156" s="6"/>
      <c r="C156" s="28"/>
      <c r="D156" s="22"/>
      <c r="E156" s="49">
        <f t="shared" si="120"/>
        <v>0</v>
      </c>
      <c r="F156" s="33"/>
      <c r="G156" s="8"/>
      <c r="H156" s="57">
        <f t="shared" si="121"/>
        <v>0</v>
      </c>
      <c r="I156" s="38">
        <f t="shared" si="132"/>
        <v>0</v>
      </c>
      <c r="J156" s="35"/>
      <c r="K156" s="6"/>
      <c r="L156" s="28"/>
      <c r="M156" s="22"/>
      <c r="N156" s="57">
        <f t="shared" ref="N156:N158" si="151">SUM(L156:M156)</f>
        <v>0</v>
      </c>
      <c r="O156" s="33"/>
      <c r="P156" s="8"/>
      <c r="Q156" s="57">
        <f t="shared" ref="Q156:Q158" si="152">SUM(O156:P156)</f>
        <v>0</v>
      </c>
      <c r="R156" s="38">
        <f t="shared" ref="R156:R158" si="153">N156+Q156</f>
        <v>0</v>
      </c>
      <c r="S156" s="37"/>
    </row>
    <row r="157" spans="2:19" x14ac:dyDescent="0.15">
      <c r="B157" s="6"/>
      <c r="C157" s="28"/>
      <c r="D157" s="22"/>
      <c r="E157" s="49">
        <f t="shared" si="120"/>
        <v>0</v>
      </c>
      <c r="F157" s="33"/>
      <c r="G157" s="8"/>
      <c r="H157" s="57">
        <f t="shared" si="121"/>
        <v>0</v>
      </c>
      <c r="I157" s="38">
        <f t="shared" si="132"/>
        <v>0</v>
      </c>
      <c r="J157" s="35"/>
      <c r="K157" s="6"/>
      <c r="L157" s="28"/>
      <c r="M157" s="22"/>
      <c r="N157" s="57">
        <f t="shared" si="151"/>
        <v>0</v>
      </c>
      <c r="O157" s="33"/>
      <c r="P157" s="8"/>
      <c r="Q157" s="57">
        <f t="shared" si="152"/>
        <v>0</v>
      </c>
      <c r="R157" s="38">
        <f t="shared" si="153"/>
        <v>0</v>
      </c>
      <c r="S157" s="37"/>
    </row>
    <row r="158" spans="2:19" x14ac:dyDescent="0.15">
      <c r="B158" s="6"/>
      <c r="C158" s="28"/>
      <c r="D158" s="22"/>
      <c r="E158" s="49">
        <f t="shared" si="120"/>
        <v>0</v>
      </c>
      <c r="F158" s="33"/>
      <c r="G158" s="8"/>
      <c r="H158" s="57">
        <f t="shared" si="121"/>
        <v>0</v>
      </c>
      <c r="I158" s="38">
        <f t="shared" si="132"/>
        <v>0</v>
      </c>
      <c r="J158" s="35"/>
      <c r="K158" s="6"/>
      <c r="L158" s="28"/>
      <c r="M158" s="22"/>
      <c r="N158" s="57">
        <f t="shared" si="151"/>
        <v>0</v>
      </c>
      <c r="O158" s="33"/>
      <c r="P158" s="8"/>
      <c r="Q158" s="57">
        <f t="shared" si="152"/>
        <v>0</v>
      </c>
      <c r="R158" s="38">
        <f t="shared" si="153"/>
        <v>0</v>
      </c>
      <c r="S158" s="37"/>
    </row>
    <row r="159" spans="2:19" ht="14.25" thickBot="1" x14ac:dyDescent="0.2">
      <c r="B159" s="6"/>
      <c r="C159" s="28"/>
      <c r="D159" s="22"/>
      <c r="E159" s="49">
        <f t="shared" si="120"/>
        <v>0</v>
      </c>
      <c r="F159" s="33"/>
      <c r="G159" s="8"/>
      <c r="H159" s="57">
        <f t="shared" si="121"/>
        <v>0</v>
      </c>
      <c r="I159" s="38">
        <f t="shared" si="132"/>
        <v>0</v>
      </c>
      <c r="J159" s="35"/>
      <c r="K159" s="6" t="s">
        <v>64</v>
      </c>
      <c r="L159" s="25"/>
      <c r="M159" s="19"/>
      <c r="N159" s="57">
        <f t="shared" si="133"/>
        <v>0</v>
      </c>
      <c r="O159" s="25"/>
      <c r="P159" s="7"/>
      <c r="Q159" s="57">
        <f t="shared" si="134"/>
        <v>0</v>
      </c>
      <c r="R159" s="38">
        <f t="shared" si="135"/>
        <v>0</v>
      </c>
      <c r="S159" s="36" t="s">
        <v>65</v>
      </c>
    </row>
    <row r="160" spans="2:19" ht="14.25" thickBot="1" x14ac:dyDescent="0.2">
      <c r="B160" s="4" t="s">
        <v>1</v>
      </c>
      <c r="C160" s="27">
        <f>SUM(C135:C159)</f>
        <v>22</v>
      </c>
      <c r="D160" s="21">
        <f>SUM(D135:D159)</f>
        <v>16</v>
      </c>
      <c r="E160" s="51">
        <f t="shared" si="120"/>
        <v>38</v>
      </c>
      <c r="F160" s="27">
        <f>SUM(F135:F159)</f>
        <v>22</v>
      </c>
      <c r="G160" s="21">
        <f>SUM(G135:G159)</f>
        <v>16</v>
      </c>
      <c r="H160" s="59">
        <f t="shared" si="121"/>
        <v>38</v>
      </c>
      <c r="I160" s="40">
        <f t="shared" si="132"/>
        <v>76</v>
      </c>
      <c r="K160" s="4" t="s">
        <v>1</v>
      </c>
      <c r="L160" s="27">
        <f>SUM(L135:L159)</f>
        <v>42</v>
      </c>
      <c r="M160" s="21">
        <f t="shared" ref="M160" si="154">SUM(M135:M159)</f>
        <v>40</v>
      </c>
      <c r="N160" s="51">
        <f t="shared" ref="N160" si="155">SUM(N135:N159)</f>
        <v>82</v>
      </c>
      <c r="O160" s="27">
        <f t="shared" ref="O160" si="156">SUM(O135:O159)</f>
        <v>42</v>
      </c>
      <c r="P160" s="21">
        <f t="shared" ref="P160" si="157">SUM(P135:P159)</f>
        <v>40</v>
      </c>
      <c r="Q160" s="59">
        <f t="shared" ref="Q160" si="158">SUM(Q135:Q159)</f>
        <v>82</v>
      </c>
      <c r="R160" s="40">
        <f t="shared" ref="R160" si="159">SUM(R135:R159)</f>
        <v>164</v>
      </c>
    </row>
    <row r="161" spans="2:19" ht="14.25" thickBot="1" x14ac:dyDescent="0.2">
      <c r="B161" s="3" t="s">
        <v>0</v>
      </c>
      <c r="C161" s="30">
        <f>+C134-C160</f>
        <v>6</v>
      </c>
      <c r="D161" s="2">
        <f>+D134-D160</f>
        <v>5</v>
      </c>
      <c r="E161" s="52">
        <f t="shared" si="120"/>
        <v>11</v>
      </c>
      <c r="F161" s="30">
        <f>+F134-F160</f>
        <v>6</v>
      </c>
      <c r="G161" s="2">
        <f>+G134-G160</f>
        <v>5</v>
      </c>
      <c r="H161" s="60">
        <f t="shared" si="121"/>
        <v>11</v>
      </c>
      <c r="I161" s="41">
        <f t="shared" si="132"/>
        <v>22</v>
      </c>
      <c r="K161" s="3" t="s">
        <v>0</v>
      </c>
      <c r="L161" s="30">
        <f>+L134-L160</f>
        <v>294</v>
      </c>
      <c r="M161" s="2">
        <f t="shared" ref="M161" si="160">+M134-M160</f>
        <v>297</v>
      </c>
      <c r="N161" s="52">
        <f t="shared" ref="N161" si="161">+N134-N160</f>
        <v>591</v>
      </c>
      <c r="O161" s="30">
        <f t="shared" ref="O161" si="162">+O134-O160</f>
        <v>294</v>
      </c>
      <c r="P161" s="2">
        <f t="shared" ref="P161" si="163">+P134-P160</f>
        <v>297</v>
      </c>
      <c r="Q161" s="60">
        <f t="shared" ref="Q161" si="164">+Q134-Q160</f>
        <v>591</v>
      </c>
      <c r="R161" s="41">
        <f t="shared" ref="R161" si="165">+R134-R160</f>
        <v>1182</v>
      </c>
    </row>
    <row r="164" spans="2:19" ht="28.5" x14ac:dyDescent="0.3"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</row>
    <row r="165" spans="2:19" ht="18.75" x14ac:dyDescent="0.2">
      <c r="B165" s="70" t="s">
        <v>11</v>
      </c>
      <c r="C165" s="71"/>
      <c r="D165" s="71"/>
      <c r="E165" s="71"/>
      <c r="F165" s="71"/>
      <c r="G165" s="71"/>
      <c r="H165" s="71"/>
      <c r="I165" s="71"/>
      <c r="K165" s="16" t="s">
        <v>17</v>
      </c>
      <c r="L165" s="15"/>
      <c r="M165" s="15"/>
      <c r="N165" s="15"/>
      <c r="O165" s="15"/>
      <c r="P165" s="15"/>
      <c r="Q165" s="15"/>
      <c r="R165" s="15"/>
    </row>
    <row r="166" spans="2:19" ht="18" thickBot="1" x14ac:dyDescent="0.25">
      <c r="B166" s="72" t="s">
        <v>12</v>
      </c>
      <c r="C166" s="71"/>
      <c r="D166" s="71"/>
      <c r="E166" s="71"/>
      <c r="F166" s="71"/>
      <c r="G166" s="71"/>
      <c r="H166" s="71"/>
      <c r="I166" s="71"/>
      <c r="K166" s="17" t="s">
        <v>12</v>
      </c>
      <c r="L166" s="15"/>
      <c r="M166" s="15"/>
      <c r="N166" s="15"/>
      <c r="O166" s="15"/>
      <c r="P166" s="15"/>
      <c r="Q166" s="15"/>
      <c r="R166" s="15"/>
    </row>
    <row r="167" spans="2:19" ht="14.25" thickBot="1" x14ac:dyDescent="0.2">
      <c r="B167" s="14"/>
      <c r="C167" s="206" t="s">
        <v>9</v>
      </c>
      <c r="D167" s="207"/>
      <c r="E167" s="208"/>
      <c r="F167" s="219" t="s">
        <v>10</v>
      </c>
      <c r="G167" s="220"/>
      <c r="H167" s="220"/>
      <c r="I167" s="217" t="s">
        <v>8</v>
      </c>
      <c r="K167" s="14"/>
      <c r="L167" s="206" t="s">
        <v>9</v>
      </c>
      <c r="M167" s="207"/>
      <c r="N167" s="208"/>
      <c r="O167" s="219" t="s">
        <v>10</v>
      </c>
      <c r="P167" s="220"/>
      <c r="Q167" s="220"/>
      <c r="R167" s="217" t="s">
        <v>8</v>
      </c>
    </row>
    <row r="168" spans="2:19" ht="14.25" thickBot="1" x14ac:dyDescent="0.2">
      <c r="B168" s="4"/>
      <c r="C168" s="62" t="s">
        <v>6</v>
      </c>
      <c r="D168" s="61" t="s">
        <v>5</v>
      </c>
      <c r="E168" s="63" t="s">
        <v>4</v>
      </c>
      <c r="F168" s="62" t="s">
        <v>6</v>
      </c>
      <c r="G168" s="61" t="s">
        <v>5</v>
      </c>
      <c r="H168" s="63" t="s">
        <v>4</v>
      </c>
      <c r="I168" s="218"/>
      <c r="K168" s="13"/>
      <c r="L168" s="23" t="s">
        <v>6</v>
      </c>
      <c r="M168" s="12" t="s">
        <v>5</v>
      </c>
      <c r="N168" s="45" t="s">
        <v>4</v>
      </c>
      <c r="O168" s="23" t="s">
        <v>6</v>
      </c>
      <c r="P168" s="12" t="s">
        <v>5</v>
      </c>
      <c r="Q168" s="53" t="s">
        <v>4</v>
      </c>
      <c r="R168" s="218"/>
    </row>
    <row r="169" spans="2:19" x14ac:dyDescent="0.15">
      <c r="B169" s="64" t="s">
        <v>0</v>
      </c>
      <c r="C169" s="65">
        <f>C161</f>
        <v>6</v>
      </c>
      <c r="D169" s="73">
        <f>D161</f>
        <v>5</v>
      </c>
      <c r="E169" s="66">
        <f t="shared" ref="E169" si="166">SUM(C169:D169)</f>
        <v>11</v>
      </c>
      <c r="F169" s="65">
        <f>F161</f>
        <v>6</v>
      </c>
      <c r="G169" s="73">
        <f>G161</f>
        <v>5</v>
      </c>
      <c r="H169" s="67">
        <f t="shared" ref="H169:H202" si="167">SUM(F169:G169)</f>
        <v>11</v>
      </c>
      <c r="I169" s="68">
        <f>E169+H169</f>
        <v>22</v>
      </c>
      <c r="K169" s="64" t="s">
        <v>0</v>
      </c>
      <c r="L169" s="65">
        <f>L161</f>
        <v>294</v>
      </c>
      <c r="M169" s="73">
        <f t="shared" ref="M169:R169" si="168">M161</f>
        <v>297</v>
      </c>
      <c r="N169" s="66">
        <f t="shared" si="168"/>
        <v>591</v>
      </c>
      <c r="O169" s="65">
        <f t="shared" si="168"/>
        <v>294</v>
      </c>
      <c r="P169" s="73">
        <f t="shared" si="168"/>
        <v>297</v>
      </c>
      <c r="Q169" s="67">
        <f t="shared" si="168"/>
        <v>591</v>
      </c>
      <c r="R169" s="68">
        <f t="shared" si="168"/>
        <v>1182</v>
      </c>
    </row>
    <row r="170" spans="2:19" x14ac:dyDescent="0.15">
      <c r="B170" s="11" t="s">
        <v>3</v>
      </c>
      <c r="C170" s="25"/>
      <c r="D170" s="19">
        <v>5</v>
      </c>
      <c r="E170" s="46">
        <f t="shared" ref="E170:E172" si="169">SUM(C170:D170)</f>
        <v>5</v>
      </c>
      <c r="F170" s="31"/>
      <c r="G170" s="7">
        <v>5</v>
      </c>
      <c r="H170" s="54">
        <f t="shared" si="167"/>
        <v>5</v>
      </c>
      <c r="I170" s="38">
        <f t="shared" ref="I170:I202" si="170">E170+H170</f>
        <v>10</v>
      </c>
      <c r="J170" s="36">
        <v>45839</v>
      </c>
      <c r="K170" s="11" t="s">
        <v>3</v>
      </c>
      <c r="L170" s="25"/>
      <c r="M170" s="19"/>
      <c r="N170" s="46">
        <f t="shared" ref="N170:N196" si="171">SUM(L170:M170)</f>
        <v>0</v>
      </c>
      <c r="O170" s="31"/>
      <c r="P170" s="7"/>
      <c r="Q170" s="54">
        <f t="shared" ref="Q170:Q196" si="172">SUM(O170:P170)</f>
        <v>0</v>
      </c>
      <c r="R170" s="38">
        <f t="shared" ref="R170:R196" si="173">N170+Q170</f>
        <v>0</v>
      </c>
    </row>
    <row r="171" spans="2:19" x14ac:dyDescent="0.15">
      <c r="B171" s="11" t="s">
        <v>3</v>
      </c>
      <c r="C171" s="25">
        <v>5</v>
      </c>
      <c r="D171" s="19"/>
      <c r="E171" s="46">
        <f t="shared" si="169"/>
        <v>5</v>
      </c>
      <c r="F171" s="31">
        <v>5</v>
      </c>
      <c r="G171" s="7"/>
      <c r="H171" s="54">
        <f t="shared" si="167"/>
        <v>5</v>
      </c>
      <c r="I171" s="38">
        <f t="shared" si="170"/>
        <v>10</v>
      </c>
      <c r="J171" s="36">
        <v>45855</v>
      </c>
      <c r="K171" s="11" t="s">
        <v>68</v>
      </c>
      <c r="L171" s="25">
        <v>150</v>
      </c>
      <c r="M171" s="19">
        <v>100</v>
      </c>
      <c r="N171" s="46">
        <f t="shared" ref="N171:N172" si="174">SUM(L171:M171)</f>
        <v>250</v>
      </c>
      <c r="O171" s="31">
        <v>150</v>
      </c>
      <c r="P171" s="7">
        <v>100</v>
      </c>
      <c r="Q171" s="54">
        <f t="shared" ref="Q171:Q172" si="175">SUM(O171:P171)</f>
        <v>250</v>
      </c>
      <c r="R171" s="38">
        <f t="shared" ref="R171:R172" si="176">N171+Q171</f>
        <v>500</v>
      </c>
      <c r="S171" s="36" t="s">
        <v>101</v>
      </c>
    </row>
    <row r="172" spans="2:19" x14ac:dyDescent="0.15">
      <c r="B172" s="11" t="s">
        <v>3</v>
      </c>
      <c r="C172" s="25"/>
      <c r="D172" s="19">
        <v>5</v>
      </c>
      <c r="E172" s="46">
        <f t="shared" si="169"/>
        <v>5</v>
      </c>
      <c r="F172" s="31"/>
      <c r="G172" s="7">
        <v>5</v>
      </c>
      <c r="H172" s="54">
        <f t="shared" si="167"/>
        <v>5</v>
      </c>
      <c r="I172" s="38">
        <f t="shared" si="170"/>
        <v>10</v>
      </c>
      <c r="J172" s="36">
        <v>45862</v>
      </c>
      <c r="K172" s="11" t="s">
        <v>3</v>
      </c>
      <c r="L172" s="25"/>
      <c r="M172" s="19"/>
      <c r="N172" s="46">
        <f t="shared" si="174"/>
        <v>0</v>
      </c>
      <c r="O172" s="31"/>
      <c r="P172" s="7"/>
      <c r="Q172" s="54">
        <f t="shared" si="175"/>
        <v>0</v>
      </c>
      <c r="R172" s="38">
        <f t="shared" si="176"/>
        <v>0</v>
      </c>
    </row>
    <row r="173" spans="2:19" x14ac:dyDescent="0.15">
      <c r="B173" s="11" t="s">
        <v>109</v>
      </c>
      <c r="C173" s="25"/>
      <c r="D173" s="19">
        <v>1</v>
      </c>
      <c r="E173" s="46">
        <f t="shared" ref="E173:E175" si="177">SUM(C173:D173)</f>
        <v>1</v>
      </c>
      <c r="F173" s="31"/>
      <c r="G173" s="7">
        <v>1</v>
      </c>
      <c r="H173" s="54">
        <f t="shared" si="167"/>
        <v>1</v>
      </c>
      <c r="I173" s="38">
        <f t="shared" si="170"/>
        <v>2</v>
      </c>
      <c r="J173" s="36">
        <v>45861</v>
      </c>
      <c r="K173" s="11" t="s">
        <v>3</v>
      </c>
      <c r="L173" s="25"/>
      <c r="M173" s="19"/>
      <c r="N173" s="46">
        <f t="shared" si="171"/>
        <v>0</v>
      </c>
      <c r="O173" s="31"/>
      <c r="P173" s="7"/>
      <c r="Q173" s="54">
        <f t="shared" si="172"/>
        <v>0</v>
      </c>
      <c r="R173" s="38">
        <f t="shared" si="173"/>
        <v>0</v>
      </c>
    </row>
    <row r="174" spans="2:19" ht="14.25" thickBot="1" x14ac:dyDescent="0.2">
      <c r="B174" s="10" t="s">
        <v>3</v>
      </c>
      <c r="C174" s="26">
        <v>5</v>
      </c>
      <c r="D174" s="20">
        <v>5</v>
      </c>
      <c r="E174" s="47">
        <f t="shared" si="177"/>
        <v>10</v>
      </c>
      <c r="F174" s="32">
        <v>5</v>
      </c>
      <c r="G174" s="5">
        <v>5</v>
      </c>
      <c r="H174" s="55">
        <f t="shared" si="167"/>
        <v>10</v>
      </c>
      <c r="I174" s="39">
        <f t="shared" si="170"/>
        <v>20</v>
      </c>
      <c r="J174" s="36">
        <v>45871</v>
      </c>
      <c r="K174" s="11" t="s">
        <v>3</v>
      </c>
      <c r="L174" s="26"/>
      <c r="M174" s="20"/>
      <c r="N174" s="81">
        <f t="shared" si="171"/>
        <v>0</v>
      </c>
      <c r="O174" s="32"/>
      <c r="P174" s="5"/>
      <c r="Q174" s="82">
        <f t="shared" si="172"/>
        <v>0</v>
      </c>
      <c r="R174" s="39">
        <f t="shared" si="173"/>
        <v>0</v>
      </c>
    </row>
    <row r="175" spans="2:19" ht="14.25" thickBot="1" x14ac:dyDescent="0.2">
      <c r="B175" s="42" t="s">
        <v>2</v>
      </c>
      <c r="C175" s="43">
        <f>SUM(C169:C174)</f>
        <v>16</v>
      </c>
      <c r="D175" s="44">
        <f>SUM(D169:D174)</f>
        <v>21</v>
      </c>
      <c r="E175" s="48">
        <f t="shared" si="177"/>
        <v>37</v>
      </c>
      <c r="F175" s="43">
        <f>SUM(F169:F174)</f>
        <v>16</v>
      </c>
      <c r="G175" s="44">
        <f>SUM(G169:G174)</f>
        <v>21</v>
      </c>
      <c r="H175" s="56">
        <f t="shared" si="167"/>
        <v>37</v>
      </c>
      <c r="I175" s="41">
        <f t="shared" si="170"/>
        <v>74</v>
      </c>
      <c r="J175" s="35"/>
      <c r="K175" s="42" t="s">
        <v>2</v>
      </c>
      <c r="L175" s="43">
        <f>SUM(L169:L174)</f>
        <v>444</v>
      </c>
      <c r="M175" s="44">
        <f t="shared" ref="M175" si="178">SUM(M169:M174)</f>
        <v>397</v>
      </c>
      <c r="N175" s="83">
        <f t="shared" ref="N175" si="179">SUM(N169:N174)</f>
        <v>841</v>
      </c>
      <c r="O175" s="43">
        <f t="shared" ref="O175" si="180">SUM(O169:O174)</f>
        <v>444</v>
      </c>
      <c r="P175" s="44">
        <f t="shared" ref="P175" si="181">SUM(P169:P174)</f>
        <v>397</v>
      </c>
      <c r="Q175" s="84">
        <f t="shared" ref="Q175" si="182">SUM(Q169:Q174)</f>
        <v>841</v>
      </c>
      <c r="R175" s="41">
        <f t="shared" ref="R175" si="183">SUM(R169:R174)</f>
        <v>1682</v>
      </c>
    </row>
    <row r="176" spans="2:19" x14ac:dyDescent="0.15">
      <c r="B176" s="6" t="s">
        <v>111</v>
      </c>
      <c r="C176" s="25"/>
      <c r="D176" s="19">
        <v>2</v>
      </c>
      <c r="E176" s="49">
        <f t="shared" ref="E176:E179" si="184">SUM(C176:D176)</f>
        <v>2</v>
      </c>
      <c r="F176" s="31"/>
      <c r="G176" s="7">
        <v>2</v>
      </c>
      <c r="H176" s="57">
        <f t="shared" si="167"/>
        <v>2</v>
      </c>
      <c r="I176" s="38">
        <f t="shared" si="170"/>
        <v>4</v>
      </c>
      <c r="J176" s="36">
        <v>45840</v>
      </c>
      <c r="K176" s="6" t="s">
        <v>18</v>
      </c>
      <c r="L176" s="25"/>
      <c r="M176" s="19">
        <v>5</v>
      </c>
      <c r="N176" s="57">
        <f t="shared" si="171"/>
        <v>5</v>
      </c>
      <c r="O176" s="31"/>
      <c r="P176" s="7">
        <v>5</v>
      </c>
      <c r="Q176" s="57">
        <f t="shared" si="172"/>
        <v>5</v>
      </c>
      <c r="R176" s="38">
        <f t="shared" si="173"/>
        <v>10</v>
      </c>
      <c r="S176" s="36">
        <v>45839</v>
      </c>
    </row>
    <row r="177" spans="2:19" x14ac:dyDescent="0.15">
      <c r="B177" s="6" t="s">
        <v>111</v>
      </c>
      <c r="C177" s="25">
        <v>2</v>
      </c>
      <c r="D177" s="19">
        <v>1</v>
      </c>
      <c r="E177" s="49">
        <f t="shared" si="184"/>
        <v>3</v>
      </c>
      <c r="F177" s="31">
        <v>2</v>
      </c>
      <c r="G177" s="7">
        <v>1</v>
      </c>
      <c r="H177" s="57">
        <f t="shared" si="167"/>
        <v>3</v>
      </c>
      <c r="I177" s="38">
        <f t="shared" si="170"/>
        <v>6</v>
      </c>
      <c r="J177" s="36">
        <v>45845</v>
      </c>
      <c r="K177" s="6" t="s">
        <v>111</v>
      </c>
      <c r="L177" s="25">
        <v>1</v>
      </c>
      <c r="M177" s="19">
        <v>6</v>
      </c>
      <c r="N177" s="57">
        <f t="shared" si="171"/>
        <v>7</v>
      </c>
      <c r="O177" s="31">
        <v>1</v>
      </c>
      <c r="P177" s="7">
        <v>6</v>
      </c>
      <c r="Q177" s="57">
        <f t="shared" si="172"/>
        <v>7</v>
      </c>
      <c r="R177" s="38">
        <f t="shared" si="173"/>
        <v>14</v>
      </c>
      <c r="S177" s="36">
        <v>45841</v>
      </c>
    </row>
    <row r="178" spans="2:19" x14ac:dyDescent="0.15">
      <c r="B178" s="6" t="s">
        <v>111</v>
      </c>
      <c r="C178" s="25"/>
      <c r="D178" s="19">
        <v>1</v>
      </c>
      <c r="E178" s="49">
        <f t="shared" si="184"/>
        <v>1</v>
      </c>
      <c r="F178" s="31"/>
      <c r="G178" s="7">
        <v>1</v>
      </c>
      <c r="H178" s="57">
        <f t="shared" si="167"/>
        <v>1</v>
      </c>
      <c r="I178" s="38">
        <f t="shared" si="170"/>
        <v>2</v>
      </c>
      <c r="J178" s="36">
        <v>45854</v>
      </c>
      <c r="K178" s="6" t="s">
        <v>111</v>
      </c>
      <c r="L178" s="25">
        <v>9</v>
      </c>
      <c r="M178" s="19">
        <v>4</v>
      </c>
      <c r="N178" s="57">
        <f t="shared" si="171"/>
        <v>13</v>
      </c>
      <c r="O178" s="31">
        <v>9</v>
      </c>
      <c r="P178" s="7">
        <v>4</v>
      </c>
      <c r="Q178" s="57">
        <f t="shared" si="172"/>
        <v>13</v>
      </c>
      <c r="R178" s="38">
        <f t="shared" si="173"/>
        <v>26</v>
      </c>
      <c r="S178" s="36">
        <v>45842</v>
      </c>
    </row>
    <row r="179" spans="2:19" x14ac:dyDescent="0.15">
      <c r="B179" s="6" t="s">
        <v>111</v>
      </c>
      <c r="C179" s="25">
        <v>1</v>
      </c>
      <c r="D179" s="19"/>
      <c r="E179" s="49">
        <f t="shared" si="184"/>
        <v>1</v>
      </c>
      <c r="F179" s="31">
        <v>1</v>
      </c>
      <c r="G179" s="7"/>
      <c r="H179" s="57">
        <f t="shared" si="167"/>
        <v>1</v>
      </c>
      <c r="I179" s="38">
        <f t="shared" si="170"/>
        <v>2</v>
      </c>
      <c r="J179" s="36">
        <v>45856</v>
      </c>
      <c r="K179" s="6" t="s">
        <v>111</v>
      </c>
      <c r="L179" s="25">
        <v>10</v>
      </c>
      <c r="M179" s="19">
        <v>9</v>
      </c>
      <c r="N179" s="57">
        <f t="shared" si="171"/>
        <v>19</v>
      </c>
      <c r="O179" s="31">
        <v>10</v>
      </c>
      <c r="P179" s="7">
        <v>9</v>
      </c>
      <c r="Q179" s="57">
        <f t="shared" si="172"/>
        <v>19</v>
      </c>
      <c r="R179" s="38">
        <f t="shared" si="173"/>
        <v>38</v>
      </c>
      <c r="S179" s="36">
        <v>45842</v>
      </c>
    </row>
    <row r="180" spans="2:19" x14ac:dyDescent="0.15">
      <c r="B180" s="6" t="s">
        <v>111</v>
      </c>
      <c r="C180" s="25">
        <v>2</v>
      </c>
      <c r="D180" s="19"/>
      <c r="E180" s="49">
        <f t="shared" ref="E180:E202" si="185">SUM(C180:D180)</f>
        <v>2</v>
      </c>
      <c r="F180" s="31">
        <v>2</v>
      </c>
      <c r="G180" s="7"/>
      <c r="H180" s="57">
        <f t="shared" si="167"/>
        <v>2</v>
      </c>
      <c r="I180" s="38">
        <f t="shared" si="170"/>
        <v>4</v>
      </c>
      <c r="J180" s="36">
        <v>45856</v>
      </c>
      <c r="K180" s="6" t="s">
        <v>111</v>
      </c>
      <c r="L180" s="25">
        <v>13</v>
      </c>
      <c r="M180" s="19">
        <v>6</v>
      </c>
      <c r="N180" s="57">
        <f t="shared" si="171"/>
        <v>19</v>
      </c>
      <c r="O180" s="31">
        <v>13</v>
      </c>
      <c r="P180" s="7">
        <v>6</v>
      </c>
      <c r="Q180" s="57">
        <f t="shared" si="172"/>
        <v>19</v>
      </c>
      <c r="R180" s="38">
        <f t="shared" si="173"/>
        <v>38</v>
      </c>
      <c r="S180" s="36">
        <v>45847</v>
      </c>
    </row>
    <row r="181" spans="2:19" x14ac:dyDescent="0.15">
      <c r="B181" s="6" t="s">
        <v>111</v>
      </c>
      <c r="C181" s="25">
        <v>1</v>
      </c>
      <c r="D181" s="19">
        <v>1</v>
      </c>
      <c r="E181" s="49">
        <f t="shared" si="185"/>
        <v>2</v>
      </c>
      <c r="F181" s="31">
        <v>1</v>
      </c>
      <c r="G181" s="7">
        <v>1</v>
      </c>
      <c r="H181" s="57">
        <f t="shared" si="167"/>
        <v>2</v>
      </c>
      <c r="I181" s="38">
        <f t="shared" si="170"/>
        <v>4</v>
      </c>
      <c r="J181" s="36">
        <v>45860</v>
      </c>
      <c r="K181" s="6" t="s">
        <v>111</v>
      </c>
      <c r="L181" s="25">
        <v>6</v>
      </c>
      <c r="M181" s="19">
        <v>2</v>
      </c>
      <c r="N181" s="57">
        <f t="shared" si="171"/>
        <v>8</v>
      </c>
      <c r="O181" s="31">
        <v>6</v>
      </c>
      <c r="P181" s="7">
        <v>2</v>
      </c>
      <c r="Q181" s="57">
        <f t="shared" si="172"/>
        <v>8</v>
      </c>
      <c r="R181" s="38">
        <f t="shared" si="173"/>
        <v>16</v>
      </c>
      <c r="S181" s="36">
        <v>45848</v>
      </c>
    </row>
    <row r="182" spans="2:19" x14ac:dyDescent="0.15">
      <c r="B182" s="6" t="s">
        <v>111</v>
      </c>
      <c r="C182" s="25"/>
      <c r="D182" s="19">
        <v>2</v>
      </c>
      <c r="E182" s="49">
        <f t="shared" si="185"/>
        <v>2</v>
      </c>
      <c r="F182" s="31"/>
      <c r="G182" s="7">
        <v>2</v>
      </c>
      <c r="H182" s="57">
        <f t="shared" si="167"/>
        <v>2</v>
      </c>
      <c r="I182" s="38">
        <f t="shared" si="170"/>
        <v>4</v>
      </c>
      <c r="J182" s="36">
        <v>45863</v>
      </c>
      <c r="K182" s="6" t="s">
        <v>111</v>
      </c>
      <c r="L182" s="25">
        <v>11</v>
      </c>
      <c r="M182" s="19">
        <v>2</v>
      </c>
      <c r="N182" s="57">
        <f t="shared" si="171"/>
        <v>13</v>
      </c>
      <c r="O182" s="31">
        <v>11</v>
      </c>
      <c r="P182" s="7">
        <v>2</v>
      </c>
      <c r="Q182" s="57">
        <f t="shared" si="172"/>
        <v>13</v>
      </c>
      <c r="R182" s="38">
        <f t="shared" si="173"/>
        <v>26</v>
      </c>
      <c r="S182" s="36">
        <v>45849</v>
      </c>
    </row>
    <row r="183" spans="2:19" x14ac:dyDescent="0.15">
      <c r="B183" s="6" t="s">
        <v>111</v>
      </c>
      <c r="C183" s="25"/>
      <c r="D183" s="19">
        <v>2</v>
      </c>
      <c r="E183" s="49">
        <f t="shared" si="185"/>
        <v>2</v>
      </c>
      <c r="F183" s="31"/>
      <c r="G183" s="7">
        <v>2</v>
      </c>
      <c r="H183" s="57">
        <f t="shared" si="167"/>
        <v>2</v>
      </c>
      <c r="I183" s="38">
        <f t="shared" si="170"/>
        <v>4</v>
      </c>
      <c r="J183" s="36">
        <v>45863</v>
      </c>
      <c r="K183" s="6" t="s">
        <v>111</v>
      </c>
      <c r="L183" s="25"/>
      <c r="M183" s="19">
        <v>4</v>
      </c>
      <c r="N183" s="57">
        <f t="shared" si="171"/>
        <v>4</v>
      </c>
      <c r="O183" s="31"/>
      <c r="P183" s="7">
        <v>4</v>
      </c>
      <c r="Q183" s="57">
        <f t="shared" si="172"/>
        <v>4</v>
      </c>
      <c r="R183" s="38">
        <f t="shared" si="173"/>
        <v>8</v>
      </c>
      <c r="S183" s="36">
        <v>45849</v>
      </c>
    </row>
    <row r="184" spans="2:19" x14ac:dyDescent="0.15">
      <c r="B184" s="6" t="s">
        <v>111</v>
      </c>
      <c r="C184" s="25">
        <v>1</v>
      </c>
      <c r="D184" s="19">
        <v>3</v>
      </c>
      <c r="E184" s="49">
        <f t="shared" si="185"/>
        <v>4</v>
      </c>
      <c r="F184" s="31">
        <v>1</v>
      </c>
      <c r="G184" s="7">
        <v>3</v>
      </c>
      <c r="H184" s="57">
        <f t="shared" si="167"/>
        <v>4</v>
      </c>
      <c r="I184" s="38">
        <f t="shared" si="170"/>
        <v>8</v>
      </c>
      <c r="J184" s="36">
        <v>45870</v>
      </c>
      <c r="K184" s="6" t="s">
        <v>111</v>
      </c>
      <c r="L184" s="25">
        <v>3</v>
      </c>
      <c r="M184" s="19">
        <v>3</v>
      </c>
      <c r="N184" s="57">
        <f t="shared" si="171"/>
        <v>6</v>
      </c>
      <c r="O184" s="31">
        <v>3</v>
      </c>
      <c r="P184" s="7">
        <v>3</v>
      </c>
      <c r="Q184" s="57">
        <f t="shared" si="172"/>
        <v>6</v>
      </c>
      <c r="R184" s="38">
        <f t="shared" si="173"/>
        <v>12</v>
      </c>
      <c r="S184" s="36">
        <v>45852</v>
      </c>
    </row>
    <row r="185" spans="2:19" x14ac:dyDescent="0.15">
      <c r="B185" s="6" t="s">
        <v>111</v>
      </c>
      <c r="C185" s="25">
        <v>1</v>
      </c>
      <c r="D185" s="19"/>
      <c r="E185" s="49">
        <f t="shared" si="185"/>
        <v>1</v>
      </c>
      <c r="F185" s="31">
        <v>1</v>
      </c>
      <c r="G185" s="7"/>
      <c r="H185" s="57">
        <f t="shared" si="167"/>
        <v>1</v>
      </c>
      <c r="I185" s="38">
        <f t="shared" si="170"/>
        <v>2</v>
      </c>
      <c r="J185" s="36">
        <v>45870</v>
      </c>
      <c r="K185" s="6" t="s">
        <v>116</v>
      </c>
      <c r="L185" s="25">
        <v>100</v>
      </c>
      <c r="M185" s="19">
        <v>100</v>
      </c>
      <c r="N185" s="57">
        <f t="shared" si="171"/>
        <v>200</v>
      </c>
      <c r="O185" s="31">
        <v>100</v>
      </c>
      <c r="P185" s="7">
        <v>100</v>
      </c>
      <c r="Q185" s="57">
        <f t="shared" si="172"/>
        <v>200</v>
      </c>
      <c r="R185" s="38">
        <f t="shared" si="173"/>
        <v>400</v>
      </c>
      <c r="S185" s="36">
        <v>45862</v>
      </c>
    </row>
    <row r="186" spans="2:19" x14ac:dyDescent="0.15">
      <c r="B186" s="6" t="s">
        <v>126</v>
      </c>
      <c r="C186" s="25"/>
      <c r="D186" s="19">
        <v>1</v>
      </c>
      <c r="E186" s="49">
        <f t="shared" si="185"/>
        <v>1</v>
      </c>
      <c r="F186" s="31"/>
      <c r="G186" s="7">
        <v>1</v>
      </c>
      <c r="H186" s="57">
        <f t="shared" si="167"/>
        <v>1</v>
      </c>
      <c r="I186" s="38">
        <f t="shared" si="170"/>
        <v>2</v>
      </c>
      <c r="J186" s="36">
        <v>45875</v>
      </c>
      <c r="K186" s="6" t="s">
        <v>18</v>
      </c>
      <c r="L186" s="25">
        <v>5</v>
      </c>
      <c r="M186" s="19"/>
      <c r="N186" s="57">
        <f t="shared" si="171"/>
        <v>5</v>
      </c>
      <c r="O186" s="31">
        <v>5</v>
      </c>
      <c r="P186" s="7"/>
      <c r="Q186" s="57">
        <f t="shared" si="172"/>
        <v>5</v>
      </c>
      <c r="R186" s="38">
        <f t="shared" si="173"/>
        <v>10</v>
      </c>
      <c r="S186" s="36">
        <v>45855</v>
      </c>
    </row>
    <row r="187" spans="2:19" x14ac:dyDescent="0.15">
      <c r="B187" s="6" t="s">
        <v>111</v>
      </c>
      <c r="C187" s="25">
        <v>2</v>
      </c>
      <c r="D187" s="19"/>
      <c r="E187" s="49">
        <f t="shared" si="185"/>
        <v>2</v>
      </c>
      <c r="F187" s="31">
        <v>2</v>
      </c>
      <c r="G187" s="7"/>
      <c r="H187" s="57">
        <f t="shared" si="167"/>
        <v>2</v>
      </c>
      <c r="I187" s="38">
        <f t="shared" si="170"/>
        <v>4</v>
      </c>
      <c r="J187" s="36">
        <v>45875</v>
      </c>
      <c r="K187" s="6" t="s">
        <v>111</v>
      </c>
      <c r="L187" s="25">
        <v>4</v>
      </c>
      <c r="M187" s="19">
        <v>1</v>
      </c>
      <c r="N187" s="57">
        <f t="shared" si="171"/>
        <v>5</v>
      </c>
      <c r="O187" s="31">
        <v>4</v>
      </c>
      <c r="P187" s="7">
        <v>1</v>
      </c>
      <c r="Q187" s="57">
        <f t="shared" si="172"/>
        <v>5</v>
      </c>
      <c r="R187" s="38">
        <f t="shared" si="173"/>
        <v>10</v>
      </c>
      <c r="S187" s="36">
        <v>45862</v>
      </c>
    </row>
    <row r="188" spans="2:19" x14ac:dyDescent="0.15">
      <c r="B188" s="6" t="s">
        <v>111</v>
      </c>
      <c r="C188" s="25"/>
      <c r="D188" s="19">
        <v>4</v>
      </c>
      <c r="E188" s="49">
        <f t="shared" si="185"/>
        <v>4</v>
      </c>
      <c r="F188" s="31"/>
      <c r="G188" s="7">
        <v>4</v>
      </c>
      <c r="H188" s="57">
        <f t="shared" si="167"/>
        <v>4</v>
      </c>
      <c r="I188" s="38">
        <f t="shared" si="170"/>
        <v>8</v>
      </c>
      <c r="J188" s="36">
        <v>45877</v>
      </c>
      <c r="K188" s="6" t="s">
        <v>18</v>
      </c>
      <c r="L188" s="25"/>
      <c r="M188" s="19">
        <v>5</v>
      </c>
      <c r="N188" s="57">
        <f t="shared" si="171"/>
        <v>5</v>
      </c>
      <c r="O188" s="31"/>
      <c r="P188" s="7">
        <v>5</v>
      </c>
      <c r="Q188" s="57">
        <f t="shared" si="172"/>
        <v>5</v>
      </c>
      <c r="R188" s="38">
        <f t="shared" si="173"/>
        <v>10</v>
      </c>
      <c r="S188" s="36">
        <v>45862</v>
      </c>
    </row>
    <row r="189" spans="2:19" x14ac:dyDescent="0.15">
      <c r="B189" s="6" t="s">
        <v>130</v>
      </c>
      <c r="C189" s="25">
        <v>-1</v>
      </c>
      <c r="D189" s="19"/>
      <c r="E189" s="49">
        <f t="shared" si="185"/>
        <v>-1</v>
      </c>
      <c r="F189" s="31">
        <v>-1</v>
      </c>
      <c r="G189" s="7"/>
      <c r="H189" s="57">
        <f t="shared" si="167"/>
        <v>-1</v>
      </c>
      <c r="I189" s="38">
        <f t="shared" si="170"/>
        <v>-2</v>
      </c>
      <c r="J189" s="36">
        <v>45874</v>
      </c>
      <c r="K189" s="6" t="s">
        <v>18</v>
      </c>
      <c r="L189" s="25">
        <v>5</v>
      </c>
      <c r="M189" s="19">
        <v>5</v>
      </c>
      <c r="N189" s="57">
        <f t="shared" si="171"/>
        <v>10</v>
      </c>
      <c r="O189" s="31">
        <v>5</v>
      </c>
      <c r="P189" s="7">
        <v>5</v>
      </c>
      <c r="Q189" s="57">
        <f t="shared" si="172"/>
        <v>10</v>
      </c>
      <c r="R189" s="38">
        <f t="shared" si="173"/>
        <v>20</v>
      </c>
      <c r="S189" s="36">
        <v>45871</v>
      </c>
    </row>
    <row r="190" spans="2:19" x14ac:dyDescent="0.15">
      <c r="B190" s="6" t="s">
        <v>131</v>
      </c>
      <c r="C190" s="25">
        <v>0</v>
      </c>
      <c r="D190" s="19">
        <v>0</v>
      </c>
      <c r="E190" s="49">
        <f t="shared" si="185"/>
        <v>0</v>
      </c>
      <c r="F190" s="31">
        <v>0</v>
      </c>
      <c r="G190" s="7">
        <v>0</v>
      </c>
      <c r="H190" s="57">
        <f t="shared" si="167"/>
        <v>0</v>
      </c>
      <c r="I190" s="38">
        <f t="shared" si="170"/>
        <v>0</v>
      </c>
      <c r="J190" s="36">
        <v>45878</v>
      </c>
      <c r="K190" s="6" t="s">
        <v>18</v>
      </c>
      <c r="L190" s="25"/>
      <c r="M190" s="19">
        <v>5</v>
      </c>
      <c r="N190" s="57">
        <f t="shared" si="171"/>
        <v>5</v>
      </c>
      <c r="O190" s="31"/>
      <c r="P190" s="7">
        <v>5</v>
      </c>
      <c r="Q190" s="57">
        <f t="shared" si="172"/>
        <v>5</v>
      </c>
      <c r="R190" s="38">
        <f t="shared" si="173"/>
        <v>10</v>
      </c>
      <c r="S190" s="36">
        <v>45891</v>
      </c>
    </row>
    <row r="191" spans="2:19" x14ac:dyDescent="0.15">
      <c r="B191" s="6" t="s">
        <v>111</v>
      </c>
      <c r="C191" s="25">
        <v>1</v>
      </c>
      <c r="D191" s="19"/>
      <c r="E191" s="49">
        <f t="shared" si="185"/>
        <v>1</v>
      </c>
      <c r="F191" s="31">
        <v>1</v>
      </c>
      <c r="G191" s="7"/>
      <c r="H191" s="57">
        <f t="shared" si="167"/>
        <v>1</v>
      </c>
      <c r="I191" s="38">
        <f t="shared" si="170"/>
        <v>2</v>
      </c>
      <c r="J191" s="36">
        <v>45889</v>
      </c>
      <c r="K191" s="6" t="s">
        <v>18</v>
      </c>
      <c r="L191" s="25">
        <v>5</v>
      </c>
      <c r="M191" s="19"/>
      <c r="N191" s="57">
        <f t="shared" si="171"/>
        <v>5</v>
      </c>
      <c r="O191" s="31">
        <v>5</v>
      </c>
      <c r="P191" s="7"/>
      <c r="Q191" s="57">
        <f t="shared" si="172"/>
        <v>5</v>
      </c>
      <c r="R191" s="38">
        <f t="shared" si="173"/>
        <v>10</v>
      </c>
      <c r="S191" s="36">
        <v>45895</v>
      </c>
    </row>
    <row r="192" spans="2:19" x14ac:dyDescent="0.15">
      <c r="B192" s="6" t="s">
        <v>111</v>
      </c>
      <c r="C192" s="25"/>
      <c r="D192" s="19">
        <v>1</v>
      </c>
      <c r="E192" s="49">
        <f t="shared" si="185"/>
        <v>1</v>
      </c>
      <c r="F192" s="31"/>
      <c r="G192" s="7">
        <v>1</v>
      </c>
      <c r="H192" s="57">
        <f t="shared" si="167"/>
        <v>1</v>
      </c>
      <c r="I192" s="38">
        <f t="shared" si="170"/>
        <v>2</v>
      </c>
      <c r="J192" s="36">
        <v>45891</v>
      </c>
      <c r="K192" s="6"/>
      <c r="L192" s="25"/>
      <c r="M192" s="19"/>
      <c r="N192" s="57">
        <f t="shared" si="171"/>
        <v>0</v>
      </c>
      <c r="O192" s="31"/>
      <c r="P192" s="7"/>
      <c r="Q192" s="57">
        <f t="shared" si="172"/>
        <v>0</v>
      </c>
      <c r="R192" s="38">
        <f t="shared" si="173"/>
        <v>0</v>
      </c>
    </row>
    <row r="193" spans="2:19" x14ac:dyDescent="0.15">
      <c r="B193" s="6" t="s">
        <v>134</v>
      </c>
      <c r="C193" s="25"/>
      <c r="D193" s="19">
        <v>-5</v>
      </c>
      <c r="E193" s="49">
        <f t="shared" si="185"/>
        <v>-5</v>
      </c>
      <c r="F193" s="31"/>
      <c r="G193" s="7">
        <v>-5</v>
      </c>
      <c r="H193" s="57">
        <f t="shared" si="167"/>
        <v>-5</v>
      </c>
      <c r="I193" s="38">
        <f t="shared" si="170"/>
        <v>-10</v>
      </c>
      <c r="J193" s="36">
        <v>45891</v>
      </c>
      <c r="K193" s="6"/>
      <c r="L193" s="25"/>
      <c r="M193" s="19"/>
      <c r="N193" s="57">
        <f t="shared" si="171"/>
        <v>0</v>
      </c>
      <c r="O193" s="31"/>
      <c r="P193" s="7"/>
      <c r="Q193" s="57">
        <f t="shared" si="172"/>
        <v>0</v>
      </c>
      <c r="R193" s="38">
        <f t="shared" si="173"/>
        <v>0</v>
      </c>
    </row>
    <row r="194" spans="2:19" x14ac:dyDescent="0.15">
      <c r="B194" s="6" t="s">
        <v>111</v>
      </c>
      <c r="C194" s="25">
        <v>1</v>
      </c>
      <c r="D194" s="19"/>
      <c r="E194" s="49">
        <f t="shared" si="185"/>
        <v>1</v>
      </c>
      <c r="F194" s="31">
        <v>1</v>
      </c>
      <c r="G194" s="7"/>
      <c r="H194" s="57">
        <f t="shared" si="167"/>
        <v>1</v>
      </c>
      <c r="I194" s="38">
        <f t="shared" si="170"/>
        <v>2</v>
      </c>
      <c r="J194" s="36">
        <v>45894</v>
      </c>
      <c r="K194" s="6"/>
      <c r="L194" s="28"/>
      <c r="M194" s="22"/>
      <c r="N194" s="57">
        <f t="shared" si="171"/>
        <v>0</v>
      </c>
      <c r="O194" s="33"/>
      <c r="P194" s="8"/>
      <c r="Q194" s="57">
        <f t="shared" si="172"/>
        <v>0</v>
      </c>
      <c r="R194" s="38">
        <f t="shared" si="173"/>
        <v>0</v>
      </c>
    </row>
    <row r="195" spans="2:19" x14ac:dyDescent="0.15">
      <c r="B195" s="34" t="s">
        <v>20</v>
      </c>
      <c r="C195" s="25"/>
      <c r="D195" s="19">
        <v>1</v>
      </c>
      <c r="E195" s="49">
        <f t="shared" si="185"/>
        <v>1</v>
      </c>
      <c r="F195" s="31"/>
      <c r="G195" s="7">
        <v>1</v>
      </c>
      <c r="H195" s="57">
        <f t="shared" si="167"/>
        <v>1</v>
      </c>
      <c r="I195" s="38">
        <f t="shared" si="170"/>
        <v>2</v>
      </c>
      <c r="J195" s="36">
        <v>45891</v>
      </c>
      <c r="K195" s="6"/>
      <c r="L195" s="28"/>
      <c r="M195" s="22"/>
      <c r="N195" s="57">
        <f t="shared" si="171"/>
        <v>0</v>
      </c>
      <c r="O195" s="33"/>
      <c r="P195" s="8"/>
      <c r="Q195" s="57">
        <f t="shared" si="172"/>
        <v>0</v>
      </c>
      <c r="R195" s="38">
        <f t="shared" si="173"/>
        <v>0</v>
      </c>
    </row>
    <row r="196" spans="2:19" x14ac:dyDescent="0.15">
      <c r="B196" s="6" t="s">
        <v>111</v>
      </c>
      <c r="C196" s="25">
        <v>2</v>
      </c>
      <c r="D196" s="19"/>
      <c r="E196" s="49">
        <f t="shared" si="185"/>
        <v>2</v>
      </c>
      <c r="F196" s="31">
        <v>2</v>
      </c>
      <c r="G196" s="7"/>
      <c r="H196" s="57">
        <f t="shared" si="167"/>
        <v>2</v>
      </c>
      <c r="I196" s="38">
        <f t="shared" si="170"/>
        <v>4</v>
      </c>
      <c r="J196" s="36">
        <v>45896</v>
      </c>
      <c r="K196" s="6"/>
      <c r="L196" s="28"/>
      <c r="M196" s="22"/>
      <c r="N196" s="57">
        <f t="shared" si="171"/>
        <v>0</v>
      </c>
      <c r="O196" s="33"/>
      <c r="P196" s="8"/>
      <c r="Q196" s="57">
        <f t="shared" si="172"/>
        <v>0</v>
      </c>
      <c r="R196" s="38">
        <f t="shared" si="173"/>
        <v>0</v>
      </c>
    </row>
    <row r="197" spans="2:19" x14ac:dyDescent="0.15">
      <c r="B197" s="6" t="s">
        <v>3</v>
      </c>
      <c r="C197" s="25">
        <v>-5</v>
      </c>
      <c r="D197" s="19"/>
      <c r="E197" s="49">
        <f t="shared" si="185"/>
        <v>-5</v>
      </c>
      <c r="F197" s="31">
        <v>-5</v>
      </c>
      <c r="G197" s="7"/>
      <c r="H197" s="57">
        <f t="shared" si="167"/>
        <v>-5</v>
      </c>
      <c r="I197" s="38">
        <f t="shared" si="170"/>
        <v>-10</v>
      </c>
      <c r="J197" s="36">
        <v>45895</v>
      </c>
      <c r="K197" s="6"/>
      <c r="L197" s="28"/>
      <c r="M197" s="22"/>
      <c r="N197" s="57">
        <f t="shared" ref="N197" si="186">SUM(L197:M197)</f>
        <v>0</v>
      </c>
      <c r="O197" s="33"/>
      <c r="P197" s="8"/>
      <c r="Q197" s="57">
        <f t="shared" ref="Q197" si="187">SUM(O197:P197)</f>
        <v>0</v>
      </c>
      <c r="R197" s="38">
        <f t="shared" ref="R197" si="188">N197+Q197</f>
        <v>0</v>
      </c>
    </row>
    <row r="198" spans="2:19" x14ac:dyDescent="0.15">
      <c r="B198" s="6" t="s">
        <v>111</v>
      </c>
      <c r="C198" s="25">
        <v>1</v>
      </c>
      <c r="D198" s="19"/>
      <c r="E198" s="49">
        <f t="shared" si="185"/>
        <v>1</v>
      </c>
      <c r="F198" s="31">
        <v>1</v>
      </c>
      <c r="G198" s="7"/>
      <c r="H198" s="57">
        <f t="shared" si="167"/>
        <v>1</v>
      </c>
      <c r="I198" s="38">
        <f t="shared" si="170"/>
        <v>2</v>
      </c>
      <c r="J198" s="36">
        <v>45898</v>
      </c>
      <c r="K198" s="6"/>
      <c r="L198" s="28"/>
      <c r="M198" s="22"/>
      <c r="N198" s="57">
        <f t="shared" ref="N198" si="189">SUM(L198:M198)</f>
        <v>0</v>
      </c>
      <c r="O198" s="33"/>
      <c r="P198" s="8"/>
      <c r="Q198" s="57">
        <f t="shared" ref="Q198" si="190">SUM(O198:P198)</f>
        <v>0</v>
      </c>
      <c r="R198" s="38">
        <f t="shared" ref="R198" si="191">N198+Q198</f>
        <v>0</v>
      </c>
    </row>
    <row r="199" spans="2:19" x14ac:dyDescent="0.15">
      <c r="B199" s="6" t="s">
        <v>111</v>
      </c>
      <c r="C199" s="25">
        <v>2</v>
      </c>
      <c r="D199" s="19">
        <v>1</v>
      </c>
      <c r="E199" s="49">
        <f t="shared" si="185"/>
        <v>3</v>
      </c>
      <c r="F199" s="31">
        <v>2</v>
      </c>
      <c r="G199" s="7">
        <v>1</v>
      </c>
      <c r="H199" s="57">
        <f t="shared" si="167"/>
        <v>3</v>
      </c>
      <c r="I199" s="38">
        <f t="shared" si="170"/>
        <v>6</v>
      </c>
      <c r="J199" s="36">
        <v>45901</v>
      </c>
      <c r="K199" s="6"/>
      <c r="L199" s="28"/>
      <c r="M199" s="22"/>
      <c r="N199" s="57">
        <f t="shared" ref="N199" si="192">SUM(L199:M199)</f>
        <v>0</v>
      </c>
      <c r="O199" s="33"/>
      <c r="P199" s="8"/>
      <c r="Q199" s="57">
        <f t="shared" ref="Q199" si="193">SUM(O199:P199)</f>
        <v>0</v>
      </c>
      <c r="R199" s="38">
        <f t="shared" ref="R199" si="194">N199+Q199</f>
        <v>0</v>
      </c>
    </row>
    <row r="200" spans="2:19" ht="14.25" thickBot="1" x14ac:dyDescent="0.2">
      <c r="B200" s="6"/>
      <c r="C200" s="25"/>
      <c r="D200" s="19"/>
      <c r="E200" s="49">
        <f t="shared" si="185"/>
        <v>0</v>
      </c>
      <c r="F200" s="31"/>
      <c r="G200" s="7"/>
      <c r="H200" s="57">
        <f t="shared" si="167"/>
        <v>0</v>
      </c>
      <c r="I200" s="38">
        <f t="shared" si="170"/>
        <v>0</v>
      </c>
      <c r="J200" s="35"/>
      <c r="K200" s="6" t="s">
        <v>92</v>
      </c>
      <c r="L200" s="25"/>
      <c r="M200" s="19"/>
      <c r="N200" s="57">
        <f t="shared" ref="N200" si="195">SUM(L200:M200)</f>
        <v>0</v>
      </c>
      <c r="O200" s="25"/>
      <c r="P200" s="19"/>
      <c r="Q200" s="57">
        <f t="shared" ref="Q200" si="196">SUM(O200:P200)</f>
        <v>0</v>
      </c>
      <c r="R200" s="38">
        <f t="shared" ref="R200" si="197">N200+Q200</f>
        <v>0</v>
      </c>
      <c r="S200" s="36" t="s">
        <v>91</v>
      </c>
    </row>
    <row r="201" spans="2:19" ht="14.25" thickBot="1" x14ac:dyDescent="0.2">
      <c r="B201" s="4" t="s">
        <v>1</v>
      </c>
      <c r="C201" s="27">
        <f>SUM(C176:C200)</f>
        <v>11</v>
      </c>
      <c r="D201" s="21">
        <f>SUM(D176:D200)</f>
        <v>15</v>
      </c>
      <c r="E201" s="51">
        <f t="shared" si="185"/>
        <v>26</v>
      </c>
      <c r="F201" s="27">
        <f>SUM(F176:F200)</f>
        <v>11</v>
      </c>
      <c r="G201" s="21">
        <f>SUM(G176:G200)</f>
        <v>15</v>
      </c>
      <c r="H201" s="59">
        <f t="shared" si="167"/>
        <v>26</v>
      </c>
      <c r="I201" s="40">
        <f t="shared" si="170"/>
        <v>52</v>
      </c>
      <c r="K201" s="4" t="s">
        <v>1</v>
      </c>
      <c r="L201" s="27">
        <f>SUM(L176:L200)</f>
        <v>172</v>
      </c>
      <c r="M201" s="21">
        <f t="shared" ref="M201" si="198">SUM(M176:M200)</f>
        <v>157</v>
      </c>
      <c r="N201" s="51">
        <f t="shared" ref="N201" si="199">SUM(N176:N200)</f>
        <v>329</v>
      </c>
      <c r="O201" s="27">
        <f t="shared" ref="O201" si="200">SUM(O176:O200)</f>
        <v>172</v>
      </c>
      <c r="P201" s="21">
        <f t="shared" ref="P201" si="201">SUM(P176:P200)</f>
        <v>157</v>
      </c>
      <c r="Q201" s="59">
        <f t="shared" ref="Q201" si="202">SUM(Q176:Q200)</f>
        <v>329</v>
      </c>
      <c r="R201" s="40">
        <f t="shared" ref="R201" si="203">SUM(R176:R200)</f>
        <v>658</v>
      </c>
    </row>
    <row r="202" spans="2:19" ht="14.25" thickBot="1" x14ac:dyDescent="0.2">
      <c r="B202" s="3" t="s">
        <v>0</v>
      </c>
      <c r="C202" s="30">
        <f>+C175-C201</f>
        <v>5</v>
      </c>
      <c r="D202" s="2">
        <f>+D175-D201</f>
        <v>6</v>
      </c>
      <c r="E202" s="52">
        <f t="shared" si="185"/>
        <v>11</v>
      </c>
      <c r="F202" s="30">
        <f>+F175-F201</f>
        <v>5</v>
      </c>
      <c r="G202" s="2">
        <f>+G175-G201</f>
        <v>6</v>
      </c>
      <c r="H202" s="60">
        <f t="shared" si="167"/>
        <v>11</v>
      </c>
      <c r="I202" s="41">
        <f t="shared" si="170"/>
        <v>22</v>
      </c>
      <c r="K202" s="3" t="s">
        <v>0</v>
      </c>
      <c r="L202" s="30">
        <f>+L175-L201</f>
        <v>272</v>
      </c>
      <c r="M202" s="2">
        <f t="shared" ref="M202" si="204">+M175-M201</f>
        <v>240</v>
      </c>
      <c r="N202" s="52">
        <f t="shared" ref="N202" si="205">+N175-N201</f>
        <v>512</v>
      </c>
      <c r="O202" s="30">
        <f t="shared" ref="O202" si="206">+O175-O201</f>
        <v>272</v>
      </c>
      <c r="P202" s="2">
        <f t="shared" ref="P202" si="207">+P175-P201</f>
        <v>240</v>
      </c>
      <c r="Q202" s="60">
        <f t="shared" ref="Q202" si="208">+Q175-Q201</f>
        <v>512</v>
      </c>
      <c r="R202" s="41">
        <f t="shared" ref="R202" si="209">+R175-R201</f>
        <v>1024</v>
      </c>
    </row>
    <row r="206" spans="2:19" ht="18.75" x14ac:dyDescent="0.2">
      <c r="B206" s="70" t="s">
        <v>11</v>
      </c>
      <c r="C206" s="71"/>
      <c r="D206" s="71"/>
      <c r="E206" s="71"/>
      <c r="F206" s="71"/>
      <c r="G206" s="71"/>
      <c r="H206" s="71"/>
      <c r="I206" s="71"/>
      <c r="K206" s="16" t="s">
        <v>17</v>
      </c>
      <c r="L206" s="15"/>
      <c r="M206" s="15"/>
      <c r="N206" s="15"/>
      <c r="O206" s="15"/>
      <c r="P206" s="15"/>
      <c r="Q206" s="15"/>
      <c r="R206" s="15"/>
    </row>
    <row r="207" spans="2:19" ht="18" thickBot="1" x14ac:dyDescent="0.25">
      <c r="B207" s="72" t="s">
        <v>12</v>
      </c>
      <c r="C207" s="71"/>
      <c r="D207" s="71"/>
      <c r="E207" s="71"/>
      <c r="F207" s="71"/>
      <c r="G207" s="71"/>
      <c r="H207" s="71"/>
      <c r="I207" s="71"/>
      <c r="K207" s="17" t="s">
        <v>12</v>
      </c>
      <c r="L207" s="15"/>
      <c r="M207" s="15"/>
      <c r="N207" s="15"/>
      <c r="O207" s="15"/>
      <c r="P207" s="15"/>
      <c r="Q207" s="15"/>
      <c r="R207" s="15"/>
    </row>
    <row r="208" spans="2:19" ht="14.25" thickBot="1" x14ac:dyDescent="0.2">
      <c r="B208" s="14"/>
      <c r="C208" s="206" t="s">
        <v>9</v>
      </c>
      <c r="D208" s="207"/>
      <c r="E208" s="208"/>
      <c r="F208" s="219" t="s">
        <v>10</v>
      </c>
      <c r="G208" s="220"/>
      <c r="H208" s="220"/>
      <c r="I208" s="217" t="s">
        <v>8</v>
      </c>
      <c r="K208" s="14"/>
      <c r="L208" s="206" t="s">
        <v>9</v>
      </c>
      <c r="M208" s="207"/>
      <c r="N208" s="208"/>
      <c r="O208" s="219" t="s">
        <v>10</v>
      </c>
      <c r="P208" s="220"/>
      <c r="Q208" s="220"/>
      <c r="R208" s="217" t="s">
        <v>8</v>
      </c>
    </row>
    <row r="209" spans="2:19" ht="14.25" thickBot="1" x14ac:dyDescent="0.2">
      <c r="B209" s="4"/>
      <c r="C209" s="62" t="s">
        <v>6</v>
      </c>
      <c r="D209" s="61" t="s">
        <v>5</v>
      </c>
      <c r="E209" s="63" t="s">
        <v>4</v>
      </c>
      <c r="F209" s="62" t="s">
        <v>6</v>
      </c>
      <c r="G209" s="61" t="s">
        <v>5</v>
      </c>
      <c r="H209" s="63" t="s">
        <v>4</v>
      </c>
      <c r="I209" s="218"/>
      <c r="K209" s="13"/>
      <c r="L209" s="23" t="s">
        <v>6</v>
      </c>
      <c r="M209" s="12" t="s">
        <v>5</v>
      </c>
      <c r="N209" s="45" t="s">
        <v>4</v>
      </c>
      <c r="O209" s="23" t="s">
        <v>6</v>
      </c>
      <c r="P209" s="12" t="s">
        <v>5</v>
      </c>
      <c r="Q209" s="53" t="s">
        <v>4</v>
      </c>
      <c r="R209" s="218"/>
    </row>
    <row r="210" spans="2:19" x14ac:dyDescent="0.15">
      <c r="B210" s="64" t="s">
        <v>0</v>
      </c>
      <c r="C210" s="65">
        <f>C202</f>
        <v>5</v>
      </c>
      <c r="D210" s="73">
        <f>D202</f>
        <v>6</v>
      </c>
      <c r="E210" s="66">
        <f t="shared" ref="E210:E243" si="210">SUM(C210:D210)</f>
        <v>11</v>
      </c>
      <c r="F210" s="65">
        <f>F202</f>
        <v>5</v>
      </c>
      <c r="G210" s="73">
        <f>G202</f>
        <v>6</v>
      </c>
      <c r="H210" s="67">
        <f t="shared" ref="H210:H243" si="211">SUM(F210:G210)</f>
        <v>11</v>
      </c>
      <c r="I210" s="68">
        <f>E210+H210</f>
        <v>22</v>
      </c>
      <c r="K210" s="64" t="s">
        <v>0</v>
      </c>
      <c r="L210" s="65">
        <f>L202</f>
        <v>272</v>
      </c>
      <c r="M210" s="73">
        <f t="shared" ref="M210:R210" si="212">M202</f>
        <v>240</v>
      </c>
      <c r="N210" s="66">
        <f t="shared" si="212"/>
        <v>512</v>
      </c>
      <c r="O210" s="65">
        <f t="shared" si="212"/>
        <v>272</v>
      </c>
      <c r="P210" s="73">
        <f t="shared" si="212"/>
        <v>240</v>
      </c>
      <c r="Q210" s="67">
        <f t="shared" si="212"/>
        <v>512</v>
      </c>
      <c r="R210" s="68">
        <f t="shared" si="212"/>
        <v>1024</v>
      </c>
    </row>
    <row r="211" spans="2:19" x14ac:dyDescent="0.15">
      <c r="B211" s="11" t="s">
        <v>3</v>
      </c>
      <c r="C211" s="25">
        <v>5</v>
      </c>
      <c r="D211" s="19">
        <v>5</v>
      </c>
      <c r="E211" s="46">
        <f t="shared" si="210"/>
        <v>10</v>
      </c>
      <c r="F211" s="31">
        <v>5</v>
      </c>
      <c r="G211" s="7">
        <v>5</v>
      </c>
      <c r="H211" s="54">
        <f t="shared" si="211"/>
        <v>10</v>
      </c>
      <c r="I211" s="38">
        <f t="shared" ref="I211:I243" si="213">E211+H211</f>
        <v>20</v>
      </c>
      <c r="J211" s="36">
        <v>45905</v>
      </c>
      <c r="K211" s="11" t="s">
        <v>44</v>
      </c>
      <c r="L211" s="25">
        <v>5</v>
      </c>
      <c r="M211" s="19">
        <v>7</v>
      </c>
      <c r="N211" s="46">
        <f t="shared" ref="N211:N239" si="214">SUM(L211:M211)</f>
        <v>12</v>
      </c>
      <c r="O211" s="31">
        <v>5</v>
      </c>
      <c r="P211" s="7">
        <v>7</v>
      </c>
      <c r="Q211" s="54">
        <f t="shared" ref="Q211:Q239" si="215">SUM(O211:P211)</f>
        <v>12</v>
      </c>
      <c r="R211" s="38">
        <f t="shared" ref="R211:R239" si="216">N211+Q211</f>
        <v>24</v>
      </c>
      <c r="S211" s="36">
        <v>45962</v>
      </c>
    </row>
    <row r="212" spans="2:19" x14ac:dyDescent="0.15">
      <c r="B212" s="11" t="s">
        <v>3</v>
      </c>
      <c r="C212" s="25"/>
      <c r="D212" s="19">
        <v>5</v>
      </c>
      <c r="E212" s="46">
        <f t="shared" si="210"/>
        <v>5</v>
      </c>
      <c r="F212" s="31"/>
      <c r="G212" s="7">
        <v>5</v>
      </c>
      <c r="H212" s="54">
        <f t="shared" si="211"/>
        <v>5</v>
      </c>
      <c r="I212" s="38">
        <f t="shared" si="213"/>
        <v>10</v>
      </c>
      <c r="J212" s="36">
        <v>45910</v>
      </c>
      <c r="K212" s="11" t="s">
        <v>3</v>
      </c>
      <c r="L212" s="25"/>
      <c r="M212" s="19"/>
      <c r="N212" s="46">
        <f t="shared" ref="N212" si="217">SUM(L212:M212)</f>
        <v>0</v>
      </c>
      <c r="O212" s="31"/>
      <c r="P212" s="7"/>
      <c r="Q212" s="54">
        <f t="shared" ref="Q212" si="218">SUM(O212:P212)</f>
        <v>0</v>
      </c>
      <c r="R212" s="38">
        <f t="shared" ref="R212" si="219">N212+Q212</f>
        <v>0</v>
      </c>
    </row>
    <row r="213" spans="2:19" x14ac:dyDescent="0.15">
      <c r="B213" s="11" t="s">
        <v>109</v>
      </c>
      <c r="C213" s="25">
        <v>1</v>
      </c>
      <c r="D213" s="19">
        <v>1</v>
      </c>
      <c r="E213" s="46">
        <f t="shared" si="210"/>
        <v>2</v>
      </c>
      <c r="F213" s="31">
        <v>1</v>
      </c>
      <c r="G213" s="7">
        <v>1</v>
      </c>
      <c r="H213" s="54">
        <f t="shared" si="211"/>
        <v>2</v>
      </c>
      <c r="I213" s="38">
        <f t="shared" si="213"/>
        <v>4</v>
      </c>
      <c r="J213" s="36">
        <v>45910</v>
      </c>
      <c r="K213" s="11" t="s">
        <v>3</v>
      </c>
      <c r="L213" s="25"/>
      <c r="M213" s="19"/>
      <c r="N213" s="46">
        <f t="shared" si="214"/>
        <v>0</v>
      </c>
      <c r="O213" s="31"/>
      <c r="P213" s="7"/>
      <c r="Q213" s="54">
        <f t="shared" si="215"/>
        <v>0</v>
      </c>
      <c r="R213" s="38">
        <f t="shared" si="216"/>
        <v>0</v>
      </c>
    </row>
    <row r="214" spans="2:19" x14ac:dyDescent="0.15">
      <c r="B214" s="11" t="s">
        <v>3</v>
      </c>
      <c r="C214" s="25">
        <v>5</v>
      </c>
      <c r="D214" s="19">
        <v>5</v>
      </c>
      <c r="E214" s="46">
        <f t="shared" si="210"/>
        <v>10</v>
      </c>
      <c r="F214" s="31">
        <v>5</v>
      </c>
      <c r="G214" s="7">
        <v>5</v>
      </c>
      <c r="H214" s="54">
        <f t="shared" si="211"/>
        <v>10</v>
      </c>
      <c r="I214" s="38">
        <f t="shared" si="213"/>
        <v>20</v>
      </c>
      <c r="J214" s="36">
        <v>45920</v>
      </c>
      <c r="K214" s="11" t="s">
        <v>3</v>
      </c>
      <c r="L214" s="25"/>
      <c r="M214" s="19"/>
      <c r="N214" s="46">
        <f t="shared" si="214"/>
        <v>0</v>
      </c>
      <c r="O214" s="31"/>
      <c r="P214" s="7"/>
      <c r="Q214" s="54">
        <f t="shared" si="215"/>
        <v>0</v>
      </c>
      <c r="R214" s="38">
        <f t="shared" si="216"/>
        <v>0</v>
      </c>
    </row>
    <row r="215" spans="2:19" ht="14.25" thickBot="1" x14ac:dyDescent="0.2">
      <c r="B215" s="11" t="s">
        <v>109</v>
      </c>
      <c r="C215" s="26">
        <v>1</v>
      </c>
      <c r="D215" s="20"/>
      <c r="E215" s="47">
        <f t="shared" si="210"/>
        <v>1</v>
      </c>
      <c r="F215" s="32">
        <v>1</v>
      </c>
      <c r="G215" s="5"/>
      <c r="H215" s="55">
        <f t="shared" si="211"/>
        <v>1</v>
      </c>
      <c r="I215" s="39">
        <f t="shared" si="213"/>
        <v>2</v>
      </c>
      <c r="J215" s="36">
        <v>45924</v>
      </c>
      <c r="K215" s="11" t="s">
        <v>3</v>
      </c>
      <c r="L215" s="26"/>
      <c r="M215" s="20"/>
      <c r="N215" s="81">
        <f t="shared" si="214"/>
        <v>0</v>
      </c>
      <c r="O215" s="32"/>
      <c r="P215" s="5"/>
      <c r="Q215" s="82">
        <f t="shared" si="215"/>
        <v>0</v>
      </c>
      <c r="R215" s="39">
        <f t="shared" si="216"/>
        <v>0</v>
      </c>
    </row>
    <row r="216" spans="2:19" ht="14.25" thickBot="1" x14ac:dyDescent="0.2">
      <c r="B216" s="42" t="s">
        <v>2</v>
      </c>
      <c r="C216" s="43">
        <f>SUM(C210:C215)</f>
        <v>17</v>
      </c>
      <c r="D216" s="44">
        <f>SUM(D210:D215)</f>
        <v>22</v>
      </c>
      <c r="E216" s="48">
        <f t="shared" si="210"/>
        <v>39</v>
      </c>
      <c r="F216" s="43">
        <f>SUM(F210:F215)</f>
        <v>17</v>
      </c>
      <c r="G216" s="44">
        <f>SUM(G210:G215)</f>
        <v>22</v>
      </c>
      <c r="H216" s="56">
        <f t="shared" si="211"/>
        <v>39</v>
      </c>
      <c r="I216" s="41">
        <f t="shared" si="213"/>
        <v>78</v>
      </c>
      <c r="J216" s="35"/>
      <c r="K216" s="42" t="s">
        <v>2</v>
      </c>
      <c r="L216" s="43">
        <f>SUM(L210:L215)</f>
        <v>277</v>
      </c>
      <c r="M216" s="44">
        <f t="shared" ref="M216:R216" si="220">SUM(M210:M215)</f>
        <v>247</v>
      </c>
      <c r="N216" s="83">
        <f t="shared" si="220"/>
        <v>524</v>
      </c>
      <c r="O216" s="43">
        <f t="shared" si="220"/>
        <v>277</v>
      </c>
      <c r="P216" s="44">
        <f t="shared" si="220"/>
        <v>247</v>
      </c>
      <c r="Q216" s="84">
        <f t="shared" si="220"/>
        <v>524</v>
      </c>
      <c r="R216" s="41">
        <f t="shared" si="220"/>
        <v>1048</v>
      </c>
    </row>
    <row r="217" spans="2:19" x14ac:dyDescent="0.15">
      <c r="B217" s="6" t="s">
        <v>111</v>
      </c>
      <c r="C217" s="25">
        <v>1</v>
      </c>
      <c r="D217" s="19">
        <v>3</v>
      </c>
      <c r="E217" s="49">
        <f t="shared" si="210"/>
        <v>4</v>
      </c>
      <c r="F217" s="31">
        <v>1</v>
      </c>
      <c r="G217" s="7">
        <v>3</v>
      </c>
      <c r="H217" s="57">
        <f t="shared" si="211"/>
        <v>4</v>
      </c>
      <c r="I217" s="38">
        <f t="shared" si="213"/>
        <v>8</v>
      </c>
      <c r="J217" s="36">
        <v>45905</v>
      </c>
      <c r="K217" s="6" t="s">
        <v>111</v>
      </c>
      <c r="L217" s="25">
        <v>12</v>
      </c>
      <c r="M217" s="97">
        <v>12</v>
      </c>
      <c r="N217" s="76">
        <f t="shared" ref="N217" si="221">SUM(L217:M217)</f>
        <v>24</v>
      </c>
      <c r="O217" s="31">
        <v>12</v>
      </c>
      <c r="P217" s="98">
        <v>12</v>
      </c>
      <c r="Q217" s="76">
        <f t="shared" ref="Q217" si="222">SUM(O217:P217)</f>
        <v>24</v>
      </c>
      <c r="R217" s="38">
        <f t="shared" ref="R217" si="223">N217+Q217</f>
        <v>48</v>
      </c>
      <c r="S217" s="36">
        <v>45903</v>
      </c>
    </row>
    <row r="218" spans="2:19" x14ac:dyDescent="0.15">
      <c r="B218" s="6" t="s">
        <v>111</v>
      </c>
      <c r="C218" s="25">
        <v>1</v>
      </c>
      <c r="D218" s="19">
        <v>1</v>
      </c>
      <c r="E218" s="49">
        <f t="shared" si="210"/>
        <v>2</v>
      </c>
      <c r="F218" s="31">
        <v>1</v>
      </c>
      <c r="G218" s="7">
        <v>1</v>
      </c>
      <c r="H218" s="57">
        <f t="shared" si="211"/>
        <v>2</v>
      </c>
      <c r="I218" s="38">
        <f t="shared" si="213"/>
        <v>4</v>
      </c>
      <c r="J218" s="36">
        <v>45905</v>
      </c>
      <c r="K218" s="6" t="s">
        <v>111</v>
      </c>
      <c r="L218" s="25">
        <v>11</v>
      </c>
      <c r="M218" s="97">
        <v>5</v>
      </c>
      <c r="N218" s="76">
        <f t="shared" si="214"/>
        <v>16</v>
      </c>
      <c r="O218" s="31">
        <v>11</v>
      </c>
      <c r="P218" s="98">
        <v>5</v>
      </c>
      <c r="Q218" s="76">
        <f t="shared" si="215"/>
        <v>16</v>
      </c>
      <c r="R218" s="38">
        <f t="shared" si="216"/>
        <v>32</v>
      </c>
      <c r="S218" s="36">
        <v>45904</v>
      </c>
    </row>
    <row r="219" spans="2:19" x14ac:dyDescent="0.15">
      <c r="B219" s="6" t="s">
        <v>111</v>
      </c>
      <c r="C219" s="25"/>
      <c r="D219" s="19">
        <v>2</v>
      </c>
      <c r="E219" s="49">
        <f t="shared" si="210"/>
        <v>2</v>
      </c>
      <c r="F219" s="31"/>
      <c r="G219" s="7">
        <v>2</v>
      </c>
      <c r="H219" s="57">
        <f t="shared" si="211"/>
        <v>2</v>
      </c>
      <c r="I219" s="38">
        <f t="shared" si="213"/>
        <v>4</v>
      </c>
      <c r="J219" s="36">
        <v>45908</v>
      </c>
      <c r="K219" s="6" t="s">
        <v>18</v>
      </c>
      <c r="L219" s="25">
        <v>5</v>
      </c>
      <c r="M219" s="97">
        <v>5</v>
      </c>
      <c r="N219" s="76">
        <f t="shared" si="214"/>
        <v>10</v>
      </c>
      <c r="O219" s="31">
        <v>5</v>
      </c>
      <c r="P219" s="98">
        <v>5</v>
      </c>
      <c r="Q219" s="76">
        <f t="shared" si="215"/>
        <v>10</v>
      </c>
      <c r="R219" s="38">
        <f t="shared" si="216"/>
        <v>20</v>
      </c>
      <c r="S219" s="36">
        <v>45905</v>
      </c>
    </row>
    <row r="220" spans="2:19" x14ac:dyDescent="0.15">
      <c r="B220" s="6" t="s">
        <v>111</v>
      </c>
      <c r="C220" s="25">
        <v>2</v>
      </c>
      <c r="D220" s="19">
        <v>4</v>
      </c>
      <c r="E220" s="49">
        <f t="shared" si="210"/>
        <v>6</v>
      </c>
      <c r="F220" s="31">
        <v>2</v>
      </c>
      <c r="G220" s="7">
        <v>4</v>
      </c>
      <c r="H220" s="57">
        <f t="shared" si="211"/>
        <v>6</v>
      </c>
      <c r="I220" s="38">
        <f t="shared" si="213"/>
        <v>12</v>
      </c>
      <c r="J220" s="36">
        <v>45911</v>
      </c>
      <c r="K220" s="6" t="s">
        <v>111</v>
      </c>
      <c r="L220" s="25">
        <v>5</v>
      </c>
      <c r="M220" s="97">
        <v>3</v>
      </c>
      <c r="N220" s="76">
        <f t="shared" si="214"/>
        <v>8</v>
      </c>
      <c r="O220" s="31">
        <v>5</v>
      </c>
      <c r="P220" s="98">
        <v>3</v>
      </c>
      <c r="Q220" s="76">
        <f t="shared" si="215"/>
        <v>8</v>
      </c>
      <c r="R220" s="38">
        <f t="shared" si="216"/>
        <v>16</v>
      </c>
      <c r="S220" s="36">
        <v>45910</v>
      </c>
    </row>
    <row r="221" spans="2:19" x14ac:dyDescent="0.15">
      <c r="B221" s="6" t="s">
        <v>111</v>
      </c>
      <c r="C221" s="25">
        <v>1</v>
      </c>
      <c r="D221" s="19"/>
      <c r="E221" s="49">
        <f t="shared" si="210"/>
        <v>1</v>
      </c>
      <c r="F221" s="31">
        <v>1</v>
      </c>
      <c r="G221" s="7"/>
      <c r="H221" s="57">
        <f t="shared" si="211"/>
        <v>1</v>
      </c>
      <c r="I221" s="38">
        <f t="shared" si="213"/>
        <v>2</v>
      </c>
      <c r="J221" s="36">
        <v>45912</v>
      </c>
      <c r="K221" s="6" t="s">
        <v>18</v>
      </c>
      <c r="L221" s="25"/>
      <c r="M221" s="97">
        <v>5</v>
      </c>
      <c r="N221" s="76">
        <f t="shared" si="214"/>
        <v>5</v>
      </c>
      <c r="O221" s="31"/>
      <c r="P221" s="98">
        <v>5</v>
      </c>
      <c r="Q221" s="76">
        <f t="shared" si="215"/>
        <v>5</v>
      </c>
      <c r="R221" s="38">
        <f t="shared" si="216"/>
        <v>10</v>
      </c>
      <c r="S221" s="36">
        <v>45910</v>
      </c>
    </row>
    <row r="222" spans="2:19" x14ac:dyDescent="0.15">
      <c r="B222" s="6" t="s">
        <v>111</v>
      </c>
      <c r="C222" s="25">
        <v>1</v>
      </c>
      <c r="D222" s="19">
        <v>1</v>
      </c>
      <c r="E222" s="49">
        <f t="shared" si="210"/>
        <v>2</v>
      </c>
      <c r="F222" s="31">
        <v>1</v>
      </c>
      <c r="G222" s="7">
        <v>1</v>
      </c>
      <c r="H222" s="57">
        <f t="shared" si="211"/>
        <v>2</v>
      </c>
      <c r="I222" s="38">
        <f t="shared" si="213"/>
        <v>4</v>
      </c>
      <c r="J222" s="36">
        <v>45918</v>
      </c>
      <c r="K222" s="6" t="s">
        <v>111</v>
      </c>
      <c r="L222" s="25">
        <v>6</v>
      </c>
      <c r="M222" s="97">
        <v>3</v>
      </c>
      <c r="N222" s="76">
        <f t="shared" si="214"/>
        <v>9</v>
      </c>
      <c r="O222" s="31">
        <v>6</v>
      </c>
      <c r="P222" s="98">
        <v>3</v>
      </c>
      <c r="Q222" s="76">
        <f t="shared" si="215"/>
        <v>9</v>
      </c>
      <c r="R222" s="38">
        <f t="shared" si="216"/>
        <v>18</v>
      </c>
      <c r="S222" s="36">
        <v>45912</v>
      </c>
    </row>
    <row r="223" spans="2:19" x14ac:dyDescent="0.15">
      <c r="B223" s="6" t="s">
        <v>111</v>
      </c>
      <c r="C223" s="25">
        <v>2</v>
      </c>
      <c r="D223" s="19">
        <v>1</v>
      </c>
      <c r="E223" s="49">
        <f t="shared" si="210"/>
        <v>3</v>
      </c>
      <c r="F223" s="31">
        <v>2</v>
      </c>
      <c r="G223" s="7">
        <v>1</v>
      </c>
      <c r="H223" s="57">
        <f t="shared" si="211"/>
        <v>3</v>
      </c>
      <c r="I223" s="38">
        <f t="shared" si="213"/>
        <v>6</v>
      </c>
      <c r="J223" s="36">
        <v>45919</v>
      </c>
      <c r="K223" s="6" t="s">
        <v>18</v>
      </c>
      <c r="L223" s="25">
        <v>5</v>
      </c>
      <c r="M223" s="97">
        <v>5</v>
      </c>
      <c r="N223" s="76">
        <f t="shared" si="214"/>
        <v>10</v>
      </c>
      <c r="O223" s="31">
        <v>5</v>
      </c>
      <c r="P223" s="98">
        <v>5</v>
      </c>
      <c r="Q223" s="76">
        <f t="shared" si="215"/>
        <v>10</v>
      </c>
      <c r="R223" s="38">
        <f t="shared" si="216"/>
        <v>20</v>
      </c>
      <c r="S223" s="36">
        <v>45920</v>
      </c>
    </row>
    <row r="224" spans="2:19" x14ac:dyDescent="0.15">
      <c r="B224" s="6" t="s">
        <v>111</v>
      </c>
      <c r="C224" s="25"/>
      <c r="D224" s="19">
        <v>1</v>
      </c>
      <c r="E224" s="49">
        <f t="shared" si="210"/>
        <v>1</v>
      </c>
      <c r="F224" s="31"/>
      <c r="G224" s="7">
        <v>1</v>
      </c>
      <c r="H224" s="57">
        <f t="shared" si="211"/>
        <v>1</v>
      </c>
      <c r="I224" s="38">
        <f t="shared" si="213"/>
        <v>2</v>
      </c>
      <c r="J224" s="36">
        <v>45922</v>
      </c>
      <c r="K224" s="155" t="s">
        <v>18</v>
      </c>
      <c r="L224" s="147">
        <v>7</v>
      </c>
      <c r="M224" s="156">
        <v>7</v>
      </c>
      <c r="N224" s="157">
        <f t="shared" si="214"/>
        <v>14</v>
      </c>
      <c r="O224" s="150">
        <v>7</v>
      </c>
      <c r="P224" s="158">
        <v>7</v>
      </c>
      <c r="Q224" s="157">
        <f t="shared" si="215"/>
        <v>14</v>
      </c>
      <c r="R224" s="153">
        <f t="shared" si="216"/>
        <v>28</v>
      </c>
      <c r="S224" s="154">
        <v>46070</v>
      </c>
    </row>
    <row r="225" spans="2:19" x14ac:dyDescent="0.15">
      <c r="B225" s="6" t="s">
        <v>111</v>
      </c>
      <c r="C225" s="25">
        <v>3</v>
      </c>
      <c r="D225" s="19">
        <v>1</v>
      </c>
      <c r="E225" s="49">
        <f t="shared" si="210"/>
        <v>4</v>
      </c>
      <c r="F225" s="31">
        <v>3</v>
      </c>
      <c r="G225" s="7">
        <v>1</v>
      </c>
      <c r="H225" s="57">
        <f t="shared" si="211"/>
        <v>4</v>
      </c>
      <c r="I225" s="38">
        <f t="shared" si="213"/>
        <v>8</v>
      </c>
      <c r="J225" s="36">
        <v>45924</v>
      </c>
      <c r="K225" s="6"/>
      <c r="L225" s="28"/>
      <c r="M225" s="92"/>
      <c r="N225" s="76">
        <f t="shared" si="214"/>
        <v>0</v>
      </c>
      <c r="O225" s="33"/>
      <c r="P225" s="93"/>
      <c r="Q225" s="76">
        <f t="shared" si="215"/>
        <v>0</v>
      </c>
      <c r="R225" s="38">
        <f t="shared" si="216"/>
        <v>0</v>
      </c>
    </row>
    <row r="226" spans="2:19" x14ac:dyDescent="0.15">
      <c r="B226" s="6" t="s">
        <v>111</v>
      </c>
      <c r="C226" s="25">
        <v>1</v>
      </c>
      <c r="D226" s="19"/>
      <c r="E226" s="49">
        <f t="shared" si="210"/>
        <v>1</v>
      </c>
      <c r="F226" s="31">
        <v>1</v>
      </c>
      <c r="G226" s="7"/>
      <c r="H226" s="57">
        <f t="shared" si="211"/>
        <v>1</v>
      </c>
      <c r="I226" s="38">
        <f t="shared" si="213"/>
        <v>2</v>
      </c>
      <c r="J226" s="36">
        <v>45926</v>
      </c>
      <c r="K226" s="6"/>
      <c r="L226" s="28"/>
      <c r="M226" s="92"/>
      <c r="N226" s="76">
        <f t="shared" si="214"/>
        <v>0</v>
      </c>
      <c r="O226" s="33"/>
      <c r="P226" s="93"/>
      <c r="Q226" s="76">
        <f t="shared" si="215"/>
        <v>0</v>
      </c>
      <c r="R226" s="38">
        <f t="shared" si="216"/>
        <v>0</v>
      </c>
    </row>
    <row r="227" spans="2:19" x14ac:dyDescent="0.15">
      <c r="B227" s="6" t="s">
        <v>111</v>
      </c>
      <c r="C227" s="25"/>
      <c r="D227" s="19">
        <v>1</v>
      </c>
      <c r="E227" s="49">
        <v>1</v>
      </c>
      <c r="F227" s="31"/>
      <c r="G227" s="7">
        <v>1</v>
      </c>
      <c r="H227" s="57">
        <f t="shared" si="211"/>
        <v>1</v>
      </c>
      <c r="I227" s="38">
        <f t="shared" si="213"/>
        <v>2</v>
      </c>
      <c r="J227" s="36">
        <v>45938</v>
      </c>
      <c r="K227" s="6"/>
      <c r="L227" s="28"/>
      <c r="M227" s="92"/>
      <c r="N227" s="76">
        <f t="shared" si="214"/>
        <v>0</v>
      </c>
      <c r="O227" s="33"/>
      <c r="P227" s="93"/>
      <c r="Q227" s="76">
        <f t="shared" si="215"/>
        <v>0</v>
      </c>
      <c r="R227" s="38">
        <f t="shared" si="216"/>
        <v>0</v>
      </c>
    </row>
    <row r="228" spans="2:19" x14ac:dyDescent="0.15">
      <c r="B228" s="6" t="s">
        <v>111</v>
      </c>
      <c r="C228" s="25"/>
      <c r="D228" s="19">
        <v>1</v>
      </c>
      <c r="E228" s="49">
        <f t="shared" si="210"/>
        <v>1</v>
      </c>
      <c r="F228" s="31"/>
      <c r="G228" s="7">
        <v>1</v>
      </c>
      <c r="H228" s="57">
        <f t="shared" si="211"/>
        <v>1</v>
      </c>
      <c r="I228" s="38">
        <f t="shared" si="213"/>
        <v>2</v>
      </c>
      <c r="J228" s="36">
        <v>45939</v>
      </c>
      <c r="K228" s="6"/>
      <c r="L228" s="28"/>
      <c r="M228" s="92"/>
      <c r="N228" s="76">
        <f t="shared" si="214"/>
        <v>0</v>
      </c>
      <c r="O228" s="33"/>
      <c r="P228" s="93"/>
      <c r="Q228" s="76">
        <f t="shared" si="215"/>
        <v>0</v>
      </c>
      <c r="R228" s="38">
        <f t="shared" si="216"/>
        <v>0</v>
      </c>
    </row>
    <row r="229" spans="2:19" x14ac:dyDescent="0.15">
      <c r="B229" s="6" t="s">
        <v>111</v>
      </c>
      <c r="C229" s="25"/>
      <c r="D229" s="19">
        <v>1</v>
      </c>
      <c r="E229" s="49">
        <f t="shared" si="210"/>
        <v>1</v>
      </c>
      <c r="F229" s="31"/>
      <c r="G229" s="7">
        <v>1</v>
      </c>
      <c r="H229" s="57">
        <f t="shared" si="211"/>
        <v>1</v>
      </c>
      <c r="I229" s="38">
        <f t="shared" si="213"/>
        <v>2</v>
      </c>
      <c r="J229" s="36">
        <v>45940</v>
      </c>
      <c r="K229" s="6"/>
      <c r="L229" s="28"/>
      <c r="M229" s="92"/>
      <c r="N229" s="76">
        <f t="shared" si="214"/>
        <v>0</v>
      </c>
      <c r="O229" s="33"/>
      <c r="P229" s="93"/>
      <c r="Q229" s="76">
        <f t="shared" si="215"/>
        <v>0</v>
      </c>
      <c r="R229" s="38">
        <f t="shared" si="216"/>
        <v>0</v>
      </c>
    </row>
    <row r="230" spans="2:19" x14ac:dyDescent="0.15">
      <c r="B230" s="6" t="s">
        <v>111</v>
      </c>
      <c r="C230" s="25"/>
      <c r="D230" s="19">
        <v>1</v>
      </c>
      <c r="E230" s="49">
        <f t="shared" si="210"/>
        <v>1</v>
      </c>
      <c r="F230" s="31"/>
      <c r="G230" s="7">
        <v>1</v>
      </c>
      <c r="H230" s="57">
        <f t="shared" si="211"/>
        <v>1</v>
      </c>
      <c r="I230" s="38">
        <f t="shared" si="213"/>
        <v>2</v>
      </c>
      <c r="J230" s="36">
        <v>45940</v>
      </c>
      <c r="K230" s="6"/>
      <c r="L230" s="28"/>
      <c r="M230" s="92"/>
      <c r="N230" s="76">
        <f t="shared" si="214"/>
        <v>0</v>
      </c>
      <c r="O230" s="33"/>
      <c r="P230" s="93"/>
      <c r="Q230" s="76">
        <f t="shared" si="215"/>
        <v>0</v>
      </c>
      <c r="R230" s="38">
        <f t="shared" si="216"/>
        <v>0</v>
      </c>
    </row>
    <row r="231" spans="2:19" x14ac:dyDescent="0.15">
      <c r="B231" s="6" t="s">
        <v>149</v>
      </c>
      <c r="C231" s="28">
        <v>1</v>
      </c>
      <c r="D231" s="22"/>
      <c r="E231" s="49">
        <f t="shared" si="210"/>
        <v>1</v>
      </c>
      <c r="F231" s="33">
        <v>1</v>
      </c>
      <c r="G231" s="8"/>
      <c r="H231" s="57">
        <f t="shared" si="211"/>
        <v>1</v>
      </c>
      <c r="I231" s="38">
        <f t="shared" si="213"/>
        <v>2</v>
      </c>
      <c r="J231" s="36">
        <v>45937</v>
      </c>
      <c r="K231" s="6"/>
      <c r="L231" s="28"/>
      <c r="M231" s="92"/>
      <c r="N231" s="76">
        <f t="shared" si="214"/>
        <v>0</v>
      </c>
      <c r="O231" s="33"/>
      <c r="P231" s="93"/>
      <c r="Q231" s="76">
        <f t="shared" si="215"/>
        <v>0</v>
      </c>
      <c r="R231" s="38">
        <f t="shared" si="216"/>
        <v>0</v>
      </c>
    </row>
    <row r="232" spans="2:19" x14ac:dyDescent="0.15">
      <c r="B232" s="6" t="s">
        <v>150</v>
      </c>
      <c r="C232" s="25">
        <v>-1</v>
      </c>
      <c r="D232" s="19"/>
      <c r="E232" s="49">
        <f t="shared" si="210"/>
        <v>-1</v>
      </c>
      <c r="F232" s="31">
        <v>-1</v>
      </c>
      <c r="G232" s="7"/>
      <c r="H232" s="57">
        <f t="shared" si="211"/>
        <v>-1</v>
      </c>
      <c r="I232" s="38">
        <f t="shared" si="213"/>
        <v>-2</v>
      </c>
      <c r="J232" s="36">
        <v>45948</v>
      </c>
      <c r="K232" s="6"/>
      <c r="L232" s="28"/>
      <c r="M232" s="92"/>
      <c r="N232" s="76">
        <f t="shared" si="214"/>
        <v>0</v>
      </c>
      <c r="O232" s="33"/>
      <c r="P232" s="93"/>
      <c r="Q232" s="76">
        <f t="shared" si="215"/>
        <v>0</v>
      </c>
      <c r="R232" s="38">
        <f t="shared" si="216"/>
        <v>0</v>
      </c>
    </row>
    <row r="233" spans="2:19" x14ac:dyDescent="0.15">
      <c r="B233" s="6" t="s">
        <v>111</v>
      </c>
      <c r="C233" s="25"/>
      <c r="D233" s="19">
        <v>1</v>
      </c>
      <c r="E233" s="49">
        <f t="shared" si="210"/>
        <v>1</v>
      </c>
      <c r="F233" s="31"/>
      <c r="G233" s="7">
        <v>1</v>
      </c>
      <c r="H233" s="57">
        <f t="shared" si="211"/>
        <v>1</v>
      </c>
      <c r="I233" s="38">
        <f t="shared" si="213"/>
        <v>2</v>
      </c>
      <c r="J233" s="36">
        <v>45957</v>
      </c>
      <c r="K233" s="6"/>
      <c r="L233" s="28"/>
      <c r="M233" s="92"/>
      <c r="N233" s="76">
        <f t="shared" si="214"/>
        <v>0</v>
      </c>
      <c r="O233" s="33"/>
      <c r="P233" s="93"/>
      <c r="Q233" s="76">
        <f t="shared" si="215"/>
        <v>0</v>
      </c>
      <c r="R233" s="38">
        <f t="shared" si="216"/>
        <v>0</v>
      </c>
    </row>
    <row r="234" spans="2:19" x14ac:dyDescent="0.15">
      <c r="B234" s="6" t="s">
        <v>109</v>
      </c>
      <c r="C234" s="28"/>
      <c r="D234" s="22">
        <v>-1</v>
      </c>
      <c r="E234" s="49">
        <f t="shared" si="210"/>
        <v>-1</v>
      </c>
      <c r="F234" s="33"/>
      <c r="G234" s="8">
        <v>-1</v>
      </c>
      <c r="H234" s="57">
        <f t="shared" si="211"/>
        <v>-1</v>
      </c>
      <c r="I234" s="38">
        <f t="shared" si="213"/>
        <v>-2</v>
      </c>
      <c r="J234" s="36">
        <v>45960</v>
      </c>
      <c r="K234" s="6"/>
      <c r="L234" s="28"/>
      <c r="M234" s="92"/>
      <c r="N234" s="76">
        <f t="shared" si="214"/>
        <v>0</v>
      </c>
      <c r="O234" s="33"/>
      <c r="P234" s="93"/>
      <c r="Q234" s="76">
        <f t="shared" si="215"/>
        <v>0</v>
      </c>
      <c r="R234" s="38">
        <f t="shared" si="216"/>
        <v>0</v>
      </c>
    </row>
    <row r="235" spans="2:19" x14ac:dyDescent="0.15">
      <c r="B235" s="6" t="s">
        <v>152</v>
      </c>
      <c r="C235" s="28">
        <v>-6</v>
      </c>
      <c r="D235" s="22">
        <v>-8</v>
      </c>
      <c r="E235" s="49">
        <f t="shared" si="210"/>
        <v>-14</v>
      </c>
      <c r="F235" s="33">
        <v>-6</v>
      </c>
      <c r="G235" s="8">
        <v>-8</v>
      </c>
      <c r="H235" s="57">
        <f t="shared" si="211"/>
        <v>-14</v>
      </c>
      <c r="I235" s="38">
        <f t="shared" si="213"/>
        <v>-28</v>
      </c>
      <c r="J235" s="36">
        <v>45959</v>
      </c>
      <c r="K235" s="6"/>
      <c r="L235" s="28"/>
      <c r="M235" s="92"/>
      <c r="N235" s="76">
        <f t="shared" si="214"/>
        <v>0</v>
      </c>
      <c r="O235" s="33"/>
      <c r="P235" s="93"/>
      <c r="Q235" s="76">
        <f t="shared" si="215"/>
        <v>0</v>
      </c>
      <c r="R235" s="38">
        <f t="shared" si="216"/>
        <v>0</v>
      </c>
    </row>
    <row r="236" spans="2:19" x14ac:dyDescent="0.15">
      <c r="B236" s="6" t="s">
        <v>153</v>
      </c>
      <c r="C236" s="28">
        <v>5</v>
      </c>
      <c r="D236" s="22">
        <v>7</v>
      </c>
      <c r="E236" s="49">
        <f t="shared" si="210"/>
        <v>12</v>
      </c>
      <c r="F236" s="33">
        <v>5</v>
      </c>
      <c r="G236" s="8">
        <v>7</v>
      </c>
      <c r="H236" s="57">
        <f t="shared" si="211"/>
        <v>12</v>
      </c>
      <c r="I236" s="38">
        <f t="shared" si="213"/>
        <v>24</v>
      </c>
      <c r="J236" s="36">
        <v>45962</v>
      </c>
      <c r="K236" s="6"/>
      <c r="L236" s="28"/>
      <c r="M236" s="92"/>
      <c r="N236" s="76">
        <f t="shared" si="214"/>
        <v>0</v>
      </c>
      <c r="O236" s="33"/>
      <c r="P236" s="93"/>
      <c r="Q236" s="76">
        <f t="shared" si="215"/>
        <v>0</v>
      </c>
      <c r="R236" s="38">
        <f t="shared" si="216"/>
        <v>0</v>
      </c>
    </row>
    <row r="237" spans="2:19" x14ac:dyDescent="0.15">
      <c r="B237" s="6" t="s">
        <v>155</v>
      </c>
      <c r="C237" s="28">
        <v>1</v>
      </c>
      <c r="D237" s="22"/>
      <c r="E237" s="49">
        <f t="shared" si="210"/>
        <v>1</v>
      </c>
      <c r="F237" s="33">
        <v>1</v>
      </c>
      <c r="G237" s="8"/>
      <c r="H237" s="57">
        <f t="shared" si="211"/>
        <v>1</v>
      </c>
      <c r="I237" s="38">
        <f t="shared" si="213"/>
        <v>2</v>
      </c>
      <c r="J237" s="36">
        <v>45993</v>
      </c>
      <c r="K237" s="6"/>
      <c r="L237" s="28"/>
      <c r="M237" s="92"/>
      <c r="N237" s="76">
        <f t="shared" si="214"/>
        <v>0</v>
      </c>
      <c r="O237" s="33"/>
      <c r="P237" s="93"/>
      <c r="Q237" s="76">
        <f t="shared" si="215"/>
        <v>0</v>
      </c>
      <c r="R237" s="38">
        <f t="shared" si="216"/>
        <v>0</v>
      </c>
    </row>
    <row r="238" spans="2:19" x14ac:dyDescent="0.15">
      <c r="B238" s="6" t="s">
        <v>161</v>
      </c>
      <c r="C238" s="28">
        <v>1</v>
      </c>
      <c r="D238" s="22"/>
      <c r="E238" s="49">
        <f t="shared" si="210"/>
        <v>1</v>
      </c>
      <c r="F238" s="33">
        <v>1</v>
      </c>
      <c r="G238" s="8"/>
      <c r="H238" s="57">
        <f t="shared" si="211"/>
        <v>1</v>
      </c>
      <c r="I238" s="38">
        <f t="shared" si="213"/>
        <v>2</v>
      </c>
      <c r="J238" s="36">
        <v>46035</v>
      </c>
      <c r="K238" s="6"/>
      <c r="L238" s="28"/>
      <c r="M238" s="92"/>
      <c r="N238" s="76">
        <f t="shared" si="214"/>
        <v>0</v>
      </c>
      <c r="O238" s="33"/>
      <c r="P238" s="93"/>
      <c r="Q238" s="76">
        <f t="shared" si="215"/>
        <v>0</v>
      </c>
      <c r="R238" s="38">
        <f t="shared" si="216"/>
        <v>0</v>
      </c>
    </row>
    <row r="239" spans="2:19" x14ac:dyDescent="0.15">
      <c r="B239" s="6" t="s">
        <v>172</v>
      </c>
      <c r="C239" s="25">
        <v>1</v>
      </c>
      <c r="D239" s="19"/>
      <c r="E239" s="49">
        <f t="shared" si="210"/>
        <v>1</v>
      </c>
      <c r="F239" s="31"/>
      <c r="G239" s="7">
        <v>1</v>
      </c>
      <c r="H239" s="57">
        <f t="shared" si="211"/>
        <v>1</v>
      </c>
      <c r="I239" s="38">
        <f t="shared" si="213"/>
        <v>2</v>
      </c>
      <c r="J239" s="36">
        <v>46051</v>
      </c>
      <c r="K239" s="6"/>
      <c r="L239" s="25"/>
      <c r="M239" s="97"/>
      <c r="N239" s="76">
        <f t="shared" si="214"/>
        <v>0</v>
      </c>
      <c r="O239" s="31"/>
      <c r="P239" s="98"/>
      <c r="Q239" s="76">
        <f t="shared" si="215"/>
        <v>0</v>
      </c>
      <c r="R239" s="38">
        <f t="shared" si="216"/>
        <v>0</v>
      </c>
    </row>
    <row r="240" spans="2:19" x14ac:dyDescent="0.15">
      <c r="B240" s="6" t="s">
        <v>174</v>
      </c>
      <c r="C240" s="28">
        <v>1</v>
      </c>
      <c r="D240" s="22"/>
      <c r="E240" s="49">
        <f t="shared" si="210"/>
        <v>1</v>
      </c>
      <c r="F240" s="33">
        <v>1</v>
      </c>
      <c r="G240" s="8"/>
      <c r="H240" s="57">
        <f t="shared" si="211"/>
        <v>1</v>
      </c>
      <c r="I240" s="38">
        <f t="shared" si="213"/>
        <v>2</v>
      </c>
      <c r="J240" s="36">
        <v>46056</v>
      </c>
      <c r="K240" s="6" t="s">
        <v>93</v>
      </c>
      <c r="L240" s="99"/>
      <c r="M240" s="100"/>
      <c r="N240" s="46">
        <f t="shared" ref="N240" si="224">SUM(L240:M240)</f>
        <v>0</v>
      </c>
      <c r="O240" s="99"/>
      <c r="P240" s="100"/>
      <c r="Q240" s="46">
        <f t="shared" ref="Q240" si="225">SUM(O240:P240)</f>
        <v>0</v>
      </c>
      <c r="R240" s="38">
        <f t="shared" ref="R240:R241" si="226">N240+Q240</f>
        <v>0</v>
      </c>
      <c r="S240" s="36" t="s">
        <v>23</v>
      </c>
    </row>
    <row r="241" spans="2:21" ht="14.25" thickBot="1" x14ac:dyDescent="0.2">
      <c r="B241" s="6"/>
      <c r="C241" s="28"/>
      <c r="D241" s="22"/>
      <c r="E241" s="49">
        <f t="shared" si="210"/>
        <v>0</v>
      </c>
      <c r="F241" s="33"/>
      <c r="G241" s="8"/>
      <c r="H241" s="57">
        <f t="shared" si="211"/>
        <v>0</v>
      </c>
      <c r="I241" s="38">
        <f t="shared" si="213"/>
        <v>0</v>
      </c>
      <c r="J241" s="35"/>
      <c r="K241" s="6" t="s">
        <v>113</v>
      </c>
      <c r="L241" s="25"/>
      <c r="M241" s="7"/>
      <c r="N241" s="57">
        <f t="shared" ref="N241" si="227">SUM(L241:M241)</f>
        <v>0</v>
      </c>
      <c r="O241" s="31"/>
      <c r="P241" s="7"/>
      <c r="Q241" s="57">
        <f t="shared" ref="Q241" si="228">SUM(O241:P241)</f>
        <v>0</v>
      </c>
      <c r="R241" s="38">
        <f t="shared" si="226"/>
        <v>0</v>
      </c>
      <c r="S241" s="36" t="s">
        <v>114</v>
      </c>
    </row>
    <row r="242" spans="2:21" ht="14.25" thickBot="1" x14ac:dyDescent="0.2">
      <c r="B242" s="4" t="s">
        <v>1</v>
      </c>
      <c r="C242" s="27">
        <f>SUM(C217:C241)</f>
        <v>15</v>
      </c>
      <c r="D242" s="21">
        <f>SUM(D217:D241)</f>
        <v>17</v>
      </c>
      <c r="E242" s="51">
        <f t="shared" si="210"/>
        <v>32</v>
      </c>
      <c r="F242" s="27">
        <f>SUM(F217:F241)</f>
        <v>14</v>
      </c>
      <c r="G242" s="21">
        <f>SUM(G217:G241)</f>
        <v>18</v>
      </c>
      <c r="H242" s="59">
        <f t="shared" si="211"/>
        <v>32</v>
      </c>
      <c r="I242" s="40">
        <f t="shared" si="213"/>
        <v>64</v>
      </c>
      <c r="K242" s="4" t="s">
        <v>1</v>
      </c>
      <c r="L242" s="27">
        <f>SUM(L217:L241)</f>
        <v>51</v>
      </c>
      <c r="M242" s="21">
        <f t="shared" ref="M242:R242" si="229">SUM(M217:M241)</f>
        <v>45</v>
      </c>
      <c r="N242" s="51">
        <f t="shared" si="229"/>
        <v>96</v>
      </c>
      <c r="O242" s="27">
        <f t="shared" si="229"/>
        <v>51</v>
      </c>
      <c r="P242" s="21">
        <f t="shared" si="229"/>
        <v>45</v>
      </c>
      <c r="Q242" s="59">
        <f t="shared" si="229"/>
        <v>96</v>
      </c>
      <c r="R242" s="40">
        <f t="shared" si="229"/>
        <v>192</v>
      </c>
    </row>
    <row r="243" spans="2:21" ht="14.25" thickBot="1" x14ac:dyDescent="0.2">
      <c r="B243" s="3" t="s">
        <v>0</v>
      </c>
      <c r="C243" s="30">
        <f>+C216-C242</f>
        <v>2</v>
      </c>
      <c r="D243" s="2">
        <f>+D216-D242</f>
        <v>5</v>
      </c>
      <c r="E243" s="52">
        <f t="shared" si="210"/>
        <v>7</v>
      </c>
      <c r="F243" s="30">
        <f>+F216-F242</f>
        <v>3</v>
      </c>
      <c r="G243" s="2">
        <f>+G216-G242</f>
        <v>4</v>
      </c>
      <c r="H243" s="60">
        <f t="shared" si="211"/>
        <v>7</v>
      </c>
      <c r="I243" s="41">
        <f t="shared" si="213"/>
        <v>14</v>
      </c>
      <c r="K243" s="3" t="s">
        <v>0</v>
      </c>
      <c r="L243" s="30">
        <f>+L216-L242</f>
        <v>226</v>
      </c>
      <c r="M243" s="2">
        <f t="shared" ref="M243:R243" si="230">+M216-M242</f>
        <v>202</v>
      </c>
      <c r="N243" s="52">
        <f t="shared" si="230"/>
        <v>428</v>
      </c>
      <c r="O243" s="30">
        <f t="shared" si="230"/>
        <v>226</v>
      </c>
      <c r="P243" s="2">
        <f t="shared" si="230"/>
        <v>202</v>
      </c>
      <c r="Q243" s="60">
        <f t="shared" si="230"/>
        <v>428</v>
      </c>
      <c r="R243" s="41">
        <f t="shared" si="230"/>
        <v>856</v>
      </c>
      <c r="U243" t="s">
        <v>138</v>
      </c>
    </row>
    <row r="244" spans="2:21" x14ac:dyDescent="0.15">
      <c r="L244">
        <f>L242+L201+L160</f>
        <v>265</v>
      </c>
      <c r="M244">
        <f>M242+M201+M160</f>
        <v>242</v>
      </c>
      <c r="N244">
        <f>SUM(L244:M244)</f>
        <v>507</v>
      </c>
    </row>
    <row r="245" spans="2:21" x14ac:dyDescent="0.15">
      <c r="L245" s="104">
        <f>L244/N244*100</f>
        <v>52.268244575936883</v>
      </c>
      <c r="M245" s="104">
        <f>M244/N244*100</f>
        <v>47.731755424063117</v>
      </c>
      <c r="N245" s="104">
        <f>SUM(L245:M245)</f>
        <v>100</v>
      </c>
    </row>
    <row r="247" spans="2:21" ht="18.75" x14ac:dyDescent="0.2">
      <c r="B247" s="70" t="s">
        <v>11</v>
      </c>
      <c r="C247" s="71"/>
      <c r="D247" s="71"/>
      <c r="E247" s="71"/>
      <c r="F247" s="71"/>
      <c r="G247" s="71"/>
      <c r="H247" s="71"/>
      <c r="I247" s="71"/>
      <c r="K247" s="16" t="s">
        <v>17</v>
      </c>
      <c r="L247" s="15"/>
      <c r="M247" s="15"/>
      <c r="N247" s="15"/>
      <c r="O247" s="15"/>
      <c r="P247" s="15"/>
      <c r="Q247" s="15"/>
      <c r="R247" s="15"/>
    </row>
    <row r="248" spans="2:21" ht="18" thickBot="1" x14ac:dyDescent="0.25">
      <c r="B248" s="72" t="s">
        <v>12</v>
      </c>
      <c r="C248" s="71"/>
      <c r="D248" s="71"/>
      <c r="E248" s="71"/>
      <c r="F248" s="71"/>
      <c r="G248" s="71"/>
      <c r="H248" s="71"/>
      <c r="I248" s="71"/>
      <c r="K248" s="17" t="s">
        <v>12</v>
      </c>
      <c r="L248" s="15"/>
      <c r="M248" s="15"/>
      <c r="N248" s="15"/>
      <c r="O248" s="15"/>
      <c r="P248" s="15"/>
      <c r="Q248" s="15"/>
      <c r="R248" s="15"/>
    </row>
    <row r="249" spans="2:21" ht="14.25" thickBot="1" x14ac:dyDescent="0.2">
      <c r="B249" s="14"/>
      <c r="C249" s="206" t="s">
        <v>9</v>
      </c>
      <c r="D249" s="207"/>
      <c r="E249" s="208"/>
      <c r="F249" s="219" t="s">
        <v>10</v>
      </c>
      <c r="G249" s="220"/>
      <c r="H249" s="220"/>
      <c r="I249" s="217" t="s">
        <v>8</v>
      </c>
      <c r="K249" s="14"/>
      <c r="L249" s="206" t="s">
        <v>9</v>
      </c>
      <c r="M249" s="207"/>
      <c r="N249" s="208"/>
      <c r="O249" s="219" t="s">
        <v>10</v>
      </c>
      <c r="P249" s="220"/>
      <c r="Q249" s="220"/>
      <c r="R249" s="217" t="s">
        <v>8</v>
      </c>
    </row>
    <row r="250" spans="2:21" ht="14.25" thickBot="1" x14ac:dyDescent="0.2">
      <c r="B250" s="4"/>
      <c r="C250" s="62" t="s">
        <v>6</v>
      </c>
      <c r="D250" s="61" t="s">
        <v>5</v>
      </c>
      <c r="E250" s="63" t="s">
        <v>4</v>
      </c>
      <c r="F250" s="62" t="s">
        <v>6</v>
      </c>
      <c r="G250" s="61" t="s">
        <v>5</v>
      </c>
      <c r="H250" s="63" t="s">
        <v>4</v>
      </c>
      <c r="I250" s="218"/>
      <c r="K250" s="13"/>
      <c r="L250" s="23" t="s">
        <v>6</v>
      </c>
      <c r="M250" s="12" t="s">
        <v>5</v>
      </c>
      <c r="N250" s="45" t="s">
        <v>4</v>
      </c>
      <c r="O250" s="23" t="s">
        <v>6</v>
      </c>
      <c r="P250" s="12" t="s">
        <v>5</v>
      </c>
      <c r="Q250" s="53" t="s">
        <v>4</v>
      </c>
      <c r="R250" s="218"/>
    </row>
    <row r="251" spans="2:21" x14ac:dyDescent="0.15">
      <c r="B251" s="64" t="s">
        <v>0</v>
      </c>
      <c r="C251" s="65">
        <f>C243</f>
        <v>2</v>
      </c>
      <c r="D251" s="73">
        <f>D243</f>
        <v>5</v>
      </c>
      <c r="E251" s="66">
        <f t="shared" ref="E251:E284" si="231">SUM(C251:D251)</f>
        <v>7</v>
      </c>
      <c r="F251" s="65">
        <f>F243</f>
        <v>3</v>
      </c>
      <c r="G251" s="73">
        <f>G243</f>
        <v>4</v>
      </c>
      <c r="H251" s="67">
        <f t="shared" ref="H251:H284" si="232">SUM(F251:G251)</f>
        <v>7</v>
      </c>
      <c r="I251" s="68">
        <f>E251+H251</f>
        <v>14</v>
      </c>
      <c r="K251" s="64" t="s">
        <v>0</v>
      </c>
      <c r="L251" s="65">
        <f>L243</f>
        <v>226</v>
      </c>
      <c r="M251" s="73">
        <f t="shared" ref="M251:R251" si="233">M243</f>
        <v>202</v>
      </c>
      <c r="N251" s="66">
        <f t="shared" si="233"/>
        <v>428</v>
      </c>
      <c r="O251" s="65">
        <f t="shared" si="233"/>
        <v>226</v>
      </c>
      <c r="P251" s="73">
        <f t="shared" si="233"/>
        <v>202</v>
      </c>
      <c r="Q251" s="67">
        <f t="shared" si="233"/>
        <v>428</v>
      </c>
      <c r="R251" s="68">
        <f t="shared" si="233"/>
        <v>856</v>
      </c>
    </row>
    <row r="252" spans="2:21" x14ac:dyDescent="0.15">
      <c r="B252" s="146" t="s">
        <v>3</v>
      </c>
      <c r="C252" s="147">
        <v>7</v>
      </c>
      <c r="D252" s="148">
        <v>7</v>
      </c>
      <c r="E252" s="149">
        <f t="shared" si="231"/>
        <v>14</v>
      </c>
      <c r="F252" s="150">
        <v>7</v>
      </c>
      <c r="G252" s="151">
        <v>7</v>
      </c>
      <c r="H252" s="152">
        <f t="shared" si="232"/>
        <v>14</v>
      </c>
      <c r="I252" s="153">
        <f t="shared" ref="I252:I284" si="234">E252+H252</f>
        <v>28</v>
      </c>
      <c r="J252" s="154">
        <v>46070</v>
      </c>
      <c r="K252" s="11" t="s">
        <v>3</v>
      </c>
      <c r="L252" s="25">
        <v>2</v>
      </c>
      <c r="M252" s="19">
        <v>2</v>
      </c>
      <c r="N252" s="46">
        <f t="shared" ref="N252:N255" si="235">SUM(L252:M252)</f>
        <v>4</v>
      </c>
      <c r="O252" s="31">
        <v>2</v>
      </c>
      <c r="P252" s="7">
        <v>2</v>
      </c>
      <c r="Q252" s="54">
        <f t="shared" ref="Q252:Q255" si="236">SUM(O252:P252)</f>
        <v>4</v>
      </c>
      <c r="R252" s="38">
        <f t="shared" ref="R252:R255" si="237">N252+Q252</f>
        <v>8</v>
      </c>
      <c r="S252" s="36">
        <v>46172</v>
      </c>
    </row>
    <row r="253" spans="2:21" x14ac:dyDescent="0.15">
      <c r="B253" s="11" t="s">
        <v>3</v>
      </c>
      <c r="C253" s="25"/>
      <c r="D253" s="19"/>
      <c r="E253" s="46">
        <f t="shared" si="231"/>
        <v>0</v>
      </c>
      <c r="F253" s="31"/>
      <c r="G253" s="7"/>
      <c r="H253" s="54">
        <f t="shared" si="232"/>
        <v>0</v>
      </c>
      <c r="I253" s="38">
        <f t="shared" si="234"/>
        <v>0</v>
      </c>
      <c r="J253" s="35"/>
      <c r="K253" s="11" t="s">
        <v>3</v>
      </c>
      <c r="L253" s="25"/>
      <c r="M253" s="19"/>
      <c r="N253" s="46">
        <f t="shared" si="235"/>
        <v>0</v>
      </c>
      <c r="O253" s="31"/>
      <c r="P253" s="7"/>
      <c r="Q253" s="54">
        <f t="shared" si="236"/>
        <v>0</v>
      </c>
      <c r="R253" s="38">
        <f t="shared" si="237"/>
        <v>0</v>
      </c>
    </row>
    <row r="254" spans="2:21" x14ac:dyDescent="0.15">
      <c r="B254" s="11" t="s">
        <v>3</v>
      </c>
      <c r="C254" s="25"/>
      <c r="D254" s="19"/>
      <c r="E254" s="46">
        <f t="shared" si="231"/>
        <v>0</v>
      </c>
      <c r="F254" s="31"/>
      <c r="G254" s="7"/>
      <c r="H254" s="54">
        <f t="shared" si="232"/>
        <v>0</v>
      </c>
      <c r="I254" s="38">
        <f t="shared" si="234"/>
        <v>0</v>
      </c>
      <c r="J254" s="35"/>
      <c r="K254" s="11" t="s">
        <v>3</v>
      </c>
      <c r="L254" s="25"/>
      <c r="M254" s="19"/>
      <c r="N254" s="46">
        <f t="shared" si="235"/>
        <v>0</v>
      </c>
      <c r="O254" s="31"/>
      <c r="P254" s="7"/>
      <c r="Q254" s="54">
        <f t="shared" si="236"/>
        <v>0</v>
      </c>
      <c r="R254" s="38">
        <f t="shared" si="237"/>
        <v>0</v>
      </c>
    </row>
    <row r="255" spans="2:21" x14ac:dyDescent="0.15">
      <c r="B255" s="11" t="s">
        <v>3</v>
      </c>
      <c r="C255" s="25"/>
      <c r="D255" s="19"/>
      <c r="E255" s="46">
        <f t="shared" si="231"/>
        <v>0</v>
      </c>
      <c r="F255" s="31"/>
      <c r="G255" s="7"/>
      <c r="H255" s="54">
        <f t="shared" si="232"/>
        <v>0</v>
      </c>
      <c r="I255" s="38">
        <f t="shared" si="234"/>
        <v>0</v>
      </c>
      <c r="J255" s="35"/>
      <c r="K255" s="11" t="s">
        <v>3</v>
      </c>
      <c r="L255" s="25"/>
      <c r="M255" s="19"/>
      <c r="N255" s="46">
        <f t="shared" si="235"/>
        <v>0</v>
      </c>
      <c r="O255" s="31"/>
      <c r="P255" s="7"/>
      <c r="Q255" s="54">
        <f t="shared" si="236"/>
        <v>0</v>
      </c>
      <c r="R255" s="38">
        <f t="shared" si="237"/>
        <v>0</v>
      </c>
    </row>
    <row r="256" spans="2:21" ht="14.25" thickBot="1" x14ac:dyDescent="0.2">
      <c r="B256" s="10" t="s">
        <v>3</v>
      </c>
      <c r="C256" s="26"/>
      <c r="D256" s="20"/>
      <c r="E256" s="47">
        <f t="shared" si="231"/>
        <v>0</v>
      </c>
      <c r="F256" s="32"/>
      <c r="G256" s="5"/>
      <c r="H256" s="55">
        <f t="shared" si="232"/>
        <v>0</v>
      </c>
      <c r="I256" s="39">
        <f t="shared" si="234"/>
        <v>0</v>
      </c>
      <c r="J256" s="35"/>
      <c r="K256" s="11" t="s">
        <v>3</v>
      </c>
      <c r="L256" s="25"/>
      <c r="M256" s="19"/>
      <c r="N256" s="46">
        <f t="shared" ref="N256" si="238">SUM(L256:M256)</f>
        <v>0</v>
      </c>
      <c r="O256" s="31"/>
      <c r="P256" s="7"/>
      <c r="Q256" s="54">
        <f t="shared" ref="Q256" si="239">SUM(O256:P256)</f>
        <v>0</v>
      </c>
      <c r="R256" s="38">
        <f t="shared" ref="R256" si="240">N256+Q256</f>
        <v>0</v>
      </c>
    </row>
    <row r="257" spans="2:19" ht="14.25" thickBot="1" x14ac:dyDescent="0.2">
      <c r="B257" s="42" t="s">
        <v>2</v>
      </c>
      <c r="C257" s="43">
        <f>SUM(C251:C256)</f>
        <v>9</v>
      </c>
      <c r="D257" s="44">
        <f>SUM(D251:D256)</f>
        <v>12</v>
      </c>
      <c r="E257" s="48">
        <f t="shared" si="231"/>
        <v>21</v>
      </c>
      <c r="F257" s="43">
        <f>SUM(F251:F256)</f>
        <v>10</v>
      </c>
      <c r="G257" s="44">
        <f>SUM(G251:G256)</f>
        <v>11</v>
      </c>
      <c r="H257" s="56">
        <f t="shared" si="232"/>
        <v>21</v>
      </c>
      <c r="I257" s="41">
        <f t="shared" si="234"/>
        <v>42</v>
      </c>
      <c r="J257" s="35"/>
      <c r="K257" s="42" t="s">
        <v>2</v>
      </c>
      <c r="L257" s="43">
        <f>SUM(L251:L256)</f>
        <v>228</v>
      </c>
      <c r="M257" s="44">
        <f t="shared" ref="M257" si="241">SUM(M251:M256)</f>
        <v>204</v>
      </c>
      <c r="N257" s="83">
        <f t="shared" ref="N257" si="242">SUM(N251:N256)</f>
        <v>432</v>
      </c>
      <c r="O257" s="43">
        <f t="shared" ref="O257" si="243">SUM(O251:O256)</f>
        <v>228</v>
      </c>
      <c r="P257" s="44">
        <f t="shared" ref="P257" si="244">SUM(P251:P256)</f>
        <v>204</v>
      </c>
      <c r="Q257" s="84">
        <f t="shared" ref="Q257" si="245">SUM(Q251:Q256)</f>
        <v>432</v>
      </c>
      <c r="R257" s="41">
        <f t="shared" ref="R257" si="246">SUM(R251:R256)</f>
        <v>864</v>
      </c>
    </row>
    <row r="258" spans="2:19" x14ac:dyDescent="0.15">
      <c r="B258" s="6" t="s">
        <v>111</v>
      </c>
      <c r="C258" s="25">
        <v>1</v>
      </c>
      <c r="D258" s="19"/>
      <c r="E258" s="49">
        <f t="shared" si="231"/>
        <v>1</v>
      </c>
      <c r="F258" s="31">
        <v>1</v>
      </c>
      <c r="G258" s="7"/>
      <c r="H258" s="57">
        <f t="shared" si="232"/>
        <v>1</v>
      </c>
      <c r="I258" s="38">
        <f t="shared" si="234"/>
        <v>2</v>
      </c>
      <c r="J258" s="36">
        <v>46057</v>
      </c>
      <c r="K258" s="6" t="s">
        <v>159</v>
      </c>
      <c r="L258" s="25">
        <v>100</v>
      </c>
      <c r="M258" s="97">
        <v>100</v>
      </c>
      <c r="N258" s="76">
        <f t="shared" ref="N258" si="247">SUM(L258:M258)</f>
        <v>200</v>
      </c>
      <c r="O258" s="31">
        <v>100</v>
      </c>
      <c r="P258" s="98">
        <v>100</v>
      </c>
      <c r="Q258" s="76">
        <f t="shared" ref="Q258" si="248">SUM(O258:P258)</f>
        <v>200</v>
      </c>
      <c r="R258" s="38">
        <f t="shared" ref="R258" si="249">N258+Q258</f>
        <v>400</v>
      </c>
      <c r="S258" s="36">
        <v>46133</v>
      </c>
    </row>
    <row r="259" spans="2:19" x14ac:dyDescent="0.15">
      <c r="B259" s="6" t="s">
        <v>175</v>
      </c>
      <c r="C259" s="25">
        <v>2</v>
      </c>
      <c r="D259" s="19">
        <v>1</v>
      </c>
      <c r="E259" s="49">
        <f t="shared" si="231"/>
        <v>3</v>
      </c>
      <c r="F259" s="31">
        <v>4</v>
      </c>
      <c r="G259" s="7">
        <v>1</v>
      </c>
      <c r="H259" s="57">
        <f t="shared" si="232"/>
        <v>5</v>
      </c>
      <c r="I259" s="38">
        <f t="shared" si="234"/>
        <v>8</v>
      </c>
      <c r="J259" s="36">
        <v>46071</v>
      </c>
      <c r="K259" s="6"/>
      <c r="L259" s="28"/>
      <c r="M259" s="92"/>
      <c r="N259" s="76">
        <f t="shared" ref="N259:N279" si="250">SUM(L259:M259)</f>
        <v>0</v>
      </c>
      <c r="O259" s="33"/>
      <c r="P259" s="93"/>
      <c r="Q259" s="76">
        <f t="shared" ref="Q259:Q279" si="251">SUM(O259:P259)</f>
        <v>0</v>
      </c>
      <c r="R259" s="38">
        <f t="shared" ref="R259:R279" si="252">N259+Q259</f>
        <v>0</v>
      </c>
    </row>
    <row r="260" spans="2:19" x14ac:dyDescent="0.15">
      <c r="B260" s="6" t="s">
        <v>181</v>
      </c>
      <c r="C260" s="25">
        <v>1</v>
      </c>
      <c r="D260" s="19"/>
      <c r="E260" s="49">
        <f t="shared" si="231"/>
        <v>1</v>
      </c>
      <c r="F260" s="31">
        <v>1</v>
      </c>
      <c r="G260" s="7">
        <v>1</v>
      </c>
      <c r="H260" s="57">
        <f t="shared" si="232"/>
        <v>2</v>
      </c>
      <c r="I260" s="38">
        <f t="shared" si="234"/>
        <v>3</v>
      </c>
      <c r="J260" s="36">
        <v>46099</v>
      </c>
      <c r="K260" s="6"/>
      <c r="L260" s="28"/>
      <c r="M260" s="92"/>
      <c r="N260" s="76">
        <f t="shared" si="250"/>
        <v>0</v>
      </c>
      <c r="O260" s="33"/>
      <c r="P260" s="93"/>
      <c r="Q260" s="76">
        <f t="shared" si="251"/>
        <v>0</v>
      </c>
      <c r="R260" s="38">
        <f t="shared" si="252"/>
        <v>0</v>
      </c>
    </row>
    <row r="261" spans="2:19" x14ac:dyDescent="0.15">
      <c r="B261" s="6" t="s">
        <v>94</v>
      </c>
      <c r="C261" s="28">
        <v>2</v>
      </c>
      <c r="D261" s="22"/>
      <c r="E261" s="49">
        <f t="shared" si="231"/>
        <v>2</v>
      </c>
      <c r="F261" s="33">
        <v>2</v>
      </c>
      <c r="G261" s="8"/>
      <c r="H261" s="57">
        <f t="shared" si="232"/>
        <v>2</v>
      </c>
      <c r="I261" s="38">
        <f t="shared" si="234"/>
        <v>4</v>
      </c>
      <c r="J261" s="36">
        <v>46170</v>
      </c>
      <c r="K261" s="6"/>
      <c r="L261" s="28"/>
      <c r="M261" s="92"/>
      <c r="N261" s="76">
        <f t="shared" si="250"/>
        <v>0</v>
      </c>
      <c r="O261" s="33"/>
      <c r="P261" s="93"/>
      <c r="Q261" s="76">
        <f t="shared" si="251"/>
        <v>0</v>
      </c>
      <c r="R261" s="38">
        <f t="shared" si="252"/>
        <v>0</v>
      </c>
    </row>
    <row r="262" spans="2:19" x14ac:dyDescent="0.15">
      <c r="B262" s="6" t="s">
        <v>238</v>
      </c>
      <c r="C262" s="28">
        <v>2</v>
      </c>
      <c r="D262" s="22">
        <v>2</v>
      </c>
      <c r="E262" s="49">
        <f t="shared" si="231"/>
        <v>4</v>
      </c>
      <c r="F262" s="33">
        <v>2</v>
      </c>
      <c r="G262" s="8">
        <v>2</v>
      </c>
      <c r="H262" s="57">
        <f t="shared" si="232"/>
        <v>4</v>
      </c>
      <c r="I262" s="38">
        <f t="shared" si="234"/>
        <v>8</v>
      </c>
      <c r="J262" s="36">
        <v>46172</v>
      </c>
      <c r="K262" s="6"/>
      <c r="L262" s="28"/>
      <c r="M262" s="92"/>
      <c r="N262" s="76">
        <f t="shared" si="250"/>
        <v>0</v>
      </c>
      <c r="O262" s="33"/>
      <c r="P262" s="93"/>
      <c r="Q262" s="76">
        <f t="shared" si="251"/>
        <v>0</v>
      </c>
      <c r="R262" s="38">
        <f t="shared" si="252"/>
        <v>0</v>
      </c>
    </row>
    <row r="263" spans="2:19" x14ac:dyDescent="0.15">
      <c r="B263" s="6" t="s">
        <v>20</v>
      </c>
      <c r="C263" s="28"/>
      <c r="D263" s="22">
        <v>1</v>
      </c>
      <c r="E263" s="49">
        <f t="shared" si="231"/>
        <v>1</v>
      </c>
      <c r="F263" s="33"/>
      <c r="G263" s="8">
        <v>1</v>
      </c>
      <c r="H263" s="57">
        <f t="shared" si="232"/>
        <v>1</v>
      </c>
      <c r="I263" s="38">
        <f t="shared" si="234"/>
        <v>2</v>
      </c>
      <c r="J263" s="36">
        <v>46184</v>
      </c>
      <c r="K263" s="6"/>
      <c r="L263" s="28"/>
      <c r="M263" s="92"/>
      <c r="N263" s="76">
        <f t="shared" si="250"/>
        <v>0</v>
      </c>
      <c r="O263" s="33"/>
      <c r="P263" s="93"/>
      <c r="Q263" s="76">
        <f t="shared" si="251"/>
        <v>0</v>
      </c>
      <c r="R263" s="38">
        <f t="shared" si="252"/>
        <v>0</v>
      </c>
    </row>
    <row r="264" spans="2:19" x14ac:dyDescent="0.15">
      <c r="B264" s="6"/>
      <c r="C264" s="28"/>
      <c r="D264" s="22"/>
      <c r="E264" s="49">
        <f t="shared" si="231"/>
        <v>0</v>
      </c>
      <c r="F264" s="33"/>
      <c r="G264" s="8"/>
      <c r="H264" s="57">
        <f t="shared" si="232"/>
        <v>0</v>
      </c>
      <c r="I264" s="38">
        <f t="shared" si="234"/>
        <v>0</v>
      </c>
      <c r="J264" s="35"/>
      <c r="K264" s="6"/>
      <c r="L264" s="28"/>
      <c r="M264" s="92"/>
      <c r="N264" s="76">
        <f t="shared" si="250"/>
        <v>0</v>
      </c>
      <c r="O264" s="33"/>
      <c r="P264" s="93"/>
      <c r="Q264" s="76">
        <f t="shared" si="251"/>
        <v>0</v>
      </c>
      <c r="R264" s="38">
        <f t="shared" si="252"/>
        <v>0</v>
      </c>
    </row>
    <row r="265" spans="2:19" x14ac:dyDescent="0.15">
      <c r="B265" s="6"/>
      <c r="C265" s="28"/>
      <c r="D265" s="22"/>
      <c r="E265" s="49">
        <f t="shared" si="231"/>
        <v>0</v>
      </c>
      <c r="F265" s="33"/>
      <c r="G265" s="8"/>
      <c r="H265" s="57">
        <f t="shared" si="232"/>
        <v>0</v>
      </c>
      <c r="I265" s="38">
        <f t="shared" si="234"/>
        <v>0</v>
      </c>
      <c r="J265" s="35"/>
      <c r="K265" s="6"/>
      <c r="L265" s="28"/>
      <c r="M265" s="92"/>
      <c r="N265" s="76">
        <f t="shared" si="250"/>
        <v>0</v>
      </c>
      <c r="O265" s="33"/>
      <c r="P265" s="93"/>
      <c r="Q265" s="76">
        <f t="shared" si="251"/>
        <v>0</v>
      </c>
      <c r="R265" s="38">
        <f t="shared" si="252"/>
        <v>0</v>
      </c>
    </row>
    <row r="266" spans="2:19" x14ac:dyDescent="0.15">
      <c r="B266" s="6"/>
      <c r="C266" s="28"/>
      <c r="D266" s="22"/>
      <c r="E266" s="49">
        <f t="shared" si="231"/>
        <v>0</v>
      </c>
      <c r="F266" s="33"/>
      <c r="G266" s="8"/>
      <c r="H266" s="57">
        <f t="shared" si="232"/>
        <v>0</v>
      </c>
      <c r="I266" s="38">
        <f t="shared" si="234"/>
        <v>0</v>
      </c>
      <c r="J266" s="35"/>
      <c r="K266" s="6"/>
      <c r="L266" s="28"/>
      <c r="M266" s="92"/>
      <c r="N266" s="76">
        <f t="shared" si="250"/>
        <v>0</v>
      </c>
      <c r="O266" s="33"/>
      <c r="P266" s="93"/>
      <c r="Q266" s="76">
        <f t="shared" si="251"/>
        <v>0</v>
      </c>
      <c r="R266" s="38">
        <f t="shared" si="252"/>
        <v>0</v>
      </c>
    </row>
    <row r="267" spans="2:19" x14ac:dyDescent="0.15">
      <c r="B267" s="6"/>
      <c r="C267" s="28"/>
      <c r="D267" s="22"/>
      <c r="E267" s="49">
        <f t="shared" si="231"/>
        <v>0</v>
      </c>
      <c r="F267" s="33"/>
      <c r="G267" s="8"/>
      <c r="H267" s="57">
        <f t="shared" si="232"/>
        <v>0</v>
      </c>
      <c r="I267" s="38">
        <f t="shared" si="234"/>
        <v>0</v>
      </c>
      <c r="J267" s="35"/>
      <c r="K267" s="6"/>
      <c r="L267" s="28"/>
      <c r="M267" s="92"/>
      <c r="N267" s="76">
        <f t="shared" si="250"/>
        <v>0</v>
      </c>
      <c r="O267" s="33"/>
      <c r="P267" s="93"/>
      <c r="Q267" s="76">
        <f t="shared" si="251"/>
        <v>0</v>
      </c>
      <c r="R267" s="38">
        <f t="shared" si="252"/>
        <v>0</v>
      </c>
    </row>
    <row r="268" spans="2:19" x14ac:dyDescent="0.15">
      <c r="B268" s="6"/>
      <c r="C268" s="28"/>
      <c r="D268" s="22"/>
      <c r="E268" s="49">
        <f t="shared" si="231"/>
        <v>0</v>
      </c>
      <c r="F268" s="33"/>
      <c r="G268" s="8"/>
      <c r="H268" s="57">
        <f t="shared" si="232"/>
        <v>0</v>
      </c>
      <c r="I268" s="38">
        <f t="shared" si="234"/>
        <v>0</v>
      </c>
      <c r="J268" s="35"/>
      <c r="K268" s="6"/>
      <c r="L268" s="28"/>
      <c r="M268" s="92"/>
      <c r="N268" s="76">
        <f t="shared" si="250"/>
        <v>0</v>
      </c>
      <c r="O268" s="33"/>
      <c r="P268" s="93"/>
      <c r="Q268" s="76">
        <f t="shared" si="251"/>
        <v>0</v>
      </c>
      <c r="R268" s="38">
        <f t="shared" si="252"/>
        <v>0</v>
      </c>
    </row>
    <row r="269" spans="2:19" x14ac:dyDescent="0.15">
      <c r="B269" s="6"/>
      <c r="C269" s="28"/>
      <c r="D269" s="22"/>
      <c r="E269" s="49">
        <f t="shared" si="231"/>
        <v>0</v>
      </c>
      <c r="F269" s="33"/>
      <c r="G269" s="8"/>
      <c r="H269" s="57">
        <f t="shared" si="232"/>
        <v>0</v>
      </c>
      <c r="I269" s="38">
        <f t="shared" si="234"/>
        <v>0</v>
      </c>
      <c r="J269" s="35"/>
      <c r="K269" s="6"/>
      <c r="L269" s="28"/>
      <c r="M269" s="92"/>
      <c r="N269" s="76">
        <f t="shared" si="250"/>
        <v>0</v>
      </c>
      <c r="O269" s="33"/>
      <c r="P269" s="93"/>
      <c r="Q269" s="76">
        <f t="shared" si="251"/>
        <v>0</v>
      </c>
      <c r="R269" s="38">
        <f t="shared" si="252"/>
        <v>0</v>
      </c>
    </row>
    <row r="270" spans="2:19" x14ac:dyDescent="0.15">
      <c r="B270" s="6"/>
      <c r="C270" s="28"/>
      <c r="D270" s="22"/>
      <c r="E270" s="49">
        <f t="shared" si="231"/>
        <v>0</v>
      </c>
      <c r="F270" s="33"/>
      <c r="G270" s="8"/>
      <c r="H270" s="57">
        <f t="shared" si="232"/>
        <v>0</v>
      </c>
      <c r="I270" s="38">
        <f t="shared" si="234"/>
        <v>0</v>
      </c>
      <c r="J270" s="35"/>
      <c r="K270" s="6"/>
      <c r="L270" s="28"/>
      <c r="M270" s="92"/>
      <c r="N270" s="76">
        <f t="shared" si="250"/>
        <v>0</v>
      </c>
      <c r="O270" s="33"/>
      <c r="P270" s="93"/>
      <c r="Q270" s="76">
        <f t="shared" si="251"/>
        <v>0</v>
      </c>
      <c r="R270" s="38">
        <f t="shared" si="252"/>
        <v>0</v>
      </c>
    </row>
    <row r="271" spans="2:19" x14ac:dyDescent="0.15">
      <c r="B271" s="6"/>
      <c r="C271" s="28"/>
      <c r="D271" s="22"/>
      <c r="E271" s="49">
        <f t="shared" si="231"/>
        <v>0</v>
      </c>
      <c r="F271" s="33"/>
      <c r="G271" s="8"/>
      <c r="H271" s="57">
        <f t="shared" si="232"/>
        <v>0</v>
      </c>
      <c r="I271" s="38">
        <f t="shared" si="234"/>
        <v>0</v>
      </c>
      <c r="J271" s="35"/>
      <c r="K271" s="6"/>
      <c r="L271" s="28"/>
      <c r="M271" s="92"/>
      <c r="N271" s="76">
        <f t="shared" si="250"/>
        <v>0</v>
      </c>
      <c r="O271" s="33"/>
      <c r="P271" s="93"/>
      <c r="Q271" s="76">
        <f t="shared" si="251"/>
        <v>0</v>
      </c>
      <c r="R271" s="38">
        <f t="shared" si="252"/>
        <v>0</v>
      </c>
    </row>
    <row r="272" spans="2:19" x14ac:dyDescent="0.15">
      <c r="B272" s="6"/>
      <c r="C272" s="28"/>
      <c r="D272" s="22"/>
      <c r="E272" s="49">
        <f t="shared" si="231"/>
        <v>0</v>
      </c>
      <c r="F272" s="33"/>
      <c r="G272" s="8"/>
      <c r="H272" s="57">
        <f t="shared" si="232"/>
        <v>0</v>
      </c>
      <c r="I272" s="38">
        <f t="shared" si="234"/>
        <v>0</v>
      </c>
      <c r="J272" s="35"/>
      <c r="K272" s="6"/>
      <c r="L272" s="28"/>
      <c r="M272" s="92"/>
      <c r="N272" s="76">
        <f t="shared" si="250"/>
        <v>0</v>
      </c>
      <c r="O272" s="33"/>
      <c r="P272" s="93"/>
      <c r="Q272" s="76">
        <f t="shared" si="251"/>
        <v>0</v>
      </c>
      <c r="R272" s="38">
        <f t="shared" si="252"/>
        <v>0</v>
      </c>
    </row>
    <row r="273" spans="2:19" x14ac:dyDescent="0.15">
      <c r="B273" s="6"/>
      <c r="C273" s="28"/>
      <c r="D273" s="22"/>
      <c r="E273" s="49">
        <f t="shared" si="231"/>
        <v>0</v>
      </c>
      <c r="F273" s="33"/>
      <c r="G273" s="8"/>
      <c r="H273" s="57">
        <f t="shared" si="232"/>
        <v>0</v>
      </c>
      <c r="I273" s="38">
        <f t="shared" si="234"/>
        <v>0</v>
      </c>
      <c r="J273" s="35"/>
      <c r="K273" s="6"/>
      <c r="L273" s="28"/>
      <c r="M273" s="92"/>
      <c r="N273" s="76">
        <f t="shared" si="250"/>
        <v>0</v>
      </c>
      <c r="O273" s="33"/>
      <c r="P273" s="93"/>
      <c r="Q273" s="76">
        <f t="shared" si="251"/>
        <v>0</v>
      </c>
      <c r="R273" s="38">
        <f t="shared" si="252"/>
        <v>0</v>
      </c>
    </row>
    <row r="274" spans="2:19" x14ac:dyDescent="0.15">
      <c r="B274" s="6"/>
      <c r="C274" s="28"/>
      <c r="D274" s="22"/>
      <c r="E274" s="49">
        <f t="shared" si="231"/>
        <v>0</v>
      </c>
      <c r="F274" s="33"/>
      <c r="G274" s="8"/>
      <c r="H274" s="57">
        <f t="shared" si="232"/>
        <v>0</v>
      </c>
      <c r="I274" s="38">
        <f t="shared" si="234"/>
        <v>0</v>
      </c>
      <c r="J274" s="35"/>
      <c r="K274" s="6"/>
      <c r="L274" s="28"/>
      <c r="M274" s="92"/>
      <c r="N274" s="76">
        <f t="shared" si="250"/>
        <v>0</v>
      </c>
      <c r="O274" s="33"/>
      <c r="P274" s="93"/>
      <c r="Q274" s="76">
        <f t="shared" si="251"/>
        <v>0</v>
      </c>
      <c r="R274" s="38">
        <f t="shared" si="252"/>
        <v>0</v>
      </c>
    </row>
    <row r="275" spans="2:19" x14ac:dyDescent="0.15">
      <c r="B275" s="6"/>
      <c r="C275" s="28"/>
      <c r="D275" s="22"/>
      <c r="E275" s="49">
        <f t="shared" si="231"/>
        <v>0</v>
      </c>
      <c r="F275" s="33"/>
      <c r="G275" s="8"/>
      <c r="H275" s="57">
        <f t="shared" si="232"/>
        <v>0</v>
      </c>
      <c r="I275" s="38">
        <f t="shared" si="234"/>
        <v>0</v>
      </c>
      <c r="J275" s="35"/>
      <c r="K275" s="6"/>
      <c r="L275" s="28"/>
      <c r="M275" s="92"/>
      <c r="N275" s="76">
        <f t="shared" si="250"/>
        <v>0</v>
      </c>
      <c r="O275" s="33"/>
      <c r="P275" s="93"/>
      <c r="Q275" s="76">
        <f t="shared" si="251"/>
        <v>0</v>
      </c>
      <c r="R275" s="38">
        <f t="shared" si="252"/>
        <v>0</v>
      </c>
    </row>
    <row r="276" spans="2:19" x14ac:dyDescent="0.15">
      <c r="B276" s="6"/>
      <c r="C276" s="28"/>
      <c r="D276" s="22"/>
      <c r="E276" s="49">
        <f t="shared" si="231"/>
        <v>0</v>
      </c>
      <c r="F276" s="33"/>
      <c r="G276" s="8"/>
      <c r="H276" s="57">
        <f t="shared" si="232"/>
        <v>0</v>
      </c>
      <c r="I276" s="38">
        <f t="shared" si="234"/>
        <v>0</v>
      </c>
      <c r="J276" s="35"/>
      <c r="K276" s="6"/>
      <c r="L276" s="28"/>
      <c r="M276" s="92"/>
      <c r="N276" s="76">
        <f t="shared" si="250"/>
        <v>0</v>
      </c>
      <c r="O276" s="33"/>
      <c r="P276" s="93"/>
      <c r="Q276" s="76">
        <f t="shared" si="251"/>
        <v>0</v>
      </c>
      <c r="R276" s="38">
        <f t="shared" si="252"/>
        <v>0</v>
      </c>
    </row>
    <row r="277" spans="2:19" x14ac:dyDescent="0.15">
      <c r="B277" s="6"/>
      <c r="C277" s="28"/>
      <c r="D277" s="22"/>
      <c r="E277" s="49">
        <f t="shared" si="231"/>
        <v>0</v>
      </c>
      <c r="F277" s="33"/>
      <c r="G277" s="8"/>
      <c r="H277" s="57">
        <f t="shared" si="232"/>
        <v>0</v>
      </c>
      <c r="I277" s="38">
        <f t="shared" si="234"/>
        <v>0</v>
      </c>
      <c r="J277" s="35"/>
      <c r="K277" s="6"/>
      <c r="L277" s="28"/>
      <c r="M277" s="92"/>
      <c r="N277" s="76">
        <f t="shared" si="250"/>
        <v>0</v>
      </c>
      <c r="O277" s="33"/>
      <c r="P277" s="93"/>
      <c r="Q277" s="76">
        <f t="shared" si="251"/>
        <v>0</v>
      </c>
      <c r="R277" s="38">
        <f t="shared" si="252"/>
        <v>0</v>
      </c>
    </row>
    <row r="278" spans="2:19" x14ac:dyDescent="0.15">
      <c r="B278" s="6"/>
      <c r="C278" s="28"/>
      <c r="D278" s="22"/>
      <c r="E278" s="49">
        <f t="shared" si="231"/>
        <v>0</v>
      </c>
      <c r="F278" s="33"/>
      <c r="G278" s="8"/>
      <c r="H278" s="57">
        <f t="shared" si="232"/>
        <v>0</v>
      </c>
      <c r="I278" s="38">
        <f t="shared" si="234"/>
        <v>0</v>
      </c>
      <c r="J278" s="35"/>
      <c r="K278" s="6"/>
      <c r="L278" s="28"/>
      <c r="M278" s="92"/>
      <c r="N278" s="76">
        <f t="shared" si="250"/>
        <v>0</v>
      </c>
      <c r="O278" s="33"/>
      <c r="P278" s="93"/>
      <c r="Q278" s="76">
        <f t="shared" si="251"/>
        <v>0</v>
      </c>
      <c r="R278" s="38">
        <f t="shared" si="252"/>
        <v>0</v>
      </c>
    </row>
    <row r="279" spans="2:19" x14ac:dyDescent="0.15">
      <c r="B279" s="6"/>
      <c r="C279" s="28"/>
      <c r="D279" s="22"/>
      <c r="E279" s="49">
        <f t="shared" si="231"/>
        <v>0</v>
      </c>
      <c r="F279" s="33"/>
      <c r="G279" s="8"/>
      <c r="H279" s="57">
        <f t="shared" si="232"/>
        <v>0</v>
      </c>
      <c r="I279" s="38">
        <f t="shared" si="234"/>
        <v>0</v>
      </c>
      <c r="J279" s="35"/>
      <c r="K279" s="6"/>
      <c r="L279" s="28"/>
      <c r="M279" s="92"/>
      <c r="N279" s="76">
        <f t="shared" si="250"/>
        <v>0</v>
      </c>
      <c r="O279" s="33"/>
      <c r="P279" s="93"/>
      <c r="Q279" s="76">
        <f t="shared" si="251"/>
        <v>0</v>
      </c>
      <c r="R279" s="38">
        <f t="shared" si="252"/>
        <v>0</v>
      </c>
    </row>
    <row r="280" spans="2:19" x14ac:dyDescent="0.15">
      <c r="B280" s="6"/>
      <c r="C280" s="28"/>
      <c r="D280" s="22"/>
      <c r="E280" s="49">
        <f t="shared" si="231"/>
        <v>0</v>
      </c>
      <c r="F280" s="33"/>
      <c r="G280" s="8"/>
      <c r="H280" s="57">
        <f t="shared" si="232"/>
        <v>0</v>
      </c>
      <c r="I280" s="38">
        <f t="shared" si="234"/>
        <v>0</v>
      </c>
      <c r="J280" s="35"/>
      <c r="K280" s="6"/>
      <c r="L280" s="28"/>
      <c r="M280" s="92"/>
      <c r="N280" s="76">
        <f t="shared" ref="N280:N282" si="253">SUM(L280:M280)</f>
        <v>0</v>
      </c>
      <c r="O280" s="33"/>
      <c r="P280" s="93"/>
      <c r="Q280" s="76">
        <f t="shared" ref="Q280:Q282" si="254">SUM(O280:P280)</f>
        <v>0</v>
      </c>
      <c r="R280" s="38">
        <f t="shared" ref="R280:R282" si="255">N280+Q280</f>
        <v>0</v>
      </c>
    </row>
    <row r="281" spans="2:19" x14ac:dyDescent="0.15">
      <c r="B281" s="6"/>
      <c r="C281" s="28"/>
      <c r="D281" s="22"/>
      <c r="E281" s="49">
        <f t="shared" si="231"/>
        <v>0</v>
      </c>
      <c r="F281" s="33"/>
      <c r="G281" s="8"/>
      <c r="H281" s="57">
        <f t="shared" si="232"/>
        <v>0</v>
      </c>
      <c r="I281" s="38">
        <f t="shared" si="234"/>
        <v>0</v>
      </c>
      <c r="J281" s="35"/>
      <c r="K281" s="119" t="s">
        <v>236</v>
      </c>
      <c r="L281" s="120">
        <v>-15</v>
      </c>
      <c r="M281" s="199">
        <v>-15</v>
      </c>
      <c r="N281" s="200">
        <f t="shared" ref="N281" si="256">SUM(L281:M281)</f>
        <v>-30</v>
      </c>
      <c r="O281" s="123">
        <v>-15</v>
      </c>
      <c r="P281" s="201">
        <v>-15</v>
      </c>
      <c r="Q281" s="200">
        <f t="shared" ref="Q281" si="257">SUM(O281:P281)</f>
        <v>-30</v>
      </c>
      <c r="R281" s="126">
        <f t="shared" ref="R281" si="258">N281+Q281</f>
        <v>-60</v>
      </c>
    </row>
    <row r="282" spans="2:19" ht="14.25" thickBot="1" x14ac:dyDescent="0.2">
      <c r="B282" s="6"/>
      <c r="C282" s="28"/>
      <c r="D282" s="22"/>
      <c r="E282" s="49">
        <f t="shared" ref="E282" si="259">SUM(C282:D282)</f>
        <v>0</v>
      </c>
      <c r="F282" s="33"/>
      <c r="G282" s="8"/>
      <c r="H282" s="57">
        <f t="shared" ref="H282" si="260">SUM(F282:G282)</f>
        <v>0</v>
      </c>
      <c r="I282" s="38">
        <f t="shared" ref="I282" si="261">E282+H282</f>
        <v>0</v>
      </c>
      <c r="J282" s="35"/>
      <c r="K282" s="115" t="s">
        <v>234</v>
      </c>
      <c r="L282" s="110">
        <v>120</v>
      </c>
      <c r="M282" s="196">
        <v>120</v>
      </c>
      <c r="N282" s="194">
        <f t="shared" si="253"/>
        <v>240</v>
      </c>
      <c r="O282" s="112">
        <v>120</v>
      </c>
      <c r="P282" s="197">
        <v>120</v>
      </c>
      <c r="Q282" s="194">
        <f t="shared" si="254"/>
        <v>240</v>
      </c>
      <c r="R282" s="68">
        <f t="shared" si="255"/>
        <v>480</v>
      </c>
      <c r="S282" s="198" t="s">
        <v>235</v>
      </c>
    </row>
    <row r="283" spans="2:19" ht="14.25" thickBot="1" x14ac:dyDescent="0.2">
      <c r="B283" s="4" t="s">
        <v>1</v>
      </c>
      <c r="C283" s="27">
        <f>SUM(C258:C282)</f>
        <v>8</v>
      </c>
      <c r="D283" s="21">
        <f>SUM(D258:D282)</f>
        <v>4</v>
      </c>
      <c r="E283" s="51">
        <f t="shared" si="231"/>
        <v>12</v>
      </c>
      <c r="F283" s="27">
        <f>SUM(F258:F282)</f>
        <v>10</v>
      </c>
      <c r="G283" s="21">
        <f>SUM(G258:G282)</f>
        <v>5</v>
      </c>
      <c r="H283" s="59">
        <f t="shared" si="232"/>
        <v>15</v>
      </c>
      <c r="I283" s="40">
        <f t="shared" si="234"/>
        <v>27</v>
      </c>
      <c r="K283" s="4" t="s">
        <v>1</v>
      </c>
      <c r="L283" s="27">
        <f>SUM(L258:L282)</f>
        <v>205</v>
      </c>
      <c r="M283" s="21">
        <f t="shared" ref="M283" si="262">SUM(M258:M282)</f>
        <v>205</v>
      </c>
      <c r="N283" s="51">
        <f t="shared" ref="N283" si="263">SUM(N258:N282)</f>
        <v>410</v>
      </c>
      <c r="O283" s="27">
        <f t="shared" ref="O283" si="264">SUM(O258:O282)</f>
        <v>205</v>
      </c>
      <c r="P283" s="21">
        <f t="shared" ref="P283" si="265">SUM(P258:P282)</f>
        <v>205</v>
      </c>
      <c r="Q283" s="59">
        <f t="shared" ref="Q283" si="266">SUM(Q258:Q282)</f>
        <v>410</v>
      </c>
      <c r="R283" s="40">
        <f t="shared" ref="R283" si="267">SUM(R258:R282)</f>
        <v>820</v>
      </c>
    </row>
    <row r="284" spans="2:19" ht="14.25" thickBot="1" x14ac:dyDescent="0.2">
      <c r="B284" s="3" t="s">
        <v>0</v>
      </c>
      <c r="C284" s="30">
        <f>+C257-C283</f>
        <v>1</v>
      </c>
      <c r="D284" s="2">
        <f>+D257-D283</f>
        <v>8</v>
      </c>
      <c r="E284" s="52">
        <f t="shared" si="231"/>
        <v>9</v>
      </c>
      <c r="F284" s="30">
        <f>+F257-F283</f>
        <v>0</v>
      </c>
      <c r="G284" s="2">
        <f>+G257-G283</f>
        <v>6</v>
      </c>
      <c r="H284" s="60">
        <f t="shared" si="232"/>
        <v>6</v>
      </c>
      <c r="I284" s="41">
        <f t="shared" si="234"/>
        <v>15</v>
      </c>
      <c r="K284" s="3" t="s">
        <v>0</v>
      </c>
      <c r="L284" s="30">
        <f>+L257-L283</f>
        <v>23</v>
      </c>
      <c r="M284" s="2">
        <f t="shared" ref="M284" si="268">+M257-M283</f>
        <v>-1</v>
      </c>
      <c r="N284" s="52">
        <f t="shared" ref="N284" si="269">+N257-N283</f>
        <v>22</v>
      </c>
      <c r="O284" s="30">
        <f t="shared" ref="O284" si="270">+O257-O283</f>
        <v>23</v>
      </c>
      <c r="P284" s="2">
        <f t="shared" ref="P284" si="271">+P257-P283</f>
        <v>-1</v>
      </c>
      <c r="Q284" s="60">
        <f t="shared" ref="Q284" si="272">+Q257-Q283</f>
        <v>22</v>
      </c>
      <c r="R284" s="41">
        <f t="shared" ref="R284" si="273">+R257-R283</f>
        <v>44</v>
      </c>
    </row>
  </sheetData>
  <mergeCells count="43">
    <mergeCell ref="I167:I168"/>
    <mergeCell ref="L167:N167"/>
    <mergeCell ref="O167:Q167"/>
    <mergeCell ref="R167:R168"/>
    <mergeCell ref="C3:E3"/>
    <mergeCell ref="F3:H3"/>
    <mergeCell ref="I3:I4"/>
    <mergeCell ref="C44:E44"/>
    <mergeCell ref="F44:H44"/>
    <mergeCell ref="I44:I45"/>
    <mergeCell ref="R3:R4"/>
    <mergeCell ref="L3:N3"/>
    <mergeCell ref="O3:Q3"/>
    <mergeCell ref="L44:N44"/>
    <mergeCell ref="O44:Q44"/>
    <mergeCell ref="R44:R45"/>
    <mergeCell ref="R208:R209"/>
    <mergeCell ref="R85:R86"/>
    <mergeCell ref="C85:E85"/>
    <mergeCell ref="F85:H85"/>
    <mergeCell ref="I85:I86"/>
    <mergeCell ref="L85:N85"/>
    <mergeCell ref="O85:Q85"/>
    <mergeCell ref="R126:R127"/>
    <mergeCell ref="B123:R123"/>
    <mergeCell ref="C126:E126"/>
    <mergeCell ref="F126:H126"/>
    <mergeCell ref="I126:I127"/>
    <mergeCell ref="L126:N126"/>
    <mergeCell ref="O126:Q126"/>
    <mergeCell ref="C167:E167"/>
    <mergeCell ref="F167:H167"/>
    <mergeCell ref="C208:E208"/>
    <mergeCell ref="F208:H208"/>
    <mergeCell ref="I208:I209"/>
    <mergeCell ref="L208:N208"/>
    <mergeCell ref="O208:Q208"/>
    <mergeCell ref="R249:R250"/>
    <mergeCell ref="C249:E249"/>
    <mergeCell ref="F249:H249"/>
    <mergeCell ref="I249:I250"/>
    <mergeCell ref="L249:N249"/>
    <mergeCell ref="O249:Q249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450B-C1E3-4537-AE6B-08ED0EB69DF8}">
  <sheetPr>
    <tabColor theme="9" tint="0.59999389629810485"/>
  </sheetPr>
  <dimension ref="B1:AC120"/>
  <sheetViews>
    <sheetView topLeftCell="A95" zoomScaleNormal="100" workbookViewId="0">
      <selection activeCell="P120" sqref="P120"/>
    </sheetView>
  </sheetViews>
  <sheetFormatPr defaultRowHeight="13.5" x14ac:dyDescent="0.15"/>
  <cols>
    <col min="2" max="2" width="20.875" customWidth="1"/>
    <col min="3" max="9" width="7.375" customWidth="1"/>
    <col min="10" max="10" width="15.25" customWidth="1"/>
    <col min="11" max="11" width="35" style="1" customWidth="1"/>
    <col min="12" max="18" width="10.25" customWidth="1"/>
    <col min="19" max="19" width="9.25" style="35" bestFit="1" customWidth="1"/>
    <col min="20" max="20" width="4.875" customWidth="1"/>
    <col min="21" max="21" width="16.25" customWidth="1"/>
  </cols>
  <sheetData>
    <row r="1" spans="2:29" ht="18.75" x14ac:dyDescent="0.2">
      <c r="B1" s="85" t="s">
        <v>11</v>
      </c>
      <c r="C1" s="86"/>
      <c r="D1" s="86"/>
      <c r="E1" s="86"/>
      <c r="F1" s="86"/>
      <c r="G1" s="86"/>
      <c r="H1" s="86"/>
      <c r="I1" s="86"/>
      <c r="J1" s="35"/>
      <c r="K1" s="88" t="s">
        <v>17</v>
      </c>
      <c r="L1" s="89"/>
      <c r="M1" s="89"/>
      <c r="N1" s="89"/>
      <c r="O1" s="89"/>
      <c r="P1" s="89"/>
      <c r="Q1" s="89"/>
      <c r="R1" s="89"/>
      <c r="AC1" s="35"/>
    </row>
    <row r="2" spans="2:29" ht="18" thickBot="1" x14ac:dyDescent="0.25">
      <c r="B2" s="87" t="s">
        <v>99</v>
      </c>
      <c r="C2" s="86"/>
      <c r="D2" s="86"/>
      <c r="E2" s="86"/>
      <c r="F2" s="86"/>
      <c r="G2" s="86"/>
      <c r="H2" s="86"/>
      <c r="I2" s="86"/>
      <c r="J2" s="35"/>
      <c r="K2" s="90" t="s">
        <v>100</v>
      </c>
      <c r="L2" s="89"/>
      <c r="M2" s="89"/>
      <c r="N2" s="89"/>
      <c r="O2" s="89"/>
      <c r="P2" s="89"/>
      <c r="Q2" s="89"/>
      <c r="R2" s="89"/>
      <c r="AC2" s="35"/>
    </row>
    <row r="3" spans="2:29" ht="14.25" thickBot="1" x14ac:dyDescent="0.2">
      <c r="B3" s="14"/>
      <c r="C3" s="209" t="s">
        <v>69</v>
      </c>
      <c r="D3" s="210"/>
      <c r="E3" s="211"/>
      <c r="F3" s="222" t="s">
        <v>70</v>
      </c>
      <c r="G3" s="223"/>
      <c r="H3" s="223"/>
      <c r="I3" s="217" t="s">
        <v>8</v>
      </c>
      <c r="J3" s="35"/>
      <c r="K3" s="14"/>
      <c r="L3" s="209" t="s">
        <v>69</v>
      </c>
      <c r="M3" s="210"/>
      <c r="N3" s="211"/>
      <c r="O3" s="222" t="s">
        <v>70</v>
      </c>
      <c r="P3" s="223"/>
      <c r="Q3" s="223"/>
      <c r="R3" s="217" t="s">
        <v>8</v>
      </c>
      <c r="AC3" s="35"/>
    </row>
    <row r="4" spans="2:29" s="1" customFormat="1" ht="14.25" thickBot="1" x14ac:dyDescent="0.2">
      <c r="B4" s="4"/>
      <c r="C4" s="62" t="s">
        <v>6</v>
      </c>
      <c r="D4" s="61" t="s">
        <v>5</v>
      </c>
      <c r="E4" s="63" t="s">
        <v>4</v>
      </c>
      <c r="F4" s="62" t="s">
        <v>6</v>
      </c>
      <c r="G4" s="61" t="s">
        <v>5</v>
      </c>
      <c r="H4" s="63" t="s">
        <v>4</v>
      </c>
      <c r="I4" s="218"/>
      <c r="J4" s="35"/>
      <c r="K4" s="4"/>
      <c r="L4" s="62" t="s">
        <v>6</v>
      </c>
      <c r="M4" s="61" t="s">
        <v>5</v>
      </c>
      <c r="N4" s="63" t="s">
        <v>4</v>
      </c>
      <c r="O4" s="62" t="s">
        <v>6</v>
      </c>
      <c r="P4" s="61" t="s">
        <v>5</v>
      </c>
      <c r="Q4" s="63" t="s">
        <v>4</v>
      </c>
      <c r="R4" s="218"/>
      <c r="S4" s="35"/>
      <c r="U4"/>
      <c r="V4"/>
      <c r="W4"/>
      <c r="X4"/>
      <c r="Y4"/>
      <c r="Z4"/>
      <c r="AA4"/>
      <c r="AB4"/>
      <c r="AC4" s="35"/>
    </row>
    <row r="5" spans="2:29" ht="14.25" customHeight="1" x14ac:dyDescent="0.15">
      <c r="B5" s="34" t="s">
        <v>7</v>
      </c>
      <c r="C5" s="31">
        <v>10</v>
      </c>
      <c r="D5" s="7">
        <v>10</v>
      </c>
      <c r="E5" s="76">
        <f t="shared" ref="E5:E38" si="0">SUM(C5:D5)</f>
        <v>20</v>
      </c>
      <c r="F5" s="31">
        <v>10</v>
      </c>
      <c r="G5" s="7">
        <v>10</v>
      </c>
      <c r="H5" s="77">
        <f t="shared" ref="H5:H38" si="1">SUM(F5:G5)</f>
        <v>20</v>
      </c>
      <c r="I5" s="38">
        <f t="shared" ref="I5:I38" si="2">E5+H5</f>
        <v>40</v>
      </c>
      <c r="J5" s="36">
        <v>45805</v>
      </c>
      <c r="K5" s="34" t="s">
        <v>72</v>
      </c>
      <c r="L5" s="31">
        <v>100</v>
      </c>
      <c r="M5" s="7">
        <v>100</v>
      </c>
      <c r="N5" s="76">
        <f t="shared" ref="N5:N10" si="3">SUM(L5:M5)</f>
        <v>200</v>
      </c>
      <c r="O5" s="31">
        <v>100</v>
      </c>
      <c r="P5" s="7">
        <v>100</v>
      </c>
      <c r="Q5" s="77">
        <f t="shared" ref="Q5:Q10" si="4">SUM(O5:P5)</f>
        <v>200</v>
      </c>
      <c r="R5" s="38">
        <f t="shared" ref="R5:R10" si="5">N5+Q5</f>
        <v>400</v>
      </c>
      <c r="S5" s="36" t="s">
        <v>82</v>
      </c>
      <c r="AC5" s="36"/>
    </row>
    <row r="6" spans="2:29" x14ac:dyDescent="0.15">
      <c r="B6" s="11" t="s">
        <v>3</v>
      </c>
      <c r="C6" s="25">
        <v>3</v>
      </c>
      <c r="D6" s="19">
        <v>3</v>
      </c>
      <c r="E6" s="46">
        <f t="shared" si="0"/>
        <v>6</v>
      </c>
      <c r="F6" s="31">
        <v>3</v>
      </c>
      <c r="G6" s="7">
        <v>3</v>
      </c>
      <c r="H6" s="54">
        <f t="shared" si="1"/>
        <v>6</v>
      </c>
      <c r="I6" s="38">
        <f t="shared" si="2"/>
        <v>12</v>
      </c>
      <c r="J6" s="36">
        <v>45813</v>
      </c>
      <c r="K6" s="11" t="s">
        <v>83</v>
      </c>
      <c r="L6" s="25">
        <v>50</v>
      </c>
      <c r="M6" s="19">
        <v>50</v>
      </c>
      <c r="N6" s="46">
        <f t="shared" si="3"/>
        <v>100</v>
      </c>
      <c r="O6" s="31">
        <v>50</v>
      </c>
      <c r="P6" s="7">
        <v>50</v>
      </c>
      <c r="Q6" s="54">
        <f t="shared" si="4"/>
        <v>100</v>
      </c>
      <c r="R6" s="38">
        <f t="shared" si="5"/>
        <v>200</v>
      </c>
      <c r="S6" s="36" t="s">
        <v>84</v>
      </c>
      <c r="AC6" s="36"/>
    </row>
    <row r="7" spans="2:29" x14ac:dyDescent="0.15">
      <c r="B7" s="11" t="s">
        <v>3</v>
      </c>
      <c r="C7" s="25">
        <v>5</v>
      </c>
      <c r="D7" s="19">
        <v>5</v>
      </c>
      <c r="E7" s="46">
        <f t="shared" si="0"/>
        <v>10</v>
      </c>
      <c r="F7" s="31">
        <v>5</v>
      </c>
      <c r="G7" s="7">
        <v>5</v>
      </c>
      <c r="H7" s="54">
        <f t="shared" si="1"/>
        <v>10</v>
      </c>
      <c r="I7" s="38">
        <f t="shared" si="2"/>
        <v>20</v>
      </c>
      <c r="J7" s="36">
        <v>45815</v>
      </c>
      <c r="K7" s="11" t="s">
        <v>3</v>
      </c>
      <c r="L7" s="25"/>
      <c r="M7" s="19"/>
      <c r="N7" s="46">
        <f t="shared" ref="N7" si="6">SUM(L7:M7)</f>
        <v>0</v>
      </c>
      <c r="O7" s="31"/>
      <c r="P7" s="7"/>
      <c r="Q7" s="54">
        <f t="shared" ref="Q7" si="7">SUM(O7:P7)</f>
        <v>0</v>
      </c>
      <c r="R7" s="38">
        <f t="shared" ref="R7" si="8">N7+Q7</f>
        <v>0</v>
      </c>
      <c r="S7" s="36"/>
      <c r="AC7" s="36"/>
    </row>
    <row r="8" spans="2:29" x14ac:dyDescent="0.15">
      <c r="B8" s="11" t="s">
        <v>3</v>
      </c>
      <c r="C8" s="25">
        <v>5</v>
      </c>
      <c r="D8" s="19"/>
      <c r="E8" s="46">
        <f t="shared" si="0"/>
        <v>5</v>
      </c>
      <c r="F8" s="31">
        <v>5</v>
      </c>
      <c r="G8" s="7"/>
      <c r="H8" s="54">
        <f t="shared" si="1"/>
        <v>5</v>
      </c>
      <c r="I8" s="38">
        <f t="shared" si="2"/>
        <v>10</v>
      </c>
      <c r="J8" s="36">
        <v>45833</v>
      </c>
      <c r="K8" s="11" t="s">
        <v>3</v>
      </c>
      <c r="L8" s="25"/>
      <c r="M8" s="19"/>
      <c r="N8" s="46">
        <f t="shared" si="3"/>
        <v>0</v>
      </c>
      <c r="O8" s="31"/>
      <c r="P8" s="7"/>
      <c r="Q8" s="54">
        <f t="shared" si="4"/>
        <v>0</v>
      </c>
      <c r="R8" s="38">
        <f t="shared" si="5"/>
        <v>0</v>
      </c>
      <c r="S8" s="36"/>
      <c r="AC8" s="36"/>
    </row>
    <row r="9" spans="2:29" x14ac:dyDescent="0.15">
      <c r="B9" s="11" t="s">
        <v>109</v>
      </c>
      <c r="C9" s="25"/>
      <c r="D9" s="19">
        <v>1</v>
      </c>
      <c r="E9" s="46">
        <f t="shared" si="0"/>
        <v>1</v>
      </c>
      <c r="F9" s="31"/>
      <c r="G9" s="7">
        <v>1</v>
      </c>
      <c r="H9" s="54">
        <f t="shared" si="1"/>
        <v>1</v>
      </c>
      <c r="I9" s="38">
        <f t="shared" si="2"/>
        <v>2</v>
      </c>
      <c r="J9" s="36">
        <v>45832</v>
      </c>
      <c r="K9" s="11" t="s">
        <v>3</v>
      </c>
      <c r="L9" s="25"/>
      <c r="M9" s="19"/>
      <c r="N9" s="46">
        <f t="shared" si="3"/>
        <v>0</v>
      </c>
      <c r="O9" s="31"/>
      <c r="P9" s="7"/>
      <c r="Q9" s="54">
        <f t="shared" si="4"/>
        <v>0</v>
      </c>
      <c r="R9" s="38">
        <f t="shared" si="5"/>
        <v>0</v>
      </c>
      <c r="S9" s="36"/>
      <c r="AC9" s="36"/>
    </row>
    <row r="10" spans="2:29" ht="14.25" thickBot="1" x14ac:dyDescent="0.2">
      <c r="B10" s="10" t="s">
        <v>3</v>
      </c>
      <c r="C10" s="26"/>
      <c r="D10" s="20"/>
      <c r="E10" s="47">
        <f t="shared" si="0"/>
        <v>0</v>
      </c>
      <c r="F10" s="32"/>
      <c r="G10" s="5"/>
      <c r="H10" s="55">
        <f t="shared" si="1"/>
        <v>0</v>
      </c>
      <c r="I10" s="39">
        <f t="shared" si="2"/>
        <v>0</v>
      </c>
      <c r="J10" s="36"/>
      <c r="K10" s="10" t="s">
        <v>3</v>
      </c>
      <c r="L10" s="26"/>
      <c r="M10" s="20"/>
      <c r="N10" s="47">
        <f t="shared" si="3"/>
        <v>0</v>
      </c>
      <c r="O10" s="32"/>
      <c r="P10" s="5"/>
      <c r="Q10" s="55">
        <f t="shared" si="4"/>
        <v>0</v>
      </c>
      <c r="R10" s="39">
        <f t="shared" si="5"/>
        <v>0</v>
      </c>
      <c r="S10" s="36"/>
      <c r="AC10" s="36"/>
    </row>
    <row r="11" spans="2:29" ht="14.25" thickBot="1" x14ac:dyDescent="0.2">
      <c r="B11" s="42" t="s">
        <v>2</v>
      </c>
      <c r="C11" s="43">
        <f>SUM(C5:C10)</f>
        <v>23</v>
      </c>
      <c r="D11" s="44">
        <f>SUM(D5:D10)</f>
        <v>19</v>
      </c>
      <c r="E11" s="48">
        <f t="shared" si="0"/>
        <v>42</v>
      </c>
      <c r="F11" s="43">
        <f>SUM(F5:F10)</f>
        <v>23</v>
      </c>
      <c r="G11" s="44">
        <f>SUM(G5:G10)</f>
        <v>19</v>
      </c>
      <c r="H11" s="56">
        <f t="shared" si="1"/>
        <v>42</v>
      </c>
      <c r="I11" s="41">
        <f t="shared" si="2"/>
        <v>84</v>
      </c>
      <c r="J11" s="35"/>
      <c r="K11" s="42" t="s">
        <v>2</v>
      </c>
      <c r="L11" s="43">
        <f>SUM(L5:L10)</f>
        <v>150</v>
      </c>
      <c r="M11" s="44">
        <f t="shared" ref="M11" si="9">SUM(M5:M10)</f>
        <v>150</v>
      </c>
      <c r="N11" s="48">
        <f t="shared" ref="N11" si="10">SUM(N5:N10)</f>
        <v>300</v>
      </c>
      <c r="O11" s="43">
        <f t="shared" ref="O11" si="11">SUM(O5:O10)</f>
        <v>150</v>
      </c>
      <c r="P11" s="44">
        <f t="shared" ref="P11" si="12">SUM(P5:P10)</f>
        <v>150</v>
      </c>
      <c r="Q11" s="56">
        <f t="shared" ref="Q11" si="13">SUM(Q5:Q10)</f>
        <v>300</v>
      </c>
      <c r="R11" s="41">
        <f t="shared" ref="R11" si="14">SUM(R5:R10)</f>
        <v>600</v>
      </c>
      <c r="AC11" s="35"/>
    </row>
    <row r="12" spans="2:29" x14ac:dyDescent="0.15">
      <c r="B12" s="9" t="s">
        <v>98</v>
      </c>
      <c r="C12" s="24">
        <v>9</v>
      </c>
      <c r="D12" s="18">
        <v>9</v>
      </c>
      <c r="E12" s="49">
        <f t="shared" si="0"/>
        <v>18</v>
      </c>
      <c r="F12" s="31">
        <v>9</v>
      </c>
      <c r="G12" s="7">
        <v>9</v>
      </c>
      <c r="H12" s="57">
        <f t="shared" si="1"/>
        <v>18</v>
      </c>
      <c r="I12" s="38">
        <f t="shared" si="2"/>
        <v>36</v>
      </c>
      <c r="J12" s="36">
        <v>45807</v>
      </c>
      <c r="K12" s="34" t="s">
        <v>88</v>
      </c>
      <c r="L12" s="24">
        <v>50</v>
      </c>
      <c r="M12" s="18">
        <v>50</v>
      </c>
      <c r="N12" s="78">
        <f t="shared" ref="N12:N34" si="15">SUM(L12:M12)</f>
        <v>100</v>
      </c>
      <c r="O12" s="24">
        <v>50</v>
      </c>
      <c r="P12" s="18">
        <v>50</v>
      </c>
      <c r="Q12" s="78">
        <f t="shared" ref="Q12:Q34" si="16">SUM(O12:P12)</f>
        <v>100</v>
      </c>
      <c r="R12" s="79">
        <f t="shared" ref="R12:R34" si="17">N12+Q12</f>
        <v>200</v>
      </c>
      <c r="S12" s="36">
        <v>45805</v>
      </c>
      <c r="AC12" s="36"/>
    </row>
    <row r="13" spans="2:29" x14ac:dyDescent="0.15">
      <c r="B13" s="34" t="s">
        <v>29</v>
      </c>
      <c r="C13" s="25">
        <v>1</v>
      </c>
      <c r="D13" s="19"/>
      <c r="E13" s="49">
        <f t="shared" si="0"/>
        <v>1</v>
      </c>
      <c r="F13" s="31">
        <v>1</v>
      </c>
      <c r="G13" s="7"/>
      <c r="H13" s="57">
        <f t="shared" si="1"/>
        <v>1</v>
      </c>
      <c r="I13" s="38">
        <f t="shared" si="2"/>
        <v>2</v>
      </c>
      <c r="J13" s="36">
        <v>45814</v>
      </c>
      <c r="K13" s="34" t="s">
        <v>96</v>
      </c>
      <c r="L13" s="31">
        <v>10</v>
      </c>
      <c r="M13" s="7">
        <v>10</v>
      </c>
      <c r="N13" s="57">
        <f t="shared" si="15"/>
        <v>20</v>
      </c>
      <c r="O13" s="31">
        <v>10</v>
      </c>
      <c r="P13" s="7">
        <v>10</v>
      </c>
      <c r="Q13" s="57">
        <f t="shared" si="16"/>
        <v>20</v>
      </c>
      <c r="R13" s="38">
        <f t="shared" si="17"/>
        <v>40</v>
      </c>
      <c r="S13" s="36">
        <v>45805</v>
      </c>
      <c r="AC13" s="36"/>
    </row>
    <row r="14" spans="2:29" x14ac:dyDescent="0.15">
      <c r="B14" s="34" t="s">
        <v>31</v>
      </c>
      <c r="C14" s="25">
        <v>1</v>
      </c>
      <c r="D14" s="19">
        <v>1</v>
      </c>
      <c r="E14" s="49">
        <f t="shared" si="0"/>
        <v>2</v>
      </c>
      <c r="F14" s="31">
        <v>1</v>
      </c>
      <c r="G14" s="7">
        <v>1</v>
      </c>
      <c r="H14" s="57">
        <f t="shared" si="1"/>
        <v>2</v>
      </c>
      <c r="I14" s="38">
        <f t="shared" si="2"/>
        <v>4</v>
      </c>
      <c r="J14" s="36">
        <v>45817</v>
      </c>
      <c r="K14" s="34" t="s">
        <v>26</v>
      </c>
      <c r="L14" s="25">
        <v>4</v>
      </c>
      <c r="M14" s="19">
        <v>4</v>
      </c>
      <c r="N14" s="49">
        <f t="shared" si="15"/>
        <v>8</v>
      </c>
      <c r="O14" s="31">
        <v>4</v>
      </c>
      <c r="P14" s="7">
        <v>4</v>
      </c>
      <c r="Q14" s="57">
        <f t="shared" si="16"/>
        <v>8</v>
      </c>
      <c r="R14" s="38">
        <f t="shared" si="17"/>
        <v>16</v>
      </c>
      <c r="S14" s="36">
        <v>45812</v>
      </c>
      <c r="AC14" s="36"/>
    </row>
    <row r="15" spans="2:29" x14ac:dyDescent="0.15">
      <c r="B15" s="34" t="s">
        <v>32</v>
      </c>
      <c r="C15" s="25">
        <v>1</v>
      </c>
      <c r="D15" s="19">
        <v>1</v>
      </c>
      <c r="E15" s="49">
        <f t="shared" si="0"/>
        <v>2</v>
      </c>
      <c r="F15" s="31">
        <v>1</v>
      </c>
      <c r="G15" s="7">
        <v>1</v>
      </c>
      <c r="H15" s="57">
        <f t="shared" si="1"/>
        <v>2</v>
      </c>
      <c r="I15" s="38">
        <f t="shared" si="2"/>
        <v>4</v>
      </c>
      <c r="J15" s="36">
        <v>45820</v>
      </c>
      <c r="K15" s="34" t="s">
        <v>27</v>
      </c>
      <c r="L15" s="25">
        <v>2</v>
      </c>
      <c r="M15" s="19">
        <v>5</v>
      </c>
      <c r="N15" s="57">
        <f t="shared" si="15"/>
        <v>7</v>
      </c>
      <c r="O15" s="31">
        <v>2</v>
      </c>
      <c r="P15" s="7">
        <v>5</v>
      </c>
      <c r="Q15" s="57">
        <f t="shared" si="16"/>
        <v>7</v>
      </c>
      <c r="R15" s="38">
        <f t="shared" si="17"/>
        <v>14</v>
      </c>
      <c r="S15" s="36">
        <v>45813</v>
      </c>
      <c r="AC15" s="36"/>
    </row>
    <row r="16" spans="2:29" x14ac:dyDescent="0.15">
      <c r="B16" s="34" t="s">
        <v>33</v>
      </c>
      <c r="C16" s="25">
        <v>1</v>
      </c>
      <c r="D16" s="19">
        <v>1</v>
      </c>
      <c r="E16" s="49">
        <f t="shared" si="0"/>
        <v>2</v>
      </c>
      <c r="F16" s="31">
        <v>1</v>
      </c>
      <c r="G16" s="7">
        <v>1</v>
      </c>
      <c r="H16" s="57">
        <f t="shared" si="1"/>
        <v>2</v>
      </c>
      <c r="I16" s="38">
        <f t="shared" si="2"/>
        <v>4</v>
      </c>
      <c r="J16" s="36">
        <v>45821</v>
      </c>
      <c r="K16" s="34" t="s">
        <v>28</v>
      </c>
      <c r="L16" s="25">
        <v>3</v>
      </c>
      <c r="M16" s="19">
        <v>3</v>
      </c>
      <c r="N16" s="57">
        <f t="shared" si="15"/>
        <v>6</v>
      </c>
      <c r="O16" s="31">
        <v>3</v>
      </c>
      <c r="P16" s="7">
        <v>3</v>
      </c>
      <c r="Q16" s="57">
        <f t="shared" si="16"/>
        <v>6</v>
      </c>
      <c r="R16" s="38">
        <f t="shared" si="17"/>
        <v>12</v>
      </c>
      <c r="S16" s="36">
        <v>45814</v>
      </c>
      <c r="AC16" s="36"/>
    </row>
    <row r="17" spans="2:29" x14ac:dyDescent="0.15">
      <c r="B17" s="34" t="s">
        <v>35</v>
      </c>
      <c r="C17" s="25">
        <v>1</v>
      </c>
      <c r="D17" s="19"/>
      <c r="E17" s="49">
        <f t="shared" si="0"/>
        <v>1</v>
      </c>
      <c r="F17" s="31">
        <v>1</v>
      </c>
      <c r="G17" s="7"/>
      <c r="H17" s="57">
        <f t="shared" si="1"/>
        <v>1</v>
      </c>
      <c r="I17" s="38">
        <f t="shared" si="2"/>
        <v>2</v>
      </c>
      <c r="J17" s="36">
        <v>45828</v>
      </c>
      <c r="K17" s="34" t="s">
        <v>18</v>
      </c>
      <c r="L17" s="25">
        <v>3</v>
      </c>
      <c r="M17" s="19">
        <v>3</v>
      </c>
      <c r="N17" s="57">
        <f t="shared" si="15"/>
        <v>6</v>
      </c>
      <c r="O17" s="31">
        <v>3</v>
      </c>
      <c r="P17" s="7">
        <v>3</v>
      </c>
      <c r="Q17" s="57">
        <f t="shared" si="16"/>
        <v>6</v>
      </c>
      <c r="R17" s="38">
        <f t="shared" si="17"/>
        <v>12</v>
      </c>
      <c r="S17" s="36">
        <v>45813</v>
      </c>
      <c r="AC17" s="36"/>
    </row>
    <row r="18" spans="2:29" x14ac:dyDescent="0.15">
      <c r="B18" s="6"/>
      <c r="C18" s="25"/>
      <c r="D18" s="19"/>
      <c r="E18" s="49">
        <f t="shared" ref="E18:E19" si="18">SUM(C18:D18)</f>
        <v>0</v>
      </c>
      <c r="F18" s="31"/>
      <c r="G18" s="7"/>
      <c r="H18" s="57">
        <f t="shared" ref="H18:H19" si="19">SUM(F18:G18)</f>
        <v>0</v>
      </c>
      <c r="I18" s="38">
        <f t="shared" ref="I18:I19" si="20">E18+H18</f>
        <v>0</v>
      </c>
      <c r="J18" s="36"/>
      <c r="K18" s="6" t="s">
        <v>18</v>
      </c>
      <c r="L18" s="25">
        <v>5</v>
      </c>
      <c r="M18" s="19">
        <v>5</v>
      </c>
      <c r="N18" s="57">
        <f t="shared" si="15"/>
        <v>10</v>
      </c>
      <c r="O18" s="31">
        <v>5</v>
      </c>
      <c r="P18" s="7">
        <v>5</v>
      </c>
      <c r="Q18" s="57">
        <f t="shared" si="16"/>
        <v>10</v>
      </c>
      <c r="R18" s="38">
        <f t="shared" si="17"/>
        <v>20</v>
      </c>
      <c r="S18" s="36">
        <v>45815</v>
      </c>
      <c r="AC18" s="36"/>
    </row>
    <row r="19" spans="2:29" x14ac:dyDescent="0.15">
      <c r="B19" s="6"/>
      <c r="C19" s="25"/>
      <c r="D19" s="19"/>
      <c r="E19" s="49">
        <f t="shared" si="18"/>
        <v>0</v>
      </c>
      <c r="F19" s="31"/>
      <c r="G19" s="7"/>
      <c r="H19" s="57">
        <f t="shared" si="19"/>
        <v>0</v>
      </c>
      <c r="I19" s="38">
        <f t="shared" si="20"/>
        <v>0</v>
      </c>
      <c r="J19" s="36"/>
      <c r="K19" s="6" t="s">
        <v>18</v>
      </c>
      <c r="L19" s="25">
        <v>5</v>
      </c>
      <c r="M19" s="19"/>
      <c r="N19" s="57">
        <f t="shared" si="15"/>
        <v>5</v>
      </c>
      <c r="O19" s="31">
        <v>5</v>
      </c>
      <c r="P19" s="7"/>
      <c r="Q19" s="57">
        <f t="shared" si="16"/>
        <v>5</v>
      </c>
      <c r="R19" s="38">
        <f t="shared" si="17"/>
        <v>10</v>
      </c>
      <c r="S19" s="36">
        <v>45833</v>
      </c>
      <c r="AC19" s="36"/>
    </row>
    <row r="20" spans="2:29" x14ac:dyDescent="0.15">
      <c r="B20" s="6"/>
      <c r="C20" s="25"/>
      <c r="D20" s="19"/>
      <c r="E20" s="49">
        <f t="shared" si="0"/>
        <v>0</v>
      </c>
      <c r="F20" s="31"/>
      <c r="G20" s="7"/>
      <c r="H20" s="57">
        <f t="shared" si="1"/>
        <v>0</v>
      </c>
      <c r="I20" s="38">
        <f t="shared" si="2"/>
        <v>0</v>
      </c>
      <c r="J20" s="36"/>
      <c r="K20" s="34"/>
      <c r="L20" s="25"/>
      <c r="M20" s="19"/>
      <c r="N20" s="57">
        <f t="shared" ref="N20" si="21">SUM(L20:M20)</f>
        <v>0</v>
      </c>
      <c r="O20" s="31"/>
      <c r="P20" s="7"/>
      <c r="Q20" s="57">
        <f t="shared" ref="Q20" si="22">SUM(O20:P20)</f>
        <v>0</v>
      </c>
      <c r="R20" s="38">
        <f t="shared" ref="R20" si="23">N20+Q20</f>
        <v>0</v>
      </c>
      <c r="S20" s="36"/>
      <c r="AC20" s="36"/>
    </row>
    <row r="21" spans="2:29" x14ac:dyDescent="0.15">
      <c r="B21" s="6"/>
      <c r="C21" s="25"/>
      <c r="D21" s="19"/>
      <c r="E21" s="49">
        <f t="shared" si="0"/>
        <v>0</v>
      </c>
      <c r="F21" s="31"/>
      <c r="G21" s="7"/>
      <c r="H21" s="57">
        <f t="shared" si="1"/>
        <v>0</v>
      </c>
      <c r="I21" s="38">
        <f t="shared" si="2"/>
        <v>0</v>
      </c>
      <c r="J21" s="36"/>
      <c r="K21" s="34"/>
      <c r="L21" s="25"/>
      <c r="M21" s="19"/>
      <c r="N21" s="57">
        <f t="shared" si="15"/>
        <v>0</v>
      </c>
      <c r="O21" s="31"/>
      <c r="P21" s="7"/>
      <c r="Q21" s="57">
        <f t="shared" si="16"/>
        <v>0</v>
      </c>
      <c r="R21" s="38">
        <f t="shared" si="17"/>
        <v>0</v>
      </c>
      <c r="S21" s="36"/>
      <c r="AC21" s="36"/>
    </row>
    <row r="22" spans="2:29" x14ac:dyDescent="0.15">
      <c r="B22" s="6"/>
      <c r="C22" s="25"/>
      <c r="D22" s="19"/>
      <c r="E22" s="49">
        <f t="shared" si="0"/>
        <v>0</v>
      </c>
      <c r="F22" s="31"/>
      <c r="G22" s="7"/>
      <c r="H22" s="57">
        <f t="shared" si="1"/>
        <v>0</v>
      </c>
      <c r="I22" s="38">
        <f t="shared" si="2"/>
        <v>0</v>
      </c>
      <c r="J22" s="36"/>
      <c r="K22" s="6"/>
      <c r="L22" s="25"/>
      <c r="M22" s="19"/>
      <c r="N22" s="57">
        <f t="shared" si="15"/>
        <v>0</v>
      </c>
      <c r="O22" s="31"/>
      <c r="P22" s="7"/>
      <c r="Q22" s="57">
        <f t="shared" si="16"/>
        <v>0</v>
      </c>
      <c r="R22" s="38">
        <f t="shared" si="17"/>
        <v>0</v>
      </c>
      <c r="S22" s="36"/>
      <c r="AC22" s="37"/>
    </row>
    <row r="23" spans="2:29" x14ac:dyDescent="0.15">
      <c r="B23" s="6"/>
      <c r="C23" s="25"/>
      <c r="D23" s="19"/>
      <c r="E23" s="49">
        <f t="shared" si="0"/>
        <v>0</v>
      </c>
      <c r="F23" s="31"/>
      <c r="G23" s="7"/>
      <c r="H23" s="57">
        <f t="shared" si="1"/>
        <v>0</v>
      </c>
      <c r="I23" s="38">
        <f t="shared" si="2"/>
        <v>0</v>
      </c>
      <c r="J23" s="36"/>
      <c r="K23" s="6"/>
      <c r="L23" s="25"/>
      <c r="M23" s="19"/>
      <c r="N23" s="57">
        <f t="shared" si="15"/>
        <v>0</v>
      </c>
      <c r="O23" s="31"/>
      <c r="P23" s="7"/>
      <c r="Q23" s="57">
        <f t="shared" si="16"/>
        <v>0</v>
      </c>
      <c r="R23" s="38">
        <f t="shared" si="17"/>
        <v>0</v>
      </c>
      <c r="S23" s="36"/>
      <c r="AC23" s="37"/>
    </row>
    <row r="24" spans="2:29" x14ac:dyDescent="0.15">
      <c r="B24" s="6"/>
      <c r="C24" s="25"/>
      <c r="D24" s="19"/>
      <c r="E24" s="49">
        <f t="shared" si="0"/>
        <v>0</v>
      </c>
      <c r="F24" s="31"/>
      <c r="G24" s="7"/>
      <c r="H24" s="57">
        <f t="shared" si="1"/>
        <v>0</v>
      </c>
      <c r="I24" s="38">
        <f t="shared" si="2"/>
        <v>0</v>
      </c>
      <c r="J24" s="36"/>
      <c r="K24" s="6"/>
      <c r="L24" s="25"/>
      <c r="M24" s="19"/>
      <c r="N24" s="57">
        <f t="shared" si="15"/>
        <v>0</v>
      </c>
      <c r="O24" s="31"/>
      <c r="P24" s="7"/>
      <c r="Q24" s="57">
        <f t="shared" si="16"/>
        <v>0</v>
      </c>
      <c r="R24" s="38">
        <f t="shared" si="17"/>
        <v>0</v>
      </c>
      <c r="S24" s="36"/>
      <c r="AC24" s="36"/>
    </row>
    <row r="25" spans="2:29" x14ac:dyDescent="0.15">
      <c r="B25" s="34"/>
      <c r="C25" s="25"/>
      <c r="D25" s="19"/>
      <c r="E25" s="49">
        <f t="shared" si="0"/>
        <v>0</v>
      </c>
      <c r="F25" s="31"/>
      <c r="G25" s="7"/>
      <c r="H25" s="57">
        <f t="shared" si="1"/>
        <v>0</v>
      </c>
      <c r="I25" s="38">
        <f t="shared" si="2"/>
        <v>0</v>
      </c>
      <c r="J25" s="36"/>
      <c r="K25" s="6"/>
      <c r="L25" s="28"/>
      <c r="M25" s="22"/>
      <c r="N25" s="57">
        <f t="shared" si="15"/>
        <v>0</v>
      </c>
      <c r="O25" s="33"/>
      <c r="P25" s="8"/>
      <c r="Q25" s="57">
        <f t="shared" si="16"/>
        <v>0</v>
      </c>
      <c r="R25" s="38">
        <f t="shared" si="17"/>
        <v>0</v>
      </c>
      <c r="S25" s="37"/>
      <c r="AC25" s="37"/>
    </row>
    <row r="26" spans="2:29" x14ac:dyDescent="0.15">
      <c r="B26" s="6"/>
      <c r="C26" s="25"/>
      <c r="D26" s="19"/>
      <c r="E26" s="49">
        <f t="shared" si="0"/>
        <v>0</v>
      </c>
      <c r="F26" s="31"/>
      <c r="G26" s="7"/>
      <c r="H26" s="57">
        <f t="shared" si="1"/>
        <v>0</v>
      </c>
      <c r="I26" s="38">
        <f t="shared" si="2"/>
        <v>0</v>
      </c>
      <c r="J26" s="36"/>
      <c r="K26" s="6"/>
      <c r="L26" s="28"/>
      <c r="M26" s="22"/>
      <c r="N26" s="57">
        <f t="shared" si="15"/>
        <v>0</v>
      </c>
      <c r="O26" s="33"/>
      <c r="P26" s="8"/>
      <c r="Q26" s="57">
        <f t="shared" si="16"/>
        <v>0</v>
      </c>
      <c r="R26" s="38">
        <f t="shared" si="17"/>
        <v>0</v>
      </c>
      <c r="S26" s="37"/>
      <c r="AC26" s="37"/>
    </row>
    <row r="27" spans="2:29" x14ac:dyDescent="0.15">
      <c r="B27" s="6"/>
      <c r="C27" s="25"/>
      <c r="D27" s="19"/>
      <c r="E27" s="49">
        <f t="shared" si="0"/>
        <v>0</v>
      </c>
      <c r="F27" s="31"/>
      <c r="G27" s="7"/>
      <c r="H27" s="57">
        <f t="shared" si="1"/>
        <v>0</v>
      </c>
      <c r="I27" s="38">
        <f t="shared" si="2"/>
        <v>0</v>
      </c>
      <c r="J27" s="36"/>
      <c r="K27" s="6"/>
      <c r="L27" s="28"/>
      <c r="M27" s="22"/>
      <c r="N27" s="57">
        <f t="shared" si="15"/>
        <v>0</v>
      </c>
      <c r="O27" s="33"/>
      <c r="P27" s="8"/>
      <c r="Q27" s="57">
        <f t="shared" si="16"/>
        <v>0</v>
      </c>
      <c r="R27" s="38">
        <f t="shared" si="17"/>
        <v>0</v>
      </c>
      <c r="S27" s="37"/>
      <c r="AC27" s="37"/>
    </row>
    <row r="28" spans="2:29" x14ac:dyDescent="0.15">
      <c r="B28" s="6"/>
      <c r="C28" s="25"/>
      <c r="D28" s="19"/>
      <c r="E28" s="49">
        <f t="shared" si="0"/>
        <v>0</v>
      </c>
      <c r="F28" s="31"/>
      <c r="G28" s="7"/>
      <c r="H28" s="57">
        <f t="shared" si="1"/>
        <v>0</v>
      </c>
      <c r="I28" s="38">
        <f t="shared" si="2"/>
        <v>0</v>
      </c>
      <c r="J28" s="36"/>
      <c r="K28" s="6"/>
      <c r="L28" s="28"/>
      <c r="M28" s="22"/>
      <c r="N28" s="57">
        <f t="shared" si="15"/>
        <v>0</v>
      </c>
      <c r="O28" s="33"/>
      <c r="P28" s="8"/>
      <c r="Q28" s="57">
        <f t="shared" si="16"/>
        <v>0</v>
      </c>
      <c r="R28" s="38">
        <f t="shared" si="17"/>
        <v>0</v>
      </c>
      <c r="S28" s="37"/>
      <c r="AC28" s="37"/>
    </row>
    <row r="29" spans="2:29" x14ac:dyDescent="0.15">
      <c r="B29" s="6"/>
      <c r="C29" s="25"/>
      <c r="D29" s="19"/>
      <c r="E29" s="49">
        <f t="shared" si="0"/>
        <v>0</v>
      </c>
      <c r="F29" s="31"/>
      <c r="G29" s="7"/>
      <c r="H29" s="57">
        <f t="shared" si="1"/>
        <v>0</v>
      </c>
      <c r="I29" s="38">
        <f t="shared" si="2"/>
        <v>0</v>
      </c>
      <c r="J29" s="36"/>
      <c r="K29" s="6"/>
      <c r="L29" s="28"/>
      <c r="M29" s="22"/>
      <c r="N29" s="57">
        <f t="shared" si="15"/>
        <v>0</v>
      </c>
      <c r="O29" s="33"/>
      <c r="P29" s="8"/>
      <c r="Q29" s="57">
        <f t="shared" si="16"/>
        <v>0</v>
      </c>
      <c r="R29" s="38">
        <f t="shared" si="17"/>
        <v>0</v>
      </c>
      <c r="S29" s="37"/>
      <c r="AC29" s="37"/>
    </row>
    <row r="30" spans="2:29" x14ac:dyDescent="0.15">
      <c r="B30" s="34"/>
      <c r="C30" s="25"/>
      <c r="D30" s="19"/>
      <c r="E30" s="49">
        <f t="shared" si="0"/>
        <v>0</v>
      </c>
      <c r="F30" s="31"/>
      <c r="G30" s="7"/>
      <c r="H30" s="57">
        <f t="shared" si="1"/>
        <v>0</v>
      </c>
      <c r="I30" s="38">
        <f t="shared" si="2"/>
        <v>0</v>
      </c>
      <c r="J30" s="36"/>
      <c r="K30" s="6"/>
      <c r="L30" s="28"/>
      <c r="M30" s="22"/>
      <c r="N30" s="57">
        <f t="shared" si="15"/>
        <v>0</v>
      </c>
      <c r="O30" s="33"/>
      <c r="P30" s="8"/>
      <c r="Q30" s="57">
        <f t="shared" si="16"/>
        <v>0</v>
      </c>
      <c r="R30" s="38">
        <f t="shared" si="17"/>
        <v>0</v>
      </c>
      <c r="S30" s="37"/>
      <c r="AC30" s="37"/>
    </row>
    <row r="31" spans="2:29" x14ac:dyDescent="0.15">
      <c r="B31" s="6"/>
      <c r="C31" s="25"/>
      <c r="D31" s="19"/>
      <c r="E31" s="49">
        <f t="shared" si="0"/>
        <v>0</v>
      </c>
      <c r="F31" s="31"/>
      <c r="G31" s="7"/>
      <c r="H31" s="57">
        <f t="shared" si="1"/>
        <v>0</v>
      </c>
      <c r="I31" s="38">
        <f t="shared" si="2"/>
        <v>0</v>
      </c>
      <c r="J31" s="36"/>
      <c r="K31" s="6"/>
      <c r="L31" s="25"/>
      <c r="M31" s="19"/>
      <c r="N31" s="57">
        <f t="shared" si="15"/>
        <v>0</v>
      </c>
      <c r="O31" s="31"/>
      <c r="P31" s="7"/>
      <c r="Q31" s="57">
        <f t="shared" si="16"/>
        <v>0</v>
      </c>
      <c r="R31" s="38">
        <f t="shared" si="17"/>
        <v>0</v>
      </c>
      <c r="S31" s="36"/>
      <c r="AC31" s="36"/>
    </row>
    <row r="32" spans="2:29" x14ac:dyDescent="0.15">
      <c r="B32" s="6"/>
      <c r="C32" s="25"/>
      <c r="D32" s="19"/>
      <c r="E32" s="49">
        <f t="shared" si="0"/>
        <v>0</v>
      </c>
      <c r="F32" s="31"/>
      <c r="G32" s="7"/>
      <c r="H32" s="57">
        <f t="shared" si="1"/>
        <v>0</v>
      </c>
      <c r="I32" s="38">
        <f t="shared" si="2"/>
        <v>0</v>
      </c>
      <c r="J32" s="36"/>
      <c r="K32" s="6"/>
      <c r="L32" s="25"/>
      <c r="M32" s="19"/>
      <c r="N32" s="57">
        <f t="shared" si="15"/>
        <v>0</v>
      </c>
      <c r="O32" s="31"/>
      <c r="P32" s="7"/>
      <c r="Q32" s="57">
        <f t="shared" si="16"/>
        <v>0</v>
      </c>
      <c r="R32" s="38">
        <f t="shared" si="17"/>
        <v>0</v>
      </c>
      <c r="S32" s="36"/>
      <c r="AC32" s="36"/>
    </row>
    <row r="33" spans="2:29" x14ac:dyDescent="0.15">
      <c r="B33" s="6"/>
      <c r="C33" s="25"/>
      <c r="D33" s="19"/>
      <c r="E33" s="49">
        <f t="shared" si="0"/>
        <v>0</v>
      </c>
      <c r="F33" s="31"/>
      <c r="G33" s="7"/>
      <c r="H33" s="57">
        <f t="shared" si="1"/>
        <v>0</v>
      </c>
      <c r="I33" s="38">
        <f t="shared" si="2"/>
        <v>0</v>
      </c>
      <c r="J33" s="36"/>
      <c r="K33" s="6"/>
      <c r="L33" s="25"/>
      <c r="M33" s="19"/>
      <c r="N33" s="57">
        <f t="shared" si="15"/>
        <v>0</v>
      </c>
      <c r="O33" s="31"/>
      <c r="P33" s="7"/>
      <c r="Q33" s="57">
        <f t="shared" si="16"/>
        <v>0</v>
      </c>
      <c r="R33" s="38">
        <f t="shared" si="17"/>
        <v>0</v>
      </c>
      <c r="S33" s="36"/>
      <c r="AC33" s="36"/>
    </row>
    <row r="34" spans="2:29" x14ac:dyDescent="0.15">
      <c r="B34" s="6"/>
      <c r="C34" s="25"/>
      <c r="D34" s="19"/>
      <c r="E34" s="49">
        <f t="shared" si="0"/>
        <v>0</v>
      </c>
      <c r="F34" s="31"/>
      <c r="G34" s="7"/>
      <c r="H34" s="57">
        <f t="shared" si="1"/>
        <v>0</v>
      </c>
      <c r="I34" s="38">
        <f t="shared" si="2"/>
        <v>0</v>
      </c>
      <c r="J34" s="36"/>
      <c r="K34" s="6"/>
      <c r="L34" s="25"/>
      <c r="M34" s="19"/>
      <c r="N34" s="57">
        <f t="shared" si="15"/>
        <v>0</v>
      </c>
      <c r="O34" s="31"/>
      <c r="P34" s="7"/>
      <c r="Q34" s="57">
        <f t="shared" si="16"/>
        <v>0</v>
      </c>
      <c r="R34" s="38">
        <f t="shared" si="17"/>
        <v>0</v>
      </c>
      <c r="S34" s="36"/>
      <c r="AC34" s="36"/>
    </row>
    <row r="35" spans="2:29" x14ac:dyDescent="0.15">
      <c r="B35" s="6"/>
      <c r="C35" s="25"/>
      <c r="D35" s="19"/>
      <c r="E35" s="49">
        <f t="shared" si="0"/>
        <v>0</v>
      </c>
      <c r="F35" s="31"/>
      <c r="G35" s="7"/>
      <c r="H35" s="57">
        <f t="shared" si="1"/>
        <v>0</v>
      </c>
      <c r="I35" s="38">
        <f t="shared" si="2"/>
        <v>0</v>
      </c>
      <c r="J35" s="36"/>
      <c r="K35" s="6"/>
      <c r="L35" s="25"/>
      <c r="M35" s="19"/>
      <c r="N35" s="57">
        <f t="shared" ref="N35" si="24">SUM(L35:M35)</f>
        <v>0</v>
      </c>
      <c r="O35" s="31"/>
      <c r="P35" s="7"/>
      <c r="Q35" s="57">
        <f t="shared" ref="Q35" si="25">SUM(O35:P35)</f>
        <v>0</v>
      </c>
      <c r="R35" s="38">
        <f t="shared" ref="R35" si="26">N35+Q35</f>
        <v>0</v>
      </c>
      <c r="S35" s="36"/>
      <c r="AC35" s="36"/>
    </row>
    <row r="36" spans="2:29" ht="14.25" thickBot="1" x14ac:dyDescent="0.2">
      <c r="B36" s="6"/>
      <c r="C36" s="29"/>
      <c r="D36" s="20"/>
      <c r="E36" s="50">
        <f t="shared" si="0"/>
        <v>0</v>
      </c>
      <c r="F36" s="32"/>
      <c r="G36" s="5"/>
      <c r="H36" s="58">
        <f t="shared" si="1"/>
        <v>0</v>
      </c>
      <c r="I36" s="39">
        <f t="shared" si="2"/>
        <v>0</v>
      </c>
      <c r="J36" s="36"/>
      <c r="K36" s="6" t="s">
        <v>77</v>
      </c>
      <c r="L36" s="25"/>
      <c r="M36" s="19"/>
      <c r="N36" s="57">
        <f t="shared" ref="N36" si="27">SUM(L36:M36)</f>
        <v>0</v>
      </c>
      <c r="O36" s="25"/>
      <c r="P36" s="19"/>
      <c r="Q36" s="57">
        <f t="shared" ref="Q36" si="28">SUM(O36:P36)</f>
        <v>0</v>
      </c>
      <c r="R36" s="38">
        <f t="shared" ref="R36" si="29">N36+Q36</f>
        <v>0</v>
      </c>
      <c r="S36" s="36" t="s">
        <v>16</v>
      </c>
      <c r="AC36" s="36"/>
    </row>
    <row r="37" spans="2:29" ht="14.25" thickBot="1" x14ac:dyDescent="0.2">
      <c r="B37" s="4" t="s">
        <v>1</v>
      </c>
      <c r="C37" s="27">
        <f>SUM(C12:C36)</f>
        <v>14</v>
      </c>
      <c r="D37" s="21">
        <f>SUM(D12:D36)</f>
        <v>12</v>
      </c>
      <c r="E37" s="51">
        <f t="shared" si="0"/>
        <v>26</v>
      </c>
      <c r="F37" s="27">
        <f>SUM(F12:F36)</f>
        <v>14</v>
      </c>
      <c r="G37" s="21">
        <f>SUM(G12:G36)</f>
        <v>12</v>
      </c>
      <c r="H37" s="59">
        <f t="shared" si="1"/>
        <v>26</v>
      </c>
      <c r="I37" s="40">
        <f t="shared" si="2"/>
        <v>52</v>
      </c>
      <c r="J37" s="35"/>
      <c r="K37" s="4" t="s">
        <v>1</v>
      </c>
      <c r="L37" s="27">
        <f>SUM(L12:L36)</f>
        <v>82</v>
      </c>
      <c r="M37" s="21">
        <f t="shared" ref="M37" si="30">SUM(M12:M36)</f>
        <v>80</v>
      </c>
      <c r="N37" s="51">
        <f t="shared" ref="N37" si="31">SUM(N12:N36)</f>
        <v>162</v>
      </c>
      <c r="O37" s="27">
        <f t="shared" ref="O37" si="32">SUM(O12:O36)</f>
        <v>82</v>
      </c>
      <c r="P37" s="21">
        <f t="shared" ref="P37" si="33">SUM(P12:P36)</f>
        <v>80</v>
      </c>
      <c r="Q37" s="59">
        <f t="shared" ref="Q37" si="34">SUM(Q12:Q36)</f>
        <v>162</v>
      </c>
      <c r="R37" s="40">
        <f t="shared" ref="R37" si="35">SUM(R12:R36)</f>
        <v>324</v>
      </c>
      <c r="AC37" s="35"/>
    </row>
    <row r="38" spans="2:29" ht="14.25" thickBot="1" x14ac:dyDescent="0.2">
      <c r="B38" s="3" t="s">
        <v>0</v>
      </c>
      <c r="C38" s="30">
        <f>+C11-C37</f>
        <v>9</v>
      </c>
      <c r="D38" s="2">
        <f>+D11-D37</f>
        <v>7</v>
      </c>
      <c r="E38" s="52">
        <f t="shared" si="0"/>
        <v>16</v>
      </c>
      <c r="F38" s="30">
        <f>+F11-F37</f>
        <v>9</v>
      </c>
      <c r="G38" s="2">
        <f>+G11-G37</f>
        <v>7</v>
      </c>
      <c r="H38" s="60">
        <f t="shared" si="1"/>
        <v>16</v>
      </c>
      <c r="I38" s="41">
        <f t="shared" si="2"/>
        <v>32</v>
      </c>
      <c r="J38" s="35"/>
      <c r="K38" s="3" t="s">
        <v>0</v>
      </c>
      <c r="L38" s="30">
        <f>+L11-L37</f>
        <v>68</v>
      </c>
      <c r="M38" s="2">
        <f t="shared" ref="M38" si="36">+M11-M37</f>
        <v>70</v>
      </c>
      <c r="N38" s="52">
        <f t="shared" ref="N38" si="37">+N11-N37</f>
        <v>138</v>
      </c>
      <c r="O38" s="30">
        <f t="shared" ref="O38" si="38">+O11-O37</f>
        <v>68</v>
      </c>
      <c r="P38" s="2">
        <f t="shared" ref="P38" si="39">+P11-P37</f>
        <v>70</v>
      </c>
      <c r="Q38" s="60">
        <f t="shared" ref="Q38" si="40">+Q11-Q37</f>
        <v>138</v>
      </c>
      <c r="R38" s="41">
        <f t="shared" ref="R38" si="41">+R11-R37</f>
        <v>276</v>
      </c>
      <c r="AC38" s="35"/>
    </row>
    <row r="39" spans="2:29" x14ac:dyDescent="0.15">
      <c r="B39" s="1"/>
      <c r="J39" s="35"/>
      <c r="AC39" s="35"/>
    </row>
    <row r="40" spans="2:29" x14ac:dyDescent="0.15">
      <c r="K40"/>
      <c r="S40"/>
    </row>
    <row r="42" spans="2:29" ht="18.75" x14ac:dyDescent="0.2">
      <c r="B42" s="85" t="s">
        <v>11</v>
      </c>
      <c r="C42" s="86"/>
      <c r="D42" s="86"/>
      <c r="E42" s="86"/>
      <c r="F42" s="86"/>
      <c r="G42" s="86"/>
      <c r="H42" s="86"/>
      <c r="I42" s="86"/>
      <c r="K42" s="88" t="s">
        <v>17</v>
      </c>
      <c r="L42" s="89"/>
      <c r="M42" s="89"/>
      <c r="N42" s="89"/>
      <c r="O42" s="89"/>
      <c r="P42" s="89"/>
      <c r="Q42" s="89"/>
      <c r="R42" s="89"/>
    </row>
    <row r="43" spans="2:29" ht="18" thickBot="1" x14ac:dyDescent="0.25">
      <c r="B43" s="87" t="s">
        <v>99</v>
      </c>
      <c r="C43" s="86"/>
      <c r="D43" s="86"/>
      <c r="E43" s="86"/>
      <c r="F43" s="86"/>
      <c r="G43" s="86"/>
      <c r="H43" s="86"/>
      <c r="I43" s="86"/>
      <c r="K43" s="90" t="s">
        <v>100</v>
      </c>
      <c r="L43" s="89"/>
      <c r="M43" s="89"/>
      <c r="N43" s="89"/>
      <c r="O43" s="89"/>
      <c r="P43" s="89"/>
      <c r="Q43" s="89"/>
      <c r="R43" s="89"/>
    </row>
    <row r="44" spans="2:29" ht="14.25" thickBot="1" x14ac:dyDescent="0.2">
      <c r="B44" s="14"/>
      <c r="C44" s="209" t="s">
        <v>69</v>
      </c>
      <c r="D44" s="210"/>
      <c r="E44" s="211"/>
      <c r="F44" s="222" t="s">
        <v>70</v>
      </c>
      <c r="G44" s="223"/>
      <c r="H44" s="223"/>
      <c r="I44" s="217" t="s">
        <v>8</v>
      </c>
      <c r="K44" s="14"/>
      <c r="L44" s="209" t="s">
        <v>69</v>
      </c>
      <c r="M44" s="210"/>
      <c r="N44" s="211"/>
      <c r="O44" s="222" t="s">
        <v>70</v>
      </c>
      <c r="P44" s="223"/>
      <c r="Q44" s="223"/>
      <c r="R44" s="217" t="s">
        <v>8</v>
      </c>
    </row>
    <row r="45" spans="2:29" ht="14.25" thickBot="1" x14ac:dyDescent="0.2">
      <c r="B45" s="4"/>
      <c r="C45" s="62" t="s">
        <v>6</v>
      </c>
      <c r="D45" s="61" t="s">
        <v>5</v>
      </c>
      <c r="E45" s="63" t="s">
        <v>4</v>
      </c>
      <c r="F45" s="62" t="s">
        <v>6</v>
      </c>
      <c r="G45" s="61" t="s">
        <v>5</v>
      </c>
      <c r="H45" s="63" t="s">
        <v>4</v>
      </c>
      <c r="I45" s="218"/>
      <c r="K45" s="13"/>
      <c r="L45" s="23" t="s">
        <v>6</v>
      </c>
      <c r="M45" s="12" t="s">
        <v>5</v>
      </c>
      <c r="N45" s="45" t="s">
        <v>4</v>
      </c>
      <c r="O45" s="23" t="s">
        <v>6</v>
      </c>
      <c r="P45" s="12" t="s">
        <v>5</v>
      </c>
      <c r="Q45" s="53" t="s">
        <v>4</v>
      </c>
      <c r="R45" s="218"/>
      <c r="T45" s="1"/>
    </row>
    <row r="46" spans="2:29" x14ac:dyDescent="0.15">
      <c r="B46" s="64" t="s">
        <v>0</v>
      </c>
      <c r="C46" s="65">
        <f>C38</f>
        <v>9</v>
      </c>
      <c r="D46" s="73">
        <f>D38</f>
        <v>7</v>
      </c>
      <c r="E46" s="66">
        <f t="shared" ref="E46:E79" si="42">SUM(C46:D46)</f>
        <v>16</v>
      </c>
      <c r="F46" s="65">
        <f>F38</f>
        <v>9</v>
      </c>
      <c r="G46" s="73">
        <f>G38</f>
        <v>7</v>
      </c>
      <c r="H46" s="67">
        <f t="shared" ref="H46:H79" si="43">SUM(F46:G46)</f>
        <v>16</v>
      </c>
      <c r="I46" s="68">
        <f>E46+H46</f>
        <v>32</v>
      </c>
      <c r="K46" s="64" t="s">
        <v>0</v>
      </c>
      <c r="L46" s="65">
        <f>L38</f>
        <v>68</v>
      </c>
      <c r="M46" s="73">
        <f t="shared" ref="M46:R46" si="44">M38</f>
        <v>70</v>
      </c>
      <c r="N46" s="66">
        <f t="shared" si="44"/>
        <v>138</v>
      </c>
      <c r="O46" s="65">
        <f t="shared" si="44"/>
        <v>68</v>
      </c>
      <c r="P46" s="73">
        <f t="shared" si="44"/>
        <v>70</v>
      </c>
      <c r="Q46" s="67">
        <f t="shared" si="44"/>
        <v>138</v>
      </c>
      <c r="R46" s="68">
        <f t="shared" si="44"/>
        <v>276</v>
      </c>
      <c r="S46" s="69"/>
    </row>
    <row r="47" spans="2:29" x14ac:dyDescent="0.15">
      <c r="B47" s="11" t="s">
        <v>3</v>
      </c>
      <c r="C47" s="25">
        <v>5</v>
      </c>
      <c r="D47" s="19">
        <v>5</v>
      </c>
      <c r="E47" s="46">
        <f t="shared" ref="E47:E51" si="45">SUM(C47:D47)</f>
        <v>10</v>
      </c>
      <c r="F47" s="31">
        <v>5</v>
      </c>
      <c r="G47" s="7">
        <v>5</v>
      </c>
      <c r="H47" s="54">
        <f t="shared" ref="H47:H51" si="46">SUM(F47:G47)</f>
        <v>10</v>
      </c>
      <c r="I47" s="38">
        <f t="shared" ref="I47:I51" si="47">E47+H47</f>
        <v>20</v>
      </c>
      <c r="J47" s="36">
        <v>45866</v>
      </c>
      <c r="K47" s="11" t="s">
        <v>3</v>
      </c>
      <c r="L47" s="25"/>
      <c r="M47" s="19"/>
      <c r="N47" s="46">
        <f t="shared" ref="N47:N77" si="48">SUM(L47:M47)</f>
        <v>0</v>
      </c>
      <c r="O47" s="31"/>
      <c r="P47" s="7"/>
      <c r="Q47" s="54">
        <f t="shared" ref="Q47:Q77" si="49">SUM(O47:P47)</f>
        <v>0</v>
      </c>
      <c r="R47" s="38">
        <f t="shared" ref="R47:R77" si="50">N47+Q47</f>
        <v>0</v>
      </c>
      <c r="S47" s="36"/>
    </row>
    <row r="48" spans="2:29" x14ac:dyDescent="0.15">
      <c r="B48" s="11" t="s">
        <v>3</v>
      </c>
      <c r="C48" s="25">
        <v>5</v>
      </c>
      <c r="D48" s="19">
        <v>5</v>
      </c>
      <c r="E48" s="46">
        <f t="shared" si="45"/>
        <v>10</v>
      </c>
      <c r="F48" s="31">
        <v>5</v>
      </c>
      <c r="G48" s="7">
        <v>5</v>
      </c>
      <c r="H48" s="54">
        <f t="shared" si="46"/>
        <v>10</v>
      </c>
      <c r="I48" s="38">
        <f t="shared" si="47"/>
        <v>20</v>
      </c>
      <c r="J48" s="36">
        <v>45871</v>
      </c>
      <c r="K48" s="11" t="s">
        <v>73</v>
      </c>
      <c r="L48" s="25">
        <v>150</v>
      </c>
      <c r="M48" s="19">
        <v>130</v>
      </c>
      <c r="N48" s="46">
        <f t="shared" si="48"/>
        <v>280</v>
      </c>
      <c r="O48" s="31">
        <v>150</v>
      </c>
      <c r="P48" s="7">
        <v>130</v>
      </c>
      <c r="Q48" s="54">
        <f t="shared" si="49"/>
        <v>280</v>
      </c>
      <c r="R48" s="38">
        <f t="shared" si="50"/>
        <v>560</v>
      </c>
      <c r="S48" s="36" t="s">
        <v>101</v>
      </c>
    </row>
    <row r="49" spans="2:19" x14ac:dyDescent="0.15">
      <c r="B49" s="11" t="s">
        <v>55</v>
      </c>
      <c r="C49" s="25">
        <v>0</v>
      </c>
      <c r="D49" s="19">
        <v>0</v>
      </c>
      <c r="E49" s="46">
        <f t="shared" si="45"/>
        <v>0</v>
      </c>
      <c r="F49" s="31">
        <v>0</v>
      </c>
      <c r="G49" s="7">
        <v>0</v>
      </c>
      <c r="H49" s="54">
        <f t="shared" si="46"/>
        <v>0</v>
      </c>
      <c r="I49" s="38">
        <f t="shared" si="47"/>
        <v>0</v>
      </c>
      <c r="J49" s="36">
        <v>45878</v>
      </c>
      <c r="K49" s="11" t="s">
        <v>141</v>
      </c>
      <c r="L49" s="25">
        <v>22</v>
      </c>
      <c r="M49" s="19">
        <v>11</v>
      </c>
      <c r="N49" s="46">
        <f t="shared" si="48"/>
        <v>33</v>
      </c>
      <c r="O49" s="31">
        <v>22</v>
      </c>
      <c r="P49" s="7">
        <v>11</v>
      </c>
      <c r="Q49" s="54">
        <f t="shared" si="49"/>
        <v>33</v>
      </c>
      <c r="R49" s="38">
        <f t="shared" si="50"/>
        <v>66</v>
      </c>
      <c r="S49" s="36">
        <v>45897</v>
      </c>
    </row>
    <row r="50" spans="2:19" x14ac:dyDescent="0.15">
      <c r="B50" s="11" t="s">
        <v>3</v>
      </c>
      <c r="C50" s="25">
        <v>5</v>
      </c>
      <c r="D50" s="19"/>
      <c r="E50" s="46">
        <f t="shared" si="45"/>
        <v>5</v>
      </c>
      <c r="F50" s="25">
        <v>5</v>
      </c>
      <c r="G50" s="19"/>
      <c r="H50" s="54">
        <f t="shared" si="46"/>
        <v>5</v>
      </c>
      <c r="I50" s="95">
        <f t="shared" si="47"/>
        <v>10</v>
      </c>
      <c r="J50" s="36">
        <v>45894</v>
      </c>
      <c r="K50" s="11" t="s">
        <v>3</v>
      </c>
      <c r="L50" s="25"/>
      <c r="M50" s="19"/>
      <c r="N50" s="46">
        <f t="shared" si="48"/>
        <v>0</v>
      </c>
      <c r="O50" s="31"/>
      <c r="P50" s="7"/>
      <c r="Q50" s="54">
        <f t="shared" si="49"/>
        <v>0</v>
      </c>
      <c r="R50" s="38">
        <f t="shared" si="50"/>
        <v>0</v>
      </c>
      <c r="S50" s="36"/>
    </row>
    <row r="51" spans="2:19" ht="14.25" thickBot="1" x14ac:dyDescent="0.2">
      <c r="B51" s="10" t="s">
        <v>3</v>
      </c>
      <c r="C51" s="26">
        <v>5</v>
      </c>
      <c r="D51" s="20"/>
      <c r="E51" s="47">
        <f t="shared" si="45"/>
        <v>5</v>
      </c>
      <c r="F51" s="32">
        <v>5</v>
      </c>
      <c r="G51" s="5"/>
      <c r="H51" s="55">
        <f t="shared" si="46"/>
        <v>5</v>
      </c>
      <c r="I51" s="39">
        <f t="shared" si="47"/>
        <v>10</v>
      </c>
      <c r="J51" s="36">
        <v>45916</v>
      </c>
      <c r="K51" s="10" t="s">
        <v>3</v>
      </c>
      <c r="L51" s="26"/>
      <c r="M51" s="20"/>
      <c r="N51" s="47">
        <f t="shared" si="48"/>
        <v>0</v>
      </c>
      <c r="O51" s="32"/>
      <c r="P51" s="5"/>
      <c r="Q51" s="55">
        <f t="shared" si="49"/>
        <v>0</v>
      </c>
      <c r="R51" s="39">
        <f t="shared" si="50"/>
        <v>0</v>
      </c>
      <c r="S51" s="36"/>
    </row>
    <row r="52" spans="2:19" ht="14.25" thickBot="1" x14ac:dyDescent="0.2">
      <c r="B52" s="42" t="s">
        <v>2</v>
      </c>
      <c r="C52" s="43">
        <f>SUM(C46:C51)</f>
        <v>29</v>
      </c>
      <c r="D52" s="44">
        <f>SUM(D46:D51)</f>
        <v>17</v>
      </c>
      <c r="E52" s="48">
        <f t="shared" si="42"/>
        <v>46</v>
      </c>
      <c r="F52" s="43">
        <f>SUM(F46:F51)</f>
        <v>29</v>
      </c>
      <c r="G52" s="44">
        <f>SUM(G46:G51)</f>
        <v>17</v>
      </c>
      <c r="H52" s="56">
        <f t="shared" si="43"/>
        <v>46</v>
      </c>
      <c r="I52" s="41">
        <f t="shared" ref="I52:I79" si="51">E52+H52</f>
        <v>92</v>
      </c>
      <c r="J52" s="35"/>
      <c r="K52" s="42" t="s">
        <v>2</v>
      </c>
      <c r="L52" s="43">
        <f>SUM(L46:L51)</f>
        <v>240</v>
      </c>
      <c r="M52" s="44">
        <f t="shared" ref="M52:R52" si="52">SUM(M46:M51)</f>
        <v>211</v>
      </c>
      <c r="N52" s="48">
        <f t="shared" si="52"/>
        <v>451</v>
      </c>
      <c r="O52" s="43">
        <f t="shared" si="52"/>
        <v>240</v>
      </c>
      <c r="P52" s="44">
        <f t="shared" si="52"/>
        <v>211</v>
      </c>
      <c r="Q52" s="56">
        <f t="shared" si="52"/>
        <v>451</v>
      </c>
      <c r="R52" s="41">
        <f t="shared" si="52"/>
        <v>902</v>
      </c>
    </row>
    <row r="53" spans="2:19" x14ac:dyDescent="0.15">
      <c r="B53" s="34" t="s">
        <v>37</v>
      </c>
      <c r="C53" s="25">
        <v>1</v>
      </c>
      <c r="D53" s="19"/>
      <c r="E53" s="49">
        <f t="shared" si="42"/>
        <v>1</v>
      </c>
      <c r="F53" s="31">
        <v>1</v>
      </c>
      <c r="G53" s="7"/>
      <c r="H53" s="57">
        <f t="shared" si="43"/>
        <v>1</v>
      </c>
      <c r="I53" s="38">
        <f t="shared" si="51"/>
        <v>2</v>
      </c>
      <c r="J53" s="36">
        <v>45834</v>
      </c>
      <c r="K53" s="34" t="s">
        <v>105</v>
      </c>
      <c r="L53" s="25">
        <v>15</v>
      </c>
      <c r="M53" s="19">
        <v>5</v>
      </c>
      <c r="N53" s="57">
        <f t="shared" si="48"/>
        <v>20</v>
      </c>
      <c r="O53" s="31">
        <v>15</v>
      </c>
      <c r="P53" s="7">
        <v>5</v>
      </c>
      <c r="Q53" s="57">
        <f t="shared" si="49"/>
        <v>20</v>
      </c>
      <c r="R53" s="38">
        <f t="shared" si="50"/>
        <v>40</v>
      </c>
      <c r="S53" s="36">
        <v>45818</v>
      </c>
    </row>
    <row r="54" spans="2:19" x14ac:dyDescent="0.15">
      <c r="B54" s="34" t="s">
        <v>38</v>
      </c>
      <c r="C54" s="25">
        <v>1</v>
      </c>
      <c r="D54" s="19"/>
      <c r="E54" s="49">
        <f t="shared" si="42"/>
        <v>1</v>
      </c>
      <c r="F54" s="31">
        <v>1</v>
      </c>
      <c r="G54" s="7"/>
      <c r="H54" s="57">
        <f t="shared" si="43"/>
        <v>1</v>
      </c>
      <c r="I54" s="38">
        <f t="shared" si="51"/>
        <v>2</v>
      </c>
      <c r="J54" s="36">
        <v>45835</v>
      </c>
      <c r="K54" s="34" t="s">
        <v>107</v>
      </c>
      <c r="L54" s="25">
        <v>15</v>
      </c>
      <c r="M54" s="19">
        <v>10</v>
      </c>
      <c r="N54" s="57">
        <f t="shared" si="48"/>
        <v>25</v>
      </c>
      <c r="O54" s="31">
        <v>15</v>
      </c>
      <c r="P54" s="7">
        <v>10</v>
      </c>
      <c r="Q54" s="57">
        <f t="shared" si="49"/>
        <v>25</v>
      </c>
      <c r="R54" s="38">
        <f t="shared" si="50"/>
        <v>50</v>
      </c>
      <c r="S54" s="36">
        <v>45832</v>
      </c>
    </row>
    <row r="55" spans="2:19" x14ac:dyDescent="0.15">
      <c r="B55" s="34" t="s">
        <v>39</v>
      </c>
      <c r="C55" s="25">
        <v>1</v>
      </c>
      <c r="D55" s="19"/>
      <c r="E55" s="49">
        <f t="shared" si="42"/>
        <v>1</v>
      </c>
      <c r="F55" s="31">
        <v>1</v>
      </c>
      <c r="G55" s="7"/>
      <c r="H55" s="57">
        <f t="shared" si="43"/>
        <v>1</v>
      </c>
      <c r="I55" s="38">
        <f t="shared" si="51"/>
        <v>2</v>
      </c>
      <c r="J55" s="36">
        <v>45840</v>
      </c>
      <c r="K55" s="34" t="s">
        <v>108</v>
      </c>
      <c r="L55" s="25">
        <v>10</v>
      </c>
      <c r="M55" s="19">
        <v>5</v>
      </c>
      <c r="N55" s="57">
        <f t="shared" si="48"/>
        <v>15</v>
      </c>
      <c r="O55" s="31">
        <v>10</v>
      </c>
      <c r="P55" s="7">
        <v>5</v>
      </c>
      <c r="Q55" s="57">
        <f t="shared" si="49"/>
        <v>15</v>
      </c>
      <c r="R55" s="38">
        <f t="shared" si="50"/>
        <v>30</v>
      </c>
      <c r="S55" s="36">
        <v>45835</v>
      </c>
    </row>
    <row r="56" spans="2:19" x14ac:dyDescent="0.15">
      <c r="B56" s="34" t="s">
        <v>58</v>
      </c>
      <c r="C56" s="25">
        <v>1</v>
      </c>
      <c r="D56" s="19"/>
      <c r="E56" s="49">
        <f t="shared" si="42"/>
        <v>1</v>
      </c>
      <c r="F56" s="31">
        <v>1</v>
      </c>
      <c r="G56" s="7"/>
      <c r="H56" s="57">
        <f t="shared" si="43"/>
        <v>1</v>
      </c>
      <c r="I56" s="38">
        <f t="shared" si="51"/>
        <v>2</v>
      </c>
      <c r="J56" s="36">
        <v>45841</v>
      </c>
      <c r="K56" s="34" t="s">
        <v>110</v>
      </c>
      <c r="L56" s="25">
        <v>10</v>
      </c>
      <c r="M56" s="19">
        <v>5</v>
      </c>
      <c r="N56" s="57">
        <f t="shared" si="48"/>
        <v>15</v>
      </c>
      <c r="O56" s="31">
        <v>10</v>
      </c>
      <c r="P56" s="7">
        <v>5</v>
      </c>
      <c r="Q56" s="57">
        <f t="shared" si="49"/>
        <v>15</v>
      </c>
      <c r="R56" s="38">
        <f t="shared" si="50"/>
        <v>30</v>
      </c>
      <c r="S56" s="36">
        <v>45839</v>
      </c>
    </row>
    <row r="57" spans="2:19" x14ac:dyDescent="0.15">
      <c r="B57" s="34" t="s">
        <v>120</v>
      </c>
      <c r="C57" s="25">
        <v>4</v>
      </c>
      <c r="D57" s="19">
        <v>4</v>
      </c>
      <c r="E57" s="49">
        <f t="shared" si="42"/>
        <v>8</v>
      </c>
      <c r="F57" s="31">
        <v>4</v>
      </c>
      <c r="G57" s="7">
        <v>4</v>
      </c>
      <c r="H57" s="57">
        <f t="shared" si="43"/>
        <v>8</v>
      </c>
      <c r="I57" s="38">
        <f t="shared" si="51"/>
        <v>16</v>
      </c>
      <c r="J57" s="36">
        <v>45866</v>
      </c>
      <c r="K57" s="34" t="s">
        <v>112</v>
      </c>
      <c r="L57" s="25">
        <v>10</v>
      </c>
      <c r="M57" s="19">
        <v>5</v>
      </c>
      <c r="N57" s="57">
        <f t="shared" si="48"/>
        <v>15</v>
      </c>
      <c r="O57" s="31">
        <v>10</v>
      </c>
      <c r="P57" s="7">
        <v>5</v>
      </c>
      <c r="Q57" s="57">
        <f t="shared" si="49"/>
        <v>15</v>
      </c>
      <c r="R57" s="38">
        <f t="shared" si="50"/>
        <v>30</v>
      </c>
      <c r="S57" s="36">
        <v>45845</v>
      </c>
    </row>
    <row r="58" spans="2:19" x14ac:dyDescent="0.15">
      <c r="B58" s="34" t="s">
        <v>122</v>
      </c>
      <c r="C58" s="25"/>
      <c r="D58" s="19">
        <v>2</v>
      </c>
      <c r="E58" s="49">
        <f t="shared" si="42"/>
        <v>2</v>
      </c>
      <c r="F58" s="31"/>
      <c r="G58" s="7">
        <v>2</v>
      </c>
      <c r="H58" s="57">
        <f t="shared" si="43"/>
        <v>2</v>
      </c>
      <c r="I58" s="38">
        <f t="shared" si="51"/>
        <v>4</v>
      </c>
      <c r="J58" s="36">
        <v>45869</v>
      </c>
      <c r="K58" s="34" t="s">
        <v>115</v>
      </c>
      <c r="L58" s="25">
        <v>3</v>
      </c>
      <c r="M58" s="19">
        <v>3</v>
      </c>
      <c r="N58" s="57">
        <f t="shared" si="48"/>
        <v>6</v>
      </c>
      <c r="O58" s="31">
        <v>3</v>
      </c>
      <c r="P58" s="7">
        <v>3</v>
      </c>
      <c r="Q58" s="57">
        <f t="shared" si="49"/>
        <v>6</v>
      </c>
      <c r="R58" s="38">
        <f t="shared" si="50"/>
        <v>12</v>
      </c>
      <c r="S58" s="36">
        <v>45854</v>
      </c>
    </row>
    <row r="59" spans="2:19" x14ac:dyDescent="0.15">
      <c r="B59" s="34" t="s">
        <v>125</v>
      </c>
      <c r="C59" s="25">
        <v>2</v>
      </c>
      <c r="D59" s="19">
        <v>2</v>
      </c>
      <c r="E59" s="49">
        <f t="shared" si="42"/>
        <v>4</v>
      </c>
      <c r="F59" s="31">
        <v>2</v>
      </c>
      <c r="G59" s="7">
        <v>2</v>
      </c>
      <c r="H59" s="57">
        <f t="shared" si="43"/>
        <v>4</v>
      </c>
      <c r="I59" s="38">
        <f t="shared" si="51"/>
        <v>8</v>
      </c>
      <c r="J59" s="36">
        <v>45873</v>
      </c>
      <c r="K59" s="34" t="s">
        <v>117</v>
      </c>
      <c r="L59" s="25">
        <v>8</v>
      </c>
      <c r="M59" s="19">
        <v>5</v>
      </c>
      <c r="N59" s="57">
        <f t="shared" si="48"/>
        <v>13</v>
      </c>
      <c r="O59" s="31">
        <v>8</v>
      </c>
      <c r="P59" s="7">
        <v>5</v>
      </c>
      <c r="Q59" s="57">
        <f t="shared" si="49"/>
        <v>13</v>
      </c>
      <c r="R59" s="38">
        <f t="shared" si="50"/>
        <v>26</v>
      </c>
      <c r="S59" s="36">
        <v>45862</v>
      </c>
    </row>
    <row r="60" spans="2:19" x14ac:dyDescent="0.15">
      <c r="B60" s="34" t="s">
        <v>129</v>
      </c>
      <c r="C60" s="25">
        <v>2</v>
      </c>
      <c r="D60" s="19">
        <v>1</v>
      </c>
      <c r="E60" s="49">
        <f t="shared" si="42"/>
        <v>3</v>
      </c>
      <c r="F60" s="31">
        <v>2</v>
      </c>
      <c r="G60" s="7">
        <v>1</v>
      </c>
      <c r="H60" s="57">
        <f t="shared" si="43"/>
        <v>3</v>
      </c>
      <c r="I60" s="38">
        <f t="shared" si="51"/>
        <v>6</v>
      </c>
      <c r="J60" s="36">
        <v>45885</v>
      </c>
      <c r="K60" s="34" t="s">
        <v>118</v>
      </c>
      <c r="L60" s="25">
        <v>4</v>
      </c>
      <c r="M60" s="19">
        <v>6</v>
      </c>
      <c r="N60" s="57">
        <f t="shared" si="48"/>
        <v>10</v>
      </c>
      <c r="O60" s="31">
        <v>4</v>
      </c>
      <c r="P60" s="7">
        <v>6</v>
      </c>
      <c r="Q60" s="57">
        <f t="shared" si="49"/>
        <v>10</v>
      </c>
      <c r="R60" s="38">
        <f t="shared" si="50"/>
        <v>20</v>
      </c>
      <c r="S60" s="36">
        <v>45863</v>
      </c>
    </row>
    <row r="61" spans="2:19" x14ac:dyDescent="0.15">
      <c r="B61" s="34" t="s">
        <v>132</v>
      </c>
      <c r="C61" s="25">
        <v>1</v>
      </c>
      <c r="D61" s="19"/>
      <c r="E61" s="49">
        <f t="shared" si="42"/>
        <v>1</v>
      </c>
      <c r="F61" s="31">
        <v>1</v>
      </c>
      <c r="G61" s="7"/>
      <c r="H61" s="57">
        <f t="shared" si="43"/>
        <v>1</v>
      </c>
      <c r="I61" s="38">
        <f t="shared" si="51"/>
        <v>2</v>
      </c>
      <c r="J61" s="36">
        <v>45890</v>
      </c>
      <c r="K61" s="34" t="s">
        <v>119</v>
      </c>
      <c r="L61" s="25">
        <v>6</v>
      </c>
      <c r="M61" s="19"/>
      <c r="N61" s="57">
        <f t="shared" si="48"/>
        <v>6</v>
      </c>
      <c r="O61" s="31">
        <v>6</v>
      </c>
      <c r="P61" s="7"/>
      <c r="Q61" s="57">
        <f t="shared" si="49"/>
        <v>6</v>
      </c>
      <c r="R61" s="38">
        <f t="shared" si="50"/>
        <v>12</v>
      </c>
      <c r="S61" s="36">
        <v>45863</v>
      </c>
    </row>
    <row r="62" spans="2:19" x14ac:dyDescent="0.15">
      <c r="B62" s="34" t="s">
        <v>133</v>
      </c>
      <c r="C62" s="25"/>
      <c r="D62" s="19">
        <v>1</v>
      </c>
      <c r="E62" s="49">
        <f t="shared" si="42"/>
        <v>1</v>
      </c>
      <c r="F62" s="31"/>
      <c r="G62" s="7">
        <v>1</v>
      </c>
      <c r="H62" s="57">
        <f t="shared" si="43"/>
        <v>1</v>
      </c>
      <c r="I62" s="38">
        <f t="shared" si="51"/>
        <v>2</v>
      </c>
      <c r="J62" s="36">
        <v>45891</v>
      </c>
      <c r="K62" s="6" t="s">
        <v>18</v>
      </c>
      <c r="L62" s="25">
        <v>5</v>
      </c>
      <c r="M62" s="19">
        <v>5</v>
      </c>
      <c r="N62" s="57">
        <f t="shared" si="48"/>
        <v>10</v>
      </c>
      <c r="O62" s="31">
        <v>5</v>
      </c>
      <c r="P62" s="7">
        <v>5</v>
      </c>
      <c r="Q62" s="57">
        <f t="shared" si="49"/>
        <v>10</v>
      </c>
      <c r="R62" s="38">
        <f t="shared" si="50"/>
        <v>20</v>
      </c>
      <c r="S62" s="36">
        <v>45866</v>
      </c>
    </row>
    <row r="63" spans="2:19" x14ac:dyDescent="0.15">
      <c r="B63" s="34" t="s">
        <v>135</v>
      </c>
      <c r="C63" s="25">
        <v>1</v>
      </c>
      <c r="D63" s="19"/>
      <c r="E63" s="49">
        <f t="shared" si="42"/>
        <v>1</v>
      </c>
      <c r="F63" s="31">
        <v>1</v>
      </c>
      <c r="G63" s="7"/>
      <c r="H63" s="57">
        <f t="shared" si="43"/>
        <v>1</v>
      </c>
      <c r="I63" s="38">
        <f t="shared" si="51"/>
        <v>2</v>
      </c>
      <c r="J63" s="36">
        <v>45891</v>
      </c>
      <c r="K63" s="34" t="s">
        <v>121</v>
      </c>
      <c r="L63" s="25">
        <v>17</v>
      </c>
      <c r="M63" s="19">
        <v>18</v>
      </c>
      <c r="N63" s="57">
        <f t="shared" si="48"/>
        <v>35</v>
      </c>
      <c r="O63" s="31">
        <v>17</v>
      </c>
      <c r="P63" s="7">
        <v>18</v>
      </c>
      <c r="Q63" s="57">
        <f t="shared" si="49"/>
        <v>35</v>
      </c>
      <c r="R63" s="38">
        <f t="shared" si="50"/>
        <v>70</v>
      </c>
      <c r="S63" s="36">
        <v>45868</v>
      </c>
    </row>
    <row r="64" spans="2:19" x14ac:dyDescent="0.15">
      <c r="B64" s="34" t="s">
        <v>136</v>
      </c>
      <c r="C64" s="25">
        <v>2</v>
      </c>
      <c r="D64" s="19"/>
      <c r="E64" s="49">
        <f t="shared" si="42"/>
        <v>2</v>
      </c>
      <c r="F64" s="31">
        <v>2</v>
      </c>
      <c r="G64" s="7"/>
      <c r="H64" s="57">
        <f t="shared" si="43"/>
        <v>2</v>
      </c>
      <c r="I64" s="38">
        <f t="shared" si="51"/>
        <v>4</v>
      </c>
      <c r="J64" s="36">
        <v>45894</v>
      </c>
      <c r="K64" s="34" t="s">
        <v>123</v>
      </c>
      <c r="L64" s="25">
        <v>6</v>
      </c>
      <c r="M64" s="19">
        <v>5</v>
      </c>
      <c r="N64" s="57">
        <f t="shared" si="48"/>
        <v>11</v>
      </c>
      <c r="O64" s="31">
        <v>6</v>
      </c>
      <c r="P64" s="7">
        <v>5</v>
      </c>
      <c r="Q64" s="57">
        <f t="shared" si="49"/>
        <v>11</v>
      </c>
      <c r="R64" s="38">
        <f t="shared" si="50"/>
        <v>22</v>
      </c>
      <c r="S64" s="36">
        <v>45870</v>
      </c>
    </row>
    <row r="65" spans="2:21" x14ac:dyDescent="0.15">
      <c r="B65" s="34" t="s">
        <v>140</v>
      </c>
      <c r="C65" s="25">
        <v>1</v>
      </c>
      <c r="D65" s="19"/>
      <c r="E65" s="49">
        <f t="shared" ref="E65" si="53">SUM(C65:D65)</f>
        <v>1</v>
      </c>
      <c r="F65" s="31">
        <v>1</v>
      </c>
      <c r="G65" s="7"/>
      <c r="H65" s="57">
        <f t="shared" ref="H65" si="54">SUM(F65:G65)</f>
        <v>1</v>
      </c>
      <c r="I65" s="38">
        <f t="shared" ref="I65" si="55">E65+H65</f>
        <v>2</v>
      </c>
      <c r="J65" s="36">
        <v>45901</v>
      </c>
      <c r="K65" s="34" t="s">
        <v>124</v>
      </c>
      <c r="L65" s="25">
        <v>5</v>
      </c>
      <c r="M65" s="19">
        <v>5</v>
      </c>
      <c r="N65" s="57">
        <f t="shared" si="48"/>
        <v>10</v>
      </c>
      <c r="O65" s="31">
        <v>5</v>
      </c>
      <c r="P65" s="7">
        <v>5</v>
      </c>
      <c r="Q65" s="57">
        <f t="shared" si="49"/>
        <v>10</v>
      </c>
      <c r="R65" s="38">
        <f t="shared" si="50"/>
        <v>20</v>
      </c>
      <c r="S65" s="36">
        <v>45870</v>
      </c>
    </row>
    <row r="66" spans="2:21" x14ac:dyDescent="0.15">
      <c r="B66" s="34" t="s">
        <v>142</v>
      </c>
      <c r="C66" s="25">
        <v>1</v>
      </c>
      <c r="D66" s="19"/>
      <c r="E66" s="49">
        <f t="shared" si="42"/>
        <v>1</v>
      </c>
      <c r="F66" s="31">
        <v>1</v>
      </c>
      <c r="G66" s="7"/>
      <c r="H66" s="57">
        <f t="shared" si="43"/>
        <v>1</v>
      </c>
      <c r="I66" s="38">
        <f t="shared" si="51"/>
        <v>2</v>
      </c>
      <c r="J66" s="36">
        <v>45904</v>
      </c>
      <c r="K66" s="6" t="s">
        <v>18</v>
      </c>
      <c r="L66" s="25">
        <v>5</v>
      </c>
      <c r="M66" s="19">
        <v>5</v>
      </c>
      <c r="N66" s="57">
        <f t="shared" si="48"/>
        <v>10</v>
      </c>
      <c r="O66" s="31">
        <v>5</v>
      </c>
      <c r="P66" s="7">
        <v>5</v>
      </c>
      <c r="Q66" s="57">
        <f t="shared" si="49"/>
        <v>10</v>
      </c>
      <c r="R66" s="38">
        <f t="shared" si="50"/>
        <v>20</v>
      </c>
      <c r="S66" s="36">
        <v>45871</v>
      </c>
    </row>
    <row r="67" spans="2:21" x14ac:dyDescent="0.15">
      <c r="B67" s="34" t="s">
        <v>143</v>
      </c>
      <c r="C67" s="25">
        <v>1</v>
      </c>
      <c r="D67" s="19"/>
      <c r="E67" s="49">
        <f t="shared" si="42"/>
        <v>1</v>
      </c>
      <c r="F67" s="31">
        <v>1</v>
      </c>
      <c r="G67" s="7"/>
      <c r="H67" s="57">
        <f t="shared" si="43"/>
        <v>1</v>
      </c>
      <c r="I67" s="38">
        <f t="shared" si="51"/>
        <v>2</v>
      </c>
      <c r="J67" s="36">
        <v>45905</v>
      </c>
      <c r="K67" s="34" t="s">
        <v>127</v>
      </c>
      <c r="L67" s="25">
        <v>3</v>
      </c>
      <c r="M67" s="19">
        <v>7</v>
      </c>
      <c r="N67" s="57">
        <f t="shared" si="48"/>
        <v>10</v>
      </c>
      <c r="O67" s="31">
        <v>3</v>
      </c>
      <c r="P67" s="7">
        <v>7</v>
      </c>
      <c r="Q67" s="57">
        <f t="shared" si="49"/>
        <v>10</v>
      </c>
      <c r="R67" s="38">
        <f t="shared" si="50"/>
        <v>20</v>
      </c>
      <c r="S67" s="36">
        <v>45875</v>
      </c>
    </row>
    <row r="68" spans="2:21" x14ac:dyDescent="0.15">
      <c r="B68" s="34" t="s">
        <v>144</v>
      </c>
      <c r="C68" s="25">
        <v>1</v>
      </c>
      <c r="D68" s="19">
        <v>1</v>
      </c>
      <c r="E68" s="49">
        <f t="shared" si="42"/>
        <v>2</v>
      </c>
      <c r="F68" s="31">
        <v>1</v>
      </c>
      <c r="G68" s="7">
        <v>1</v>
      </c>
      <c r="H68" s="57">
        <f t="shared" si="43"/>
        <v>2</v>
      </c>
      <c r="I68" s="38">
        <f t="shared" si="51"/>
        <v>4</v>
      </c>
      <c r="J68" s="36">
        <v>45912</v>
      </c>
      <c r="K68" s="34" t="s">
        <v>128</v>
      </c>
      <c r="L68" s="25">
        <v>5</v>
      </c>
      <c r="M68" s="19"/>
      <c r="N68" s="57">
        <f t="shared" si="48"/>
        <v>5</v>
      </c>
      <c r="O68" s="31">
        <v>5</v>
      </c>
      <c r="P68" s="7"/>
      <c r="Q68" s="57">
        <f t="shared" si="49"/>
        <v>5</v>
      </c>
      <c r="R68" s="38">
        <f t="shared" si="50"/>
        <v>10</v>
      </c>
      <c r="S68" s="36">
        <v>45876</v>
      </c>
    </row>
    <row r="69" spans="2:21" x14ac:dyDescent="0.15">
      <c r="B69" s="34" t="s">
        <v>145</v>
      </c>
      <c r="C69" s="25">
        <v>1</v>
      </c>
      <c r="D69" s="19">
        <v>1</v>
      </c>
      <c r="E69" s="49">
        <f t="shared" si="42"/>
        <v>2</v>
      </c>
      <c r="F69" s="31">
        <v>1</v>
      </c>
      <c r="G69" s="7">
        <v>1</v>
      </c>
      <c r="H69" s="57">
        <f t="shared" si="43"/>
        <v>2</v>
      </c>
      <c r="I69" s="38">
        <f t="shared" si="51"/>
        <v>4</v>
      </c>
      <c r="J69" s="36">
        <v>45912</v>
      </c>
      <c r="K69" s="6" t="s">
        <v>18</v>
      </c>
      <c r="L69" s="25">
        <v>5</v>
      </c>
      <c r="M69" s="19"/>
      <c r="N69" s="57">
        <f t="shared" si="48"/>
        <v>5</v>
      </c>
      <c r="O69" s="31">
        <v>5</v>
      </c>
      <c r="P69" s="7"/>
      <c r="Q69" s="57">
        <f t="shared" si="49"/>
        <v>5</v>
      </c>
      <c r="R69" s="38">
        <f t="shared" si="50"/>
        <v>10</v>
      </c>
      <c r="S69" s="36">
        <v>45894</v>
      </c>
    </row>
    <row r="70" spans="2:21" x14ac:dyDescent="0.15">
      <c r="B70" s="34" t="s">
        <v>146</v>
      </c>
      <c r="C70" s="25">
        <v>2</v>
      </c>
      <c r="D70" s="19"/>
      <c r="E70" s="49">
        <f t="shared" si="42"/>
        <v>2</v>
      </c>
      <c r="F70" s="31">
        <v>2</v>
      </c>
      <c r="G70" s="7"/>
      <c r="H70" s="57">
        <f t="shared" si="43"/>
        <v>2</v>
      </c>
      <c r="I70" s="38">
        <f t="shared" si="51"/>
        <v>4</v>
      </c>
      <c r="J70" s="36">
        <v>45919</v>
      </c>
      <c r="K70" s="34" t="s">
        <v>137</v>
      </c>
      <c r="L70" s="25">
        <v>2</v>
      </c>
      <c r="M70" s="19">
        <v>4</v>
      </c>
      <c r="N70" s="49">
        <f t="shared" si="48"/>
        <v>6</v>
      </c>
      <c r="O70" s="31">
        <v>2</v>
      </c>
      <c r="P70" s="7">
        <v>4</v>
      </c>
      <c r="Q70" s="57">
        <f t="shared" si="49"/>
        <v>6</v>
      </c>
      <c r="R70" s="38">
        <f t="shared" si="50"/>
        <v>12</v>
      </c>
      <c r="S70" s="36">
        <v>45896</v>
      </c>
    </row>
    <row r="71" spans="2:21" x14ac:dyDescent="0.15">
      <c r="B71" s="34" t="s">
        <v>147</v>
      </c>
      <c r="C71" s="25"/>
      <c r="D71" s="19">
        <v>1</v>
      </c>
      <c r="E71" s="49">
        <f t="shared" si="42"/>
        <v>1</v>
      </c>
      <c r="F71" s="31"/>
      <c r="G71" s="7">
        <v>1</v>
      </c>
      <c r="H71" s="57">
        <f t="shared" si="43"/>
        <v>1</v>
      </c>
      <c r="I71" s="38">
        <f t="shared" si="51"/>
        <v>2</v>
      </c>
      <c r="J71" s="36">
        <v>45924</v>
      </c>
      <c r="K71" s="6" t="s">
        <v>18</v>
      </c>
      <c r="L71" s="25">
        <v>5</v>
      </c>
      <c r="M71" s="19"/>
      <c r="N71" s="57">
        <f t="shared" si="48"/>
        <v>5</v>
      </c>
      <c r="O71" s="31">
        <v>5</v>
      </c>
      <c r="P71" s="7"/>
      <c r="Q71" s="57">
        <f t="shared" si="49"/>
        <v>5</v>
      </c>
      <c r="R71" s="38">
        <f t="shared" si="50"/>
        <v>10</v>
      </c>
      <c r="S71" s="36">
        <v>45916</v>
      </c>
    </row>
    <row r="72" spans="2:21" x14ac:dyDescent="0.15">
      <c r="B72" s="34" t="s">
        <v>148</v>
      </c>
      <c r="C72" s="25">
        <v>1</v>
      </c>
      <c r="D72" s="19"/>
      <c r="E72" s="49">
        <f t="shared" si="42"/>
        <v>1</v>
      </c>
      <c r="F72" s="31">
        <v>1</v>
      </c>
      <c r="G72" s="7"/>
      <c r="H72" s="57">
        <f t="shared" si="43"/>
        <v>1</v>
      </c>
      <c r="I72" s="38">
        <f t="shared" si="51"/>
        <v>2</v>
      </c>
      <c r="J72" s="36">
        <v>45926</v>
      </c>
      <c r="K72" s="6"/>
      <c r="L72" s="25"/>
      <c r="M72" s="19"/>
      <c r="N72" s="57">
        <f t="shared" si="48"/>
        <v>0</v>
      </c>
      <c r="O72" s="31"/>
      <c r="P72" s="7"/>
      <c r="Q72" s="57">
        <f t="shared" si="49"/>
        <v>0</v>
      </c>
      <c r="R72" s="38">
        <f t="shared" si="50"/>
        <v>0</v>
      </c>
      <c r="S72" s="36"/>
    </row>
    <row r="73" spans="2:21" x14ac:dyDescent="0.15">
      <c r="B73" s="6"/>
      <c r="C73" s="25"/>
      <c r="D73" s="19"/>
      <c r="E73" s="49">
        <f t="shared" si="42"/>
        <v>0</v>
      </c>
      <c r="F73" s="31"/>
      <c r="G73" s="7"/>
      <c r="H73" s="57">
        <f t="shared" si="43"/>
        <v>0</v>
      </c>
      <c r="I73" s="38">
        <f t="shared" si="51"/>
        <v>0</v>
      </c>
      <c r="J73" s="35"/>
      <c r="K73" s="6"/>
      <c r="L73" s="25"/>
      <c r="M73" s="19"/>
      <c r="N73" s="57">
        <f t="shared" si="48"/>
        <v>0</v>
      </c>
      <c r="O73" s="31"/>
      <c r="P73" s="7"/>
      <c r="Q73" s="57">
        <f t="shared" si="49"/>
        <v>0</v>
      </c>
      <c r="R73" s="38">
        <f t="shared" si="50"/>
        <v>0</v>
      </c>
      <c r="S73" s="36"/>
    </row>
    <row r="74" spans="2:21" x14ac:dyDescent="0.15">
      <c r="B74" s="6"/>
      <c r="C74" s="25"/>
      <c r="D74" s="19"/>
      <c r="E74" s="49">
        <f t="shared" si="42"/>
        <v>0</v>
      </c>
      <c r="F74" s="31"/>
      <c r="G74" s="7"/>
      <c r="H74" s="57">
        <f t="shared" si="43"/>
        <v>0</v>
      </c>
      <c r="I74" s="38">
        <f t="shared" si="51"/>
        <v>0</v>
      </c>
      <c r="J74" s="35"/>
      <c r="K74" s="6"/>
      <c r="L74" s="25"/>
      <c r="M74" s="19"/>
      <c r="N74" s="57">
        <f t="shared" si="48"/>
        <v>0</v>
      </c>
      <c r="O74" s="31"/>
      <c r="P74" s="7"/>
      <c r="Q74" s="57">
        <f t="shared" si="49"/>
        <v>0</v>
      </c>
      <c r="R74" s="38">
        <f t="shared" si="50"/>
        <v>0</v>
      </c>
      <c r="S74" s="36"/>
    </row>
    <row r="75" spans="2:21" x14ac:dyDescent="0.15">
      <c r="B75" s="6"/>
      <c r="C75" s="25"/>
      <c r="D75" s="19"/>
      <c r="E75" s="49">
        <f t="shared" si="42"/>
        <v>0</v>
      </c>
      <c r="F75" s="31"/>
      <c r="G75" s="7"/>
      <c r="H75" s="57">
        <f t="shared" si="43"/>
        <v>0</v>
      </c>
      <c r="I75" s="38">
        <f t="shared" si="51"/>
        <v>0</v>
      </c>
      <c r="J75" s="35"/>
      <c r="K75" s="6" t="s">
        <v>74</v>
      </c>
      <c r="L75" s="25"/>
      <c r="M75" s="19"/>
      <c r="N75" s="94">
        <f t="shared" ref="N75:N76" si="56">SUM(L75:M75)</f>
        <v>0</v>
      </c>
      <c r="O75" s="25"/>
      <c r="P75" s="19"/>
      <c r="Q75" s="94">
        <f t="shared" ref="Q75:Q76" si="57">SUM(O75:P75)</f>
        <v>0</v>
      </c>
      <c r="R75" s="95">
        <f t="shared" ref="R75:R76" si="58">N75+Q75</f>
        <v>0</v>
      </c>
      <c r="S75" s="36" t="s">
        <v>75</v>
      </c>
    </row>
    <row r="76" spans="2:21" x14ac:dyDescent="0.15">
      <c r="B76" s="6"/>
      <c r="C76" s="25"/>
      <c r="D76" s="19"/>
      <c r="E76" s="49">
        <f t="shared" si="42"/>
        <v>0</v>
      </c>
      <c r="F76" s="31"/>
      <c r="G76" s="7"/>
      <c r="H76" s="57">
        <f t="shared" si="43"/>
        <v>0</v>
      </c>
      <c r="I76" s="38">
        <f t="shared" si="51"/>
        <v>0</v>
      </c>
      <c r="J76" s="35"/>
      <c r="K76" s="34" t="s">
        <v>86</v>
      </c>
      <c r="L76" s="31"/>
      <c r="M76" s="7"/>
      <c r="N76" s="57">
        <f t="shared" si="56"/>
        <v>0</v>
      </c>
      <c r="O76" s="31"/>
      <c r="P76" s="7"/>
      <c r="Q76" s="57">
        <f t="shared" si="57"/>
        <v>0</v>
      </c>
      <c r="R76" s="38">
        <f t="shared" si="58"/>
        <v>0</v>
      </c>
      <c r="S76" s="36" t="s">
        <v>87</v>
      </c>
    </row>
    <row r="77" spans="2:21" ht="14.25" thickBot="1" x14ac:dyDescent="0.2">
      <c r="B77" s="6"/>
      <c r="C77" s="29"/>
      <c r="D77" s="20"/>
      <c r="E77" s="50">
        <f t="shared" si="42"/>
        <v>0</v>
      </c>
      <c r="F77" s="32"/>
      <c r="G77" s="5"/>
      <c r="H77" s="58">
        <f t="shared" si="43"/>
        <v>0</v>
      </c>
      <c r="I77" s="39">
        <f t="shared" si="51"/>
        <v>0</v>
      </c>
      <c r="J77" s="35"/>
      <c r="K77" s="34" t="s">
        <v>102</v>
      </c>
      <c r="L77" s="31"/>
      <c r="M77" s="7"/>
      <c r="N77" s="57">
        <f t="shared" si="48"/>
        <v>0</v>
      </c>
      <c r="O77" s="31"/>
      <c r="P77" s="7"/>
      <c r="Q77" s="57">
        <f t="shared" si="49"/>
        <v>0</v>
      </c>
      <c r="R77" s="38">
        <f t="shared" si="50"/>
        <v>0</v>
      </c>
      <c r="S77" s="36" t="s">
        <v>103</v>
      </c>
    </row>
    <row r="78" spans="2:21" ht="14.25" thickBot="1" x14ac:dyDescent="0.2">
      <c r="B78" s="4" t="s">
        <v>1</v>
      </c>
      <c r="C78" s="27">
        <f>SUM(C53:C77)</f>
        <v>24</v>
      </c>
      <c r="D78" s="21">
        <f>SUM(D53:D77)</f>
        <v>13</v>
      </c>
      <c r="E78" s="51">
        <f t="shared" si="42"/>
        <v>37</v>
      </c>
      <c r="F78" s="27">
        <f>SUM(F53:F77)</f>
        <v>24</v>
      </c>
      <c r="G78" s="21">
        <f>SUM(G53:G77)</f>
        <v>13</v>
      </c>
      <c r="H78" s="59">
        <f t="shared" si="43"/>
        <v>37</v>
      </c>
      <c r="I78" s="40">
        <f t="shared" si="51"/>
        <v>74</v>
      </c>
      <c r="K78" s="4" t="s">
        <v>1</v>
      </c>
      <c r="L78" s="27">
        <f>SUM(L53:L77)</f>
        <v>139</v>
      </c>
      <c r="M78" s="21">
        <f t="shared" ref="M78:R78" si="59">SUM(M53:M77)</f>
        <v>93</v>
      </c>
      <c r="N78" s="51">
        <f t="shared" si="59"/>
        <v>232</v>
      </c>
      <c r="O78" s="27">
        <f t="shared" si="59"/>
        <v>139</v>
      </c>
      <c r="P78" s="21">
        <f t="shared" si="59"/>
        <v>93</v>
      </c>
      <c r="Q78" s="59">
        <f t="shared" si="59"/>
        <v>232</v>
      </c>
      <c r="R78" s="40">
        <f t="shared" si="59"/>
        <v>464</v>
      </c>
    </row>
    <row r="79" spans="2:21" ht="14.25" thickBot="1" x14ac:dyDescent="0.2">
      <c r="B79" s="3" t="s">
        <v>0</v>
      </c>
      <c r="C79" s="30">
        <f>+C52-C78</f>
        <v>5</v>
      </c>
      <c r="D79" s="2">
        <f>+D52-D78</f>
        <v>4</v>
      </c>
      <c r="E79" s="52">
        <f t="shared" si="42"/>
        <v>9</v>
      </c>
      <c r="F79" s="30">
        <f>+F52-F78</f>
        <v>5</v>
      </c>
      <c r="G79" s="2">
        <f>+G52-G78</f>
        <v>4</v>
      </c>
      <c r="H79" s="60">
        <f t="shared" si="43"/>
        <v>9</v>
      </c>
      <c r="I79" s="41">
        <f t="shared" si="51"/>
        <v>18</v>
      </c>
      <c r="K79" s="3" t="s">
        <v>0</v>
      </c>
      <c r="L79" s="30">
        <f>+L52-L78</f>
        <v>101</v>
      </c>
      <c r="M79" s="2">
        <f t="shared" ref="M79:R79" si="60">+M52-M78</f>
        <v>118</v>
      </c>
      <c r="N79" s="52">
        <f t="shared" si="60"/>
        <v>219</v>
      </c>
      <c r="O79" s="30">
        <f t="shared" si="60"/>
        <v>101</v>
      </c>
      <c r="P79" s="2">
        <f t="shared" si="60"/>
        <v>118</v>
      </c>
      <c r="Q79" s="60">
        <f t="shared" si="60"/>
        <v>219</v>
      </c>
      <c r="R79" s="41">
        <f t="shared" si="60"/>
        <v>438</v>
      </c>
      <c r="U79" t="s">
        <v>139</v>
      </c>
    </row>
    <row r="80" spans="2:21" x14ac:dyDescent="0.15">
      <c r="B80" s="1"/>
      <c r="J80" s="35"/>
      <c r="L80">
        <f>L78+L37</f>
        <v>221</v>
      </c>
      <c r="M80">
        <f>M78+M37</f>
        <v>173</v>
      </c>
      <c r="N80">
        <f>SUM(L80:M80)</f>
        <v>394</v>
      </c>
    </row>
    <row r="81" spans="2:19" x14ac:dyDescent="0.15">
      <c r="K81"/>
      <c r="L81" s="104">
        <f>L80/N80*100</f>
        <v>56.09137055837563</v>
      </c>
      <c r="M81" s="104">
        <f>M80/N80*100</f>
        <v>43.908629441624363</v>
      </c>
      <c r="N81" s="104">
        <f>SUM(L81:M81)</f>
        <v>100</v>
      </c>
      <c r="S81"/>
    </row>
    <row r="83" spans="2:19" ht="18.75" x14ac:dyDescent="0.2">
      <c r="B83" s="85" t="s">
        <v>11</v>
      </c>
      <c r="C83" s="86"/>
      <c r="D83" s="86"/>
      <c r="E83" s="86"/>
      <c r="F83" s="86"/>
      <c r="G83" s="86"/>
      <c r="H83" s="86"/>
      <c r="I83" s="86"/>
      <c r="K83" s="88" t="s">
        <v>17</v>
      </c>
      <c r="L83" s="89"/>
      <c r="M83" s="89"/>
      <c r="N83" s="89"/>
      <c r="O83" s="89"/>
      <c r="P83" s="89"/>
      <c r="Q83" s="89"/>
      <c r="R83" s="89"/>
    </row>
    <row r="84" spans="2:19" ht="18" thickBot="1" x14ac:dyDescent="0.25">
      <c r="B84" s="87" t="s">
        <v>99</v>
      </c>
      <c r="C84" s="86"/>
      <c r="D84" s="86"/>
      <c r="E84" s="86"/>
      <c r="F84" s="86"/>
      <c r="G84" s="86"/>
      <c r="H84" s="86"/>
      <c r="I84" s="86"/>
      <c r="K84" s="90" t="s">
        <v>100</v>
      </c>
      <c r="L84" s="89"/>
      <c r="M84" s="89"/>
      <c r="N84" s="89"/>
      <c r="O84" s="89"/>
      <c r="P84" s="89"/>
      <c r="Q84" s="89"/>
      <c r="R84" s="89"/>
    </row>
    <row r="85" spans="2:19" ht="14.25" thickBot="1" x14ac:dyDescent="0.2">
      <c r="B85" s="14"/>
      <c r="C85" s="209" t="s">
        <v>69</v>
      </c>
      <c r="D85" s="210"/>
      <c r="E85" s="211"/>
      <c r="F85" s="222" t="s">
        <v>70</v>
      </c>
      <c r="G85" s="223"/>
      <c r="H85" s="223"/>
      <c r="I85" s="217" t="s">
        <v>8</v>
      </c>
      <c r="K85" s="14"/>
      <c r="L85" s="209" t="s">
        <v>69</v>
      </c>
      <c r="M85" s="210"/>
      <c r="N85" s="211"/>
      <c r="O85" s="222" t="s">
        <v>70</v>
      </c>
      <c r="P85" s="223"/>
      <c r="Q85" s="223"/>
      <c r="R85" s="217" t="s">
        <v>8</v>
      </c>
    </row>
    <row r="86" spans="2:19" ht="14.25" thickBot="1" x14ac:dyDescent="0.2">
      <c r="B86" s="4"/>
      <c r="C86" s="62" t="s">
        <v>6</v>
      </c>
      <c r="D86" s="61" t="s">
        <v>5</v>
      </c>
      <c r="E86" s="63" t="s">
        <v>4</v>
      </c>
      <c r="F86" s="62" t="s">
        <v>6</v>
      </c>
      <c r="G86" s="61" t="s">
        <v>5</v>
      </c>
      <c r="H86" s="63" t="s">
        <v>4</v>
      </c>
      <c r="I86" s="218"/>
      <c r="K86" s="13"/>
      <c r="L86" s="23" t="s">
        <v>6</v>
      </c>
      <c r="M86" s="12" t="s">
        <v>5</v>
      </c>
      <c r="N86" s="45" t="s">
        <v>4</v>
      </c>
      <c r="O86" s="23" t="s">
        <v>6</v>
      </c>
      <c r="P86" s="12" t="s">
        <v>5</v>
      </c>
      <c r="Q86" s="53" t="s">
        <v>4</v>
      </c>
      <c r="R86" s="218"/>
    </row>
    <row r="87" spans="2:19" x14ac:dyDescent="0.15">
      <c r="B87" s="64" t="s">
        <v>0</v>
      </c>
      <c r="C87" s="65">
        <f>C79</f>
        <v>5</v>
      </c>
      <c r="D87" s="73">
        <f>D79</f>
        <v>4</v>
      </c>
      <c r="E87" s="66">
        <f t="shared" ref="E87:E120" si="61">SUM(C87:D87)</f>
        <v>9</v>
      </c>
      <c r="F87" s="65">
        <f>F79</f>
        <v>5</v>
      </c>
      <c r="G87" s="73">
        <f>G79</f>
        <v>4</v>
      </c>
      <c r="H87" s="67">
        <f t="shared" ref="H87:H120" si="62">SUM(F87:G87)</f>
        <v>9</v>
      </c>
      <c r="I87" s="68">
        <f>E87+H87</f>
        <v>18</v>
      </c>
      <c r="K87" s="64" t="s">
        <v>0</v>
      </c>
      <c r="L87" s="65">
        <f>L79</f>
        <v>101</v>
      </c>
      <c r="M87" s="73">
        <f t="shared" ref="M87:R87" si="63">M79</f>
        <v>118</v>
      </c>
      <c r="N87" s="66">
        <f t="shared" si="63"/>
        <v>219</v>
      </c>
      <c r="O87" s="65">
        <f t="shared" si="63"/>
        <v>101</v>
      </c>
      <c r="P87" s="73">
        <f t="shared" si="63"/>
        <v>118</v>
      </c>
      <c r="Q87" s="67">
        <f t="shared" si="63"/>
        <v>219</v>
      </c>
      <c r="R87" s="68">
        <f t="shared" si="63"/>
        <v>438</v>
      </c>
      <c r="S87" s="69"/>
    </row>
    <row r="88" spans="2:19" x14ac:dyDescent="0.15">
      <c r="B88" s="11" t="s">
        <v>109</v>
      </c>
      <c r="C88" s="25">
        <v>1</v>
      </c>
      <c r="D88" s="19"/>
      <c r="E88" s="46">
        <f t="shared" si="61"/>
        <v>1</v>
      </c>
      <c r="F88" s="31">
        <v>1</v>
      </c>
      <c r="G88" s="7"/>
      <c r="H88" s="54">
        <f t="shared" si="62"/>
        <v>1</v>
      </c>
      <c r="I88" s="38">
        <f t="shared" ref="I88:I92" si="64">E88+H88</f>
        <v>2</v>
      </c>
      <c r="J88" s="36">
        <v>45924</v>
      </c>
      <c r="K88" s="11" t="s">
        <v>3</v>
      </c>
      <c r="L88" s="25"/>
      <c r="M88" s="19"/>
      <c r="N88" s="46">
        <f t="shared" ref="N88:N91" si="65">SUM(L88:M88)</f>
        <v>0</v>
      </c>
      <c r="O88" s="31"/>
      <c r="P88" s="7"/>
      <c r="Q88" s="54">
        <f t="shared" ref="Q88:Q91" si="66">SUM(O88:P88)</f>
        <v>0</v>
      </c>
      <c r="R88" s="38">
        <f t="shared" ref="R88:R91" si="67">N88+Q88</f>
        <v>0</v>
      </c>
      <c r="S88" s="36"/>
    </row>
    <row r="89" spans="2:19" x14ac:dyDescent="0.15">
      <c r="B89" s="11" t="s">
        <v>62</v>
      </c>
      <c r="C89" s="25"/>
      <c r="D89" s="19">
        <v>1</v>
      </c>
      <c r="E89" s="46">
        <f t="shared" si="61"/>
        <v>1</v>
      </c>
      <c r="F89" s="31"/>
      <c r="G89" s="7">
        <v>1</v>
      </c>
      <c r="H89" s="54">
        <f t="shared" si="62"/>
        <v>1</v>
      </c>
      <c r="I89" s="38">
        <f t="shared" si="64"/>
        <v>2</v>
      </c>
      <c r="J89" s="36">
        <v>45932</v>
      </c>
      <c r="K89" s="11" t="s">
        <v>3</v>
      </c>
      <c r="L89" s="25"/>
      <c r="M89" s="19"/>
      <c r="N89" s="46">
        <f t="shared" ref="N89" si="68">SUM(L89:M89)</f>
        <v>0</v>
      </c>
      <c r="O89" s="31"/>
      <c r="P89" s="7"/>
      <c r="Q89" s="54">
        <f t="shared" ref="Q89" si="69">SUM(O89:P89)</f>
        <v>0</v>
      </c>
      <c r="R89" s="38">
        <f t="shared" ref="R89" si="70">N89+Q89</f>
        <v>0</v>
      </c>
      <c r="S89" s="36"/>
    </row>
    <row r="90" spans="2:19" x14ac:dyDescent="0.15">
      <c r="B90" s="11" t="s">
        <v>109</v>
      </c>
      <c r="C90" s="25"/>
      <c r="D90" s="19">
        <v>1</v>
      </c>
      <c r="E90" s="46">
        <f t="shared" si="61"/>
        <v>1</v>
      </c>
      <c r="F90" s="31"/>
      <c r="G90" s="7">
        <v>1</v>
      </c>
      <c r="H90" s="54">
        <f t="shared" si="62"/>
        <v>1</v>
      </c>
      <c r="I90" s="38">
        <f t="shared" si="64"/>
        <v>2</v>
      </c>
      <c r="J90" s="36">
        <v>45966</v>
      </c>
      <c r="K90" s="11" t="s">
        <v>3</v>
      </c>
      <c r="L90" s="25"/>
      <c r="M90" s="19"/>
      <c r="N90" s="46">
        <f t="shared" si="65"/>
        <v>0</v>
      </c>
      <c r="O90" s="31"/>
      <c r="P90" s="7"/>
      <c r="Q90" s="54">
        <f t="shared" si="66"/>
        <v>0</v>
      </c>
      <c r="R90" s="38">
        <f t="shared" si="67"/>
        <v>0</v>
      </c>
      <c r="S90" s="36"/>
    </row>
    <row r="91" spans="2:19" x14ac:dyDescent="0.15">
      <c r="B91" s="11" t="s">
        <v>3</v>
      </c>
      <c r="C91" s="25"/>
      <c r="D91" s="19"/>
      <c r="E91" s="46">
        <f t="shared" si="61"/>
        <v>0</v>
      </c>
      <c r="F91" s="31"/>
      <c r="G91" s="7"/>
      <c r="H91" s="54">
        <f t="shared" si="62"/>
        <v>0</v>
      </c>
      <c r="I91" s="38">
        <f t="shared" si="64"/>
        <v>0</v>
      </c>
      <c r="J91" s="36"/>
      <c r="K91" s="11" t="s">
        <v>3</v>
      </c>
      <c r="L91" s="25"/>
      <c r="M91" s="19"/>
      <c r="N91" s="46">
        <f t="shared" si="65"/>
        <v>0</v>
      </c>
      <c r="O91" s="31"/>
      <c r="P91" s="7"/>
      <c r="Q91" s="54">
        <f t="shared" si="66"/>
        <v>0</v>
      </c>
      <c r="R91" s="38">
        <f t="shared" si="67"/>
        <v>0</v>
      </c>
      <c r="S91" s="36"/>
    </row>
    <row r="92" spans="2:19" ht="14.25" thickBot="1" x14ac:dyDescent="0.2">
      <c r="B92" s="10" t="s">
        <v>3</v>
      </c>
      <c r="C92" s="26"/>
      <c r="D92" s="20"/>
      <c r="E92" s="47">
        <f t="shared" si="61"/>
        <v>0</v>
      </c>
      <c r="F92" s="32"/>
      <c r="G92" s="5"/>
      <c r="H92" s="55">
        <f t="shared" si="62"/>
        <v>0</v>
      </c>
      <c r="I92" s="39">
        <f t="shared" si="64"/>
        <v>0</v>
      </c>
      <c r="J92" s="36"/>
      <c r="K92" s="11" t="s">
        <v>3</v>
      </c>
      <c r="L92" s="26"/>
      <c r="M92" s="20"/>
      <c r="N92" s="81">
        <f t="shared" ref="N92" si="71">SUM(L92:M92)</f>
        <v>0</v>
      </c>
      <c r="O92" s="32"/>
      <c r="P92" s="5"/>
      <c r="Q92" s="82">
        <f t="shared" ref="Q92" si="72">SUM(O92:P92)</f>
        <v>0</v>
      </c>
      <c r="R92" s="39">
        <f t="shared" ref="R92" si="73">N92+Q92</f>
        <v>0</v>
      </c>
      <c r="S92" s="36"/>
    </row>
    <row r="93" spans="2:19" ht="14.25" thickBot="1" x14ac:dyDescent="0.2">
      <c r="B93" s="42" t="s">
        <v>2</v>
      </c>
      <c r="C93" s="43">
        <f>SUM(C87:C92)</f>
        <v>6</v>
      </c>
      <c r="D93" s="44">
        <f>SUM(D87:D92)</f>
        <v>6</v>
      </c>
      <c r="E93" s="48">
        <f t="shared" si="61"/>
        <v>12</v>
      </c>
      <c r="F93" s="43">
        <f>SUM(F87:F92)</f>
        <v>6</v>
      </c>
      <c r="G93" s="44">
        <f>SUM(G87:G92)</f>
        <v>6</v>
      </c>
      <c r="H93" s="56">
        <f t="shared" si="62"/>
        <v>12</v>
      </c>
      <c r="I93" s="41">
        <f t="shared" ref="I93:I120" si="74">E93+H93</f>
        <v>24</v>
      </c>
      <c r="J93" s="35"/>
      <c r="K93" s="42" t="s">
        <v>2</v>
      </c>
      <c r="L93" s="43">
        <f>SUM(L87:L92)</f>
        <v>101</v>
      </c>
      <c r="M93" s="44">
        <f t="shared" ref="M93" si="75">SUM(M87:M92)</f>
        <v>118</v>
      </c>
      <c r="N93" s="83">
        <f t="shared" ref="N93" si="76">SUM(N87:N92)</f>
        <v>219</v>
      </c>
      <c r="O93" s="43">
        <f t="shared" ref="O93" si="77">SUM(O87:O92)</f>
        <v>101</v>
      </c>
      <c r="P93" s="44">
        <f t="shared" ref="P93" si="78">SUM(P87:P92)</f>
        <v>118</v>
      </c>
      <c r="Q93" s="84">
        <f t="shared" ref="Q93" si="79">SUM(Q87:Q92)</f>
        <v>219</v>
      </c>
      <c r="R93" s="41">
        <f t="shared" ref="R93" si="80">SUM(R87:R92)</f>
        <v>438</v>
      </c>
    </row>
    <row r="94" spans="2:19" x14ac:dyDescent="0.15">
      <c r="B94" s="6" t="s">
        <v>151</v>
      </c>
      <c r="C94" s="25">
        <v>1</v>
      </c>
      <c r="D94" s="19"/>
      <c r="E94" s="57">
        <f t="shared" si="61"/>
        <v>1</v>
      </c>
      <c r="F94" s="31">
        <v>1</v>
      </c>
      <c r="G94" s="7"/>
      <c r="H94" s="57">
        <f t="shared" si="62"/>
        <v>1</v>
      </c>
      <c r="I94" s="38">
        <f t="shared" si="74"/>
        <v>2</v>
      </c>
      <c r="J94" s="36">
        <v>45953</v>
      </c>
      <c r="K94" s="6" t="s">
        <v>185</v>
      </c>
      <c r="L94" s="25">
        <v>40</v>
      </c>
      <c r="M94" s="19">
        <v>40</v>
      </c>
      <c r="N94" s="57">
        <f t="shared" ref="N94:N112" si="81">SUM(L94:M94)</f>
        <v>80</v>
      </c>
      <c r="O94" s="31">
        <v>40</v>
      </c>
      <c r="P94" s="7">
        <v>40</v>
      </c>
      <c r="Q94" s="57">
        <f t="shared" ref="Q94:Q112" si="82">SUM(O94:P94)</f>
        <v>80</v>
      </c>
      <c r="R94" s="38">
        <f t="shared" ref="R94:R112" si="83">N94+Q94</f>
        <v>160</v>
      </c>
      <c r="S94" s="36">
        <v>46169</v>
      </c>
    </row>
    <row r="95" spans="2:19" x14ac:dyDescent="0.15">
      <c r="B95" s="6" t="s">
        <v>155</v>
      </c>
      <c r="C95" s="25"/>
      <c r="D95" s="19">
        <v>1</v>
      </c>
      <c r="E95" s="57">
        <f t="shared" si="61"/>
        <v>1</v>
      </c>
      <c r="F95" s="31"/>
      <c r="G95" s="7">
        <v>1</v>
      </c>
      <c r="H95" s="57">
        <f t="shared" si="62"/>
        <v>1</v>
      </c>
      <c r="I95" s="38">
        <f t="shared" si="74"/>
        <v>2</v>
      </c>
      <c r="J95" s="36">
        <v>45993</v>
      </c>
      <c r="K95" s="6" t="s">
        <v>252</v>
      </c>
      <c r="L95" s="25">
        <v>10</v>
      </c>
      <c r="M95" s="19">
        <v>10</v>
      </c>
      <c r="N95" s="57">
        <f t="shared" si="81"/>
        <v>20</v>
      </c>
      <c r="O95" s="31">
        <v>10</v>
      </c>
      <c r="P95" s="7">
        <v>10</v>
      </c>
      <c r="Q95" s="57">
        <f t="shared" si="82"/>
        <v>20</v>
      </c>
      <c r="R95" s="38">
        <f t="shared" si="83"/>
        <v>40</v>
      </c>
      <c r="S95" s="36">
        <v>46188</v>
      </c>
    </row>
    <row r="96" spans="2:19" x14ac:dyDescent="0.15">
      <c r="B96" s="6" t="s">
        <v>63</v>
      </c>
      <c r="C96" s="25">
        <v>1</v>
      </c>
      <c r="D96" s="19"/>
      <c r="E96" s="57">
        <f t="shared" si="61"/>
        <v>1</v>
      </c>
      <c r="F96" s="31">
        <v>1</v>
      </c>
      <c r="G96" s="7"/>
      <c r="H96" s="57">
        <f t="shared" si="62"/>
        <v>1</v>
      </c>
      <c r="I96" s="38">
        <f t="shared" si="74"/>
        <v>2</v>
      </c>
      <c r="J96" s="36">
        <v>45996</v>
      </c>
      <c r="K96" s="6"/>
      <c r="L96" s="25"/>
      <c r="M96" s="19"/>
      <c r="N96" s="57">
        <f t="shared" si="81"/>
        <v>0</v>
      </c>
      <c r="O96" s="31"/>
      <c r="P96" s="7"/>
      <c r="Q96" s="57">
        <f t="shared" si="82"/>
        <v>0</v>
      </c>
      <c r="R96" s="38">
        <f t="shared" si="83"/>
        <v>0</v>
      </c>
      <c r="S96" s="36"/>
    </row>
    <row r="97" spans="2:19" x14ac:dyDescent="0.15">
      <c r="B97" s="6" t="s">
        <v>161</v>
      </c>
      <c r="C97" s="25"/>
      <c r="D97" s="19">
        <v>1</v>
      </c>
      <c r="E97" s="57">
        <f t="shared" si="61"/>
        <v>1</v>
      </c>
      <c r="F97" s="31"/>
      <c r="G97" s="7">
        <v>1</v>
      </c>
      <c r="H97" s="57">
        <f t="shared" si="62"/>
        <v>1</v>
      </c>
      <c r="I97" s="38">
        <f t="shared" si="74"/>
        <v>2</v>
      </c>
      <c r="J97" s="36">
        <v>46035</v>
      </c>
      <c r="K97" s="6"/>
      <c r="L97" s="25"/>
      <c r="M97" s="19"/>
      <c r="N97" s="57">
        <f t="shared" si="81"/>
        <v>0</v>
      </c>
      <c r="O97" s="31"/>
      <c r="P97" s="7"/>
      <c r="Q97" s="57">
        <f t="shared" si="82"/>
        <v>0</v>
      </c>
      <c r="R97" s="38">
        <f t="shared" si="83"/>
        <v>0</v>
      </c>
      <c r="S97" s="36"/>
    </row>
    <row r="98" spans="2:19" x14ac:dyDescent="0.15">
      <c r="B98" s="6" t="s">
        <v>162</v>
      </c>
      <c r="C98" s="25"/>
      <c r="D98" s="19"/>
      <c r="E98" s="57">
        <f t="shared" si="61"/>
        <v>0</v>
      </c>
      <c r="F98" s="31"/>
      <c r="G98" s="7">
        <v>1</v>
      </c>
      <c r="H98" s="57">
        <f t="shared" si="62"/>
        <v>1</v>
      </c>
      <c r="I98" s="38">
        <f t="shared" si="74"/>
        <v>1</v>
      </c>
      <c r="J98" s="36">
        <v>46029</v>
      </c>
      <c r="K98" s="6"/>
      <c r="L98" s="25"/>
      <c r="M98" s="19"/>
      <c r="N98" s="57">
        <f t="shared" si="81"/>
        <v>0</v>
      </c>
      <c r="O98" s="31"/>
      <c r="P98" s="7"/>
      <c r="Q98" s="57">
        <f t="shared" si="82"/>
        <v>0</v>
      </c>
      <c r="R98" s="38">
        <f t="shared" si="83"/>
        <v>0</v>
      </c>
      <c r="S98" s="36"/>
    </row>
    <row r="99" spans="2:19" x14ac:dyDescent="0.15">
      <c r="B99" s="6" t="s">
        <v>20</v>
      </c>
      <c r="C99" s="25"/>
      <c r="D99" s="19">
        <v>1</v>
      </c>
      <c r="E99" s="57">
        <f t="shared" si="61"/>
        <v>1</v>
      </c>
      <c r="F99" s="31"/>
      <c r="G99" s="7">
        <v>1</v>
      </c>
      <c r="H99" s="57">
        <f t="shared" si="62"/>
        <v>1</v>
      </c>
      <c r="I99" s="38">
        <f t="shared" si="74"/>
        <v>2</v>
      </c>
      <c r="J99" s="36">
        <v>46036</v>
      </c>
      <c r="K99" s="6"/>
      <c r="L99" s="25"/>
      <c r="M99" s="19"/>
      <c r="N99" s="57">
        <f t="shared" si="81"/>
        <v>0</v>
      </c>
      <c r="O99" s="31"/>
      <c r="P99" s="7"/>
      <c r="Q99" s="57">
        <f t="shared" si="82"/>
        <v>0</v>
      </c>
      <c r="R99" s="38">
        <f t="shared" si="83"/>
        <v>0</v>
      </c>
      <c r="S99" s="36"/>
    </row>
    <row r="100" spans="2:19" x14ac:dyDescent="0.15">
      <c r="B100" s="6" t="s">
        <v>172</v>
      </c>
      <c r="C100" s="25">
        <v>1</v>
      </c>
      <c r="D100" s="19"/>
      <c r="E100" s="57">
        <f t="shared" si="61"/>
        <v>1</v>
      </c>
      <c r="F100" s="31"/>
      <c r="G100" s="7">
        <v>1</v>
      </c>
      <c r="H100" s="57">
        <f t="shared" si="62"/>
        <v>1</v>
      </c>
      <c r="I100" s="38">
        <f t="shared" si="74"/>
        <v>2</v>
      </c>
      <c r="J100" s="36">
        <v>46051</v>
      </c>
      <c r="K100" s="6"/>
      <c r="L100" s="25"/>
      <c r="M100" s="19"/>
      <c r="N100" s="57">
        <f t="shared" si="81"/>
        <v>0</v>
      </c>
      <c r="O100" s="31"/>
      <c r="P100" s="7"/>
      <c r="Q100" s="57">
        <f t="shared" si="82"/>
        <v>0</v>
      </c>
      <c r="R100" s="38">
        <f t="shared" si="83"/>
        <v>0</v>
      </c>
      <c r="S100" s="36"/>
    </row>
    <row r="101" spans="2:19" x14ac:dyDescent="0.15">
      <c r="B101" s="6" t="s">
        <v>181</v>
      </c>
      <c r="C101" s="25"/>
      <c r="D101" s="19">
        <v>1</v>
      </c>
      <c r="E101" s="57">
        <f t="shared" si="61"/>
        <v>1</v>
      </c>
      <c r="F101" s="31"/>
      <c r="G101" s="7"/>
      <c r="H101" s="57">
        <f t="shared" si="62"/>
        <v>0</v>
      </c>
      <c r="I101" s="38">
        <f t="shared" si="74"/>
        <v>1</v>
      </c>
      <c r="J101" s="36">
        <v>46099</v>
      </c>
      <c r="K101" s="6"/>
      <c r="L101" s="25"/>
      <c r="M101" s="19"/>
      <c r="N101" s="57">
        <f t="shared" si="81"/>
        <v>0</v>
      </c>
      <c r="O101" s="31"/>
      <c r="P101" s="7"/>
      <c r="Q101" s="57">
        <f t="shared" si="82"/>
        <v>0</v>
      </c>
      <c r="R101" s="38">
        <f t="shared" si="83"/>
        <v>0</v>
      </c>
      <c r="S101" s="36"/>
    </row>
    <row r="102" spans="2:19" x14ac:dyDescent="0.15">
      <c r="B102" s="6" t="s">
        <v>94</v>
      </c>
      <c r="C102" s="25">
        <v>1</v>
      </c>
      <c r="D102" s="19"/>
      <c r="E102" s="57">
        <f t="shared" si="61"/>
        <v>1</v>
      </c>
      <c r="F102" s="31">
        <v>1</v>
      </c>
      <c r="G102" s="7"/>
      <c r="H102" s="57">
        <f t="shared" si="62"/>
        <v>1</v>
      </c>
      <c r="I102" s="38">
        <f t="shared" si="74"/>
        <v>2</v>
      </c>
      <c r="J102" s="36">
        <v>46114</v>
      </c>
      <c r="K102" s="6"/>
      <c r="L102" s="25"/>
      <c r="M102" s="19"/>
      <c r="N102" s="57">
        <f t="shared" si="81"/>
        <v>0</v>
      </c>
      <c r="O102" s="31"/>
      <c r="P102" s="7"/>
      <c r="Q102" s="57">
        <f t="shared" si="82"/>
        <v>0</v>
      </c>
      <c r="R102" s="38">
        <f t="shared" si="83"/>
        <v>0</v>
      </c>
      <c r="S102" s="36"/>
    </row>
    <row r="103" spans="2:19" x14ac:dyDescent="0.15">
      <c r="B103" s="6"/>
      <c r="C103" s="25"/>
      <c r="D103" s="19"/>
      <c r="E103" s="57">
        <f t="shared" si="61"/>
        <v>0</v>
      </c>
      <c r="F103" s="31"/>
      <c r="G103" s="7"/>
      <c r="H103" s="57">
        <f t="shared" si="62"/>
        <v>0</v>
      </c>
      <c r="I103" s="38">
        <f t="shared" si="74"/>
        <v>0</v>
      </c>
      <c r="J103" s="36"/>
      <c r="K103" s="6"/>
      <c r="L103" s="25"/>
      <c r="M103" s="19"/>
      <c r="N103" s="57">
        <f t="shared" si="81"/>
        <v>0</v>
      </c>
      <c r="O103" s="31"/>
      <c r="P103" s="7"/>
      <c r="Q103" s="57">
        <f t="shared" si="82"/>
        <v>0</v>
      </c>
      <c r="R103" s="38">
        <f t="shared" si="83"/>
        <v>0</v>
      </c>
      <c r="S103" s="36"/>
    </row>
    <row r="104" spans="2:19" x14ac:dyDescent="0.15">
      <c r="B104" s="6"/>
      <c r="C104" s="25"/>
      <c r="D104" s="19"/>
      <c r="E104" s="57">
        <f t="shared" si="61"/>
        <v>0</v>
      </c>
      <c r="F104" s="31"/>
      <c r="G104" s="7"/>
      <c r="H104" s="57">
        <f t="shared" si="62"/>
        <v>0</v>
      </c>
      <c r="I104" s="38">
        <f t="shared" si="74"/>
        <v>0</v>
      </c>
      <c r="J104" s="36"/>
      <c r="K104" s="6"/>
      <c r="L104" s="25"/>
      <c r="M104" s="19"/>
      <c r="N104" s="57">
        <f t="shared" si="81"/>
        <v>0</v>
      </c>
      <c r="O104" s="31"/>
      <c r="P104" s="7"/>
      <c r="Q104" s="57">
        <f t="shared" si="82"/>
        <v>0</v>
      </c>
      <c r="R104" s="38">
        <f t="shared" si="83"/>
        <v>0</v>
      </c>
      <c r="S104" s="36"/>
    </row>
    <row r="105" spans="2:19" x14ac:dyDescent="0.15">
      <c r="B105" s="6"/>
      <c r="C105" s="25"/>
      <c r="D105" s="19"/>
      <c r="E105" s="57">
        <f t="shared" si="61"/>
        <v>0</v>
      </c>
      <c r="F105" s="31"/>
      <c r="G105" s="7"/>
      <c r="H105" s="57">
        <f t="shared" si="62"/>
        <v>0</v>
      </c>
      <c r="I105" s="38">
        <f t="shared" si="74"/>
        <v>0</v>
      </c>
      <c r="J105" s="36"/>
      <c r="K105" s="6"/>
      <c r="L105" s="25"/>
      <c r="M105" s="19"/>
      <c r="N105" s="57">
        <f t="shared" si="81"/>
        <v>0</v>
      </c>
      <c r="O105" s="31"/>
      <c r="P105" s="7"/>
      <c r="Q105" s="57">
        <f t="shared" si="82"/>
        <v>0</v>
      </c>
      <c r="R105" s="38">
        <f t="shared" si="83"/>
        <v>0</v>
      </c>
      <c r="S105" s="36"/>
    </row>
    <row r="106" spans="2:19" x14ac:dyDescent="0.15">
      <c r="B106" s="6"/>
      <c r="C106" s="25"/>
      <c r="D106" s="19"/>
      <c r="E106" s="57">
        <f t="shared" si="61"/>
        <v>0</v>
      </c>
      <c r="F106" s="31"/>
      <c r="G106" s="7"/>
      <c r="H106" s="57">
        <f t="shared" si="62"/>
        <v>0</v>
      </c>
      <c r="I106" s="38">
        <f t="shared" si="74"/>
        <v>0</v>
      </c>
      <c r="J106" s="36"/>
      <c r="K106" s="6"/>
      <c r="L106" s="25"/>
      <c r="M106" s="19"/>
      <c r="N106" s="57">
        <f t="shared" si="81"/>
        <v>0</v>
      </c>
      <c r="O106" s="31"/>
      <c r="P106" s="7"/>
      <c r="Q106" s="57">
        <f t="shared" si="82"/>
        <v>0</v>
      </c>
      <c r="R106" s="38">
        <f t="shared" si="83"/>
        <v>0</v>
      </c>
      <c r="S106" s="36"/>
    </row>
    <row r="107" spans="2:19" x14ac:dyDescent="0.15">
      <c r="B107" s="6"/>
      <c r="C107" s="25"/>
      <c r="D107" s="19"/>
      <c r="E107" s="57">
        <f t="shared" si="61"/>
        <v>0</v>
      </c>
      <c r="F107" s="31"/>
      <c r="G107" s="7"/>
      <c r="H107" s="57">
        <f t="shared" si="62"/>
        <v>0</v>
      </c>
      <c r="I107" s="38">
        <f t="shared" si="74"/>
        <v>0</v>
      </c>
      <c r="J107" s="36"/>
      <c r="K107" s="6"/>
      <c r="L107" s="25"/>
      <c r="M107" s="19"/>
      <c r="N107" s="57">
        <f t="shared" si="81"/>
        <v>0</v>
      </c>
      <c r="O107" s="31"/>
      <c r="P107" s="7"/>
      <c r="Q107" s="57">
        <f t="shared" si="82"/>
        <v>0</v>
      </c>
      <c r="R107" s="38">
        <f t="shared" si="83"/>
        <v>0</v>
      </c>
      <c r="S107" s="36"/>
    </row>
    <row r="108" spans="2:19" x14ac:dyDescent="0.15">
      <c r="B108" s="6"/>
      <c r="C108" s="25"/>
      <c r="D108" s="19"/>
      <c r="E108" s="57">
        <f t="shared" si="61"/>
        <v>0</v>
      </c>
      <c r="F108" s="31"/>
      <c r="G108" s="7"/>
      <c r="H108" s="57">
        <f t="shared" si="62"/>
        <v>0</v>
      </c>
      <c r="I108" s="38">
        <f t="shared" si="74"/>
        <v>0</v>
      </c>
      <c r="J108" s="36"/>
      <c r="K108" s="6"/>
      <c r="L108" s="25"/>
      <c r="M108" s="19"/>
      <c r="N108" s="57">
        <f t="shared" si="81"/>
        <v>0</v>
      </c>
      <c r="O108" s="31"/>
      <c r="P108" s="7"/>
      <c r="Q108" s="57">
        <f t="shared" si="82"/>
        <v>0</v>
      </c>
      <c r="R108" s="38">
        <f t="shared" si="83"/>
        <v>0</v>
      </c>
      <c r="S108" s="36"/>
    </row>
    <row r="109" spans="2:19" x14ac:dyDescent="0.15">
      <c r="B109" s="6"/>
      <c r="C109" s="25"/>
      <c r="D109" s="19"/>
      <c r="E109" s="57">
        <f t="shared" si="61"/>
        <v>0</v>
      </c>
      <c r="F109" s="31"/>
      <c r="G109" s="7"/>
      <c r="H109" s="57">
        <f t="shared" si="62"/>
        <v>0</v>
      </c>
      <c r="I109" s="38">
        <f t="shared" si="74"/>
        <v>0</v>
      </c>
      <c r="J109" s="36"/>
      <c r="K109" s="6"/>
      <c r="L109" s="25"/>
      <c r="M109" s="19"/>
      <c r="N109" s="57">
        <f t="shared" si="81"/>
        <v>0</v>
      </c>
      <c r="O109" s="31"/>
      <c r="P109" s="7"/>
      <c r="Q109" s="57">
        <f t="shared" si="82"/>
        <v>0</v>
      </c>
      <c r="R109" s="38">
        <f t="shared" si="83"/>
        <v>0</v>
      </c>
      <c r="S109" s="36"/>
    </row>
    <row r="110" spans="2:19" x14ac:dyDescent="0.15">
      <c r="B110" s="6"/>
      <c r="C110" s="25"/>
      <c r="D110" s="19"/>
      <c r="E110" s="57">
        <f t="shared" si="61"/>
        <v>0</v>
      </c>
      <c r="F110" s="31"/>
      <c r="G110" s="7"/>
      <c r="H110" s="57">
        <f t="shared" si="62"/>
        <v>0</v>
      </c>
      <c r="I110" s="38">
        <f t="shared" si="74"/>
        <v>0</v>
      </c>
      <c r="J110" s="36"/>
      <c r="K110" s="6"/>
      <c r="L110" s="25"/>
      <c r="M110" s="19"/>
      <c r="N110" s="57">
        <f t="shared" si="81"/>
        <v>0</v>
      </c>
      <c r="O110" s="31"/>
      <c r="P110" s="7"/>
      <c r="Q110" s="57">
        <f t="shared" si="82"/>
        <v>0</v>
      </c>
      <c r="R110" s="38">
        <f t="shared" si="83"/>
        <v>0</v>
      </c>
      <c r="S110" s="36"/>
    </row>
    <row r="111" spans="2:19" x14ac:dyDescent="0.15">
      <c r="B111" s="6"/>
      <c r="C111" s="25"/>
      <c r="D111" s="19"/>
      <c r="E111" s="57">
        <f t="shared" si="61"/>
        <v>0</v>
      </c>
      <c r="F111" s="31"/>
      <c r="G111" s="7"/>
      <c r="H111" s="57">
        <f t="shared" si="62"/>
        <v>0</v>
      </c>
      <c r="I111" s="38">
        <f t="shared" si="74"/>
        <v>0</v>
      </c>
      <c r="J111" s="36"/>
      <c r="K111" s="6"/>
      <c r="L111" s="25"/>
      <c r="M111" s="19"/>
      <c r="N111" s="57">
        <f t="shared" si="81"/>
        <v>0</v>
      </c>
      <c r="O111" s="31"/>
      <c r="P111" s="7"/>
      <c r="Q111" s="57">
        <f t="shared" si="82"/>
        <v>0</v>
      </c>
      <c r="R111" s="38">
        <f t="shared" si="83"/>
        <v>0</v>
      </c>
      <c r="S111" s="36"/>
    </row>
    <row r="112" spans="2:19" x14ac:dyDescent="0.15">
      <c r="B112" s="6"/>
      <c r="C112" s="25"/>
      <c r="D112" s="19"/>
      <c r="E112" s="57">
        <f t="shared" si="61"/>
        <v>0</v>
      </c>
      <c r="F112" s="31"/>
      <c r="G112" s="7"/>
      <c r="H112" s="57">
        <f t="shared" si="62"/>
        <v>0</v>
      </c>
      <c r="I112" s="38">
        <f t="shared" si="74"/>
        <v>0</v>
      </c>
      <c r="J112" s="36"/>
      <c r="K112" s="6"/>
      <c r="L112" s="25"/>
      <c r="M112" s="19"/>
      <c r="N112" s="57">
        <f t="shared" si="81"/>
        <v>0</v>
      </c>
      <c r="O112" s="31"/>
      <c r="P112" s="7"/>
      <c r="Q112" s="57">
        <f t="shared" si="82"/>
        <v>0</v>
      </c>
      <c r="R112" s="38">
        <f t="shared" si="83"/>
        <v>0</v>
      </c>
      <c r="S112" s="36"/>
    </row>
    <row r="113" spans="2:19" x14ac:dyDescent="0.15">
      <c r="B113" s="6"/>
      <c r="C113" s="25"/>
      <c r="D113" s="19"/>
      <c r="E113" s="57">
        <f t="shared" si="61"/>
        <v>0</v>
      </c>
      <c r="F113" s="31"/>
      <c r="G113" s="7"/>
      <c r="H113" s="57">
        <f t="shared" si="62"/>
        <v>0</v>
      </c>
      <c r="I113" s="38">
        <f t="shared" si="74"/>
        <v>0</v>
      </c>
      <c r="J113" s="36"/>
      <c r="K113" s="6"/>
      <c r="L113" s="25"/>
      <c r="M113" s="19"/>
      <c r="N113" s="57">
        <f t="shared" ref="N113" si="84">SUM(L113:M113)</f>
        <v>0</v>
      </c>
      <c r="O113" s="31"/>
      <c r="P113" s="7"/>
      <c r="Q113" s="57">
        <f t="shared" ref="Q113" si="85">SUM(O113:P113)</f>
        <v>0</v>
      </c>
      <c r="R113" s="38">
        <f t="shared" ref="R113" si="86">N113+Q113</f>
        <v>0</v>
      </c>
      <c r="S113" s="36"/>
    </row>
    <row r="114" spans="2:19" x14ac:dyDescent="0.15">
      <c r="B114" s="6"/>
      <c r="C114" s="25"/>
      <c r="D114" s="19"/>
      <c r="E114" s="57">
        <f t="shared" si="61"/>
        <v>0</v>
      </c>
      <c r="F114" s="31"/>
      <c r="G114" s="7"/>
      <c r="H114" s="57">
        <f t="shared" si="62"/>
        <v>0</v>
      </c>
      <c r="I114" s="38">
        <f t="shared" si="74"/>
        <v>0</v>
      </c>
      <c r="J114" s="36"/>
      <c r="K114" s="6"/>
      <c r="L114" s="25"/>
      <c r="M114" s="19"/>
      <c r="N114" s="57">
        <f t="shared" ref="N114:N118" si="87">SUM(L114:M114)</f>
        <v>0</v>
      </c>
      <c r="O114" s="31"/>
      <c r="P114" s="7"/>
      <c r="Q114" s="57">
        <f t="shared" ref="Q114:Q118" si="88">SUM(O114:P114)</f>
        <v>0</v>
      </c>
      <c r="R114" s="38">
        <f t="shared" ref="R114:R118" si="89">N114+Q114</f>
        <v>0</v>
      </c>
      <c r="S114" s="36"/>
    </row>
    <row r="115" spans="2:19" x14ac:dyDescent="0.15">
      <c r="B115" s="6"/>
      <c r="C115" s="25"/>
      <c r="D115" s="19"/>
      <c r="E115" s="57">
        <f t="shared" si="61"/>
        <v>0</v>
      </c>
      <c r="F115" s="31"/>
      <c r="G115" s="7"/>
      <c r="H115" s="57">
        <f t="shared" si="62"/>
        <v>0</v>
      </c>
      <c r="I115" s="38">
        <f t="shared" si="74"/>
        <v>0</v>
      </c>
      <c r="J115" s="36"/>
      <c r="K115" s="6"/>
      <c r="L115" s="25"/>
      <c r="M115" s="19"/>
      <c r="N115" s="57">
        <f t="shared" si="87"/>
        <v>0</v>
      </c>
      <c r="O115" s="31"/>
      <c r="P115" s="7"/>
      <c r="Q115" s="57">
        <f t="shared" si="88"/>
        <v>0</v>
      </c>
      <c r="R115" s="38">
        <f t="shared" si="89"/>
        <v>0</v>
      </c>
      <c r="S115" s="36"/>
    </row>
    <row r="116" spans="2:19" x14ac:dyDescent="0.15">
      <c r="B116" s="6"/>
      <c r="C116" s="25"/>
      <c r="D116" s="19"/>
      <c r="E116" s="57">
        <f t="shared" si="61"/>
        <v>0</v>
      </c>
      <c r="F116" s="31"/>
      <c r="G116" s="7"/>
      <c r="H116" s="57">
        <f t="shared" si="62"/>
        <v>0</v>
      </c>
      <c r="I116" s="38">
        <f t="shared" si="74"/>
        <v>0</v>
      </c>
      <c r="J116" s="36"/>
      <c r="K116" s="6"/>
      <c r="L116" s="25"/>
      <c r="M116" s="19"/>
      <c r="N116" s="57">
        <f t="shared" si="87"/>
        <v>0</v>
      </c>
      <c r="O116" s="31"/>
      <c r="P116" s="7"/>
      <c r="Q116" s="57">
        <f t="shared" si="88"/>
        <v>0</v>
      </c>
      <c r="R116" s="38">
        <f t="shared" si="89"/>
        <v>0</v>
      </c>
      <c r="S116" s="36"/>
    </row>
    <row r="117" spans="2:19" x14ac:dyDescent="0.15">
      <c r="B117" s="6"/>
      <c r="C117" s="25"/>
      <c r="D117" s="19"/>
      <c r="E117" s="57">
        <f t="shared" si="61"/>
        <v>0</v>
      </c>
      <c r="F117" s="31"/>
      <c r="G117" s="7"/>
      <c r="H117" s="57">
        <f t="shared" si="62"/>
        <v>0</v>
      </c>
      <c r="I117" s="38">
        <f t="shared" si="74"/>
        <v>0</v>
      </c>
      <c r="J117" s="36"/>
      <c r="K117" s="119" t="s">
        <v>184</v>
      </c>
      <c r="L117" s="120">
        <v>-20</v>
      </c>
      <c r="M117" s="121">
        <v>0</v>
      </c>
      <c r="N117" s="125">
        <f t="shared" si="87"/>
        <v>-20</v>
      </c>
      <c r="O117" s="123">
        <v>-20</v>
      </c>
      <c r="P117" s="124">
        <v>0</v>
      </c>
      <c r="Q117" s="125">
        <f t="shared" si="88"/>
        <v>-20</v>
      </c>
      <c r="R117" s="126">
        <f t="shared" si="89"/>
        <v>-40</v>
      </c>
      <c r="S117" s="36"/>
    </row>
    <row r="118" spans="2:19" ht="14.25" thickBot="1" x14ac:dyDescent="0.2">
      <c r="B118" s="6" t="s">
        <v>159</v>
      </c>
      <c r="C118" s="25"/>
      <c r="D118" s="19"/>
      <c r="E118" s="57">
        <f t="shared" si="61"/>
        <v>0</v>
      </c>
      <c r="F118" s="31"/>
      <c r="G118" s="7"/>
      <c r="H118" s="57">
        <f t="shared" si="62"/>
        <v>0</v>
      </c>
      <c r="I118" s="38">
        <f t="shared" si="74"/>
        <v>0</v>
      </c>
      <c r="J118" s="36"/>
      <c r="K118" s="115" t="s">
        <v>182</v>
      </c>
      <c r="L118" s="110">
        <f>120-40-10</f>
        <v>70</v>
      </c>
      <c r="M118" s="111">
        <f>100-40-10</f>
        <v>50</v>
      </c>
      <c r="N118" s="118">
        <f t="shared" si="87"/>
        <v>120</v>
      </c>
      <c r="O118" s="110">
        <f>120-40-10</f>
        <v>70</v>
      </c>
      <c r="P118" s="111">
        <f>100-40-10</f>
        <v>50</v>
      </c>
      <c r="Q118" s="118">
        <f t="shared" si="88"/>
        <v>120</v>
      </c>
      <c r="R118" s="68">
        <f t="shared" si="89"/>
        <v>240</v>
      </c>
      <c r="S118" s="69" t="s">
        <v>183</v>
      </c>
    </row>
    <row r="119" spans="2:19" ht="14.25" thickBot="1" x14ac:dyDescent="0.2">
      <c r="B119" s="4" t="s">
        <v>1</v>
      </c>
      <c r="C119" s="27">
        <f>SUM(C94:C118)</f>
        <v>4</v>
      </c>
      <c r="D119" s="21">
        <f>SUM(D94:D118)</f>
        <v>4</v>
      </c>
      <c r="E119" s="51">
        <f t="shared" si="61"/>
        <v>8</v>
      </c>
      <c r="F119" s="27">
        <f>SUM(F94:F118)</f>
        <v>3</v>
      </c>
      <c r="G119" s="21">
        <f>SUM(G94:G118)</f>
        <v>5</v>
      </c>
      <c r="H119" s="59">
        <f t="shared" si="62"/>
        <v>8</v>
      </c>
      <c r="I119" s="40">
        <f t="shared" si="74"/>
        <v>16</v>
      </c>
      <c r="K119" s="4" t="s">
        <v>1</v>
      </c>
      <c r="L119" s="27">
        <f>SUM(L94:L118)</f>
        <v>100</v>
      </c>
      <c r="M119" s="21">
        <f t="shared" ref="M119" si="90">SUM(M94:M118)</f>
        <v>100</v>
      </c>
      <c r="N119" s="51">
        <f t="shared" ref="N119" si="91">SUM(N94:N118)</f>
        <v>200</v>
      </c>
      <c r="O119" s="27">
        <f t="shared" ref="O119" si="92">SUM(O94:O118)</f>
        <v>100</v>
      </c>
      <c r="P119" s="21">
        <f t="shared" ref="P119" si="93">SUM(P94:P118)</f>
        <v>100</v>
      </c>
      <c r="Q119" s="59">
        <f t="shared" ref="Q119" si="94">SUM(Q94:Q118)</f>
        <v>200</v>
      </c>
      <c r="R119" s="40">
        <f t="shared" ref="R119" si="95">SUM(R94:R118)</f>
        <v>400</v>
      </c>
    </row>
    <row r="120" spans="2:19" ht="14.25" thickBot="1" x14ac:dyDescent="0.2">
      <c r="B120" s="3" t="s">
        <v>0</v>
      </c>
      <c r="C120" s="30">
        <f>+C93-C119</f>
        <v>2</v>
      </c>
      <c r="D120" s="2">
        <f>+D93-D119</f>
        <v>2</v>
      </c>
      <c r="E120" s="52">
        <f t="shared" si="61"/>
        <v>4</v>
      </c>
      <c r="F120" s="30">
        <f>+F93-F119</f>
        <v>3</v>
      </c>
      <c r="G120" s="2">
        <f>+G93-G119</f>
        <v>1</v>
      </c>
      <c r="H120" s="60">
        <f t="shared" si="62"/>
        <v>4</v>
      </c>
      <c r="I120" s="41">
        <f t="shared" si="74"/>
        <v>8</v>
      </c>
      <c r="K120" s="3" t="s">
        <v>0</v>
      </c>
      <c r="L120" s="30">
        <f>+L93-L119</f>
        <v>1</v>
      </c>
      <c r="M120" s="2">
        <f t="shared" ref="M120" si="96">+M93-M119</f>
        <v>18</v>
      </c>
      <c r="N120" s="52">
        <f t="shared" ref="N120" si="97">+N93-N119</f>
        <v>19</v>
      </c>
      <c r="O120" s="30">
        <f t="shared" ref="O120" si="98">+O93-O119</f>
        <v>1</v>
      </c>
      <c r="P120" s="2">
        <f t="shared" ref="P120" si="99">+P93-P119</f>
        <v>18</v>
      </c>
      <c r="Q120" s="60">
        <f t="shared" ref="Q120" si="100">+Q93-Q119</f>
        <v>19</v>
      </c>
      <c r="R120" s="41">
        <f t="shared" ref="R120" si="101">+R93-R119</f>
        <v>38</v>
      </c>
    </row>
  </sheetData>
  <mergeCells count="18">
    <mergeCell ref="R44:R45"/>
    <mergeCell ref="C3:E3"/>
    <mergeCell ref="F3:H3"/>
    <mergeCell ref="I3:I4"/>
    <mergeCell ref="L3:N3"/>
    <mergeCell ref="O3:Q3"/>
    <mergeCell ref="R3:R4"/>
    <mergeCell ref="C44:E44"/>
    <mergeCell ref="F44:H44"/>
    <mergeCell ref="I44:I45"/>
    <mergeCell ref="L44:N44"/>
    <mergeCell ref="O44:Q44"/>
    <mergeCell ref="R85:R86"/>
    <mergeCell ref="C85:E85"/>
    <mergeCell ref="F85:H85"/>
    <mergeCell ref="I85:I86"/>
    <mergeCell ref="L85:N85"/>
    <mergeCell ref="O85:Q85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3D2B-13B7-4A59-8587-9B63064A5CB1}">
  <sheetPr>
    <tabColor rgb="FFFFFF00"/>
  </sheetPr>
  <dimension ref="B1:AI200"/>
  <sheetViews>
    <sheetView tabSelected="1" topLeftCell="A85" workbookViewId="0">
      <selection activeCell="P122" sqref="P122"/>
    </sheetView>
  </sheetViews>
  <sheetFormatPr defaultRowHeight="13.5" x14ac:dyDescent="0.15"/>
  <cols>
    <col min="2" max="2" width="23.625" customWidth="1"/>
    <col min="3" max="15" width="7.375" customWidth="1"/>
    <col min="16" max="16" width="15.25" customWidth="1"/>
    <col min="17" max="17" width="38.125" style="1" customWidth="1"/>
    <col min="18" max="24" width="8.125" customWidth="1"/>
    <col min="25" max="25" width="8.125" style="35" customWidth="1"/>
    <col min="26" max="30" width="8.125" customWidth="1"/>
  </cols>
  <sheetData>
    <row r="1" spans="2:35" ht="18.75" x14ac:dyDescent="0.2">
      <c r="B1" s="101" t="s">
        <v>11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35"/>
      <c r="Q1" s="107" t="s">
        <v>158</v>
      </c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I1" s="35"/>
    </row>
    <row r="2" spans="2:35" ht="18" thickBot="1" x14ac:dyDescent="0.25">
      <c r="B2" s="103" t="s">
        <v>156</v>
      </c>
      <c r="C2" s="102"/>
      <c r="D2" s="102"/>
      <c r="E2" s="102"/>
      <c r="F2" s="102"/>
      <c r="G2" s="102"/>
      <c r="H2" s="102"/>
      <c r="I2" s="102"/>
      <c r="J2" s="102" t="s">
        <v>157</v>
      </c>
      <c r="K2" s="102"/>
      <c r="L2" s="102"/>
      <c r="M2" s="102"/>
      <c r="N2" s="102"/>
      <c r="O2" s="102"/>
      <c r="P2" s="35"/>
      <c r="Q2" s="109" t="s">
        <v>156</v>
      </c>
      <c r="R2" s="108"/>
      <c r="S2" s="108"/>
      <c r="T2" s="108"/>
      <c r="U2" s="108"/>
      <c r="V2" s="108"/>
      <c r="W2" s="108"/>
      <c r="X2" s="108"/>
      <c r="Y2" s="108" t="s">
        <v>157</v>
      </c>
      <c r="Z2" s="108"/>
      <c r="AA2" s="108"/>
      <c r="AB2" s="108"/>
      <c r="AC2" s="108"/>
      <c r="AD2" s="108"/>
      <c r="AI2" s="35"/>
    </row>
    <row r="3" spans="2:35" ht="14.25" thickBot="1" x14ac:dyDescent="0.2">
      <c r="B3" s="14"/>
      <c r="C3" s="206" t="s">
        <v>9</v>
      </c>
      <c r="D3" s="207"/>
      <c r="E3" s="208"/>
      <c r="F3" s="209" t="s">
        <v>154</v>
      </c>
      <c r="G3" s="210"/>
      <c r="H3" s="211"/>
      <c r="I3" s="212" t="s">
        <v>10</v>
      </c>
      <c r="J3" s="213"/>
      <c r="K3" s="214"/>
      <c r="L3" s="215" t="s">
        <v>164</v>
      </c>
      <c r="M3" s="216"/>
      <c r="N3" s="216"/>
      <c r="O3" s="217" t="s">
        <v>8</v>
      </c>
      <c r="P3" s="35"/>
      <c r="Q3" s="14"/>
      <c r="R3" s="206" t="s">
        <v>9</v>
      </c>
      <c r="S3" s="207"/>
      <c r="T3" s="208"/>
      <c r="U3" s="209" t="s">
        <v>154</v>
      </c>
      <c r="V3" s="210"/>
      <c r="W3" s="211"/>
      <c r="X3" s="212" t="s">
        <v>10</v>
      </c>
      <c r="Y3" s="213"/>
      <c r="Z3" s="214"/>
      <c r="AA3" s="215" t="s">
        <v>164</v>
      </c>
      <c r="AB3" s="216"/>
      <c r="AC3" s="216"/>
      <c r="AD3" s="217" t="s">
        <v>8</v>
      </c>
      <c r="AI3" s="35"/>
    </row>
    <row r="4" spans="2:35" s="1" customFormat="1" ht="14.25" thickBot="1" x14ac:dyDescent="0.2">
      <c r="B4" s="4"/>
      <c r="C4" s="62" t="s">
        <v>6</v>
      </c>
      <c r="D4" s="61" t="s">
        <v>5</v>
      </c>
      <c r="E4" s="63" t="s">
        <v>4</v>
      </c>
      <c r="F4" s="62" t="s">
        <v>6</v>
      </c>
      <c r="G4" s="61" t="s">
        <v>5</v>
      </c>
      <c r="H4" s="63" t="s">
        <v>4</v>
      </c>
      <c r="I4" s="62" t="s">
        <v>6</v>
      </c>
      <c r="J4" s="61" t="s">
        <v>5</v>
      </c>
      <c r="K4" s="63" t="s">
        <v>4</v>
      </c>
      <c r="L4" s="62" t="s">
        <v>6</v>
      </c>
      <c r="M4" s="61" t="s">
        <v>5</v>
      </c>
      <c r="N4" s="63" t="s">
        <v>4</v>
      </c>
      <c r="O4" s="218"/>
      <c r="P4" s="35"/>
      <c r="Q4" s="4"/>
      <c r="R4" s="62" t="s">
        <v>6</v>
      </c>
      <c r="S4" s="61" t="s">
        <v>5</v>
      </c>
      <c r="T4" s="63" t="s">
        <v>4</v>
      </c>
      <c r="U4" s="62" t="s">
        <v>6</v>
      </c>
      <c r="V4" s="61" t="s">
        <v>5</v>
      </c>
      <c r="W4" s="63" t="s">
        <v>4</v>
      </c>
      <c r="X4" s="62" t="s">
        <v>6</v>
      </c>
      <c r="Y4" s="61" t="s">
        <v>5</v>
      </c>
      <c r="Z4" s="63" t="s">
        <v>4</v>
      </c>
      <c r="AA4" s="62" t="s">
        <v>6</v>
      </c>
      <c r="AB4" s="61" t="s">
        <v>5</v>
      </c>
      <c r="AC4" s="63" t="s">
        <v>4</v>
      </c>
      <c r="AD4" s="218"/>
      <c r="AE4"/>
      <c r="AF4"/>
      <c r="AG4"/>
      <c r="AH4"/>
      <c r="AI4" s="35"/>
    </row>
    <row r="5" spans="2:35" ht="14.25" customHeight="1" thickBot="1" x14ac:dyDescent="0.2">
      <c r="B5" s="161" t="s">
        <v>7</v>
      </c>
      <c r="C5" s="162">
        <v>1</v>
      </c>
      <c r="D5" s="163">
        <v>1</v>
      </c>
      <c r="E5" s="164">
        <f t="shared" ref="E5:E38" si="0">SUM(C5:D5)</f>
        <v>2</v>
      </c>
      <c r="F5" s="162">
        <v>1</v>
      </c>
      <c r="G5" s="163">
        <v>1</v>
      </c>
      <c r="H5" s="165">
        <f t="shared" ref="H5:H38" si="1">SUM(F5:G5)</f>
        <v>2</v>
      </c>
      <c r="I5" s="162">
        <v>1</v>
      </c>
      <c r="J5" s="163">
        <v>1</v>
      </c>
      <c r="K5" s="164">
        <f t="shared" ref="K5:K38" si="2">SUM(I5:J5)</f>
        <v>2</v>
      </c>
      <c r="L5" s="162">
        <v>1</v>
      </c>
      <c r="M5" s="163">
        <v>1</v>
      </c>
      <c r="N5" s="165">
        <f t="shared" ref="N5:N38" si="3">SUM(L5:M5)</f>
        <v>2</v>
      </c>
      <c r="O5" s="166">
        <f>E5+H5+K5+N5</f>
        <v>8</v>
      </c>
      <c r="P5" s="154">
        <v>46121</v>
      </c>
      <c r="Q5" s="106" t="s">
        <v>7</v>
      </c>
      <c r="R5" s="43"/>
      <c r="S5" s="44"/>
      <c r="T5" s="83">
        <f t="shared" ref="T5:T38" si="4">SUM(R5:S5)</f>
        <v>0</v>
      </c>
      <c r="U5" s="43"/>
      <c r="V5" s="44"/>
      <c r="W5" s="84">
        <f t="shared" ref="W5:W38" si="5">SUM(U5:V5)</f>
        <v>0</v>
      </c>
      <c r="X5" s="43"/>
      <c r="Y5" s="44"/>
      <c r="Z5" s="83">
        <f t="shared" ref="Z5:Z38" si="6">SUM(X5:Y5)</f>
        <v>0</v>
      </c>
      <c r="AA5" s="43"/>
      <c r="AB5" s="44"/>
      <c r="AC5" s="84">
        <f t="shared" ref="AC5:AC38" si="7">SUM(AA5:AB5)</f>
        <v>0</v>
      </c>
      <c r="AD5" s="41">
        <f>T5+W5+Z5+AC5</f>
        <v>0</v>
      </c>
      <c r="AI5" s="36"/>
    </row>
    <row r="6" spans="2:35" x14ac:dyDescent="0.15">
      <c r="B6" s="105" t="s">
        <v>109</v>
      </c>
      <c r="C6" s="31"/>
      <c r="D6" s="7"/>
      <c r="E6" s="76">
        <f t="shared" si="0"/>
        <v>0</v>
      </c>
      <c r="F6" s="31"/>
      <c r="G6" s="7">
        <v>1</v>
      </c>
      <c r="H6" s="77">
        <f t="shared" si="1"/>
        <v>1</v>
      </c>
      <c r="I6" s="31"/>
      <c r="J6" s="7"/>
      <c r="K6" s="76">
        <f t="shared" si="2"/>
        <v>0</v>
      </c>
      <c r="L6" s="31"/>
      <c r="M6" s="7">
        <v>1</v>
      </c>
      <c r="N6" s="77">
        <f t="shared" si="3"/>
        <v>1</v>
      </c>
      <c r="O6" s="38">
        <f t="shared" ref="O6:O38" si="8">E6+H6+K6+N6</f>
        <v>2</v>
      </c>
      <c r="P6" s="36">
        <v>46153</v>
      </c>
      <c r="Q6" s="105" t="s">
        <v>3</v>
      </c>
      <c r="R6" s="31">
        <v>0</v>
      </c>
      <c r="S6" s="7">
        <v>0</v>
      </c>
      <c r="T6" s="76">
        <f t="shared" si="4"/>
        <v>0</v>
      </c>
      <c r="U6" s="31">
        <v>0</v>
      </c>
      <c r="V6" s="7">
        <v>0</v>
      </c>
      <c r="W6" s="77">
        <f t="shared" si="5"/>
        <v>0</v>
      </c>
      <c r="X6" s="31">
        <v>0</v>
      </c>
      <c r="Y6" s="7">
        <v>0</v>
      </c>
      <c r="Z6" s="76">
        <f t="shared" si="6"/>
        <v>0</v>
      </c>
      <c r="AA6" s="31">
        <v>0</v>
      </c>
      <c r="AB6" s="7">
        <v>0</v>
      </c>
      <c r="AC6" s="77">
        <f t="shared" si="7"/>
        <v>0</v>
      </c>
      <c r="AD6" s="38">
        <f t="shared" ref="AD6:AD38" si="9">T6+W6+Z6+AC6</f>
        <v>0</v>
      </c>
      <c r="AI6" s="36"/>
    </row>
    <row r="7" spans="2:35" x14ac:dyDescent="0.15">
      <c r="B7" s="11" t="s">
        <v>3</v>
      </c>
      <c r="C7" s="25"/>
      <c r="D7" s="19"/>
      <c r="E7" s="46">
        <f t="shared" si="0"/>
        <v>0</v>
      </c>
      <c r="F7" s="31"/>
      <c r="G7" s="7"/>
      <c r="H7" s="54">
        <f t="shared" si="1"/>
        <v>0</v>
      </c>
      <c r="I7" s="25"/>
      <c r="J7" s="19"/>
      <c r="K7" s="46">
        <f t="shared" si="2"/>
        <v>0</v>
      </c>
      <c r="L7" s="31"/>
      <c r="M7" s="7"/>
      <c r="N7" s="54">
        <f t="shared" si="3"/>
        <v>0</v>
      </c>
      <c r="O7" s="38">
        <f t="shared" si="8"/>
        <v>0</v>
      </c>
      <c r="P7" s="36"/>
      <c r="Q7" s="11" t="s">
        <v>67</v>
      </c>
      <c r="R7" s="25">
        <v>250</v>
      </c>
      <c r="S7" s="19">
        <v>250</v>
      </c>
      <c r="T7" s="46">
        <f t="shared" si="4"/>
        <v>500</v>
      </c>
      <c r="U7" s="31">
        <v>250</v>
      </c>
      <c r="V7" s="7">
        <v>250</v>
      </c>
      <c r="W7" s="54">
        <f t="shared" si="5"/>
        <v>500</v>
      </c>
      <c r="X7" s="25">
        <v>200</v>
      </c>
      <c r="Y7" s="19">
        <v>200</v>
      </c>
      <c r="Z7" s="46">
        <f t="shared" si="6"/>
        <v>400</v>
      </c>
      <c r="AA7" s="31">
        <v>200</v>
      </c>
      <c r="AB7" s="7">
        <v>200</v>
      </c>
      <c r="AC7" s="54">
        <f t="shared" si="7"/>
        <v>400</v>
      </c>
      <c r="AD7" s="38">
        <f t="shared" si="9"/>
        <v>1800</v>
      </c>
      <c r="AE7" s="160" t="s">
        <v>189</v>
      </c>
      <c r="AI7" s="36"/>
    </row>
    <row r="8" spans="2:35" x14ac:dyDescent="0.15">
      <c r="B8" s="11" t="s">
        <v>3</v>
      </c>
      <c r="C8" s="25"/>
      <c r="D8" s="19"/>
      <c r="E8" s="46">
        <f t="shared" si="0"/>
        <v>0</v>
      </c>
      <c r="F8" s="31"/>
      <c r="G8" s="7"/>
      <c r="H8" s="54">
        <f t="shared" si="1"/>
        <v>0</v>
      </c>
      <c r="I8" s="25"/>
      <c r="J8" s="19"/>
      <c r="K8" s="46">
        <f t="shared" si="2"/>
        <v>0</v>
      </c>
      <c r="L8" s="31"/>
      <c r="M8" s="7"/>
      <c r="N8" s="54">
        <f t="shared" si="3"/>
        <v>0</v>
      </c>
      <c r="O8" s="38">
        <f t="shared" si="8"/>
        <v>0</v>
      </c>
      <c r="P8" s="36"/>
      <c r="Q8" s="11" t="s">
        <v>3</v>
      </c>
      <c r="R8" s="25"/>
      <c r="S8" s="19"/>
      <c r="T8" s="46">
        <f t="shared" ref="T8" si="10">SUM(R8:S8)</f>
        <v>0</v>
      </c>
      <c r="U8" s="31"/>
      <c r="V8" s="7"/>
      <c r="W8" s="54">
        <f t="shared" ref="W8" si="11">SUM(U8:V8)</f>
        <v>0</v>
      </c>
      <c r="X8" s="25"/>
      <c r="Y8" s="19"/>
      <c r="Z8" s="46">
        <f t="shared" ref="Z8" si="12">SUM(X8:Y8)</f>
        <v>0</v>
      </c>
      <c r="AA8" s="31"/>
      <c r="AB8" s="7"/>
      <c r="AC8" s="54">
        <f t="shared" ref="AC8" si="13">SUM(AA8:AB8)</f>
        <v>0</v>
      </c>
      <c r="AD8" s="38">
        <f t="shared" ref="AD8" si="14">T8+W8+Z8+AC8</f>
        <v>0</v>
      </c>
      <c r="AI8" s="36"/>
    </row>
    <row r="9" spans="2:35" x14ac:dyDescent="0.15">
      <c r="B9" s="11" t="s">
        <v>3</v>
      </c>
      <c r="C9" s="25"/>
      <c r="D9" s="19"/>
      <c r="E9" s="46">
        <f t="shared" si="0"/>
        <v>0</v>
      </c>
      <c r="F9" s="31"/>
      <c r="G9" s="7"/>
      <c r="H9" s="54">
        <f t="shared" si="1"/>
        <v>0</v>
      </c>
      <c r="I9" s="25"/>
      <c r="J9" s="19"/>
      <c r="K9" s="46">
        <f t="shared" si="2"/>
        <v>0</v>
      </c>
      <c r="L9" s="31"/>
      <c r="M9" s="7"/>
      <c r="N9" s="54">
        <f t="shared" si="3"/>
        <v>0</v>
      </c>
      <c r="O9" s="38">
        <f t="shared" si="8"/>
        <v>0</v>
      </c>
      <c r="P9" s="36"/>
      <c r="Q9" s="105" t="s">
        <v>165</v>
      </c>
      <c r="R9" s="25">
        <v>100</v>
      </c>
      <c r="S9" s="19">
        <v>100</v>
      </c>
      <c r="T9" s="46">
        <f t="shared" si="4"/>
        <v>200</v>
      </c>
      <c r="U9" s="31"/>
      <c r="V9" s="7"/>
      <c r="W9" s="54">
        <f t="shared" si="5"/>
        <v>0</v>
      </c>
      <c r="X9" s="25">
        <v>100</v>
      </c>
      <c r="Y9" s="19">
        <v>100</v>
      </c>
      <c r="Z9" s="46">
        <f t="shared" si="6"/>
        <v>200</v>
      </c>
      <c r="AA9" s="31"/>
      <c r="AB9" s="7"/>
      <c r="AC9" s="54">
        <f t="shared" si="7"/>
        <v>0</v>
      </c>
      <c r="AD9" s="38">
        <f t="shared" si="9"/>
        <v>400</v>
      </c>
      <c r="AE9" s="160">
        <v>46133</v>
      </c>
      <c r="AI9" s="36"/>
    </row>
    <row r="10" spans="2:35" ht="14.25" thickBot="1" x14ac:dyDescent="0.2">
      <c r="B10" s="10" t="s">
        <v>3</v>
      </c>
      <c r="C10" s="26"/>
      <c r="D10" s="20"/>
      <c r="E10" s="47">
        <f t="shared" si="0"/>
        <v>0</v>
      </c>
      <c r="F10" s="32"/>
      <c r="G10" s="5"/>
      <c r="H10" s="55">
        <f t="shared" si="1"/>
        <v>0</v>
      </c>
      <c r="I10" s="26"/>
      <c r="J10" s="20"/>
      <c r="K10" s="47">
        <f t="shared" si="2"/>
        <v>0</v>
      </c>
      <c r="L10" s="32"/>
      <c r="M10" s="5"/>
      <c r="N10" s="55">
        <f t="shared" si="3"/>
        <v>0</v>
      </c>
      <c r="O10" s="39">
        <f t="shared" si="8"/>
        <v>0</v>
      </c>
      <c r="P10" s="36"/>
      <c r="Q10" s="10" t="s">
        <v>3</v>
      </c>
      <c r="R10" s="26"/>
      <c r="S10" s="20"/>
      <c r="T10" s="47">
        <f t="shared" si="4"/>
        <v>0</v>
      </c>
      <c r="U10" s="32"/>
      <c r="V10" s="5"/>
      <c r="W10" s="55">
        <f t="shared" si="5"/>
        <v>0</v>
      </c>
      <c r="X10" s="26"/>
      <c r="Y10" s="20"/>
      <c r="Z10" s="47">
        <f t="shared" si="6"/>
        <v>0</v>
      </c>
      <c r="AA10" s="32"/>
      <c r="AB10" s="5"/>
      <c r="AC10" s="55">
        <f t="shared" si="7"/>
        <v>0</v>
      </c>
      <c r="AD10" s="39">
        <f t="shared" si="9"/>
        <v>0</v>
      </c>
      <c r="AI10" s="36"/>
    </row>
    <row r="11" spans="2:35" ht="14.25" thickBot="1" x14ac:dyDescent="0.2">
      <c r="B11" s="42" t="s">
        <v>2</v>
      </c>
      <c r="C11" s="43">
        <f>SUM(C5:C10)</f>
        <v>1</v>
      </c>
      <c r="D11" s="44">
        <f>SUM(D5:D10)</f>
        <v>1</v>
      </c>
      <c r="E11" s="48">
        <f t="shared" si="0"/>
        <v>2</v>
      </c>
      <c r="F11" s="43">
        <f>SUM(F5:F10)</f>
        <v>1</v>
      </c>
      <c r="G11" s="44">
        <f>SUM(G5:G10)</f>
        <v>2</v>
      </c>
      <c r="H11" s="56">
        <f t="shared" si="1"/>
        <v>3</v>
      </c>
      <c r="I11" s="43">
        <f>SUM(I5:I10)</f>
        <v>1</v>
      </c>
      <c r="J11" s="44">
        <f>SUM(J5:J10)</f>
        <v>1</v>
      </c>
      <c r="K11" s="48">
        <f t="shared" si="2"/>
        <v>2</v>
      </c>
      <c r="L11" s="43">
        <f>SUM(L5:L10)</f>
        <v>1</v>
      </c>
      <c r="M11" s="44">
        <f>SUM(M5:M10)</f>
        <v>2</v>
      </c>
      <c r="N11" s="56">
        <f t="shared" si="3"/>
        <v>3</v>
      </c>
      <c r="O11" s="41">
        <f t="shared" si="8"/>
        <v>10</v>
      </c>
      <c r="P11" s="35"/>
      <c r="Q11" s="42" t="s">
        <v>2</v>
      </c>
      <c r="R11" s="43">
        <f>SUM(R5:R10)</f>
        <v>350</v>
      </c>
      <c r="S11" s="44">
        <f>SUM(S5:S10)</f>
        <v>350</v>
      </c>
      <c r="T11" s="48">
        <f t="shared" si="4"/>
        <v>700</v>
      </c>
      <c r="U11" s="43">
        <f>SUM(U5:U10)</f>
        <v>250</v>
      </c>
      <c r="V11" s="44">
        <f>SUM(V5:V10)</f>
        <v>250</v>
      </c>
      <c r="W11" s="56">
        <f t="shared" si="5"/>
        <v>500</v>
      </c>
      <c r="X11" s="43">
        <f>SUM(X5:X10)</f>
        <v>300</v>
      </c>
      <c r="Y11" s="44">
        <f>SUM(Y5:Y10)</f>
        <v>300</v>
      </c>
      <c r="Z11" s="48">
        <f t="shared" si="6"/>
        <v>600</v>
      </c>
      <c r="AA11" s="43">
        <f>SUM(AA5:AA10)</f>
        <v>200</v>
      </c>
      <c r="AB11" s="44">
        <f>SUM(AB5:AB10)</f>
        <v>200</v>
      </c>
      <c r="AC11" s="56">
        <f t="shared" si="7"/>
        <v>400</v>
      </c>
      <c r="AD11" s="41">
        <f t="shared" si="9"/>
        <v>2200</v>
      </c>
      <c r="AI11" s="35"/>
    </row>
    <row r="12" spans="2:35" x14ac:dyDescent="0.15">
      <c r="B12" s="9" t="s">
        <v>192</v>
      </c>
      <c r="C12" s="24"/>
      <c r="D12" s="18"/>
      <c r="E12" s="49">
        <f t="shared" si="0"/>
        <v>0</v>
      </c>
      <c r="F12" s="31">
        <v>1</v>
      </c>
      <c r="G12" s="7"/>
      <c r="H12" s="57">
        <f t="shared" si="1"/>
        <v>1</v>
      </c>
      <c r="I12" s="24"/>
      <c r="J12" s="18"/>
      <c r="K12" s="49">
        <f t="shared" si="2"/>
        <v>0</v>
      </c>
      <c r="L12" s="31"/>
      <c r="M12" s="7"/>
      <c r="N12" s="57">
        <f t="shared" si="3"/>
        <v>0</v>
      </c>
      <c r="O12" s="38">
        <f t="shared" si="8"/>
        <v>1</v>
      </c>
      <c r="P12" s="36">
        <v>46122</v>
      </c>
      <c r="Q12" s="6" t="s">
        <v>186</v>
      </c>
      <c r="R12" s="24"/>
      <c r="S12" s="18"/>
      <c r="T12" s="49">
        <f t="shared" si="4"/>
        <v>0</v>
      </c>
      <c r="U12" s="31">
        <v>14</v>
      </c>
      <c r="V12" s="7">
        <v>10</v>
      </c>
      <c r="W12" s="57">
        <f t="shared" si="5"/>
        <v>24</v>
      </c>
      <c r="X12" s="24"/>
      <c r="Y12" s="18"/>
      <c r="Z12" s="49">
        <f t="shared" si="6"/>
        <v>0</v>
      </c>
      <c r="AA12" s="31">
        <v>14</v>
      </c>
      <c r="AB12" s="7">
        <v>10</v>
      </c>
      <c r="AC12" s="57">
        <f t="shared" si="7"/>
        <v>24</v>
      </c>
      <c r="AD12" s="38">
        <f t="shared" si="9"/>
        <v>48</v>
      </c>
      <c r="AE12" s="160">
        <v>46118</v>
      </c>
      <c r="AI12" s="36"/>
    </row>
    <row r="13" spans="2:35" x14ac:dyDescent="0.15">
      <c r="B13" s="34" t="s">
        <v>199</v>
      </c>
      <c r="C13" s="25">
        <v>1</v>
      </c>
      <c r="D13" s="19">
        <v>1</v>
      </c>
      <c r="E13" s="49">
        <f t="shared" si="0"/>
        <v>2</v>
      </c>
      <c r="F13" s="31"/>
      <c r="G13" s="7">
        <v>1</v>
      </c>
      <c r="H13" s="57">
        <f t="shared" si="1"/>
        <v>1</v>
      </c>
      <c r="I13" s="25">
        <v>1</v>
      </c>
      <c r="J13" s="19">
        <v>1</v>
      </c>
      <c r="K13" s="49">
        <f t="shared" si="2"/>
        <v>2</v>
      </c>
      <c r="L13" s="31">
        <v>1</v>
      </c>
      <c r="M13" s="7"/>
      <c r="N13" s="57">
        <f t="shared" si="3"/>
        <v>1</v>
      </c>
      <c r="O13" s="38">
        <f t="shared" si="8"/>
        <v>6</v>
      </c>
      <c r="P13" s="36">
        <v>46121</v>
      </c>
      <c r="Q13" s="34" t="s">
        <v>198</v>
      </c>
      <c r="R13" s="25">
        <v>1</v>
      </c>
      <c r="S13" s="19">
        <v>1</v>
      </c>
      <c r="T13" s="49">
        <f t="shared" si="4"/>
        <v>2</v>
      </c>
      <c r="U13" s="31">
        <v>1</v>
      </c>
      <c r="V13" s="7">
        <v>1</v>
      </c>
      <c r="W13" s="57">
        <f t="shared" si="5"/>
        <v>2</v>
      </c>
      <c r="X13" s="25">
        <v>1</v>
      </c>
      <c r="Y13" s="19">
        <v>1</v>
      </c>
      <c r="Z13" s="49">
        <f t="shared" si="6"/>
        <v>2</v>
      </c>
      <c r="AA13" s="31">
        <v>1</v>
      </c>
      <c r="AB13" s="7">
        <v>1</v>
      </c>
      <c r="AC13" s="57">
        <f t="shared" si="7"/>
        <v>2</v>
      </c>
      <c r="AD13" s="38">
        <f t="shared" si="9"/>
        <v>8</v>
      </c>
      <c r="AE13" s="160">
        <v>46121</v>
      </c>
      <c r="AI13" s="36"/>
    </row>
    <row r="14" spans="2:35" x14ac:dyDescent="0.15">
      <c r="B14" s="167" t="s">
        <v>207</v>
      </c>
      <c r="C14" s="25"/>
      <c r="D14" s="19"/>
      <c r="E14" s="49">
        <f t="shared" si="0"/>
        <v>0</v>
      </c>
      <c r="F14" s="31"/>
      <c r="G14" s="7"/>
      <c r="H14" s="57">
        <f t="shared" si="1"/>
        <v>0</v>
      </c>
      <c r="I14" s="25"/>
      <c r="J14" s="19"/>
      <c r="K14" s="49">
        <f t="shared" si="2"/>
        <v>0</v>
      </c>
      <c r="L14" s="31"/>
      <c r="M14" s="7">
        <v>1</v>
      </c>
      <c r="N14" s="57">
        <f t="shared" si="3"/>
        <v>1</v>
      </c>
      <c r="O14" s="38">
        <f t="shared" si="8"/>
        <v>1</v>
      </c>
      <c r="P14" s="36">
        <v>46134</v>
      </c>
      <c r="Q14" s="34" t="s">
        <v>200</v>
      </c>
      <c r="R14" s="25"/>
      <c r="S14" s="19"/>
      <c r="T14" s="49">
        <f t="shared" si="4"/>
        <v>0</v>
      </c>
      <c r="U14" s="31">
        <v>1</v>
      </c>
      <c r="V14" s="7"/>
      <c r="W14" s="57">
        <f t="shared" si="5"/>
        <v>1</v>
      </c>
      <c r="X14" s="25"/>
      <c r="Y14" s="19"/>
      <c r="Z14" s="49">
        <f t="shared" si="6"/>
        <v>0</v>
      </c>
      <c r="AA14" s="31">
        <v>1</v>
      </c>
      <c r="AB14" s="7"/>
      <c r="AC14" s="57">
        <f t="shared" si="7"/>
        <v>1</v>
      </c>
      <c r="AD14" s="38">
        <f t="shared" si="9"/>
        <v>2</v>
      </c>
      <c r="AE14" s="160">
        <v>46125</v>
      </c>
      <c r="AI14" s="36"/>
    </row>
    <row r="15" spans="2:35" x14ac:dyDescent="0.15">
      <c r="B15" s="34"/>
      <c r="C15" s="25"/>
      <c r="D15" s="19"/>
      <c r="E15" s="49">
        <f t="shared" si="0"/>
        <v>0</v>
      </c>
      <c r="F15" s="31"/>
      <c r="G15" s="7"/>
      <c r="H15" s="57">
        <f t="shared" si="1"/>
        <v>0</v>
      </c>
      <c r="I15" s="25"/>
      <c r="J15" s="19"/>
      <c r="K15" s="49">
        <f t="shared" si="2"/>
        <v>0</v>
      </c>
      <c r="L15" s="31"/>
      <c r="M15" s="7"/>
      <c r="N15" s="57">
        <f t="shared" si="3"/>
        <v>0</v>
      </c>
      <c r="O15" s="38">
        <f t="shared" si="8"/>
        <v>0</v>
      </c>
      <c r="P15" s="36"/>
      <c r="Q15" s="34" t="s">
        <v>111</v>
      </c>
      <c r="R15" s="25"/>
      <c r="S15" s="19"/>
      <c r="T15" s="49">
        <f t="shared" si="4"/>
        <v>0</v>
      </c>
      <c r="U15" s="31"/>
      <c r="V15" s="7">
        <v>1</v>
      </c>
      <c r="W15" s="57">
        <f t="shared" si="5"/>
        <v>1</v>
      </c>
      <c r="X15" s="25"/>
      <c r="Y15" s="19"/>
      <c r="Z15" s="49">
        <f t="shared" si="6"/>
        <v>0</v>
      </c>
      <c r="AA15" s="31"/>
      <c r="AB15" s="7">
        <v>1</v>
      </c>
      <c r="AC15" s="57">
        <f t="shared" si="7"/>
        <v>1</v>
      </c>
      <c r="AD15" s="38">
        <f t="shared" si="9"/>
        <v>2</v>
      </c>
      <c r="AE15" s="160">
        <v>46127</v>
      </c>
      <c r="AI15" s="36"/>
    </row>
    <row r="16" spans="2:35" x14ac:dyDescent="0.15">
      <c r="B16" s="34"/>
      <c r="C16" s="25"/>
      <c r="D16" s="19"/>
      <c r="E16" s="49">
        <f t="shared" si="0"/>
        <v>0</v>
      </c>
      <c r="F16" s="31"/>
      <c r="G16" s="7"/>
      <c r="H16" s="57">
        <f t="shared" si="1"/>
        <v>0</v>
      </c>
      <c r="I16" s="25"/>
      <c r="J16" s="19"/>
      <c r="K16" s="49">
        <f t="shared" si="2"/>
        <v>0</v>
      </c>
      <c r="L16" s="31"/>
      <c r="M16" s="7"/>
      <c r="N16" s="57">
        <f t="shared" si="3"/>
        <v>0</v>
      </c>
      <c r="O16" s="38">
        <f t="shared" si="8"/>
        <v>0</v>
      </c>
      <c r="P16" s="36"/>
      <c r="Q16" s="34" t="s">
        <v>201</v>
      </c>
      <c r="R16" s="25"/>
      <c r="S16" s="19"/>
      <c r="T16" s="49">
        <f t="shared" si="4"/>
        <v>0</v>
      </c>
      <c r="U16" s="31">
        <v>1</v>
      </c>
      <c r="V16" s="7">
        <v>4</v>
      </c>
      <c r="W16" s="57">
        <f t="shared" si="5"/>
        <v>5</v>
      </c>
      <c r="X16" s="25"/>
      <c r="Y16" s="19"/>
      <c r="Z16" s="49">
        <f t="shared" si="6"/>
        <v>0</v>
      </c>
      <c r="AA16" s="31">
        <v>1</v>
      </c>
      <c r="AB16" s="7">
        <v>4</v>
      </c>
      <c r="AC16" s="57">
        <f t="shared" si="7"/>
        <v>5</v>
      </c>
      <c r="AD16" s="38">
        <f t="shared" si="9"/>
        <v>10</v>
      </c>
      <c r="AE16" s="160">
        <v>46128</v>
      </c>
      <c r="AI16" s="36"/>
    </row>
    <row r="17" spans="2:35" x14ac:dyDescent="0.15">
      <c r="B17" s="34"/>
      <c r="C17" s="25"/>
      <c r="D17" s="19"/>
      <c r="E17" s="49">
        <f t="shared" si="0"/>
        <v>0</v>
      </c>
      <c r="F17" s="31"/>
      <c r="G17" s="7"/>
      <c r="H17" s="57">
        <f t="shared" si="1"/>
        <v>0</v>
      </c>
      <c r="I17" s="25"/>
      <c r="J17" s="19"/>
      <c r="K17" s="49">
        <f t="shared" si="2"/>
        <v>0</v>
      </c>
      <c r="L17" s="31"/>
      <c r="M17" s="7"/>
      <c r="N17" s="57">
        <f t="shared" si="3"/>
        <v>0</v>
      </c>
      <c r="O17" s="38">
        <f t="shared" si="8"/>
        <v>0</v>
      </c>
      <c r="P17" s="36"/>
      <c r="Q17" s="34" t="s">
        <v>201</v>
      </c>
      <c r="R17" s="25"/>
      <c r="S17" s="19"/>
      <c r="T17" s="49">
        <f t="shared" si="4"/>
        <v>0</v>
      </c>
      <c r="U17" s="31">
        <v>2</v>
      </c>
      <c r="V17" s="7"/>
      <c r="W17" s="57">
        <f t="shared" si="5"/>
        <v>2</v>
      </c>
      <c r="X17" s="25"/>
      <c r="Y17" s="19"/>
      <c r="Z17" s="49">
        <f t="shared" si="6"/>
        <v>0</v>
      </c>
      <c r="AA17" s="31">
        <v>2</v>
      </c>
      <c r="AB17" s="7"/>
      <c r="AC17" s="57">
        <f t="shared" si="7"/>
        <v>2</v>
      </c>
      <c r="AD17" s="38">
        <f t="shared" si="9"/>
        <v>4</v>
      </c>
      <c r="AE17" s="160">
        <v>46129</v>
      </c>
      <c r="AI17" s="36"/>
    </row>
    <row r="18" spans="2:35" x14ac:dyDescent="0.15">
      <c r="B18" s="6"/>
      <c r="C18" s="25"/>
      <c r="D18" s="19"/>
      <c r="E18" s="49">
        <f t="shared" si="0"/>
        <v>0</v>
      </c>
      <c r="F18" s="31"/>
      <c r="G18" s="7"/>
      <c r="H18" s="57">
        <f t="shared" si="1"/>
        <v>0</v>
      </c>
      <c r="I18" s="25"/>
      <c r="J18" s="19"/>
      <c r="K18" s="49">
        <f t="shared" si="2"/>
        <v>0</v>
      </c>
      <c r="L18" s="31"/>
      <c r="M18" s="7"/>
      <c r="N18" s="57">
        <f t="shared" si="3"/>
        <v>0</v>
      </c>
      <c r="O18" s="38">
        <f t="shared" si="8"/>
        <v>0</v>
      </c>
      <c r="P18" s="36"/>
      <c r="Q18" s="34" t="s">
        <v>201</v>
      </c>
      <c r="R18" s="25"/>
      <c r="S18" s="19"/>
      <c r="T18" s="49">
        <f t="shared" si="4"/>
        <v>0</v>
      </c>
      <c r="U18" s="31">
        <v>2</v>
      </c>
      <c r="V18" s="7"/>
      <c r="W18" s="57">
        <f t="shared" si="5"/>
        <v>2</v>
      </c>
      <c r="X18" s="25"/>
      <c r="Y18" s="19"/>
      <c r="Z18" s="49">
        <f t="shared" si="6"/>
        <v>0</v>
      </c>
      <c r="AA18" s="31">
        <v>2</v>
      </c>
      <c r="AB18" s="7"/>
      <c r="AC18" s="57">
        <f t="shared" si="7"/>
        <v>2</v>
      </c>
      <c r="AD18" s="38">
        <f t="shared" si="9"/>
        <v>4</v>
      </c>
      <c r="AE18" s="160">
        <v>46129</v>
      </c>
      <c r="AI18" s="36"/>
    </row>
    <row r="19" spans="2:35" x14ac:dyDescent="0.15">
      <c r="B19" s="6"/>
      <c r="C19" s="25"/>
      <c r="D19" s="19"/>
      <c r="E19" s="49">
        <f t="shared" si="0"/>
        <v>0</v>
      </c>
      <c r="F19" s="31"/>
      <c r="G19" s="7"/>
      <c r="H19" s="57">
        <f t="shared" si="1"/>
        <v>0</v>
      </c>
      <c r="I19" s="25"/>
      <c r="J19" s="19"/>
      <c r="K19" s="49">
        <f t="shared" si="2"/>
        <v>0</v>
      </c>
      <c r="L19" s="31"/>
      <c r="M19" s="7"/>
      <c r="N19" s="57">
        <f t="shared" si="3"/>
        <v>0</v>
      </c>
      <c r="O19" s="38">
        <f t="shared" si="8"/>
        <v>0</v>
      </c>
      <c r="P19" s="36"/>
      <c r="Q19" s="34" t="s">
        <v>201</v>
      </c>
      <c r="R19" s="25"/>
      <c r="S19" s="19"/>
      <c r="T19" s="49">
        <f t="shared" si="4"/>
        <v>0</v>
      </c>
      <c r="U19" s="31">
        <v>1</v>
      </c>
      <c r="V19" s="7">
        <v>1</v>
      </c>
      <c r="W19" s="57">
        <f t="shared" si="5"/>
        <v>2</v>
      </c>
      <c r="X19" s="25"/>
      <c r="Y19" s="19"/>
      <c r="Z19" s="49">
        <f t="shared" si="6"/>
        <v>0</v>
      </c>
      <c r="AA19" s="31">
        <v>1</v>
      </c>
      <c r="AB19" s="7">
        <v>1</v>
      </c>
      <c r="AC19" s="57">
        <f t="shared" si="7"/>
        <v>2</v>
      </c>
      <c r="AD19" s="38">
        <f t="shared" si="9"/>
        <v>4</v>
      </c>
      <c r="AE19" s="160">
        <v>46132</v>
      </c>
      <c r="AI19" s="36"/>
    </row>
    <row r="20" spans="2:35" x14ac:dyDescent="0.15">
      <c r="B20" s="6"/>
      <c r="C20" s="25"/>
      <c r="D20" s="19"/>
      <c r="E20" s="49">
        <f t="shared" si="0"/>
        <v>0</v>
      </c>
      <c r="F20" s="31"/>
      <c r="G20" s="7"/>
      <c r="H20" s="57">
        <f t="shared" si="1"/>
        <v>0</v>
      </c>
      <c r="I20" s="25"/>
      <c r="J20" s="19"/>
      <c r="K20" s="49">
        <f t="shared" si="2"/>
        <v>0</v>
      </c>
      <c r="L20" s="31"/>
      <c r="M20" s="7"/>
      <c r="N20" s="57">
        <f t="shared" si="3"/>
        <v>0</v>
      </c>
      <c r="O20" s="38">
        <f t="shared" si="8"/>
        <v>0</v>
      </c>
      <c r="P20" s="36"/>
      <c r="Q20" s="6" t="s">
        <v>202</v>
      </c>
      <c r="R20" s="25"/>
      <c r="S20" s="19"/>
      <c r="T20" s="49">
        <f t="shared" si="4"/>
        <v>0</v>
      </c>
      <c r="U20" s="31"/>
      <c r="V20" s="7">
        <v>3</v>
      </c>
      <c r="W20" s="57">
        <f t="shared" si="5"/>
        <v>3</v>
      </c>
      <c r="X20" s="25"/>
      <c r="Y20" s="19"/>
      <c r="Z20" s="49">
        <f t="shared" si="6"/>
        <v>0</v>
      </c>
      <c r="AA20" s="31"/>
      <c r="AB20" s="7">
        <v>3</v>
      </c>
      <c r="AC20" s="57">
        <f t="shared" si="7"/>
        <v>3</v>
      </c>
      <c r="AD20" s="38">
        <f t="shared" si="9"/>
        <v>6</v>
      </c>
      <c r="AE20" s="160">
        <v>46135</v>
      </c>
      <c r="AI20" s="36"/>
    </row>
    <row r="21" spans="2:35" x14ac:dyDescent="0.15">
      <c r="B21" s="6"/>
      <c r="C21" s="25"/>
      <c r="D21" s="19"/>
      <c r="E21" s="49">
        <f t="shared" si="0"/>
        <v>0</v>
      </c>
      <c r="F21" s="31"/>
      <c r="G21" s="7"/>
      <c r="H21" s="57">
        <f t="shared" si="1"/>
        <v>0</v>
      </c>
      <c r="I21" s="25"/>
      <c r="J21" s="19"/>
      <c r="K21" s="49">
        <f t="shared" si="2"/>
        <v>0</v>
      </c>
      <c r="L21" s="31"/>
      <c r="M21" s="7"/>
      <c r="N21" s="57">
        <f t="shared" si="3"/>
        <v>0</v>
      </c>
      <c r="O21" s="38">
        <f t="shared" si="8"/>
        <v>0</v>
      </c>
      <c r="P21" s="36"/>
      <c r="Q21" s="6" t="s">
        <v>205</v>
      </c>
      <c r="R21" s="25">
        <v>30</v>
      </c>
      <c r="S21" s="19">
        <v>30</v>
      </c>
      <c r="T21" s="49">
        <f t="shared" si="4"/>
        <v>60</v>
      </c>
      <c r="U21" s="31">
        <v>30</v>
      </c>
      <c r="V21" s="7">
        <v>30</v>
      </c>
      <c r="W21" s="57">
        <f t="shared" si="5"/>
        <v>60</v>
      </c>
      <c r="X21" s="25">
        <v>30</v>
      </c>
      <c r="Y21" s="19">
        <v>30</v>
      </c>
      <c r="Z21" s="49">
        <f t="shared" si="6"/>
        <v>60</v>
      </c>
      <c r="AA21" s="31">
        <v>30</v>
      </c>
      <c r="AB21" s="7">
        <v>30</v>
      </c>
      <c r="AC21" s="57">
        <f t="shared" si="7"/>
        <v>60</v>
      </c>
      <c r="AD21" s="38">
        <f t="shared" si="9"/>
        <v>240</v>
      </c>
      <c r="AE21" s="160">
        <v>46142</v>
      </c>
      <c r="AI21" s="36"/>
    </row>
    <row r="22" spans="2:35" x14ac:dyDescent="0.15">
      <c r="B22" s="6"/>
      <c r="C22" s="25"/>
      <c r="D22" s="19"/>
      <c r="E22" s="49">
        <f t="shared" si="0"/>
        <v>0</v>
      </c>
      <c r="F22" s="31"/>
      <c r="G22" s="7"/>
      <c r="H22" s="57">
        <f t="shared" si="1"/>
        <v>0</v>
      </c>
      <c r="I22" s="25"/>
      <c r="J22" s="19"/>
      <c r="K22" s="49">
        <f t="shared" si="2"/>
        <v>0</v>
      </c>
      <c r="L22" s="31"/>
      <c r="M22" s="7"/>
      <c r="N22" s="57">
        <f t="shared" si="3"/>
        <v>0</v>
      </c>
      <c r="O22" s="38">
        <f t="shared" si="8"/>
        <v>0</v>
      </c>
      <c r="P22" s="36"/>
      <c r="Q22" s="34" t="s">
        <v>201</v>
      </c>
      <c r="R22" s="25"/>
      <c r="S22" s="19"/>
      <c r="T22" s="49">
        <f t="shared" si="4"/>
        <v>0</v>
      </c>
      <c r="U22" s="31"/>
      <c r="V22" s="7">
        <v>2</v>
      </c>
      <c r="W22" s="57">
        <f t="shared" si="5"/>
        <v>2</v>
      </c>
      <c r="X22" s="25"/>
      <c r="Y22" s="19"/>
      <c r="Z22" s="49">
        <f t="shared" si="6"/>
        <v>0</v>
      </c>
      <c r="AA22" s="31"/>
      <c r="AB22" s="7">
        <v>2</v>
      </c>
      <c r="AC22" s="57">
        <f t="shared" si="7"/>
        <v>2</v>
      </c>
      <c r="AD22" s="38">
        <f t="shared" si="9"/>
        <v>4</v>
      </c>
      <c r="AE22" s="160">
        <v>46135</v>
      </c>
      <c r="AI22" s="37"/>
    </row>
    <row r="23" spans="2:35" x14ac:dyDescent="0.15">
      <c r="B23" s="6"/>
      <c r="C23" s="25"/>
      <c r="D23" s="19"/>
      <c r="E23" s="49">
        <f t="shared" si="0"/>
        <v>0</v>
      </c>
      <c r="F23" s="31"/>
      <c r="G23" s="7"/>
      <c r="H23" s="57">
        <f t="shared" si="1"/>
        <v>0</v>
      </c>
      <c r="I23" s="25"/>
      <c r="J23" s="19"/>
      <c r="K23" s="49">
        <f t="shared" si="2"/>
        <v>0</v>
      </c>
      <c r="L23" s="31"/>
      <c r="M23" s="7"/>
      <c r="N23" s="57">
        <f t="shared" si="3"/>
        <v>0</v>
      </c>
      <c r="O23" s="38">
        <f t="shared" si="8"/>
        <v>0</v>
      </c>
      <c r="P23" s="36"/>
      <c r="Q23" s="34" t="s">
        <v>201</v>
      </c>
      <c r="R23" s="25"/>
      <c r="S23" s="19"/>
      <c r="T23" s="49">
        <f t="shared" si="4"/>
        <v>0</v>
      </c>
      <c r="U23" s="31">
        <v>2</v>
      </c>
      <c r="V23" s="7">
        <v>1</v>
      </c>
      <c r="W23" s="57">
        <f t="shared" si="5"/>
        <v>3</v>
      </c>
      <c r="X23" s="25"/>
      <c r="Y23" s="19"/>
      <c r="Z23" s="49">
        <f t="shared" si="6"/>
        <v>0</v>
      </c>
      <c r="AA23" s="31">
        <v>2</v>
      </c>
      <c r="AB23" s="7">
        <v>1</v>
      </c>
      <c r="AC23" s="57">
        <f t="shared" si="7"/>
        <v>3</v>
      </c>
      <c r="AD23" s="38">
        <f t="shared" si="9"/>
        <v>6</v>
      </c>
      <c r="AE23" s="160">
        <v>46136</v>
      </c>
      <c r="AI23" s="37"/>
    </row>
    <row r="24" spans="2:35" x14ac:dyDescent="0.15">
      <c r="B24" s="6"/>
      <c r="C24" s="25"/>
      <c r="D24" s="19"/>
      <c r="E24" s="49">
        <f t="shared" si="0"/>
        <v>0</v>
      </c>
      <c r="F24" s="31"/>
      <c r="G24" s="7"/>
      <c r="H24" s="57">
        <f t="shared" si="1"/>
        <v>0</v>
      </c>
      <c r="I24" s="25"/>
      <c r="J24" s="19"/>
      <c r="K24" s="49">
        <f t="shared" si="2"/>
        <v>0</v>
      </c>
      <c r="L24" s="31"/>
      <c r="M24" s="7"/>
      <c r="N24" s="57">
        <f t="shared" si="3"/>
        <v>0</v>
      </c>
      <c r="O24" s="38">
        <f t="shared" si="8"/>
        <v>0</v>
      </c>
      <c r="P24" s="36"/>
      <c r="Q24" s="6" t="s">
        <v>208</v>
      </c>
      <c r="R24" s="25">
        <v>25</v>
      </c>
      <c r="S24" s="19">
        <v>3</v>
      </c>
      <c r="T24" s="49">
        <f t="shared" si="4"/>
        <v>28</v>
      </c>
      <c r="U24" s="31">
        <v>10</v>
      </c>
      <c r="V24" s="7">
        <v>3</v>
      </c>
      <c r="W24" s="57">
        <f t="shared" si="5"/>
        <v>13</v>
      </c>
      <c r="X24" s="25"/>
      <c r="Y24" s="19"/>
      <c r="Z24" s="49">
        <f t="shared" si="6"/>
        <v>0</v>
      </c>
      <c r="AA24" s="31"/>
      <c r="AB24" s="7"/>
      <c r="AC24" s="57">
        <f t="shared" si="7"/>
        <v>0</v>
      </c>
      <c r="AD24" s="38">
        <f t="shared" si="9"/>
        <v>41</v>
      </c>
      <c r="AE24" s="160">
        <v>46136</v>
      </c>
      <c r="AI24" s="36"/>
    </row>
    <row r="25" spans="2:35" x14ac:dyDescent="0.15">
      <c r="B25" s="34"/>
      <c r="C25" s="25"/>
      <c r="D25" s="19"/>
      <c r="E25" s="49">
        <f t="shared" si="0"/>
        <v>0</v>
      </c>
      <c r="F25" s="31"/>
      <c r="G25" s="7"/>
      <c r="H25" s="57">
        <f t="shared" si="1"/>
        <v>0</v>
      </c>
      <c r="I25" s="25"/>
      <c r="J25" s="19"/>
      <c r="K25" s="49">
        <f t="shared" si="2"/>
        <v>0</v>
      </c>
      <c r="L25" s="31"/>
      <c r="M25" s="7"/>
      <c r="N25" s="57">
        <f t="shared" si="3"/>
        <v>0</v>
      </c>
      <c r="O25" s="38">
        <f t="shared" si="8"/>
        <v>0</v>
      </c>
      <c r="P25" s="36"/>
      <c r="Q25" s="34" t="s">
        <v>201</v>
      </c>
      <c r="R25" s="25"/>
      <c r="S25" s="19"/>
      <c r="T25" s="49">
        <f t="shared" si="4"/>
        <v>0</v>
      </c>
      <c r="U25" s="31"/>
      <c r="V25" s="7">
        <v>1</v>
      </c>
      <c r="W25" s="57">
        <f t="shared" si="5"/>
        <v>1</v>
      </c>
      <c r="X25" s="25"/>
      <c r="Y25" s="19"/>
      <c r="Z25" s="49">
        <f t="shared" si="6"/>
        <v>0</v>
      </c>
      <c r="AA25" s="31"/>
      <c r="AB25" s="7">
        <v>1</v>
      </c>
      <c r="AC25" s="57">
        <f t="shared" si="7"/>
        <v>1</v>
      </c>
      <c r="AD25" s="38">
        <f t="shared" si="9"/>
        <v>2</v>
      </c>
      <c r="AE25" s="160">
        <v>46137</v>
      </c>
      <c r="AI25" s="37"/>
    </row>
    <row r="26" spans="2:35" x14ac:dyDescent="0.15">
      <c r="B26" s="6"/>
      <c r="C26" s="25"/>
      <c r="D26" s="19"/>
      <c r="E26" s="49">
        <f t="shared" si="0"/>
        <v>0</v>
      </c>
      <c r="F26" s="31"/>
      <c r="G26" s="7"/>
      <c r="H26" s="57">
        <f t="shared" si="1"/>
        <v>0</v>
      </c>
      <c r="I26" s="25"/>
      <c r="J26" s="19"/>
      <c r="K26" s="49">
        <f t="shared" si="2"/>
        <v>0</v>
      </c>
      <c r="L26" s="31"/>
      <c r="M26" s="7"/>
      <c r="N26" s="57">
        <f t="shared" si="3"/>
        <v>0</v>
      </c>
      <c r="O26" s="38">
        <f t="shared" si="8"/>
        <v>0</v>
      </c>
      <c r="P26" s="36"/>
      <c r="Q26" s="34" t="s">
        <v>201</v>
      </c>
      <c r="R26" s="25"/>
      <c r="S26" s="19"/>
      <c r="T26" s="49">
        <f t="shared" si="4"/>
        <v>0</v>
      </c>
      <c r="U26" s="31">
        <v>1</v>
      </c>
      <c r="V26" s="7"/>
      <c r="W26" s="57">
        <f t="shared" si="5"/>
        <v>1</v>
      </c>
      <c r="X26" s="25"/>
      <c r="Y26" s="19"/>
      <c r="Z26" s="49">
        <f t="shared" si="6"/>
        <v>0</v>
      </c>
      <c r="AA26" s="31">
        <v>1</v>
      </c>
      <c r="AB26" s="7"/>
      <c r="AC26" s="57">
        <f t="shared" si="7"/>
        <v>1</v>
      </c>
      <c r="AD26" s="38">
        <f t="shared" si="9"/>
        <v>2</v>
      </c>
      <c r="AE26" s="160">
        <v>46139</v>
      </c>
      <c r="AI26" s="37"/>
    </row>
    <row r="27" spans="2:35" x14ac:dyDescent="0.15">
      <c r="B27" s="6"/>
      <c r="C27" s="25"/>
      <c r="D27" s="19"/>
      <c r="E27" s="49">
        <f t="shared" si="0"/>
        <v>0</v>
      </c>
      <c r="F27" s="31"/>
      <c r="G27" s="7"/>
      <c r="H27" s="57">
        <f t="shared" si="1"/>
        <v>0</v>
      </c>
      <c r="I27" s="25"/>
      <c r="J27" s="19"/>
      <c r="K27" s="49">
        <f t="shared" si="2"/>
        <v>0</v>
      </c>
      <c r="L27" s="31"/>
      <c r="M27" s="7"/>
      <c r="N27" s="57">
        <f t="shared" si="3"/>
        <v>0</v>
      </c>
      <c r="O27" s="38">
        <f t="shared" si="8"/>
        <v>0</v>
      </c>
      <c r="P27" s="36"/>
      <c r="Q27" s="34" t="s">
        <v>201</v>
      </c>
      <c r="R27" s="25"/>
      <c r="S27" s="19"/>
      <c r="T27" s="49">
        <f t="shared" si="4"/>
        <v>0</v>
      </c>
      <c r="U27" s="31">
        <v>1</v>
      </c>
      <c r="V27" s="7"/>
      <c r="W27" s="57">
        <f t="shared" si="5"/>
        <v>1</v>
      </c>
      <c r="X27" s="25"/>
      <c r="Y27" s="19"/>
      <c r="Z27" s="49">
        <f t="shared" si="6"/>
        <v>0</v>
      </c>
      <c r="AA27" s="31">
        <v>1</v>
      </c>
      <c r="AB27" s="7"/>
      <c r="AC27" s="57">
        <f t="shared" si="7"/>
        <v>1</v>
      </c>
      <c r="AD27" s="38">
        <f t="shared" si="9"/>
        <v>2</v>
      </c>
      <c r="AE27" s="160">
        <v>46140</v>
      </c>
      <c r="AI27" s="37"/>
    </row>
    <row r="28" spans="2:35" x14ac:dyDescent="0.15">
      <c r="B28" s="6"/>
      <c r="C28" s="25"/>
      <c r="D28" s="19"/>
      <c r="E28" s="49">
        <f t="shared" si="0"/>
        <v>0</v>
      </c>
      <c r="F28" s="31"/>
      <c r="G28" s="7"/>
      <c r="H28" s="57">
        <f t="shared" si="1"/>
        <v>0</v>
      </c>
      <c r="I28" s="25"/>
      <c r="J28" s="19"/>
      <c r="K28" s="49">
        <f t="shared" si="2"/>
        <v>0</v>
      </c>
      <c r="L28" s="31"/>
      <c r="M28" s="7"/>
      <c r="N28" s="57">
        <f t="shared" si="3"/>
        <v>0</v>
      </c>
      <c r="O28" s="38">
        <f t="shared" si="8"/>
        <v>0</v>
      </c>
      <c r="P28" s="36"/>
      <c r="Q28" s="6" t="s">
        <v>214</v>
      </c>
      <c r="R28" s="25"/>
      <c r="S28" s="19">
        <v>6</v>
      </c>
      <c r="T28" s="49">
        <f t="shared" si="4"/>
        <v>6</v>
      </c>
      <c r="U28" s="31">
        <v>6</v>
      </c>
      <c r="V28" s="7">
        <v>2</v>
      </c>
      <c r="W28" s="57">
        <f t="shared" si="5"/>
        <v>8</v>
      </c>
      <c r="X28" s="25"/>
      <c r="Y28" s="19"/>
      <c r="Z28" s="49">
        <f t="shared" si="6"/>
        <v>0</v>
      </c>
      <c r="AA28" s="31"/>
      <c r="AB28" s="7"/>
      <c r="AC28" s="57">
        <f t="shared" si="7"/>
        <v>0</v>
      </c>
      <c r="AD28" s="38">
        <f t="shared" si="9"/>
        <v>14</v>
      </c>
      <c r="AE28" s="160">
        <v>46141</v>
      </c>
      <c r="AI28" s="37"/>
    </row>
    <row r="29" spans="2:35" x14ac:dyDescent="0.15">
      <c r="B29" s="6"/>
      <c r="C29" s="25"/>
      <c r="D29" s="19"/>
      <c r="E29" s="49">
        <f t="shared" si="0"/>
        <v>0</v>
      </c>
      <c r="F29" s="31"/>
      <c r="G29" s="7"/>
      <c r="H29" s="57">
        <f t="shared" si="1"/>
        <v>0</v>
      </c>
      <c r="I29" s="25"/>
      <c r="J29" s="19"/>
      <c r="K29" s="49">
        <f t="shared" si="2"/>
        <v>0</v>
      </c>
      <c r="L29" s="31"/>
      <c r="M29" s="7"/>
      <c r="N29" s="57">
        <f t="shared" si="3"/>
        <v>0</v>
      </c>
      <c r="O29" s="38">
        <f t="shared" si="8"/>
        <v>0</v>
      </c>
      <c r="P29" s="36"/>
      <c r="Q29" s="6" t="s">
        <v>215</v>
      </c>
      <c r="R29" s="25"/>
      <c r="S29" s="19"/>
      <c r="T29" s="49">
        <f t="shared" ref="T29:T30" si="15">SUM(R29:S29)</f>
        <v>0</v>
      </c>
      <c r="U29" s="31"/>
      <c r="V29" s="7">
        <v>4</v>
      </c>
      <c r="W29" s="57">
        <f t="shared" ref="W29:W30" si="16">SUM(U29:V29)</f>
        <v>4</v>
      </c>
      <c r="X29" s="25"/>
      <c r="Y29" s="19"/>
      <c r="Z29" s="49">
        <f t="shared" ref="Z29:Z30" si="17">SUM(X29:Y29)</f>
        <v>0</v>
      </c>
      <c r="AA29" s="31"/>
      <c r="AB29" s="7">
        <v>4</v>
      </c>
      <c r="AC29" s="57">
        <f t="shared" ref="AC29:AC30" si="18">SUM(AA29:AB29)</f>
        <v>4</v>
      </c>
      <c r="AD29" s="38">
        <f t="shared" ref="AD29:AD30" si="19">T29+W29+Z29+AC29</f>
        <v>8</v>
      </c>
      <c r="AE29" s="160">
        <v>46149</v>
      </c>
      <c r="AI29" s="37"/>
    </row>
    <row r="30" spans="2:35" x14ac:dyDescent="0.15">
      <c r="B30" s="34"/>
      <c r="C30" s="25"/>
      <c r="D30" s="19"/>
      <c r="E30" s="49">
        <f t="shared" si="0"/>
        <v>0</v>
      </c>
      <c r="F30" s="31"/>
      <c r="G30" s="7"/>
      <c r="H30" s="57">
        <f t="shared" si="1"/>
        <v>0</v>
      </c>
      <c r="I30" s="25"/>
      <c r="J30" s="19"/>
      <c r="K30" s="49">
        <f t="shared" si="2"/>
        <v>0</v>
      </c>
      <c r="L30" s="31"/>
      <c r="M30" s="7"/>
      <c r="N30" s="57">
        <f t="shared" si="3"/>
        <v>0</v>
      </c>
      <c r="O30" s="38">
        <f t="shared" si="8"/>
        <v>0</v>
      </c>
      <c r="P30" s="36"/>
      <c r="Q30" s="6"/>
      <c r="R30" s="25"/>
      <c r="S30" s="19"/>
      <c r="T30" s="49">
        <f t="shared" si="15"/>
        <v>0</v>
      </c>
      <c r="U30" s="31"/>
      <c r="V30" s="7"/>
      <c r="W30" s="57">
        <f t="shared" si="16"/>
        <v>0</v>
      </c>
      <c r="X30" s="25"/>
      <c r="Y30" s="19"/>
      <c r="Z30" s="49">
        <f t="shared" si="17"/>
        <v>0</v>
      </c>
      <c r="AA30" s="31"/>
      <c r="AB30" s="7"/>
      <c r="AC30" s="57">
        <f t="shared" si="18"/>
        <v>0</v>
      </c>
      <c r="AD30" s="38">
        <f t="shared" si="19"/>
        <v>0</v>
      </c>
      <c r="AI30" s="37"/>
    </row>
    <row r="31" spans="2:35" x14ac:dyDescent="0.15">
      <c r="B31" s="6"/>
      <c r="C31" s="25"/>
      <c r="D31" s="19"/>
      <c r="E31" s="49">
        <f t="shared" si="0"/>
        <v>0</v>
      </c>
      <c r="F31" s="31"/>
      <c r="G31" s="7"/>
      <c r="H31" s="57">
        <f t="shared" si="1"/>
        <v>0</v>
      </c>
      <c r="I31" s="25"/>
      <c r="J31" s="19"/>
      <c r="K31" s="49">
        <f t="shared" si="2"/>
        <v>0</v>
      </c>
      <c r="L31" s="31"/>
      <c r="M31" s="7"/>
      <c r="N31" s="57">
        <f t="shared" si="3"/>
        <v>0</v>
      </c>
      <c r="O31" s="38">
        <f t="shared" si="8"/>
        <v>0</v>
      </c>
      <c r="P31" s="36"/>
      <c r="Q31" s="6"/>
      <c r="R31" s="25"/>
      <c r="S31" s="19"/>
      <c r="T31" s="49">
        <f t="shared" ref="T31:T32" si="20">SUM(R31:S31)</f>
        <v>0</v>
      </c>
      <c r="U31" s="31"/>
      <c r="V31" s="7"/>
      <c r="W31" s="57">
        <f t="shared" ref="W31:W32" si="21">SUM(U31:V31)</f>
        <v>0</v>
      </c>
      <c r="X31" s="25"/>
      <c r="Y31" s="19"/>
      <c r="Z31" s="49">
        <f t="shared" ref="Z31:Z32" si="22">SUM(X31:Y31)</f>
        <v>0</v>
      </c>
      <c r="AA31" s="31"/>
      <c r="AB31" s="7"/>
      <c r="AC31" s="57">
        <f t="shared" ref="AC31:AC32" si="23">SUM(AA31:AB31)</f>
        <v>0</v>
      </c>
      <c r="AD31" s="38">
        <f t="shared" ref="AD31:AD32" si="24">T31+W31+Z31+AC31</f>
        <v>0</v>
      </c>
      <c r="AI31" s="36"/>
    </row>
    <row r="32" spans="2:35" x14ac:dyDescent="0.15">
      <c r="B32" s="6"/>
      <c r="C32" s="25"/>
      <c r="D32" s="19"/>
      <c r="E32" s="49">
        <f t="shared" si="0"/>
        <v>0</v>
      </c>
      <c r="F32" s="31"/>
      <c r="G32" s="7"/>
      <c r="H32" s="57">
        <f t="shared" si="1"/>
        <v>0</v>
      </c>
      <c r="I32" s="25"/>
      <c r="J32" s="19"/>
      <c r="K32" s="49">
        <f t="shared" si="2"/>
        <v>0</v>
      </c>
      <c r="L32" s="31"/>
      <c r="M32" s="7"/>
      <c r="N32" s="57">
        <f t="shared" si="3"/>
        <v>0</v>
      </c>
      <c r="O32" s="38">
        <f t="shared" si="8"/>
        <v>0</v>
      </c>
      <c r="P32" s="36"/>
      <c r="Q32" s="6" t="s">
        <v>191</v>
      </c>
      <c r="R32" s="168"/>
      <c r="S32" s="169"/>
      <c r="T32" s="49">
        <f t="shared" si="20"/>
        <v>0</v>
      </c>
      <c r="U32" s="31"/>
      <c r="V32" s="7"/>
      <c r="W32" s="57">
        <f t="shared" si="21"/>
        <v>0</v>
      </c>
      <c r="X32" s="168"/>
      <c r="Y32" s="169"/>
      <c r="Z32" s="49">
        <f t="shared" si="22"/>
        <v>0</v>
      </c>
      <c r="AA32" s="31"/>
      <c r="AB32" s="7"/>
      <c r="AC32" s="57">
        <f t="shared" si="23"/>
        <v>0</v>
      </c>
      <c r="AD32" s="38">
        <f t="shared" si="24"/>
        <v>0</v>
      </c>
      <c r="AE32" t="s">
        <v>65</v>
      </c>
      <c r="AI32" s="36"/>
    </row>
    <row r="33" spans="2:35" x14ac:dyDescent="0.15">
      <c r="B33" s="6"/>
      <c r="C33" s="25"/>
      <c r="D33" s="19"/>
      <c r="E33" s="49">
        <f t="shared" si="0"/>
        <v>0</v>
      </c>
      <c r="F33" s="31"/>
      <c r="G33" s="7"/>
      <c r="H33" s="57">
        <f t="shared" si="1"/>
        <v>0</v>
      </c>
      <c r="I33" s="25"/>
      <c r="J33" s="19"/>
      <c r="K33" s="49">
        <f t="shared" si="2"/>
        <v>0</v>
      </c>
      <c r="L33" s="31"/>
      <c r="M33" s="7"/>
      <c r="N33" s="57">
        <f t="shared" si="3"/>
        <v>0</v>
      </c>
      <c r="O33" s="38">
        <f t="shared" si="8"/>
        <v>0</v>
      </c>
      <c r="P33" s="36"/>
      <c r="Q33" s="170" t="s">
        <v>170</v>
      </c>
      <c r="R33" s="171"/>
      <c r="S33" s="172"/>
      <c r="T33" s="173">
        <f t="shared" ref="T33:T35" si="25">SUM(R33:S33)</f>
        <v>0</v>
      </c>
      <c r="U33" s="174"/>
      <c r="V33" s="175"/>
      <c r="W33" s="176">
        <f t="shared" si="5"/>
        <v>0</v>
      </c>
      <c r="X33" s="171"/>
      <c r="Y33" s="177"/>
      <c r="Z33" s="178">
        <f t="shared" si="6"/>
        <v>0</v>
      </c>
      <c r="AA33" s="174"/>
      <c r="AB33" s="175"/>
      <c r="AC33" s="176">
        <f t="shared" si="7"/>
        <v>0</v>
      </c>
      <c r="AD33" s="135">
        <f t="shared" si="9"/>
        <v>0</v>
      </c>
      <c r="AE33" s="179"/>
      <c r="AI33" s="36"/>
    </row>
    <row r="34" spans="2:35" x14ac:dyDescent="0.15">
      <c r="B34" s="6"/>
      <c r="C34" s="25"/>
      <c r="D34" s="19"/>
      <c r="E34" s="49">
        <f t="shared" si="0"/>
        <v>0</v>
      </c>
      <c r="F34" s="31"/>
      <c r="G34" s="7"/>
      <c r="H34" s="57">
        <f t="shared" si="1"/>
        <v>0</v>
      </c>
      <c r="I34" s="25"/>
      <c r="J34" s="19"/>
      <c r="K34" s="49">
        <f t="shared" si="2"/>
        <v>0</v>
      </c>
      <c r="L34" s="31"/>
      <c r="M34" s="7"/>
      <c r="N34" s="57">
        <f t="shared" si="3"/>
        <v>0</v>
      </c>
      <c r="O34" s="38">
        <f t="shared" si="8"/>
        <v>0</v>
      </c>
      <c r="P34" s="36"/>
      <c r="Q34" s="6" t="s">
        <v>160</v>
      </c>
      <c r="R34" s="180"/>
      <c r="S34" s="181"/>
      <c r="T34" s="46">
        <f t="shared" si="25"/>
        <v>0</v>
      </c>
      <c r="U34" s="25"/>
      <c r="V34" s="19"/>
      <c r="W34" s="94">
        <f t="shared" si="5"/>
        <v>0</v>
      </c>
      <c r="X34" s="180"/>
      <c r="Y34" s="182"/>
      <c r="Z34" s="183">
        <f t="shared" si="6"/>
        <v>0</v>
      </c>
      <c r="AA34" s="25"/>
      <c r="AB34" s="19"/>
      <c r="AC34" s="94">
        <f t="shared" si="7"/>
        <v>0</v>
      </c>
      <c r="AD34" s="95">
        <f t="shared" si="9"/>
        <v>0</v>
      </c>
      <c r="AE34" t="s">
        <v>171</v>
      </c>
      <c r="AI34" s="36"/>
    </row>
    <row r="35" spans="2:35" x14ac:dyDescent="0.15">
      <c r="B35" s="6"/>
      <c r="C35" s="25"/>
      <c r="D35" s="19"/>
      <c r="E35" s="49">
        <f t="shared" si="0"/>
        <v>0</v>
      </c>
      <c r="F35" s="31"/>
      <c r="G35" s="7"/>
      <c r="H35" s="57">
        <f t="shared" si="1"/>
        <v>0</v>
      </c>
      <c r="I35" s="25"/>
      <c r="J35" s="19"/>
      <c r="K35" s="49">
        <f t="shared" si="2"/>
        <v>0</v>
      </c>
      <c r="L35" s="31"/>
      <c r="M35" s="7"/>
      <c r="N35" s="57">
        <f t="shared" si="3"/>
        <v>0</v>
      </c>
      <c r="O35" s="38">
        <f t="shared" si="8"/>
        <v>0</v>
      </c>
      <c r="P35" s="36"/>
      <c r="Q35" s="170" t="s">
        <v>168</v>
      </c>
      <c r="R35" s="174"/>
      <c r="S35" s="175"/>
      <c r="T35" s="136">
        <f t="shared" si="25"/>
        <v>0</v>
      </c>
      <c r="U35" s="137"/>
      <c r="V35" s="138"/>
      <c r="W35" s="139">
        <f t="shared" si="5"/>
        <v>0</v>
      </c>
      <c r="X35" s="171"/>
      <c r="Y35" s="177"/>
      <c r="Z35" s="136">
        <f t="shared" si="6"/>
        <v>0</v>
      </c>
      <c r="AA35" s="186"/>
      <c r="AB35" s="187"/>
      <c r="AC35" s="139">
        <f t="shared" si="7"/>
        <v>0</v>
      </c>
      <c r="AD35" s="188">
        <f t="shared" si="9"/>
        <v>0</v>
      </c>
      <c r="AE35" s="189"/>
      <c r="AI35" s="36"/>
    </row>
    <row r="36" spans="2:35" ht="14.25" thickBot="1" x14ac:dyDescent="0.2">
      <c r="B36" s="6"/>
      <c r="C36" s="29"/>
      <c r="D36" s="20"/>
      <c r="E36" s="50">
        <f t="shared" si="0"/>
        <v>0</v>
      </c>
      <c r="F36" s="32"/>
      <c r="G36" s="5"/>
      <c r="H36" s="58">
        <f t="shared" si="1"/>
        <v>0</v>
      </c>
      <c r="I36" s="29"/>
      <c r="J36" s="20"/>
      <c r="K36" s="50">
        <f t="shared" si="2"/>
        <v>0</v>
      </c>
      <c r="L36" s="32"/>
      <c r="M36" s="5"/>
      <c r="N36" s="58">
        <f t="shared" si="3"/>
        <v>0</v>
      </c>
      <c r="O36" s="39">
        <f t="shared" si="8"/>
        <v>0</v>
      </c>
      <c r="P36" s="36"/>
      <c r="Q36" s="6" t="s">
        <v>163</v>
      </c>
      <c r="R36" s="25"/>
      <c r="S36" s="19"/>
      <c r="T36" s="49">
        <f t="shared" ref="T36" si="26">SUM(R36:S36)</f>
        <v>0</v>
      </c>
      <c r="U36" s="31"/>
      <c r="V36" s="7"/>
      <c r="W36" s="57">
        <f t="shared" si="5"/>
        <v>0</v>
      </c>
      <c r="X36" s="180"/>
      <c r="Y36" s="182"/>
      <c r="Z36" s="49">
        <f t="shared" si="6"/>
        <v>0</v>
      </c>
      <c r="AA36" s="184"/>
      <c r="AB36" s="185"/>
      <c r="AC36" s="57">
        <f t="shared" si="7"/>
        <v>0</v>
      </c>
      <c r="AD36" s="38">
        <f t="shared" si="9"/>
        <v>0</v>
      </c>
      <c r="AE36" s="190" t="s">
        <v>167</v>
      </c>
      <c r="AI36" s="36"/>
    </row>
    <row r="37" spans="2:35" ht="14.25" thickBot="1" x14ac:dyDescent="0.2">
      <c r="B37" s="4" t="s">
        <v>1</v>
      </c>
      <c r="C37" s="27">
        <f>SUM(C12:C36)</f>
        <v>1</v>
      </c>
      <c r="D37" s="21">
        <f>SUM(D12:D36)</f>
        <v>1</v>
      </c>
      <c r="E37" s="51">
        <f t="shared" si="0"/>
        <v>2</v>
      </c>
      <c r="F37" s="27">
        <f>SUM(F12:F36)</f>
        <v>1</v>
      </c>
      <c r="G37" s="21">
        <f>SUM(G12:G36)</f>
        <v>1</v>
      </c>
      <c r="H37" s="59">
        <f t="shared" si="1"/>
        <v>2</v>
      </c>
      <c r="I37" s="27">
        <f>SUM(I12:I36)</f>
        <v>1</v>
      </c>
      <c r="J37" s="21">
        <f>SUM(J12:J36)</f>
        <v>1</v>
      </c>
      <c r="K37" s="51">
        <f t="shared" si="2"/>
        <v>2</v>
      </c>
      <c r="L37" s="27">
        <f>SUM(L12:L36)</f>
        <v>1</v>
      </c>
      <c r="M37" s="21">
        <f>SUM(M12:M36)</f>
        <v>1</v>
      </c>
      <c r="N37" s="59">
        <f t="shared" si="3"/>
        <v>2</v>
      </c>
      <c r="O37" s="40">
        <f t="shared" si="8"/>
        <v>8</v>
      </c>
      <c r="P37" s="35"/>
      <c r="Q37" s="4" t="s">
        <v>1</v>
      </c>
      <c r="R37" s="27">
        <f>SUM(R12:R36)</f>
        <v>56</v>
      </c>
      <c r="S37" s="21">
        <f>SUM(S12:S36)</f>
        <v>40</v>
      </c>
      <c r="T37" s="51">
        <f t="shared" si="4"/>
        <v>96</v>
      </c>
      <c r="U37" s="27">
        <f>SUM(U12:U36)</f>
        <v>72</v>
      </c>
      <c r="V37" s="21">
        <f>SUM(V12:V36)</f>
        <v>63</v>
      </c>
      <c r="W37" s="59">
        <f t="shared" si="5"/>
        <v>135</v>
      </c>
      <c r="X37" s="27">
        <f>SUM(X12:X36)</f>
        <v>31</v>
      </c>
      <c r="Y37" s="21">
        <f>SUM(Y12:Y36)</f>
        <v>31</v>
      </c>
      <c r="Z37" s="51">
        <f t="shared" si="6"/>
        <v>62</v>
      </c>
      <c r="AA37" s="27">
        <f>SUM(AA12:AA36)</f>
        <v>56</v>
      </c>
      <c r="AB37" s="21">
        <f>SUM(AB12:AB36)</f>
        <v>58</v>
      </c>
      <c r="AC37" s="59">
        <f t="shared" si="7"/>
        <v>114</v>
      </c>
      <c r="AD37" s="40">
        <f t="shared" si="9"/>
        <v>407</v>
      </c>
      <c r="AI37" s="35"/>
    </row>
    <row r="38" spans="2:35" ht="14.25" thickBot="1" x14ac:dyDescent="0.2">
      <c r="B38" s="3" t="s">
        <v>0</v>
      </c>
      <c r="C38" s="30">
        <f>+C11-C37</f>
        <v>0</v>
      </c>
      <c r="D38" s="2">
        <f>+D11-D37</f>
        <v>0</v>
      </c>
      <c r="E38" s="52">
        <f t="shared" si="0"/>
        <v>0</v>
      </c>
      <c r="F38" s="30">
        <f>+F11-F37</f>
        <v>0</v>
      </c>
      <c r="G38" s="2">
        <f>+G11-G37</f>
        <v>1</v>
      </c>
      <c r="H38" s="60">
        <f t="shared" si="1"/>
        <v>1</v>
      </c>
      <c r="I38" s="30">
        <f>+I11-I37</f>
        <v>0</v>
      </c>
      <c r="J38" s="2">
        <f>+J11-J37</f>
        <v>0</v>
      </c>
      <c r="K38" s="52">
        <f t="shared" si="2"/>
        <v>0</v>
      </c>
      <c r="L38" s="30">
        <f>+L11-L37</f>
        <v>0</v>
      </c>
      <c r="M38" s="2">
        <f>+M11-M37</f>
        <v>1</v>
      </c>
      <c r="N38" s="60">
        <f t="shared" si="3"/>
        <v>1</v>
      </c>
      <c r="O38" s="41">
        <f t="shared" si="8"/>
        <v>2</v>
      </c>
      <c r="P38" s="35"/>
      <c r="Q38" s="3" t="s">
        <v>0</v>
      </c>
      <c r="R38" s="30">
        <f>+R11-R37</f>
        <v>294</v>
      </c>
      <c r="S38" s="2">
        <f>+S11-S37</f>
        <v>310</v>
      </c>
      <c r="T38" s="52">
        <f t="shared" si="4"/>
        <v>604</v>
      </c>
      <c r="U38" s="30">
        <f>+U11-U37</f>
        <v>178</v>
      </c>
      <c r="V38" s="2">
        <f>+V11-V37</f>
        <v>187</v>
      </c>
      <c r="W38" s="60">
        <f t="shared" si="5"/>
        <v>365</v>
      </c>
      <c r="X38" s="30">
        <f>+X11-X37</f>
        <v>269</v>
      </c>
      <c r="Y38" s="2">
        <f>+Y11-Y37</f>
        <v>269</v>
      </c>
      <c r="Z38" s="52">
        <f t="shared" si="6"/>
        <v>538</v>
      </c>
      <c r="AA38" s="30">
        <f>+AA11-AA37</f>
        <v>144</v>
      </c>
      <c r="AB38" s="2">
        <f>+AB11-AB37</f>
        <v>142</v>
      </c>
      <c r="AC38" s="60">
        <f t="shared" si="7"/>
        <v>286</v>
      </c>
      <c r="AD38" s="41">
        <f t="shared" si="9"/>
        <v>1793</v>
      </c>
      <c r="AI38" s="35"/>
    </row>
    <row r="39" spans="2:35" x14ac:dyDescent="0.15">
      <c r="B39" s="1"/>
      <c r="P39" s="35"/>
      <c r="AI39" s="35"/>
    </row>
    <row r="40" spans="2:35" x14ac:dyDescent="0.15">
      <c r="Q40"/>
      <c r="R40" s="104"/>
      <c r="S40" s="104"/>
      <c r="T40" s="104"/>
      <c r="U40" s="104"/>
      <c r="V40" s="104"/>
      <c r="W40" s="104"/>
      <c r="Y40"/>
    </row>
    <row r="41" spans="2:35" ht="18.75" x14ac:dyDescent="0.2">
      <c r="B41" s="101" t="s">
        <v>11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107" t="s">
        <v>158</v>
      </c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</row>
    <row r="42" spans="2:35" ht="18" thickBot="1" x14ac:dyDescent="0.25">
      <c r="B42" s="103" t="s">
        <v>156</v>
      </c>
      <c r="C42" s="102"/>
      <c r="D42" s="102"/>
      <c r="E42" s="102"/>
      <c r="F42" s="102"/>
      <c r="G42" s="102"/>
      <c r="H42" s="102"/>
      <c r="I42" s="102"/>
      <c r="J42" s="102" t="s">
        <v>157</v>
      </c>
      <c r="K42" s="102"/>
      <c r="L42" s="102"/>
      <c r="M42" s="102"/>
      <c r="N42" s="102"/>
      <c r="O42" s="102"/>
      <c r="Q42" s="109" t="s">
        <v>156</v>
      </c>
      <c r="R42" s="108"/>
      <c r="S42" s="108"/>
      <c r="T42" s="108"/>
      <c r="U42" s="108"/>
      <c r="V42" s="108"/>
      <c r="W42" s="108"/>
      <c r="X42" s="108"/>
      <c r="Y42" s="108" t="s">
        <v>157</v>
      </c>
      <c r="Z42" s="108"/>
      <c r="AA42" s="108"/>
      <c r="AB42" s="108"/>
      <c r="AC42" s="108"/>
      <c r="AD42" s="108"/>
    </row>
    <row r="43" spans="2:35" ht="14.25" thickBot="1" x14ac:dyDescent="0.2">
      <c r="B43" s="14"/>
      <c r="C43" s="206" t="s">
        <v>9</v>
      </c>
      <c r="D43" s="207"/>
      <c r="E43" s="208"/>
      <c r="F43" s="209" t="s">
        <v>154</v>
      </c>
      <c r="G43" s="210"/>
      <c r="H43" s="211"/>
      <c r="I43" s="212" t="s">
        <v>10</v>
      </c>
      <c r="J43" s="213"/>
      <c r="K43" s="214"/>
      <c r="L43" s="215" t="s">
        <v>164</v>
      </c>
      <c r="M43" s="216"/>
      <c r="N43" s="216"/>
      <c r="O43" s="217" t="s">
        <v>8</v>
      </c>
      <c r="Q43" s="14"/>
      <c r="R43" s="206" t="s">
        <v>9</v>
      </c>
      <c r="S43" s="207"/>
      <c r="T43" s="208"/>
      <c r="U43" s="209" t="s">
        <v>154</v>
      </c>
      <c r="V43" s="210"/>
      <c r="W43" s="211"/>
      <c r="X43" s="212" t="s">
        <v>10</v>
      </c>
      <c r="Y43" s="213"/>
      <c r="Z43" s="214"/>
      <c r="AA43" s="215" t="s">
        <v>164</v>
      </c>
      <c r="AB43" s="216"/>
      <c r="AC43" s="216"/>
      <c r="AD43" s="217" t="s">
        <v>8</v>
      </c>
    </row>
    <row r="44" spans="2:35" ht="14.25" thickBot="1" x14ac:dyDescent="0.2">
      <c r="B44" s="4"/>
      <c r="C44" s="62" t="s">
        <v>6</v>
      </c>
      <c r="D44" s="61" t="s">
        <v>5</v>
      </c>
      <c r="E44" s="63" t="s">
        <v>4</v>
      </c>
      <c r="F44" s="62" t="s">
        <v>6</v>
      </c>
      <c r="G44" s="61" t="s">
        <v>5</v>
      </c>
      <c r="H44" s="63" t="s">
        <v>4</v>
      </c>
      <c r="I44" s="62" t="s">
        <v>6</v>
      </c>
      <c r="J44" s="61" t="s">
        <v>5</v>
      </c>
      <c r="K44" s="63" t="s">
        <v>4</v>
      </c>
      <c r="L44" s="62" t="s">
        <v>6</v>
      </c>
      <c r="M44" s="61" t="s">
        <v>5</v>
      </c>
      <c r="N44" s="63" t="s">
        <v>4</v>
      </c>
      <c r="O44" s="218"/>
      <c r="Q44" s="4"/>
      <c r="R44" s="62" t="s">
        <v>6</v>
      </c>
      <c r="S44" s="61" t="s">
        <v>5</v>
      </c>
      <c r="T44" s="63" t="s">
        <v>4</v>
      </c>
      <c r="U44" s="62" t="s">
        <v>6</v>
      </c>
      <c r="V44" s="61" t="s">
        <v>5</v>
      </c>
      <c r="W44" s="63" t="s">
        <v>4</v>
      </c>
      <c r="X44" s="62" t="s">
        <v>6</v>
      </c>
      <c r="Y44" s="61" t="s">
        <v>5</v>
      </c>
      <c r="Z44" s="63" t="s">
        <v>4</v>
      </c>
      <c r="AA44" s="62" t="s">
        <v>6</v>
      </c>
      <c r="AB44" s="61" t="s">
        <v>5</v>
      </c>
      <c r="AC44" s="63" t="s">
        <v>4</v>
      </c>
      <c r="AD44" s="218"/>
    </row>
    <row r="45" spans="2:35" ht="14.25" thickBot="1" x14ac:dyDescent="0.2">
      <c r="B45" s="106" t="s">
        <v>173</v>
      </c>
      <c r="C45" s="43">
        <f>C38</f>
        <v>0</v>
      </c>
      <c r="D45" s="43">
        <f>D38</f>
        <v>0</v>
      </c>
      <c r="E45" s="83">
        <f t="shared" ref="E45:E78" si="27">SUM(C45:D45)</f>
        <v>0</v>
      </c>
      <c r="F45" s="43">
        <f>F38</f>
        <v>0</v>
      </c>
      <c r="G45" s="43">
        <f>G38</f>
        <v>1</v>
      </c>
      <c r="H45" s="84">
        <f t="shared" ref="H45:H78" si="28">SUM(F45:G45)</f>
        <v>1</v>
      </c>
      <c r="I45" s="43">
        <f>I38</f>
        <v>0</v>
      </c>
      <c r="J45" s="43">
        <f>J38</f>
        <v>0</v>
      </c>
      <c r="K45" s="83">
        <f t="shared" ref="K45:K78" si="29">SUM(I45:J45)</f>
        <v>0</v>
      </c>
      <c r="L45" s="43">
        <f>L38</f>
        <v>0</v>
      </c>
      <c r="M45" s="43">
        <f>M38</f>
        <v>1</v>
      </c>
      <c r="N45" s="84">
        <f t="shared" ref="N45:N78" si="30">SUM(L45:M45)</f>
        <v>1</v>
      </c>
      <c r="O45" s="41">
        <f>E45+H45+K45+N45</f>
        <v>2</v>
      </c>
      <c r="Q45" s="106" t="s">
        <v>173</v>
      </c>
      <c r="R45" s="43">
        <f>R38</f>
        <v>294</v>
      </c>
      <c r="S45" s="43">
        <f>S38</f>
        <v>310</v>
      </c>
      <c r="T45" s="83">
        <f t="shared" ref="T45:T78" si="31">SUM(R45:S45)</f>
        <v>604</v>
      </c>
      <c r="U45" s="43">
        <f>U38</f>
        <v>178</v>
      </c>
      <c r="V45" s="43">
        <f>V38</f>
        <v>187</v>
      </c>
      <c r="W45" s="84">
        <f t="shared" ref="W45:W78" si="32">SUM(U45:V45)</f>
        <v>365</v>
      </c>
      <c r="X45" s="43">
        <f>X38</f>
        <v>269</v>
      </c>
      <c r="Y45" s="43">
        <f>Y38</f>
        <v>269</v>
      </c>
      <c r="Z45" s="83">
        <f t="shared" ref="Z45:Z78" si="33">SUM(X45:Y45)</f>
        <v>538</v>
      </c>
      <c r="AA45" s="43">
        <f>AA38</f>
        <v>144</v>
      </c>
      <c r="AB45" s="43">
        <f>AB38</f>
        <v>142</v>
      </c>
      <c r="AC45" s="84">
        <f t="shared" ref="AC45:AC78" si="34">SUM(AA45:AB45)</f>
        <v>286</v>
      </c>
      <c r="AD45" s="41">
        <f>T45+W45+Z45+AC45</f>
        <v>1793</v>
      </c>
    </row>
    <row r="46" spans="2:35" x14ac:dyDescent="0.15">
      <c r="B46" s="105" t="s">
        <v>109</v>
      </c>
      <c r="C46" s="31"/>
      <c r="D46" s="7"/>
      <c r="E46" s="76">
        <f t="shared" si="27"/>
        <v>0</v>
      </c>
      <c r="F46" s="31">
        <v>1</v>
      </c>
      <c r="G46" s="7">
        <v>1</v>
      </c>
      <c r="H46" s="77">
        <f t="shared" si="28"/>
        <v>2</v>
      </c>
      <c r="I46" s="31"/>
      <c r="J46" s="7"/>
      <c r="K46" s="76">
        <f t="shared" si="29"/>
        <v>0</v>
      </c>
      <c r="L46" s="31">
        <v>1</v>
      </c>
      <c r="M46" s="7">
        <v>1</v>
      </c>
      <c r="N46" s="77">
        <f t="shared" si="30"/>
        <v>2</v>
      </c>
      <c r="O46" s="38">
        <f t="shared" ref="O46:O78" si="35">E46+H46+K46+N46</f>
        <v>4</v>
      </c>
      <c r="P46" s="36">
        <v>46154</v>
      </c>
      <c r="Q46" s="105" t="s">
        <v>3</v>
      </c>
      <c r="R46" s="31"/>
      <c r="S46" s="7"/>
      <c r="T46" s="76">
        <f t="shared" si="31"/>
        <v>0</v>
      </c>
      <c r="U46" s="31"/>
      <c r="V46" s="7"/>
      <c r="W46" s="77">
        <f t="shared" si="32"/>
        <v>0</v>
      </c>
      <c r="X46" s="31"/>
      <c r="Y46" s="7"/>
      <c r="Z46" s="76">
        <f t="shared" si="33"/>
        <v>0</v>
      </c>
      <c r="AA46" s="31"/>
      <c r="AB46" s="7"/>
      <c r="AC46" s="77">
        <f t="shared" si="34"/>
        <v>0</v>
      </c>
      <c r="AD46" s="38">
        <f t="shared" ref="AD46:AD78" si="36">T46+W46+Z46+AC46</f>
        <v>0</v>
      </c>
    </row>
    <row r="47" spans="2:35" x14ac:dyDescent="0.15">
      <c r="B47" s="11" t="s">
        <v>3</v>
      </c>
      <c r="C47" s="25"/>
      <c r="D47" s="19"/>
      <c r="E47" s="46">
        <f t="shared" si="27"/>
        <v>0</v>
      </c>
      <c r="F47" s="31">
        <v>1</v>
      </c>
      <c r="G47" s="7">
        <v>1</v>
      </c>
      <c r="H47" s="54">
        <f t="shared" si="28"/>
        <v>2</v>
      </c>
      <c r="I47" s="25"/>
      <c r="J47" s="19"/>
      <c r="K47" s="46">
        <f t="shared" si="29"/>
        <v>0</v>
      </c>
      <c r="L47" s="31">
        <v>1</v>
      </c>
      <c r="M47" s="7">
        <v>1</v>
      </c>
      <c r="N47" s="54">
        <f t="shared" si="30"/>
        <v>2</v>
      </c>
      <c r="O47" s="38">
        <f t="shared" si="35"/>
        <v>4</v>
      </c>
      <c r="P47" s="36">
        <v>46174</v>
      </c>
      <c r="Q47" s="11" t="s">
        <v>3</v>
      </c>
      <c r="R47" s="25"/>
      <c r="S47" s="19"/>
      <c r="T47" s="46">
        <f t="shared" ref="T47" si="37">SUM(R47:S47)</f>
        <v>0</v>
      </c>
      <c r="U47" s="31"/>
      <c r="V47" s="7"/>
      <c r="W47" s="54">
        <f t="shared" ref="W47" si="38">SUM(U47:V47)</f>
        <v>0</v>
      </c>
      <c r="X47" s="25"/>
      <c r="Y47" s="19"/>
      <c r="Z47" s="46">
        <f t="shared" ref="Z47" si="39">SUM(X47:Y47)</f>
        <v>0</v>
      </c>
      <c r="AA47" s="31"/>
      <c r="AB47" s="7"/>
      <c r="AC47" s="54">
        <f t="shared" ref="AC47" si="40">SUM(AA47:AB47)</f>
        <v>0</v>
      </c>
      <c r="AD47" s="38">
        <f t="shared" ref="AD47" si="41">T47+W47+Z47+AC47</f>
        <v>0</v>
      </c>
    </row>
    <row r="48" spans="2:35" x14ac:dyDescent="0.15">
      <c r="B48" s="11" t="s">
        <v>3</v>
      </c>
      <c r="C48" s="25"/>
      <c r="D48" s="19"/>
      <c r="E48" s="46">
        <f t="shared" si="27"/>
        <v>0</v>
      </c>
      <c r="F48" s="31"/>
      <c r="G48" s="7"/>
      <c r="H48" s="54">
        <f t="shared" si="28"/>
        <v>0</v>
      </c>
      <c r="I48" s="25"/>
      <c r="J48" s="19"/>
      <c r="K48" s="46">
        <f t="shared" si="29"/>
        <v>0</v>
      </c>
      <c r="L48" s="31"/>
      <c r="M48" s="7"/>
      <c r="N48" s="54">
        <f t="shared" si="30"/>
        <v>0</v>
      </c>
      <c r="O48" s="38">
        <f t="shared" si="35"/>
        <v>0</v>
      </c>
      <c r="P48" s="36"/>
      <c r="Q48" s="11" t="s">
        <v>3</v>
      </c>
      <c r="R48" s="25"/>
      <c r="S48" s="19"/>
      <c r="T48" s="46">
        <f t="shared" ref="T48" si="42">SUM(R48:S48)</f>
        <v>0</v>
      </c>
      <c r="U48" s="31"/>
      <c r="V48" s="7"/>
      <c r="W48" s="54">
        <f t="shared" ref="W48" si="43">SUM(U48:V48)</f>
        <v>0</v>
      </c>
      <c r="X48" s="25"/>
      <c r="Y48" s="19"/>
      <c r="Z48" s="46">
        <f t="shared" ref="Z48" si="44">SUM(X48:Y48)</f>
        <v>0</v>
      </c>
      <c r="AA48" s="31"/>
      <c r="AB48" s="7"/>
      <c r="AC48" s="54">
        <f t="shared" ref="AC48" si="45">SUM(AA48:AB48)</f>
        <v>0</v>
      </c>
      <c r="AD48" s="38">
        <f t="shared" ref="AD48" si="46">T48+W48+Z48+AC48</f>
        <v>0</v>
      </c>
    </row>
    <row r="49" spans="2:31" x14ac:dyDescent="0.15">
      <c r="B49" s="11" t="s">
        <v>3</v>
      </c>
      <c r="C49" s="25"/>
      <c r="D49" s="19"/>
      <c r="E49" s="46">
        <f t="shared" si="27"/>
        <v>0</v>
      </c>
      <c r="F49" s="31"/>
      <c r="G49" s="7"/>
      <c r="H49" s="54">
        <f t="shared" si="28"/>
        <v>0</v>
      </c>
      <c r="I49" s="25"/>
      <c r="J49" s="19"/>
      <c r="K49" s="46">
        <f t="shared" si="29"/>
        <v>0</v>
      </c>
      <c r="L49" s="31"/>
      <c r="M49" s="7"/>
      <c r="N49" s="54">
        <f t="shared" si="30"/>
        <v>0</v>
      </c>
      <c r="O49" s="38">
        <f t="shared" si="35"/>
        <v>0</v>
      </c>
      <c r="P49" s="36"/>
      <c r="Q49" s="11" t="s">
        <v>3</v>
      </c>
      <c r="R49" s="25"/>
      <c r="S49" s="19"/>
      <c r="T49" s="46">
        <f t="shared" si="31"/>
        <v>0</v>
      </c>
      <c r="U49" s="31"/>
      <c r="V49" s="7"/>
      <c r="W49" s="54">
        <f t="shared" si="32"/>
        <v>0</v>
      </c>
      <c r="X49" s="25"/>
      <c r="Y49" s="19"/>
      <c r="Z49" s="46">
        <f t="shared" si="33"/>
        <v>0</v>
      </c>
      <c r="AA49" s="31"/>
      <c r="AB49" s="7"/>
      <c r="AC49" s="54">
        <f t="shared" si="34"/>
        <v>0</v>
      </c>
      <c r="AD49" s="38">
        <f t="shared" si="36"/>
        <v>0</v>
      </c>
    </row>
    <row r="50" spans="2:31" ht="14.25" thickBot="1" x14ac:dyDescent="0.2">
      <c r="B50" s="10" t="s">
        <v>3</v>
      </c>
      <c r="C50" s="26"/>
      <c r="D50" s="20"/>
      <c r="E50" s="47">
        <f t="shared" si="27"/>
        <v>0</v>
      </c>
      <c r="F50" s="32"/>
      <c r="G50" s="5"/>
      <c r="H50" s="55">
        <f t="shared" si="28"/>
        <v>0</v>
      </c>
      <c r="I50" s="26"/>
      <c r="J50" s="20"/>
      <c r="K50" s="47">
        <f t="shared" si="29"/>
        <v>0</v>
      </c>
      <c r="L50" s="32"/>
      <c r="M50" s="5"/>
      <c r="N50" s="55">
        <f t="shared" si="30"/>
        <v>0</v>
      </c>
      <c r="O50" s="39">
        <f t="shared" si="35"/>
        <v>0</v>
      </c>
      <c r="P50" s="36"/>
      <c r="Q50" s="10" t="s">
        <v>3</v>
      </c>
      <c r="R50" s="26"/>
      <c r="S50" s="20"/>
      <c r="T50" s="47">
        <f t="shared" si="31"/>
        <v>0</v>
      </c>
      <c r="U50" s="32"/>
      <c r="V50" s="5"/>
      <c r="W50" s="55">
        <f t="shared" si="32"/>
        <v>0</v>
      </c>
      <c r="X50" s="26"/>
      <c r="Y50" s="20"/>
      <c r="Z50" s="47">
        <f t="shared" si="33"/>
        <v>0</v>
      </c>
      <c r="AA50" s="32"/>
      <c r="AB50" s="5"/>
      <c r="AC50" s="55">
        <f t="shared" si="34"/>
        <v>0</v>
      </c>
      <c r="AD50" s="39">
        <f t="shared" si="36"/>
        <v>0</v>
      </c>
    </row>
    <row r="51" spans="2:31" ht="14.25" thickBot="1" x14ac:dyDescent="0.2">
      <c r="B51" s="42" t="s">
        <v>2</v>
      </c>
      <c r="C51" s="43">
        <f>SUM(C45:C50)</f>
        <v>0</v>
      </c>
      <c r="D51" s="44">
        <f>SUM(D45:D50)</f>
        <v>0</v>
      </c>
      <c r="E51" s="48">
        <f t="shared" si="27"/>
        <v>0</v>
      </c>
      <c r="F51" s="43">
        <f>SUM(F45:F50)</f>
        <v>2</v>
      </c>
      <c r="G51" s="44">
        <f>SUM(G45:G50)</f>
        <v>3</v>
      </c>
      <c r="H51" s="56">
        <f t="shared" si="28"/>
        <v>5</v>
      </c>
      <c r="I51" s="43">
        <f>SUM(I45:I50)</f>
        <v>0</v>
      </c>
      <c r="J51" s="44">
        <f>SUM(J45:J50)</f>
        <v>0</v>
      </c>
      <c r="K51" s="48">
        <f t="shared" si="29"/>
        <v>0</v>
      </c>
      <c r="L51" s="43">
        <f>SUM(L45:L50)</f>
        <v>2</v>
      </c>
      <c r="M51" s="44">
        <f>SUM(M45:M50)</f>
        <v>3</v>
      </c>
      <c r="N51" s="56">
        <f t="shared" si="30"/>
        <v>5</v>
      </c>
      <c r="O51" s="41">
        <f t="shared" si="35"/>
        <v>10</v>
      </c>
      <c r="P51" s="36"/>
      <c r="Q51" s="42" t="s">
        <v>2</v>
      </c>
      <c r="R51" s="43">
        <f>SUM(R45:R50)</f>
        <v>294</v>
      </c>
      <c r="S51" s="44">
        <f>SUM(S45:S50)</f>
        <v>310</v>
      </c>
      <c r="T51" s="48">
        <f t="shared" si="31"/>
        <v>604</v>
      </c>
      <c r="U51" s="43">
        <f>SUM(U45:U50)</f>
        <v>178</v>
      </c>
      <c r="V51" s="44">
        <f>SUM(V45:V50)</f>
        <v>187</v>
      </c>
      <c r="W51" s="56">
        <f t="shared" si="32"/>
        <v>365</v>
      </c>
      <c r="X51" s="43">
        <f>SUM(X45:X50)</f>
        <v>269</v>
      </c>
      <c r="Y51" s="44">
        <f>SUM(Y45:Y50)</f>
        <v>269</v>
      </c>
      <c r="Z51" s="48">
        <f t="shared" si="33"/>
        <v>538</v>
      </c>
      <c r="AA51" s="43">
        <f>SUM(AA45:AA50)</f>
        <v>144</v>
      </c>
      <c r="AB51" s="44">
        <f>SUM(AB45:AB50)</f>
        <v>142</v>
      </c>
      <c r="AC51" s="56">
        <f t="shared" si="34"/>
        <v>286</v>
      </c>
      <c r="AD51" s="41">
        <f t="shared" si="36"/>
        <v>1793</v>
      </c>
    </row>
    <row r="52" spans="2:31" x14ac:dyDescent="0.15">
      <c r="B52" s="6" t="s">
        <v>228</v>
      </c>
      <c r="C52" s="24"/>
      <c r="D52" s="18"/>
      <c r="E52" s="49">
        <f t="shared" si="27"/>
        <v>0</v>
      </c>
      <c r="F52" s="31"/>
      <c r="G52" s="7">
        <v>2</v>
      </c>
      <c r="H52" s="57">
        <f t="shared" si="28"/>
        <v>2</v>
      </c>
      <c r="I52" s="24"/>
      <c r="J52" s="18"/>
      <c r="K52" s="49">
        <f t="shared" si="29"/>
        <v>0</v>
      </c>
      <c r="L52" s="31"/>
      <c r="M52" s="7">
        <v>2</v>
      </c>
      <c r="N52" s="57">
        <f t="shared" si="30"/>
        <v>2</v>
      </c>
      <c r="O52" s="38">
        <f t="shared" si="35"/>
        <v>4</v>
      </c>
      <c r="P52" s="36">
        <v>46162</v>
      </c>
      <c r="Q52" s="9" t="s">
        <v>222</v>
      </c>
      <c r="R52" s="24">
        <v>2</v>
      </c>
      <c r="S52" s="18">
        <v>2</v>
      </c>
      <c r="T52" s="49">
        <f t="shared" si="31"/>
        <v>4</v>
      </c>
      <c r="U52" s="31"/>
      <c r="V52" s="7"/>
      <c r="W52" s="57">
        <f t="shared" si="32"/>
        <v>0</v>
      </c>
      <c r="X52" s="24">
        <v>2</v>
      </c>
      <c r="Y52" s="18">
        <v>2</v>
      </c>
      <c r="Z52" s="49">
        <f t="shared" si="33"/>
        <v>4</v>
      </c>
      <c r="AA52" s="31"/>
      <c r="AB52" s="7"/>
      <c r="AC52" s="57">
        <f t="shared" si="34"/>
        <v>0</v>
      </c>
      <c r="AD52" s="38">
        <f t="shared" si="36"/>
        <v>8</v>
      </c>
      <c r="AE52" s="160">
        <v>46156</v>
      </c>
    </row>
    <row r="53" spans="2:31" x14ac:dyDescent="0.15">
      <c r="B53" s="34" t="s">
        <v>111</v>
      </c>
      <c r="C53" s="25"/>
      <c r="D53" s="19"/>
      <c r="E53" s="49">
        <f t="shared" si="27"/>
        <v>0</v>
      </c>
      <c r="F53" s="31">
        <v>1</v>
      </c>
      <c r="G53" s="7"/>
      <c r="H53" s="57">
        <f t="shared" si="28"/>
        <v>1</v>
      </c>
      <c r="I53" s="25"/>
      <c r="J53" s="19"/>
      <c r="K53" s="49">
        <f t="shared" si="29"/>
        <v>0</v>
      </c>
      <c r="L53" s="31">
        <v>1</v>
      </c>
      <c r="M53" s="7"/>
      <c r="N53" s="57">
        <f t="shared" si="30"/>
        <v>1</v>
      </c>
      <c r="O53" s="38">
        <f t="shared" si="35"/>
        <v>2</v>
      </c>
      <c r="P53" s="36">
        <v>46165</v>
      </c>
      <c r="Q53" s="6" t="s">
        <v>223</v>
      </c>
      <c r="R53" s="25"/>
      <c r="S53" s="19">
        <v>20</v>
      </c>
      <c r="T53" s="49">
        <f t="shared" si="31"/>
        <v>20</v>
      </c>
      <c r="U53" s="31"/>
      <c r="V53" s="7"/>
      <c r="W53" s="57">
        <f t="shared" si="32"/>
        <v>0</v>
      </c>
      <c r="X53" s="25">
        <v>20</v>
      </c>
      <c r="Y53" s="19">
        <v>35</v>
      </c>
      <c r="Z53" s="49">
        <f t="shared" si="33"/>
        <v>55</v>
      </c>
      <c r="AA53" s="31">
        <v>20</v>
      </c>
      <c r="AB53" s="7"/>
      <c r="AC53" s="57">
        <f t="shared" si="34"/>
        <v>20</v>
      </c>
      <c r="AD53" s="38">
        <f t="shared" si="36"/>
        <v>95</v>
      </c>
      <c r="AE53" s="160">
        <v>46156</v>
      </c>
    </row>
    <row r="54" spans="2:31" x14ac:dyDescent="0.15">
      <c r="B54" s="34"/>
      <c r="C54" s="25"/>
      <c r="D54" s="19"/>
      <c r="E54" s="49">
        <f t="shared" si="27"/>
        <v>0</v>
      </c>
      <c r="F54" s="31"/>
      <c r="G54" s="7"/>
      <c r="H54" s="57">
        <f t="shared" si="28"/>
        <v>0</v>
      </c>
      <c r="I54" s="25"/>
      <c r="J54" s="19"/>
      <c r="K54" s="49">
        <f t="shared" si="29"/>
        <v>0</v>
      </c>
      <c r="L54" s="31"/>
      <c r="M54" s="7"/>
      <c r="N54" s="57">
        <f t="shared" si="30"/>
        <v>0</v>
      </c>
      <c r="O54" s="38">
        <f t="shared" si="35"/>
        <v>0</v>
      </c>
      <c r="P54" s="35"/>
      <c r="Q54" s="34" t="s">
        <v>224</v>
      </c>
      <c r="R54" s="25">
        <v>4</v>
      </c>
      <c r="S54" s="19">
        <v>6</v>
      </c>
      <c r="T54" s="49">
        <f t="shared" si="31"/>
        <v>10</v>
      </c>
      <c r="U54" s="31"/>
      <c r="V54" s="7"/>
      <c r="W54" s="57">
        <f t="shared" si="32"/>
        <v>0</v>
      </c>
      <c r="X54" s="25">
        <v>4</v>
      </c>
      <c r="Y54" s="19">
        <v>6</v>
      </c>
      <c r="Z54" s="49">
        <f t="shared" si="33"/>
        <v>10</v>
      </c>
      <c r="AA54" s="31"/>
      <c r="AB54" s="7"/>
      <c r="AC54" s="57">
        <f t="shared" si="34"/>
        <v>0</v>
      </c>
      <c r="AD54" s="38">
        <f t="shared" si="36"/>
        <v>20</v>
      </c>
      <c r="AE54" s="160">
        <v>46157</v>
      </c>
    </row>
    <row r="55" spans="2:31" x14ac:dyDescent="0.15">
      <c r="B55" s="34"/>
      <c r="C55" s="25"/>
      <c r="D55" s="19"/>
      <c r="E55" s="49">
        <f t="shared" si="27"/>
        <v>0</v>
      </c>
      <c r="F55" s="31"/>
      <c r="G55" s="7"/>
      <c r="H55" s="57">
        <f t="shared" si="28"/>
        <v>0</v>
      </c>
      <c r="I55" s="25"/>
      <c r="J55" s="19"/>
      <c r="K55" s="49">
        <f t="shared" si="29"/>
        <v>0</v>
      </c>
      <c r="L55" s="31"/>
      <c r="M55" s="7"/>
      <c r="N55" s="57">
        <f t="shared" si="30"/>
        <v>0</v>
      </c>
      <c r="O55" s="38">
        <f t="shared" si="35"/>
        <v>0</v>
      </c>
      <c r="P55" s="35"/>
      <c r="Q55" s="34" t="s">
        <v>224</v>
      </c>
      <c r="R55" s="25">
        <v>1</v>
      </c>
      <c r="S55" s="19">
        <v>1</v>
      </c>
      <c r="T55" s="49">
        <f t="shared" si="31"/>
        <v>2</v>
      </c>
      <c r="U55" s="31"/>
      <c r="V55" s="7"/>
      <c r="W55" s="57">
        <f t="shared" si="32"/>
        <v>0</v>
      </c>
      <c r="X55" s="25">
        <v>1</v>
      </c>
      <c r="Y55" s="19">
        <v>1</v>
      </c>
      <c r="Z55" s="49">
        <f t="shared" si="33"/>
        <v>2</v>
      </c>
      <c r="AA55" s="31"/>
      <c r="AB55" s="7"/>
      <c r="AC55" s="57">
        <f t="shared" si="34"/>
        <v>0</v>
      </c>
      <c r="AD55" s="38">
        <f t="shared" si="36"/>
        <v>4</v>
      </c>
      <c r="AE55" s="160">
        <v>46158</v>
      </c>
    </row>
    <row r="56" spans="2:31" x14ac:dyDescent="0.15">
      <c r="B56" s="34"/>
      <c r="C56" s="25"/>
      <c r="D56" s="19"/>
      <c r="E56" s="49">
        <f t="shared" si="27"/>
        <v>0</v>
      </c>
      <c r="F56" s="31"/>
      <c r="G56" s="7"/>
      <c r="H56" s="57">
        <f t="shared" si="28"/>
        <v>0</v>
      </c>
      <c r="I56" s="25"/>
      <c r="J56" s="19"/>
      <c r="K56" s="49">
        <f t="shared" si="29"/>
        <v>0</v>
      </c>
      <c r="L56" s="31"/>
      <c r="M56" s="7"/>
      <c r="N56" s="57">
        <f t="shared" si="30"/>
        <v>0</v>
      </c>
      <c r="O56" s="38">
        <f t="shared" si="35"/>
        <v>0</v>
      </c>
      <c r="P56" s="35"/>
      <c r="Q56" s="34" t="s">
        <v>224</v>
      </c>
      <c r="R56" s="25">
        <v>5</v>
      </c>
      <c r="S56" s="19">
        <v>1</v>
      </c>
      <c r="T56" s="49">
        <f t="shared" si="31"/>
        <v>6</v>
      </c>
      <c r="U56" s="31"/>
      <c r="V56" s="7"/>
      <c r="W56" s="57">
        <f t="shared" si="32"/>
        <v>0</v>
      </c>
      <c r="X56" s="25">
        <v>5</v>
      </c>
      <c r="Y56" s="19">
        <v>1</v>
      </c>
      <c r="Z56" s="49">
        <f t="shared" si="33"/>
        <v>6</v>
      </c>
      <c r="AA56" s="31"/>
      <c r="AB56" s="7"/>
      <c r="AC56" s="57">
        <f t="shared" si="34"/>
        <v>0</v>
      </c>
      <c r="AD56" s="38">
        <f t="shared" si="36"/>
        <v>12</v>
      </c>
      <c r="AE56" s="160">
        <v>46160</v>
      </c>
    </row>
    <row r="57" spans="2:31" x14ac:dyDescent="0.15">
      <c r="B57" s="34"/>
      <c r="C57" s="25"/>
      <c r="D57" s="19"/>
      <c r="E57" s="49">
        <f t="shared" si="27"/>
        <v>0</v>
      </c>
      <c r="F57" s="31"/>
      <c r="G57" s="7"/>
      <c r="H57" s="57">
        <f t="shared" si="28"/>
        <v>0</v>
      </c>
      <c r="I57" s="25"/>
      <c r="J57" s="19"/>
      <c r="K57" s="49">
        <f t="shared" si="29"/>
        <v>0</v>
      </c>
      <c r="L57" s="31"/>
      <c r="M57" s="7"/>
      <c r="N57" s="57">
        <f t="shared" si="30"/>
        <v>0</v>
      </c>
      <c r="O57" s="38">
        <f t="shared" si="35"/>
        <v>0</v>
      </c>
      <c r="P57" s="35"/>
      <c r="Q57" s="6" t="s">
        <v>226</v>
      </c>
      <c r="R57" s="25"/>
      <c r="S57" s="19"/>
      <c r="T57" s="49">
        <f t="shared" si="31"/>
        <v>0</v>
      </c>
      <c r="U57" s="31"/>
      <c r="V57" s="7">
        <v>5</v>
      </c>
      <c r="W57" s="57">
        <f t="shared" si="32"/>
        <v>5</v>
      </c>
      <c r="X57" s="25"/>
      <c r="Y57" s="19"/>
      <c r="Z57" s="49">
        <f t="shared" si="33"/>
        <v>0</v>
      </c>
      <c r="AA57" s="31"/>
      <c r="AB57" s="7">
        <v>5</v>
      </c>
      <c r="AC57" s="57">
        <f t="shared" si="34"/>
        <v>5</v>
      </c>
      <c r="AD57" s="38">
        <f t="shared" si="36"/>
        <v>10</v>
      </c>
      <c r="AE57" s="160">
        <v>46158</v>
      </c>
    </row>
    <row r="58" spans="2:31" x14ac:dyDescent="0.15">
      <c r="B58" s="6"/>
      <c r="C58" s="25"/>
      <c r="D58" s="19"/>
      <c r="E58" s="49">
        <f t="shared" si="27"/>
        <v>0</v>
      </c>
      <c r="F58" s="31"/>
      <c r="G58" s="7"/>
      <c r="H58" s="57">
        <f t="shared" si="28"/>
        <v>0</v>
      </c>
      <c r="I58" s="25"/>
      <c r="J58" s="19"/>
      <c r="K58" s="49">
        <f t="shared" si="29"/>
        <v>0</v>
      </c>
      <c r="L58" s="31"/>
      <c r="M58" s="7"/>
      <c r="N58" s="57">
        <f t="shared" si="30"/>
        <v>0</v>
      </c>
      <c r="O58" s="38">
        <f t="shared" si="35"/>
        <v>0</v>
      </c>
      <c r="P58" s="35"/>
      <c r="Q58" s="6" t="s">
        <v>227</v>
      </c>
      <c r="R58" s="25"/>
      <c r="S58" s="19"/>
      <c r="T58" s="49">
        <f t="shared" si="31"/>
        <v>0</v>
      </c>
      <c r="U58" s="31"/>
      <c r="V58" s="7"/>
      <c r="W58" s="57">
        <f t="shared" si="32"/>
        <v>0</v>
      </c>
      <c r="X58" s="25">
        <v>5</v>
      </c>
      <c r="Y58" s="19"/>
      <c r="Z58" s="49">
        <f t="shared" si="33"/>
        <v>5</v>
      </c>
      <c r="AA58" s="31"/>
      <c r="AB58" s="7"/>
      <c r="AC58" s="57">
        <f t="shared" si="34"/>
        <v>0</v>
      </c>
      <c r="AD58" s="38">
        <f t="shared" si="36"/>
        <v>5</v>
      </c>
      <c r="AE58" s="160">
        <v>46158</v>
      </c>
    </row>
    <row r="59" spans="2:31" x14ac:dyDescent="0.15">
      <c r="B59" s="6"/>
      <c r="C59" s="25"/>
      <c r="D59" s="19"/>
      <c r="E59" s="49">
        <f t="shared" si="27"/>
        <v>0</v>
      </c>
      <c r="F59" s="31"/>
      <c r="G59" s="7"/>
      <c r="H59" s="57">
        <f t="shared" si="28"/>
        <v>0</v>
      </c>
      <c r="I59" s="25"/>
      <c r="J59" s="19"/>
      <c r="K59" s="49">
        <f t="shared" si="29"/>
        <v>0</v>
      </c>
      <c r="L59" s="31"/>
      <c r="M59" s="7"/>
      <c r="N59" s="57">
        <f t="shared" si="30"/>
        <v>0</v>
      </c>
      <c r="O59" s="38">
        <f t="shared" si="35"/>
        <v>0</v>
      </c>
      <c r="P59" s="35"/>
      <c r="Q59" s="34" t="s">
        <v>230</v>
      </c>
      <c r="R59" s="25">
        <v>1</v>
      </c>
      <c r="S59" s="19">
        <v>2</v>
      </c>
      <c r="T59" s="49">
        <f t="shared" si="31"/>
        <v>3</v>
      </c>
      <c r="U59" s="31"/>
      <c r="V59" s="7"/>
      <c r="W59" s="57">
        <f t="shared" si="32"/>
        <v>0</v>
      </c>
      <c r="X59" s="25">
        <v>1</v>
      </c>
      <c r="Y59" s="19">
        <v>2</v>
      </c>
      <c r="Z59" s="49">
        <f t="shared" si="33"/>
        <v>3</v>
      </c>
      <c r="AA59" s="31"/>
      <c r="AB59" s="7"/>
      <c r="AC59" s="57">
        <f t="shared" si="34"/>
        <v>0</v>
      </c>
      <c r="AD59" s="38">
        <f t="shared" si="36"/>
        <v>6</v>
      </c>
      <c r="AE59" s="160">
        <v>46162</v>
      </c>
    </row>
    <row r="60" spans="2:31" x14ac:dyDescent="0.15">
      <c r="B60" s="6"/>
      <c r="C60" s="25"/>
      <c r="D60" s="19"/>
      <c r="E60" s="49">
        <f t="shared" si="27"/>
        <v>0</v>
      </c>
      <c r="F60" s="31"/>
      <c r="G60" s="7"/>
      <c r="H60" s="57">
        <f t="shared" si="28"/>
        <v>0</v>
      </c>
      <c r="I60" s="25"/>
      <c r="J60" s="19"/>
      <c r="K60" s="49">
        <f t="shared" si="29"/>
        <v>0</v>
      </c>
      <c r="L60" s="31"/>
      <c r="M60" s="7"/>
      <c r="N60" s="57">
        <f t="shared" si="30"/>
        <v>0</v>
      </c>
      <c r="O60" s="38">
        <f t="shared" si="35"/>
        <v>0</v>
      </c>
      <c r="P60" s="35"/>
      <c r="Q60" s="6" t="s">
        <v>229</v>
      </c>
      <c r="R60" s="25"/>
      <c r="S60" s="19"/>
      <c r="T60" s="49">
        <f t="shared" si="31"/>
        <v>0</v>
      </c>
      <c r="U60" s="31"/>
      <c r="V60" s="7"/>
      <c r="W60" s="57">
        <f t="shared" si="32"/>
        <v>0</v>
      </c>
      <c r="X60" s="25">
        <v>10</v>
      </c>
      <c r="Y60" s="19"/>
      <c r="Z60" s="49">
        <f t="shared" si="33"/>
        <v>10</v>
      </c>
      <c r="AA60" s="31"/>
      <c r="AB60" s="7"/>
      <c r="AC60" s="57">
        <f t="shared" si="34"/>
        <v>0</v>
      </c>
      <c r="AD60" s="38">
        <f t="shared" si="36"/>
        <v>10</v>
      </c>
      <c r="AE60" s="160">
        <v>46162</v>
      </c>
    </row>
    <row r="61" spans="2:31" x14ac:dyDescent="0.15">
      <c r="B61" s="6"/>
      <c r="C61" s="25"/>
      <c r="D61" s="19"/>
      <c r="E61" s="49">
        <f t="shared" si="27"/>
        <v>0</v>
      </c>
      <c r="F61" s="31"/>
      <c r="G61" s="7"/>
      <c r="H61" s="57">
        <f t="shared" si="28"/>
        <v>0</v>
      </c>
      <c r="I61" s="25"/>
      <c r="J61" s="19"/>
      <c r="K61" s="49">
        <f t="shared" si="29"/>
        <v>0</v>
      </c>
      <c r="L61" s="31"/>
      <c r="M61" s="7"/>
      <c r="N61" s="57">
        <f t="shared" si="30"/>
        <v>0</v>
      </c>
      <c r="O61" s="38">
        <f t="shared" si="35"/>
        <v>0</v>
      </c>
      <c r="P61" s="35"/>
      <c r="Q61" s="34" t="s">
        <v>111</v>
      </c>
      <c r="R61" s="25">
        <v>7</v>
      </c>
      <c r="S61" s="19">
        <v>6</v>
      </c>
      <c r="T61" s="49">
        <f t="shared" si="31"/>
        <v>13</v>
      </c>
      <c r="U61" s="31"/>
      <c r="V61" s="7"/>
      <c r="W61" s="57">
        <f t="shared" si="32"/>
        <v>0</v>
      </c>
      <c r="X61" s="25">
        <v>7</v>
      </c>
      <c r="Y61" s="19">
        <v>6</v>
      </c>
      <c r="Z61" s="49">
        <f t="shared" si="33"/>
        <v>13</v>
      </c>
      <c r="AA61" s="31"/>
      <c r="AB61" s="7"/>
      <c r="AC61" s="57">
        <f t="shared" si="34"/>
        <v>0</v>
      </c>
      <c r="AD61" s="38">
        <f t="shared" si="36"/>
        <v>26</v>
      </c>
      <c r="AE61" s="160">
        <v>46163</v>
      </c>
    </row>
    <row r="62" spans="2:31" x14ac:dyDescent="0.15">
      <c r="B62" s="6"/>
      <c r="C62" s="25"/>
      <c r="D62" s="19"/>
      <c r="E62" s="49">
        <f t="shared" si="27"/>
        <v>0</v>
      </c>
      <c r="F62" s="31"/>
      <c r="G62" s="7"/>
      <c r="H62" s="57">
        <f t="shared" si="28"/>
        <v>0</v>
      </c>
      <c r="I62" s="25"/>
      <c r="J62" s="19"/>
      <c r="K62" s="49">
        <f t="shared" si="29"/>
        <v>0</v>
      </c>
      <c r="L62" s="31"/>
      <c r="M62" s="7"/>
      <c r="N62" s="57">
        <f t="shared" si="30"/>
        <v>0</v>
      </c>
      <c r="O62" s="38">
        <f t="shared" si="35"/>
        <v>0</v>
      </c>
      <c r="P62" s="35"/>
      <c r="Q62" s="34" t="s">
        <v>111</v>
      </c>
      <c r="R62" s="25">
        <v>2</v>
      </c>
      <c r="S62" s="19">
        <v>2</v>
      </c>
      <c r="T62" s="49">
        <f t="shared" si="31"/>
        <v>4</v>
      </c>
      <c r="U62" s="31"/>
      <c r="V62" s="7"/>
      <c r="W62" s="57">
        <f t="shared" si="32"/>
        <v>0</v>
      </c>
      <c r="X62" s="25">
        <v>2</v>
      </c>
      <c r="Y62" s="19">
        <v>2</v>
      </c>
      <c r="Z62" s="49">
        <f t="shared" si="33"/>
        <v>4</v>
      </c>
      <c r="AA62" s="31"/>
      <c r="AB62" s="7"/>
      <c r="AC62" s="57">
        <f t="shared" si="34"/>
        <v>0</v>
      </c>
      <c r="AD62" s="38">
        <f t="shared" si="36"/>
        <v>8</v>
      </c>
      <c r="AE62" s="160">
        <v>46164</v>
      </c>
    </row>
    <row r="63" spans="2:31" x14ac:dyDescent="0.15">
      <c r="B63" s="6"/>
      <c r="C63" s="25"/>
      <c r="D63" s="19"/>
      <c r="E63" s="49">
        <f t="shared" si="27"/>
        <v>0</v>
      </c>
      <c r="F63" s="31"/>
      <c r="G63" s="7"/>
      <c r="H63" s="57">
        <f t="shared" si="28"/>
        <v>0</v>
      </c>
      <c r="I63" s="25"/>
      <c r="J63" s="19"/>
      <c r="K63" s="49">
        <f t="shared" si="29"/>
        <v>0</v>
      </c>
      <c r="L63" s="31"/>
      <c r="M63" s="7"/>
      <c r="N63" s="57">
        <f t="shared" si="30"/>
        <v>0</v>
      </c>
      <c r="O63" s="38">
        <f t="shared" si="35"/>
        <v>0</v>
      </c>
      <c r="P63" s="35"/>
      <c r="Q63" s="34" t="s">
        <v>111</v>
      </c>
      <c r="R63" s="25">
        <v>5</v>
      </c>
      <c r="S63" s="19">
        <v>11</v>
      </c>
      <c r="T63" s="49">
        <f t="shared" si="31"/>
        <v>16</v>
      </c>
      <c r="U63" s="31"/>
      <c r="V63" s="7"/>
      <c r="W63" s="57">
        <f t="shared" si="32"/>
        <v>0</v>
      </c>
      <c r="X63" s="25">
        <v>5</v>
      </c>
      <c r="Y63" s="19">
        <v>11</v>
      </c>
      <c r="Z63" s="49">
        <f t="shared" si="33"/>
        <v>16</v>
      </c>
      <c r="AA63" s="31"/>
      <c r="AB63" s="7"/>
      <c r="AC63" s="57">
        <f t="shared" si="34"/>
        <v>0</v>
      </c>
      <c r="AD63" s="38">
        <f t="shared" si="36"/>
        <v>32</v>
      </c>
      <c r="AE63" s="160">
        <v>46165</v>
      </c>
    </row>
    <row r="64" spans="2:31" x14ac:dyDescent="0.15">
      <c r="B64" s="6"/>
      <c r="C64" s="25"/>
      <c r="D64" s="19"/>
      <c r="E64" s="49">
        <f t="shared" si="27"/>
        <v>0</v>
      </c>
      <c r="F64" s="31"/>
      <c r="G64" s="7"/>
      <c r="H64" s="57">
        <f t="shared" si="28"/>
        <v>0</v>
      </c>
      <c r="I64" s="25"/>
      <c r="J64" s="19"/>
      <c r="K64" s="49">
        <f t="shared" si="29"/>
        <v>0</v>
      </c>
      <c r="L64" s="31"/>
      <c r="M64" s="7"/>
      <c r="N64" s="57">
        <f t="shared" si="30"/>
        <v>0</v>
      </c>
      <c r="O64" s="38">
        <f t="shared" si="35"/>
        <v>0</v>
      </c>
      <c r="P64" s="35"/>
      <c r="Q64" s="34" t="s">
        <v>111</v>
      </c>
      <c r="R64" s="25"/>
      <c r="S64" s="19">
        <v>1</v>
      </c>
      <c r="T64" s="49">
        <f t="shared" si="31"/>
        <v>1</v>
      </c>
      <c r="U64" s="31"/>
      <c r="V64" s="7"/>
      <c r="W64" s="57">
        <f t="shared" si="32"/>
        <v>0</v>
      </c>
      <c r="X64" s="25"/>
      <c r="Y64" s="19">
        <v>1</v>
      </c>
      <c r="Z64" s="49">
        <f t="shared" si="33"/>
        <v>1</v>
      </c>
      <c r="AA64" s="31"/>
      <c r="AB64" s="7"/>
      <c r="AC64" s="57">
        <f t="shared" si="34"/>
        <v>0</v>
      </c>
      <c r="AD64" s="38">
        <f t="shared" si="36"/>
        <v>2</v>
      </c>
      <c r="AE64" s="160">
        <v>46167</v>
      </c>
    </row>
    <row r="65" spans="2:31" x14ac:dyDescent="0.15">
      <c r="B65" s="34"/>
      <c r="C65" s="25"/>
      <c r="D65" s="19"/>
      <c r="E65" s="49">
        <f t="shared" si="27"/>
        <v>0</v>
      </c>
      <c r="F65" s="31"/>
      <c r="G65" s="7"/>
      <c r="H65" s="57">
        <f t="shared" si="28"/>
        <v>0</v>
      </c>
      <c r="I65" s="25"/>
      <c r="J65" s="19"/>
      <c r="K65" s="49">
        <f t="shared" si="29"/>
        <v>0</v>
      </c>
      <c r="L65" s="31"/>
      <c r="M65" s="7"/>
      <c r="N65" s="57">
        <f t="shared" si="30"/>
        <v>0</v>
      </c>
      <c r="O65" s="38">
        <f t="shared" si="35"/>
        <v>0</v>
      </c>
      <c r="P65" s="35"/>
      <c r="Q65" s="6" t="s">
        <v>231</v>
      </c>
      <c r="R65" s="25"/>
      <c r="S65" s="19"/>
      <c r="T65" s="49">
        <f t="shared" si="31"/>
        <v>0</v>
      </c>
      <c r="U65" s="31"/>
      <c r="V65" s="7">
        <v>1</v>
      </c>
      <c r="W65" s="57">
        <f t="shared" si="32"/>
        <v>1</v>
      </c>
      <c r="X65" s="25"/>
      <c r="Y65" s="19"/>
      <c r="Z65" s="49">
        <f t="shared" si="33"/>
        <v>0</v>
      </c>
      <c r="AA65" s="31"/>
      <c r="AB65" s="7">
        <v>1</v>
      </c>
      <c r="AC65" s="57">
        <f t="shared" si="34"/>
        <v>1</v>
      </c>
      <c r="AD65" s="38">
        <f t="shared" si="36"/>
        <v>2</v>
      </c>
      <c r="AE65" s="160">
        <v>46169</v>
      </c>
    </row>
    <row r="66" spans="2:31" x14ac:dyDescent="0.15">
      <c r="B66" s="6"/>
      <c r="C66" s="25"/>
      <c r="D66" s="19"/>
      <c r="E66" s="49">
        <f t="shared" si="27"/>
        <v>0</v>
      </c>
      <c r="F66" s="31"/>
      <c r="G66" s="7"/>
      <c r="H66" s="57">
        <f t="shared" si="28"/>
        <v>0</v>
      </c>
      <c r="I66" s="25"/>
      <c r="J66" s="19"/>
      <c r="K66" s="49">
        <f t="shared" si="29"/>
        <v>0</v>
      </c>
      <c r="L66" s="31"/>
      <c r="M66" s="7"/>
      <c r="N66" s="57">
        <f t="shared" si="30"/>
        <v>0</v>
      </c>
      <c r="O66" s="38">
        <f t="shared" si="35"/>
        <v>0</v>
      </c>
      <c r="P66" s="35"/>
      <c r="Q66" s="6" t="s">
        <v>232</v>
      </c>
      <c r="R66" s="25">
        <v>15</v>
      </c>
      <c r="S66" s="19">
        <v>5</v>
      </c>
      <c r="T66" s="49">
        <f t="shared" si="31"/>
        <v>20</v>
      </c>
      <c r="U66" s="31">
        <v>15</v>
      </c>
      <c r="V66" s="7">
        <v>10</v>
      </c>
      <c r="W66" s="57">
        <f t="shared" si="32"/>
        <v>25</v>
      </c>
      <c r="X66" s="25">
        <v>20</v>
      </c>
      <c r="Y66" s="19">
        <v>20</v>
      </c>
      <c r="Z66" s="49">
        <f t="shared" si="33"/>
        <v>40</v>
      </c>
      <c r="AA66" s="31">
        <v>10</v>
      </c>
      <c r="AB66" s="7">
        <v>10</v>
      </c>
      <c r="AC66" s="57">
        <f t="shared" si="34"/>
        <v>20</v>
      </c>
      <c r="AD66" s="38">
        <f t="shared" si="36"/>
        <v>105</v>
      </c>
      <c r="AE66" s="160">
        <v>46170</v>
      </c>
    </row>
    <row r="67" spans="2:31" x14ac:dyDescent="0.15">
      <c r="B67" s="6"/>
      <c r="C67" s="25"/>
      <c r="D67" s="19"/>
      <c r="E67" s="49">
        <f t="shared" si="27"/>
        <v>0</v>
      </c>
      <c r="F67" s="31"/>
      <c r="G67" s="7"/>
      <c r="H67" s="57">
        <f t="shared" si="28"/>
        <v>0</v>
      </c>
      <c r="I67" s="25"/>
      <c r="J67" s="19"/>
      <c r="K67" s="49">
        <f t="shared" si="29"/>
        <v>0</v>
      </c>
      <c r="L67" s="31"/>
      <c r="M67" s="7"/>
      <c r="N67" s="57">
        <f t="shared" si="30"/>
        <v>0</v>
      </c>
      <c r="O67" s="38">
        <f t="shared" si="35"/>
        <v>0</v>
      </c>
      <c r="P67" s="35"/>
      <c r="Q67" s="34" t="s">
        <v>111</v>
      </c>
      <c r="R67" s="25">
        <v>1</v>
      </c>
      <c r="S67" s="19">
        <v>2</v>
      </c>
      <c r="T67" s="49">
        <f t="shared" si="31"/>
        <v>3</v>
      </c>
      <c r="U67" s="31"/>
      <c r="V67" s="7"/>
      <c r="W67" s="57">
        <f t="shared" si="32"/>
        <v>0</v>
      </c>
      <c r="X67" s="25">
        <v>1</v>
      </c>
      <c r="Y67" s="19">
        <v>2</v>
      </c>
      <c r="Z67" s="49">
        <f t="shared" si="33"/>
        <v>3</v>
      </c>
      <c r="AA67" s="31"/>
      <c r="AB67" s="7"/>
      <c r="AC67" s="57">
        <f t="shared" si="34"/>
        <v>0</v>
      </c>
      <c r="AD67" s="38">
        <f t="shared" si="36"/>
        <v>6</v>
      </c>
      <c r="AE67" s="160">
        <v>46169</v>
      </c>
    </row>
    <row r="68" spans="2:31" x14ac:dyDescent="0.15">
      <c r="B68" s="6"/>
      <c r="C68" s="25"/>
      <c r="D68" s="19"/>
      <c r="E68" s="49">
        <f t="shared" si="27"/>
        <v>0</v>
      </c>
      <c r="F68" s="31"/>
      <c r="G68" s="7"/>
      <c r="H68" s="57">
        <f t="shared" si="28"/>
        <v>0</v>
      </c>
      <c r="I68" s="25"/>
      <c r="J68" s="19"/>
      <c r="K68" s="49">
        <f t="shared" si="29"/>
        <v>0</v>
      </c>
      <c r="L68" s="31"/>
      <c r="M68" s="7"/>
      <c r="N68" s="57">
        <f t="shared" si="30"/>
        <v>0</v>
      </c>
      <c r="O68" s="38">
        <f t="shared" si="35"/>
        <v>0</v>
      </c>
      <c r="P68" s="35"/>
      <c r="Q68" s="34" t="s">
        <v>111</v>
      </c>
      <c r="R68" s="25"/>
      <c r="S68" s="19">
        <v>1</v>
      </c>
      <c r="T68" s="49">
        <f t="shared" si="31"/>
        <v>1</v>
      </c>
      <c r="U68" s="31"/>
      <c r="V68" s="7"/>
      <c r="W68" s="57">
        <f t="shared" si="32"/>
        <v>0</v>
      </c>
      <c r="X68" s="25"/>
      <c r="Y68" s="19">
        <v>1</v>
      </c>
      <c r="Z68" s="49">
        <f t="shared" si="33"/>
        <v>1</v>
      </c>
      <c r="AA68" s="31"/>
      <c r="AB68" s="7"/>
      <c r="AC68" s="57">
        <f t="shared" si="34"/>
        <v>0</v>
      </c>
      <c r="AD68" s="38">
        <f t="shared" si="36"/>
        <v>2</v>
      </c>
      <c r="AE68" s="160">
        <v>46170</v>
      </c>
    </row>
    <row r="69" spans="2:31" x14ac:dyDescent="0.15">
      <c r="B69" s="6"/>
      <c r="C69" s="25"/>
      <c r="D69" s="19"/>
      <c r="E69" s="49">
        <f t="shared" si="27"/>
        <v>0</v>
      </c>
      <c r="F69" s="31"/>
      <c r="G69" s="7"/>
      <c r="H69" s="57">
        <f t="shared" si="28"/>
        <v>0</v>
      </c>
      <c r="I69" s="25"/>
      <c r="J69" s="19"/>
      <c r="K69" s="49">
        <f t="shared" si="29"/>
        <v>0</v>
      </c>
      <c r="L69" s="31"/>
      <c r="M69" s="7"/>
      <c r="N69" s="57">
        <f t="shared" si="30"/>
        <v>0</v>
      </c>
      <c r="O69" s="38">
        <f t="shared" si="35"/>
        <v>0</v>
      </c>
      <c r="P69" s="35"/>
      <c r="Q69" s="34" t="s">
        <v>111</v>
      </c>
      <c r="R69" s="25">
        <v>2</v>
      </c>
      <c r="S69" s="19"/>
      <c r="T69" s="49">
        <f t="shared" si="31"/>
        <v>2</v>
      </c>
      <c r="U69" s="31"/>
      <c r="V69" s="7"/>
      <c r="W69" s="57">
        <f t="shared" si="32"/>
        <v>0</v>
      </c>
      <c r="X69" s="25">
        <v>2</v>
      </c>
      <c r="Y69" s="19"/>
      <c r="Z69" s="49">
        <f t="shared" si="33"/>
        <v>2</v>
      </c>
      <c r="AA69" s="31"/>
      <c r="AB69" s="7"/>
      <c r="AC69" s="57">
        <f t="shared" si="34"/>
        <v>0</v>
      </c>
      <c r="AD69" s="38">
        <f t="shared" si="36"/>
        <v>4</v>
      </c>
      <c r="AE69" s="160">
        <v>46171</v>
      </c>
    </row>
    <row r="70" spans="2:31" x14ac:dyDescent="0.15">
      <c r="B70" s="34"/>
      <c r="C70" s="25"/>
      <c r="D70" s="19"/>
      <c r="E70" s="49">
        <f t="shared" si="27"/>
        <v>0</v>
      </c>
      <c r="F70" s="31"/>
      <c r="G70" s="7"/>
      <c r="H70" s="57">
        <f t="shared" si="28"/>
        <v>0</v>
      </c>
      <c r="I70" s="25"/>
      <c r="J70" s="19"/>
      <c r="K70" s="49">
        <f t="shared" si="29"/>
        <v>0</v>
      </c>
      <c r="L70" s="31"/>
      <c r="M70" s="7"/>
      <c r="N70" s="57">
        <f t="shared" si="30"/>
        <v>0</v>
      </c>
      <c r="O70" s="38">
        <f t="shared" si="35"/>
        <v>0</v>
      </c>
      <c r="P70" s="35"/>
      <c r="Q70" s="34" t="s">
        <v>111</v>
      </c>
      <c r="R70" s="25">
        <v>4</v>
      </c>
      <c r="S70" s="19"/>
      <c r="T70" s="49">
        <f t="shared" si="31"/>
        <v>4</v>
      </c>
      <c r="U70" s="31"/>
      <c r="V70" s="7"/>
      <c r="W70" s="57">
        <f t="shared" si="32"/>
        <v>0</v>
      </c>
      <c r="X70" s="25">
        <v>4</v>
      </c>
      <c r="Y70" s="19"/>
      <c r="Z70" s="49">
        <f t="shared" si="33"/>
        <v>4</v>
      </c>
      <c r="AA70" s="31"/>
      <c r="AB70" s="7"/>
      <c r="AC70" s="57">
        <f t="shared" si="34"/>
        <v>0</v>
      </c>
      <c r="AD70" s="38">
        <f t="shared" si="36"/>
        <v>8</v>
      </c>
      <c r="AE70" s="160">
        <v>46172</v>
      </c>
    </row>
    <row r="71" spans="2:31" x14ac:dyDescent="0.15">
      <c r="B71" s="6"/>
      <c r="C71" s="25"/>
      <c r="D71" s="19"/>
      <c r="E71" s="49">
        <f t="shared" si="27"/>
        <v>0</v>
      </c>
      <c r="F71" s="31"/>
      <c r="G71" s="7"/>
      <c r="H71" s="57">
        <f t="shared" si="28"/>
        <v>0</v>
      </c>
      <c r="I71" s="25"/>
      <c r="J71" s="19"/>
      <c r="K71" s="49">
        <f t="shared" si="29"/>
        <v>0</v>
      </c>
      <c r="L71" s="31"/>
      <c r="M71" s="7"/>
      <c r="N71" s="57">
        <f t="shared" si="30"/>
        <v>0</v>
      </c>
      <c r="O71" s="38">
        <f t="shared" si="35"/>
        <v>0</v>
      </c>
      <c r="P71" s="35"/>
      <c r="Q71" s="6" t="s">
        <v>256</v>
      </c>
      <c r="R71" s="25"/>
      <c r="S71" s="19"/>
      <c r="T71" s="49">
        <f t="shared" si="31"/>
        <v>0</v>
      </c>
      <c r="U71" s="31">
        <v>1</v>
      </c>
      <c r="V71" s="7">
        <v>1</v>
      </c>
      <c r="W71" s="57">
        <f t="shared" si="32"/>
        <v>2</v>
      </c>
      <c r="X71" s="25"/>
      <c r="Y71" s="19"/>
      <c r="Z71" s="49">
        <f t="shared" si="33"/>
        <v>0</v>
      </c>
      <c r="AA71" s="31">
        <v>1</v>
      </c>
      <c r="AB71" s="7">
        <v>1</v>
      </c>
      <c r="AC71" s="57">
        <f t="shared" si="34"/>
        <v>2</v>
      </c>
      <c r="AD71" s="38">
        <f t="shared" si="36"/>
        <v>4</v>
      </c>
      <c r="AE71" s="160">
        <v>46174</v>
      </c>
    </row>
    <row r="72" spans="2:31" x14ac:dyDescent="0.15">
      <c r="B72" s="6"/>
      <c r="C72" s="25"/>
      <c r="D72" s="19"/>
      <c r="E72" s="49">
        <f t="shared" si="27"/>
        <v>0</v>
      </c>
      <c r="F72" s="31"/>
      <c r="G72" s="7"/>
      <c r="H72" s="57">
        <f t="shared" si="28"/>
        <v>0</v>
      </c>
      <c r="I72" s="25"/>
      <c r="J72" s="19"/>
      <c r="K72" s="49">
        <f t="shared" si="29"/>
        <v>0</v>
      </c>
      <c r="L72" s="31"/>
      <c r="M72" s="7"/>
      <c r="N72" s="57">
        <f t="shared" si="30"/>
        <v>0</v>
      </c>
      <c r="O72" s="38">
        <f t="shared" si="35"/>
        <v>0</v>
      </c>
      <c r="P72" s="35"/>
      <c r="Q72" s="6"/>
      <c r="R72" s="25"/>
      <c r="S72" s="19"/>
      <c r="T72" s="49">
        <f t="shared" si="31"/>
        <v>0</v>
      </c>
      <c r="U72" s="31"/>
      <c r="V72" s="7"/>
      <c r="W72" s="57">
        <f t="shared" si="32"/>
        <v>0</v>
      </c>
      <c r="X72" s="25"/>
      <c r="Y72" s="19"/>
      <c r="Z72" s="49">
        <f t="shared" si="33"/>
        <v>0</v>
      </c>
      <c r="AA72" s="31"/>
      <c r="AB72" s="7"/>
      <c r="AC72" s="57">
        <f t="shared" si="34"/>
        <v>0</v>
      </c>
      <c r="AD72" s="38">
        <f t="shared" si="36"/>
        <v>0</v>
      </c>
    </row>
    <row r="73" spans="2:31" x14ac:dyDescent="0.15">
      <c r="B73" s="6"/>
      <c r="C73" s="25"/>
      <c r="D73" s="19"/>
      <c r="E73" s="49">
        <f t="shared" si="27"/>
        <v>0</v>
      </c>
      <c r="F73" s="31"/>
      <c r="G73" s="7"/>
      <c r="H73" s="57">
        <f t="shared" si="28"/>
        <v>0</v>
      </c>
      <c r="I73" s="25"/>
      <c r="J73" s="19"/>
      <c r="K73" s="49">
        <f t="shared" si="29"/>
        <v>0</v>
      </c>
      <c r="L73" s="31"/>
      <c r="M73" s="7"/>
      <c r="N73" s="57">
        <f t="shared" si="30"/>
        <v>0</v>
      </c>
      <c r="O73" s="38">
        <f t="shared" si="35"/>
        <v>0</v>
      </c>
      <c r="P73" s="35"/>
      <c r="Q73" s="6" t="s">
        <v>197</v>
      </c>
      <c r="R73" s="25"/>
      <c r="S73" s="19"/>
      <c r="T73" s="49">
        <f t="shared" si="31"/>
        <v>0</v>
      </c>
      <c r="U73" s="184"/>
      <c r="V73" s="185"/>
      <c r="W73" s="57">
        <f t="shared" si="32"/>
        <v>0</v>
      </c>
      <c r="X73" s="25"/>
      <c r="Y73" s="19"/>
      <c r="Z73" s="49">
        <f t="shared" si="33"/>
        <v>0</v>
      </c>
      <c r="AA73" s="184"/>
      <c r="AB73" s="185"/>
      <c r="AC73" s="57">
        <f t="shared" si="34"/>
        <v>0</v>
      </c>
      <c r="AD73" s="38">
        <f t="shared" si="36"/>
        <v>0</v>
      </c>
      <c r="AE73" t="s">
        <v>180</v>
      </c>
    </row>
    <row r="74" spans="2:31" x14ac:dyDescent="0.15">
      <c r="B74" s="6"/>
      <c r="C74" s="25"/>
      <c r="D74" s="19"/>
      <c r="E74" s="49">
        <f t="shared" si="27"/>
        <v>0</v>
      </c>
      <c r="F74" s="31"/>
      <c r="G74" s="7"/>
      <c r="H74" s="57">
        <f t="shared" si="28"/>
        <v>0</v>
      </c>
      <c r="I74" s="25"/>
      <c r="J74" s="19"/>
      <c r="K74" s="49">
        <f t="shared" si="29"/>
        <v>0</v>
      </c>
      <c r="L74" s="31"/>
      <c r="M74" s="7"/>
      <c r="N74" s="57">
        <f t="shared" si="30"/>
        <v>0</v>
      </c>
      <c r="O74" s="38">
        <f t="shared" si="35"/>
        <v>0</v>
      </c>
      <c r="P74" s="35"/>
      <c r="Q74" s="6" t="s">
        <v>212</v>
      </c>
      <c r="R74" s="25"/>
      <c r="S74" s="19"/>
      <c r="T74" s="49">
        <f t="shared" ref="T74:T75" si="47">SUM(R74:S74)</f>
        <v>0</v>
      </c>
      <c r="U74" s="184"/>
      <c r="V74" s="185"/>
      <c r="W74" s="57">
        <f t="shared" ref="W74:W75" si="48">SUM(U74:V74)</f>
        <v>0</v>
      </c>
      <c r="X74" s="25"/>
      <c r="Y74" s="19"/>
      <c r="Z74" s="49">
        <f t="shared" ref="Z74:Z75" si="49">SUM(X74:Y74)</f>
        <v>0</v>
      </c>
      <c r="AA74" s="184"/>
      <c r="AB74" s="185"/>
      <c r="AC74" s="57">
        <f t="shared" ref="AC74" si="50">SUM(AA74:AB74)</f>
        <v>0</v>
      </c>
      <c r="AD74" s="38">
        <f t="shared" ref="AD74" si="51">T74+W74+Z74+AC74</f>
        <v>0</v>
      </c>
      <c r="AE74" t="s">
        <v>213</v>
      </c>
    </row>
    <row r="75" spans="2:31" x14ac:dyDescent="0.15">
      <c r="B75" s="6"/>
      <c r="C75" s="25"/>
      <c r="D75" s="19"/>
      <c r="E75" s="49">
        <f t="shared" si="27"/>
        <v>0</v>
      </c>
      <c r="F75" s="31"/>
      <c r="G75" s="7"/>
      <c r="H75" s="57">
        <f t="shared" si="28"/>
        <v>0</v>
      </c>
      <c r="I75" s="25"/>
      <c r="J75" s="19"/>
      <c r="K75" s="49">
        <f t="shared" si="29"/>
        <v>0</v>
      </c>
      <c r="L75" s="31"/>
      <c r="M75" s="7"/>
      <c r="N75" s="57">
        <f t="shared" si="30"/>
        <v>0</v>
      </c>
      <c r="O75" s="38">
        <f t="shared" si="35"/>
        <v>0</v>
      </c>
      <c r="P75" s="35"/>
      <c r="Q75" s="170" t="s">
        <v>169</v>
      </c>
      <c r="R75" s="137"/>
      <c r="S75" s="138"/>
      <c r="T75" s="136">
        <f t="shared" si="47"/>
        <v>0</v>
      </c>
      <c r="U75" s="137"/>
      <c r="V75" s="138"/>
      <c r="W75" s="139">
        <f t="shared" si="48"/>
        <v>0</v>
      </c>
      <c r="X75" s="137"/>
      <c r="Y75" s="175"/>
      <c r="Z75" s="178">
        <f t="shared" si="49"/>
        <v>0</v>
      </c>
      <c r="AA75" s="174"/>
      <c r="AB75" s="175"/>
      <c r="AC75" s="134">
        <f t="shared" ref="AC75:AC76" si="52">SUM(AA75:AB75)</f>
        <v>0</v>
      </c>
      <c r="AD75" s="135">
        <f t="shared" ref="AD75:AD76" si="53">T75+W75+Z75+AC75</f>
        <v>0</v>
      </c>
    </row>
    <row r="76" spans="2:31" ht="14.25" thickBot="1" x14ac:dyDescent="0.2">
      <c r="B76" s="6"/>
      <c r="C76" s="29"/>
      <c r="D76" s="20"/>
      <c r="E76" s="50">
        <f t="shared" si="27"/>
        <v>0</v>
      </c>
      <c r="F76" s="32"/>
      <c r="G76" s="5"/>
      <c r="H76" s="58">
        <f t="shared" si="28"/>
        <v>0</v>
      </c>
      <c r="I76" s="29"/>
      <c r="J76" s="20"/>
      <c r="K76" s="50">
        <f t="shared" si="29"/>
        <v>0</v>
      </c>
      <c r="L76" s="32"/>
      <c r="M76" s="5"/>
      <c r="N76" s="58">
        <f t="shared" si="30"/>
        <v>0</v>
      </c>
      <c r="O76" s="39">
        <f t="shared" si="35"/>
        <v>0</v>
      </c>
      <c r="P76" s="35"/>
      <c r="Q76" s="6" t="s">
        <v>166</v>
      </c>
      <c r="R76" s="25"/>
      <c r="S76" s="19"/>
      <c r="T76" s="183">
        <f t="shared" ref="T76" si="54">SUM(R76:S76)</f>
        <v>0</v>
      </c>
      <c r="U76" s="25"/>
      <c r="V76" s="19"/>
      <c r="W76" s="94">
        <f t="shared" ref="W76" si="55">SUM(U76:V76)</f>
        <v>0</v>
      </c>
      <c r="X76" s="25"/>
      <c r="Y76" s="5"/>
      <c r="Z76" s="50">
        <f t="shared" ref="Z76" si="56">SUM(X76:Y76)</f>
        <v>0</v>
      </c>
      <c r="AA76" s="32"/>
      <c r="AB76" s="5"/>
      <c r="AC76" s="58">
        <f t="shared" si="52"/>
        <v>0</v>
      </c>
      <c r="AD76" s="39">
        <f t="shared" si="53"/>
        <v>0</v>
      </c>
      <c r="AE76" t="s">
        <v>179</v>
      </c>
    </row>
    <row r="77" spans="2:31" ht="14.25" thickBot="1" x14ac:dyDescent="0.2">
      <c r="B77" s="4" t="s">
        <v>1</v>
      </c>
      <c r="C77" s="27">
        <f>SUM(C52:C76)</f>
        <v>0</v>
      </c>
      <c r="D77" s="21">
        <f>SUM(D52:D76)</f>
        <v>0</v>
      </c>
      <c r="E77" s="51">
        <f t="shared" si="27"/>
        <v>0</v>
      </c>
      <c r="F77" s="27">
        <f>SUM(F52:F76)</f>
        <v>1</v>
      </c>
      <c r="G77" s="21">
        <f>SUM(G52:G76)</f>
        <v>2</v>
      </c>
      <c r="H77" s="59">
        <f t="shared" si="28"/>
        <v>3</v>
      </c>
      <c r="I77" s="27">
        <f>SUM(I52:I76)</f>
        <v>0</v>
      </c>
      <c r="J77" s="21">
        <f>SUM(J52:J76)</f>
        <v>0</v>
      </c>
      <c r="K77" s="51">
        <f t="shared" si="29"/>
        <v>0</v>
      </c>
      <c r="L77" s="27">
        <f>SUM(L52:L76)</f>
        <v>1</v>
      </c>
      <c r="M77" s="21">
        <f>SUM(M52:M76)</f>
        <v>2</v>
      </c>
      <c r="N77" s="59">
        <f t="shared" si="30"/>
        <v>3</v>
      </c>
      <c r="O77" s="40">
        <f t="shared" si="35"/>
        <v>6</v>
      </c>
      <c r="P77" s="35"/>
      <c r="Q77" s="4" t="s">
        <v>1</v>
      </c>
      <c r="R77" s="27">
        <f>SUM(R52:R76)</f>
        <v>49</v>
      </c>
      <c r="S77" s="21">
        <f>SUM(S52:S76)</f>
        <v>60</v>
      </c>
      <c r="T77" s="51">
        <f t="shared" si="31"/>
        <v>109</v>
      </c>
      <c r="U77" s="27">
        <f>SUM(U52:U76)</f>
        <v>16</v>
      </c>
      <c r="V77" s="21">
        <f>SUM(V52:V76)</f>
        <v>17</v>
      </c>
      <c r="W77" s="59">
        <f t="shared" si="32"/>
        <v>33</v>
      </c>
      <c r="X77" s="27">
        <f>SUM(X52:X76)</f>
        <v>89</v>
      </c>
      <c r="Y77" s="21">
        <f>SUM(Y52:Y76)</f>
        <v>90</v>
      </c>
      <c r="Z77" s="51">
        <f t="shared" si="33"/>
        <v>179</v>
      </c>
      <c r="AA77" s="27">
        <f>SUM(AA52:AA76)</f>
        <v>31</v>
      </c>
      <c r="AB77" s="21">
        <f>SUM(AB52:AB76)</f>
        <v>17</v>
      </c>
      <c r="AC77" s="59">
        <f t="shared" si="34"/>
        <v>48</v>
      </c>
      <c r="AD77" s="40">
        <f t="shared" si="36"/>
        <v>369</v>
      </c>
    </row>
    <row r="78" spans="2:31" ht="14.25" thickBot="1" x14ac:dyDescent="0.2">
      <c r="B78" s="3" t="s">
        <v>0</v>
      </c>
      <c r="C78" s="30">
        <f>C51-C77</f>
        <v>0</v>
      </c>
      <c r="D78" s="30">
        <f>D51-D77</f>
        <v>0</v>
      </c>
      <c r="E78" s="52">
        <f t="shared" si="27"/>
        <v>0</v>
      </c>
      <c r="F78" s="30">
        <f>F51-F77</f>
        <v>1</v>
      </c>
      <c r="G78" s="30">
        <f>G51-G77</f>
        <v>1</v>
      </c>
      <c r="H78" s="60">
        <f t="shared" si="28"/>
        <v>2</v>
      </c>
      <c r="I78" s="30">
        <f>I51-I77</f>
        <v>0</v>
      </c>
      <c r="J78" s="30">
        <f>J51-J77</f>
        <v>0</v>
      </c>
      <c r="K78" s="52">
        <f t="shared" si="29"/>
        <v>0</v>
      </c>
      <c r="L78" s="30">
        <f>L51-L77</f>
        <v>1</v>
      </c>
      <c r="M78" s="30">
        <f>M51-M77</f>
        <v>1</v>
      </c>
      <c r="N78" s="60">
        <f t="shared" si="30"/>
        <v>2</v>
      </c>
      <c r="O78" s="41">
        <f t="shared" si="35"/>
        <v>4</v>
      </c>
      <c r="Q78" s="3" t="s">
        <v>0</v>
      </c>
      <c r="R78" s="30">
        <f>+R51-R77</f>
        <v>245</v>
      </c>
      <c r="S78" s="2">
        <f>+S51-S77</f>
        <v>250</v>
      </c>
      <c r="T78" s="52">
        <f t="shared" si="31"/>
        <v>495</v>
      </c>
      <c r="U78" s="30">
        <f>+U51-U77</f>
        <v>162</v>
      </c>
      <c r="V78" s="2">
        <f>+V51-V77</f>
        <v>170</v>
      </c>
      <c r="W78" s="60">
        <f t="shared" si="32"/>
        <v>332</v>
      </c>
      <c r="X78" s="30">
        <f>+X51-X77</f>
        <v>180</v>
      </c>
      <c r="Y78" s="2">
        <f>+Y51-Y77</f>
        <v>179</v>
      </c>
      <c r="Z78" s="52">
        <f t="shared" si="33"/>
        <v>359</v>
      </c>
      <c r="AA78" s="30">
        <f>+AA51-AA77</f>
        <v>113</v>
      </c>
      <c r="AB78" s="2">
        <f>+AB51-AB77</f>
        <v>125</v>
      </c>
      <c r="AC78" s="60">
        <f t="shared" si="34"/>
        <v>238</v>
      </c>
      <c r="AD78" s="41">
        <f t="shared" si="36"/>
        <v>1424</v>
      </c>
      <c r="AE78" s="140" t="s">
        <v>178</v>
      </c>
    </row>
    <row r="81" spans="2:31" ht="18.75" x14ac:dyDescent="0.2">
      <c r="B81" s="101" t="s">
        <v>11</v>
      </c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Q81" s="107" t="s">
        <v>158</v>
      </c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</row>
    <row r="82" spans="2:31" ht="18" thickBot="1" x14ac:dyDescent="0.25">
      <c r="B82" s="103" t="s">
        <v>156</v>
      </c>
      <c r="C82" s="102"/>
      <c r="D82" s="102"/>
      <c r="E82" s="102"/>
      <c r="F82" s="102"/>
      <c r="G82" s="102"/>
      <c r="H82" s="102"/>
      <c r="I82" s="102"/>
      <c r="J82" s="102" t="s">
        <v>157</v>
      </c>
      <c r="K82" s="102"/>
      <c r="L82" s="102"/>
      <c r="M82" s="102"/>
      <c r="N82" s="102"/>
      <c r="O82" s="102"/>
      <c r="Q82" s="109" t="s">
        <v>156</v>
      </c>
      <c r="R82" s="108"/>
      <c r="S82" s="108"/>
      <c r="T82" s="108"/>
      <c r="U82" s="108"/>
      <c r="V82" s="108"/>
      <c r="W82" s="108"/>
      <c r="X82" s="108"/>
      <c r="Y82" s="108" t="s">
        <v>157</v>
      </c>
      <c r="Z82" s="108"/>
      <c r="AA82" s="108"/>
      <c r="AB82" s="108"/>
      <c r="AC82" s="108"/>
      <c r="AD82" s="108"/>
    </row>
    <row r="83" spans="2:31" ht="14.25" thickBot="1" x14ac:dyDescent="0.2">
      <c r="B83" s="14"/>
      <c r="C83" s="206" t="s">
        <v>9</v>
      </c>
      <c r="D83" s="207"/>
      <c r="E83" s="208"/>
      <c r="F83" s="209" t="s">
        <v>154</v>
      </c>
      <c r="G83" s="210"/>
      <c r="H83" s="211"/>
      <c r="I83" s="212" t="s">
        <v>10</v>
      </c>
      <c r="J83" s="213"/>
      <c r="K83" s="214"/>
      <c r="L83" s="215" t="s">
        <v>164</v>
      </c>
      <c r="M83" s="216"/>
      <c r="N83" s="216"/>
      <c r="O83" s="217" t="s">
        <v>8</v>
      </c>
      <c r="Q83" s="14"/>
      <c r="R83" s="206" t="s">
        <v>9</v>
      </c>
      <c r="S83" s="207"/>
      <c r="T83" s="208"/>
      <c r="U83" s="209" t="s">
        <v>154</v>
      </c>
      <c r="V83" s="210"/>
      <c r="W83" s="211"/>
      <c r="X83" s="212" t="s">
        <v>10</v>
      </c>
      <c r="Y83" s="213"/>
      <c r="Z83" s="214"/>
      <c r="AA83" s="215" t="s">
        <v>164</v>
      </c>
      <c r="AB83" s="216"/>
      <c r="AC83" s="216"/>
      <c r="AD83" s="217" t="s">
        <v>8</v>
      </c>
    </row>
    <row r="84" spans="2:31" ht="14.25" thickBot="1" x14ac:dyDescent="0.2">
      <c r="B84" s="4"/>
      <c r="C84" s="62" t="s">
        <v>6</v>
      </c>
      <c r="D84" s="61" t="s">
        <v>5</v>
      </c>
      <c r="E84" s="63" t="s">
        <v>4</v>
      </c>
      <c r="F84" s="62" t="s">
        <v>6</v>
      </c>
      <c r="G84" s="61" t="s">
        <v>5</v>
      </c>
      <c r="H84" s="63" t="s">
        <v>4</v>
      </c>
      <c r="I84" s="62" t="s">
        <v>6</v>
      </c>
      <c r="J84" s="61" t="s">
        <v>5</v>
      </c>
      <c r="K84" s="63" t="s">
        <v>4</v>
      </c>
      <c r="L84" s="62" t="s">
        <v>6</v>
      </c>
      <c r="M84" s="61" t="s">
        <v>5</v>
      </c>
      <c r="N84" s="63" t="s">
        <v>4</v>
      </c>
      <c r="O84" s="218"/>
      <c r="Q84" s="4"/>
      <c r="R84" s="62" t="s">
        <v>6</v>
      </c>
      <c r="S84" s="61" t="s">
        <v>5</v>
      </c>
      <c r="T84" s="63" t="s">
        <v>4</v>
      </c>
      <c r="U84" s="62" t="s">
        <v>6</v>
      </c>
      <c r="V84" s="61" t="s">
        <v>5</v>
      </c>
      <c r="W84" s="63" t="s">
        <v>4</v>
      </c>
      <c r="X84" s="62" t="s">
        <v>6</v>
      </c>
      <c r="Y84" s="61" t="s">
        <v>5</v>
      </c>
      <c r="Z84" s="63" t="s">
        <v>4</v>
      </c>
      <c r="AA84" s="62" t="s">
        <v>6</v>
      </c>
      <c r="AB84" s="61" t="s">
        <v>5</v>
      </c>
      <c r="AC84" s="63" t="s">
        <v>4</v>
      </c>
      <c r="AD84" s="218"/>
    </row>
    <row r="85" spans="2:31" ht="14.25" thickBot="1" x14ac:dyDescent="0.2">
      <c r="B85" s="106" t="s">
        <v>173</v>
      </c>
      <c r="C85" s="43">
        <f>C78</f>
        <v>0</v>
      </c>
      <c r="D85" s="43">
        <f>D78</f>
        <v>0</v>
      </c>
      <c r="E85" s="83">
        <f t="shared" ref="E85:E118" si="57">SUM(C85:D85)</f>
        <v>0</v>
      </c>
      <c r="F85" s="43">
        <f>F78</f>
        <v>1</v>
      </c>
      <c r="G85" s="43">
        <f>G78</f>
        <v>1</v>
      </c>
      <c r="H85" s="84">
        <f t="shared" ref="H85:H118" si="58">SUM(F85:G85)</f>
        <v>2</v>
      </c>
      <c r="I85" s="43">
        <f>I78</f>
        <v>0</v>
      </c>
      <c r="J85" s="43">
        <f>J78</f>
        <v>0</v>
      </c>
      <c r="K85" s="83">
        <f t="shared" ref="K85:K118" si="59">SUM(I85:J85)</f>
        <v>0</v>
      </c>
      <c r="L85" s="43">
        <f>L78</f>
        <v>1</v>
      </c>
      <c r="M85" s="43">
        <f>M78</f>
        <v>1</v>
      </c>
      <c r="N85" s="84">
        <f t="shared" ref="N85:N118" si="60">SUM(L85:M85)</f>
        <v>2</v>
      </c>
      <c r="O85" s="41">
        <f>E85+H85+K85+N85</f>
        <v>4</v>
      </c>
      <c r="Q85" s="106" t="s">
        <v>173</v>
      </c>
      <c r="R85" s="43">
        <f>R78</f>
        <v>245</v>
      </c>
      <c r="S85" s="43">
        <f>S78</f>
        <v>250</v>
      </c>
      <c r="T85" s="83">
        <f t="shared" ref="T85:T86" si="61">SUM(R85:S85)</f>
        <v>495</v>
      </c>
      <c r="U85" s="43">
        <f>U78</f>
        <v>162</v>
      </c>
      <c r="V85" s="43">
        <f>V78</f>
        <v>170</v>
      </c>
      <c r="W85" s="84">
        <f t="shared" ref="W85:W118" si="62">SUM(U85:V85)</f>
        <v>332</v>
      </c>
      <c r="X85" s="43">
        <f>X78</f>
        <v>180</v>
      </c>
      <c r="Y85" s="43">
        <f>Y78</f>
        <v>179</v>
      </c>
      <c r="Z85" s="83">
        <f t="shared" ref="Z85:Z118" si="63">SUM(X85:Y85)</f>
        <v>359</v>
      </c>
      <c r="AA85" s="43">
        <f>AA78</f>
        <v>113</v>
      </c>
      <c r="AB85" s="43">
        <f>AB78</f>
        <v>125</v>
      </c>
      <c r="AC85" s="84">
        <f t="shared" ref="AC85:AC118" si="64">SUM(AA85:AB85)</f>
        <v>238</v>
      </c>
      <c r="AD85" s="41">
        <f>T85+W85+Z85+AC85</f>
        <v>1424</v>
      </c>
    </row>
    <row r="86" spans="2:31" x14ac:dyDescent="0.15">
      <c r="B86" s="105" t="s">
        <v>109</v>
      </c>
      <c r="C86" s="31"/>
      <c r="D86" s="7">
        <v>2</v>
      </c>
      <c r="E86" s="76">
        <f t="shared" si="57"/>
        <v>2</v>
      </c>
      <c r="F86" s="31"/>
      <c r="G86" s="7"/>
      <c r="H86" s="77">
        <f t="shared" si="58"/>
        <v>0</v>
      </c>
      <c r="I86" s="31"/>
      <c r="J86" s="7">
        <v>2</v>
      </c>
      <c r="K86" s="76">
        <f t="shared" si="59"/>
        <v>2</v>
      </c>
      <c r="L86" s="31"/>
      <c r="M86" s="7"/>
      <c r="N86" s="77">
        <f t="shared" si="60"/>
        <v>0</v>
      </c>
      <c r="O86" s="38">
        <f t="shared" ref="O86:O118" si="65">E86+H86+K86+N86</f>
        <v>4</v>
      </c>
      <c r="P86" s="160">
        <v>46181</v>
      </c>
      <c r="Q86" s="105" t="s">
        <v>3</v>
      </c>
      <c r="R86" s="31"/>
      <c r="S86" s="7"/>
      <c r="T86" s="76">
        <f t="shared" si="61"/>
        <v>0</v>
      </c>
      <c r="U86" s="31"/>
      <c r="V86" s="7"/>
      <c r="W86" s="77">
        <f t="shared" si="62"/>
        <v>0</v>
      </c>
      <c r="X86" s="31"/>
      <c r="Y86" s="7"/>
      <c r="Z86" s="76">
        <f t="shared" si="63"/>
        <v>0</v>
      </c>
      <c r="AA86" s="31"/>
      <c r="AB86" s="7"/>
      <c r="AC86" s="77">
        <f t="shared" si="64"/>
        <v>0</v>
      </c>
      <c r="AD86" s="38">
        <f t="shared" ref="AD86:AD118" si="66">T86+W86+Z86+AC86</f>
        <v>0</v>
      </c>
      <c r="AE86" s="160"/>
    </row>
    <row r="87" spans="2:31" x14ac:dyDescent="0.15">
      <c r="B87" s="11" t="s">
        <v>3</v>
      </c>
      <c r="C87" s="25"/>
      <c r="D87" s="19"/>
      <c r="E87" s="46">
        <f t="shared" si="57"/>
        <v>0</v>
      </c>
      <c r="F87" s="31"/>
      <c r="G87" s="7"/>
      <c r="H87" s="54">
        <f t="shared" si="58"/>
        <v>0</v>
      </c>
      <c r="I87" s="25"/>
      <c r="J87" s="19"/>
      <c r="K87" s="46">
        <f t="shared" si="59"/>
        <v>0</v>
      </c>
      <c r="L87" s="31"/>
      <c r="M87" s="7"/>
      <c r="N87" s="54">
        <f t="shared" si="60"/>
        <v>0</v>
      </c>
      <c r="O87" s="38">
        <f t="shared" si="65"/>
        <v>0</v>
      </c>
      <c r="Q87" s="11" t="s">
        <v>68</v>
      </c>
      <c r="R87" s="25">
        <v>180</v>
      </c>
      <c r="S87" s="19">
        <v>130</v>
      </c>
      <c r="T87" s="46">
        <f t="shared" ref="T87" si="67">SUM(R87:S87)</f>
        <v>310</v>
      </c>
      <c r="U87" s="31">
        <v>300</v>
      </c>
      <c r="V87" s="7">
        <v>220</v>
      </c>
      <c r="W87" s="54">
        <f t="shared" si="62"/>
        <v>520</v>
      </c>
      <c r="X87" s="25">
        <v>120</v>
      </c>
      <c r="Y87" s="19">
        <v>80</v>
      </c>
      <c r="Z87" s="46">
        <f t="shared" si="63"/>
        <v>200</v>
      </c>
      <c r="AA87" s="31">
        <v>250</v>
      </c>
      <c r="AB87" s="7">
        <v>170</v>
      </c>
      <c r="AC87" s="54">
        <f t="shared" si="64"/>
        <v>420</v>
      </c>
      <c r="AD87" s="38">
        <f t="shared" si="66"/>
        <v>1450</v>
      </c>
      <c r="AE87" s="160" t="s">
        <v>245</v>
      </c>
    </row>
    <row r="88" spans="2:31" x14ac:dyDescent="0.15">
      <c r="B88" s="11" t="s">
        <v>3</v>
      </c>
      <c r="C88" s="25"/>
      <c r="D88" s="19"/>
      <c r="E88" s="46">
        <f t="shared" si="57"/>
        <v>0</v>
      </c>
      <c r="F88" s="31"/>
      <c r="G88" s="7"/>
      <c r="H88" s="54">
        <f t="shared" si="58"/>
        <v>0</v>
      </c>
      <c r="I88" s="25"/>
      <c r="J88" s="19"/>
      <c r="K88" s="46">
        <f t="shared" si="59"/>
        <v>0</v>
      </c>
      <c r="L88" s="31"/>
      <c r="M88" s="7"/>
      <c r="N88" s="54">
        <f t="shared" si="60"/>
        <v>0</v>
      </c>
      <c r="O88" s="38">
        <f t="shared" si="65"/>
        <v>0</v>
      </c>
      <c r="Q88" s="11" t="s">
        <v>3</v>
      </c>
      <c r="R88" s="25">
        <v>-30</v>
      </c>
      <c r="S88" s="19">
        <v>0</v>
      </c>
      <c r="T88" s="46">
        <f t="shared" ref="T88" si="68">SUM(R88:S88)</f>
        <v>-30</v>
      </c>
      <c r="U88" s="31">
        <v>-100</v>
      </c>
      <c r="V88" s="7">
        <v>-50</v>
      </c>
      <c r="W88" s="54">
        <f t="shared" ref="W88" si="69">SUM(U88:V88)</f>
        <v>-150</v>
      </c>
      <c r="X88" s="25">
        <v>0</v>
      </c>
      <c r="Y88" s="19">
        <v>0</v>
      </c>
      <c r="Z88" s="46">
        <f t="shared" ref="Z88" si="70">SUM(X88:Y88)</f>
        <v>0</v>
      </c>
      <c r="AA88" s="31">
        <v>-120</v>
      </c>
      <c r="AB88" s="7">
        <v>-50</v>
      </c>
      <c r="AC88" s="54">
        <f t="shared" ref="AC88" si="71">SUM(AA88:AB88)</f>
        <v>-170</v>
      </c>
      <c r="AD88" s="38">
        <f t="shared" ref="AD88" si="72">T88+W88+Z88+AC88</f>
        <v>-350</v>
      </c>
    </row>
    <row r="89" spans="2:31" x14ac:dyDescent="0.15">
      <c r="B89" s="11" t="s">
        <v>3</v>
      </c>
      <c r="C89" s="25"/>
      <c r="D89" s="19"/>
      <c r="E89" s="46">
        <f t="shared" si="57"/>
        <v>0</v>
      </c>
      <c r="F89" s="31"/>
      <c r="G89" s="7"/>
      <c r="H89" s="54">
        <f t="shared" si="58"/>
        <v>0</v>
      </c>
      <c r="I89" s="25"/>
      <c r="J89" s="19"/>
      <c r="K89" s="46">
        <f t="shared" si="59"/>
        <v>0</v>
      </c>
      <c r="L89" s="31"/>
      <c r="M89" s="7"/>
      <c r="N89" s="54">
        <f t="shared" si="60"/>
        <v>0</v>
      </c>
      <c r="O89" s="38">
        <f t="shared" si="65"/>
        <v>0</v>
      </c>
      <c r="Q89" s="11" t="s">
        <v>3</v>
      </c>
      <c r="R89" s="25"/>
      <c r="S89" s="19"/>
      <c r="T89" s="46">
        <f t="shared" ref="T89:T105" si="73">SUM(R89:S89)</f>
        <v>0</v>
      </c>
      <c r="U89" s="31"/>
      <c r="V89" s="7"/>
      <c r="W89" s="54">
        <f t="shared" si="62"/>
        <v>0</v>
      </c>
      <c r="X89" s="25"/>
      <c r="Y89" s="19"/>
      <c r="Z89" s="46">
        <f t="shared" si="63"/>
        <v>0</v>
      </c>
      <c r="AA89" s="31"/>
      <c r="AB89" s="7"/>
      <c r="AC89" s="54">
        <f t="shared" si="64"/>
        <v>0</v>
      </c>
      <c r="AD89" s="38">
        <f t="shared" si="66"/>
        <v>0</v>
      </c>
    </row>
    <row r="90" spans="2:31" ht="14.25" thickBot="1" x14ac:dyDescent="0.2">
      <c r="B90" s="10" t="s">
        <v>3</v>
      </c>
      <c r="C90" s="26"/>
      <c r="D90" s="20"/>
      <c r="E90" s="47">
        <f t="shared" si="57"/>
        <v>0</v>
      </c>
      <c r="F90" s="32"/>
      <c r="G90" s="5"/>
      <c r="H90" s="55">
        <f t="shared" si="58"/>
        <v>0</v>
      </c>
      <c r="I90" s="26"/>
      <c r="J90" s="20"/>
      <c r="K90" s="47">
        <f t="shared" si="59"/>
        <v>0</v>
      </c>
      <c r="L90" s="32"/>
      <c r="M90" s="5"/>
      <c r="N90" s="55">
        <f t="shared" si="60"/>
        <v>0</v>
      </c>
      <c r="O90" s="39">
        <f t="shared" si="65"/>
        <v>0</v>
      </c>
      <c r="Q90" s="11" t="s">
        <v>3</v>
      </c>
      <c r="R90" s="26"/>
      <c r="S90" s="20"/>
      <c r="T90" s="81">
        <f t="shared" ref="T90" si="74">SUM(R90:S90)</f>
        <v>0</v>
      </c>
      <c r="U90" s="32"/>
      <c r="V90" s="5"/>
      <c r="W90" s="82">
        <f t="shared" ref="W90" si="75">SUM(U90:V90)</f>
        <v>0</v>
      </c>
      <c r="X90" s="26"/>
      <c r="Y90" s="20"/>
      <c r="Z90" s="81">
        <f t="shared" ref="Z90" si="76">SUM(X90:Y90)</f>
        <v>0</v>
      </c>
      <c r="AA90" s="32"/>
      <c r="AB90" s="5"/>
      <c r="AC90" s="82">
        <f t="shared" ref="AC90" si="77">SUM(AA90:AB90)</f>
        <v>0</v>
      </c>
      <c r="AD90" s="39">
        <f t="shared" ref="AD90" si="78">T90+W90+Z90+AC90</f>
        <v>0</v>
      </c>
    </row>
    <row r="91" spans="2:31" ht="14.25" thickBot="1" x14ac:dyDescent="0.2">
      <c r="B91" s="42" t="s">
        <v>2</v>
      </c>
      <c r="C91" s="43">
        <f>SUM(C85:C90)</f>
        <v>0</v>
      </c>
      <c r="D91" s="44">
        <f>SUM(D85:D90)</f>
        <v>2</v>
      </c>
      <c r="E91" s="48">
        <f t="shared" si="57"/>
        <v>2</v>
      </c>
      <c r="F91" s="43">
        <f>SUM(F85:F90)</f>
        <v>1</v>
      </c>
      <c r="G91" s="44">
        <f>SUM(G85:G90)</f>
        <v>1</v>
      </c>
      <c r="H91" s="56">
        <f t="shared" si="58"/>
        <v>2</v>
      </c>
      <c r="I91" s="43">
        <f>SUM(I85:I90)</f>
        <v>0</v>
      </c>
      <c r="J91" s="44">
        <f>SUM(J85:J90)</f>
        <v>2</v>
      </c>
      <c r="K91" s="48">
        <f t="shared" si="59"/>
        <v>2</v>
      </c>
      <c r="L91" s="43">
        <f>SUM(L85:L90)</f>
        <v>1</v>
      </c>
      <c r="M91" s="44">
        <f>SUM(M85:M90)</f>
        <v>1</v>
      </c>
      <c r="N91" s="56">
        <f t="shared" si="60"/>
        <v>2</v>
      </c>
      <c r="O91" s="41">
        <f t="shared" si="65"/>
        <v>8</v>
      </c>
      <c r="Q91" s="42" t="s">
        <v>2</v>
      </c>
      <c r="R91" s="43">
        <f>SUM(R85:R90)</f>
        <v>395</v>
      </c>
      <c r="S91" s="44">
        <f>SUM(S85:S90)</f>
        <v>380</v>
      </c>
      <c r="T91" s="83">
        <f t="shared" si="73"/>
        <v>775</v>
      </c>
      <c r="U91" s="43">
        <f>SUM(U85:U90)</f>
        <v>362</v>
      </c>
      <c r="V91" s="44">
        <f>SUM(V85:V90)</f>
        <v>340</v>
      </c>
      <c r="W91" s="84">
        <f t="shared" si="62"/>
        <v>702</v>
      </c>
      <c r="X91" s="43">
        <f>SUM(X85:X90)</f>
        <v>300</v>
      </c>
      <c r="Y91" s="44">
        <f>SUM(Y85:Y90)</f>
        <v>259</v>
      </c>
      <c r="Z91" s="83">
        <f t="shared" si="63"/>
        <v>559</v>
      </c>
      <c r="AA91" s="43">
        <f>SUM(AA85:AA90)</f>
        <v>243</v>
      </c>
      <c r="AB91" s="44">
        <f>SUM(AB85:AB90)</f>
        <v>245</v>
      </c>
      <c r="AC91" s="84">
        <f t="shared" si="64"/>
        <v>488</v>
      </c>
      <c r="AD91" s="41">
        <f t="shared" si="66"/>
        <v>2524</v>
      </c>
    </row>
    <row r="92" spans="2:31" x14ac:dyDescent="0.15">
      <c r="B92" s="9"/>
      <c r="C92" s="24"/>
      <c r="D92" s="18"/>
      <c r="E92" s="49">
        <f t="shared" si="57"/>
        <v>0</v>
      </c>
      <c r="F92" s="31"/>
      <c r="G92" s="7"/>
      <c r="H92" s="57">
        <f t="shared" si="58"/>
        <v>0</v>
      </c>
      <c r="I92" s="24"/>
      <c r="J92" s="18"/>
      <c r="K92" s="49">
        <f t="shared" si="59"/>
        <v>0</v>
      </c>
      <c r="L92" s="31"/>
      <c r="M92" s="7"/>
      <c r="N92" s="57">
        <f t="shared" si="60"/>
        <v>0</v>
      </c>
      <c r="O92" s="38">
        <f t="shared" si="65"/>
        <v>0</v>
      </c>
      <c r="Q92" s="6" t="s">
        <v>237</v>
      </c>
      <c r="R92" s="24"/>
      <c r="S92" s="18"/>
      <c r="T92" s="49">
        <f t="shared" si="73"/>
        <v>0</v>
      </c>
      <c r="U92" s="31">
        <v>1</v>
      </c>
      <c r="V92" s="7"/>
      <c r="W92" s="57">
        <f t="shared" si="62"/>
        <v>1</v>
      </c>
      <c r="X92" s="24"/>
      <c r="Y92" s="18"/>
      <c r="Z92" s="49">
        <f t="shared" si="63"/>
        <v>0</v>
      </c>
      <c r="AA92" s="31">
        <v>1</v>
      </c>
      <c r="AB92" s="7"/>
      <c r="AC92" s="57">
        <f t="shared" si="64"/>
        <v>1</v>
      </c>
      <c r="AD92" s="38">
        <f t="shared" si="66"/>
        <v>2</v>
      </c>
      <c r="AE92" s="160">
        <v>46177</v>
      </c>
    </row>
    <row r="93" spans="2:31" x14ac:dyDescent="0.15">
      <c r="B93" s="34"/>
      <c r="C93" s="25"/>
      <c r="D93" s="19"/>
      <c r="E93" s="49">
        <f t="shared" si="57"/>
        <v>0</v>
      </c>
      <c r="F93" s="31"/>
      <c r="G93" s="7"/>
      <c r="H93" s="57">
        <f t="shared" si="58"/>
        <v>0</v>
      </c>
      <c r="I93" s="25"/>
      <c r="J93" s="19"/>
      <c r="K93" s="49">
        <f t="shared" si="59"/>
        <v>0</v>
      </c>
      <c r="L93" s="31"/>
      <c r="M93" s="7"/>
      <c r="N93" s="57">
        <f t="shared" si="60"/>
        <v>0</v>
      </c>
      <c r="O93" s="38">
        <f t="shared" si="65"/>
        <v>0</v>
      </c>
      <c r="Q93" s="34" t="s">
        <v>111</v>
      </c>
      <c r="R93" s="25"/>
      <c r="S93" s="19">
        <v>1</v>
      </c>
      <c r="T93" s="49">
        <f t="shared" si="73"/>
        <v>1</v>
      </c>
      <c r="U93" s="31"/>
      <c r="V93" s="7"/>
      <c r="W93" s="57">
        <f t="shared" si="62"/>
        <v>0</v>
      </c>
      <c r="X93" s="25"/>
      <c r="Y93" s="19">
        <v>1</v>
      </c>
      <c r="Z93" s="49">
        <f t="shared" si="63"/>
        <v>1</v>
      </c>
      <c r="AA93" s="31"/>
      <c r="AB93" s="7"/>
      <c r="AC93" s="57">
        <f t="shared" si="64"/>
        <v>0</v>
      </c>
      <c r="AD93" s="38">
        <f t="shared" si="66"/>
        <v>2</v>
      </c>
      <c r="AE93" s="160">
        <v>46174</v>
      </c>
    </row>
    <row r="94" spans="2:31" x14ac:dyDescent="0.15">
      <c r="B94" s="34"/>
      <c r="C94" s="25"/>
      <c r="D94" s="19"/>
      <c r="E94" s="49">
        <f t="shared" si="57"/>
        <v>0</v>
      </c>
      <c r="F94" s="31"/>
      <c r="G94" s="7"/>
      <c r="H94" s="57">
        <f t="shared" si="58"/>
        <v>0</v>
      </c>
      <c r="I94" s="25"/>
      <c r="J94" s="19"/>
      <c r="K94" s="49">
        <f t="shared" si="59"/>
        <v>0</v>
      </c>
      <c r="L94" s="31"/>
      <c r="M94" s="7"/>
      <c r="N94" s="57">
        <f t="shared" si="60"/>
        <v>0</v>
      </c>
      <c r="O94" s="38">
        <f t="shared" si="65"/>
        <v>0</v>
      </c>
      <c r="Q94" s="34" t="s">
        <v>111</v>
      </c>
      <c r="R94" s="25">
        <v>2</v>
      </c>
      <c r="S94" s="19">
        <v>4</v>
      </c>
      <c r="T94" s="49">
        <f t="shared" si="73"/>
        <v>6</v>
      </c>
      <c r="U94" s="31"/>
      <c r="V94" s="7"/>
      <c r="W94" s="57">
        <f t="shared" si="62"/>
        <v>0</v>
      </c>
      <c r="X94" s="25">
        <v>2</v>
      </c>
      <c r="Y94" s="19">
        <v>4</v>
      </c>
      <c r="Z94" s="49">
        <f t="shared" si="63"/>
        <v>6</v>
      </c>
      <c r="AA94" s="31"/>
      <c r="AB94" s="7"/>
      <c r="AC94" s="57">
        <f t="shared" si="64"/>
        <v>0</v>
      </c>
      <c r="AD94" s="38">
        <f t="shared" si="66"/>
        <v>12</v>
      </c>
      <c r="AE94" s="160">
        <v>46177</v>
      </c>
    </row>
    <row r="95" spans="2:31" x14ac:dyDescent="0.15">
      <c r="B95" s="34"/>
      <c r="C95" s="25"/>
      <c r="D95" s="19"/>
      <c r="E95" s="49">
        <f t="shared" si="57"/>
        <v>0</v>
      </c>
      <c r="F95" s="31"/>
      <c r="G95" s="7"/>
      <c r="H95" s="57">
        <f t="shared" si="58"/>
        <v>0</v>
      </c>
      <c r="I95" s="25"/>
      <c r="J95" s="19"/>
      <c r="K95" s="49">
        <f t="shared" si="59"/>
        <v>0</v>
      </c>
      <c r="L95" s="31"/>
      <c r="M95" s="7"/>
      <c r="N95" s="57">
        <f t="shared" si="60"/>
        <v>0</v>
      </c>
      <c r="O95" s="38">
        <f t="shared" si="65"/>
        <v>0</v>
      </c>
      <c r="Q95" s="6" t="s">
        <v>241</v>
      </c>
      <c r="R95" s="25"/>
      <c r="S95" s="19"/>
      <c r="T95" s="49">
        <f t="shared" si="73"/>
        <v>0</v>
      </c>
      <c r="U95" s="31"/>
      <c r="V95" s="7">
        <v>1</v>
      </c>
      <c r="W95" s="57">
        <f t="shared" si="62"/>
        <v>1</v>
      </c>
      <c r="X95" s="25"/>
      <c r="Y95" s="19"/>
      <c r="Z95" s="49">
        <f t="shared" si="63"/>
        <v>0</v>
      </c>
      <c r="AA95" s="31"/>
      <c r="AB95" s="7">
        <v>1</v>
      </c>
      <c r="AC95" s="57">
        <f t="shared" si="64"/>
        <v>1</v>
      </c>
      <c r="AD95" s="38">
        <f t="shared" si="66"/>
        <v>2</v>
      </c>
      <c r="AE95" s="160">
        <v>46181</v>
      </c>
    </row>
    <row r="96" spans="2:31" x14ac:dyDescent="0.15">
      <c r="B96" s="34"/>
      <c r="C96" s="25"/>
      <c r="D96" s="19"/>
      <c r="E96" s="49">
        <f t="shared" si="57"/>
        <v>0</v>
      </c>
      <c r="F96" s="31"/>
      <c r="G96" s="7"/>
      <c r="H96" s="57">
        <f t="shared" si="58"/>
        <v>0</v>
      </c>
      <c r="I96" s="25"/>
      <c r="J96" s="19"/>
      <c r="K96" s="49">
        <f t="shared" si="59"/>
        <v>0</v>
      </c>
      <c r="L96" s="31"/>
      <c r="M96" s="7"/>
      <c r="N96" s="57">
        <f t="shared" si="60"/>
        <v>0</v>
      </c>
      <c r="O96" s="38">
        <f t="shared" si="65"/>
        <v>0</v>
      </c>
      <c r="Q96" s="34" t="s">
        <v>111</v>
      </c>
      <c r="R96" s="25">
        <v>7</v>
      </c>
      <c r="S96" s="19">
        <v>5</v>
      </c>
      <c r="T96" s="49">
        <f t="shared" si="73"/>
        <v>12</v>
      </c>
      <c r="U96" s="31"/>
      <c r="V96" s="7"/>
      <c r="W96" s="57">
        <f t="shared" si="62"/>
        <v>0</v>
      </c>
      <c r="X96" s="25">
        <v>7</v>
      </c>
      <c r="Y96" s="19">
        <v>5</v>
      </c>
      <c r="Z96" s="49">
        <f t="shared" si="63"/>
        <v>12</v>
      </c>
      <c r="AA96" s="31"/>
      <c r="AB96" s="7"/>
      <c r="AC96" s="57">
        <f t="shared" si="64"/>
        <v>0</v>
      </c>
      <c r="AD96" s="38">
        <f t="shared" si="66"/>
        <v>24</v>
      </c>
      <c r="AE96" s="160">
        <v>46178</v>
      </c>
    </row>
    <row r="97" spans="2:31" x14ac:dyDescent="0.15">
      <c r="B97" s="34"/>
      <c r="C97" s="25"/>
      <c r="D97" s="19"/>
      <c r="E97" s="49">
        <f t="shared" si="57"/>
        <v>0</v>
      </c>
      <c r="F97" s="31"/>
      <c r="G97" s="7"/>
      <c r="H97" s="57">
        <f t="shared" si="58"/>
        <v>0</v>
      </c>
      <c r="I97" s="25"/>
      <c r="J97" s="19"/>
      <c r="K97" s="49">
        <f t="shared" si="59"/>
        <v>0</v>
      </c>
      <c r="L97" s="31"/>
      <c r="M97" s="7"/>
      <c r="N97" s="57">
        <f t="shared" si="60"/>
        <v>0</v>
      </c>
      <c r="O97" s="38">
        <f t="shared" si="65"/>
        <v>0</v>
      </c>
      <c r="Q97" s="34" t="s">
        <v>111</v>
      </c>
      <c r="R97" s="25">
        <v>4</v>
      </c>
      <c r="S97" s="19">
        <v>4</v>
      </c>
      <c r="T97" s="49">
        <f t="shared" si="73"/>
        <v>8</v>
      </c>
      <c r="U97" s="31"/>
      <c r="V97" s="7"/>
      <c r="W97" s="57">
        <f t="shared" si="62"/>
        <v>0</v>
      </c>
      <c r="X97" s="25">
        <v>4</v>
      </c>
      <c r="Y97" s="19">
        <v>4</v>
      </c>
      <c r="Z97" s="49">
        <f t="shared" si="63"/>
        <v>8</v>
      </c>
      <c r="AA97" s="31"/>
      <c r="AB97" s="7"/>
      <c r="AC97" s="57">
        <f t="shared" si="64"/>
        <v>0</v>
      </c>
      <c r="AD97" s="38">
        <f t="shared" si="66"/>
        <v>16</v>
      </c>
      <c r="AE97" s="160">
        <v>46181</v>
      </c>
    </row>
    <row r="98" spans="2:31" x14ac:dyDescent="0.15">
      <c r="B98" s="6"/>
      <c r="C98" s="25"/>
      <c r="D98" s="19"/>
      <c r="E98" s="49">
        <f t="shared" si="57"/>
        <v>0</v>
      </c>
      <c r="F98" s="31"/>
      <c r="G98" s="7"/>
      <c r="H98" s="57">
        <f t="shared" si="58"/>
        <v>0</v>
      </c>
      <c r="I98" s="25"/>
      <c r="J98" s="19"/>
      <c r="K98" s="49">
        <f t="shared" si="59"/>
        <v>0</v>
      </c>
      <c r="L98" s="31"/>
      <c r="M98" s="7"/>
      <c r="N98" s="57">
        <f t="shared" si="60"/>
        <v>0</v>
      </c>
      <c r="O98" s="38">
        <f t="shared" si="65"/>
        <v>0</v>
      </c>
      <c r="Q98" s="34" t="s">
        <v>111</v>
      </c>
      <c r="R98" s="25">
        <v>3</v>
      </c>
      <c r="S98" s="19">
        <v>2</v>
      </c>
      <c r="T98" s="49">
        <f t="shared" si="73"/>
        <v>5</v>
      </c>
      <c r="U98" s="31"/>
      <c r="V98" s="7"/>
      <c r="W98" s="57">
        <f t="shared" si="62"/>
        <v>0</v>
      </c>
      <c r="X98" s="25">
        <v>3</v>
      </c>
      <c r="Y98" s="19">
        <v>2</v>
      </c>
      <c r="Z98" s="49">
        <f t="shared" si="63"/>
        <v>5</v>
      </c>
      <c r="AA98" s="31"/>
      <c r="AB98" s="7"/>
      <c r="AC98" s="57">
        <f t="shared" si="64"/>
        <v>0</v>
      </c>
      <c r="AD98" s="38">
        <f t="shared" si="66"/>
        <v>10</v>
      </c>
      <c r="AE98" s="160">
        <v>46183</v>
      </c>
    </row>
    <row r="99" spans="2:31" x14ac:dyDescent="0.15">
      <c r="B99" s="6"/>
      <c r="C99" s="25"/>
      <c r="D99" s="19"/>
      <c r="E99" s="49">
        <f t="shared" si="57"/>
        <v>0</v>
      </c>
      <c r="F99" s="31"/>
      <c r="G99" s="7"/>
      <c r="H99" s="57">
        <f t="shared" si="58"/>
        <v>0</v>
      </c>
      <c r="I99" s="25"/>
      <c r="J99" s="19"/>
      <c r="K99" s="49">
        <f t="shared" si="59"/>
        <v>0</v>
      </c>
      <c r="L99" s="31"/>
      <c r="M99" s="7"/>
      <c r="N99" s="57">
        <f t="shared" si="60"/>
        <v>0</v>
      </c>
      <c r="O99" s="38">
        <f t="shared" si="65"/>
        <v>0</v>
      </c>
      <c r="Q99" s="34" t="s">
        <v>111</v>
      </c>
      <c r="R99" s="25">
        <v>2</v>
      </c>
      <c r="S99" s="19">
        <v>3</v>
      </c>
      <c r="T99" s="49">
        <f t="shared" si="73"/>
        <v>5</v>
      </c>
      <c r="U99" s="31"/>
      <c r="V99" s="7"/>
      <c r="W99" s="57">
        <f t="shared" si="62"/>
        <v>0</v>
      </c>
      <c r="X99" s="25">
        <v>2</v>
      </c>
      <c r="Y99" s="19">
        <v>3</v>
      </c>
      <c r="Z99" s="49">
        <f t="shared" si="63"/>
        <v>5</v>
      </c>
      <c r="AA99" s="31"/>
      <c r="AB99" s="7"/>
      <c r="AC99" s="57">
        <f t="shared" si="64"/>
        <v>0</v>
      </c>
      <c r="AD99" s="38">
        <f t="shared" si="66"/>
        <v>10</v>
      </c>
      <c r="AE99" s="160">
        <v>46184</v>
      </c>
    </row>
    <row r="100" spans="2:31" x14ac:dyDescent="0.15">
      <c r="B100" s="6"/>
      <c r="C100" s="25"/>
      <c r="D100" s="19"/>
      <c r="E100" s="49">
        <f t="shared" si="57"/>
        <v>0</v>
      </c>
      <c r="F100" s="31"/>
      <c r="G100" s="7"/>
      <c r="H100" s="57">
        <f t="shared" si="58"/>
        <v>0</v>
      </c>
      <c r="I100" s="25"/>
      <c r="J100" s="19"/>
      <c r="K100" s="49">
        <f t="shared" si="59"/>
        <v>0</v>
      </c>
      <c r="L100" s="31"/>
      <c r="M100" s="7"/>
      <c r="N100" s="57">
        <f t="shared" si="60"/>
        <v>0</v>
      </c>
      <c r="O100" s="38">
        <f t="shared" si="65"/>
        <v>0</v>
      </c>
      <c r="Q100" s="6" t="s">
        <v>247</v>
      </c>
      <c r="R100" s="25">
        <v>105</v>
      </c>
      <c r="S100" s="19">
        <v>70</v>
      </c>
      <c r="T100" s="49">
        <f t="shared" si="73"/>
        <v>175</v>
      </c>
      <c r="U100" s="31">
        <v>90</v>
      </c>
      <c r="V100" s="7">
        <v>60</v>
      </c>
      <c r="W100" s="57">
        <f t="shared" si="62"/>
        <v>150</v>
      </c>
      <c r="X100" s="25">
        <v>60</v>
      </c>
      <c r="Y100" s="19">
        <v>95</v>
      </c>
      <c r="Z100" s="49">
        <f t="shared" si="63"/>
        <v>155</v>
      </c>
      <c r="AA100" s="31">
        <v>85</v>
      </c>
      <c r="AB100" s="7">
        <v>50</v>
      </c>
      <c r="AC100" s="57">
        <f t="shared" si="64"/>
        <v>135</v>
      </c>
      <c r="AD100" s="38">
        <f t="shared" si="66"/>
        <v>615</v>
      </c>
      <c r="AE100" s="160">
        <v>46184</v>
      </c>
    </row>
    <row r="101" spans="2:31" x14ac:dyDescent="0.15">
      <c r="B101" s="6"/>
      <c r="C101" s="25"/>
      <c r="D101" s="19"/>
      <c r="E101" s="49">
        <f t="shared" si="57"/>
        <v>0</v>
      </c>
      <c r="F101" s="31"/>
      <c r="G101" s="7"/>
      <c r="H101" s="57">
        <f t="shared" si="58"/>
        <v>0</v>
      </c>
      <c r="I101" s="25"/>
      <c r="J101" s="19"/>
      <c r="K101" s="49">
        <f t="shared" si="59"/>
        <v>0</v>
      </c>
      <c r="L101" s="31"/>
      <c r="M101" s="7"/>
      <c r="N101" s="57">
        <f t="shared" si="60"/>
        <v>0</v>
      </c>
      <c r="O101" s="38">
        <f t="shared" si="65"/>
        <v>0</v>
      </c>
      <c r="Q101" s="34" t="s">
        <v>111</v>
      </c>
      <c r="R101" s="25">
        <v>1</v>
      </c>
      <c r="S101" s="19">
        <v>2</v>
      </c>
      <c r="T101" s="49">
        <f t="shared" si="73"/>
        <v>3</v>
      </c>
      <c r="U101" s="31"/>
      <c r="V101" s="7"/>
      <c r="W101" s="57">
        <f t="shared" si="62"/>
        <v>0</v>
      </c>
      <c r="X101" s="25">
        <v>1</v>
      </c>
      <c r="Y101" s="19">
        <v>2</v>
      </c>
      <c r="Z101" s="49">
        <f t="shared" si="63"/>
        <v>3</v>
      </c>
      <c r="AA101" s="31"/>
      <c r="AB101" s="7"/>
      <c r="AC101" s="57">
        <f t="shared" si="64"/>
        <v>0</v>
      </c>
      <c r="AD101" s="38">
        <f t="shared" si="66"/>
        <v>6</v>
      </c>
      <c r="AE101" s="160">
        <v>46185</v>
      </c>
    </row>
    <row r="102" spans="2:31" x14ac:dyDescent="0.15">
      <c r="B102" s="6"/>
      <c r="C102" s="25"/>
      <c r="D102" s="19"/>
      <c r="E102" s="49">
        <f t="shared" si="57"/>
        <v>0</v>
      </c>
      <c r="F102" s="31"/>
      <c r="G102" s="7"/>
      <c r="H102" s="57">
        <f t="shared" si="58"/>
        <v>0</v>
      </c>
      <c r="I102" s="25"/>
      <c r="J102" s="19"/>
      <c r="K102" s="49">
        <f t="shared" si="59"/>
        <v>0</v>
      </c>
      <c r="L102" s="31"/>
      <c r="M102" s="7"/>
      <c r="N102" s="57">
        <f t="shared" si="60"/>
        <v>0</v>
      </c>
      <c r="O102" s="38">
        <f t="shared" si="65"/>
        <v>0</v>
      </c>
      <c r="Q102" s="6" t="s">
        <v>248</v>
      </c>
      <c r="R102" s="25">
        <v>17</v>
      </c>
      <c r="S102" s="19"/>
      <c r="T102" s="49">
        <f t="shared" si="73"/>
        <v>17</v>
      </c>
      <c r="U102" s="31">
        <v>12</v>
      </c>
      <c r="V102" s="7"/>
      <c r="W102" s="57">
        <f t="shared" si="62"/>
        <v>12</v>
      </c>
      <c r="X102" s="25">
        <v>30</v>
      </c>
      <c r="Y102" s="19">
        <v>22</v>
      </c>
      <c r="Z102" s="49">
        <f t="shared" si="63"/>
        <v>52</v>
      </c>
      <c r="AA102" s="31">
        <v>18</v>
      </c>
      <c r="AB102" s="7"/>
      <c r="AC102" s="57">
        <f t="shared" si="64"/>
        <v>18</v>
      </c>
      <c r="AD102" s="38">
        <f t="shared" si="66"/>
        <v>99</v>
      </c>
      <c r="AE102" s="160">
        <v>46185</v>
      </c>
    </row>
    <row r="103" spans="2:31" x14ac:dyDescent="0.15">
      <c r="B103" s="6"/>
      <c r="C103" s="25"/>
      <c r="D103" s="19"/>
      <c r="E103" s="49">
        <f t="shared" si="57"/>
        <v>0</v>
      </c>
      <c r="F103" s="31"/>
      <c r="G103" s="7"/>
      <c r="H103" s="57">
        <f t="shared" si="58"/>
        <v>0</v>
      </c>
      <c r="I103" s="25"/>
      <c r="J103" s="19"/>
      <c r="K103" s="49">
        <f t="shared" si="59"/>
        <v>0</v>
      </c>
      <c r="L103" s="31"/>
      <c r="M103" s="7"/>
      <c r="N103" s="57">
        <f t="shared" si="60"/>
        <v>0</v>
      </c>
      <c r="O103" s="38">
        <f t="shared" si="65"/>
        <v>0</v>
      </c>
      <c r="Q103" s="34" t="s">
        <v>111</v>
      </c>
      <c r="R103" s="25"/>
      <c r="S103" s="19">
        <v>1</v>
      </c>
      <c r="T103" s="49">
        <f t="shared" si="73"/>
        <v>1</v>
      </c>
      <c r="U103" s="31"/>
      <c r="V103" s="7"/>
      <c r="W103" s="57">
        <f t="shared" si="62"/>
        <v>0</v>
      </c>
      <c r="X103" s="25"/>
      <c r="Y103" s="19">
        <v>1</v>
      </c>
      <c r="Z103" s="49">
        <f t="shared" si="63"/>
        <v>1</v>
      </c>
      <c r="AA103" s="31"/>
      <c r="AB103" s="7"/>
      <c r="AC103" s="57">
        <f t="shared" si="64"/>
        <v>0</v>
      </c>
      <c r="AD103" s="38">
        <f t="shared" si="66"/>
        <v>2</v>
      </c>
      <c r="AE103" s="160">
        <v>46185</v>
      </c>
    </row>
    <row r="104" spans="2:31" x14ac:dyDescent="0.15">
      <c r="B104" s="6"/>
      <c r="C104" s="25"/>
      <c r="D104" s="19"/>
      <c r="E104" s="49">
        <f t="shared" si="57"/>
        <v>0</v>
      </c>
      <c r="F104" s="31"/>
      <c r="G104" s="7"/>
      <c r="H104" s="57">
        <f t="shared" si="58"/>
        <v>0</v>
      </c>
      <c r="I104" s="25"/>
      <c r="J104" s="19"/>
      <c r="K104" s="49">
        <f t="shared" si="59"/>
        <v>0</v>
      </c>
      <c r="L104" s="31"/>
      <c r="M104" s="7"/>
      <c r="N104" s="57">
        <f t="shared" si="60"/>
        <v>0</v>
      </c>
      <c r="O104" s="38">
        <f t="shared" si="65"/>
        <v>0</v>
      </c>
      <c r="Q104" s="6" t="s">
        <v>250</v>
      </c>
      <c r="R104" s="25"/>
      <c r="S104" s="19">
        <v>25</v>
      </c>
      <c r="T104" s="49">
        <f t="shared" si="73"/>
        <v>25</v>
      </c>
      <c r="U104" s="31"/>
      <c r="V104" s="7">
        <v>15</v>
      </c>
      <c r="W104" s="57">
        <f t="shared" si="62"/>
        <v>15</v>
      </c>
      <c r="X104" s="25">
        <v>80</v>
      </c>
      <c r="Y104" s="19">
        <v>50</v>
      </c>
      <c r="Z104" s="49">
        <f t="shared" si="63"/>
        <v>130</v>
      </c>
      <c r="AA104" s="31">
        <v>25</v>
      </c>
      <c r="AB104" s="7">
        <v>45</v>
      </c>
      <c r="AC104" s="57">
        <f t="shared" si="64"/>
        <v>70</v>
      </c>
      <c r="AD104" s="38">
        <f t="shared" si="66"/>
        <v>240</v>
      </c>
      <c r="AE104" s="160">
        <v>46186</v>
      </c>
    </row>
    <row r="105" spans="2:31" x14ac:dyDescent="0.15">
      <c r="B105" s="34"/>
      <c r="C105" s="25"/>
      <c r="D105" s="19"/>
      <c r="E105" s="49">
        <f t="shared" si="57"/>
        <v>0</v>
      </c>
      <c r="F105" s="31"/>
      <c r="G105" s="7"/>
      <c r="H105" s="57">
        <f t="shared" si="58"/>
        <v>0</v>
      </c>
      <c r="I105" s="25"/>
      <c r="J105" s="19"/>
      <c r="K105" s="49">
        <f t="shared" si="59"/>
        <v>0</v>
      </c>
      <c r="L105" s="31"/>
      <c r="M105" s="7"/>
      <c r="N105" s="57">
        <f t="shared" si="60"/>
        <v>0</v>
      </c>
      <c r="O105" s="38">
        <f t="shared" si="65"/>
        <v>0</v>
      </c>
      <c r="Q105" s="6" t="s">
        <v>251</v>
      </c>
      <c r="R105" s="25"/>
      <c r="S105" s="19"/>
      <c r="T105" s="49">
        <f t="shared" si="73"/>
        <v>0</v>
      </c>
      <c r="U105" s="31">
        <v>1</v>
      </c>
      <c r="V105" s="7">
        <v>2</v>
      </c>
      <c r="W105" s="57">
        <f t="shared" si="62"/>
        <v>3</v>
      </c>
      <c r="X105" s="25"/>
      <c r="Y105" s="19"/>
      <c r="Z105" s="49">
        <f t="shared" si="63"/>
        <v>0</v>
      </c>
      <c r="AA105" s="31">
        <v>1</v>
      </c>
      <c r="AB105" s="7">
        <v>2</v>
      </c>
      <c r="AC105" s="57">
        <f t="shared" si="64"/>
        <v>3</v>
      </c>
      <c r="AD105" s="38">
        <f t="shared" si="66"/>
        <v>6</v>
      </c>
      <c r="AE105" s="160">
        <v>46189</v>
      </c>
    </row>
    <row r="106" spans="2:31" x14ac:dyDescent="0.15">
      <c r="B106" s="6"/>
      <c r="C106" s="25"/>
      <c r="D106" s="19"/>
      <c r="E106" s="49">
        <f t="shared" si="57"/>
        <v>0</v>
      </c>
      <c r="F106" s="31"/>
      <c r="G106" s="7"/>
      <c r="H106" s="57">
        <f t="shared" si="58"/>
        <v>0</v>
      </c>
      <c r="I106" s="25"/>
      <c r="J106" s="19"/>
      <c r="K106" s="49">
        <f t="shared" si="59"/>
        <v>0</v>
      </c>
      <c r="L106" s="31"/>
      <c r="M106" s="7"/>
      <c r="N106" s="57">
        <f t="shared" si="60"/>
        <v>0</v>
      </c>
      <c r="O106" s="38">
        <f t="shared" si="65"/>
        <v>0</v>
      </c>
      <c r="Q106" s="34" t="s">
        <v>111</v>
      </c>
      <c r="R106" s="25"/>
      <c r="S106" s="19">
        <v>1</v>
      </c>
      <c r="T106" s="49">
        <f t="shared" ref="T106:T111" si="79">SUM(R106:S106)</f>
        <v>1</v>
      </c>
      <c r="U106" s="31"/>
      <c r="V106" s="7"/>
      <c r="W106" s="57">
        <f t="shared" ref="W106:W111" si="80">SUM(U106:V106)</f>
        <v>0</v>
      </c>
      <c r="X106" s="25"/>
      <c r="Y106" s="19">
        <v>1</v>
      </c>
      <c r="Z106" s="49">
        <f t="shared" ref="Z106:Z111" si="81">SUM(X106:Y106)</f>
        <v>1</v>
      </c>
      <c r="AA106" s="31"/>
      <c r="AB106" s="7"/>
      <c r="AC106" s="57">
        <f t="shared" ref="AC106:AC111" si="82">SUM(AA106:AB106)</f>
        <v>0</v>
      </c>
      <c r="AD106" s="38">
        <f t="shared" ref="AD106:AD111" si="83">T106+W106+Z106+AC106</f>
        <v>2</v>
      </c>
      <c r="AE106" s="160">
        <v>46188</v>
      </c>
    </row>
    <row r="107" spans="2:31" x14ac:dyDescent="0.15">
      <c r="B107" s="6"/>
      <c r="C107" s="25"/>
      <c r="D107" s="19"/>
      <c r="E107" s="49">
        <f t="shared" si="57"/>
        <v>0</v>
      </c>
      <c r="F107" s="31"/>
      <c r="G107" s="7"/>
      <c r="H107" s="57">
        <f t="shared" si="58"/>
        <v>0</v>
      </c>
      <c r="I107" s="25"/>
      <c r="J107" s="19"/>
      <c r="K107" s="49">
        <f t="shared" si="59"/>
        <v>0</v>
      </c>
      <c r="L107" s="31"/>
      <c r="M107" s="7"/>
      <c r="N107" s="57">
        <f t="shared" si="60"/>
        <v>0</v>
      </c>
      <c r="O107" s="38">
        <f t="shared" si="65"/>
        <v>0</v>
      </c>
      <c r="Q107" s="34" t="s">
        <v>111</v>
      </c>
      <c r="R107" s="25">
        <v>6</v>
      </c>
      <c r="S107" s="19">
        <v>3</v>
      </c>
      <c r="T107" s="49">
        <f t="shared" si="79"/>
        <v>9</v>
      </c>
      <c r="U107" s="31"/>
      <c r="V107" s="7"/>
      <c r="W107" s="57">
        <f t="shared" si="80"/>
        <v>0</v>
      </c>
      <c r="X107" s="25">
        <v>6</v>
      </c>
      <c r="Y107" s="19">
        <v>3</v>
      </c>
      <c r="Z107" s="49">
        <f t="shared" si="81"/>
        <v>9</v>
      </c>
      <c r="AA107" s="31"/>
      <c r="AB107" s="7"/>
      <c r="AC107" s="57">
        <f t="shared" si="82"/>
        <v>0</v>
      </c>
      <c r="AD107" s="38">
        <f t="shared" si="83"/>
        <v>18</v>
      </c>
      <c r="AE107" s="160">
        <v>46190</v>
      </c>
    </row>
    <row r="108" spans="2:31" x14ac:dyDescent="0.15">
      <c r="B108" s="6"/>
      <c r="C108" s="25"/>
      <c r="D108" s="19"/>
      <c r="E108" s="49">
        <f t="shared" si="57"/>
        <v>0</v>
      </c>
      <c r="F108" s="31"/>
      <c r="G108" s="7"/>
      <c r="H108" s="57">
        <f t="shared" si="58"/>
        <v>0</v>
      </c>
      <c r="I108" s="25"/>
      <c r="J108" s="19"/>
      <c r="K108" s="49">
        <f t="shared" si="59"/>
        <v>0</v>
      </c>
      <c r="L108" s="31"/>
      <c r="M108" s="7"/>
      <c r="N108" s="57">
        <f t="shared" si="60"/>
        <v>0</v>
      </c>
      <c r="O108" s="38">
        <f t="shared" si="65"/>
        <v>0</v>
      </c>
      <c r="Q108" s="34" t="s">
        <v>111</v>
      </c>
      <c r="R108" s="25">
        <v>8</v>
      </c>
      <c r="S108" s="19">
        <v>9</v>
      </c>
      <c r="T108" s="49">
        <f t="shared" si="79"/>
        <v>17</v>
      </c>
      <c r="U108" s="31"/>
      <c r="V108" s="7"/>
      <c r="W108" s="57">
        <f t="shared" si="80"/>
        <v>0</v>
      </c>
      <c r="X108" s="25">
        <v>8</v>
      </c>
      <c r="Y108" s="19">
        <v>9</v>
      </c>
      <c r="Z108" s="49">
        <f t="shared" si="81"/>
        <v>17</v>
      </c>
      <c r="AA108" s="31"/>
      <c r="AB108" s="7"/>
      <c r="AC108" s="57">
        <f t="shared" si="82"/>
        <v>0</v>
      </c>
      <c r="AD108" s="38">
        <f t="shared" si="83"/>
        <v>34</v>
      </c>
      <c r="AE108" s="160">
        <v>46191</v>
      </c>
    </row>
    <row r="109" spans="2:31" x14ac:dyDescent="0.15">
      <c r="B109" s="6"/>
      <c r="C109" s="25"/>
      <c r="D109" s="19"/>
      <c r="E109" s="49">
        <f t="shared" si="57"/>
        <v>0</v>
      </c>
      <c r="F109" s="31"/>
      <c r="G109" s="7"/>
      <c r="H109" s="57">
        <f t="shared" si="58"/>
        <v>0</v>
      </c>
      <c r="I109" s="25"/>
      <c r="J109" s="19"/>
      <c r="K109" s="49">
        <f t="shared" si="59"/>
        <v>0</v>
      </c>
      <c r="L109" s="31"/>
      <c r="M109" s="7"/>
      <c r="N109" s="57">
        <f t="shared" si="60"/>
        <v>0</v>
      </c>
      <c r="O109" s="38">
        <f t="shared" si="65"/>
        <v>0</v>
      </c>
      <c r="Q109" s="34" t="s">
        <v>111</v>
      </c>
      <c r="R109" s="25">
        <v>5</v>
      </c>
      <c r="S109" s="19"/>
      <c r="T109" s="49">
        <f t="shared" si="79"/>
        <v>5</v>
      </c>
      <c r="U109" s="31"/>
      <c r="V109" s="7"/>
      <c r="W109" s="57">
        <f t="shared" si="80"/>
        <v>0</v>
      </c>
      <c r="X109" s="25">
        <v>5</v>
      </c>
      <c r="Y109" s="19"/>
      <c r="Z109" s="49">
        <f t="shared" si="81"/>
        <v>5</v>
      </c>
      <c r="AA109" s="31"/>
      <c r="AB109" s="7"/>
      <c r="AC109" s="57">
        <f t="shared" si="82"/>
        <v>0</v>
      </c>
      <c r="AD109" s="38">
        <f t="shared" si="83"/>
        <v>10</v>
      </c>
      <c r="AE109" s="160">
        <v>46192</v>
      </c>
    </row>
    <row r="110" spans="2:31" x14ac:dyDescent="0.15">
      <c r="B110" s="34"/>
      <c r="C110" s="25"/>
      <c r="D110" s="19"/>
      <c r="E110" s="49">
        <f t="shared" si="57"/>
        <v>0</v>
      </c>
      <c r="F110" s="31"/>
      <c r="G110" s="7"/>
      <c r="H110" s="57">
        <f t="shared" si="58"/>
        <v>0</v>
      </c>
      <c r="I110" s="25"/>
      <c r="J110" s="19"/>
      <c r="K110" s="49">
        <f t="shared" si="59"/>
        <v>0</v>
      </c>
      <c r="L110" s="31"/>
      <c r="M110" s="7"/>
      <c r="N110" s="57">
        <f t="shared" si="60"/>
        <v>0</v>
      </c>
      <c r="O110" s="38">
        <f t="shared" si="65"/>
        <v>0</v>
      </c>
      <c r="Q110" s="191" t="s">
        <v>111</v>
      </c>
      <c r="R110" s="110">
        <v>6</v>
      </c>
      <c r="S110" s="111"/>
      <c r="T110" s="117">
        <f t="shared" si="79"/>
        <v>6</v>
      </c>
      <c r="U110" s="112"/>
      <c r="V110" s="113"/>
      <c r="W110" s="118">
        <f t="shared" si="80"/>
        <v>0</v>
      </c>
      <c r="X110" s="110">
        <v>6</v>
      </c>
      <c r="Y110" s="111"/>
      <c r="Z110" s="117">
        <f t="shared" si="81"/>
        <v>6</v>
      </c>
      <c r="AA110" s="112"/>
      <c r="AB110" s="113"/>
      <c r="AC110" s="118">
        <f t="shared" si="82"/>
        <v>0</v>
      </c>
      <c r="AD110" s="68">
        <f t="shared" si="83"/>
        <v>12</v>
      </c>
      <c r="AE110" s="114">
        <v>46192</v>
      </c>
    </row>
    <row r="111" spans="2:31" x14ac:dyDescent="0.15">
      <c r="B111" s="6"/>
      <c r="C111" s="25"/>
      <c r="D111" s="19"/>
      <c r="E111" s="49">
        <f t="shared" si="57"/>
        <v>0</v>
      </c>
      <c r="F111" s="31"/>
      <c r="G111" s="7"/>
      <c r="H111" s="57">
        <f t="shared" si="58"/>
        <v>0</v>
      </c>
      <c r="I111" s="25"/>
      <c r="J111" s="19"/>
      <c r="K111" s="49">
        <f t="shared" si="59"/>
        <v>0</v>
      </c>
      <c r="L111" s="31"/>
      <c r="M111" s="7"/>
      <c r="N111" s="57">
        <f t="shared" si="60"/>
        <v>0</v>
      </c>
      <c r="O111" s="38">
        <f t="shared" si="65"/>
        <v>0</v>
      </c>
      <c r="Q111" s="34"/>
      <c r="R111" s="25"/>
      <c r="S111" s="19"/>
      <c r="T111" s="49">
        <f t="shared" si="79"/>
        <v>0</v>
      </c>
      <c r="U111" s="31"/>
      <c r="V111" s="7"/>
      <c r="W111" s="57">
        <f t="shared" si="80"/>
        <v>0</v>
      </c>
      <c r="X111" s="25"/>
      <c r="Y111" s="19"/>
      <c r="Z111" s="49">
        <f t="shared" si="81"/>
        <v>0</v>
      </c>
      <c r="AA111" s="31"/>
      <c r="AB111" s="7"/>
      <c r="AC111" s="57">
        <f t="shared" si="82"/>
        <v>0</v>
      </c>
      <c r="AD111" s="38">
        <f t="shared" si="83"/>
        <v>0</v>
      </c>
    </row>
    <row r="112" spans="2:31" x14ac:dyDescent="0.15">
      <c r="B112" s="6"/>
      <c r="C112" s="25"/>
      <c r="D112" s="19"/>
      <c r="E112" s="49">
        <f t="shared" si="57"/>
        <v>0</v>
      </c>
      <c r="F112" s="31"/>
      <c r="G112" s="7"/>
      <c r="H112" s="57">
        <f t="shared" si="58"/>
        <v>0</v>
      </c>
      <c r="I112" s="25"/>
      <c r="J112" s="19"/>
      <c r="K112" s="49">
        <f t="shared" si="59"/>
        <v>0</v>
      </c>
      <c r="L112" s="31"/>
      <c r="M112" s="7"/>
      <c r="N112" s="57">
        <f t="shared" si="60"/>
        <v>0</v>
      </c>
      <c r="O112" s="38">
        <f t="shared" si="65"/>
        <v>0</v>
      </c>
      <c r="Q112" s="6" t="s">
        <v>219</v>
      </c>
      <c r="R112" s="25"/>
      <c r="S112" s="19"/>
      <c r="T112" s="49">
        <f t="shared" ref="T112:T113" si="84">SUM(R112:S112)</f>
        <v>0</v>
      </c>
      <c r="U112" s="184"/>
      <c r="V112" s="185"/>
      <c r="W112" s="57">
        <f t="shared" ref="W112:W113" si="85">SUM(U112:V112)</f>
        <v>0</v>
      </c>
      <c r="X112" s="25"/>
      <c r="Y112" s="19"/>
      <c r="Z112" s="49">
        <f t="shared" ref="Z112:Z113" si="86">SUM(X112:Y112)</f>
        <v>0</v>
      </c>
      <c r="AA112" s="184"/>
      <c r="AB112" s="185"/>
      <c r="AC112" s="57">
        <f t="shared" ref="AC112:AC113" si="87">SUM(AA112:AB112)</f>
        <v>0</v>
      </c>
      <c r="AD112" s="38">
        <f t="shared" ref="AD112:AD113" si="88">T112+W112+Z112+AC112</f>
        <v>0</v>
      </c>
      <c r="AE112" t="s">
        <v>220</v>
      </c>
    </row>
    <row r="113" spans="2:31" x14ac:dyDescent="0.15">
      <c r="B113" s="6"/>
      <c r="C113" s="25"/>
      <c r="D113" s="19"/>
      <c r="E113" s="49">
        <f t="shared" si="57"/>
        <v>0</v>
      </c>
      <c r="F113" s="31"/>
      <c r="G113" s="7"/>
      <c r="H113" s="57">
        <f t="shared" si="58"/>
        <v>0</v>
      </c>
      <c r="I113" s="25"/>
      <c r="J113" s="19"/>
      <c r="K113" s="49">
        <f t="shared" si="59"/>
        <v>0</v>
      </c>
      <c r="L113" s="31"/>
      <c r="M113" s="7"/>
      <c r="N113" s="57">
        <f t="shared" si="60"/>
        <v>0</v>
      </c>
      <c r="O113" s="38">
        <f t="shared" si="65"/>
        <v>0</v>
      </c>
      <c r="Q113" s="6" t="s">
        <v>221</v>
      </c>
      <c r="R113" s="25"/>
      <c r="S113" s="19"/>
      <c r="T113" s="49">
        <f t="shared" si="84"/>
        <v>0</v>
      </c>
      <c r="U113" s="184"/>
      <c r="V113" s="185"/>
      <c r="W113" s="57">
        <f t="shared" si="85"/>
        <v>0</v>
      </c>
      <c r="X113" s="25"/>
      <c r="Y113" s="19"/>
      <c r="Z113" s="49">
        <f t="shared" si="86"/>
        <v>0</v>
      </c>
      <c r="AA113" s="184"/>
      <c r="AB113" s="185"/>
      <c r="AC113" s="57">
        <f t="shared" si="87"/>
        <v>0</v>
      </c>
      <c r="AD113" s="38">
        <f t="shared" si="88"/>
        <v>0</v>
      </c>
      <c r="AE113" t="s">
        <v>196</v>
      </c>
    </row>
    <row r="114" spans="2:31" x14ac:dyDescent="0.15">
      <c r="B114" s="6"/>
      <c r="C114" s="25"/>
      <c r="D114" s="19"/>
      <c r="E114" s="49">
        <f t="shared" si="57"/>
        <v>0</v>
      </c>
      <c r="F114" s="31"/>
      <c r="G114" s="7"/>
      <c r="H114" s="57">
        <f t="shared" si="58"/>
        <v>0</v>
      </c>
      <c r="I114" s="25"/>
      <c r="J114" s="19"/>
      <c r="K114" s="49">
        <f t="shared" si="59"/>
        <v>0</v>
      </c>
      <c r="L114" s="31"/>
      <c r="M114" s="7"/>
      <c r="N114" s="57">
        <f t="shared" si="60"/>
        <v>0</v>
      </c>
      <c r="O114" s="38">
        <f t="shared" si="65"/>
        <v>0</v>
      </c>
      <c r="Q114" s="115" t="s">
        <v>225</v>
      </c>
      <c r="R114" s="110">
        <v>20</v>
      </c>
      <c r="S114" s="111">
        <v>20</v>
      </c>
      <c r="T114" s="117">
        <f t="shared" ref="T114:T116" si="89">SUM(R114:S114)</f>
        <v>40</v>
      </c>
      <c r="U114" s="129"/>
      <c r="V114" s="130"/>
      <c r="W114" s="118">
        <f t="shared" ref="W114:W116" si="90">SUM(U114:V114)</f>
        <v>0</v>
      </c>
      <c r="X114" s="110">
        <v>20</v>
      </c>
      <c r="Y114" s="111">
        <v>20</v>
      </c>
      <c r="Z114" s="117">
        <f t="shared" ref="Z114:Z116" si="91">SUM(X114:Y114)</f>
        <v>40</v>
      </c>
      <c r="AA114" s="129"/>
      <c r="AB114" s="130"/>
      <c r="AC114" s="118">
        <f t="shared" ref="AC114:AC116" si="92">SUM(AA114:AB114)</f>
        <v>0</v>
      </c>
      <c r="AD114" s="68">
        <f t="shared" ref="AD114:AD116" si="93">T114+W114+Z114+AC114</f>
        <v>80</v>
      </c>
      <c r="AE114" s="116" t="s">
        <v>91</v>
      </c>
    </row>
    <row r="115" spans="2:31" x14ac:dyDescent="0.15">
      <c r="B115" s="6"/>
      <c r="C115" s="25"/>
      <c r="D115" s="19"/>
      <c r="E115" s="49">
        <f t="shared" si="57"/>
        <v>0</v>
      </c>
      <c r="F115" s="31"/>
      <c r="G115" s="7"/>
      <c r="H115" s="57">
        <f t="shared" si="58"/>
        <v>0</v>
      </c>
      <c r="I115" s="25"/>
      <c r="J115" s="19"/>
      <c r="K115" s="49">
        <f t="shared" si="59"/>
        <v>0</v>
      </c>
      <c r="L115" s="31"/>
      <c r="M115" s="7"/>
      <c r="N115" s="57">
        <f t="shared" si="60"/>
        <v>0</v>
      </c>
      <c r="O115" s="38">
        <f t="shared" si="65"/>
        <v>0</v>
      </c>
      <c r="Q115" s="170" t="s">
        <v>177</v>
      </c>
      <c r="R115" s="137"/>
      <c r="S115" s="138"/>
      <c r="T115" s="136">
        <f t="shared" si="89"/>
        <v>0</v>
      </c>
      <c r="U115" s="137"/>
      <c r="V115" s="138"/>
      <c r="W115" s="139">
        <f t="shared" si="90"/>
        <v>0</v>
      </c>
      <c r="X115" s="137"/>
      <c r="Y115" s="175"/>
      <c r="Z115" s="178">
        <f t="shared" si="91"/>
        <v>0</v>
      </c>
      <c r="AA115" s="174"/>
      <c r="AB115" s="175"/>
      <c r="AC115" s="134">
        <f t="shared" si="92"/>
        <v>0</v>
      </c>
      <c r="AD115" s="135">
        <f t="shared" si="93"/>
        <v>0</v>
      </c>
    </row>
    <row r="116" spans="2:31" ht="14.25" thickBot="1" x14ac:dyDescent="0.2">
      <c r="B116" s="6"/>
      <c r="C116" s="29"/>
      <c r="D116" s="20"/>
      <c r="E116" s="50">
        <f t="shared" si="57"/>
        <v>0</v>
      </c>
      <c r="F116" s="32"/>
      <c r="G116" s="5"/>
      <c r="H116" s="58">
        <f t="shared" si="58"/>
        <v>0</v>
      </c>
      <c r="I116" s="29"/>
      <c r="J116" s="20"/>
      <c r="K116" s="50">
        <f t="shared" si="59"/>
        <v>0</v>
      </c>
      <c r="L116" s="32"/>
      <c r="M116" s="5"/>
      <c r="N116" s="58">
        <f t="shared" si="60"/>
        <v>0</v>
      </c>
      <c r="O116" s="39">
        <f t="shared" si="65"/>
        <v>0</v>
      </c>
      <c r="Q116" s="6" t="s">
        <v>176</v>
      </c>
      <c r="R116" s="25"/>
      <c r="S116" s="19"/>
      <c r="T116" s="183">
        <f t="shared" si="89"/>
        <v>0</v>
      </c>
      <c r="U116" s="25"/>
      <c r="V116" s="19"/>
      <c r="W116" s="94">
        <f t="shared" si="90"/>
        <v>0</v>
      </c>
      <c r="X116" s="25"/>
      <c r="Y116" s="19"/>
      <c r="Z116" s="183">
        <f t="shared" si="91"/>
        <v>0</v>
      </c>
      <c r="AA116" s="25"/>
      <c r="AB116" s="19"/>
      <c r="AC116" s="94">
        <f t="shared" si="92"/>
        <v>0</v>
      </c>
      <c r="AD116" s="95">
        <f t="shared" si="93"/>
        <v>0</v>
      </c>
      <c r="AE116" t="s">
        <v>190</v>
      </c>
    </row>
    <row r="117" spans="2:31" ht="14.25" thickBot="1" x14ac:dyDescent="0.2">
      <c r="B117" s="4" t="s">
        <v>1</v>
      </c>
      <c r="C117" s="27">
        <f>SUM(C92:C116)</f>
        <v>0</v>
      </c>
      <c r="D117" s="21">
        <f>SUM(D92:D116)</f>
        <v>0</v>
      </c>
      <c r="E117" s="51">
        <f t="shared" si="57"/>
        <v>0</v>
      </c>
      <c r="F117" s="27">
        <f>SUM(F92:F116)</f>
        <v>0</v>
      </c>
      <c r="G117" s="21">
        <f>SUM(G92:G116)</f>
        <v>0</v>
      </c>
      <c r="H117" s="59">
        <f t="shared" si="58"/>
        <v>0</v>
      </c>
      <c r="I117" s="27">
        <f>SUM(I92:I116)</f>
        <v>0</v>
      </c>
      <c r="J117" s="21">
        <f>SUM(J92:J116)</f>
        <v>0</v>
      </c>
      <c r="K117" s="51">
        <f t="shared" si="59"/>
        <v>0</v>
      </c>
      <c r="L117" s="27">
        <f>SUM(L92:L116)</f>
        <v>0</v>
      </c>
      <c r="M117" s="21">
        <f>SUM(M92:M116)</f>
        <v>0</v>
      </c>
      <c r="N117" s="59">
        <f t="shared" si="60"/>
        <v>0</v>
      </c>
      <c r="O117" s="40">
        <f t="shared" si="65"/>
        <v>0</v>
      </c>
      <c r="Q117" s="4" t="s">
        <v>1</v>
      </c>
      <c r="R117" s="27">
        <f>SUM(R92:R116)</f>
        <v>186</v>
      </c>
      <c r="S117" s="21">
        <f>SUM(S92:S116)</f>
        <v>150</v>
      </c>
      <c r="T117" s="51">
        <f t="shared" ref="T117:T118" si="94">SUM(R117:S117)</f>
        <v>336</v>
      </c>
      <c r="U117" s="27">
        <f>SUM(U92:U116)</f>
        <v>104</v>
      </c>
      <c r="V117" s="21">
        <f>SUM(V92:V116)</f>
        <v>78</v>
      </c>
      <c r="W117" s="59">
        <f t="shared" si="62"/>
        <v>182</v>
      </c>
      <c r="X117" s="27">
        <f>SUM(X92:X116)</f>
        <v>234</v>
      </c>
      <c r="Y117" s="21">
        <f>SUM(Y92:Y116)</f>
        <v>222</v>
      </c>
      <c r="Z117" s="51">
        <f t="shared" si="63"/>
        <v>456</v>
      </c>
      <c r="AA117" s="27">
        <f>SUM(AA92:AA116)</f>
        <v>130</v>
      </c>
      <c r="AB117" s="21">
        <f>SUM(AB92:AB116)</f>
        <v>98</v>
      </c>
      <c r="AC117" s="59">
        <f t="shared" si="64"/>
        <v>228</v>
      </c>
      <c r="AD117" s="40">
        <f t="shared" si="66"/>
        <v>1202</v>
      </c>
    </row>
    <row r="118" spans="2:31" ht="14.25" thickBot="1" x14ac:dyDescent="0.2">
      <c r="B118" s="3" t="s">
        <v>0</v>
      </c>
      <c r="C118" s="30">
        <f>C91-C117</f>
        <v>0</v>
      </c>
      <c r="D118" s="30">
        <f>D91-D117</f>
        <v>2</v>
      </c>
      <c r="E118" s="52">
        <f t="shared" si="57"/>
        <v>2</v>
      </c>
      <c r="F118" s="30">
        <f>F91-F117</f>
        <v>1</v>
      </c>
      <c r="G118" s="30">
        <f>G91-G117</f>
        <v>1</v>
      </c>
      <c r="H118" s="60">
        <f t="shared" si="58"/>
        <v>2</v>
      </c>
      <c r="I118" s="30">
        <f>I91-I117</f>
        <v>0</v>
      </c>
      <c r="J118" s="30">
        <f>J91-J117</f>
        <v>2</v>
      </c>
      <c r="K118" s="52">
        <f t="shared" si="59"/>
        <v>2</v>
      </c>
      <c r="L118" s="30">
        <f>L91-L117</f>
        <v>1</v>
      </c>
      <c r="M118" s="30">
        <f>M91-M117</f>
        <v>1</v>
      </c>
      <c r="N118" s="60">
        <f t="shared" si="60"/>
        <v>2</v>
      </c>
      <c r="O118" s="41">
        <f t="shared" si="65"/>
        <v>8</v>
      </c>
      <c r="Q118" s="3" t="s">
        <v>0</v>
      </c>
      <c r="R118" s="30">
        <f>+R91-R117</f>
        <v>209</v>
      </c>
      <c r="S118" s="2">
        <f>+S91-S117</f>
        <v>230</v>
      </c>
      <c r="T118" s="52">
        <f t="shared" si="94"/>
        <v>439</v>
      </c>
      <c r="U118" s="30">
        <f>+U91-U117</f>
        <v>258</v>
      </c>
      <c r="V118" s="2">
        <f>+V91-V117</f>
        <v>262</v>
      </c>
      <c r="W118" s="60">
        <f t="shared" si="62"/>
        <v>520</v>
      </c>
      <c r="X118" s="30">
        <f>+X91-X117</f>
        <v>66</v>
      </c>
      <c r="Y118" s="2">
        <f>+Y91-Y117</f>
        <v>37</v>
      </c>
      <c r="Z118" s="52">
        <f t="shared" si="63"/>
        <v>103</v>
      </c>
      <c r="AA118" s="30">
        <f>+AA91-AA117</f>
        <v>113</v>
      </c>
      <c r="AB118" s="2">
        <f>+AB91-AB117</f>
        <v>147</v>
      </c>
      <c r="AC118" s="60">
        <f t="shared" si="64"/>
        <v>260</v>
      </c>
      <c r="AD118" s="41">
        <f t="shared" si="66"/>
        <v>1322</v>
      </c>
    </row>
    <row r="121" spans="2:31" ht="18.75" x14ac:dyDescent="0.2">
      <c r="B121" s="101" t="s">
        <v>11</v>
      </c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Q121" s="107" t="s">
        <v>158</v>
      </c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</row>
    <row r="122" spans="2:31" ht="18" thickBot="1" x14ac:dyDescent="0.25">
      <c r="B122" s="103" t="s">
        <v>156</v>
      </c>
      <c r="C122" s="102"/>
      <c r="D122" s="102"/>
      <c r="E122" s="102"/>
      <c r="F122" s="102"/>
      <c r="G122" s="102"/>
      <c r="H122" s="102"/>
      <c r="I122" s="102"/>
      <c r="J122" s="102" t="s">
        <v>157</v>
      </c>
      <c r="K122" s="102"/>
      <c r="L122" s="102"/>
      <c r="M122" s="102"/>
      <c r="N122" s="102"/>
      <c r="O122" s="102"/>
      <c r="Q122" s="109" t="s">
        <v>156</v>
      </c>
      <c r="R122" s="108"/>
      <c r="S122" s="108"/>
      <c r="T122" s="108"/>
      <c r="U122" s="108"/>
      <c r="V122" s="108"/>
      <c r="W122" s="108"/>
      <c r="X122" s="108"/>
      <c r="Y122" s="108" t="s">
        <v>157</v>
      </c>
      <c r="Z122" s="108"/>
      <c r="AA122" s="108"/>
      <c r="AB122" s="108"/>
      <c r="AC122" s="108"/>
      <c r="AD122" s="108"/>
    </row>
    <row r="123" spans="2:31" ht="14.25" thickBot="1" x14ac:dyDescent="0.2">
      <c r="B123" s="14"/>
      <c r="C123" s="206" t="s">
        <v>9</v>
      </c>
      <c r="D123" s="207"/>
      <c r="E123" s="208"/>
      <c r="F123" s="209" t="s">
        <v>154</v>
      </c>
      <c r="G123" s="210"/>
      <c r="H123" s="211"/>
      <c r="I123" s="212" t="s">
        <v>10</v>
      </c>
      <c r="J123" s="213"/>
      <c r="K123" s="214"/>
      <c r="L123" s="215" t="s">
        <v>164</v>
      </c>
      <c r="M123" s="216"/>
      <c r="N123" s="216"/>
      <c r="O123" s="217" t="s">
        <v>8</v>
      </c>
      <c r="Q123" s="14"/>
      <c r="R123" s="206" t="s">
        <v>9</v>
      </c>
      <c r="S123" s="207"/>
      <c r="T123" s="208"/>
      <c r="U123" s="209" t="s">
        <v>154</v>
      </c>
      <c r="V123" s="210"/>
      <c r="W123" s="211"/>
      <c r="X123" s="212" t="s">
        <v>10</v>
      </c>
      <c r="Y123" s="213"/>
      <c r="Z123" s="214"/>
      <c r="AA123" s="215" t="s">
        <v>164</v>
      </c>
      <c r="AB123" s="216"/>
      <c r="AC123" s="216"/>
      <c r="AD123" s="217" t="s">
        <v>8</v>
      </c>
    </row>
    <row r="124" spans="2:31" ht="14.25" thickBot="1" x14ac:dyDescent="0.2">
      <c r="B124" s="4"/>
      <c r="C124" s="62" t="s">
        <v>6</v>
      </c>
      <c r="D124" s="61" t="s">
        <v>5</v>
      </c>
      <c r="E124" s="63" t="s">
        <v>4</v>
      </c>
      <c r="F124" s="62" t="s">
        <v>6</v>
      </c>
      <c r="G124" s="61" t="s">
        <v>5</v>
      </c>
      <c r="H124" s="63" t="s">
        <v>4</v>
      </c>
      <c r="I124" s="62" t="s">
        <v>6</v>
      </c>
      <c r="J124" s="61" t="s">
        <v>5</v>
      </c>
      <c r="K124" s="63" t="s">
        <v>4</v>
      </c>
      <c r="L124" s="62" t="s">
        <v>6</v>
      </c>
      <c r="M124" s="61" t="s">
        <v>5</v>
      </c>
      <c r="N124" s="63" t="s">
        <v>4</v>
      </c>
      <c r="O124" s="218"/>
      <c r="Q124" s="4"/>
      <c r="R124" s="62" t="s">
        <v>6</v>
      </c>
      <c r="S124" s="61" t="s">
        <v>5</v>
      </c>
      <c r="T124" s="63" t="s">
        <v>4</v>
      </c>
      <c r="U124" s="62" t="s">
        <v>6</v>
      </c>
      <c r="V124" s="61" t="s">
        <v>5</v>
      </c>
      <c r="W124" s="63" t="s">
        <v>4</v>
      </c>
      <c r="X124" s="62" t="s">
        <v>6</v>
      </c>
      <c r="Y124" s="61" t="s">
        <v>5</v>
      </c>
      <c r="Z124" s="63" t="s">
        <v>4</v>
      </c>
      <c r="AA124" s="62" t="s">
        <v>6</v>
      </c>
      <c r="AB124" s="61" t="s">
        <v>5</v>
      </c>
      <c r="AC124" s="63" t="s">
        <v>4</v>
      </c>
      <c r="AD124" s="218"/>
    </row>
    <row r="125" spans="2:31" ht="14.25" thickBot="1" x14ac:dyDescent="0.2">
      <c r="B125" s="106" t="s">
        <v>173</v>
      </c>
      <c r="C125" s="43">
        <f>C118</f>
        <v>0</v>
      </c>
      <c r="D125" s="43">
        <f>D118</f>
        <v>2</v>
      </c>
      <c r="E125" s="83">
        <f t="shared" ref="E125:E158" si="95">SUM(C125:D125)</f>
        <v>2</v>
      </c>
      <c r="F125" s="43">
        <f>F118</f>
        <v>1</v>
      </c>
      <c r="G125" s="43">
        <f>G118</f>
        <v>1</v>
      </c>
      <c r="H125" s="84">
        <f t="shared" ref="H125:H158" si="96">SUM(F125:G125)</f>
        <v>2</v>
      </c>
      <c r="I125" s="43">
        <f>I118</f>
        <v>0</v>
      </c>
      <c r="J125" s="43">
        <f>J118</f>
        <v>2</v>
      </c>
      <c r="K125" s="83">
        <f t="shared" ref="K125:K158" si="97">SUM(I125:J125)</f>
        <v>2</v>
      </c>
      <c r="L125" s="43">
        <f>L118</f>
        <v>1</v>
      </c>
      <c r="M125" s="43">
        <f>M118</f>
        <v>1</v>
      </c>
      <c r="N125" s="84">
        <f t="shared" ref="N125:N158" si="98">SUM(L125:M125)</f>
        <v>2</v>
      </c>
      <c r="O125" s="41">
        <f>E125+H125+K125+N125</f>
        <v>8</v>
      </c>
      <c r="Q125" s="106" t="s">
        <v>173</v>
      </c>
      <c r="R125" s="43">
        <f>R118</f>
        <v>209</v>
      </c>
      <c r="S125" s="43">
        <f>S118</f>
        <v>230</v>
      </c>
      <c r="T125" s="83">
        <f t="shared" ref="T125:T158" si="99">SUM(R125:S125)</f>
        <v>439</v>
      </c>
      <c r="U125" s="43">
        <f>U118</f>
        <v>258</v>
      </c>
      <c r="V125" s="43">
        <f>V118</f>
        <v>262</v>
      </c>
      <c r="W125" s="84">
        <f t="shared" ref="W125:W158" si="100">SUM(U125:V125)</f>
        <v>520</v>
      </c>
      <c r="X125" s="43">
        <f>X118</f>
        <v>66</v>
      </c>
      <c r="Y125" s="43">
        <f>Y118</f>
        <v>37</v>
      </c>
      <c r="Z125" s="83">
        <f t="shared" ref="Z125:Z158" si="101">SUM(X125:Y125)</f>
        <v>103</v>
      </c>
      <c r="AA125" s="43">
        <f>AA118</f>
        <v>113</v>
      </c>
      <c r="AB125" s="43">
        <f>AB118</f>
        <v>147</v>
      </c>
      <c r="AC125" s="84">
        <f t="shared" ref="AC125:AC158" si="102">SUM(AA125:AB125)</f>
        <v>260</v>
      </c>
      <c r="AD125" s="41">
        <f>T125+W125+Z125+AC125</f>
        <v>1322</v>
      </c>
    </row>
    <row r="126" spans="2:31" x14ac:dyDescent="0.15">
      <c r="B126" s="105" t="s">
        <v>3</v>
      </c>
      <c r="C126" s="31"/>
      <c r="D126" s="7"/>
      <c r="E126" s="76">
        <f t="shared" si="95"/>
        <v>0</v>
      </c>
      <c r="F126" s="31"/>
      <c r="G126" s="7"/>
      <c r="H126" s="77">
        <f t="shared" si="96"/>
        <v>0</v>
      </c>
      <c r="I126" s="31"/>
      <c r="J126" s="7"/>
      <c r="K126" s="76">
        <f t="shared" si="97"/>
        <v>0</v>
      </c>
      <c r="L126" s="31"/>
      <c r="M126" s="7"/>
      <c r="N126" s="77">
        <f t="shared" si="98"/>
        <v>0</v>
      </c>
      <c r="O126" s="38">
        <f t="shared" ref="O126:O158" si="103">E126+H126+K126+N126</f>
        <v>0</v>
      </c>
      <c r="Q126" s="105" t="s">
        <v>3</v>
      </c>
      <c r="R126" s="31"/>
      <c r="S126" s="7"/>
      <c r="T126" s="76">
        <f t="shared" si="99"/>
        <v>0</v>
      </c>
      <c r="U126" s="31"/>
      <c r="V126" s="7"/>
      <c r="W126" s="77">
        <f t="shared" si="100"/>
        <v>0</v>
      </c>
      <c r="X126" s="31"/>
      <c r="Y126" s="7"/>
      <c r="Z126" s="76">
        <f t="shared" si="101"/>
        <v>0</v>
      </c>
      <c r="AA126" s="31"/>
      <c r="AB126" s="7"/>
      <c r="AC126" s="77">
        <f t="shared" si="102"/>
        <v>0</v>
      </c>
      <c r="AD126" s="38">
        <f t="shared" ref="AD126:AD158" si="104">T126+W126+Z126+AC126</f>
        <v>0</v>
      </c>
      <c r="AE126" s="160"/>
    </row>
    <row r="127" spans="2:31" x14ac:dyDescent="0.15">
      <c r="B127" s="11" t="s">
        <v>3</v>
      </c>
      <c r="C127" s="25"/>
      <c r="D127" s="19"/>
      <c r="E127" s="46">
        <f t="shared" si="95"/>
        <v>0</v>
      </c>
      <c r="F127" s="31"/>
      <c r="G127" s="7"/>
      <c r="H127" s="54">
        <f t="shared" si="96"/>
        <v>0</v>
      </c>
      <c r="I127" s="25"/>
      <c r="J127" s="19"/>
      <c r="K127" s="46">
        <f t="shared" si="97"/>
        <v>0</v>
      </c>
      <c r="L127" s="31"/>
      <c r="M127" s="7"/>
      <c r="N127" s="54">
        <f t="shared" si="98"/>
        <v>0</v>
      </c>
      <c r="O127" s="38">
        <f t="shared" si="103"/>
        <v>0</v>
      </c>
      <c r="Q127" s="193" t="s">
        <v>233</v>
      </c>
      <c r="R127" s="112">
        <v>30</v>
      </c>
      <c r="S127" s="113">
        <v>30</v>
      </c>
      <c r="T127" s="194">
        <f t="shared" si="99"/>
        <v>60</v>
      </c>
      <c r="U127" s="112"/>
      <c r="V127" s="113"/>
      <c r="W127" s="195">
        <f t="shared" si="100"/>
        <v>0</v>
      </c>
      <c r="X127" s="112">
        <v>20</v>
      </c>
      <c r="Y127" s="113">
        <v>50</v>
      </c>
      <c r="Z127" s="194">
        <f t="shared" si="101"/>
        <v>70</v>
      </c>
      <c r="AA127" s="112"/>
      <c r="AB127" s="113"/>
      <c r="AC127" s="195">
        <f t="shared" si="102"/>
        <v>0</v>
      </c>
      <c r="AD127" s="68">
        <f t="shared" si="104"/>
        <v>130</v>
      </c>
      <c r="AE127" s="114">
        <v>46205</v>
      </c>
    </row>
    <row r="128" spans="2:31" x14ac:dyDescent="0.15">
      <c r="B128" s="11" t="s">
        <v>3</v>
      </c>
      <c r="C128" s="25"/>
      <c r="D128" s="19"/>
      <c r="E128" s="46">
        <f t="shared" si="95"/>
        <v>0</v>
      </c>
      <c r="F128" s="31"/>
      <c r="G128" s="7"/>
      <c r="H128" s="54">
        <f t="shared" si="96"/>
        <v>0</v>
      </c>
      <c r="I128" s="25"/>
      <c r="J128" s="19"/>
      <c r="K128" s="46">
        <f t="shared" si="97"/>
        <v>0</v>
      </c>
      <c r="L128" s="31"/>
      <c r="M128" s="7"/>
      <c r="N128" s="54">
        <f t="shared" si="98"/>
        <v>0</v>
      </c>
      <c r="O128" s="38">
        <f t="shared" si="103"/>
        <v>0</v>
      </c>
      <c r="Q128" s="105" t="s">
        <v>3</v>
      </c>
      <c r="R128" s="31"/>
      <c r="S128" s="7"/>
      <c r="T128" s="76">
        <f t="shared" si="99"/>
        <v>0</v>
      </c>
      <c r="U128" s="31"/>
      <c r="V128" s="7"/>
      <c r="W128" s="77">
        <f t="shared" si="100"/>
        <v>0</v>
      </c>
      <c r="X128" s="31"/>
      <c r="Y128" s="7"/>
      <c r="Z128" s="76">
        <f t="shared" si="101"/>
        <v>0</v>
      </c>
      <c r="AA128" s="31"/>
      <c r="AB128" s="7"/>
      <c r="AC128" s="77">
        <f t="shared" si="102"/>
        <v>0</v>
      </c>
      <c r="AD128" s="38">
        <f t="shared" si="104"/>
        <v>0</v>
      </c>
      <c r="AE128" s="160"/>
    </row>
    <row r="129" spans="2:31" x14ac:dyDescent="0.15">
      <c r="B129" s="11" t="s">
        <v>3</v>
      </c>
      <c r="C129" s="25"/>
      <c r="D129" s="19"/>
      <c r="E129" s="46">
        <f t="shared" si="95"/>
        <v>0</v>
      </c>
      <c r="F129" s="31"/>
      <c r="G129" s="7"/>
      <c r="H129" s="54">
        <f t="shared" si="96"/>
        <v>0</v>
      </c>
      <c r="I129" s="25"/>
      <c r="J129" s="19"/>
      <c r="K129" s="46">
        <f t="shared" si="97"/>
        <v>0</v>
      </c>
      <c r="L129" s="31"/>
      <c r="M129" s="7"/>
      <c r="N129" s="54">
        <f t="shared" si="98"/>
        <v>0</v>
      </c>
      <c r="O129" s="38">
        <f t="shared" si="103"/>
        <v>0</v>
      </c>
      <c r="Q129" s="193" t="s">
        <v>249</v>
      </c>
      <c r="R129" s="112">
        <v>60</v>
      </c>
      <c r="S129" s="113">
        <v>50</v>
      </c>
      <c r="T129" s="194">
        <f t="shared" si="99"/>
        <v>110</v>
      </c>
      <c r="U129" s="112">
        <v>50</v>
      </c>
      <c r="V129" s="113">
        <v>30</v>
      </c>
      <c r="W129" s="195">
        <f t="shared" si="100"/>
        <v>80</v>
      </c>
      <c r="X129" s="112">
        <v>160</v>
      </c>
      <c r="Y129" s="113">
        <v>150</v>
      </c>
      <c r="Z129" s="194">
        <f t="shared" si="101"/>
        <v>310</v>
      </c>
      <c r="AA129" s="112">
        <v>160</v>
      </c>
      <c r="AB129" s="113">
        <v>60</v>
      </c>
      <c r="AC129" s="195">
        <f t="shared" si="102"/>
        <v>220</v>
      </c>
      <c r="AD129" s="68">
        <f t="shared" si="104"/>
        <v>720</v>
      </c>
      <c r="AE129" s="114">
        <v>46205</v>
      </c>
    </row>
    <row r="130" spans="2:31" ht="14.25" thickBot="1" x14ac:dyDescent="0.2">
      <c r="B130" s="10" t="s">
        <v>3</v>
      </c>
      <c r="C130" s="26"/>
      <c r="D130" s="20"/>
      <c r="E130" s="47">
        <f t="shared" si="95"/>
        <v>0</v>
      </c>
      <c r="F130" s="32"/>
      <c r="G130" s="5"/>
      <c r="H130" s="55">
        <f t="shared" si="96"/>
        <v>0</v>
      </c>
      <c r="I130" s="26"/>
      <c r="J130" s="20"/>
      <c r="K130" s="47">
        <f t="shared" si="97"/>
        <v>0</v>
      </c>
      <c r="L130" s="32"/>
      <c r="M130" s="5"/>
      <c r="N130" s="55">
        <f t="shared" si="98"/>
        <v>0</v>
      </c>
      <c r="O130" s="39">
        <f t="shared" si="103"/>
        <v>0</v>
      </c>
      <c r="Q130" s="105" t="s">
        <v>3</v>
      </c>
      <c r="R130" s="31"/>
      <c r="S130" s="7"/>
      <c r="T130" s="76">
        <f t="shared" ref="T130" si="105">SUM(R130:S130)</f>
        <v>0</v>
      </c>
      <c r="U130" s="31"/>
      <c r="V130" s="7"/>
      <c r="W130" s="77">
        <f t="shared" ref="W130" si="106">SUM(U130:V130)</f>
        <v>0</v>
      </c>
      <c r="X130" s="31"/>
      <c r="Y130" s="7"/>
      <c r="Z130" s="76">
        <f t="shared" ref="Z130" si="107">SUM(X130:Y130)</f>
        <v>0</v>
      </c>
      <c r="AA130" s="31"/>
      <c r="AB130" s="7"/>
      <c r="AC130" s="47">
        <f t="shared" ref="AC130" si="108">SUM(AA130:AB130)</f>
        <v>0</v>
      </c>
      <c r="AD130" s="38">
        <f t="shared" ref="AD130" si="109">T130+W130+Z130+AC130</f>
        <v>0</v>
      </c>
      <c r="AE130" s="160"/>
    </row>
    <row r="131" spans="2:31" ht="14.25" thickBot="1" x14ac:dyDescent="0.2">
      <c r="B131" s="42" t="s">
        <v>2</v>
      </c>
      <c r="C131" s="43">
        <f>SUM(C125:C130)</f>
        <v>0</v>
      </c>
      <c r="D131" s="44">
        <f>SUM(D125:D130)</f>
        <v>2</v>
      </c>
      <c r="E131" s="48">
        <f t="shared" si="95"/>
        <v>2</v>
      </c>
      <c r="F131" s="43">
        <f>SUM(F125:F130)</f>
        <v>1</v>
      </c>
      <c r="G131" s="44">
        <f>SUM(G125:G130)</f>
        <v>1</v>
      </c>
      <c r="H131" s="56">
        <f t="shared" si="96"/>
        <v>2</v>
      </c>
      <c r="I131" s="43">
        <f>SUM(I125:I130)</f>
        <v>0</v>
      </c>
      <c r="J131" s="44">
        <f>SUM(J125:J130)</f>
        <v>2</v>
      </c>
      <c r="K131" s="48">
        <f t="shared" si="97"/>
        <v>2</v>
      </c>
      <c r="L131" s="43">
        <f>SUM(L125:L130)</f>
        <v>1</v>
      </c>
      <c r="M131" s="44">
        <f>SUM(M125:M130)</f>
        <v>1</v>
      </c>
      <c r="N131" s="56">
        <f t="shared" si="98"/>
        <v>2</v>
      </c>
      <c r="O131" s="41">
        <f t="shared" si="103"/>
        <v>8</v>
      </c>
      <c r="Q131" s="42" t="s">
        <v>2</v>
      </c>
      <c r="R131" s="43">
        <f>SUM(R125:R130)</f>
        <v>299</v>
      </c>
      <c r="S131" s="44">
        <f>SUM(S125:S130)</f>
        <v>310</v>
      </c>
      <c r="T131" s="83">
        <f t="shared" si="99"/>
        <v>609</v>
      </c>
      <c r="U131" s="43">
        <f>SUM(U125:U130)</f>
        <v>308</v>
      </c>
      <c r="V131" s="44">
        <f>SUM(V125:V130)</f>
        <v>292</v>
      </c>
      <c r="W131" s="84">
        <f t="shared" si="100"/>
        <v>600</v>
      </c>
      <c r="X131" s="43">
        <f>SUM(X125:X130)</f>
        <v>246</v>
      </c>
      <c r="Y131" s="44">
        <f>SUM(Y125:Y130)</f>
        <v>237</v>
      </c>
      <c r="Z131" s="83">
        <f t="shared" si="101"/>
        <v>483</v>
      </c>
      <c r="AA131" s="43">
        <f>SUM(AA125:AA130)</f>
        <v>273</v>
      </c>
      <c r="AB131" s="44">
        <f>SUM(AB125:AB130)</f>
        <v>207</v>
      </c>
      <c r="AC131" s="56">
        <f t="shared" si="102"/>
        <v>480</v>
      </c>
      <c r="AD131" s="41">
        <f t="shared" si="104"/>
        <v>2172</v>
      </c>
    </row>
    <row r="132" spans="2:31" x14ac:dyDescent="0.15">
      <c r="B132" s="9"/>
      <c r="C132" s="24"/>
      <c r="D132" s="18"/>
      <c r="E132" s="49">
        <f t="shared" si="95"/>
        <v>0</v>
      </c>
      <c r="F132" s="31"/>
      <c r="G132" s="7"/>
      <c r="H132" s="57">
        <f t="shared" si="96"/>
        <v>0</v>
      </c>
      <c r="I132" s="24"/>
      <c r="J132" s="18"/>
      <c r="K132" s="49">
        <f t="shared" si="97"/>
        <v>0</v>
      </c>
      <c r="L132" s="31"/>
      <c r="M132" s="7"/>
      <c r="N132" s="57">
        <f t="shared" si="98"/>
        <v>0</v>
      </c>
      <c r="O132" s="38">
        <f t="shared" si="103"/>
        <v>0</v>
      </c>
      <c r="Q132" s="9"/>
      <c r="R132" s="24"/>
      <c r="S132" s="18"/>
      <c r="T132" s="49">
        <f t="shared" si="99"/>
        <v>0</v>
      </c>
      <c r="U132" s="31"/>
      <c r="V132" s="7"/>
      <c r="W132" s="57">
        <f t="shared" si="100"/>
        <v>0</v>
      </c>
      <c r="X132" s="24"/>
      <c r="Y132" s="18"/>
      <c r="Z132" s="49">
        <f t="shared" si="101"/>
        <v>0</v>
      </c>
      <c r="AA132" s="31"/>
      <c r="AB132" s="7"/>
      <c r="AC132" s="57">
        <f t="shared" si="102"/>
        <v>0</v>
      </c>
      <c r="AD132" s="38">
        <f t="shared" si="104"/>
        <v>0</v>
      </c>
    </row>
    <row r="133" spans="2:31" x14ac:dyDescent="0.15">
      <c r="B133" s="34"/>
      <c r="C133" s="25"/>
      <c r="D133" s="19"/>
      <c r="E133" s="49">
        <f t="shared" si="95"/>
        <v>0</v>
      </c>
      <c r="F133" s="31"/>
      <c r="G133" s="7"/>
      <c r="H133" s="57">
        <f t="shared" si="96"/>
        <v>0</v>
      </c>
      <c r="I133" s="25"/>
      <c r="J133" s="19"/>
      <c r="K133" s="49">
        <f t="shared" si="97"/>
        <v>0</v>
      </c>
      <c r="L133" s="31"/>
      <c r="M133" s="7"/>
      <c r="N133" s="57">
        <f t="shared" si="98"/>
        <v>0</v>
      </c>
      <c r="O133" s="38">
        <f t="shared" si="103"/>
        <v>0</v>
      </c>
      <c r="Q133" s="34"/>
      <c r="R133" s="25"/>
      <c r="S133" s="19"/>
      <c r="T133" s="49">
        <f t="shared" si="99"/>
        <v>0</v>
      </c>
      <c r="U133" s="31"/>
      <c r="V133" s="7"/>
      <c r="W133" s="57">
        <f t="shared" si="100"/>
        <v>0</v>
      </c>
      <c r="X133" s="25"/>
      <c r="Y133" s="19"/>
      <c r="Z133" s="49">
        <f t="shared" si="101"/>
        <v>0</v>
      </c>
      <c r="AA133" s="31"/>
      <c r="AB133" s="7"/>
      <c r="AC133" s="57">
        <f t="shared" si="102"/>
        <v>0</v>
      </c>
      <c r="AD133" s="38">
        <f t="shared" si="104"/>
        <v>0</v>
      </c>
    </row>
    <row r="134" spans="2:31" x14ac:dyDescent="0.15">
      <c r="B134" s="34"/>
      <c r="C134" s="25"/>
      <c r="D134" s="19"/>
      <c r="E134" s="49">
        <f t="shared" si="95"/>
        <v>0</v>
      </c>
      <c r="F134" s="31"/>
      <c r="G134" s="7"/>
      <c r="H134" s="57">
        <f t="shared" si="96"/>
        <v>0</v>
      </c>
      <c r="I134" s="25"/>
      <c r="J134" s="19"/>
      <c r="K134" s="49">
        <f t="shared" si="97"/>
        <v>0</v>
      </c>
      <c r="L134" s="31"/>
      <c r="M134" s="7"/>
      <c r="N134" s="57">
        <f t="shared" si="98"/>
        <v>0</v>
      </c>
      <c r="O134" s="38">
        <f t="shared" si="103"/>
        <v>0</v>
      </c>
      <c r="Q134" s="34"/>
      <c r="R134" s="25"/>
      <c r="S134" s="19"/>
      <c r="T134" s="49">
        <f t="shared" si="99"/>
        <v>0</v>
      </c>
      <c r="U134" s="31"/>
      <c r="V134" s="7"/>
      <c r="W134" s="57">
        <f t="shared" si="100"/>
        <v>0</v>
      </c>
      <c r="X134" s="25"/>
      <c r="Y134" s="19"/>
      <c r="Z134" s="49">
        <f t="shared" si="101"/>
        <v>0</v>
      </c>
      <c r="AA134" s="31"/>
      <c r="AB134" s="7"/>
      <c r="AC134" s="57">
        <f t="shared" si="102"/>
        <v>0</v>
      </c>
      <c r="AD134" s="38">
        <f t="shared" si="104"/>
        <v>0</v>
      </c>
    </row>
    <row r="135" spans="2:31" x14ac:dyDescent="0.15">
      <c r="B135" s="34"/>
      <c r="C135" s="25"/>
      <c r="D135" s="19"/>
      <c r="E135" s="49">
        <f t="shared" si="95"/>
        <v>0</v>
      </c>
      <c r="F135" s="31"/>
      <c r="G135" s="7"/>
      <c r="H135" s="57">
        <f t="shared" si="96"/>
        <v>0</v>
      </c>
      <c r="I135" s="25"/>
      <c r="J135" s="19"/>
      <c r="K135" s="49">
        <f t="shared" si="97"/>
        <v>0</v>
      </c>
      <c r="L135" s="31"/>
      <c r="M135" s="7"/>
      <c r="N135" s="57">
        <f t="shared" si="98"/>
        <v>0</v>
      </c>
      <c r="O135" s="38">
        <f t="shared" si="103"/>
        <v>0</v>
      </c>
      <c r="Q135" s="34"/>
      <c r="R135" s="25"/>
      <c r="S135" s="19"/>
      <c r="T135" s="49">
        <f t="shared" si="99"/>
        <v>0</v>
      </c>
      <c r="U135" s="31"/>
      <c r="V135" s="7"/>
      <c r="W135" s="57">
        <f t="shared" si="100"/>
        <v>0</v>
      </c>
      <c r="X135" s="25"/>
      <c r="Y135" s="19"/>
      <c r="Z135" s="49">
        <f t="shared" si="101"/>
        <v>0</v>
      </c>
      <c r="AA135" s="31"/>
      <c r="AB135" s="7"/>
      <c r="AC135" s="57">
        <f t="shared" si="102"/>
        <v>0</v>
      </c>
      <c r="AD135" s="38">
        <f t="shared" si="104"/>
        <v>0</v>
      </c>
    </row>
    <row r="136" spans="2:31" x14ac:dyDescent="0.15">
      <c r="B136" s="34"/>
      <c r="C136" s="25"/>
      <c r="D136" s="19"/>
      <c r="E136" s="49">
        <f t="shared" si="95"/>
        <v>0</v>
      </c>
      <c r="F136" s="31"/>
      <c r="G136" s="7"/>
      <c r="H136" s="57">
        <f t="shared" si="96"/>
        <v>0</v>
      </c>
      <c r="I136" s="25"/>
      <c r="J136" s="19"/>
      <c r="K136" s="49">
        <f t="shared" si="97"/>
        <v>0</v>
      </c>
      <c r="L136" s="31"/>
      <c r="M136" s="7"/>
      <c r="N136" s="57">
        <f t="shared" si="98"/>
        <v>0</v>
      </c>
      <c r="O136" s="38">
        <f t="shared" si="103"/>
        <v>0</v>
      </c>
      <c r="Q136" s="34"/>
      <c r="R136" s="25"/>
      <c r="S136" s="19"/>
      <c r="T136" s="49">
        <f t="shared" si="99"/>
        <v>0</v>
      </c>
      <c r="U136" s="31"/>
      <c r="V136" s="7"/>
      <c r="W136" s="57">
        <f t="shared" si="100"/>
        <v>0</v>
      </c>
      <c r="X136" s="25"/>
      <c r="Y136" s="19"/>
      <c r="Z136" s="49">
        <f t="shared" si="101"/>
        <v>0</v>
      </c>
      <c r="AA136" s="31"/>
      <c r="AB136" s="7"/>
      <c r="AC136" s="57">
        <f t="shared" si="102"/>
        <v>0</v>
      </c>
      <c r="AD136" s="38">
        <f t="shared" si="104"/>
        <v>0</v>
      </c>
    </row>
    <row r="137" spans="2:31" x14ac:dyDescent="0.15">
      <c r="B137" s="34"/>
      <c r="C137" s="25"/>
      <c r="D137" s="19"/>
      <c r="E137" s="49">
        <f t="shared" si="95"/>
        <v>0</v>
      </c>
      <c r="F137" s="31"/>
      <c r="G137" s="7"/>
      <c r="H137" s="57">
        <f t="shared" si="96"/>
        <v>0</v>
      </c>
      <c r="I137" s="25"/>
      <c r="J137" s="19"/>
      <c r="K137" s="49">
        <f t="shared" si="97"/>
        <v>0</v>
      </c>
      <c r="L137" s="31"/>
      <c r="M137" s="7"/>
      <c r="N137" s="57">
        <f t="shared" si="98"/>
        <v>0</v>
      </c>
      <c r="O137" s="38">
        <f t="shared" si="103"/>
        <v>0</v>
      </c>
      <c r="Q137" s="34"/>
      <c r="R137" s="25"/>
      <c r="S137" s="19"/>
      <c r="T137" s="49">
        <f t="shared" si="99"/>
        <v>0</v>
      </c>
      <c r="U137" s="31"/>
      <c r="V137" s="7"/>
      <c r="W137" s="57">
        <f t="shared" si="100"/>
        <v>0</v>
      </c>
      <c r="X137" s="25"/>
      <c r="Y137" s="19"/>
      <c r="Z137" s="49">
        <f t="shared" si="101"/>
        <v>0</v>
      </c>
      <c r="AA137" s="31"/>
      <c r="AB137" s="7"/>
      <c r="AC137" s="57">
        <f t="shared" si="102"/>
        <v>0</v>
      </c>
      <c r="AD137" s="38">
        <f t="shared" si="104"/>
        <v>0</v>
      </c>
    </row>
    <row r="138" spans="2:31" x14ac:dyDescent="0.15">
      <c r="B138" s="6"/>
      <c r="C138" s="25"/>
      <c r="D138" s="19"/>
      <c r="E138" s="49">
        <f t="shared" si="95"/>
        <v>0</v>
      </c>
      <c r="F138" s="31"/>
      <c r="G138" s="7"/>
      <c r="H138" s="57">
        <f t="shared" si="96"/>
        <v>0</v>
      </c>
      <c r="I138" s="25"/>
      <c r="J138" s="19"/>
      <c r="K138" s="49">
        <f t="shared" si="97"/>
        <v>0</v>
      </c>
      <c r="L138" s="31"/>
      <c r="M138" s="7"/>
      <c r="N138" s="57">
        <f t="shared" si="98"/>
        <v>0</v>
      </c>
      <c r="O138" s="38">
        <f t="shared" si="103"/>
        <v>0</v>
      </c>
      <c r="Q138" s="6"/>
      <c r="R138" s="25"/>
      <c r="S138" s="19"/>
      <c r="T138" s="49">
        <f t="shared" si="99"/>
        <v>0</v>
      </c>
      <c r="U138" s="31"/>
      <c r="V138" s="7"/>
      <c r="W138" s="57">
        <f t="shared" si="100"/>
        <v>0</v>
      </c>
      <c r="X138" s="25"/>
      <c r="Y138" s="19"/>
      <c r="Z138" s="49">
        <f t="shared" si="101"/>
        <v>0</v>
      </c>
      <c r="AA138" s="31"/>
      <c r="AB138" s="7"/>
      <c r="AC138" s="57">
        <f t="shared" si="102"/>
        <v>0</v>
      </c>
      <c r="AD138" s="38">
        <f t="shared" si="104"/>
        <v>0</v>
      </c>
    </row>
    <row r="139" spans="2:31" x14ac:dyDescent="0.15">
      <c r="B139" s="6"/>
      <c r="C139" s="25"/>
      <c r="D139" s="19"/>
      <c r="E139" s="49">
        <f t="shared" si="95"/>
        <v>0</v>
      </c>
      <c r="F139" s="31"/>
      <c r="G139" s="7"/>
      <c r="H139" s="57">
        <f t="shared" si="96"/>
        <v>0</v>
      </c>
      <c r="I139" s="25"/>
      <c r="J139" s="19"/>
      <c r="K139" s="49">
        <f t="shared" si="97"/>
        <v>0</v>
      </c>
      <c r="L139" s="31"/>
      <c r="M139" s="7"/>
      <c r="N139" s="57">
        <f t="shared" si="98"/>
        <v>0</v>
      </c>
      <c r="O139" s="38">
        <f t="shared" si="103"/>
        <v>0</v>
      </c>
      <c r="Q139" s="6"/>
      <c r="R139" s="25"/>
      <c r="S139" s="19"/>
      <c r="T139" s="49">
        <f t="shared" si="99"/>
        <v>0</v>
      </c>
      <c r="U139" s="31"/>
      <c r="V139" s="7"/>
      <c r="W139" s="57">
        <f t="shared" si="100"/>
        <v>0</v>
      </c>
      <c r="X139" s="25"/>
      <c r="Y139" s="19"/>
      <c r="Z139" s="49">
        <f t="shared" si="101"/>
        <v>0</v>
      </c>
      <c r="AA139" s="31"/>
      <c r="AB139" s="7"/>
      <c r="AC139" s="57">
        <f t="shared" si="102"/>
        <v>0</v>
      </c>
      <c r="AD139" s="38">
        <f t="shared" si="104"/>
        <v>0</v>
      </c>
    </row>
    <row r="140" spans="2:31" x14ac:dyDescent="0.15">
      <c r="B140" s="6"/>
      <c r="C140" s="25"/>
      <c r="D140" s="19"/>
      <c r="E140" s="49">
        <f t="shared" si="95"/>
        <v>0</v>
      </c>
      <c r="F140" s="31"/>
      <c r="G140" s="7"/>
      <c r="H140" s="57">
        <f t="shared" si="96"/>
        <v>0</v>
      </c>
      <c r="I140" s="25"/>
      <c r="J140" s="19"/>
      <c r="K140" s="49">
        <f t="shared" si="97"/>
        <v>0</v>
      </c>
      <c r="L140" s="31"/>
      <c r="M140" s="7"/>
      <c r="N140" s="57">
        <f t="shared" si="98"/>
        <v>0</v>
      </c>
      <c r="O140" s="38">
        <f t="shared" si="103"/>
        <v>0</v>
      </c>
      <c r="Q140" s="6"/>
      <c r="R140" s="25"/>
      <c r="S140" s="19"/>
      <c r="T140" s="49">
        <f t="shared" si="99"/>
        <v>0</v>
      </c>
      <c r="U140" s="31"/>
      <c r="V140" s="7"/>
      <c r="W140" s="57">
        <f t="shared" si="100"/>
        <v>0</v>
      </c>
      <c r="X140" s="25"/>
      <c r="Y140" s="19"/>
      <c r="Z140" s="49">
        <f t="shared" si="101"/>
        <v>0</v>
      </c>
      <c r="AA140" s="31"/>
      <c r="AB140" s="7"/>
      <c r="AC140" s="57">
        <f t="shared" si="102"/>
        <v>0</v>
      </c>
      <c r="AD140" s="38">
        <f t="shared" si="104"/>
        <v>0</v>
      </c>
    </row>
    <row r="141" spans="2:31" x14ac:dyDescent="0.15">
      <c r="B141" s="6"/>
      <c r="C141" s="25"/>
      <c r="D141" s="19"/>
      <c r="E141" s="49">
        <f t="shared" si="95"/>
        <v>0</v>
      </c>
      <c r="F141" s="31"/>
      <c r="G141" s="7"/>
      <c r="H141" s="57">
        <f t="shared" si="96"/>
        <v>0</v>
      </c>
      <c r="I141" s="25"/>
      <c r="J141" s="19"/>
      <c r="K141" s="49">
        <f t="shared" si="97"/>
        <v>0</v>
      </c>
      <c r="L141" s="31"/>
      <c r="M141" s="7"/>
      <c r="N141" s="57">
        <f t="shared" si="98"/>
        <v>0</v>
      </c>
      <c r="O141" s="38">
        <f t="shared" si="103"/>
        <v>0</v>
      </c>
      <c r="Q141" s="6"/>
      <c r="R141" s="25"/>
      <c r="S141" s="19"/>
      <c r="T141" s="49">
        <f t="shared" si="99"/>
        <v>0</v>
      </c>
      <c r="U141" s="31"/>
      <c r="V141" s="7"/>
      <c r="W141" s="57">
        <f t="shared" si="100"/>
        <v>0</v>
      </c>
      <c r="X141" s="25"/>
      <c r="Y141" s="19"/>
      <c r="Z141" s="49">
        <f t="shared" si="101"/>
        <v>0</v>
      </c>
      <c r="AA141" s="31"/>
      <c r="AB141" s="7"/>
      <c r="AC141" s="57">
        <f t="shared" si="102"/>
        <v>0</v>
      </c>
      <c r="AD141" s="38">
        <f t="shared" si="104"/>
        <v>0</v>
      </c>
    </row>
    <row r="142" spans="2:31" x14ac:dyDescent="0.15">
      <c r="B142" s="6"/>
      <c r="C142" s="25"/>
      <c r="D142" s="19"/>
      <c r="E142" s="49">
        <f t="shared" si="95"/>
        <v>0</v>
      </c>
      <c r="F142" s="31"/>
      <c r="G142" s="7"/>
      <c r="H142" s="57">
        <f t="shared" si="96"/>
        <v>0</v>
      </c>
      <c r="I142" s="25"/>
      <c r="J142" s="19"/>
      <c r="K142" s="49">
        <f t="shared" si="97"/>
        <v>0</v>
      </c>
      <c r="L142" s="31"/>
      <c r="M142" s="7"/>
      <c r="N142" s="57">
        <f t="shared" si="98"/>
        <v>0</v>
      </c>
      <c r="O142" s="38">
        <f t="shared" si="103"/>
        <v>0</v>
      </c>
      <c r="Q142" s="6"/>
      <c r="R142" s="25"/>
      <c r="S142" s="19"/>
      <c r="T142" s="49">
        <f t="shared" si="99"/>
        <v>0</v>
      </c>
      <c r="U142" s="31"/>
      <c r="V142" s="7"/>
      <c r="W142" s="57">
        <f t="shared" si="100"/>
        <v>0</v>
      </c>
      <c r="X142" s="25"/>
      <c r="Y142" s="19"/>
      <c r="Z142" s="49">
        <f t="shared" si="101"/>
        <v>0</v>
      </c>
      <c r="AA142" s="31"/>
      <c r="AB142" s="7"/>
      <c r="AC142" s="57">
        <f t="shared" si="102"/>
        <v>0</v>
      </c>
      <c r="AD142" s="38">
        <f t="shared" si="104"/>
        <v>0</v>
      </c>
    </row>
    <row r="143" spans="2:31" x14ac:dyDescent="0.15">
      <c r="B143" s="6"/>
      <c r="C143" s="25"/>
      <c r="D143" s="19"/>
      <c r="E143" s="49">
        <f t="shared" si="95"/>
        <v>0</v>
      </c>
      <c r="F143" s="31"/>
      <c r="G143" s="7"/>
      <c r="H143" s="57">
        <f t="shared" si="96"/>
        <v>0</v>
      </c>
      <c r="I143" s="25"/>
      <c r="J143" s="19"/>
      <c r="K143" s="49">
        <f t="shared" si="97"/>
        <v>0</v>
      </c>
      <c r="L143" s="31"/>
      <c r="M143" s="7"/>
      <c r="N143" s="57">
        <f t="shared" si="98"/>
        <v>0</v>
      </c>
      <c r="O143" s="38">
        <f t="shared" si="103"/>
        <v>0</v>
      </c>
      <c r="Q143" s="6"/>
      <c r="R143" s="25"/>
      <c r="S143" s="19"/>
      <c r="T143" s="49">
        <f t="shared" si="99"/>
        <v>0</v>
      </c>
      <c r="U143" s="31"/>
      <c r="V143" s="7"/>
      <c r="W143" s="57">
        <f t="shared" si="100"/>
        <v>0</v>
      </c>
      <c r="X143" s="25"/>
      <c r="Y143" s="19"/>
      <c r="Z143" s="49">
        <f t="shared" si="101"/>
        <v>0</v>
      </c>
      <c r="AA143" s="31"/>
      <c r="AB143" s="7"/>
      <c r="AC143" s="57">
        <f t="shared" si="102"/>
        <v>0</v>
      </c>
      <c r="AD143" s="38">
        <f t="shared" si="104"/>
        <v>0</v>
      </c>
    </row>
    <row r="144" spans="2:31" x14ac:dyDescent="0.15">
      <c r="B144" s="6"/>
      <c r="C144" s="25"/>
      <c r="D144" s="19"/>
      <c r="E144" s="49">
        <f t="shared" si="95"/>
        <v>0</v>
      </c>
      <c r="F144" s="31"/>
      <c r="G144" s="7"/>
      <c r="H144" s="57">
        <f t="shared" si="96"/>
        <v>0</v>
      </c>
      <c r="I144" s="25"/>
      <c r="J144" s="19"/>
      <c r="K144" s="49">
        <f t="shared" si="97"/>
        <v>0</v>
      </c>
      <c r="L144" s="31"/>
      <c r="M144" s="7"/>
      <c r="N144" s="57">
        <f t="shared" si="98"/>
        <v>0</v>
      </c>
      <c r="O144" s="38">
        <f t="shared" si="103"/>
        <v>0</v>
      </c>
      <c r="Q144" s="6"/>
      <c r="R144" s="25"/>
      <c r="S144" s="19"/>
      <c r="T144" s="49">
        <f t="shared" ref="T144:T147" si="110">SUM(R144:S144)</f>
        <v>0</v>
      </c>
      <c r="U144" s="31"/>
      <c r="V144" s="7"/>
      <c r="W144" s="57">
        <f t="shared" ref="W144:W147" si="111">SUM(U144:V144)</f>
        <v>0</v>
      </c>
      <c r="X144" s="25"/>
      <c r="Y144" s="19"/>
      <c r="Z144" s="49">
        <f t="shared" ref="Z144:Z147" si="112">SUM(X144:Y144)</f>
        <v>0</v>
      </c>
      <c r="AA144" s="31"/>
      <c r="AB144" s="7"/>
      <c r="AC144" s="57">
        <f t="shared" ref="AC144:AC147" si="113">SUM(AA144:AB144)</f>
        <v>0</v>
      </c>
      <c r="AD144" s="38">
        <f t="shared" ref="AD144:AD147" si="114">T144+W144+Z144+AC144</f>
        <v>0</v>
      </c>
    </row>
    <row r="145" spans="2:31" x14ac:dyDescent="0.15">
      <c r="B145" s="34"/>
      <c r="C145" s="25"/>
      <c r="D145" s="19"/>
      <c r="E145" s="49">
        <f t="shared" si="95"/>
        <v>0</v>
      </c>
      <c r="F145" s="31"/>
      <c r="G145" s="7"/>
      <c r="H145" s="57">
        <f t="shared" si="96"/>
        <v>0</v>
      </c>
      <c r="I145" s="25"/>
      <c r="J145" s="19"/>
      <c r="K145" s="49">
        <f t="shared" si="97"/>
        <v>0</v>
      </c>
      <c r="L145" s="31"/>
      <c r="M145" s="7"/>
      <c r="N145" s="57">
        <f t="shared" si="98"/>
        <v>0</v>
      </c>
      <c r="O145" s="38">
        <f t="shared" si="103"/>
        <v>0</v>
      </c>
      <c r="Q145" s="6"/>
      <c r="R145" s="25"/>
      <c r="S145" s="19"/>
      <c r="T145" s="49">
        <f t="shared" si="110"/>
        <v>0</v>
      </c>
      <c r="U145" s="31"/>
      <c r="V145" s="7"/>
      <c r="W145" s="57">
        <f t="shared" si="111"/>
        <v>0</v>
      </c>
      <c r="X145" s="25"/>
      <c r="Y145" s="19"/>
      <c r="Z145" s="49">
        <f t="shared" si="112"/>
        <v>0</v>
      </c>
      <c r="AA145" s="31"/>
      <c r="AB145" s="7"/>
      <c r="AC145" s="57">
        <f t="shared" si="113"/>
        <v>0</v>
      </c>
      <c r="AD145" s="38">
        <f t="shared" si="114"/>
        <v>0</v>
      </c>
    </row>
    <row r="146" spans="2:31" x14ac:dyDescent="0.15">
      <c r="B146" s="6"/>
      <c r="C146" s="25"/>
      <c r="D146" s="19"/>
      <c r="E146" s="49">
        <f t="shared" si="95"/>
        <v>0</v>
      </c>
      <c r="F146" s="31"/>
      <c r="G146" s="7"/>
      <c r="H146" s="57">
        <f t="shared" si="96"/>
        <v>0</v>
      </c>
      <c r="I146" s="25"/>
      <c r="J146" s="19"/>
      <c r="K146" s="49">
        <f t="shared" si="97"/>
        <v>0</v>
      </c>
      <c r="L146" s="31"/>
      <c r="M146" s="7"/>
      <c r="N146" s="57">
        <f t="shared" si="98"/>
        <v>0</v>
      </c>
      <c r="O146" s="38">
        <f t="shared" si="103"/>
        <v>0</v>
      </c>
      <c r="Q146" s="6"/>
      <c r="R146" s="25"/>
      <c r="S146" s="19"/>
      <c r="T146" s="49">
        <f t="shared" si="110"/>
        <v>0</v>
      </c>
      <c r="U146" s="31"/>
      <c r="V146" s="7"/>
      <c r="W146" s="57">
        <f t="shared" si="111"/>
        <v>0</v>
      </c>
      <c r="X146" s="25"/>
      <c r="Y146" s="19"/>
      <c r="Z146" s="49">
        <f t="shared" si="112"/>
        <v>0</v>
      </c>
      <c r="AA146" s="31"/>
      <c r="AB146" s="7"/>
      <c r="AC146" s="57">
        <f t="shared" si="113"/>
        <v>0</v>
      </c>
      <c r="AD146" s="38">
        <f t="shared" si="114"/>
        <v>0</v>
      </c>
    </row>
    <row r="147" spans="2:31" x14ac:dyDescent="0.15">
      <c r="B147" s="6"/>
      <c r="C147" s="25"/>
      <c r="D147" s="19"/>
      <c r="E147" s="49">
        <f t="shared" si="95"/>
        <v>0</v>
      </c>
      <c r="F147" s="31"/>
      <c r="G147" s="7"/>
      <c r="H147" s="57">
        <f t="shared" si="96"/>
        <v>0</v>
      </c>
      <c r="I147" s="25"/>
      <c r="J147" s="19"/>
      <c r="K147" s="49">
        <f t="shared" si="97"/>
        <v>0</v>
      </c>
      <c r="L147" s="31"/>
      <c r="M147" s="7"/>
      <c r="N147" s="57">
        <f t="shared" si="98"/>
        <v>0</v>
      </c>
      <c r="O147" s="38">
        <f t="shared" si="103"/>
        <v>0</v>
      </c>
      <c r="Q147" s="115" t="s">
        <v>225</v>
      </c>
      <c r="R147" s="110">
        <v>20</v>
      </c>
      <c r="S147" s="111">
        <v>20</v>
      </c>
      <c r="T147" s="117">
        <f t="shared" si="110"/>
        <v>40</v>
      </c>
      <c r="U147" s="129"/>
      <c r="V147" s="130"/>
      <c r="W147" s="118">
        <f t="shared" si="111"/>
        <v>0</v>
      </c>
      <c r="X147" s="110">
        <v>20</v>
      </c>
      <c r="Y147" s="111">
        <v>20</v>
      </c>
      <c r="Z147" s="117">
        <f t="shared" si="112"/>
        <v>40</v>
      </c>
      <c r="AA147" s="129"/>
      <c r="AB147" s="130"/>
      <c r="AC147" s="118">
        <f t="shared" si="113"/>
        <v>0</v>
      </c>
      <c r="AD147" s="68">
        <f t="shared" si="114"/>
        <v>80</v>
      </c>
      <c r="AE147" s="116" t="s">
        <v>253</v>
      </c>
    </row>
    <row r="148" spans="2:31" x14ac:dyDescent="0.15">
      <c r="B148" s="6"/>
      <c r="C148" s="25"/>
      <c r="D148" s="19"/>
      <c r="E148" s="49">
        <f t="shared" si="95"/>
        <v>0</v>
      </c>
      <c r="F148" s="31"/>
      <c r="G148" s="7"/>
      <c r="H148" s="57">
        <f t="shared" si="96"/>
        <v>0</v>
      </c>
      <c r="I148" s="25"/>
      <c r="J148" s="19"/>
      <c r="K148" s="49">
        <f t="shared" si="97"/>
        <v>0</v>
      </c>
      <c r="L148" s="31"/>
      <c r="M148" s="7"/>
      <c r="N148" s="57">
        <f t="shared" si="98"/>
        <v>0</v>
      </c>
      <c r="O148" s="38">
        <f t="shared" si="103"/>
        <v>0</v>
      </c>
      <c r="Q148" s="191" t="s">
        <v>239</v>
      </c>
      <c r="R148" s="127"/>
      <c r="S148" s="128"/>
      <c r="T148" s="117">
        <f t="shared" ref="T148:T150" si="115">SUM(R148:S148)</f>
        <v>0</v>
      </c>
      <c r="U148" s="112">
        <v>30</v>
      </c>
      <c r="V148" s="113">
        <v>20</v>
      </c>
      <c r="W148" s="118">
        <f t="shared" ref="W148:W150" si="116">SUM(U148:V148)</f>
        <v>50</v>
      </c>
      <c r="X148" s="127"/>
      <c r="Y148" s="128"/>
      <c r="Z148" s="117">
        <f t="shared" ref="Z148:Z150" si="117">SUM(X148:Y148)</f>
        <v>0</v>
      </c>
      <c r="AA148" s="112">
        <v>30</v>
      </c>
      <c r="AB148" s="113">
        <v>20</v>
      </c>
      <c r="AC148" s="118">
        <f t="shared" ref="AC148:AC150" si="118">SUM(AA148:AB148)</f>
        <v>50</v>
      </c>
      <c r="AD148" s="68">
        <f t="shared" ref="AD148:AD150" si="119">T148+W148+Z148+AC148</f>
        <v>100</v>
      </c>
      <c r="AE148" s="116" t="s">
        <v>240</v>
      </c>
    </row>
    <row r="149" spans="2:31" x14ac:dyDescent="0.15">
      <c r="B149" s="6"/>
      <c r="C149" s="25"/>
      <c r="D149" s="19"/>
      <c r="E149" s="49">
        <f t="shared" si="95"/>
        <v>0</v>
      </c>
      <c r="F149" s="31"/>
      <c r="G149" s="7"/>
      <c r="H149" s="57">
        <f t="shared" si="96"/>
        <v>0</v>
      </c>
      <c r="I149" s="25"/>
      <c r="J149" s="19"/>
      <c r="K149" s="49">
        <f t="shared" si="97"/>
        <v>0</v>
      </c>
      <c r="L149" s="31"/>
      <c r="M149" s="7"/>
      <c r="N149" s="57">
        <f t="shared" si="98"/>
        <v>0</v>
      </c>
      <c r="O149" s="38">
        <f t="shared" si="103"/>
        <v>0</v>
      </c>
      <c r="Q149" s="192" t="s">
        <v>217</v>
      </c>
      <c r="R149" s="120">
        <v>-20</v>
      </c>
      <c r="S149" s="121">
        <v>-10</v>
      </c>
      <c r="T149" s="122">
        <f t="shared" si="115"/>
        <v>-30</v>
      </c>
      <c r="U149" s="123">
        <v>-10</v>
      </c>
      <c r="V149" s="124">
        <v>-5</v>
      </c>
      <c r="W149" s="125">
        <f t="shared" si="116"/>
        <v>-15</v>
      </c>
      <c r="X149" s="131"/>
      <c r="Y149" s="132"/>
      <c r="Z149" s="122">
        <f t="shared" si="117"/>
        <v>0</v>
      </c>
      <c r="AA149" s="123">
        <v>0</v>
      </c>
      <c r="AB149" s="124">
        <v>0</v>
      </c>
      <c r="AC149" s="125">
        <f t="shared" si="118"/>
        <v>0</v>
      </c>
      <c r="AD149" s="126">
        <f t="shared" si="119"/>
        <v>-45</v>
      </c>
      <c r="AE149" s="116"/>
    </row>
    <row r="150" spans="2:31" x14ac:dyDescent="0.15">
      <c r="B150" s="34"/>
      <c r="C150" s="25"/>
      <c r="D150" s="19"/>
      <c r="E150" s="49">
        <f t="shared" si="95"/>
        <v>0</v>
      </c>
      <c r="F150" s="31"/>
      <c r="G150" s="7"/>
      <c r="H150" s="57">
        <f t="shared" si="96"/>
        <v>0</v>
      </c>
      <c r="I150" s="25"/>
      <c r="J150" s="19"/>
      <c r="K150" s="49">
        <f t="shared" si="97"/>
        <v>0</v>
      </c>
      <c r="L150" s="31"/>
      <c r="M150" s="7"/>
      <c r="N150" s="57">
        <f t="shared" si="98"/>
        <v>0</v>
      </c>
      <c r="O150" s="38">
        <f t="shared" si="103"/>
        <v>0</v>
      </c>
      <c r="Q150" s="191" t="s">
        <v>216</v>
      </c>
      <c r="R150" s="110">
        <v>60</v>
      </c>
      <c r="S150" s="111">
        <v>35</v>
      </c>
      <c r="T150" s="117">
        <f t="shared" si="115"/>
        <v>95</v>
      </c>
      <c r="U150" s="112">
        <v>35</v>
      </c>
      <c r="V150" s="113">
        <v>30</v>
      </c>
      <c r="W150" s="118">
        <f t="shared" si="116"/>
        <v>65</v>
      </c>
      <c r="X150" s="127"/>
      <c r="Y150" s="128"/>
      <c r="Z150" s="117">
        <f t="shared" si="117"/>
        <v>0</v>
      </c>
      <c r="AA150" s="123">
        <v>15</v>
      </c>
      <c r="AB150" s="124">
        <v>10</v>
      </c>
      <c r="AC150" s="118">
        <f t="shared" si="118"/>
        <v>25</v>
      </c>
      <c r="AD150" s="68">
        <f t="shared" si="119"/>
        <v>185</v>
      </c>
      <c r="AE150" s="116" t="s">
        <v>218</v>
      </c>
    </row>
    <row r="151" spans="2:31" x14ac:dyDescent="0.15">
      <c r="B151" s="6"/>
      <c r="C151" s="25"/>
      <c r="D151" s="19"/>
      <c r="E151" s="49">
        <f t="shared" si="95"/>
        <v>0</v>
      </c>
      <c r="F151" s="31"/>
      <c r="G151" s="7"/>
      <c r="H151" s="57">
        <f t="shared" si="96"/>
        <v>0</v>
      </c>
      <c r="I151" s="25"/>
      <c r="J151" s="19"/>
      <c r="K151" s="49">
        <f t="shared" si="97"/>
        <v>0</v>
      </c>
      <c r="L151" s="31"/>
      <c r="M151" s="7"/>
      <c r="N151" s="57">
        <f t="shared" si="98"/>
        <v>0</v>
      </c>
      <c r="O151" s="38">
        <f t="shared" si="103"/>
        <v>0</v>
      </c>
      <c r="Q151" s="119" t="s">
        <v>210</v>
      </c>
      <c r="R151" s="123">
        <v>-15</v>
      </c>
      <c r="S151" s="124">
        <v>-15</v>
      </c>
      <c r="T151" s="122">
        <f t="shared" si="99"/>
        <v>-30</v>
      </c>
      <c r="U151" s="123">
        <v>-15</v>
      </c>
      <c r="V151" s="124">
        <v>-15</v>
      </c>
      <c r="W151" s="125">
        <f t="shared" si="100"/>
        <v>-30</v>
      </c>
      <c r="X151" s="123">
        <v>-15</v>
      </c>
      <c r="Y151" s="121">
        <v>-15</v>
      </c>
      <c r="Z151" s="144">
        <f t="shared" si="101"/>
        <v>-30</v>
      </c>
      <c r="AA151" s="120">
        <v>-15</v>
      </c>
      <c r="AB151" s="121">
        <v>-15</v>
      </c>
      <c r="AC151" s="159">
        <f t="shared" si="102"/>
        <v>-30</v>
      </c>
      <c r="AD151" s="145">
        <f t="shared" si="104"/>
        <v>-120</v>
      </c>
      <c r="AE151" s="116"/>
    </row>
    <row r="152" spans="2:31" x14ac:dyDescent="0.15">
      <c r="B152" s="6"/>
      <c r="C152" s="25"/>
      <c r="D152" s="19"/>
      <c r="E152" s="49">
        <f t="shared" si="95"/>
        <v>0</v>
      </c>
      <c r="F152" s="31"/>
      <c r="G152" s="7"/>
      <c r="H152" s="57">
        <f t="shared" si="96"/>
        <v>0</v>
      </c>
      <c r="I152" s="25"/>
      <c r="J152" s="19"/>
      <c r="K152" s="49">
        <f t="shared" si="97"/>
        <v>0</v>
      </c>
      <c r="L152" s="31"/>
      <c r="M152" s="7"/>
      <c r="N152" s="57">
        <f t="shared" si="98"/>
        <v>0</v>
      </c>
      <c r="O152" s="38">
        <f t="shared" si="103"/>
        <v>0</v>
      </c>
      <c r="Q152" s="115" t="s">
        <v>209</v>
      </c>
      <c r="R152" s="110">
        <v>20</v>
      </c>
      <c r="S152" s="111">
        <v>20</v>
      </c>
      <c r="T152" s="142">
        <f t="shared" si="99"/>
        <v>40</v>
      </c>
      <c r="U152" s="110">
        <v>20</v>
      </c>
      <c r="V152" s="111">
        <v>20</v>
      </c>
      <c r="W152" s="141">
        <f t="shared" si="100"/>
        <v>40</v>
      </c>
      <c r="X152" s="110">
        <v>20</v>
      </c>
      <c r="Y152" s="111">
        <v>20</v>
      </c>
      <c r="Z152" s="142">
        <f t="shared" si="101"/>
        <v>40</v>
      </c>
      <c r="AA152" s="110">
        <v>20</v>
      </c>
      <c r="AB152" s="111">
        <v>20</v>
      </c>
      <c r="AC152" s="141">
        <f t="shared" si="102"/>
        <v>40</v>
      </c>
      <c r="AD152" s="143">
        <f t="shared" si="104"/>
        <v>160</v>
      </c>
      <c r="AE152" s="116" t="s">
        <v>211</v>
      </c>
    </row>
    <row r="153" spans="2:31" x14ac:dyDescent="0.15">
      <c r="B153" s="6"/>
      <c r="C153" s="25"/>
      <c r="D153" s="19"/>
      <c r="E153" s="49">
        <f t="shared" si="95"/>
        <v>0</v>
      </c>
      <c r="F153" s="31"/>
      <c r="G153" s="7"/>
      <c r="H153" s="57">
        <f t="shared" si="96"/>
        <v>0</v>
      </c>
      <c r="I153" s="25"/>
      <c r="J153" s="19"/>
      <c r="K153" s="49">
        <f t="shared" si="97"/>
        <v>0</v>
      </c>
      <c r="L153" s="31"/>
      <c r="M153" s="7"/>
      <c r="N153" s="57">
        <f t="shared" si="98"/>
        <v>0</v>
      </c>
      <c r="O153" s="38">
        <f t="shared" si="103"/>
        <v>0</v>
      </c>
      <c r="Q153" s="119" t="s">
        <v>193</v>
      </c>
      <c r="R153" s="123">
        <v>-30</v>
      </c>
      <c r="S153" s="124">
        <v>-30</v>
      </c>
      <c r="T153" s="122">
        <f t="shared" si="99"/>
        <v>-60</v>
      </c>
      <c r="U153" s="123">
        <v>-30</v>
      </c>
      <c r="V153" s="124">
        <v>-30</v>
      </c>
      <c r="W153" s="125">
        <f t="shared" si="100"/>
        <v>-60</v>
      </c>
      <c r="X153" s="123">
        <v>-30</v>
      </c>
      <c r="Y153" s="124">
        <v>-30</v>
      </c>
      <c r="Z153" s="122">
        <f t="shared" si="101"/>
        <v>-60</v>
      </c>
      <c r="AA153" s="123">
        <v>-30</v>
      </c>
      <c r="AB153" s="124">
        <v>-30</v>
      </c>
      <c r="AC153" s="125">
        <f t="shared" si="102"/>
        <v>-60</v>
      </c>
      <c r="AD153" s="126">
        <f t="shared" si="104"/>
        <v>-240</v>
      </c>
      <c r="AE153" s="116"/>
    </row>
    <row r="154" spans="2:31" x14ac:dyDescent="0.15">
      <c r="B154" s="6"/>
      <c r="C154" s="25"/>
      <c r="D154" s="19"/>
      <c r="E154" s="49">
        <f t="shared" si="95"/>
        <v>0</v>
      </c>
      <c r="F154" s="31"/>
      <c r="G154" s="7"/>
      <c r="H154" s="57">
        <f t="shared" si="96"/>
        <v>0</v>
      </c>
      <c r="I154" s="25"/>
      <c r="J154" s="19"/>
      <c r="K154" s="49">
        <f t="shared" si="97"/>
        <v>0</v>
      </c>
      <c r="L154" s="31"/>
      <c r="M154" s="7"/>
      <c r="N154" s="57">
        <f t="shared" si="98"/>
        <v>0</v>
      </c>
      <c r="O154" s="38">
        <f t="shared" si="103"/>
        <v>0</v>
      </c>
      <c r="Q154" s="115" t="s">
        <v>195</v>
      </c>
      <c r="R154" s="110">
        <v>150</v>
      </c>
      <c r="S154" s="111">
        <v>150</v>
      </c>
      <c r="T154" s="117">
        <f t="shared" si="99"/>
        <v>300</v>
      </c>
      <c r="U154" s="112">
        <v>150</v>
      </c>
      <c r="V154" s="113">
        <v>150</v>
      </c>
      <c r="W154" s="118">
        <f t="shared" si="100"/>
        <v>300</v>
      </c>
      <c r="X154" s="110">
        <v>120</v>
      </c>
      <c r="Y154" s="111">
        <v>120</v>
      </c>
      <c r="Z154" s="117">
        <f t="shared" si="101"/>
        <v>240</v>
      </c>
      <c r="AA154" s="112">
        <v>120</v>
      </c>
      <c r="AB154" s="113">
        <v>120</v>
      </c>
      <c r="AC154" s="118">
        <f t="shared" si="102"/>
        <v>240</v>
      </c>
      <c r="AD154" s="68">
        <f t="shared" si="104"/>
        <v>1080</v>
      </c>
      <c r="AE154" s="116" t="s">
        <v>194</v>
      </c>
    </row>
    <row r="155" spans="2:31" x14ac:dyDescent="0.15">
      <c r="B155" s="6"/>
      <c r="C155" s="25"/>
      <c r="D155" s="19"/>
      <c r="E155" s="49">
        <f t="shared" si="95"/>
        <v>0</v>
      </c>
      <c r="F155" s="31"/>
      <c r="G155" s="7"/>
      <c r="H155" s="57">
        <f t="shared" si="96"/>
        <v>0</v>
      </c>
      <c r="I155" s="25"/>
      <c r="J155" s="19"/>
      <c r="K155" s="49">
        <f t="shared" si="97"/>
        <v>0</v>
      </c>
      <c r="L155" s="31"/>
      <c r="M155" s="7"/>
      <c r="N155" s="57">
        <f t="shared" si="98"/>
        <v>0</v>
      </c>
      <c r="O155" s="38">
        <f t="shared" si="103"/>
        <v>0</v>
      </c>
      <c r="Q155" s="119" t="s">
        <v>188</v>
      </c>
      <c r="R155" s="123">
        <v>-10</v>
      </c>
      <c r="S155" s="124">
        <v>-10</v>
      </c>
      <c r="T155" s="122">
        <f t="shared" si="99"/>
        <v>-20</v>
      </c>
      <c r="U155" s="123">
        <v>-10</v>
      </c>
      <c r="V155" s="124">
        <v>-10</v>
      </c>
      <c r="W155" s="125">
        <f t="shared" si="100"/>
        <v>-20</v>
      </c>
      <c r="X155" s="133"/>
      <c r="Y155" s="132"/>
      <c r="Z155" s="144">
        <f t="shared" si="101"/>
        <v>0</v>
      </c>
      <c r="AA155" s="131"/>
      <c r="AB155" s="132"/>
      <c r="AC155" s="159">
        <f t="shared" si="102"/>
        <v>0</v>
      </c>
      <c r="AD155" s="145">
        <f t="shared" si="104"/>
        <v>-40</v>
      </c>
      <c r="AE155" s="116"/>
    </row>
    <row r="156" spans="2:31" ht="14.25" thickBot="1" x14ac:dyDescent="0.2">
      <c r="B156" s="6"/>
      <c r="C156" s="29"/>
      <c r="D156" s="20"/>
      <c r="E156" s="50">
        <f t="shared" si="95"/>
        <v>0</v>
      </c>
      <c r="F156" s="32"/>
      <c r="G156" s="5"/>
      <c r="H156" s="58">
        <f t="shared" si="96"/>
        <v>0</v>
      </c>
      <c r="I156" s="29"/>
      <c r="J156" s="20"/>
      <c r="K156" s="50">
        <f t="shared" si="97"/>
        <v>0</v>
      </c>
      <c r="L156" s="32"/>
      <c r="M156" s="5"/>
      <c r="N156" s="58">
        <f t="shared" si="98"/>
        <v>0</v>
      </c>
      <c r="O156" s="39">
        <f t="shared" si="103"/>
        <v>0</v>
      </c>
      <c r="Q156" s="119" t="s">
        <v>187</v>
      </c>
      <c r="R156" s="110">
        <v>65</v>
      </c>
      <c r="S156" s="111">
        <v>40</v>
      </c>
      <c r="T156" s="142">
        <f t="shared" si="99"/>
        <v>105</v>
      </c>
      <c r="U156" s="110">
        <v>80</v>
      </c>
      <c r="V156" s="111">
        <v>60</v>
      </c>
      <c r="W156" s="141">
        <f t="shared" si="100"/>
        <v>140</v>
      </c>
      <c r="X156" s="127"/>
      <c r="Y156" s="128"/>
      <c r="Z156" s="142">
        <f t="shared" si="101"/>
        <v>0</v>
      </c>
      <c r="AA156" s="127"/>
      <c r="AB156" s="128"/>
      <c r="AC156" s="141">
        <f t="shared" si="102"/>
        <v>0</v>
      </c>
      <c r="AD156" s="143">
        <f t="shared" si="104"/>
        <v>245</v>
      </c>
      <c r="AE156" s="116" t="s">
        <v>206</v>
      </c>
    </row>
    <row r="157" spans="2:31" ht="14.25" thickBot="1" x14ac:dyDescent="0.2">
      <c r="B157" s="4" t="s">
        <v>1</v>
      </c>
      <c r="C157" s="27">
        <f>SUM(C132:C156)</f>
        <v>0</v>
      </c>
      <c r="D157" s="21">
        <f>SUM(D132:D156)</f>
        <v>0</v>
      </c>
      <c r="E157" s="51">
        <f t="shared" si="95"/>
        <v>0</v>
      </c>
      <c r="F157" s="27">
        <f>SUM(F132:F156)</f>
        <v>0</v>
      </c>
      <c r="G157" s="21">
        <f>SUM(G132:G156)</f>
        <v>0</v>
      </c>
      <c r="H157" s="59">
        <f t="shared" si="96"/>
        <v>0</v>
      </c>
      <c r="I157" s="27">
        <f>SUM(I132:I156)</f>
        <v>0</v>
      </c>
      <c r="J157" s="21">
        <f>SUM(J132:J156)</f>
        <v>0</v>
      </c>
      <c r="K157" s="51">
        <f t="shared" si="97"/>
        <v>0</v>
      </c>
      <c r="L157" s="27">
        <f>SUM(L132:L156)</f>
        <v>0</v>
      </c>
      <c r="M157" s="21">
        <f>SUM(M132:M156)</f>
        <v>0</v>
      </c>
      <c r="N157" s="59">
        <f t="shared" si="98"/>
        <v>0</v>
      </c>
      <c r="O157" s="40">
        <f t="shared" si="103"/>
        <v>0</v>
      </c>
      <c r="Q157" s="4" t="s">
        <v>1</v>
      </c>
      <c r="R157" s="27">
        <f>SUM(R132:R156)</f>
        <v>240</v>
      </c>
      <c r="S157" s="21">
        <f>SUM(S132:S156)</f>
        <v>200</v>
      </c>
      <c r="T157" s="51">
        <f t="shared" si="99"/>
        <v>440</v>
      </c>
      <c r="U157" s="27">
        <f>SUM(U132:U156)</f>
        <v>250</v>
      </c>
      <c r="V157" s="21">
        <f>SUM(V132:V156)</f>
        <v>220</v>
      </c>
      <c r="W157" s="59">
        <f t="shared" si="100"/>
        <v>470</v>
      </c>
      <c r="X157" s="27">
        <f>SUM(X132:X156)</f>
        <v>115</v>
      </c>
      <c r="Y157" s="21">
        <f>SUM(Y132:Y156)</f>
        <v>115</v>
      </c>
      <c r="Z157" s="51">
        <f t="shared" si="101"/>
        <v>230</v>
      </c>
      <c r="AA157" s="27">
        <f>SUM(AA132:AA156)</f>
        <v>140</v>
      </c>
      <c r="AB157" s="21">
        <f>SUM(AB132:AB156)</f>
        <v>125</v>
      </c>
      <c r="AC157" s="59">
        <f t="shared" si="102"/>
        <v>265</v>
      </c>
      <c r="AD157" s="40">
        <f t="shared" si="104"/>
        <v>1405</v>
      </c>
    </row>
    <row r="158" spans="2:31" ht="14.25" thickBot="1" x14ac:dyDescent="0.2">
      <c r="B158" s="3" t="s">
        <v>0</v>
      </c>
      <c r="C158" s="30">
        <f>C131-C157</f>
        <v>0</v>
      </c>
      <c r="D158" s="30">
        <f>D131-D157</f>
        <v>2</v>
      </c>
      <c r="E158" s="52">
        <f t="shared" si="95"/>
        <v>2</v>
      </c>
      <c r="F158" s="30">
        <f>F131-F157</f>
        <v>1</v>
      </c>
      <c r="G158" s="30">
        <f>G131-G157</f>
        <v>1</v>
      </c>
      <c r="H158" s="60">
        <f t="shared" si="96"/>
        <v>2</v>
      </c>
      <c r="I158" s="30">
        <f>I131-I157</f>
        <v>0</v>
      </c>
      <c r="J158" s="30">
        <f>J131-J157</f>
        <v>2</v>
      </c>
      <c r="K158" s="52">
        <f t="shared" si="97"/>
        <v>2</v>
      </c>
      <c r="L158" s="30">
        <f>L131-L157</f>
        <v>1</v>
      </c>
      <c r="M158" s="30">
        <f>M131-M157</f>
        <v>1</v>
      </c>
      <c r="N158" s="60">
        <f t="shared" si="98"/>
        <v>2</v>
      </c>
      <c r="O158" s="41">
        <f t="shared" si="103"/>
        <v>8</v>
      </c>
      <c r="Q158" s="3" t="s">
        <v>0</v>
      </c>
      <c r="R158" s="30">
        <f>+R131-R157</f>
        <v>59</v>
      </c>
      <c r="S158" s="2">
        <f>+S131-S157</f>
        <v>110</v>
      </c>
      <c r="T158" s="52">
        <f t="shared" si="99"/>
        <v>169</v>
      </c>
      <c r="U158" s="30">
        <f>+U131-U157</f>
        <v>58</v>
      </c>
      <c r="V158" s="2">
        <f>+V131-V157</f>
        <v>72</v>
      </c>
      <c r="W158" s="60">
        <f t="shared" si="100"/>
        <v>130</v>
      </c>
      <c r="X158" s="30">
        <f>+X131-X157</f>
        <v>131</v>
      </c>
      <c r="Y158" s="2">
        <f>+Y131-Y157</f>
        <v>122</v>
      </c>
      <c r="Z158" s="52">
        <f t="shared" si="101"/>
        <v>253</v>
      </c>
      <c r="AA158" s="30">
        <f>+AA131-AA157</f>
        <v>133</v>
      </c>
      <c r="AB158" s="2">
        <f>+AB131-AB157</f>
        <v>82</v>
      </c>
      <c r="AC158" s="60">
        <f t="shared" si="102"/>
        <v>215</v>
      </c>
      <c r="AD158" s="41">
        <f t="shared" si="104"/>
        <v>767</v>
      </c>
    </row>
    <row r="161" spans="2:31" ht="18.75" x14ac:dyDescent="0.2">
      <c r="B161" s="101" t="s">
        <v>11</v>
      </c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Q161" s="107" t="s">
        <v>158</v>
      </c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</row>
    <row r="162" spans="2:31" ht="18" thickBot="1" x14ac:dyDescent="0.25">
      <c r="B162" s="103" t="s">
        <v>156</v>
      </c>
      <c r="C162" s="102"/>
      <c r="D162" s="102"/>
      <c r="E162" s="102"/>
      <c r="F162" s="102"/>
      <c r="G162" s="102"/>
      <c r="H162" s="102"/>
      <c r="I162" s="102"/>
      <c r="J162" s="102" t="s">
        <v>157</v>
      </c>
      <c r="K162" s="102"/>
      <c r="L162" s="102"/>
      <c r="M162" s="102"/>
      <c r="N162" s="102"/>
      <c r="O162" s="102"/>
      <c r="Q162" s="109" t="s">
        <v>156</v>
      </c>
      <c r="R162" s="108"/>
      <c r="S162" s="108"/>
      <c r="T162" s="108"/>
      <c r="U162" s="108"/>
      <c r="V162" s="108"/>
      <c r="W162" s="108"/>
      <c r="X162" s="108"/>
      <c r="Y162" s="108" t="s">
        <v>157</v>
      </c>
      <c r="Z162" s="108"/>
      <c r="AA162" s="108"/>
      <c r="AB162" s="108"/>
      <c r="AC162" s="108"/>
      <c r="AD162" s="108"/>
    </row>
    <row r="163" spans="2:31" ht="14.25" thickBot="1" x14ac:dyDescent="0.2">
      <c r="B163" s="14"/>
      <c r="C163" s="206" t="s">
        <v>9</v>
      </c>
      <c r="D163" s="207"/>
      <c r="E163" s="208"/>
      <c r="F163" s="209" t="s">
        <v>154</v>
      </c>
      <c r="G163" s="210"/>
      <c r="H163" s="211"/>
      <c r="I163" s="212" t="s">
        <v>10</v>
      </c>
      <c r="J163" s="213"/>
      <c r="K163" s="214"/>
      <c r="L163" s="215" t="s">
        <v>164</v>
      </c>
      <c r="M163" s="216"/>
      <c r="N163" s="216"/>
      <c r="O163" s="217" t="s">
        <v>8</v>
      </c>
      <c r="Q163" s="14"/>
      <c r="R163" s="206" t="s">
        <v>9</v>
      </c>
      <c r="S163" s="207"/>
      <c r="T163" s="208"/>
      <c r="U163" s="209" t="s">
        <v>154</v>
      </c>
      <c r="V163" s="210"/>
      <c r="W163" s="211"/>
      <c r="X163" s="212" t="s">
        <v>10</v>
      </c>
      <c r="Y163" s="213"/>
      <c r="Z163" s="214"/>
      <c r="AA163" s="215" t="s">
        <v>164</v>
      </c>
      <c r="AB163" s="216"/>
      <c r="AC163" s="216"/>
      <c r="AD163" s="217" t="s">
        <v>8</v>
      </c>
    </row>
    <row r="164" spans="2:31" ht="14.25" thickBot="1" x14ac:dyDescent="0.2">
      <c r="B164" s="4"/>
      <c r="C164" s="62" t="s">
        <v>6</v>
      </c>
      <c r="D164" s="61" t="s">
        <v>5</v>
      </c>
      <c r="E164" s="63" t="s">
        <v>4</v>
      </c>
      <c r="F164" s="62" t="s">
        <v>6</v>
      </c>
      <c r="G164" s="61" t="s">
        <v>5</v>
      </c>
      <c r="H164" s="63" t="s">
        <v>4</v>
      </c>
      <c r="I164" s="62" t="s">
        <v>6</v>
      </c>
      <c r="J164" s="61" t="s">
        <v>5</v>
      </c>
      <c r="K164" s="63" t="s">
        <v>4</v>
      </c>
      <c r="L164" s="62" t="s">
        <v>6</v>
      </c>
      <c r="M164" s="61" t="s">
        <v>5</v>
      </c>
      <c r="N164" s="63" t="s">
        <v>4</v>
      </c>
      <c r="O164" s="218"/>
      <c r="Q164" s="4"/>
      <c r="R164" s="62" t="s">
        <v>6</v>
      </c>
      <c r="S164" s="61" t="s">
        <v>5</v>
      </c>
      <c r="T164" s="63" t="s">
        <v>4</v>
      </c>
      <c r="U164" s="62" t="s">
        <v>6</v>
      </c>
      <c r="V164" s="61" t="s">
        <v>5</v>
      </c>
      <c r="W164" s="63" t="s">
        <v>4</v>
      </c>
      <c r="X164" s="62" t="s">
        <v>6</v>
      </c>
      <c r="Y164" s="61" t="s">
        <v>5</v>
      </c>
      <c r="Z164" s="63" t="s">
        <v>4</v>
      </c>
      <c r="AA164" s="62" t="s">
        <v>6</v>
      </c>
      <c r="AB164" s="61" t="s">
        <v>5</v>
      </c>
      <c r="AC164" s="63" t="s">
        <v>4</v>
      </c>
      <c r="AD164" s="218"/>
    </row>
    <row r="165" spans="2:31" ht="14.25" thickBot="1" x14ac:dyDescent="0.2">
      <c r="B165" s="106" t="s">
        <v>173</v>
      </c>
      <c r="C165" s="43">
        <f>C158</f>
        <v>0</v>
      </c>
      <c r="D165" s="43">
        <f>D158</f>
        <v>2</v>
      </c>
      <c r="E165" s="83">
        <f t="shared" ref="E165:E198" si="120">SUM(C165:D165)</f>
        <v>2</v>
      </c>
      <c r="F165" s="43">
        <f>F158</f>
        <v>1</v>
      </c>
      <c r="G165" s="43">
        <f>G158</f>
        <v>1</v>
      </c>
      <c r="H165" s="84">
        <f t="shared" ref="H165:H198" si="121">SUM(F165:G165)</f>
        <v>2</v>
      </c>
      <c r="I165" s="43">
        <f>I158</f>
        <v>0</v>
      </c>
      <c r="J165" s="43">
        <f>J158</f>
        <v>2</v>
      </c>
      <c r="K165" s="83">
        <f t="shared" ref="K165:K198" si="122">SUM(I165:J165)</f>
        <v>2</v>
      </c>
      <c r="L165" s="43">
        <f>L158</f>
        <v>1</v>
      </c>
      <c r="M165" s="43">
        <f>M158</f>
        <v>1</v>
      </c>
      <c r="N165" s="84">
        <f t="shared" ref="N165:N198" si="123">SUM(L165:M165)</f>
        <v>2</v>
      </c>
      <c r="O165" s="41">
        <f>E165+H165+K165+N165</f>
        <v>8</v>
      </c>
      <c r="Q165" s="106" t="s">
        <v>173</v>
      </c>
      <c r="R165" s="43">
        <f>R158</f>
        <v>59</v>
      </c>
      <c r="S165" s="43">
        <f>S158</f>
        <v>110</v>
      </c>
      <c r="T165" s="83">
        <f t="shared" ref="T165:T198" si="124">SUM(R165:S165)</f>
        <v>169</v>
      </c>
      <c r="U165" s="43">
        <f>U158</f>
        <v>58</v>
      </c>
      <c r="V165" s="43">
        <f>V158</f>
        <v>72</v>
      </c>
      <c r="W165" s="84">
        <f t="shared" ref="W165:W198" si="125">SUM(U165:V165)</f>
        <v>130</v>
      </c>
      <c r="X165" s="43">
        <f>X158</f>
        <v>131</v>
      </c>
      <c r="Y165" s="43">
        <f>Y158</f>
        <v>122</v>
      </c>
      <c r="Z165" s="83">
        <f t="shared" ref="Z165:Z198" si="126">SUM(X165:Y165)</f>
        <v>253</v>
      </c>
      <c r="AA165" s="43">
        <f>AA158</f>
        <v>133</v>
      </c>
      <c r="AB165" s="43">
        <f>AB158</f>
        <v>82</v>
      </c>
      <c r="AC165" s="84">
        <f t="shared" ref="AC165:AC198" si="127">SUM(AA165:AB165)</f>
        <v>215</v>
      </c>
      <c r="AD165" s="41">
        <f>T165+W165+Z165+AC165</f>
        <v>767</v>
      </c>
    </row>
    <row r="166" spans="2:31" x14ac:dyDescent="0.15">
      <c r="B166" s="105" t="s">
        <v>3</v>
      </c>
      <c r="C166" s="31"/>
      <c r="D166" s="7"/>
      <c r="E166" s="76">
        <f t="shared" si="120"/>
        <v>0</v>
      </c>
      <c r="F166" s="31"/>
      <c r="G166" s="7"/>
      <c r="H166" s="77">
        <f t="shared" si="121"/>
        <v>0</v>
      </c>
      <c r="I166" s="31"/>
      <c r="J166" s="7"/>
      <c r="K166" s="76">
        <f t="shared" si="122"/>
        <v>0</v>
      </c>
      <c r="L166" s="31"/>
      <c r="M166" s="7"/>
      <c r="N166" s="77">
        <f t="shared" si="123"/>
        <v>0</v>
      </c>
      <c r="O166" s="38">
        <f t="shared" ref="O166:O198" si="128">E166+H166+K166+N166</f>
        <v>0</v>
      </c>
      <c r="Q166" s="105" t="s">
        <v>3</v>
      </c>
      <c r="R166" s="31"/>
      <c r="S166" s="7"/>
      <c r="T166" s="76">
        <f t="shared" si="124"/>
        <v>0</v>
      </c>
      <c r="U166" s="31"/>
      <c r="V166" s="7"/>
      <c r="W166" s="77">
        <f t="shared" si="125"/>
        <v>0</v>
      </c>
      <c r="X166" s="31"/>
      <c r="Y166" s="7"/>
      <c r="Z166" s="76">
        <f t="shared" si="126"/>
        <v>0</v>
      </c>
      <c r="AA166" s="31"/>
      <c r="AB166" s="7"/>
      <c r="AC166" s="77">
        <f t="shared" si="127"/>
        <v>0</v>
      </c>
      <c r="AD166" s="38">
        <f t="shared" ref="AD166:AD198" si="129">T166+W166+Z166+AC166</f>
        <v>0</v>
      </c>
      <c r="AE166" s="160"/>
    </row>
    <row r="167" spans="2:31" x14ac:dyDescent="0.15">
      <c r="B167" s="11" t="s">
        <v>3</v>
      </c>
      <c r="C167" s="25"/>
      <c r="D167" s="19"/>
      <c r="E167" s="46">
        <f t="shared" si="120"/>
        <v>0</v>
      </c>
      <c r="F167" s="31"/>
      <c r="G167" s="7"/>
      <c r="H167" s="54">
        <f t="shared" si="121"/>
        <v>0</v>
      </c>
      <c r="I167" s="25"/>
      <c r="J167" s="19"/>
      <c r="K167" s="46">
        <f t="shared" si="122"/>
        <v>0</v>
      </c>
      <c r="L167" s="31"/>
      <c r="M167" s="7"/>
      <c r="N167" s="54">
        <f t="shared" si="123"/>
        <v>0</v>
      </c>
      <c r="O167" s="38">
        <f t="shared" si="128"/>
        <v>0</v>
      </c>
      <c r="Q167" s="105" t="s">
        <v>3</v>
      </c>
      <c r="R167" s="31"/>
      <c r="S167" s="7"/>
      <c r="T167" s="76">
        <f t="shared" ref="T167:T169" si="130">SUM(R167:S167)</f>
        <v>0</v>
      </c>
      <c r="U167" s="31"/>
      <c r="V167" s="7"/>
      <c r="W167" s="77">
        <f t="shared" ref="W167:W169" si="131">SUM(U167:V167)</f>
        <v>0</v>
      </c>
      <c r="X167" s="31"/>
      <c r="Y167" s="7"/>
      <c r="Z167" s="76">
        <f t="shared" ref="Z167:Z169" si="132">SUM(X167:Y167)</f>
        <v>0</v>
      </c>
      <c r="AA167" s="31"/>
      <c r="AB167" s="7"/>
      <c r="AC167" s="77">
        <f t="shared" ref="AC167:AC169" si="133">SUM(AA167:AB167)</f>
        <v>0</v>
      </c>
      <c r="AD167" s="38">
        <f t="shared" ref="AD167:AD169" si="134">T167+W167+Z167+AC167</f>
        <v>0</v>
      </c>
      <c r="AE167" s="160"/>
    </row>
    <row r="168" spans="2:31" x14ac:dyDescent="0.15">
      <c r="B168" s="11" t="s">
        <v>3</v>
      </c>
      <c r="C168" s="25"/>
      <c r="D168" s="19"/>
      <c r="E168" s="46">
        <f t="shared" si="120"/>
        <v>0</v>
      </c>
      <c r="F168" s="31"/>
      <c r="G168" s="7"/>
      <c r="H168" s="54">
        <f t="shared" si="121"/>
        <v>0</v>
      </c>
      <c r="I168" s="25"/>
      <c r="J168" s="19"/>
      <c r="K168" s="46">
        <f t="shared" si="122"/>
        <v>0</v>
      </c>
      <c r="L168" s="31"/>
      <c r="M168" s="7"/>
      <c r="N168" s="54">
        <f t="shared" si="123"/>
        <v>0</v>
      </c>
      <c r="O168" s="38">
        <f t="shared" si="128"/>
        <v>0</v>
      </c>
      <c r="Q168" s="193" t="s">
        <v>3</v>
      </c>
      <c r="R168" s="112">
        <v>50</v>
      </c>
      <c r="S168" s="113">
        <v>10</v>
      </c>
      <c r="T168" s="194">
        <f t="shared" si="130"/>
        <v>60</v>
      </c>
      <c r="U168" s="112">
        <v>60</v>
      </c>
      <c r="V168" s="113">
        <v>40</v>
      </c>
      <c r="W168" s="195">
        <f t="shared" si="131"/>
        <v>100</v>
      </c>
      <c r="X168" s="112"/>
      <c r="Y168" s="113"/>
      <c r="Z168" s="194">
        <f t="shared" si="132"/>
        <v>0</v>
      </c>
      <c r="AA168" s="112">
        <v>10</v>
      </c>
      <c r="AB168" s="113">
        <v>10</v>
      </c>
      <c r="AC168" s="195">
        <f t="shared" si="133"/>
        <v>20</v>
      </c>
      <c r="AD168" s="68">
        <f t="shared" si="134"/>
        <v>180</v>
      </c>
      <c r="AE168" s="114">
        <v>46235</v>
      </c>
    </row>
    <row r="169" spans="2:31" x14ac:dyDescent="0.15">
      <c r="B169" s="11" t="s">
        <v>3</v>
      </c>
      <c r="C169" s="25"/>
      <c r="D169" s="19"/>
      <c r="E169" s="46">
        <f t="shared" si="120"/>
        <v>0</v>
      </c>
      <c r="F169" s="31"/>
      <c r="G169" s="7"/>
      <c r="H169" s="54">
        <f t="shared" si="121"/>
        <v>0</v>
      </c>
      <c r="I169" s="25"/>
      <c r="J169" s="19"/>
      <c r="K169" s="46">
        <f t="shared" si="122"/>
        <v>0</v>
      </c>
      <c r="L169" s="31"/>
      <c r="M169" s="7"/>
      <c r="N169" s="54">
        <f t="shared" si="123"/>
        <v>0</v>
      </c>
      <c r="O169" s="38">
        <f t="shared" si="128"/>
        <v>0</v>
      </c>
      <c r="Q169" s="105" t="s">
        <v>3</v>
      </c>
      <c r="R169" s="31"/>
      <c r="S169" s="7"/>
      <c r="T169" s="76">
        <f t="shared" si="130"/>
        <v>0</v>
      </c>
      <c r="U169" s="31"/>
      <c r="V169" s="7"/>
      <c r="W169" s="77">
        <f t="shared" si="131"/>
        <v>0</v>
      </c>
      <c r="X169" s="31"/>
      <c r="Y169" s="7"/>
      <c r="Z169" s="76">
        <f t="shared" si="132"/>
        <v>0</v>
      </c>
      <c r="AA169" s="31"/>
      <c r="AB169" s="7"/>
      <c r="AC169" s="77">
        <f t="shared" si="133"/>
        <v>0</v>
      </c>
      <c r="AD169" s="38">
        <f t="shared" si="134"/>
        <v>0</v>
      </c>
      <c r="AE169" s="160"/>
    </row>
    <row r="170" spans="2:31" ht="14.25" thickBot="1" x14ac:dyDescent="0.2">
      <c r="B170" s="10" t="s">
        <v>3</v>
      </c>
      <c r="C170" s="26"/>
      <c r="D170" s="20"/>
      <c r="E170" s="47">
        <f t="shared" si="120"/>
        <v>0</v>
      </c>
      <c r="F170" s="32"/>
      <c r="G170" s="5"/>
      <c r="H170" s="55">
        <f t="shared" si="121"/>
        <v>0</v>
      </c>
      <c r="I170" s="26"/>
      <c r="J170" s="20"/>
      <c r="K170" s="47">
        <f t="shared" si="122"/>
        <v>0</v>
      </c>
      <c r="L170" s="32"/>
      <c r="M170" s="5"/>
      <c r="N170" s="55">
        <f t="shared" si="123"/>
        <v>0</v>
      </c>
      <c r="O170" s="39">
        <f t="shared" si="128"/>
        <v>0</v>
      </c>
      <c r="Q170" s="105" t="s">
        <v>3</v>
      </c>
      <c r="R170" s="31"/>
      <c r="S170" s="7"/>
      <c r="T170" s="76">
        <f t="shared" si="124"/>
        <v>0</v>
      </c>
      <c r="U170" s="31"/>
      <c r="V170" s="7"/>
      <c r="W170" s="77">
        <f t="shared" si="125"/>
        <v>0</v>
      </c>
      <c r="X170" s="31"/>
      <c r="Y170" s="7"/>
      <c r="Z170" s="76">
        <f t="shared" si="126"/>
        <v>0</v>
      </c>
      <c r="AA170" s="31"/>
      <c r="AB170" s="7"/>
      <c r="AC170" s="47">
        <f t="shared" si="127"/>
        <v>0</v>
      </c>
      <c r="AD170" s="38">
        <f t="shared" si="129"/>
        <v>0</v>
      </c>
      <c r="AE170" s="160"/>
    </row>
    <row r="171" spans="2:31" ht="14.25" thickBot="1" x14ac:dyDescent="0.2">
      <c r="B171" s="42" t="s">
        <v>2</v>
      </c>
      <c r="C171" s="43">
        <f>SUM(C165:C170)</f>
        <v>0</v>
      </c>
      <c r="D171" s="44">
        <f>SUM(D165:D170)</f>
        <v>2</v>
      </c>
      <c r="E171" s="48">
        <f t="shared" si="120"/>
        <v>2</v>
      </c>
      <c r="F171" s="43">
        <f>SUM(F165:F170)</f>
        <v>1</v>
      </c>
      <c r="G171" s="44">
        <f>SUM(G165:G170)</f>
        <v>1</v>
      </c>
      <c r="H171" s="56">
        <f t="shared" si="121"/>
        <v>2</v>
      </c>
      <c r="I171" s="43">
        <f>SUM(I165:I170)</f>
        <v>0</v>
      </c>
      <c r="J171" s="44">
        <f>SUM(J165:J170)</f>
        <v>2</v>
      </c>
      <c r="K171" s="48">
        <f t="shared" si="122"/>
        <v>2</v>
      </c>
      <c r="L171" s="43">
        <f>SUM(L165:L170)</f>
        <v>1</v>
      </c>
      <c r="M171" s="44">
        <f>SUM(M165:M170)</f>
        <v>1</v>
      </c>
      <c r="N171" s="56">
        <f t="shared" si="123"/>
        <v>2</v>
      </c>
      <c r="O171" s="41">
        <f t="shared" si="128"/>
        <v>8</v>
      </c>
      <c r="Q171" s="42" t="s">
        <v>2</v>
      </c>
      <c r="R171" s="43">
        <f>SUM(R165:R170)</f>
        <v>109</v>
      </c>
      <c r="S171" s="44">
        <f>SUM(S165:S170)</f>
        <v>120</v>
      </c>
      <c r="T171" s="83">
        <f t="shared" si="124"/>
        <v>229</v>
      </c>
      <c r="U171" s="43">
        <f>SUM(U165:U170)</f>
        <v>118</v>
      </c>
      <c r="V171" s="44">
        <f>SUM(V165:V170)</f>
        <v>112</v>
      </c>
      <c r="W171" s="84">
        <f t="shared" si="125"/>
        <v>230</v>
      </c>
      <c r="X171" s="43">
        <f>SUM(X165:X170)</f>
        <v>131</v>
      </c>
      <c r="Y171" s="44">
        <f>SUM(Y165:Y170)</f>
        <v>122</v>
      </c>
      <c r="Z171" s="83">
        <f t="shared" si="126"/>
        <v>253</v>
      </c>
      <c r="AA171" s="43">
        <f>SUM(AA165:AA170)</f>
        <v>143</v>
      </c>
      <c r="AB171" s="44">
        <f>SUM(AB165:AB170)</f>
        <v>92</v>
      </c>
      <c r="AC171" s="56">
        <f t="shared" si="127"/>
        <v>235</v>
      </c>
      <c r="AD171" s="41">
        <f t="shared" si="129"/>
        <v>947</v>
      </c>
    </row>
    <row r="172" spans="2:31" x14ac:dyDescent="0.15">
      <c r="B172" s="9"/>
      <c r="C172" s="24"/>
      <c r="D172" s="18"/>
      <c r="E172" s="49">
        <f t="shared" si="120"/>
        <v>0</v>
      </c>
      <c r="F172" s="31"/>
      <c r="G172" s="7"/>
      <c r="H172" s="57">
        <f t="shared" si="121"/>
        <v>0</v>
      </c>
      <c r="I172" s="24"/>
      <c r="J172" s="18"/>
      <c r="K172" s="49">
        <f t="shared" si="122"/>
        <v>0</v>
      </c>
      <c r="L172" s="31"/>
      <c r="M172" s="7"/>
      <c r="N172" s="57">
        <f t="shared" si="123"/>
        <v>0</v>
      </c>
      <c r="O172" s="38">
        <f t="shared" si="128"/>
        <v>0</v>
      </c>
      <c r="Q172" s="9"/>
      <c r="R172" s="24"/>
      <c r="S172" s="18"/>
      <c r="T172" s="49">
        <f t="shared" si="124"/>
        <v>0</v>
      </c>
      <c r="U172" s="31"/>
      <c r="V172" s="7"/>
      <c r="W172" s="57">
        <f t="shared" si="125"/>
        <v>0</v>
      </c>
      <c r="X172" s="24"/>
      <c r="Y172" s="18"/>
      <c r="Z172" s="49">
        <f t="shared" si="126"/>
        <v>0</v>
      </c>
      <c r="AA172" s="31"/>
      <c r="AB172" s="7"/>
      <c r="AC172" s="57">
        <f t="shared" si="127"/>
        <v>0</v>
      </c>
      <c r="AD172" s="38">
        <f t="shared" si="129"/>
        <v>0</v>
      </c>
    </row>
    <row r="173" spans="2:31" x14ac:dyDescent="0.15">
      <c r="B173" s="34"/>
      <c r="C173" s="25"/>
      <c r="D173" s="19"/>
      <c r="E173" s="49">
        <f t="shared" si="120"/>
        <v>0</v>
      </c>
      <c r="F173" s="31"/>
      <c r="G173" s="7"/>
      <c r="H173" s="57">
        <f t="shared" si="121"/>
        <v>0</v>
      </c>
      <c r="I173" s="25"/>
      <c r="J173" s="19"/>
      <c r="K173" s="49">
        <f t="shared" si="122"/>
        <v>0</v>
      </c>
      <c r="L173" s="31"/>
      <c r="M173" s="7"/>
      <c r="N173" s="57">
        <f t="shared" si="123"/>
        <v>0</v>
      </c>
      <c r="O173" s="38">
        <f t="shared" si="128"/>
        <v>0</v>
      </c>
      <c r="Q173" s="34"/>
      <c r="R173" s="25"/>
      <c r="S173" s="19"/>
      <c r="T173" s="49">
        <f t="shared" si="124"/>
        <v>0</v>
      </c>
      <c r="U173" s="31"/>
      <c r="V173" s="7"/>
      <c r="W173" s="57">
        <f t="shared" si="125"/>
        <v>0</v>
      </c>
      <c r="X173" s="25"/>
      <c r="Y173" s="19"/>
      <c r="Z173" s="49">
        <f t="shared" si="126"/>
        <v>0</v>
      </c>
      <c r="AA173" s="31"/>
      <c r="AB173" s="7"/>
      <c r="AC173" s="57">
        <f t="shared" si="127"/>
        <v>0</v>
      </c>
      <c r="AD173" s="38">
        <f t="shared" si="129"/>
        <v>0</v>
      </c>
    </row>
    <row r="174" spans="2:31" x14ac:dyDescent="0.15">
      <c r="B174" s="34"/>
      <c r="C174" s="25"/>
      <c r="D174" s="19"/>
      <c r="E174" s="49">
        <f t="shared" si="120"/>
        <v>0</v>
      </c>
      <c r="F174" s="31"/>
      <c r="G174" s="7"/>
      <c r="H174" s="57">
        <f t="shared" si="121"/>
        <v>0</v>
      </c>
      <c r="I174" s="25"/>
      <c r="J174" s="19"/>
      <c r="K174" s="49">
        <f t="shared" si="122"/>
        <v>0</v>
      </c>
      <c r="L174" s="31"/>
      <c r="M174" s="7"/>
      <c r="N174" s="57">
        <f t="shared" si="123"/>
        <v>0</v>
      </c>
      <c r="O174" s="38">
        <f t="shared" si="128"/>
        <v>0</v>
      </c>
      <c r="Q174" s="34"/>
      <c r="R174" s="25"/>
      <c r="S174" s="19"/>
      <c r="T174" s="49">
        <f t="shared" si="124"/>
        <v>0</v>
      </c>
      <c r="U174" s="31"/>
      <c r="V174" s="7"/>
      <c r="W174" s="57">
        <f t="shared" si="125"/>
        <v>0</v>
      </c>
      <c r="X174" s="25"/>
      <c r="Y174" s="19"/>
      <c r="Z174" s="49">
        <f t="shared" si="126"/>
        <v>0</v>
      </c>
      <c r="AA174" s="31"/>
      <c r="AB174" s="7"/>
      <c r="AC174" s="57">
        <f t="shared" si="127"/>
        <v>0</v>
      </c>
      <c r="AD174" s="38">
        <f t="shared" si="129"/>
        <v>0</v>
      </c>
    </row>
    <row r="175" spans="2:31" x14ac:dyDescent="0.15">
      <c r="B175" s="34"/>
      <c r="C175" s="25"/>
      <c r="D175" s="19"/>
      <c r="E175" s="49">
        <f t="shared" si="120"/>
        <v>0</v>
      </c>
      <c r="F175" s="31"/>
      <c r="G175" s="7"/>
      <c r="H175" s="57">
        <f t="shared" si="121"/>
        <v>0</v>
      </c>
      <c r="I175" s="25"/>
      <c r="J175" s="19"/>
      <c r="K175" s="49">
        <f t="shared" si="122"/>
        <v>0</v>
      </c>
      <c r="L175" s="31"/>
      <c r="M175" s="7"/>
      <c r="N175" s="57">
        <f t="shared" si="123"/>
        <v>0</v>
      </c>
      <c r="O175" s="38">
        <f t="shared" si="128"/>
        <v>0</v>
      </c>
      <c r="Q175" s="34"/>
      <c r="R175" s="25"/>
      <c r="S175" s="19"/>
      <c r="T175" s="49">
        <f t="shared" si="124"/>
        <v>0</v>
      </c>
      <c r="U175" s="31"/>
      <c r="V175" s="7"/>
      <c r="W175" s="57">
        <f t="shared" si="125"/>
        <v>0</v>
      </c>
      <c r="X175" s="25"/>
      <c r="Y175" s="19"/>
      <c r="Z175" s="49">
        <f t="shared" si="126"/>
        <v>0</v>
      </c>
      <c r="AA175" s="31"/>
      <c r="AB175" s="7"/>
      <c r="AC175" s="57">
        <f t="shared" si="127"/>
        <v>0</v>
      </c>
      <c r="AD175" s="38">
        <f t="shared" si="129"/>
        <v>0</v>
      </c>
    </row>
    <row r="176" spans="2:31" x14ac:dyDescent="0.15">
      <c r="B176" s="34"/>
      <c r="C176" s="25"/>
      <c r="D176" s="19"/>
      <c r="E176" s="49">
        <f t="shared" si="120"/>
        <v>0</v>
      </c>
      <c r="F176" s="31"/>
      <c r="G176" s="7"/>
      <c r="H176" s="57">
        <f t="shared" si="121"/>
        <v>0</v>
      </c>
      <c r="I176" s="25"/>
      <c r="J176" s="19"/>
      <c r="K176" s="49">
        <f t="shared" si="122"/>
        <v>0</v>
      </c>
      <c r="L176" s="31"/>
      <c r="M176" s="7"/>
      <c r="N176" s="57">
        <f t="shared" si="123"/>
        <v>0</v>
      </c>
      <c r="O176" s="38">
        <f t="shared" si="128"/>
        <v>0</v>
      </c>
      <c r="Q176" s="34"/>
      <c r="R176" s="25"/>
      <c r="S176" s="19"/>
      <c r="T176" s="49">
        <f t="shared" si="124"/>
        <v>0</v>
      </c>
      <c r="U176" s="31"/>
      <c r="V176" s="7"/>
      <c r="W176" s="57">
        <f t="shared" si="125"/>
        <v>0</v>
      </c>
      <c r="X176" s="25"/>
      <c r="Y176" s="19"/>
      <c r="Z176" s="49">
        <f t="shared" si="126"/>
        <v>0</v>
      </c>
      <c r="AA176" s="31"/>
      <c r="AB176" s="7"/>
      <c r="AC176" s="57">
        <f t="shared" si="127"/>
        <v>0</v>
      </c>
      <c r="AD176" s="38">
        <f t="shared" si="129"/>
        <v>0</v>
      </c>
    </row>
    <row r="177" spans="2:30" x14ac:dyDescent="0.15">
      <c r="B177" s="34"/>
      <c r="C177" s="25"/>
      <c r="D177" s="19"/>
      <c r="E177" s="49">
        <f t="shared" si="120"/>
        <v>0</v>
      </c>
      <c r="F177" s="31"/>
      <c r="G177" s="7"/>
      <c r="H177" s="57">
        <f t="shared" si="121"/>
        <v>0</v>
      </c>
      <c r="I177" s="25"/>
      <c r="J177" s="19"/>
      <c r="K177" s="49">
        <f t="shared" si="122"/>
        <v>0</v>
      </c>
      <c r="L177" s="31"/>
      <c r="M177" s="7"/>
      <c r="N177" s="57">
        <f t="shared" si="123"/>
        <v>0</v>
      </c>
      <c r="O177" s="38">
        <f t="shared" si="128"/>
        <v>0</v>
      </c>
      <c r="Q177" s="34"/>
      <c r="R177" s="25"/>
      <c r="S177" s="19"/>
      <c r="T177" s="49">
        <f t="shared" si="124"/>
        <v>0</v>
      </c>
      <c r="U177" s="31"/>
      <c r="V177" s="7"/>
      <c r="W177" s="57">
        <f t="shared" si="125"/>
        <v>0</v>
      </c>
      <c r="X177" s="25"/>
      <c r="Y177" s="19"/>
      <c r="Z177" s="49">
        <f t="shared" si="126"/>
        <v>0</v>
      </c>
      <c r="AA177" s="31"/>
      <c r="AB177" s="7"/>
      <c r="AC177" s="57">
        <f t="shared" si="127"/>
        <v>0</v>
      </c>
      <c r="AD177" s="38">
        <f t="shared" si="129"/>
        <v>0</v>
      </c>
    </row>
    <row r="178" spans="2:30" x14ac:dyDescent="0.15">
      <c r="B178" s="6"/>
      <c r="C178" s="25"/>
      <c r="D178" s="19"/>
      <c r="E178" s="49">
        <f t="shared" si="120"/>
        <v>0</v>
      </c>
      <c r="F178" s="31"/>
      <c r="G178" s="7"/>
      <c r="H178" s="57">
        <f t="shared" si="121"/>
        <v>0</v>
      </c>
      <c r="I178" s="25"/>
      <c r="J178" s="19"/>
      <c r="K178" s="49">
        <f t="shared" si="122"/>
        <v>0</v>
      </c>
      <c r="L178" s="31"/>
      <c r="M178" s="7"/>
      <c r="N178" s="57">
        <f t="shared" si="123"/>
        <v>0</v>
      </c>
      <c r="O178" s="38">
        <f t="shared" si="128"/>
        <v>0</v>
      </c>
      <c r="Q178" s="6"/>
      <c r="R178" s="25"/>
      <c r="S178" s="19"/>
      <c r="T178" s="49">
        <f t="shared" si="124"/>
        <v>0</v>
      </c>
      <c r="U178" s="31"/>
      <c r="V178" s="7"/>
      <c r="W178" s="57">
        <f t="shared" si="125"/>
        <v>0</v>
      </c>
      <c r="X178" s="25"/>
      <c r="Y178" s="19"/>
      <c r="Z178" s="49">
        <f t="shared" si="126"/>
        <v>0</v>
      </c>
      <c r="AA178" s="31"/>
      <c r="AB178" s="7"/>
      <c r="AC178" s="57">
        <f t="shared" si="127"/>
        <v>0</v>
      </c>
      <c r="AD178" s="38">
        <f t="shared" si="129"/>
        <v>0</v>
      </c>
    </row>
    <row r="179" spans="2:30" x14ac:dyDescent="0.15">
      <c r="B179" s="6"/>
      <c r="C179" s="25"/>
      <c r="D179" s="19"/>
      <c r="E179" s="49">
        <f t="shared" si="120"/>
        <v>0</v>
      </c>
      <c r="F179" s="31"/>
      <c r="G179" s="7"/>
      <c r="H179" s="57">
        <f t="shared" si="121"/>
        <v>0</v>
      </c>
      <c r="I179" s="25"/>
      <c r="J179" s="19"/>
      <c r="K179" s="49">
        <f t="shared" si="122"/>
        <v>0</v>
      </c>
      <c r="L179" s="31"/>
      <c r="M179" s="7"/>
      <c r="N179" s="57">
        <f t="shared" si="123"/>
        <v>0</v>
      </c>
      <c r="O179" s="38">
        <f t="shared" si="128"/>
        <v>0</v>
      </c>
      <c r="Q179" s="6"/>
      <c r="R179" s="25"/>
      <c r="S179" s="19"/>
      <c r="T179" s="49">
        <f t="shared" si="124"/>
        <v>0</v>
      </c>
      <c r="U179" s="31"/>
      <c r="V179" s="7"/>
      <c r="W179" s="57">
        <f t="shared" si="125"/>
        <v>0</v>
      </c>
      <c r="X179" s="25"/>
      <c r="Y179" s="19"/>
      <c r="Z179" s="49">
        <f t="shared" si="126"/>
        <v>0</v>
      </c>
      <c r="AA179" s="31"/>
      <c r="AB179" s="7"/>
      <c r="AC179" s="57">
        <f t="shared" si="127"/>
        <v>0</v>
      </c>
      <c r="AD179" s="38">
        <f t="shared" si="129"/>
        <v>0</v>
      </c>
    </row>
    <row r="180" spans="2:30" x14ac:dyDescent="0.15">
      <c r="B180" s="6"/>
      <c r="C180" s="25"/>
      <c r="D180" s="19"/>
      <c r="E180" s="49">
        <f t="shared" si="120"/>
        <v>0</v>
      </c>
      <c r="F180" s="31"/>
      <c r="G180" s="7"/>
      <c r="H180" s="57">
        <f t="shared" si="121"/>
        <v>0</v>
      </c>
      <c r="I180" s="25"/>
      <c r="J180" s="19"/>
      <c r="K180" s="49">
        <f t="shared" si="122"/>
        <v>0</v>
      </c>
      <c r="L180" s="31"/>
      <c r="M180" s="7"/>
      <c r="N180" s="57">
        <f t="shared" si="123"/>
        <v>0</v>
      </c>
      <c r="O180" s="38">
        <f t="shared" si="128"/>
        <v>0</v>
      </c>
      <c r="Q180" s="6"/>
      <c r="R180" s="25"/>
      <c r="S180" s="19"/>
      <c r="T180" s="49">
        <f t="shared" si="124"/>
        <v>0</v>
      </c>
      <c r="U180" s="31"/>
      <c r="V180" s="7"/>
      <c r="W180" s="57">
        <f t="shared" si="125"/>
        <v>0</v>
      </c>
      <c r="X180" s="25"/>
      <c r="Y180" s="19"/>
      <c r="Z180" s="49">
        <f t="shared" si="126"/>
        <v>0</v>
      </c>
      <c r="AA180" s="31"/>
      <c r="AB180" s="7"/>
      <c r="AC180" s="57">
        <f t="shared" si="127"/>
        <v>0</v>
      </c>
      <c r="AD180" s="38">
        <f t="shared" si="129"/>
        <v>0</v>
      </c>
    </row>
    <row r="181" spans="2:30" x14ac:dyDescent="0.15">
      <c r="B181" s="6"/>
      <c r="C181" s="25"/>
      <c r="D181" s="19"/>
      <c r="E181" s="49">
        <f t="shared" si="120"/>
        <v>0</v>
      </c>
      <c r="F181" s="31"/>
      <c r="G181" s="7"/>
      <c r="H181" s="57">
        <f t="shared" si="121"/>
        <v>0</v>
      </c>
      <c r="I181" s="25"/>
      <c r="J181" s="19"/>
      <c r="K181" s="49">
        <f t="shared" si="122"/>
        <v>0</v>
      </c>
      <c r="L181" s="31"/>
      <c r="M181" s="7"/>
      <c r="N181" s="57">
        <f t="shared" si="123"/>
        <v>0</v>
      </c>
      <c r="O181" s="38">
        <f t="shared" si="128"/>
        <v>0</v>
      </c>
      <c r="Q181" s="6"/>
      <c r="R181" s="25"/>
      <c r="S181" s="19"/>
      <c r="T181" s="49">
        <f t="shared" si="124"/>
        <v>0</v>
      </c>
      <c r="U181" s="31"/>
      <c r="V181" s="7"/>
      <c r="W181" s="57">
        <f t="shared" si="125"/>
        <v>0</v>
      </c>
      <c r="X181" s="25"/>
      <c r="Y181" s="19"/>
      <c r="Z181" s="49">
        <f t="shared" si="126"/>
        <v>0</v>
      </c>
      <c r="AA181" s="31"/>
      <c r="AB181" s="7"/>
      <c r="AC181" s="57">
        <f t="shared" si="127"/>
        <v>0</v>
      </c>
      <c r="AD181" s="38">
        <f t="shared" si="129"/>
        <v>0</v>
      </c>
    </row>
    <row r="182" spans="2:30" x14ac:dyDescent="0.15">
      <c r="B182" s="6"/>
      <c r="C182" s="25"/>
      <c r="D182" s="19"/>
      <c r="E182" s="49">
        <f t="shared" si="120"/>
        <v>0</v>
      </c>
      <c r="F182" s="31"/>
      <c r="G182" s="7"/>
      <c r="H182" s="57">
        <f t="shared" si="121"/>
        <v>0</v>
      </c>
      <c r="I182" s="25"/>
      <c r="J182" s="19"/>
      <c r="K182" s="49">
        <f t="shared" si="122"/>
        <v>0</v>
      </c>
      <c r="L182" s="31"/>
      <c r="M182" s="7"/>
      <c r="N182" s="57">
        <f t="shared" si="123"/>
        <v>0</v>
      </c>
      <c r="O182" s="38">
        <f t="shared" si="128"/>
        <v>0</v>
      </c>
      <c r="Q182" s="6"/>
      <c r="R182" s="25"/>
      <c r="S182" s="19"/>
      <c r="T182" s="49">
        <f t="shared" si="124"/>
        <v>0</v>
      </c>
      <c r="U182" s="31"/>
      <c r="V182" s="7"/>
      <c r="W182" s="57">
        <f t="shared" si="125"/>
        <v>0</v>
      </c>
      <c r="X182" s="25"/>
      <c r="Y182" s="19"/>
      <c r="Z182" s="49">
        <f t="shared" si="126"/>
        <v>0</v>
      </c>
      <c r="AA182" s="31"/>
      <c r="AB182" s="7"/>
      <c r="AC182" s="57">
        <f t="shared" si="127"/>
        <v>0</v>
      </c>
      <c r="AD182" s="38">
        <f t="shared" si="129"/>
        <v>0</v>
      </c>
    </row>
    <row r="183" spans="2:30" x14ac:dyDescent="0.15">
      <c r="B183" s="6"/>
      <c r="C183" s="25"/>
      <c r="D183" s="19"/>
      <c r="E183" s="49">
        <f t="shared" si="120"/>
        <v>0</v>
      </c>
      <c r="F183" s="31"/>
      <c r="G183" s="7"/>
      <c r="H183" s="57">
        <f t="shared" si="121"/>
        <v>0</v>
      </c>
      <c r="I183" s="25"/>
      <c r="J183" s="19"/>
      <c r="K183" s="49">
        <f t="shared" si="122"/>
        <v>0</v>
      </c>
      <c r="L183" s="31"/>
      <c r="M183" s="7"/>
      <c r="N183" s="57">
        <f t="shared" si="123"/>
        <v>0</v>
      </c>
      <c r="O183" s="38">
        <f t="shared" si="128"/>
        <v>0</v>
      </c>
      <c r="Q183" s="6"/>
      <c r="R183" s="25"/>
      <c r="S183" s="19"/>
      <c r="T183" s="49">
        <f t="shared" si="124"/>
        <v>0</v>
      </c>
      <c r="U183" s="31"/>
      <c r="V183" s="7"/>
      <c r="W183" s="57">
        <f t="shared" si="125"/>
        <v>0</v>
      </c>
      <c r="X183" s="25"/>
      <c r="Y183" s="19"/>
      <c r="Z183" s="49">
        <f t="shared" si="126"/>
        <v>0</v>
      </c>
      <c r="AA183" s="31"/>
      <c r="AB183" s="7"/>
      <c r="AC183" s="57">
        <f t="shared" si="127"/>
        <v>0</v>
      </c>
      <c r="AD183" s="38">
        <f t="shared" si="129"/>
        <v>0</v>
      </c>
    </row>
    <row r="184" spans="2:30" x14ac:dyDescent="0.15">
      <c r="B184" s="6"/>
      <c r="C184" s="25"/>
      <c r="D184" s="19"/>
      <c r="E184" s="49">
        <f t="shared" si="120"/>
        <v>0</v>
      </c>
      <c r="F184" s="31"/>
      <c r="G184" s="7"/>
      <c r="H184" s="57">
        <f t="shared" si="121"/>
        <v>0</v>
      </c>
      <c r="I184" s="25"/>
      <c r="J184" s="19"/>
      <c r="K184" s="49">
        <f t="shared" si="122"/>
        <v>0</v>
      </c>
      <c r="L184" s="31"/>
      <c r="M184" s="7"/>
      <c r="N184" s="57">
        <f t="shared" si="123"/>
        <v>0</v>
      </c>
      <c r="O184" s="38">
        <f t="shared" si="128"/>
        <v>0</v>
      </c>
      <c r="Q184" s="6"/>
      <c r="R184" s="25"/>
      <c r="S184" s="19"/>
      <c r="T184" s="49">
        <f t="shared" ref="T184:T194" si="135">SUM(R184:S184)</f>
        <v>0</v>
      </c>
      <c r="U184" s="31"/>
      <c r="V184" s="7"/>
      <c r="W184" s="57">
        <f t="shared" ref="W184:W194" si="136">SUM(U184:V184)</f>
        <v>0</v>
      </c>
      <c r="X184" s="25"/>
      <c r="Y184" s="19"/>
      <c r="Z184" s="49">
        <f t="shared" ref="Z184:Z194" si="137">SUM(X184:Y184)</f>
        <v>0</v>
      </c>
      <c r="AA184" s="31"/>
      <c r="AB184" s="7"/>
      <c r="AC184" s="57">
        <f t="shared" ref="AC184:AC194" si="138">SUM(AA184:AB184)</f>
        <v>0</v>
      </c>
      <c r="AD184" s="38">
        <f t="shared" ref="AD184:AD194" si="139">T184+W184+Z184+AC184</f>
        <v>0</v>
      </c>
    </row>
    <row r="185" spans="2:30" x14ac:dyDescent="0.15">
      <c r="B185" s="34"/>
      <c r="C185" s="25"/>
      <c r="D185" s="19"/>
      <c r="E185" s="49">
        <f t="shared" si="120"/>
        <v>0</v>
      </c>
      <c r="F185" s="31"/>
      <c r="G185" s="7"/>
      <c r="H185" s="57">
        <f t="shared" si="121"/>
        <v>0</v>
      </c>
      <c r="I185" s="25"/>
      <c r="J185" s="19"/>
      <c r="K185" s="49">
        <f t="shared" si="122"/>
        <v>0</v>
      </c>
      <c r="L185" s="31"/>
      <c r="M185" s="7"/>
      <c r="N185" s="57">
        <f t="shared" si="123"/>
        <v>0</v>
      </c>
      <c r="O185" s="38">
        <f t="shared" si="128"/>
        <v>0</v>
      </c>
      <c r="Q185" s="6"/>
      <c r="R185" s="25"/>
      <c r="S185" s="19"/>
      <c r="T185" s="49">
        <f t="shared" si="135"/>
        <v>0</v>
      </c>
      <c r="U185" s="31"/>
      <c r="V185" s="7"/>
      <c r="W185" s="57">
        <f t="shared" si="136"/>
        <v>0</v>
      </c>
      <c r="X185" s="25"/>
      <c r="Y185" s="19"/>
      <c r="Z185" s="49">
        <f t="shared" si="137"/>
        <v>0</v>
      </c>
      <c r="AA185" s="31"/>
      <c r="AB185" s="7"/>
      <c r="AC185" s="57">
        <f t="shared" si="138"/>
        <v>0</v>
      </c>
      <c r="AD185" s="38">
        <f t="shared" si="139"/>
        <v>0</v>
      </c>
    </row>
    <row r="186" spans="2:30" x14ac:dyDescent="0.15">
      <c r="B186" s="6"/>
      <c r="C186" s="25"/>
      <c r="D186" s="19"/>
      <c r="E186" s="49">
        <f t="shared" si="120"/>
        <v>0</v>
      </c>
      <c r="F186" s="31"/>
      <c r="G186" s="7"/>
      <c r="H186" s="57">
        <f t="shared" si="121"/>
        <v>0</v>
      </c>
      <c r="I186" s="25"/>
      <c r="J186" s="19"/>
      <c r="K186" s="49">
        <f t="shared" si="122"/>
        <v>0</v>
      </c>
      <c r="L186" s="31"/>
      <c r="M186" s="7"/>
      <c r="N186" s="57">
        <f t="shared" si="123"/>
        <v>0</v>
      </c>
      <c r="O186" s="38">
        <f t="shared" si="128"/>
        <v>0</v>
      </c>
      <c r="Q186" s="6"/>
      <c r="R186" s="25"/>
      <c r="S186" s="19"/>
      <c r="T186" s="49">
        <f t="shared" si="135"/>
        <v>0</v>
      </c>
      <c r="U186" s="31"/>
      <c r="V186" s="7"/>
      <c r="W186" s="57">
        <f t="shared" si="136"/>
        <v>0</v>
      </c>
      <c r="X186" s="25"/>
      <c r="Y186" s="19"/>
      <c r="Z186" s="49">
        <f t="shared" si="137"/>
        <v>0</v>
      </c>
      <c r="AA186" s="31"/>
      <c r="AB186" s="7"/>
      <c r="AC186" s="57">
        <f t="shared" si="138"/>
        <v>0</v>
      </c>
      <c r="AD186" s="38">
        <f t="shared" si="139"/>
        <v>0</v>
      </c>
    </row>
    <row r="187" spans="2:30" x14ac:dyDescent="0.15">
      <c r="B187" s="6"/>
      <c r="C187" s="25"/>
      <c r="D187" s="19"/>
      <c r="E187" s="49">
        <f t="shared" si="120"/>
        <v>0</v>
      </c>
      <c r="F187" s="31"/>
      <c r="G187" s="7"/>
      <c r="H187" s="57">
        <f t="shared" si="121"/>
        <v>0</v>
      </c>
      <c r="I187" s="25"/>
      <c r="J187" s="19"/>
      <c r="K187" s="49">
        <f t="shared" si="122"/>
        <v>0</v>
      </c>
      <c r="L187" s="31"/>
      <c r="M187" s="7"/>
      <c r="N187" s="57">
        <f t="shared" si="123"/>
        <v>0</v>
      </c>
      <c r="O187" s="38">
        <f t="shared" si="128"/>
        <v>0</v>
      </c>
      <c r="Q187" s="6"/>
      <c r="R187" s="25"/>
      <c r="S187" s="19"/>
      <c r="T187" s="49">
        <f t="shared" si="135"/>
        <v>0</v>
      </c>
      <c r="U187" s="31"/>
      <c r="V187" s="7"/>
      <c r="W187" s="57">
        <f t="shared" si="136"/>
        <v>0</v>
      </c>
      <c r="X187" s="25"/>
      <c r="Y187" s="19"/>
      <c r="Z187" s="49">
        <f t="shared" si="137"/>
        <v>0</v>
      </c>
      <c r="AA187" s="31"/>
      <c r="AB187" s="7"/>
      <c r="AC187" s="57">
        <f t="shared" si="138"/>
        <v>0</v>
      </c>
      <c r="AD187" s="38">
        <f t="shared" si="139"/>
        <v>0</v>
      </c>
    </row>
    <row r="188" spans="2:30" x14ac:dyDescent="0.15">
      <c r="B188" s="6"/>
      <c r="C188" s="25"/>
      <c r="D188" s="19"/>
      <c r="E188" s="49">
        <f t="shared" si="120"/>
        <v>0</v>
      </c>
      <c r="F188" s="31"/>
      <c r="G188" s="7"/>
      <c r="H188" s="57">
        <f t="shared" si="121"/>
        <v>0</v>
      </c>
      <c r="I188" s="25"/>
      <c r="J188" s="19"/>
      <c r="K188" s="49">
        <f t="shared" si="122"/>
        <v>0</v>
      </c>
      <c r="L188" s="31"/>
      <c r="M188" s="7"/>
      <c r="N188" s="57">
        <f t="shared" si="123"/>
        <v>0</v>
      </c>
      <c r="O188" s="38">
        <f t="shared" si="128"/>
        <v>0</v>
      </c>
      <c r="Q188" s="6"/>
      <c r="R188" s="25"/>
      <c r="S188" s="19"/>
      <c r="T188" s="49">
        <f t="shared" si="135"/>
        <v>0</v>
      </c>
      <c r="U188" s="31"/>
      <c r="V188" s="7"/>
      <c r="W188" s="57">
        <f t="shared" si="136"/>
        <v>0</v>
      </c>
      <c r="X188" s="25"/>
      <c r="Y188" s="19"/>
      <c r="Z188" s="49">
        <f t="shared" si="137"/>
        <v>0</v>
      </c>
      <c r="AA188" s="31"/>
      <c r="AB188" s="7"/>
      <c r="AC188" s="57">
        <f t="shared" si="138"/>
        <v>0</v>
      </c>
      <c r="AD188" s="38">
        <f t="shared" si="139"/>
        <v>0</v>
      </c>
    </row>
    <row r="189" spans="2:30" x14ac:dyDescent="0.15">
      <c r="B189" s="6"/>
      <c r="C189" s="25"/>
      <c r="D189" s="19"/>
      <c r="E189" s="49">
        <f t="shared" si="120"/>
        <v>0</v>
      </c>
      <c r="F189" s="31"/>
      <c r="G189" s="7"/>
      <c r="H189" s="57">
        <f t="shared" si="121"/>
        <v>0</v>
      </c>
      <c r="I189" s="25"/>
      <c r="J189" s="19"/>
      <c r="K189" s="49">
        <f t="shared" si="122"/>
        <v>0</v>
      </c>
      <c r="L189" s="31"/>
      <c r="M189" s="7"/>
      <c r="N189" s="57">
        <f t="shared" si="123"/>
        <v>0</v>
      </c>
      <c r="O189" s="38">
        <f t="shared" si="128"/>
        <v>0</v>
      </c>
      <c r="Q189" s="6"/>
      <c r="R189" s="25"/>
      <c r="S189" s="19"/>
      <c r="T189" s="49">
        <f t="shared" si="135"/>
        <v>0</v>
      </c>
      <c r="U189" s="31"/>
      <c r="V189" s="7"/>
      <c r="W189" s="57">
        <f t="shared" si="136"/>
        <v>0</v>
      </c>
      <c r="X189" s="25"/>
      <c r="Y189" s="19"/>
      <c r="Z189" s="49">
        <f t="shared" si="137"/>
        <v>0</v>
      </c>
      <c r="AA189" s="31"/>
      <c r="AB189" s="7"/>
      <c r="AC189" s="57">
        <f t="shared" si="138"/>
        <v>0</v>
      </c>
      <c r="AD189" s="38">
        <f t="shared" si="139"/>
        <v>0</v>
      </c>
    </row>
    <row r="190" spans="2:30" x14ac:dyDescent="0.15">
      <c r="B190" s="34"/>
      <c r="C190" s="25"/>
      <c r="D190" s="19"/>
      <c r="E190" s="49">
        <f t="shared" si="120"/>
        <v>0</v>
      </c>
      <c r="F190" s="31"/>
      <c r="G190" s="7"/>
      <c r="H190" s="57">
        <f t="shared" si="121"/>
        <v>0</v>
      </c>
      <c r="I190" s="25"/>
      <c r="J190" s="19"/>
      <c r="K190" s="49">
        <f t="shared" si="122"/>
        <v>0</v>
      </c>
      <c r="L190" s="31"/>
      <c r="M190" s="7"/>
      <c r="N190" s="57">
        <f t="shared" si="123"/>
        <v>0</v>
      </c>
      <c r="O190" s="38">
        <f t="shared" si="128"/>
        <v>0</v>
      </c>
      <c r="Q190" s="6"/>
      <c r="R190" s="25"/>
      <c r="S190" s="19"/>
      <c r="T190" s="49">
        <f t="shared" si="135"/>
        <v>0</v>
      </c>
      <c r="U190" s="31"/>
      <c r="V190" s="7"/>
      <c r="W190" s="57">
        <f t="shared" si="136"/>
        <v>0</v>
      </c>
      <c r="X190" s="25"/>
      <c r="Y190" s="19"/>
      <c r="Z190" s="49">
        <f t="shared" si="137"/>
        <v>0</v>
      </c>
      <c r="AA190" s="31"/>
      <c r="AB190" s="7"/>
      <c r="AC190" s="57">
        <f t="shared" si="138"/>
        <v>0</v>
      </c>
      <c r="AD190" s="38">
        <f t="shared" si="139"/>
        <v>0</v>
      </c>
    </row>
    <row r="191" spans="2:30" x14ac:dyDescent="0.15">
      <c r="B191" s="6"/>
      <c r="C191" s="25"/>
      <c r="D191" s="19"/>
      <c r="E191" s="49">
        <f t="shared" si="120"/>
        <v>0</v>
      </c>
      <c r="F191" s="31"/>
      <c r="G191" s="7"/>
      <c r="H191" s="57">
        <f t="shared" si="121"/>
        <v>0</v>
      </c>
      <c r="I191" s="25"/>
      <c r="J191" s="19"/>
      <c r="K191" s="49">
        <f t="shared" si="122"/>
        <v>0</v>
      </c>
      <c r="L191" s="31"/>
      <c r="M191" s="7"/>
      <c r="N191" s="57">
        <f t="shared" si="123"/>
        <v>0</v>
      </c>
      <c r="O191" s="38">
        <f t="shared" si="128"/>
        <v>0</v>
      </c>
      <c r="Q191" s="6"/>
      <c r="R191" s="25"/>
      <c r="S191" s="19"/>
      <c r="T191" s="49">
        <f t="shared" ref="T191:T192" si="140">SUM(R191:S191)</f>
        <v>0</v>
      </c>
      <c r="U191" s="31"/>
      <c r="V191" s="7"/>
      <c r="W191" s="57">
        <f t="shared" ref="W191:W192" si="141">SUM(U191:V191)</f>
        <v>0</v>
      </c>
      <c r="X191" s="25"/>
      <c r="Y191" s="19"/>
      <c r="Z191" s="49">
        <f t="shared" ref="Z191:Z192" si="142">SUM(X191:Y191)</f>
        <v>0</v>
      </c>
      <c r="AA191" s="31"/>
      <c r="AB191" s="7"/>
      <c r="AC191" s="57">
        <f t="shared" ref="AC191:AC192" si="143">SUM(AA191:AB191)</f>
        <v>0</v>
      </c>
      <c r="AD191" s="38">
        <f t="shared" ref="AD191:AD192" si="144">T191+W191+Z191+AC191</f>
        <v>0</v>
      </c>
    </row>
    <row r="192" spans="2:30" x14ac:dyDescent="0.15">
      <c r="B192" s="6"/>
      <c r="C192" s="25"/>
      <c r="D192" s="19"/>
      <c r="E192" s="49">
        <f t="shared" si="120"/>
        <v>0</v>
      </c>
      <c r="F192" s="31"/>
      <c r="G192" s="7"/>
      <c r="H192" s="57">
        <f t="shared" si="121"/>
        <v>0</v>
      </c>
      <c r="I192" s="25"/>
      <c r="J192" s="19"/>
      <c r="K192" s="49">
        <f t="shared" si="122"/>
        <v>0</v>
      </c>
      <c r="L192" s="31"/>
      <c r="M192" s="7"/>
      <c r="N192" s="57">
        <f t="shared" si="123"/>
        <v>0</v>
      </c>
      <c r="O192" s="38">
        <f t="shared" si="128"/>
        <v>0</v>
      </c>
      <c r="Q192" s="6"/>
      <c r="R192" s="25"/>
      <c r="S192" s="19"/>
      <c r="T192" s="49">
        <f t="shared" si="140"/>
        <v>0</v>
      </c>
      <c r="U192" s="31"/>
      <c r="V192" s="7"/>
      <c r="W192" s="57">
        <f t="shared" si="141"/>
        <v>0</v>
      </c>
      <c r="X192" s="25"/>
      <c r="Y192" s="19"/>
      <c r="Z192" s="49">
        <f t="shared" si="142"/>
        <v>0</v>
      </c>
      <c r="AA192" s="31"/>
      <c r="AB192" s="7"/>
      <c r="AC192" s="57">
        <f t="shared" si="143"/>
        <v>0</v>
      </c>
      <c r="AD192" s="38">
        <f t="shared" si="144"/>
        <v>0</v>
      </c>
    </row>
    <row r="193" spans="2:31" x14ac:dyDescent="0.15">
      <c r="B193" s="6"/>
      <c r="C193" s="25"/>
      <c r="D193" s="19"/>
      <c r="E193" s="49">
        <f t="shared" si="120"/>
        <v>0</v>
      </c>
      <c r="F193" s="31"/>
      <c r="G193" s="7"/>
      <c r="H193" s="57">
        <f t="shared" si="121"/>
        <v>0</v>
      </c>
      <c r="I193" s="25"/>
      <c r="J193" s="19"/>
      <c r="K193" s="49">
        <f t="shared" si="122"/>
        <v>0</v>
      </c>
      <c r="L193" s="31"/>
      <c r="M193" s="7"/>
      <c r="N193" s="57">
        <f t="shared" si="123"/>
        <v>0</v>
      </c>
      <c r="O193" s="38">
        <f t="shared" si="128"/>
        <v>0</v>
      </c>
      <c r="Q193" s="192" t="s">
        <v>203</v>
      </c>
      <c r="R193" s="123">
        <v>-40</v>
      </c>
      <c r="S193" s="124">
        <v>-50</v>
      </c>
      <c r="T193" s="122">
        <f t="shared" si="135"/>
        <v>-90</v>
      </c>
      <c r="U193" s="123">
        <v>-40</v>
      </c>
      <c r="V193" s="124">
        <v>-50</v>
      </c>
      <c r="W193" s="125">
        <f t="shared" si="136"/>
        <v>-90</v>
      </c>
      <c r="X193" s="123">
        <v>-20</v>
      </c>
      <c r="Y193" s="121">
        <v>-20</v>
      </c>
      <c r="Z193" s="144">
        <f t="shared" si="137"/>
        <v>-40</v>
      </c>
      <c r="AA193" s="120">
        <v>-20</v>
      </c>
      <c r="AB193" s="121">
        <v>-30</v>
      </c>
      <c r="AC193" s="159">
        <f t="shared" si="138"/>
        <v>-50</v>
      </c>
      <c r="AD193" s="145">
        <f t="shared" si="139"/>
        <v>-270</v>
      </c>
      <c r="AE193" s="116"/>
    </row>
    <row r="194" spans="2:31" x14ac:dyDescent="0.15">
      <c r="B194" s="6"/>
      <c r="C194" s="25"/>
      <c r="D194" s="19"/>
      <c r="E194" s="49">
        <f t="shared" si="120"/>
        <v>0</v>
      </c>
      <c r="F194" s="31"/>
      <c r="G194" s="7"/>
      <c r="H194" s="57">
        <f t="shared" si="121"/>
        <v>0</v>
      </c>
      <c r="I194" s="25"/>
      <c r="J194" s="19"/>
      <c r="K194" s="49">
        <f t="shared" si="122"/>
        <v>0</v>
      </c>
      <c r="L194" s="31"/>
      <c r="M194" s="7"/>
      <c r="N194" s="57">
        <f t="shared" si="123"/>
        <v>0</v>
      </c>
      <c r="O194" s="38">
        <f t="shared" si="128"/>
        <v>0</v>
      </c>
      <c r="Q194" s="115" t="s">
        <v>204</v>
      </c>
      <c r="R194" s="110">
        <v>104</v>
      </c>
      <c r="S194" s="111">
        <v>130</v>
      </c>
      <c r="T194" s="142">
        <f t="shared" si="135"/>
        <v>234</v>
      </c>
      <c r="U194" s="110">
        <v>104</v>
      </c>
      <c r="V194" s="111">
        <v>130</v>
      </c>
      <c r="W194" s="141">
        <f t="shared" si="136"/>
        <v>234</v>
      </c>
      <c r="X194" s="110">
        <v>104</v>
      </c>
      <c r="Y194" s="111">
        <v>130</v>
      </c>
      <c r="Z194" s="142">
        <f t="shared" si="137"/>
        <v>234</v>
      </c>
      <c r="AA194" s="110">
        <v>104</v>
      </c>
      <c r="AB194" s="111">
        <v>130</v>
      </c>
      <c r="AC194" s="141">
        <f t="shared" si="138"/>
        <v>234</v>
      </c>
      <c r="AD194" s="143">
        <f t="shared" si="139"/>
        <v>936</v>
      </c>
      <c r="AE194" s="116" t="s">
        <v>246</v>
      </c>
    </row>
    <row r="195" spans="2:31" x14ac:dyDescent="0.15">
      <c r="B195" s="6"/>
      <c r="C195" s="25"/>
      <c r="D195" s="19"/>
      <c r="E195" s="49">
        <f t="shared" si="120"/>
        <v>0</v>
      </c>
      <c r="F195" s="31"/>
      <c r="G195" s="7"/>
      <c r="H195" s="57">
        <f t="shared" si="121"/>
        <v>0</v>
      </c>
      <c r="I195" s="25"/>
      <c r="J195" s="19"/>
      <c r="K195" s="49">
        <f t="shared" si="122"/>
        <v>0</v>
      </c>
      <c r="L195" s="31"/>
      <c r="M195" s="7"/>
      <c r="N195" s="57">
        <f t="shared" si="123"/>
        <v>0</v>
      </c>
      <c r="O195" s="38">
        <f t="shared" si="128"/>
        <v>0</v>
      </c>
      <c r="Q195" s="192" t="s">
        <v>242</v>
      </c>
      <c r="R195" s="120">
        <v>-10</v>
      </c>
      <c r="S195" s="121">
        <v>-10</v>
      </c>
      <c r="T195" s="122">
        <f t="shared" ref="T195:T196" si="145">SUM(R195:S195)</f>
        <v>-20</v>
      </c>
      <c r="U195" s="123">
        <v>-10</v>
      </c>
      <c r="V195" s="124">
        <v>-10</v>
      </c>
      <c r="W195" s="125">
        <f t="shared" ref="W195:W196" si="146">SUM(U195:V195)</f>
        <v>-20</v>
      </c>
      <c r="X195" s="131"/>
      <c r="Y195" s="132"/>
      <c r="Z195" s="122">
        <f t="shared" ref="Z195:Z196" si="147">SUM(X195:Y195)</f>
        <v>0</v>
      </c>
      <c r="AA195" s="123">
        <v>0</v>
      </c>
      <c r="AB195" s="124">
        <v>0</v>
      </c>
      <c r="AC195" s="125">
        <f t="shared" ref="AC195:AC196" si="148">SUM(AA195:AB195)</f>
        <v>0</v>
      </c>
      <c r="AD195" s="126">
        <f t="shared" ref="AD195:AD196" si="149">T195+W195+Z195+AC195</f>
        <v>-40</v>
      </c>
      <c r="AE195" s="116"/>
    </row>
    <row r="196" spans="2:31" ht="14.25" thickBot="1" x14ac:dyDescent="0.2">
      <c r="B196" s="6"/>
      <c r="C196" s="29"/>
      <c r="D196" s="20"/>
      <c r="E196" s="50">
        <f t="shared" si="120"/>
        <v>0</v>
      </c>
      <c r="F196" s="32"/>
      <c r="G196" s="5"/>
      <c r="H196" s="58">
        <f t="shared" si="121"/>
        <v>0</v>
      </c>
      <c r="I196" s="29"/>
      <c r="J196" s="20"/>
      <c r="K196" s="50">
        <f t="shared" si="122"/>
        <v>0</v>
      </c>
      <c r="L196" s="32"/>
      <c r="M196" s="5"/>
      <c r="N196" s="58">
        <f t="shared" si="123"/>
        <v>0</v>
      </c>
      <c r="O196" s="39">
        <f t="shared" si="128"/>
        <v>0</v>
      </c>
      <c r="Q196" s="191" t="s">
        <v>243</v>
      </c>
      <c r="R196" s="110">
        <v>40</v>
      </c>
      <c r="S196" s="111">
        <v>43</v>
      </c>
      <c r="T196" s="117">
        <f t="shared" si="145"/>
        <v>83</v>
      </c>
      <c r="U196" s="112">
        <v>30</v>
      </c>
      <c r="V196" s="113">
        <v>25</v>
      </c>
      <c r="W196" s="118">
        <f t="shared" si="146"/>
        <v>55</v>
      </c>
      <c r="X196" s="127"/>
      <c r="Y196" s="128"/>
      <c r="Z196" s="117">
        <f t="shared" si="147"/>
        <v>0</v>
      </c>
      <c r="AA196" s="123">
        <v>10</v>
      </c>
      <c r="AB196" s="124">
        <v>8</v>
      </c>
      <c r="AC196" s="118">
        <f t="shared" si="148"/>
        <v>18</v>
      </c>
      <c r="AD196" s="68">
        <f t="shared" si="149"/>
        <v>156</v>
      </c>
      <c r="AE196" s="116" t="s">
        <v>244</v>
      </c>
    </row>
    <row r="197" spans="2:31" ht="14.25" thickBot="1" x14ac:dyDescent="0.2">
      <c r="B197" s="4" t="s">
        <v>1</v>
      </c>
      <c r="C197" s="27">
        <f>SUM(C172:C196)</f>
        <v>0</v>
      </c>
      <c r="D197" s="21">
        <f>SUM(D172:D196)</f>
        <v>0</v>
      </c>
      <c r="E197" s="51">
        <f t="shared" si="120"/>
        <v>0</v>
      </c>
      <c r="F197" s="27">
        <f>SUM(F172:F196)</f>
        <v>0</v>
      </c>
      <c r="G197" s="21">
        <f>SUM(G172:G196)</f>
        <v>0</v>
      </c>
      <c r="H197" s="59">
        <f t="shared" si="121"/>
        <v>0</v>
      </c>
      <c r="I197" s="27">
        <f>SUM(I172:I196)</f>
        <v>0</v>
      </c>
      <c r="J197" s="21">
        <f>SUM(J172:J196)</f>
        <v>0</v>
      </c>
      <c r="K197" s="51">
        <f t="shared" si="122"/>
        <v>0</v>
      </c>
      <c r="L197" s="27">
        <f>SUM(L172:L196)</f>
        <v>0</v>
      </c>
      <c r="M197" s="21">
        <f>SUM(M172:M196)</f>
        <v>0</v>
      </c>
      <c r="N197" s="59">
        <f t="shared" si="123"/>
        <v>0</v>
      </c>
      <c r="O197" s="40">
        <f t="shared" si="128"/>
        <v>0</v>
      </c>
      <c r="Q197" s="4" t="s">
        <v>1</v>
      </c>
      <c r="R197" s="27">
        <f>SUM(R172:R196)</f>
        <v>94</v>
      </c>
      <c r="S197" s="21">
        <f>SUM(S172:S196)</f>
        <v>113</v>
      </c>
      <c r="T197" s="51">
        <f t="shared" si="124"/>
        <v>207</v>
      </c>
      <c r="U197" s="27">
        <f>SUM(U172:U196)</f>
        <v>84</v>
      </c>
      <c r="V197" s="21">
        <f>SUM(V172:V196)</f>
        <v>95</v>
      </c>
      <c r="W197" s="59">
        <f t="shared" si="125"/>
        <v>179</v>
      </c>
      <c r="X197" s="27">
        <f>SUM(X172:X196)</f>
        <v>84</v>
      </c>
      <c r="Y197" s="21">
        <f>SUM(Y172:Y196)</f>
        <v>110</v>
      </c>
      <c r="Z197" s="51">
        <f t="shared" si="126"/>
        <v>194</v>
      </c>
      <c r="AA197" s="27">
        <f>SUM(AA172:AA196)</f>
        <v>94</v>
      </c>
      <c r="AB197" s="21">
        <f>SUM(AB172:AB196)</f>
        <v>108</v>
      </c>
      <c r="AC197" s="59">
        <f t="shared" si="127"/>
        <v>202</v>
      </c>
      <c r="AD197" s="40">
        <f t="shared" si="129"/>
        <v>782</v>
      </c>
    </row>
    <row r="198" spans="2:31" ht="14.25" thickBot="1" x14ac:dyDescent="0.2">
      <c r="B198" s="3" t="s">
        <v>0</v>
      </c>
      <c r="C198" s="30">
        <f>C171-C197</f>
        <v>0</v>
      </c>
      <c r="D198" s="30">
        <f>D171-D197</f>
        <v>2</v>
      </c>
      <c r="E198" s="52">
        <f t="shared" si="120"/>
        <v>2</v>
      </c>
      <c r="F198" s="30">
        <f>F171-F197</f>
        <v>1</v>
      </c>
      <c r="G198" s="30">
        <f>G171-G197</f>
        <v>1</v>
      </c>
      <c r="H198" s="60">
        <f t="shared" si="121"/>
        <v>2</v>
      </c>
      <c r="I198" s="30">
        <f>I171-I197</f>
        <v>0</v>
      </c>
      <c r="J198" s="30">
        <f>J171-J197</f>
        <v>2</v>
      </c>
      <c r="K198" s="52">
        <f t="shared" si="122"/>
        <v>2</v>
      </c>
      <c r="L198" s="30">
        <f>L171-L197</f>
        <v>1</v>
      </c>
      <c r="M198" s="30">
        <f>M171-M197</f>
        <v>1</v>
      </c>
      <c r="N198" s="60">
        <f t="shared" si="123"/>
        <v>2</v>
      </c>
      <c r="O198" s="41">
        <f t="shared" si="128"/>
        <v>8</v>
      </c>
      <c r="Q198" s="3" t="s">
        <v>0</v>
      </c>
      <c r="R198" s="203">
        <f>+R171-R197</f>
        <v>15</v>
      </c>
      <c r="S198" s="2">
        <f>+S171-S197</f>
        <v>7</v>
      </c>
      <c r="T198" s="52">
        <f t="shared" si="124"/>
        <v>22</v>
      </c>
      <c r="U198" s="202">
        <f>+U171-U197</f>
        <v>34</v>
      </c>
      <c r="V198" s="203">
        <f>+V171-V197</f>
        <v>17</v>
      </c>
      <c r="W198" s="60">
        <f t="shared" si="125"/>
        <v>51</v>
      </c>
      <c r="X198" s="30">
        <f>+X171-X197</f>
        <v>47</v>
      </c>
      <c r="Y198" s="2">
        <f>+Y171-Y197</f>
        <v>12</v>
      </c>
      <c r="Z198" s="52">
        <f t="shared" si="126"/>
        <v>59</v>
      </c>
      <c r="AA198" s="30">
        <f>+AA171-AA197</f>
        <v>49</v>
      </c>
      <c r="AB198" s="2">
        <f>+AB171-AB197</f>
        <v>-16</v>
      </c>
      <c r="AC198" s="60">
        <f t="shared" si="127"/>
        <v>33</v>
      </c>
      <c r="AD198" s="41">
        <f t="shared" si="129"/>
        <v>165</v>
      </c>
    </row>
    <row r="199" spans="2:31" x14ac:dyDescent="0.15">
      <c r="Q199" s="1" t="s">
        <v>255</v>
      </c>
      <c r="R199">
        <v>58</v>
      </c>
      <c r="S199" s="5">
        <v>10</v>
      </c>
      <c r="U199" s="205">
        <v>38</v>
      </c>
      <c r="V199">
        <v>18</v>
      </c>
      <c r="X199">
        <v>22</v>
      </c>
      <c r="Y199" s="204">
        <v>12</v>
      </c>
      <c r="AA199">
        <v>29</v>
      </c>
      <c r="AB199">
        <v>20</v>
      </c>
    </row>
    <row r="200" spans="2:31" x14ac:dyDescent="0.15">
      <c r="Q200" s="1" t="s">
        <v>254</v>
      </c>
      <c r="R200">
        <v>23</v>
      </c>
      <c r="V200">
        <v>18</v>
      </c>
      <c r="X200">
        <v>23</v>
      </c>
      <c r="AB200">
        <v>18</v>
      </c>
    </row>
  </sheetData>
  <mergeCells count="50">
    <mergeCell ref="C83:E83"/>
    <mergeCell ref="F83:H83"/>
    <mergeCell ref="I83:K83"/>
    <mergeCell ref="L83:N83"/>
    <mergeCell ref="O83:O84"/>
    <mergeCell ref="R83:T83"/>
    <mergeCell ref="U83:W83"/>
    <mergeCell ref="X83:Z83"/>
    <mergeCell ref="AA83:AC83"/>
    <mergeCell ref="AD83:AD84"/>
    <mergeCell ref="O43:O44"/>
    <mergeCell ref="X3:Z3"/>
    <mergeCell ref="AA3:AC3"/>
    <mergeCell ref="AD3:AD4"/>
    <mergeCell ref="R43:T43"/>
    <mergeCell ref="U43:W43"/>
    <mergeCell ref="X43:Z43"/>
    <mergeCell ref="AA43:AC43"/>
    <mergeCell ref="AD43:AD44"/>
    <mergeCell ref="O3:O4"/>
    <mergeCell ref="R3:T3"/>
    <mergeCell ref="U3:W3"/>
    <mergeCell ref="C43:E43"/>
    <mergeCell ref="C3:E3"/>
    <mergeCell ref="F3:H3"/>
    <mergeCell ref="I3:K3"/>
    <mergeCell ref="L3:N3"/>
    <mergeCell ref="L43:N43"/>
    <mergeCell ref="I43:K43"/>
    <mergeCell ref="F43:H43"/>
    <mergeCell ref="R123:T123"/>
    <mergeCell ref="U123:W123"/>
    <mergeCell ref="X123:Z123"/>
    <mergeCell ref="AA123:AC123"/>
    <mergeCell ref="AD123:AD124"/>
    <mergeCell ref="C123:E123"/>
    <mergeCell ref="F123:H123"/>
    <mergeCell ref="I123:K123"/>
    <mergeCell ref="L123:N123"/>
    <mergeCell ref="O123:O124"/>
    <mergeCell ref="C163:E163"/>
    <mergeCell ref="F163:H163"/>
    <mergeCell ref="I163:K163"/>
    <mergeCell ref="L163:N163"/>
    <mergeCell ref="O163:O164"/>
    <mergeCell ref="R163:T163"/>
    <mergeCell ref="U163:W163"/>
    <mergeCell ref="X163:Z163"/>
    <mergeCell ref="AA163:AC163"/>
    <mergeCell ref="AD163:AD164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ネコ・星柄</vt:lpstr>
      <vt:lpstr>大花小花柄</vt:lpstr>
      <vt:lpstr>ネコ・花柄・星柄・リバティ柄4柄展開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2023-04-17T08:28:36Z</dcterms:created>
  <dcterms:modified xsi:type="dcterms:W3CDTF">2026-06-18T05:55:27Z</dcterms:modified>
</cp:coreProperties>
</file>