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Yhds220p\10_発注管理\夢販流通\芳仲繊維\"/>
    </mc:Choice>
  </mc:AlternateContent>
  <xr:revisionPtr revIDLastSave="0" documentId="13_ncr:1_{9202CB54-E9D6-4D21-8166-CDBA372AB7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ベロア裏シャギーチェックパン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8" i="1" l="1"/>
  <c r="R129" i="1"/>
  <c r="S129" i="1"/>
  <c r="T129" i="1" s="1"/>
  <c r="U129" i="1"/>
  <c r="V129" i="1"/>
  <c r="Q196" i="1"/>
  <c r="T196" i="1"/>
  <c r="W196" i="1"/>
  <c r="X196" i="1"/>
  <c r="Q197" i="1"/>
  <c r="T197" i="1"/>
  <c r="W197" i="1"/>
  <c r="X197" i="1"/>
  <c r="W155" i="1"/>
  <c r="T155" i="1"/>
  <c r="Q155" i="1"/>
  <c r="W154" i="1"/>
  <c r="T154" i="1"/>
  <c r="Q154" i="1"/>
  <c r="W157" i="1"/>
  <c r="T157" i="1"/>
  <c r="Q157" i="1"/>
  <c r="W156" i="1"/>
  <c r="T156" i="1"/>
  <c r="Q156" i="1"/>
  <c r="Q194" i="1"/>
  <c r="T194" i="1"/>
  <c r="W194" i="1"/>
  <c r="X194" i="1"/>
  <c r="Q195" i="1"/>
  <c r="T195" i="1"/>
  <c r="W195" i="1"/>
  <c r="X195" i="1"/>
  <c r="Q173" i="1"/>
  <c r="T173" i="1"/>
  <c r="W173" i="1"/>
  <c r="X173" i="1"/>
  <c r="Q169" i="1"/>
  <c r="T169" i="1"/>
  <c r="W169" i="1"/>
  <c r="X169" i="1"/>
  <c r="S158" i="1"/>
  <c r="P158" i="1"/>
  <c r="O158" i="1"/>
  <c r="V158" i="1"/>
  <c r="U158" i="1"/>
  <c r="R158" i="1"/>
  <c r="W153" i="1"/>
  <c r="T153" i="1"/>
  <c r="Q153" i="1"/>
  <c r="W152" i="1"/>
  <c r="T152" i="1"/>
  <c r="Q152" i="1"/>
  <c r="X152" i="1" s="1"/>
  <c r="W151" i="1"/>
  <c r="T151" i="1"/>
  <c r="Q151" i="1"/>
  <c r="X151" i="1" s="1"/>
  <c r="W150" i="1"/>
  <c r="T150" i="1"/>
  <c r="Q150" i="1"/>
  <c r="X150" i="1" s="1"/>
  <c r="W149" i="1"/>
  <c r="T149" i="1"/>
  <c r="Q149" i="1"/>
  <c r="W148" i="1"/>
  <c r="T148" i="1"/>
  <c r="Q148" i="1"/>
  <c r="X148" i="1" s="1"/>
  <c r="W147" i="1"/>
  <c r="T147" i="1"/>
  <c r="Q147" i="1"/>
  <c r="X147" i="1" s="1"/>
  <c r="W146" i="1"/>
  <c r="T146" i="1"/>
  <c r="Q146" i="1"/>
  <c r="X146" i="1" s="1"/>
  <c r="W145" i="1"/>
  <c r="T145" i="1"/>
  <c r="Q145" i="1"/>
  <c r="W144" i="1"/>
  <c r="T144" i="1"/>
  <c r="Q144" i="1"/>
  <c r="X144" i="1" s="1"/>
  <c r="W143" i="1"/>
  <c r="T143" i="1"/>
  <c r="Q143" i="1"/>
  <c r="W142" i="1"/>
  <c r="T142" i="1"/>
  <c r="Q142" i="1"/>
  <c r="X142" i="1" s="1"/>
  <c r="W141" i="1"/>
  <c r="T141" i="1"/>
  <c r="Q141" i="1"/>
  <c r="W140" i="1"/>
  <c r="T140" i="1"/>
  <c r="Q140" i="1"/>
  <c r="W139" i="1"/>
  <c r="T139" i="1"/>
  <c r="Q139" i="1"/>
  <c r="X139" i="1" s="1"/>
  <c r="W138" i="1"/>
  <c r="T138" i="1"/>
  <c r="Q138" i="1"/>
  <c r="X138" i="1" s="1"/>
  <c r="W137" i="1"/>
  <c r="T137" i="1"/>
  <c r="Q137" i="1"/>
  <c r="X137" i="1" s="1"/>
  <c r="W136" i="1"/>
  <c r="T136" i="1"/>
  <c r="Q136" i="1"/>
  <c r="W135" i="1"/>
  <c r="T135" i="1"/>
  <c r="Q135" i="1"/>
  <c r="X135" i="1" s="1"/>
  <c r="W134" i="1"/>
  <c r="T134" i="1"/>
  <c r="Q134" i="1"/>
  <c r="W133" i="1"/>
  <c r="T133" i="1"/>
  <c r="Q133" i="1"/>
  <c r="X133" i="1" s="1"/>
  <c r="W131" i="1"/>
  <c r="X131" i="1" s="1"/>
  <c r="T131" i="1"/>
  <c r="Q131" i="1"/>
  <c r="W130" i="1"/>
  <c r="T130" i="1"/>
  <c r="Q130" i="1"/>
  <c r="W129" i="1"/>
  <c r="Q129" i="1"/>
  <c r="W128" i="1"/>
  <c r="X128" i="1" s="1"/>
  <c r="T128" i="1"/>
  <c r="Q128" i="1"/>
  <c r="W127" i="1"/>
  <c r="X127" i="1" s="1"/>
  <c r="T127" i="1"/>
  <c r="Q127" i="1"/>
  <c r="Q171" i="1"/>
  <c r="T171" i="1"/>
  <c r="W171" i="1"/>
  <c r="X171" i="1" s="1"/>
  <c r="E107" i="1"/>
  <c r="H107" i="1"/>
  <c r="K107" i="1"/>
  <c r="L107" i="1"/>
  <c r="E108" i="1"/>
  <c r="H108" i="1"/>
  <c r="K108" i="1"/>
  <c r="L108" i="1"/>
  <c r="E109" i="1"/>
  <c r="H109" i="1"/>
  <c r="K109" i="1"/>
  <c r="L109" i="1" s="1"/>
  <c r="K106" i="1"/>
  <c r="L106" i="1" s="1"/>
  <c r="H106" i="1"/>
  <c r="E106" i="1"/>
  <c r="K105" i="1"/>
  <c r="L105" i="1" s="1"/>
  <c r="H105" i="1"/>
  <c r="E105" i="1"/>
  <c r="K104" i="1"/>
  <c r="L104" i="1" s="1"/>
  <c r="H104" i="1"/>
  <c r="E104" i="1"/>
  <c r="K103" i="1"/>
  <c r="L103" i="1" s="1"/>
  <c r="H103" i="1"/>
  <c r="E103" i="1"/>
  <c r="K102" i="1"/>
  <c r="L102" i="1" s="1"/>
  <c r="H102" i="1"/>
  <c r="E102" i="1"/>
  <c r="K101" i="1"/>
  <c r="L101" i="1" s="1"/>
  <c r="H101" i="1"/>
  <c r="E101" i="1"/>
  <c r="K100" i="1"/>
  <c r="L100" i="1" s="1"/>
  <c r="H100" i="1"/>
  <c r="E100" i="1"/>
  <c r="K99" i="1"/>
  <c r="L99" i="1" s="1"/>
  <c r="H99" i="1"/>
  <c r="E99" i="1"/>
  <c r="K98" i="1"/>
  <c r="L98" i="1" s="1"/>
  <c r="H98" i="1"/>
  <c r="E98" i="1"/>
  <c r="K97" i="1"/>
  <c r="L97" i="1" s="1"/>
  <c r="H97" i="1"/>
  <c r="E97" i="1"/>
  <c r="K96" i="1"/>
  <c r="L96" i="1" s="1"/>
  <c r="H96" i="1"/>
  <c r="E96" i="1"/>
  <c r="K95" i="1"/>
  <c r="L95" i="1" s="1"/>
  <c r="H95" i="1"/>
  <c r="E95" i="1"/>
  <c r="K94" i="1"/>
  <c r="L94" i="1" s="1"/>
  <c r="H94" i="1"/>
  <c r="E94" i="1"/>
  <c r="K93" i="1"/>
  <c r="L93" i="1" s="1"/>
  <c r="H93" i="1"/>
  <c r="E93" i="1"/>
  <c r="K77" i="1"/>
  <c r="L77" i="1" s="1"/>
  <c r="H77" i="1"/>
  <c r="E77" i="1"/>
  <c r="K76" i="1"/>
  <c r="L76" i="1" s="1"/>
  <c r="H76" i="1"/>
  <c r="E76" i="1"/>
  <c r="K75" i="1"/>
  <c r="L75" i="1" s="1"/>
  <c r="H75" i="1"/>
  <c r="E75" i="1"/>
  <c r="E110" i="1"/>
  <c r="H110" i="1"/>
  <c r="K110" i="1"/>
  <c r="L110" i="1"/>
  <c r="E111" i="1"/>
  <c r="H111" i="1"/>
  <c r="K111" i="1"/>
  <c r="L111" i="1"/>
  <c r="E112" i="1"/>
  <c r="H112" i="1"/>
  <c r="K112" i="1"/>
  <c r="L112" i="1"/>
  <c r="E113" i="1"/>
  <c r="H113" i="1"/>
  <c r="K113" i="1"/>
  <c r="L113" i="1"/>
  <c r="E114" i="1"/>
  <c r="H114" i="1"/>
  <c r="K114" i="1"/>
  <c r="L114" i="1"/>
  <c r="K74" i="1"/>
  <c r="L74" i="1" s="1"/>
  <c r="H74" i="1"/>
  <c r="E74" i="1"/>
  <c r="K73" i="1"/>
  <c r="L73" i="1" s="1"/>
  <c r="H73" i="1"/>
  <c r="E73" i="1"/>
  <c r="K72" i="1"/>
  <c r="L72" i="1" s="1"/>
  <c r="H72" i="1"/>
  <c r="E72" i="1"/>
  <c r="K71" i="1"/>
  <c r="L71" i="1" s="1"/>
  <c r="H71" i="1"/>
  <c r="E71" i="1"/>
  <c r="K70" i="1"/>
  <c r="L70" i="1" s="1"/>
  <c r="H70" i="1"/>
  <c r="E70" i="1"/>
  <c r="E127" i="1"/>
  <c r="H127" i="1"/>
  <c r="K127" i="1"/>
  <c r="E128" i="1"/>
  <c r="H128" i="1"/>
  <c r="K128" i="1"/>
  <c r="L128" i="1"/>
  <c r="E129" i="1"/>
  <c r="H129" i="1"/>
  <c r="K129" i="1"/>
  <c r="L129" i="1"/>
  <c r="Q113" i="1"/>
  <c r="T113" i="1"/>
  <c r="W113" i="1"/>
  <c r="X113" i="1"/>
  <c r="Q114" i="1"/>
  <c r="T114" i="1"/>
  <c r="W114" i="1"/>
  <c r="X114" i="1"/>
  <c r="W75" i="1"/>
  <c r="T75" i="1"/>
  <c r="X75" i="1" s="1"/>
  <c r="Q75" i="1"/>
  <c r="W74" i="1"/>
  <c r="T74" i="1"/>
  <c r="X74" i="1" s="1"/>
  <c r="X78" i="1" s="1"/>
  <c r="Q74" i="1"/>
  <c r="Q78" i="1" s="1"/>
  <c r="E133" i="1"/>
  <c r="H133" i="1"/>
  <c r="K133" i="1"/>
  <c r="E134" i="1"/>
  <c r="H134" i="1"/>
  <c r="K134" i="1"/>
  <c r="E135" i="1"/>
  <c r="L135" i="1" s="1"/>
  <c r="H135" i="1"/>
  <c r="K135" i="1"/>
  <c r="E136" i="1"/>
  <c r="L136" i="1" s="1"/>
  <c r="H136" i="1"/>
  <c r="K136" i="1"/>
  <c r="E137" i="1"/>
  <c r="H137" i="1"/>
  <c r="K137" i="1"/>
  <c r="W117" i="1"/>
  <c r="T117" i="1"/>
  <c r="Q117" i="1"/>
  <c r="W116" i="1"/>
  <c r="T116" i="1"/>
  <c r="Q116" i="1"/>
  <c r="W115" i="1"/>
  <c r="T115" i="1"/>
  <c r="X115" i="1" s="1"/>
  <c r="Q115" i="1"/>
  <c r="W107" i="1"/>
  <c r="X107" i="1" s="1"/>
  <c r="T107" i="1"/>
  <c r="Q107" i="1"/>
  <c r="W106" i="1"/>
  <c r="X106" i="1" s="1"/>
  <c r="T106" i="1"/>
  <c r="Q106" i="1"/>
  <c r="W105" i="1"/>
  <c r="X105" i="1" s="1"/>
  <c r="T105" i="1"/>
  <c r="Q105" i="1"/>
  <c r="W104" i="1"/>
  <c r="X104" i="1" s="1"/>
  <c r="T104" i="1"/>
  <c r="Q104" i="1"/>
  <c r="W103" i="1"/>
  <c r="X103" i="1" s="1"/>
  <c r="T103" i="1"/>
  <c r="Q103" i="1"/>
  <c r="W102" i="1"/>
  <c r="T102" i="1"/>
  <c r="Q102" i="1"/>
  <c r="W101" i="1"/>
  <c r="X101" i="1" s="1"/>
  <c r="T101" i="1"/>
  <c r="Q101" i="1"/>
  <c r="W100" i="1"/>
  <c r="X100" i="1" s="1"/>
  <c r="T100" i="1"/>
  <c r="Q100" i="1"/>
  <c r="W99" i="1"/>
  <c r="X99" i="1" s="1"/>
  <c r="T99" i="1"/>
  <c r="Q99" i="1"/>
  <c r="W98" i="1"/>
  <c r="X98" i="1" s="1"/>
  <c r="T98" i="1"/>
  <c r="Q98" i="1"/>
  <c r="W97" i="1"/>
  <c r="X97" i="1" s="1"/>
  <c r="T97" i="1"/>
  <c r="Q97" i="1"/>
  <c r="W96" i="1"/>
  <c r="X96" i="1" s="1"/>
  <c r="T96" i="1"/>
  <c r="Q96" i="1"/>
  <c r="W95" i="1"/>
  <c r="X95" i="1" s="1"/>
  <c r="T95" i="1"/>
  <c r="Q95" i="1"/>
  <c r="W90" i="1"/>
  <c r="X90" i="1" s="1"/>
  <c r="T90" i="1"/>
  <c r="Q90" i="1"/>
  <c r="W89" i="1"/>
  <c r="T89" i="1"/>
  <c r="X89" i="1" s="1"/>
  <c r="Q89" i="1"/>
  <c r="J198" i="1"/>
  <c r="I198" i="1"/>
  <c r="G198" i="1"/>
  <c r="F198" i="1"/>
  <c r="H198" i="1" s="1"/>
  <c r="D198" i="1"/>
  <c r="C198" i="1"/>
  <c r="K197" i="1"/>
  <c r="L197" i="1" s="1"/>
  <c r="H197" i="1"/>
  <c r="E197" i="1"/>
  <c r="K196" i="1"/>
  <c r="L196" i="1" s="1"/>
  <c r="H196" i="1"/>
  <c r="E196" i="1"/>
  <c r="K195" i="1"/>
  <c r="L195" i="1" s="1"/>
  <c r="H195" i="1"/>
  <c r="E195" i="1"/>
  <c r="K194" i="1"/>
  <c r="L194" i="1" s="1"/>
  <c r="H194" i="1"/>
  <c r="E194" i="1"/>
  <c r="K193" i="1"/>
  <c r="L193" i="1" s="1"/>
  <c r="H193" i="1"/>
  <c r="E193" i="1"/>
  <c r="K192" i="1"/>
  <c r="L192" i="1" s="1"/>
  <c r="H192" i="1"/>
  <c r="E192" i="1"/>
  <c r="K191" i="1"/>
  <c r="H191" i="1"/>
  <c r="E191" i="1"/>
  <c r="K190" i="1"/>
  <c r="L190" i="1" s="1"/>
  <c r="H190" i="1"/>
  <c r="E190" i="1"/>
  <c r="K189" i="1"/>
  <c r="H189" i="1"/>
  <c r="E189" i="1"/>
  <c r="K188" i="1"/>
  <c r="L188" i="1" s="1"/>
  <c r="H188" i="1"/>
  <c r="E188" i="1"/>
  <c r="K187" i="1"/>
  <c r="L187" i="1" s="1"/>
  <c r="H187" i="1"/>
  <c r="E187" i="1"/>
  <c r="K186" i="1"/>
  <c r="H186" i="1"/>
  <c r="E186" i="1"/>
  <c r="K185" i="1"/>
  <c r="L185" i="1" s="1"/>
  <c r="H185" i="1"/>
  <c r="E185" i="1"/>
  <c r="K184" i="1"/>
  <c r="L184" i="1" s="1"/>
  <c r="H184" i="1"/>
  <c r="E184" i="1"/>
  <c r="K183" i="1"/>
  <c r="L183" i="1" s="1"/>
  <c r="H183" i="1"/>
  <c r="E183" i="1"/>
  <c r="K182" i="1"/>
  <c r="L182" i="1" s="1"/>
  <c r="H182" i="1"/>
  <c r="E182" i="1"/>
  <c r="K181" i="1"/>
  <c r="H181" i="1"/>
  <c r="E181" i="1"/>
  <c r="K180" i="1"/>
  <c r="L180" i="1" s="1"/>
  <c r="H180" i="1"/>
  <c r="E180" i="1"/>
  <c r="K179" i="1"/>
  <c r="H179" i="1"/>
  <c r="E179" i="1"/>
  <c r="K178" i="1"/>
  <c r="L178" i="1" s="1"/>
  <c r="H178" i="1"/>
  <c r="K177" i="1"/>
  <c r="L177" i="1" s="1"/>
  <c r="H177" i="1"/>
  <c r="E177" i="1"/>
  <c r="K176" i="1"/>
  <c r="H176" i="1"/>
  <c r="E176" i="1"/>
  <c r="K175" i="1"/>
  <c r="H175" i="1"/>
  <c r="E175" i="1"/>
  <c r="K174" i="1"/>
  <c r="H174" i="1"/>
  <c r="E174" i="1"/>
  <c r="K173" i="1"/>
  <c r="H173" i="1"/>
  <c r="E173" i="1"/>
  <c r="K171" i="1"/>
  <c r="H171" i="1"/>
  <c r="L171" i="1" s="1"/>
  <c r="E171" i="1"/>
  <c r="K170" i="1"/>
  <c r="H170" i="1"/>
  <c r="L170" i="1" s="1"/>
  <c r="E170" i="1"/>
  <c r="K169" i="1"/>
  <c r="H169" i="1"/>
  <c r="E169" i="1"/>
  <c r="K168" i="1"/>
  <c r="H168" i="1"/>
  <c r="E168" i="1"/>
  <c r="K167" i="1"/>
  <c r="H167" i="1"/>
  <c r="L167" i="1" s="1"/>
  <c r="E167" i="1"/>
  <c r="Q170" i="1"/>
  <c r="T170" i="1"/>
  <c r="W170" i="1"/>
  <c r="X170" i="1"/>
  <c r="V198" i="1"/>
  <c r="U198" i="1"/>
  <c r="S198" i="1"/>
  <c r="R198" i="1"/>
  <c r="P198" i="1"/>
  <c r="O198" i="1"/>
  <c r="X193" i="1"/>
  <c r="W193" i="1"/>
  <c r="T193" i="1"/>
  <c r="Q193" i="1"/>
  <c r="X192" i="1"/>
  <c r="W192" i="1"/>
  <c r="T192" i="1"/>
  <c r="Q192" i="1"/>
  <c r="X191" i="1"/>
  <c r="W191" i="1"/>
  <c r="T191" i="1"/>
  <c r="Q191" i="1"/>
  <c r="X190" i="1"/>
  <c r="W190" i="1"/>
  <c r="T190" i="1"/>
  <c r="Q190" i="1"/>
  <c r="X189" i="1"/>
  <c r="W189" i="1"/>
  <c r="T189" i="1"/>
  <c r="Q189" i="1"/>
  <c r="X188" i="1"/>
  <c r="W188" i="1"/>
  <c r="T188" i="1"/>
  <c r="Q188" i="1"/>
  <c r="X187" i="1"/>
  <c r="W187" i="1"/>
  <c r="T187" i="1"/>
  <c r="Q187" i="1"/>
  <c r="X186" i="1"/>
  <c r="W186" i="1"/>
  <c r="T186" i="1"/>
  <c r="Q186" i="1"/>
  <c r="X185" i="1"/>
  <c r="W185" i="1"/>
  <c r="T185" i="1"/>
  <c r="Q185" i="1"/>
  <c r="X184" i="1"/>
  <c r="W184" i="1"/>
  <c r="T184" i="1"/>
  <c r="Q184" i="1"/>
  <c r="X183" i="1"/>
  <c r="W183" i="1"/>
  <c r="T183" i="1"/>
  <c r="Q183" i="1"/>
  <c r="W182" i="1"/>
  <c r="T182" i="1"/>
  <c r="X182" i="1" s="1"/>
  <c r="Q182" i="1"/>
  <c r="X181" i="1"/>
  <c r="W181" i="1"/>
  <c r="T181" i="1"/>
  <c r="Q181" i="1"/>
  <c r="X180" i="1"/>
  <c r="W180" i="1"/>
  <c r="T180" i="1"/>
  <c r="Q180" i="1"/>
  <c r="X179" i="1"/>
  <c r="W179" i="1"/>
  <c r="T179" i="1"/>
  <c r="Q179" i="1"/>
  <c r="W178" i="1"/>
  <c r="T178" i="1"/>
  <c r="X178" i="1" s="1"/>
  <c r="Q178" i="1"/>
  <c r="W177" i="1"/>
  <c r="T177" i="1"/>
  <c r="Q177" i="1"/>
  <c r="W176" i="1"/>
  <c r="T176" i="1"/>
  <c r="Q176" i="1"/>
  <c r="W175" i="1"/>
  <c r="T175" i="1"/>
  <c r="Q175" i="1"/>
  <c r="W174" i="1"/>
  <c r="X174" i="1" s="1"/>
  <c r="T174" i="1"/>
  <c r="Q174" i="1"/>
  <c r="W168" i="1"/>
  <c r="X168" i="1" s="1"/>
  <c r="T168" i="1"/>
  <c r="Q168" i="1"/>
  <c r="W167" i="1"/>
  <c r="X167" i="1" s="1"/>
  <c r="T167" i="1"/>
  <c r="Q167" i="1"/>
  <c r="K131" i="1"/>
  <c r="L131" i="1" s="1"/>
  <c r="H131" i="1"/>
  <c r="E131" i="1"/>
  <c r="K130" i="1"/>
  <c r="L130" i="1" s="1"/>
  <c r="H130" i="1"/>
  <c r="E130" i="1"/>
  <c r="E138" i="1"/>
  <c r="H138" i="1"/>
  <c r="K138" i="1"/>
  <c r="L138" i="1"/>
  <c r="E139" i="1"/>
  <c r="H139" i="1"/>
  <c r="K139" i="1"/>
  <c r="E140" i="1"/>
  <c r="H140" i="1"/>
  <c r="K140" i="1"/>
  <c r="L140" i="1" s="1"/>
  <c r="E141" i="1"/>
  <c r="H141" i="1"/>
  <c r="K141" i="1"/>
  <c r="L141" i="1"/>
  <c r="E142" i="1"/>
  <c r="L142" i="1" s="1"/>
  <c r="H142" i="1"/>
  <c r="K142" i="1"/>
  <c r="E143" i="1"/>
  <c r="H143" i="1"/>
  <c r="K143" i="1"/>
  <c r="L143" i="1" s="1"/>
  <c r="J158" i="1"/>
  <c r="I158" i="1"/>
  <c r="G158" i="1"/>
  <c r="F158" i="1"/>
  <c r="D158" i="1"/>
  <c r="C158" i="1"/>
  <c r="K157" i="1"/>
  <c r="H157" i="1"/>
  <c r="L157" i="1" s="1"/>
  <c r="E157" i="1"/>
  <c r="K156" i="1"/>
  <c r="L156" i="1" s="1"/>
  <c r="H156" i="1"/>
  <c r="E156" i="1"/>
  <c r="L155" i="1"/>
  <c r="K155" i="1"/>
  <c r="H155" i="1"/>
  <c r="E155" i="1"/>
  <c r="K154" i="1"/>
  <c r="H154" i="1"/>
  <c r="L154" i="1" s="1"/>
  <c r="E154" i="1"/>
  <c r="K153" i="1"/>
  <c r="L153" i="1" s="1"/>
  <c r="H153" i="1"/>
  <c r="E153" i="1"/>
  <c r="L152" i="1"/>
  <c r="K152" i="1"/>
  <c r="H152" i="1"/>
  <c r="E152" i="1"/>
  <c r="K151" i="1"/>
  <c r="H151" i="1"/>
  <c r="L151" i="1" s="1"/>
  <c r="E151" i="1"/>
  <c r="K150" i="1"/>
  <c r="L150" i="1" s="1"/>
  <c r="H150" i="1"/>
  <c r="E150" i="1"/>
  <c r="L149" i="1"/>
  <c r="K149" i="1"/>
  <c r="H149" i="1"/>
  <c r="E149" i="1"/>
  <c r="K148" i="1"/>
  <c r="H148" i="1"/>
  <c r="L148" i="1" s="1"/>
  <c r="E148" i="1"/>
  <c r="K147" i="1"/>
  <c r="L147" i="1" s="1"/>
  <c r="H147" i="1"/>
  <c r="E147" i="1"/>
  <c r="L146" i="1"/>
  <c r="K146" i="1"/>
  <c r="H146" i="1"/>
  <c r="E146" i="1"/>
  <c r="K145" i="1"/>
  <c r="H145" i="1"/>
  <c r="L145" i="1" s="1"/>
  <c r="E145" i="1"/>
  <c r="K144" i="1"/>
  <c r="L144" i="1" s="1"/>
  <c r="H144" i="1"/>
  <c r="E144" i="1"/>
  <c r="P118" i="1"/>
  <c r="R118" i="1"/>
  <c r="S118" i="1"/>
  <c r="U118" i="1"/>
  <c r="V118" i="1"/>
  <c r="O118" i="1"/>
  <c r="X39" i="1"/>
  <c r="W39" i="1"/>
  <c r="V39" i="1"/>
  <c r="U39" i="1"/>
  <c r="T39" i="1"/>
  <c r="T46" i="1" s="1"/>
  <c r="S39" i="1"/>
  <c r="S46" i="1" s="1"/>
  <c r="R39" i="1"/>
  <c r="Q39" i="1"/>
  <c r="P39" i="1"/>
  <c r="O39" i="1"/>
  <c r="X46" i="1"/>
  <c r="W46" i="1"/>
  <c r="V46" i="1"/>
  <c r="U46" i="1"/>
  <c r="R46" i="1"/>
  <c r="Q46" i="1"/>
  <c r="P46" i="1"/>
  <c r="O46" i="1"/>
  <c r="X12" i="1"/>
  <c r="W12" i="1"/>
  <c r="V12" i="1"/>
  <c r="U12" i="1"/>
  <c r="T12" i="1"/>
  <c r="S12" i="1"/>
  <c r="R12" i="1"/>
  <c r="Q12" i="1"/>
  <c r="P12" i="1"/>
  <c r="O12" i="1"/>
  <c r="X38" i="1"/>
  <c r="W38" i="1"/>
  <c r="V38" i="1"/>
  <c r="U38" i="1"/>
  <c r="T38" i="1"/>
  <c r="S38" i="1"/>
  <c r="R38" i="1"/>
  <c r="Q38" i="1"/>
  <c r="P38" i="1"/>
  <c r="O38" i="1"/>
  <c r="W78" i="1"/>
  <c r="V78" i="1"/>
  <c r="U78" i="1"/>
  <c r="S78" i="1"/>
  <c r="R78" i="1"/>
  <c r="P78" i="1"/>
  <c r="O78" i="1"/>
  <c r="W88" i="1"/>
  <c r="X88" i="1" s="1"/>
  <c r="T88" i="1"/>
  <c r="Q88" i="1"/>
  <c r="W87" i="1"/>
  <c r="X87" i="1" s="1"/>
  <c r="T87" i="1"/>
  <c r="Q87" i="1"/>
  <c r="W67" i="1"/>
  <c r="X67" i="1" s="1"/>
  <c r="T67" i="1"/>
  <c r="Q67" i="1"/>
  <c r="E87" i="1"/>
  <c r="H87" i="1"/>
  <c r="K87" i="1"/>
  <c r="K51" i="1"/>
  <c r="F51" i="1"/>
  <c r="H51" i="1" s="1"/>
  <c r="E51" i="1"/>
  <c r="K50" i="1"/>
  <c r="L50" i="1" s="1"/>
  <c r="H50" i="1"/>
  <c r="E50" i="1"/>
  <c r="K49" i="1"/>
  <c r="L49" i="1" s="1"/>
  <c r="H49" i="1"/>
  <c r="E49" i="1"/>
  <c r="K48" i="1"/>
  <c r="L48" i="1" s="1"/>
  <c r="H48" i="1"/>
  <c r="E48" i="1"/>
  <c r="K47" i="1"/>
  <c r="L47" i="1" s="1"/>
  <c r="H47" i="1"/>
  <c r="E47" i="1"/>
  <c r="K9" i="1"/>
  <c r="L9" i="1" s="1"/>
  <c r="H9" i="1"/>
  <c r="E9" i="1"/>
  <c r="Q76" i="1"/>
  <c r="T76" i="1"/>
  <c r="X76" i="1" s="1"/>
  <c r="W76" i="1"/>
  <c r="W66" i="1"/>
  <c r="X66" i="1" s="1"/>
  <c r="T66" i="1"/>
  <c r="Q66" i="1"/>
  <c r="U77" i="1"/>
  <c r="V77" i="1"/>
  <c r="E61" i="1"/>
  <c r="H61" i="1"/>
  <c r="K61" i="1"/>
  <c r="L61" i="1" s="1"/>
  <c r="Q64" i="1"/>
  <c r="T64" i="1"/>
  <c r="W64" i="1"/>
  <c r="X64" i="1"/>
  <c r="S77" i="1"/>
  <c r="R77" i="1"/>
  <c r="Q24" i="1"/>
  <c r="T24" i="1"/>
  <c r="W24" i="1"/>
  <c r="Q54" i="1"/>
  <c r="T54" i="1"/>
  <c r="W54" i="1"/>
  <c r="X54" i="1"/>
  <c r="Q55" i="1"/>
  <c r="T55" i="1"/>
  <c r="W55" i="1"/>
  <c r="X23" i="1"/>
  <c r="W23" i="1"/>
  <c r="T23" i="1"/>
  <c r="Q23" i="1"/>
  <c r="W13" i="1"/>
  <c r="T13" i="1"/>
  <c r="Q13" i="1"/>
  <c r="X13" i="1" s="1"/>
  <c r="W15" i="1"/>
  <c r="J118" i="1"/>
  <c r="I118" i="1"/>
  <c r="G118" i="1"/>
  <c r="F118" i="1"/>
  <c r="D118" i="1"/>
  <c r="C118" i="1"/>
  <c r="K117" i="1"/>
  <c r="H117" i="1"/>
  <c r="E117" i="1"/>
  <c r="L117" i="1" s="1"/>
  <c r="K116" i="1"/>
  <c r="L116" i="1" s="1"/>
  <c r="H116" i="1"/>
  <c r="E116" i="1"/>
  <c r="L115" i="1"/>
  <c r="K115" i="1"/>
  <c r="H115" i="1"/>
  <c r="E115" i="1"/>
  <c r="W112" i="1"/>
  <c r="T112" i="1"/>
  <c r="Q112" i="1"/>
  <c r="X112" i="1" s="1"/>
  <c r="W111" i="1"/>
  <c r="T111" i="1"/>
  <c r="Q111" i="1"/>
  <c r="X110" i="1"/>
  <c r="W110" i="1"/>
  <c r="T110" i="1"/>
  <c r="Q110" i="1"/>
  <c r="W109" i="1"/>
  <c r="T109" i="1"/>
  <c r="Q109" i="1"/>
  <c r="X109" i="1" s="1"/>
  <c r="W108" i="1"/>
  <c r="T108" i="1"/>
  <c r="Q108" i="1"/>
  <c r="W94" i="1"/>
  <c r="T94" i="1"/>
  <c r="Q94" i="1"/>
  <c r="W93" i="1"/>
  <c r="T93" i="1"/>
  <c r="Q93" i="1"/>
  <c r="X91" i="1"/>
  <c r="W91" i="1"/>
  <c r="T91" i="1"/>
  <c r="Q91" i="1"/>
  <c r="K91" i="1"/>
  <c r="H91" i="1"/>
  <c r="E91" i="1"/>
  <c r="K90" i="1"/>
  <c r="H90" i="1"/>
  <c r="E90" i="1"/>
  <c r="K89" i="1"/>
  <c r="H89" i="1"/>
  <c r="E89" i="1"/>
  <c r="K88" i="1"/>
  <c r="L88" i="1" s="1"/>
  <c r="H88" i="1"/>
  <c r="E88" i="1"/>
  <c r="Q53" i="1"/>
  <c r="T53" i="1"/>
  <c r="W53" i="1"/>
  <c r="Q56" i="1"/>
  <c r="T56" i="1"/>
  <c r="W56" i="1"/>
  <c r="X56" i="1"/>
  <c r="Q57" i="1"/>
  <c r="T57" i="1"/>
  <c r="W57" i="1"/>
  <c r="X57" i="1"/>
  <c r="Q58" i="1"/>
  <c r="T58" i="1"/>
  <c r="W58" i="1"/>
  <c r="Q59" i="1"/>
  <c r="T59" i="1"/>
  <c r="W59" i="1"/>
  <c r="X59" i="1"/>
  <c r="Q60" i="1"/>
  <c r="T60" i="1"/>
  <c r="W60" i="1"/>
  <c r="X60" i="1"/>
  <c r="Q61" i="1"/>
  <c r="T61" i="1"/>
  <c r="W61" i="1"/>
  <c r="X61" i="1"/>
  <c r="Q62" i="1"/>
  <c r="T62" i="1"/>
  <c r="W62" i="1"/>
  <c r="X62" i="1"/>
  <c r="Q48" i="1"/>
  <c r="T48" i="1"/>
  <c r="W48" i="1"/>
  <c r="X48" i="1"/>
  <c r="Q37" i="1"/>
  <c r="T37" i="1"/>
  <c r="W37" i="1"/>
  <c r="Q6" i="1"/>
  <c r="T6" i="1"/>
  <c r="W6" i="1"/>
  <c r="Q7" i="1"/>
  <c r="T7" i="1"/>
  <c r="W7" i="1"/>
  <c r="X7" i="1"/>
  <c r="Q8" i="1"/>
  <c r="T8" i="1"/>
  <c r="W8" i="1"/>
  <c r="Q9" i="1"/>
  <c r="T9" i="1"/>
  <c r="W9" i="1"/>
  <c r="Q14" i="1"/>
  <c r="T14" i="1"/>
  <c r="W14" i="1"/>
  <c r="Q15" i="1"/>
  <c r="X15" i="1" s="1"/>
  <c r="T15" i="1"/>
  <c r="Q16" i="1"/>
  <c r="T16" i="1"/>
  <c r="X16" i="1" s="1"/>
  <c r="W16" i="1"/>
  <c r="Q17" i="1"/>
  <c r="T17" i="1"/>
  <c r="W17" i="1"/>
  <c r="X17" i="1"/>
  <c r="Q18" i="1"/>
  <c r="T18" i="1"/>
  <c r="W18" i="1"/>
  <c r="X18" i="1"/>
  <c r="Q19" i="1"/>
  <c r="T19" i="1"/>
  <c r="W19" i="1"/>
  <c r="X19" i="1"/>
  <c r="Q20" i="1"/>
  <c r="T20" i="1"/>
  <c r="W20" i="1"/>
  <c r="X20" i="1"/>
  <c r="E6" i="1"/>
  <c r="H6" i="1"/>
  <c r="K6" i="1"/>
  <c r="E7" i="1"/>
  <c r="H7" i="1"/>
  <c r="K7" i="1"/>
  <c r="E8" i="1"/>
  <c r="H8" i="1"/>
  <c r="K8" i="1"/>
  <c r="E53" i="1"/>
  <c r="H53" i="1"/>
  <c r="K53" i="1"/>
  <c r="E54" i="1"/>
  <c r="H54" i="1"/>
  <c r="K54" i="1"/>
  <c r="L54" i="1" s="1"/>
  <c r="E55" i="1"/>
  <c r="H55" i="1"/>
  <c r="L55" i="1" s="1"/>
  <c r="K55" i="1"/>
  <c r="E56" i="1"/>
  <c r="H56" i="1"/>
  <c r="K56" i="1"/>
  <c r="L56" i="1"/>
  <c r="E57" i="1"/>
  <c r="H57" i="1"/>
  <c r="K57" i="1"/>
  <c r="L57" i="1"/>
  <c r="E58" i="1"/>
  <c r="H58" i="1"/>
  <c r="K58" i="1"/>
  <c r="L58" i="1"/>
  <c r="E59" i="1"/>
  <c r="H59" i="1"/>
  <c r="K59" i="1"/>
  <c r="L59" i="1"/>
  <c r="E60" i="1"/>
  <c r="H60" i="1"/>
  <c r="K60" i="1"/>
  <c r="L60" i="1"/>
  <c r="E62" i="1"/>
  <c r="H62" i="1"/>
  <c r="K62" i="1"/>
  <c r="L62" i="1" s="1"/>
  <c r="E63" i="1"/>
  <c r="H63" i="1"/>
  <c r="K63" i="1"/>
  <c r="L63" i="1"/>
  <c r="E64" i="1"/>
  <c r="H64" i="1"/>
  <c r="K64" i="1"/>
  <c r="L64" i="1"/>
  <c r="E65" i="1"/>
  <c r="H65" i="1"/>
  <c r="K65" i="1"/>
  <c r="L65" i="1"/>
  <c r="E66" i="1"/>
  <c r="H66" i="1"/>
  <c r="K66" i="1"/>
  <c r="L66" i="1"/>
  <c r="L191" i="1" l="1"/>
  <c r="L189" i="1"/>
  <c r="L186" i="1"/>
  <c r="L181" i="1"/>
  <c r="L169" i="1"/>
  <c r="L179" i="1"/>
  <c r="L168" i="1"/>
  <c r="X157" i="1"/>
  <c r="L176" i="1"/>
  <c r="L175" i="1"/>
  <c r="X177" i="1"/>
  <c r="X176" i="1"/>
  <c r="E198" i="1"/>
  <c r="L174" i="1"/>
  <c r="X175" i="1"/>
  <c r="X153" i="1"/>
  <c r="K198" i="1"/>
  <c r="L198" i="1" s="1"/>
  <c r="L173" i="1"/>
  <c r="L139" i="1"/>
  <c r="X149" i="1"/>
  <c r="L137" i="1"/>
  <c r="X145" i="1"/>
  <c r="X143" i="1"/>
  <c r="X141" i="1"/>
  <c r="X140" i="1"/>
  <c r="X155" i="1"/>
  <c r="X156" i="1"/>
  <c r="L134" i="1"/>
  <c r="E158" i="1"/>
  <c r="L133" i="1"/>
  <c r="L127" i="1"/>
  <c r="X117" i="1"/>
  <c r="X130" i="1"/>
  <c r="X102" i="1"/>
  <c r="X129" i="1"/>
  <c r="X136" i="1"/>
  <c r="X134" i="1"/>
  <c r="T158" i="1"/>
  <c r="X154" i="1"/>
  <c r="T118" i="1"/>
  <c r="Q158" i="1"/>
  <c r="S120" i="1"/>
  <c r="X116" i="1"/>
  <c r="W118" i="1"/>
  <c r="W120" i="1" s="1"/>
  <c r="X111" i="1"/>
  <c r="X108" i="1"/>
  <c r="T78" i="1"/>
  <c r="V120" i="1"/>
  <c r="R120" i="1"/>
  <c r="O120" i="1"/>
  <c r="U120" i="1"/>
  <c r="P120" i="1"/>
  <c r="Q118" i="1"/>
  <c r="Q120" i="1" s="1"/>
  <c r="K158" i="1"/>
  <c r="W198" i="1"/>
  <c r="T198" i="1"/>
  <c r="Q198" i="1"/>
  <c r="X94" i="1"/>
  <c r="H158" i="1"/>
  <c r="X93" i="1"/>
  <c r="L91" i="1"/>
  <c r="K118" i="1"/>
  <c r="L90" i="1"/>
  <c r="L89" i="1"/>
  <c r="E118" i="1"/>
  <c r="H118" i="1"/>
  <c r="L87" i="1"/>
  <c r="L51" i="1"/>
  <c r="X58" i="1"/>
  <c r="L53" i="1"/>
  <c r="X55" i="1"/>
  <c r="L8" i="1"/>
  <c r="X24" i="1"/>
  <c r="X53" i="1"/>
  <c r="L7" i="1"/>
  <c r="X9" i="1"/>
  <c r="X8" i="1"/>
  <c r="X14" i="1"/>
  <c r="L6" i="1"/>
  <c r="X6" i="1"/>
  <c r="X37" i="1"/>
  <c r="Q63" i="1"/>
  <c r="T63" i="1"/>
  <c r="W63" i="1"/>
  <c r="L158" i="1" l="1"/>
  <c r="T120" i="1"/>
  <c r="X158" i="1"/>
  <c r="W158" i="1"/>
  <c r="X118" i="1"/>
  <c r="X120" i="1" s="1"/>
  <c r="V161" i="1" s="1"/>
  <c r="X198" i="1"/>
  <c r="L118" i="1"/>
  <c r="X63" i="1"/>
  <c r="O161" i="1" l="1"/>
  <c r="X161" i="1"/>
  <c r="S161" i="1"/>
  <c r="R161" i="1"/>
  <c r="W161" i="1"/>
  <c r="U161" i="1"/>
  <c r="Q161" i="1"/>
  <c r="T161" i="1"/>
  <c r="P161" i="1"/>
  <c r="Q77" i="1"/>
  <c r="T77" i="1"/>
  <c r="W77" i="1"/>
  <c r="X77" i="1" l="1"/>
  <c r="K35" i="1" l="1"/>
  <c r="H35" i="1"/>
  <c r="E35" i="1"/>
  <c r="L35" i="1" l="1"/>
  <c r="Q50" i="1"/>
  <c r="T50" i="1"/>
  <c r="W50" i="1"/>
  <c r="Q21" i="1"/>
  <c r="T21" i="1"/>
  <c r="W21" i="1"/>
  <c r="Q22" i="1"/>
  <c r="T22" i="1"/>
  <c r="W22" i="1"/>
  <c r="Q25" i="1"/>
  <c r="T25" i="1"/>
  <c r="W25" i="1"/>
  <c r="Q26" i="1"/>
  <c r="T26" i="1"/>
  <c r="W26" i="1"/>
  <c r="Q27" i="1"/>
  <c r="T27" i="1"/>
  <c r="W27" i="1"/>
  <c r="Q28" i="1"/>
  <c r="T28" i="1"/>
  <c r="W28" i="1"/>
  <c r="Q29" i="1"/>
  <c r="T29" i="1"/>
  <c r="W29" i="1"/>
  <c r="Q30" i="1"/>
  <c r="T30" i="1"/>
  <c r="W30" i="1"/>
  <c r="Q31" i="1"/>
  <c r="T31" i="1"/>
  <c r="W31" i="1"/>
  <c r="Q32" i="1"/>
  <c r="T32" i="1"/>
  <c r="W32" i="1"/>
  <c r="W73" i="1"/>
  <c r="T73" i="1"/>
  <c r="Q73" i="1"/>
  <c r="W72" i="1"/>
  <c r="T72" i="1"/>
  <c r="Q72" i="1"/>
  <c r="W71" i="1"/>
  <c r="T71" i="1"/>
  <c r="Q71" i="1"/>
  <c r="W70" i="1"/>
  <c r="T70" i="1"/>
  <c r="Q70" i="1"/>
  <c r="W69" i="1"/>
  <c r="T69" i="1"/>
  <c r="Q69" i="1"/>
  <c r="W68" i="1"/>
  <c r="T68" i="1"/>
  <c r="Q68" i="1"/>
  <c r="W65" i="1"/>
  <c r="T65" i="1"/>
  <c r="Q65" i="1"/>
  <c r="W51" i="1"/>
  <c r="T51" i="1"/>
  <c r="Q51" i="1"/>
  <c r="W49" i="1"/>
  <c r="T49" i="1"/>
  <c r="Q49" i="1"/>
  <c r="W47" i="1"/>
  <c r="T47" i="1"/>
  <c r="Q47" i="1"/>
  <c r="W36" i="1"/>
  <c r="T36" i="1"/>
  <c r="Q36" i="1"/>
  <c r="W35" i="1"/>
  <c r="T35" i="1"/>
  <c r="Q35" i="1"/>
  <c r="W34" i="1"/>
  <c r="T34" i="1"/>
  <c r="Q34" i="1"/>
  <c r="W33" i="1"/>
  <c r="T33" i="1"/>
  <c r="Q33" i="1"/>
  <c r="W11" i="1"/>
  <c r="T11" i="1"/>
  <c r="Q11" i="1"/>
  <c r="W10" i="1"/>
  <c r="T10" i="1"/>
  <c r="Q10" i="1"/>
  <c r="X50" i="1" l="1"/>
  <c r="S52" i="1"/>
  <c r="S79" i="1" s="1"/>
  <c r="V52" i="1"/>
  <c r="V79" i="1" s="1"/>
  <c r="X49" i="1"/>
  <c r="X65" i="1"/>
  <c r="X69" i="1"/>
  <c r="X71" i="1"/>
  <c r="X73" i="1"/>
  <c r="X10" i="1"/>
  <c r="X33" i="1"/>
  <c r="X35" i="1"/>
  <c r="X36" i="1"/>
  <c r="X31" i="1"/>
  <c r="X29" i="1"/>
  <c r="X27" i="1"/>
  <c r="X25" i="1"/>
  <c r="X21" i="1"/>
  <c r="X11" i="1"/>
  <c r="X34" i="1"/>
  <c r="X47" i="1"/>
  <c r="X51" i="1"/>
  <c r="X68" i="1"/>
  <c r="X70" i="1"/>
  <c r="X72" i="1"/>
  <c r="X32" i="1"/>
  <c r="X30" i="1"/>
  <c r="X28" i="1"/>
  <c r="X26" i="1"/>
  <c r="X22" i="1"/>
  <c r="E67" i="1"/>
  <c r="E68" i="1"/>
  <c r="E69" i="1"/>
  <c r="F78" i="1"/>
  <c r="G78" i="1"/>
  <c r="D38" i="1"/>
  <c r="H67" i="1"/>
  <c r="K67" i="1"/>
  <c r="H68" i="1"/>
  <c r="K68" i="1"/>
  <c r="H69" i="1"/>
  <c r="K69" i="1"/>
  <c r="C78" i="1"/>
  <c r="D78" i="1"/>
  <c r="I78" i="1"/>
  <c r="J78" i="1"/>
  <c r="E10" i="1"/>
  <c r="H10" i="1"/>
  <c r="K10" i="1"/>
  <c r="E11" i="1"/>
  <c r="H11" i="1"/>
  <c r="K11" i="1"/>
  <c r="C12" i="1"/>
  <c r="D12" i="1"/>
  <c r="F12" i="1"/>
  <c r="G12" i="1"/>
  <c r="I12" i="1"/>
  <c r="J12" i="1"/>
  <c r="E13" i="1"/>
  <c r="H13" i="1"/>
  <c r="K13" i="1"/>
  <c r="E14" i="1"/>
  <c r="H14" i="1"/>
  <c r="K14" i="1"/>
  <c r="E15" i="1"/>
  <c r="H15" i="1"/>
  <c r="K15" i="1"/>
  <c r="E16" i="1"/>
  <c r="H16" i="1"/>
  <c r="K16" i="1"/>
  <c r="E17" i="1"/>
  <c r="H17" i="1"/>
  <c r="K17" i="1"/>
  <c r="E18" i="1"/>
  <c r="H18" i="1"/>
  <c r="K18" i="1"/>
  <c r="E19" i="1"/>
  <c r="H19" i="1"/>
  <c r="K19" i="1"/>
  <c r="H20" i="1"/>
  <c r="K20" i="1"/>
  <c r="E21" i="1"/>
  <c r="H21" i="1"/>
  <c r="K21" i="1"/>
  <c r="E22" i="1"/>
  <c r="H22" i="1"/>
  <c r="K22" i="1"/>
  <c r="E23" i="1"/>
  <c r="H23" i="1"/>
  <c r="K23" i="1"/>
  <c r="E24" i="1"/>
  <c r="H24" i="1"/>
  <c r="K24" i="1"/>
  <c r="E25" i="1"/>
  <c r="H25" i="1"/>
  <c r="K25" i="1"/>
  <c r="E26" i="1"/>
  <c r="H26" i="1"/>
  <c r="K26" i="1"/>
  <c r="E27" i="1"/>
  <c r="H27" i="1"/>
  <c r="K27" i="1"/>
  <c r="E28" i="1"/>
  <c r="H28" i="1"/>
  <c r="K28" i="1"/>
  <c r="E29" i="1"/>
  <c r="H29" i="1"/>
  <c r="K29" i="1"/>
  <c r="E30" i="1"/>
  <c r="H30" i="1"/>
  <c r="K30" i="1"/>
  <c r="E31" i="1"/>
  <c r="H31" i="1"/>
  <c r="K31" i="1"/>
  <c r="E32" i="1"/>
  <c r="H32" i="1"/>
  <c r="K32" i="1"/>
  <c r="E33" i="1"/>
  <c r="H33" i="1"/>
  <c r="K33" i="1"/>
  <c r="E34" i="1"/>
  <c r="H34" i="1"/>
  <c r="K34" i="1"/>
  <c r="E36" i="1"/>
  <c r="H36" i="1"/>
  <c r="K36" i="1"/>
  <c r="E37" i="1"/>
  <c r="H37" i="1"/>
  <c r="K37" i="1"/>
  <c r="C38" i="1"/>
  <c r="F38" i="1"/>
  <c r="G38" i="1"/>
  <c r="I38" i="1"/>
  <c r="J38" i="1"/>
  <c r="P52" i="1" l="1"/>
  <c r="R52" i="1"/>
  <c r="U52" i="1"/>
  <c r="V86" i="1"/>
  <c r="S86" i="1"/>
  <c r="T52" i="1"/>
  <c r="E12" i="1"/>
  <c r="W52" i="1"/>
  <c r="L14" i="1"/>
  <c r="E78" i="1"/>
  <c r="L28" i="1"/>
  <c r="L26" i="1"/>
  <c r="L31" i="1"/>
  <c r="E20" i="1"/>
  <c r="L20" i="1" s="1"/>
  <c r="I39" i="1"/>
  <c r="I46" i="1" s="1"/>
  <c r="I52" i="1" s="1"/>
  <c r="I79" i="1" s="1"/>
  <c r="I86" i="1" s="1"/>
  <c r="I92" i="1" s="1"/>
  <c r="F39" i="1"/>
  <c r="F46" i="1" s="1"/>
  <c r="F52" i="1" s="1"/>
  <c r="F79" i="1" s="1"/>
  <c r="F86" i="1" s="1"/>
  <c r="F92" i="1" s="1"/>
  <c r="L23" i="1"/>
  <c r="L17" i="1"/>
  <c r="L37" i="1"/>
  <c r="L29" i="1"/>
  <c r="L19" i="1"/>
  <c r="L18" i="1"/>
  <c r="K12" i="1"/>
  <c r="L11" i="1"/>
  <c r="L30" i="1"/>
  <c r="H12" i="1"/>
  <c r="G39" i="1"/>
  <c r="G46" i="1" s="1"/>
  <c r="G52" i="1" s="1"/>
  <c r="G79" i="1" s="1"/>
  <c r="G86" i="1" s="1"/>
  <c r="G92" i="1" s="1"/>
  <c r="G119" i="1" s="1"/>
  <c r="G126" i="1" s="1"/>
  <c r="G132" i="1" s="1"/>
  <c r="L34" i="1"/>
  <c r="L32" i="1"/>
  <c r="L25" i="1"/>
  <c r="L69" i="1"/>
  <c r="L67" i="1"/>
  <c r="L33" i="1"/>
  <c r="C39" i="1"/>
  <c r="C46" i="1" s="1"/>
  <c r="C52" i="1" s="1"/>
  <c r="L36" i="1"/>
  <c r="L21" i="1"/>
  <c r="L16" i="1"/>
  <c r="H38" i="1"/>
  <c r="L24" i="1"/>
  <c r="L15" i="1"/>
  <c r="L68" i="1"/>
  <c r="D39" i="1"/>
  <c r="D46" i="1" s="1"/>
  <c r="D52" i="1" s="1"/>
  <c r="D79" i="1" s="1"/>
  <c r="D86" i="1" s="1"/>
  <c r="D92" i="1" s="1"/>
  <c r="D119" i="1" s="1"/>
  <c r="D126" i="1" s="1"/>
  <c r="D132" i="1" s="1"/>
  <c r="D159" i="1" s="1"/>
  <c r="D166" i="1" s="1"/>
  <c r="D172" i="1" s="1"/>
  <c r="D199" i="1" s="1"/>
  <c r="L10" i="1"/>
  <c r="J39" i="1"/>
  <c r="J46" i="1" s="1"/>
  <c r="J52" i="1" s="1"/>
  <c r="L27" i="1"/>
  <c r="L22" i="1"/>
  <c r="L13" i="1"/>
  <c r="H78" i="1"/>
  <c r="K78" i="1"/>
  <c r="K38" i="1"/>
  <c r="E38" i="1"/>
  <c r="G159" i="1" l="1"/>
  <c r="U79" i="1"/>
  <c r="U86" i="1" s="1"/>
  <c r="U92" i="1" s="1"/>
  <c r="U119" i="1" s="1"/>
  <c r="W79" i="1"/>
  <c r="W86" i="1" s="1"/>
  <c r="W92" i="1" s="1"/>
  <c r="W119" i="1" s="1"/>
  <c r="W126" i="1" s="1"/>
  <c r="W132" i="1" s="1"/>
  <c r="W159" i="1" s="1"/>
  <c r="R79" i="1"/>
  <c r="R86" i="1" s="1"/>
  <c r="R92" i="1" s="1"/>
  <c r="R119" i="1" s="1"/>
  <c r="P79" i="1"/>
  <c r="P86" i="1" s="1"/>
  <c r="P92" i="1" s="1"/>
  <c r="P119" i="1" s="1"/>
  <c r="T79" i="1"/>
  <c r="T86" i="1" s="1"/>
  <c r="T92" i="1" s="1"/>
  <c r="T119" i="1" s="1"/>
  <c r="O52" i="1"/>
  <c r="S92" i="1"/>
  <c r="S119" i="1" s="1"/>
  <c r="V92" i="1"/>
  <c r="V119" i="1" s="1"/>
  <c r="V126" i="1" s="1"/>
  <c r="V132" i="1" s="1"/>
  <c r="V159" i="1" s="1"/>
  <c r="I119" i="1"/>
  <c r="I126" i="1" s="1"/>
  <c r="I132" i="1" s="1"/>
  <c r="I159" i="1" s="1"/>
  <c r="I166" i="1" s="1"/>
  <c r="I172" i="1" s="1"/>
  <c r="I199" i="1" s="1"/>
  <c r="H92" i="1"/>
  <c r="F119" i="1"/>
  <c r="E52" i="1"/>
  <c r="K52" i="1"/>
  <c r="H39" i="1"/>
  <c r="H46" i="1" s="1"/>
  <c r="H79" i="1"/>
  <c r="H86" i="1" s="1"/>
  <c r="K39" i="1"/>
  <c r="K46" i="1" s="1"/>
  <c r="L12" i="1"/>
  <c r="H52" i="1"/>
  <c r="C79" i="1"/>
  <c r="C86" i="1" s="1"/>
  <c r="C92" i="1" s="1"/>
  <c r="J79" i="1"/>
  <c r="J86" i="1" s="1"/>
  <c r="J92" i="1" s="1"/>
  <c r="J119" i="1" s="1"/>
  <c r="J126" i="1" s="1"/>
  <c r="J132" i="1" s="1"/>
  <c r="E39" i="1"/>
  <c r="E46" i="1" s="1"/>
  <c r="L78" i="1"/>
  <c r="L38" i="1"/>
  <c r="P126" i="1" l="1"/>
  <c r="P132" i="1" s="1"/>
  <c r="P159" i="1" s="1"/>
  <c r="P166" i="1" s="1"/>
  <c r="P172" i="1" s="1"/>
  <c r="P199" i="1" s="1"/>
  <c r="U126" i="1"/>
  <c r="U132" i="1" s="1"/>
  <c r="U159" i="1" s="1"/>
  <c r="U166" i="1" s="1"/>
  <c r="U172" i="1" s="1"/>
  <c r="U199" i="1" s="1"/>
  <c r="S126" i="1"/>
  <c r="S132" i="1" s="1"/>
  <c r="S159" i="1" s="1"/>
  <c r="S166" i="1" s="1"/>
  <c r="S172" i="1" s="1"/>
  <c r="S199" i="1" s="1"/>
  <c r="T126" i="1"/>
  <c r="T132" i="1" s="1"/>
  <c r="T159" i="1" s="1"/>
  <c r="T166" i="1" s="1"/>
  <c r="T172" i="1" s="1"/>
  <c r="T199" i="1" s="1"/>
  <c r="R126" i="1"/>
  <c r="R132" i="1" s="1"/>
  <c r="R159" i="1" s="1"/>
  <c r="R166" i="1" s="1"/>
  <c r="R172" i="1" s="1"/>
  <c r="R199" i="1" s="1"/>
  <c r="H119" i="1"/>
  <c r="H126" i="1" s="1"/>
  <c r="F126" i="1"/>
  <c r="F132" i="1" s="1"/>
  <c r="G166" i="1"/>
  <c r="G172" i="1" s="1"/>
  <c r="V166" i="1"/>
  <c r="V172" i="1" s="1"/>
  <c r="V199" i="1" s="1"/>
  <c r="W166" i="1"/>
  <c r="W172" i="1" s="1"/>
  <c r="W199" i="1" s="1"/>
  <c r="K132" i="1"/>
  <c r="J159" i="1"/>
  <c r="O79" i="1"/>
  <c r="O86" i="1" s="1"/>
  <c r="O92" i="1" s="1"/>
  <c r="O119" i="1" s="1"/>
  <c r="X52" i="1"/>
  <c r="Q52" i="1"/>
  <c r="K119" i="1"/>
  <c r="K126" i="1" s="1"/>
  <c r="K92" i="1"/>
  <c r="C119" i="1"/>
  <c r="E92" i="1"/>
  <c r="K79" i="1"/>
  <c r="K86" i="1" s="1"/>
  <c r="E79" i="1"/>
  <c r="E86" i="1" s="1"/>
  <c r="L46" i="1"/>
  <c r="L39" i="1"/>
  <c r="L52" i="1"/>
  <c r="O126" i="1" l="1"/>
  <c r="O132" i="1" s="1"/>
  <c r="O159" i="1" s="1"/>
  <c r="O166" i="1" s="1"/>
  <c r="O172" i="1" s="1"/>
  <c r="O199" i="1" s="1"/>
  <c r="F159" i="1"/>
  <c r="H132" i="1"/>
  <c r="G199" i="1"/>
  <c r="E119" i="1"/>
  <c r="E126" i="1" s="1"/>
  <c r="L126" i="1" s="1"/>
  <c r="C126" i="1"/>
  <c r="C132" i="1" s="1"/>
  <c r="J166" i="1"/>
  <c r="J172" i="1" s="1"/>
  <c r="K159" i="1"/>
  <c r="Q79" i="1"/>
  <c r="Q86" i="1" s="1"/>
  <c r="X79" i="1"/>
  <c r="X86" i="1" s="1"/>
  <c r="L92" i="1"/>
  <c r="L86" i="1"/>
  <c r="L79" i="1"/>
  <c r="L119" i="1" l="1"/>
  <c r="F166" i="1"/>
  <c r="F172" i="1" s="1"/>
  <c r="H159" i="1"/>
  <c r="H166" i="1" s="1"/>
  <c r="C159" i="1"/>
  <c r="E132" i="1"/>
  <c r="L132" i="1" s="1"/>
  <c r="J199" i="1"/>
  <c r="K199" i="1" s="1"/>
  <c r="K172" i="1"/>
  <c r="K166" i="1"/>
  <c r="X92" i="1"/>
  <c r="X119" i="1" s="1"/>
  <c r="X126" i="1" s="1"/>
  <c r="X132" i="1" s="1"/>
  <c r="X159" i="1" s="1"/>
  <c r="Q92" i="1"/>
  <c r="Q119" i="1" s="1"/>
  <c r="T80" i="1"/>
  <c r="X80" i="1"/>
  <c r="V80" i="1"/>
  <c r="W80" i="1"/>
  <c r="U80" i="1"/>
  <c r="R80" i="1"/>
  <c r="S80" i="1"/>
  <c r="P80" i="1"/>
  <c r="O80" i="1"/>
  <c r="Q80" i="1"/>
  <c r="Q126" i="1" l="1"/>
  <c r="Q132" i="1" s="1"/>
  <c r="Q159" i="1" s="1"/>
  <c r="Q166" i="1" s="1"/>
  <c r="Q172" i="1" s="1"/>
  <c r="Q199" i="1" s="1"/>
  <c r="F199" i="1"/>
  <c r="H199" i="1" s="1"/>
  <c r="H172" i="1"/>
  <c r="C166" i="1"/>
  <c r="C172" i="1" s="1"/>
  <c r="E159" i="1"/>
  <c r="R160" i="1"/>
  <c r="O160" i="1"/>
  <c r="S160" i="1"/>
  <c r="X160" i="1"/>
  <c r="T160" i="1"/>
  <c r="X166" i="1"/>
  <c r="X172" i="1" s="1"/>
  <c r="X199" i="1" s="1"/>
  <c r="P160" i="1"/>
  <c r="Q160" i="1"/>
  <c r="U160" i="1"/>
  <c r="V160" i="1"/>
  <c r="W160" i="1"/>
  <c r="E172" i="1" l="1"/>
  <c r="L172" i="1" s="1"/>
  <c r="C199" i="1"/>
  <c r="E199" i="1" s="1"/>
  <c r="L199" i="1" s="1"/>
  <c r="E166" i="1"/>
  <c r="L166" i="1" s="1"/>
  <c r="L159" i="1"/>
</calcChain>
</file>

<file path=xl/sharedStrings.xml><?xml version="1.0" encoding="utf-8"?>
<sst xmlns="http://schemas.openxmlformats.org/spreadsheetml/2006/main" count="447" uniqueCount="157">
  <si>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</si>
  <si>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</si>
  <si>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</si>
  <si>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</si>
  <si>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計</t>
    <rPh sb="0" eb="1">
      <t>ケイ</t>
    </rPh>
    <phoneticPr fontId="2"/>
  </si>
  <si>
    <t>L-LL</t>
    <phoneticPr fontId="2"/>
  </si>
  <si>
    <t>M-L</t>
    <phoneticPr fontId="2"/>
  </si>
  <si>
    <t>初回</t>
    <rPh sb="0" eb="2">
      <t>ショカイ</t>
    </rPh>
    <phoneticPr fontId="2"/>
  </si>
  <si>
    <t>裏ベロアレギンス＜夢販在庫＞</t>
    <rPh sb="0" eb="1">
      <t>ウラ</t>
    </rPh>
    <rPh sb="9" eb="13">
      <t>ユメハンザイコ</t>
    </rPh>
    <phoneticPr fontId="2"/>
  </si>
  <si>
    <t>裏ベロアレギンス＜KPORT在庫＞</t>
    <rPh sb="0" eb="1">
      <t>ウラ</t>
    </rPh>
    <rPh sb="14" eb="16">
      <t>ザイコ</t>
    </rPh>
    <phoneticPr fontId="2"/>
  </si>
  <si>
    <t>タータンチェック</t>
    <phoneticPr fontId="2"/>
  </si>
  <si>
    <t>ブロックチェック</t>
    <phoneticPr fontId="2"/>
  </si>
  <si>
    <t>ガンクラブチェック</t>
    <phoneticPr fontId="2"/>
  </si>
  <si>
    <t>JOD特別版1127（表4）</t>
    <rPh sb="3" eb="6">
      <t>トクベツバン</t>
    </rPh>
    <rPh sb="11" eb="12">
      <t>ヒョウ</t>
    </rPh>
    <phoneticPr fontId="2"/>
  </si>
  <si>
    <t>11/26～</t>
    <phoneticPr fontId="2"/>
  </si>
  <si>
    <t>【ﾀｰﾀﾝﾁｪｯｸ @590】【ﾌﾞﾛｯｸﾁｪｯｸ @590】【ｶﾞﾝｸﾗﾌﾞﾁｪｯｸ @590】</t>
    <phoneticPr fontId="2"/>
  </si>
  <si>
    <t>1/1～2/28</t>
    <phoneticPr fontId="2"/>
  </si>
  <si>
    <t>なごみ１月号DM別チラシ２色組</t>
    <rPh sb="4" eb="5">
      <t>ガツ</t>
    </rPh>
    <rPh sb="5" eb="6">
      <t>ゴウ</t>
    </rPh>
    <rPh sb="8" eb="9">
      <t>ベツ</t>
    </rPh>
    <rPh sb="13" eb="15">
      <t>ショクグミ</t>
    </rPh>
    <phoneticPr fontId="2"/>
  </si>
  <si>
    <t>なごみ１月号DM別チラシ２色組①</t>
    <rPh sb="4" eb="5">
      <t>ガツ</t>
    </rPh>
    <rPh sb="5" eb="6">
      <t>ゴウ</t>
    </rPh>
    <rPh sb="8" eb="9">
      <t>ベツ</t>
    </rPh>
    <rPh sb="13" eb="15">
      <t>ショクグミ</t>
    </rPh>
    <phoneticPr fontId="2"/>
  </si>
  <si>
    <t>夢販</t>
    <rPh sb="0" eb="2">
      <t>ユメハン</t>
    </rPh>
    <phoneticPr fontId="2"/>
  </si>
  <si>
    <t>【ﾀｰﾀﾝﾁｪｯｸ @590】【ﾌﾞﾛｯｸﾁｪｯｸ @590】【ｶﾞﾝｸﾗﾌﾞﾁｪｯｸ @590】</t>
  </si>
  <si>
    <t>加工賃＠10</t>
    <rPh sb="0" eb="3">
      <t>カコウチン</t>
    </rPh>
    <phoneticPr fontId="2"/>
  </si>
  <si>
    <t>2024/11/20数伝</t>
    <rPh sb="10" eb="11">
      <t>スウ</t>
    </rPh>
    <rPh sb="11" eb="12">
      <t>デン</t>
    </rPh>
    <phoneticPr fontId="2"/>
  </si>
  <si>
    <t>ネット</t>
    <phoneticPr fontId="2"/>
  </si>
  <si>
    <t>JOD①</t>
    <phoneticPr fontId="2"/>
  </si>
  <si>
    <t>JOD②</t>
    <phoneticPr fontId="2"/>
  </si>
  <si>
    <t>JOD③</t>
    <phoneticPr fontId="2"/>
  </si>
  <si>
    <t>JOD④</t>
    <phoneticPr fontId="2"/>
  </si>
  <si>
    <t>JOD⑤</t>
    <phoneticPr fontId="2"/>
  </si>
  <si>
    <t>かりん</t>
    <phoneticPr fontId="2"/>
  </si>
  <si>
    <t>2024/12/5数伝</t>
    <rPh sb="9" eb="10">
      <t>スウ</t>
    </rPh>
    <rPh sb="10" eb="11">
      <t>デン</t>
    </rPh>
    <phoneticPr fontId="2"/>
  </si>
  <si>
    <t>JOD⑥</t>
    <phoneticPr fontId="2"/>
  </si>
  <si>
    <t>JOD⑦</t>
    <phoneticPr fontId="2"/>
  </si>
  <si>
    <t>JOD⑧</t>
    <phoneticPr fontId="2"/>
  </si>
  <si>
    <t>JOD⑨</t>
    <phoneticPr fontId="2"/>
  </si>
  <si>
    <t>2024/12/9数伝</t>
    <rPh sb="9" eb="10">
      <t>スウ</t>
    </rPh>
    <rPh sb="10" eb="11">
      <t>デン</t>
    </rPh>
    <phoneticPr fontId="2"/>
  </si>
  <si>
    <t>JOD⑩</t>
    <phoneticPr fontId="2"/>
  </si>
  <si>
    <t>JOD⑪</t>
    <phoneticPr fontId="2"/>
  </si>
  <si>
    <t>JOD⑫</t>
    <phoneticPr fontId="2"/>
  </si>
  <si>
    <t>JOD⑬</t>
    <phoneticPr fontId="2"/>
  </si>
  <si>
    <t>JOD⑭</t>
    <phoneticPr fontId="2"/>
  </si>
  <si>
    <t>JOD⑮</t>
    <phoneticPr fontId="2"/>
  </si>
  <si>
    <t>JOD新聞折込テスト1月14日</t>
    <rPh sb="3" eb="7">
      <t>シンブンオリコミ</t>
    </rPh>
    <rPh sb="11" eb="12">
      <t>ガツ</t>
    </rPh>
    <rPh sb="14" eb="15">
      <t>ニチ</t>
    </rPh>
    <phoneticPr fontId="2"/>
  </si>
  <si>
    <t>12/19確保数連絡済み</t>
    <rPh sb="5" eb="8">
      <t>カクホスウ</t>
    </rPh>
    <rPh sb="8" eb="10">
      <t>レンラク</t>
    </rPh>
    <rPh sb="10" eb="11">
      <t>ス</t>
    </rPh>
    <phoneticPr fontId="2"/>
  </si>
  <si>
    <t>2024/12/20数伝</t>
    <rPh sb="10" eb="11">
      <t>スウ</t>
    </rPh>
    <rPh sb="11" eb="12">
      <t>デン</t>
    </rPh>
    <phoneticPr fontId="2"/>
  </si>
  <si>
    <t>JOD⑯</t>
    <phoneticPr fontId="2"/>
  </si>
  <si>
    <t>JOD⑰</t>
    <phoneticPr fontId="2"/>
  </si>
  <si>
    <t>JOD⑱</t>
    <phoneticPr fontId="2"/>
  </si>
  <si>
    <t>JOD返品</t>
    <rPh sb="3" eb="5">
      <t>ヘンピン</t>
    </rPh>
    <phoneticPr fontId="2"/>
  </si>
  <si>
    <t>なごみ１月号DM別チラシ２色組②</t>
    <rPh sb="4" eb="5">
      <t>ガツ</t>
    </rPh>
    <rPh sb="5" eb="6">
      <t>ゴウ</t>
    </rPh>
    <rPh sb="8" eb="9">
      <t>ベツ</t>
    </rPh>
    <rPh sb="13" eb="15">
      <t>ショクグミ</t>
    </rPh>
    <phoneticPr fontId="2"/>
  </si>
  <si>
    <t>なごみ１月号DM別チラシ２色組③</t>
    <rPh sb="4" eb="5">
      <t>ガツ</t>
    </rPh>
    <rPh sb="5" eb="6">
      <t>ゴウ</t>
    </rPh>
    <rPh sb="8" eb="9">
      <t>ベツ</t>
    </rPh>
    <rPh sb="13" eb="15">
      <t>ショクグミ</t>
    </rPh>
    <phoneticPr fontId="2"/>
  </si>
  <si>
    <t>JOD⑲</t>
    <phoneticPr fontId="2"/>
  </si>
  <si>
    <t>なごみ１月号DM別チラシ２色組④</t>
    <rPh sb="4" eb="5">
      <t>ガツ</t>
    </rPh>
    <rPh sb="5" eb="6">
      <t>ゴウ</t>
    </rPh>
    <rPh sb="8" eb="9">
      <t>ベツ</t>
    </rPh>
    <rPh sb="13" eb="15">
      <t>ショクグミ</t>
    </rPh>
    <phoneticPr fontId="2"/>
  </si>
  <si>
    <t>ネット返品</t>
    <rPh sb="3" eb="5">
      <t>ヘンピン</t>
    </rPh>
    <phoneticPr fontId="2"/>
  </si>
  <si>
    <t>JOD新聞折込テスト1月14日①</t>
    <rPh sb="3" eb="7">
      <t>シンブンオリコミ</t>
    </rPh>
    <rPh sb="11" eb="12">
      <t>ガツ</t>
    </rPh>
    <rPh sb="14" eb="15">
      <t>ニチ</t>
    </rPh>
    <phoneticPr fontId="2"/>
  </si>
  <si>
    <t>JOD⑳</t>
    <phoneticPr fontId="2"/>
  </si>
  <si>
    <t>JOD新聞折込テスト1月14日②</t>
    <rPh sb="3" eb="7">
      <t>シンブンオリコミ</t>
    </rPh>
    <rPh sb="11" eb="12">
      <t>ガツ</t>
    </rPh>
    <rPh sb="14" eb="15">
      <t>ニチ</t>
    </rPh>
    <phoneticPr fontId="2"/>
  </si>
  <si>
    <t>JOD㉑</t>
    <phoneticPr fontId="2"/>
  </si>
  <si>
    <t>JOD新聞折込テスト1月14日③</t>
    <rPh sb="3" eb="7">
      <t>シンブンオリコミ</t>
    </rPh>
    <rPh sb="11" eb="12">
      <t>ガツ</t>
    </rPh>
    <rPh sb="14" eb="15">
      <t>ニチ</t>
    </rPh>
    <phoneticPr fontId="2"/>
  </si>
  <si>
    <t>JOD新聞折込テスト1月14日④</t>
    <rPh sb="3" eb="7">
      <t>シンブンオリコミ</t>
    </rPh>
    <rPh sb="11" eb="12">
      <t>ガツ</t>
    </rPh>
    <rPh sb="14" eb="15">
      <t>ニチ</t>
    </rPh>
    <phoneticPr fontId="2"/>
  </si>
  <si>
    <t>JOD新聞折込テスト1月14日⑤</t>
    <rPh sb="3" eb="7">
      <t>シンブンオリコミ</t>
    </rPh>
    <rPh sb="11" eb="12">
      <t>ガツ</t>
    </rPh>
    <rPh sb="14" eb="15">
      <t>ニチ</t>
    </rPh>
    <phoneticPr fontId="2"/>
  </si>
  <si>
    <t>JOD㉒</t>
    <phoneticPr fontId="2"/>
  </si>
  <si>
    <t>JOD新聞折込テスト1月14日⑥</t>
    <rPh sb="3" eb="7">
      <t>シンブンオリコミ</t>
    </rPh>
    <rPh sb="11" eb="12">
      <t>ガツ</t>
    </rPh>
    <rPh sb="14" eb="15">
      <t>ニチ</t>
    </rPh>
    <phoneticPr fontId="2"/>
  </si>
  <si>
    <t>JOD新聞折込テスト1月14日⑦</t>
    <rPh sb="3" eb="7">
      <t>シンブンオリコミ</t>
    </rPh>
    <rPh sb="11" eb="12">
      <t>ガツ</t>
    </rPh>
    <rPh sb="14" eb="15">
      <t>ニチ</t>
    </rPh>
    <phoneticPr fontId="2"/>
  </si>
  <si>
    <t>KPORT</t>
    <phoneticPr fontId="2"/>
  </si>
  <si>
    <t>JOD㉓</t>
    <phoneticPr fontId="2"/>
  </si>
  <si>
    <t>JOD新聞折込テスト1月14日⑧</t>
    <rPh sb="3" eb="7">
      <t>シンブンオリコミ</t>
    </rPh>
    <rPh sb="11" eb="12">
      <t>ガツ</t>
    </rPh>
    <rPh sb="14" eb="15">
      <t>ニチ</t>
    </rPh>
    <phoneticPr fontId="2"/>
  </si>
  <si>
    <t>JOD㉔</t>
    <phoneticPr fontId="2"/>
  </si>
  <si>
    <t>JOD㉕</t>
    <phoneticPr fontId="2"/>
  </si>
  <si>
    <t>JOD㉖</t>
    <phoneticPr fontId="2"/>
  </si>
  <si>
    <t>JOD㉗</t>
    <phoneticPr fontId="2"/>
  </si>
  <si>
    <t>2024/2/3数伝</t>
    <rPh sb="8" eb="9">
      <t>スウ</t>
    </rPh>
    <rPh sb="9" eb="10">
      <t>デン</t>
    </rPh>
    <phoneticPr fontId="2"/>
  </si>
  <si>
    <t>JOD新聞折込テスト1月14日⑨</t>
    <rPh sb="3" eb="7">
      <t>シンブンオリコミ</t>
    </rPh>
    <rPh sb="11" eb="12">
      <t>ガツ</t>
    </rPh>
    <rPh sb="14" eb="15">
      <t>ニチ</t>
    </rPh>
    <phoneticPr fontId="2"/>
  </si>
  <si>
    <t>JOD㉘</t>
    <phoneticPr fontId="2"/>
  </si>
  <si>
    <t>JOD新聞折込テスト1月14日⑩</t>
    <rPh sb="3" eb="7">
      <t>シンブンオリコミ</t>
    </rPh>
    <rPh sb="11" eb="12">
      <t>ガツ</t>
    </rPh>
    <rPh sb="14" eb="15">
      <t>ニチ</t>
    </rPh>
    <phoneticPr fontId="2"/>
  </si>
  <si>
    <t>追加</t>
    <rPh sb="0" eb="2">
      <t>ツイカ</t>
    </rPh>
    <phoneticPr fontId="2"/>
  </si>
  <si>
    <t>JOD㉙</t>
    <phoneticPr fontId="2"/>
  </si>
  <si>
    <t>JOD㉚</t>
    <phoneticPr fontId="2"/>
  </si>
  <si>
    <t>JOD㉛</t>
    <phoneticPr fontId="2"/>
  </si>
  <si>
    <t>JOD新聞折込テスト1月14日⑪</t>
    <rPh sb="3" eb="7">
      <t>シンブンオリコミ</t>
    </rPh>
    <rPh sb="11" eb="12">
      <t>ガツ</t>
    </rPh>
    <rPh sb="14" eb="15">
      <t>ニチ</t>
    </rPh>
    <phoneticPr fontId="2"/>
  </si>
  <si>
    <t>なごみ返品</t>
    <rPh sb="3" eb="5">
      <t>ヘンピン</t>
    </rPh>
    <phoneticPr fontId="2"/>
  </si>
  <si>
    <t>在庫確認</t>
    <rPh sb="0" eb="4">
      <t>ザイコカクニン</t>
    </rPh>
    <phoneticPr fontId="2"/>
  </si>
  <si>
    <t>JOD新聞折込テスト1月14日⑫</t>
    <rPh sb="3" eb="7">
      <t>シンブンオリコミ</t>
    </rPh>
    <rPh sb="11" eb="12">
      <t>ガツ</t>
    </rPh>
    <rPh sb="14" eb="15">
      <t>ニチ</t>
    </rPh>
    <phoneticPr fontId="2"/>
  </si>
  <si>
    <t>JOD㉜</t>
    <phoneticPr fontId="2"/>
  </si>
  <si>
    <t>←ここまで式確認2025/7/29</t>
    <rPh sb="5" eb="8">
      <t>シキカクニン</t>
    </rPh>
    <phoneticPr fontId="2"/>
  </si>
  <si>
    <t>11/15～</t>
    <phoneticPr fontId="2"/>
  </si>
  <si>
    <t>ここから２０２６年度～</t>
    <rPh sb="8" eb="9">
      <t>ネン</t>
    </rPh>
    <rPh sb="9" eb="10">
      <t>ド</t>
    </rPh>
    <phoneticPr fontId="2"/>
  </si>
  <si>
    <t>実績構成比</t>
    <rPh sb="0" eb="2">
      <t>ジッセキ</t>
    </rPh>
    <rPh sb="2" eb="5">
      <t>コウセイヒ</t>
    </rPh>
    <phoneticPr fontId="2"/>
  </si>
  <si>
    <t>在庫構成比</t>
    <rPh sb="0" eb="2">
      <t>ザイコ</t>
    </rPh>
    <rPh sb="2" eb="5">
      <t>コウセイヒ</t>
    </rPh>
    <phoneticPr fontId="2"/>
  </si>
  <si>
    <t>JODメルシー1126</t>
    <phoneticPr fontId="2"/>
  </si>
  <si>
    <t>追加 　２回目</t>
    <rPh sb="0" eb="2">
      <t>ツイカ</t>
    </rPh>
    <rPh sb="5" eb="7">
      <t>カイメ</t>
    </rPh>
    <phoneticPr fontId="2"/>
  </si>
  <si>
    <t>追加 　１回目2-1</t>
    <rPh sb="0" eb="2">
      <t>ツイカ</t>
    </rPh>
    <rPh sb="5" eb="7">
      <t>カイメ</t>
    </rPh>
    <phoneticPr fontId="2"/>
  </si>
  <si>
    <t>追加 　１回目2-2</t>
    <rPh sb="0" eb="2">
      <t>ツイカ</t>
    </rPh>
    <rPh sb="5" eb="7">
      <t>カイメ</t>
    </rPh>
    <phoneticPr fontId="2"/>
  </si>
  <si>
    <t>夢販</t>
    <rPh sb="0" eb="2">
      <t>ユメハン</t>
    </rPh>
    <phoneticPr fontId="2"/>
  </si>
  <si>
    <t>JODアクセス7014</t>
    <phoneticPr fontId="2"/>
  </si>
  <si>
    <t>1/14～</t>
    <phoneticPr fontId="2"/>
  </si>
  <si>
    <t>なごみ1月差分予測</t>
    <rPh sb="4" eb="5">
      <t>ガツ</t>
    </rPh>
    <rPh sb="5" eb="9">
      <t>サブンヨソク</t>
    </rPh>
    <phoneticPr fontId="2"/>
  </si>
  <si>
    <t>初回12/25　2026年1/1～3/10</t>
    <rPh sb="0" eb="2">
      <t>ショカイ</t>
    </rPh>
    <rPh sb="12" eb="13">
      <t>ネン</t>
    </rPh>
    <phoneticPr fontId="2"/>
  </si>
  <si>
    <t>.</t>
    <phoneticPr fontId="2"/>
  </si>
  <si>
    <t>なごみ1月号DM2枚組</t>
    <rPh sb="4" eb="5">
      <t>ガツ</t>
    </rPh>
    <rPh sb="5" eb="6">
      <t>ゴウ</t>
    </rPh>
    <rPh sb="9" eb="11">
      <t>マイクミ</t>
    </rPh>
    <phoneticPr fontId="2"/>
  </si>
  <si>
    <t>なごみ1月号DM2枚組①</t>
    <rPh sb="4" eb="5">
      <t>ガツ</t>
    </rPh>
    <rPh sb="5" eb="6">
      <t>ゴウ</t>
    </rPh>
    <rPh sb="9" eb="11">
      <t>マイクミ</t>
    </rPh>
    <phoneticPr fontId="2"/>
  </si>
  <si>
    <t>JODメルシー1204</t>
    <phoneticPr fontId="2"/>
  </si>
  <si>
    <t>12/4～</t>
    <phoneticPr fontId="2"/>
  </si>
  <si>
    <t>JOD特別号9547</t>
    <rPh sb="3" eb="6">
      <t>トクベツゴウ</t>
    </rPh>
    <phoneticPr fontId="2"/>
  </si>
  <si>
    <t>12/11～</t>
    <phoneticPr fontId="2"/>
  </si>
  <si>
    <t>JOD特別号7526</t>
    <phoneticPr fontId="2"/>
  </si>
  <si>
    <t>2025/11/15数伝</t>
    <rPh sb="10" eb="12">
      <t>スウデン</t>
    </rPh>
    <phoneticPr fontId="2"/>
  </si>
  <si>
    <t>表ベロア裏シャギーレギンス＜KPORT在庫＞</t>
    <rPh sb="0" eb="1">
      <t>オモテ</t>
    </rPh>
    <rPh sb="4" eb="5">
      <t>ウラ</t>
    </rPh>
    <rPh sb="19" eb="21">
      <t>ザイコ</t>
    </rPh>
    <phoneticPr fontId="2"/>
  </si>
  <si>
    <t>表ベロア裏シャギーレギンス＜夢販在庫＞</t>
    <rPh sb="0" eb="1">
      <t>オモテ</t>
    </rPh>
    <rPh sb="4" eb="5">
      <t>ウラ</t>
    </rPh>
    <rPh sb="14" eb="18">
      <t>ユメハンザイコ</t>
    </rPh>
    <phoneticPr fontId="2"/>
  </si>
  <si>
    <t>JODメルシー1224</t>
    <phoneticPr fontId="2"/>
  </si>
  <si>
    <t>12/24～</t>
    <phoneticPr fontId="2"/>
  </si>
  <si>
    <t>2025/12/2数伝</t>
    <rPh sb="9" eb="10">
      <t>スウ</t>
    </rPh>
    <rPh sb="10" eb="11">
      <t>デン</t>
    </rPh>
    <phoneticPr fontId="2"/>
  </si>
  <si>
    <t>夢販</t>
    <rPh sb="0" eb="2">
      <t>y</t>
    </rPh>
    <phoneticPr fontId="2"/>
  </si>
  <si>
    <t>JOD特別号-1/9552</t>
    <rPh sb="3" eb="6">
      <t>トクベツゴウ</t>
    </rPh>
    <phoneticPr fontId="2"/>
  </si>
  <si>
    <t>1/29～</t>
    <phoneticPr fontId="2"/>
  </si>
  <si>
    <t>JOD返品</t>
    <rPh sb="3" eb="5">
      <t>ヘンピン</t>
    </rPh>
    <phoneticPr fontId="2"/>
  </si>
  <si>
    <t>なごみサンプル</t>
    <phoneticPr fontId="2"/>
  </si>
  <si>
    <t>JOD返品</t>
    <phoneticPr fontId="2"/>
  </si>
  <si>
    <t>2025/12/24数伝</t>
    <rPh sb="10" eb="11">
      <t>スウ</t>
    </rPh>
    <rPh sb="11" eb="12">
      <t>デン</t>
    </rPh>
    <phoneticPr fontId="2"/>
  </si>
  <si>
    <t>なごみ1月号DM2枚組②</t>
    <rPh sb="4" eb="5">
      <t>ガツ</t>
    </rPh>
    <rPh sb="5" eb="6">
      <t>ゴウ</t>
    </rPh>
    <rPh sb="9" eb="11">
      <t>マイクミ</t>
    </rPh>
    <phoneticPr fontId="2"/>
  </si>
  <si>
    <t>2026/1/8数伝</t>
    <rPh sb="8" eb="9">
      <t>スウ</t>
    </rPh>
    <rPh sb="9" eb="10">
      <t>デン</t>
    </rPh>
    <phoneticPr fontId="2"/>
  </si>
  <si>
    <t>JOD㉝</t>
    <phoneticPr fontId="2"/>
  </si>
  <si>
    <t>JOD㉞</t>
    <phoneticPr fontId="2"/>
  </si>
  <si>
    <t>JOD㉟</t>
    <phoneticPr fontId="2"/>
  </si>
  <si>
    <t>JOD㊱</t>
    <phoneticPr fontId="2"/>
  </si>
  <si>
    <t>JOD㊲</t>
    <phoneticPr fontId="2"/>
  </si>
  <si>
    <t>JOD㊳</t>
    <phoneticPr fontId="2"/>
  </si>
  <si>
    <t>JOD㊴</t>
    <phoneticPr fontId="2"/>
  </si>
  <si>
    <t>なごみ1月号DM2枚組③</t>
    <rPh sb="4" eb="5">
      <t>ガツ</t>
    </rPh>
    <rPh sb="5" eb="6">
      <t>ゴウ</t>
    </rPh>
    <rPh sb="9" eb="11">
      <t>マイクミ</t>
    </rPh>
    <phoneticPr fontId="2"/>
  </si>
  <si>
    <t>JOD㊵</t>
    <phoneticPr fontId="2"/>
  </si>
  <si>
    <t>JOD㊶</t>
    <phoneticPr fontId="2"/>
  </si>
  <si>
    <t>JOD㊷</t>
    <phoneticPr fontId="2"/>
  </si>
  <si>
    <t>JOD㊸</t>
    <phoneticPr fontId="2"/>
  </si>
  <si>
    <t>JOD㊹</t>
    <phoneticPr fontId="2"/>
  </si>
  <si>
    <t>JOD㊺</t>
    <phoneticPr fontId="2"/>
  </si>
  <si>
    <t>JOD㊻</t>
    <phoneticPr fontId="2"/>
  </si>
  <si>
    <t>JOD㊼</t>
    <phoneticPr fontId="2"/>
  </si>
  <si>
    <t>JOD㊽</t>
    <phoneticPr fontId="2"/>
  </si>
  <si>
    <t>JOD㊾</t>
    <phoneticPr fontId="2"/>
  </si>
  <si>
    <t>JOD㊿</t>
    <phoneticPr fontId="2"/>
  </si>
  <si>
    <t>ゆめはん</t>
    <phoneticPr fontId="2"/>
  </si>
  <si>
    <t>JOD51</t>
    <phoneticPr fontId="2"/>
  </si>
  <si>
    <t>JOD52</t>
    <phoneticPr fontId="2"/>
  </si>
  <si>
    <t>JOD53</t>
    <phoneticPr fontId="2"/>
  </si>
  <si>
    <t>→ここまで在庫確認済2/27</t>
    <rPh sb="0" eb="10">
      <t>ヤジルシココマデザイコカクニンスミ</t>
    </rPh>
    <phoneticPr fontId="2"/>
  </si>
  <si>
    <t>JOD54</t>
    <phoneticPr fontId="2"/>
  </si>
  <si>
    <t>KPORT</t>
    <phoneticPr fontId="2"/>
  </si>
  <si>
    <t>夢販移動</t>
    <rPh sb="0" eb="4">
      <t>ユメハンイドウ</t>
    </rPh>
    <phoneticPr fontId="2"/>
  </si>
  <si>
    <t>JOD返品</t>
    <rPh sb="3" eb="5">
      <t>ヘンピン</t>
    </rPh>
    <phoneticPr fontId="2"/>
  </si>
  <si>
    <t>JOD55</t>
    <phoneticPr fontId="2"/>
  </si>
  <si>
    <t>JOD56</t>
  </si>
  <si>
    <t>JOD57</t>
  </si>
  <si>
    <t>JOD58</t>
  </si>
  <si>
    <t>JOD交換品</t>
    <rPh sb="3" eb="5">
      <t>コウカン</t>
    </rPh>
    <rPh sb="5" eb="6">
      <t>ヒン</t>
    </rPh>
    <phoneticPr fontId="2"/>
  </si>
  <si>
    <t>JOD59</t>
    <phoneticPr fontId="2"/>
  </si>
  <si>
    <t>なごみ返品</t>
    <rPh sb="3" eb="5">
      <t>ヘンピン</t>
    </rPh>
    <phoneticPr fontId="2"/>
  </si>
  <si>
    <t>JOD返品</t>
    <rPh sb="3" eb="5">
      <t>ヘンピン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</si>
</sst>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2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5" xfId="0" applyBorder="1"/>
    <xf numFmtId="56" fontId="0" fillId="0" borderId="7" xfId="0" applyNumberFormat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1" fillId="0" borderId="8" xfId="0" applyFont="1" applyBorder="1"/>
    <xf numFmtId="56" fontId="0" fillId="0" borderId="9" xfId="0" applyNumberFormat="1" applyBorder="1" applyAlignment="1">
      <alignment horizontal="center"/>
    </xf>
    <xf numFmtId="0" fontId="0" fillId="0" borderId="2" xfId="0" applyBorder="1"/>
    <xf numFmtId="0" fontId="0" fillId="0" borderId="10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5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18" xfId="0" applyFont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6" xfId="0" applyBorder="1"/>
    <xf numFmtId="0" fontId="1" fillId="0" borderId="22" xfId="0" applyFont="1" applyBorder="1"/>
    <xf numFmtId="0" fontId="3" fillId="0" borderId="25" xfId="0" applyFont="1" applyBorder="1"/>
    <xf numFmtId="0" fontId="0" fillId="0" borderId="26" xfId="0" applyBorder="1"/>
    <xf numFmtId="0" fontId="0" fillId="0" borderId="27" xfId="0" applyBorder="1"/>
    <xf numFmtId="0" fontId="1" fillId="0" borderId="26" xfId="0" applyFont="1" applyBorder="1"/>
    <xf numFmtId="0" fontId="0" fillId="3" borderId="11" xfId="0" applyFill="1" applyBorder="1" applyAlignment="1">
      <alignment horizontal="center"/>
    </xf>
    <xf numFmtId="0" fontId="0" fillId="3" borderId="7" xfId="0" applyFill="1" applyBorder="1"/>
    <xf numFmtId="0" fontId="0" fillId="3" borderId="10" xfId="0" applyFill="1" applyBorder="1"/>
    <xf numFmtId="0" fontId="0" fillId="3" borderId="2" xfId="0" applyFill="1" applyBorder="1"/>
    <xf numFmtId="0" fontId="0" fillId="3" borderId="8" xfId="0" applyFill="1" applyBorder="1"/>
    <xf numFmtId="0" fontId="0" fillId="3" borderId="3" xfId="0" applyFill="1" applyBorder="1"/>
    <xf numFmtId="0" fontId="3" fillId="3" borderId="1" xfId="0" applyFont="1" applyFill="1" applyBorder="1"/>
    <xf numFmtId="0" fontId="0" fillId="0" borderId="13" xfId="0" applyBorder="1" applyAlignment="1">
      <alignment horizontal="center"/>
    </xf>
    <xf numFmtId="0" fontId="5" fillId="4" borderId="0" xfId="0" applyFont="1" applyFill="1"/>
    <xf numFmtId="0" fontId="0" fillId="4" borderId="0" xfId="0" applyFill="1"/>
    <xf numFmtId="0" fontId="4" fillId="4" borderId="0" xfId="0" applyFont="1" applyFill="1"/>
    <xf numFmtId="0" fontId="0" fillId="0" borderId="16" xfId="0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0" xfId="0" applyAlignment="1">
      <alignment horizontal="left"/>
    </xf>
    <xf numFmtId="56" fontId="0" fillId="0" borderId="0" xfId="0" applyNumberFormat="1" applyAlignment="1">
      <alignment horizontal="left"/>
    </xf>
    <xf numFmtId="56" fontId="1" fillId="0" borderId="0" xfId="0" applyNumberFormat="1" applyFont="1" applyAlignment="1">
      <alignment horizontal="left"/>
    </xf>
    <xf numFmtId="0" fontId="0" fillId="0" borderId="24" xfId="0" applyBorder="1"/>
    <xf numFmtId="0" fontId="0" fillId="3" borderId="5" xfId="0" applyFill="1" applyBorder="1"/>
    <xf numFmtId="0" fontId="3" fillId="0" borderId="3" xfId="0" applyFont="1" applyBorder="1" applyAlignment="1">
      <alignment horizontal="center"/>
    </xf>
    <xf numFmtId="0" fontId="3" fillId="0" borderId="16" xfId="0" applyFont="1" applyBorder="1"/>
    <xf numFmtId="0" fontId="3" fillId="0" borderId="13" xfId="0" applyFont="1" applyBorder="1"/>
    <xf numFmtId="0" fontId="3" fillId="3" borderId="13" xfId="0" applyFont="1" applyFill="1" applyBorder="1"/>
    <xf numFmtId="0" fontId="0" fillId="3" borderId="28" xfId="0" applyFill="1" applyBorder="1"/>
    <xf numFmtId="0" fontId="0" fillId="0" borderId="28" xfId="0" applyBorder="1"/>
    <xf numFmtId="56" fontId="3" fillId="0" borderId="9" xfId="0" applyNumberFormat="1" applyFont="1" applyBorder="1" applyAlignment="1">
      <alignment horizontal="center"/>
    </xf>
    <xf numFmtId="0" fontId="3" fillId="0" borderId="21" xfId="0" applyFont="1" applyBorder="1"/>
    <xf numFmtId="0" fontId="3" fillId="0" borderId="17" xfId="0" applyFont="1" applyBorder="1"/>
    <xf numFmtId="0" fontId="3" fillId="3" borderId="9" xfId="0" applyFont="1" applyFill="1" applyBorder="1"/>
    <xf numFmtId="0" fontId="3" fillId="0" borderId="9" xfId="0" applyFont="1" applyBorder="1"/>
    <xf numFmtId="0" fontId="0" fillId="0" borderId="28" xfId="0" applyBorder="1" applyAlignment="1">
      <alignment horizontal="center"/>
    </xf>
    <xf numFmtId="56" fontId="0" fillId="0" borderId="28" xfId="0" applyNumberFormat="1" applyBorder="1" applyAlignment="1">
      <alignment horizontal="center"/>
    </xf>
    <xf numFmtId="176" fontId="0" fillId="0" borderId="0" xfId="0" applyNumberFormat="1"/>
    <xf numFmtId="176" fontId="3" fillId="0" borderId="0" xfId="0" applyNumberFormat="1" applyFont="1"/>
    <xf numFmtId="0" fontId="6" fillId="0" borderId="0" xfId="0" applyFont="1"/>
    <xf numFmtId="0" fontId="0" fillId="8" borderId="22" xfId="0" applyFill="1" applyBorder="1"/>
    <xf numFmtId="0" fontId="0" fillId="8" borderId="18" xfId="0" applyFill="1" applyBorder="1"/>
    <xf numFmtId="0" fontId="0" fillId="8" borderId="8" xfId="0" applyFill="1" applyBorder="1"/>
    <xf numFmtId="0" fontId="0" fillId="0" borderId="2" xfId="0" applyBorder="1" applyAlignment="1">
      <alignment horizontal="center"/>
    </xf>
    <xf numFmtId="0" fontId="0" fillId="0" borderId="25" xfId="0" applyBorder="1"/>
    <xf numFmtId="0" fontId="0" fillId="0" borderId="1" xfId="0" applyBorder="1"/>
    <xf numFmtId="0" fontId="0" fillId="0" borderId="10" xfId="0" applyBorder="1" applyAlignment="1">
      <alignment horizontal="center"/>
    </xf>
    <xf numFmtId="0" fontId="0" fillId="0" borderId="29" xfId="0" applyBorder="1"/>
    <xf numFmtId="0" fontId="3" fillId="0" borderId="22" xfId="0" applyFont="1" applyBorder="1"/>
    <xf numFmtId="0" fontId="3" fillId="0" borderId="18" xfId="0" applyFont="1" applyBorder="1"/>
    <xf numFmtId="0" fontId="3" fillId="0" borderId="26" xfId="0" applyFont="1" applyBorder="1"/>
    <xf numFmtId="0" fontId="3" fillId="0" borderId="8" xfId="0" applyFont="1" applyBorder="1"/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76" fontId="6" fillId="0" borderId="0" xfId="0" applyNumberFormat="1" applyFont="1"/>
    <xf numFmtId="56" fontId="8" fillId="0" borderId="7" xfId="0" applyNumberFormat="1" applyFont="1" applyBorder="1" applyAlignment="1">
      <alignment horizontal="center"/>
    </xf>
    <xf numFmtId="0" fontId="8" fillId="0" borderId="22" xfId="0" applyFont="1" applyBorder="1"/>
    <xf numFmtId="0" fontId="8" fillId="0" borderId="18" xfId="0" applyFont="1" applyBorder="1"/>
    <xf numFmtId="0" fontId="8" fillId="3" borderId="8" xfId="0" applyFont="1" applyFill="1" applyBorder="1"/>
    <xf numFmtId="0" fontId="8" fillId="0" borderId="26" xfId="0" applyFont="1" applyBorder="1"/>
    <xf numFmtId="0" fontId="8" fillId="0" borderId="8" xfId="0" applyFont="1" applyBorder="1"/>
    <xf numFmtId="56" fontId="8" fillId="0" borderId="0" xfId="0" applyNumberFormat="1" applyFont="1" applyAlignment="1">
      <alignment horizontal="left"/>
    </xf>
    <xf numFmtId="0" fontId="8" fillId="3" borderId="28" xfId="0" applyFont="1" applyFill="1" applyBorder="1"/>
    <xf numFmtId="0" fontId="8" fillId="0" borderId="28" xfId="0" applyFont="1" applyBorder="1"/>
    <xf numFmtId="56" fontId="3" fillId="0" borderId="0" xfId="0" applyNumberFormat="1" applyFont="1" applyAlignment="1">
      <alignment horizontal="left"/>
    </xf>
    <xf numFmtId="0" fontId="3" fillId="0" borderId="7" xfId="0" applyFont="1" applyBorder="1" applyAlignment="1">
      <alignment horizontal="center"/>
    </xf>
    <xf numFmtId="0" fontId="3" fillId="3" borderId="7" xfId="0" applyFont="1" applyFill="1" applyBorder="1"/>
    <xf numFmtId="0" fontId="3" fillId="0" borderId="7" xfId="0" applyFont="1" applyBorder="1"/>
    <xf numFmtId="0" fontId="8" fillId="0" borderId="6" xfId="0" applyFont="1" applyBorder="1" applyAlignment="1">
      <alignment horizontal="center"/>
    </xf>
    <xf numFmtId="0" fontId="8" fillId="0" borderId="23" xfId="0" applyFont="1" applyBorder="1"/>
    <xf numFmtId="0" fontId="8" fillId="0" borderId="19" xfId="0" applyFont="1" applyBorder="1"/>
    <xf numFmtId="0" fontId="8" fillId="3" borderId="10" xfId="0" applyFont="1" applyFill="1" applyBorder="1"/>
    <xf numFmtId="0" fontId="8" fillId="0" borderId="27" xfId="0" applyFont="1" applyBorder="1"/>
    <xf numFmtId="0" fontId="8" fillId="0" borderId="5" xfId="0" applyFont="1" applyBorder="1"/>
    <xf numFmtId="0" fontId="8" fillId="0" borderId="10" xfId="0" applyFont="1" applyBorder="1"/>
    <xf numFmtId="0" fontId="8" fillId="0" borderId="7" xfId="0" applyFont="1" applyBorder="1" applyAlignment="1">
      <alignment horizontal="center"/>
    </xf>
    <xf numFmtId="0" fontId="6" fillId="0" borderId="0" xfId="0" applyFont="1" applyAlignment="1">
      <alignment horizontal="left"/>
    </xf>
    <xf numFmtId="56" fontId="9" fillId="0" borderId="7" xfId="0" applyNumberFormat="1" applyFont="1" applyBorder="1" applyAlignment="1">
      <alignment horizontal="center"/>
    </xf>
    <xf numFmtId="0" fontId="0" fillId="10" borderId="22" xfId="0" applyFill="1" applyBorder="1"/>
    <xf numFmtId="0" fontId="0" fillId="10" borderId="18" xfId="0" applyFill="1" applyBorder="1"/>
    <xf numFmtId="0" fontId="9" fillId="3" borderId="8" xfId="0" applyFont="1" applyFill="1" applyBorder="1"/>
    <xf numFmtId="0" fontId="9" fillId="0" borderId="26" xfId="0" applyFont="1" applyBorder="1"/>
    <xf numFmtId="0" fontId="9" fillId="0" borderId="8" xfId="0" applyFont="1" applyBorder="1"/>
    <xf numFmtId="0" fontId="0" fillId="5" borderId="1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7" fillId="9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357915</xdr:colOff>
      <xdr:row>37</xdr:row>
      <xdr:rowOff>142876</xdr:rowOff>
    </xdr:from>
    <xdr:to>
      <xdr:col>33</xdr:col>
      <xdr:colOff>19050</xdr:colOff>
      <xdr:row>57</xdr:row>
      <xdr:rowOff>102079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316B990-D636-ECC8-9A24-981FE9FEB6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8817365" y="6629401"/>
          <a:ext cx="4461735" cy="3531078"/>
        </a:xfrm>
        <a:prstGeom prst="rect">
          <a:avLst/>
        </a:prstGeom>
      </xdr:spPr>
    </xdr:pic>
    <xdr:clientData/>
  </xdr:twoCellAnchor>
  <xdr:twoCellAnchor editAs="oneCell">
    <xdr:from>
      <xdr:col>25</xdr:col>
      <xdr:colOff>366182</xdr:colOff>
      <xdr:row>160</xdr:row>
      <xdr:rowOff>95250</xdr:rowOff>
    </xdr:from>
    <xdr:to>
      <xdr:col>32</xdr:col>
      <xdr:colOff>25201</xdr:colOff>
      <xdr:row>180</xdr:row>
      <xdr:rowOff>57628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1076FEF-7430-4890-9864-404B6C6458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8072099" y="28162250"/>
          <a:ext cx="4474435" cy="34866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9"/>
  <sheetViews>
    <sheetView tabSelected="1" topLeftCell="A184" zoomScaleNormal="100" workbookViewId="0">
      <selection activeCell="B192" sqref="B192"/>
    </sheetView>
  </sheetViews>
  <sheetFormatPr defaultRowHeight="13.5" x14ac:dyDescent="0.15"/>
  <cols>
    <col min="1" max="1" width="3.875" customWidth="1"/>
    <col min="2" max="2" width="29.375" style="1" customWidth="1"/>
    <col min="3" max="12" width="7" customWidth="1"/>
    <col min="13" max="13" width="13.75" style="50" customWidth="1"/>
    <col min="14" max="14" width="35.75" customWidth="1"/>
    <col min="15" max="24" width="7.125" customWidth="1"/>
    <col min="25" max="25" width="9.25" style="50" bestFit="1" customWidth="1"/>
  </cols>
  <sheetData>
    <row r="1" spans="2:25" ht="18.75" x14ac:dyDescent="0.2">
      <c r="B1" s="22" t="s">
        <v>8</v>
      </c>
      <c r="C1" s="20"/>
      <c r="D1" s="20"/>
      <c r="E1" s="20"/>
      <c r="F1" s="20"/>
      <c r="G1" s="20"/>
      <c r="H1" s="20"/>
      <c r="I1" s="20"/>
      <c r="J1" s="20"/>
      <c r="K1" s="20"/>
      <c r="L1" s="20"/>
      <c r="N1" s="45" t="s">
        <v>9</v>
      </c>
      <c r="O1" s="46"/>
      <c r="P1" s="46"/>
      <c r="Q1" s="46"/>
      <c r="R1" s="46"/>
      <c r="S1" s="46"/>
      <c r="T1" s="46"/>
      <c r="U1" s="46"/>
      <c r="V1" s="46"/>
      <c r="W1" s="46"/>
      <c r="X1" s="46"/>
    </row>
    <row r="2" spans="2:25" ht="14.25" x14ac:dyDescent="0.15">
      <c r="B2" s="21" t="s">
        <v>20</v>
      </c>
      <c r="C2" s="20"/>
      <c r="D2" s="20"/>
      <c r="E2" s="20"/>
      <c r="F2" s="20"/>
      <c r="G2" s="20"/>
      <c r="H2" s="20"/>
      <c r="I2" s="20"/>
      <c r="J2" s="20"/>
      <c r="K2" s="20"/>
      <c r="L2" s="20"/>
      <c r="N2" s="47" t="s">
        <v>15</v>
      </c>
      <c r="O2" s="46"/>
      <c r="P2" s="46"/>
      <c r="Q2" s="46"/>
      <c r="R2" s="46" t="s">
        <v>21</v>
      </c>
      <c r="S2" s="46"/>
      <c r="T2" s="46"/>
      <c r="U2" s="46"/>
      <c r="V2" s="46"/>
      <c r="W2" s="46"/>
      <c r="X2" s="46"/>
    </row>
    <row r="3" spans="2:25" ht="14.25" thickBot="1" x14ac:dyDescent="0.2">
      <c r="N3" s="1"/>
    </row>
    <row r="4" spans="2:25" ht="14.25" thickBot="1" x14ac:dyDescent="0.2">
      <c r="B4" s="19"/>
      <c r="C4" s="114" t="s">
        <v>10</v>
      </c>
      <c r="D4" s="115"/>
      <c r="E4" s="116"/>
      <c r="F4" s="117" t="s">
        <v>11</v>
      </c>
      <c r="G4" s="118"/>
      <c r="H4" s="119"/>
      <c r="I4" s="120" t="s">
        <v>12</v>
      </c>
      <c r="J4" s="121"/>
      <c r="K4" s="122"/>
      <c r="L4" s="18"/>
      <c r="N4" s="19"/>
      <c r="O4" s="114" t="s">
        <v>10</v>
      </c>
      <c r="P4" s="115"/>
      <c r="Q4" s="116"/>
      <c r="R4" s="117" t="s">
        <v>11</v>
      </c>
      <c r="S4" s="118"/>
      <c r="T4" s="119"/>
      <c r="U4" s="120" t="s">
        <v>12</v>
      </c>
      <c r="V4" s="121"/>
      <c r="W4" s="122"/>
      <c r="X4" s="18"/>
    </row>
    <row r="5" spans="2:25" s="1" customFormat="1" ht="14.25" thickBot="1" x14ac:dyDescent="0.2">
      <c r="B5" s="5"/>
      <c r="C5" s="48" t="s">
        <v>6</v>
      </c>
      <c r="D5" s="44" t="s">
        <v>5</v>
      </c>
      <c r="E5" s="49" t="s">
        <v>4</v>
      </c>
      <c r="F5" s="48" t="s">
        <v>6</v>
      </c>
      <c r="G5" s="44" t="s">
        <v>5</v>
      </c>
      <c r="H5" s="49" t="s">
        <v>4</v>
      </c>
      <c r="I5" s="48" t="s">
        <v>6</v>
      </c>
      <c r="J5" s="44" t="s">
        <v>5</v>
      </c>
      <c r="K5" s="49" t="s">
        <v>4</v>
      </c>
      <c r="L5" s="44" t="s">
        <v>4</v>
      </c>
      <c r="M5" s="50"/>
      <c r="N5" s="5"/>
      <c r="O5" s="48" t="s">
        <v>6</v>
      </c>
      <c r="P5" s="44" t="s">
        <v>5</v>
      </c>
      <c r="Q5" s="49" t="s">
        <v>4</v>
      </c>
      <c r="R5" s="48" t="s">
        <v>6</v>
      </c>
      <c r="S5" s="44" t="s">
        <v>5</v>
      </c>
      <c r="T5" s="49" t="s">
        <v>4</v>
      </c>
      <c r="U5" s="48" t="s">
        <v>6</v>
      </c>
      <c r="V5" s="44" t="s">
        <v>5</v>
      </c>
      <c r="W5" s="49" t="s">
        <v>4</v>
      </c>
      <c r="X5" s="44" t="s">
        <v>4</v>
      </c>
      <c r="Y5" s="50"/>
    </row>
    <row r="6" spans="2:25" ht="14.25" customHeight="1" x14ac:dyDescent="0.15">
      <c r="B6" s="66" t="s">
        <v>7</v>
      </c>
      <c r="C6" s="34">
        <v>5</v>
      </c>
      <c r="D6" s="8">
        <v>5</v>
      </c>
      <c r="E6" s="59">
        <f t="shared" ref="E6:E9" si="0">SUM(C6:D6)</f>
        <v>10</v>
      </c>
      <c r="F6" s="34">
        <v>5</v>
      </c>
      <c r="G6" s="8">
        <v>5</v>
      </c>
      <c r="H6" s="59">
        <f t="shared" ref="H6:H9" si="1">SUM(F6:G6)</f>
        <v>10</v>
      </c>
      <c r="I6" s="34">
        <v>5</v>
      </c>
      <c r="J6" s="8">
        <v>5</v>
      </c>
      <c r="K6" s="59">
        <f t="shared" ref="K6:K9" si="2">SUM(I6:J6)</f>
        <v>10</v>
      </c>
      <c r="L6" s="60">
        <f t="shared" ref="L6:L9" si="3">SUM(K6,H6,E6)</f>
        <v>30</v>
      </c>
      <c r="M6" s="51">
        <v>45617</v>
      </c>
      <c r="N6" s="15" t="s">
        <v>7</v>
      </c>
      <c r="O6" s="29">
        <v>50</v>
      </c>
      <c r="P6" s="24">
        <v>50</v>
      </c>
      <c r="Q6" s="38">
        <f t="shared" ref="Q6:Q9" si="4">SUM(O6:P6)</f>
        <v>100</v>
      </c>
      <c r="R6" s="34">
        <v>50</v>
      </c>
      <c r="S6" s="8">
        <v>50</v>
      </c>
      <c r="T6" s="38">
        <f t="shared" ref="T6:T9" si="5">SUM(R6:S6)</f>
        <v>100</v>
      </c>
      <c r="U6" s="34">
        <v>50</v>
      </c>
      <c r="V6" s="8">
        <v>50</v>
      </c>
      <c r="W6" s="38">
        <f t="shared" ref="W6:W9" si="6">SUM(U6:V6)</f>
        <v>100</v>
      </c>
      <c r="X6" s="9">
        <f t="shared" ref="X6:X9" si="7">SUM(W6,T6,Q6)</f>
        <v>300</v>
      </c>
      <c r="Y6" s="51" t="s">
        <v>22</v>
      </c>
    </row>
    <row r="7" spans="2:25" x14ac:dyDescent="0.15">
      <c r="B7" s="15" t="s">
        <v>3</v>
      </c>
      <c r="C7" s="29">
        <v>3</v>
      </c>
      <c r="D7" s="24"/>
      <c r="E7" s="38">
        <f t="shared" si="0"/>
        <v>3</v>
      </c>
      <c r="F7" s="34"/>
      <c r="G7" s="8"/>
      <c r="H7" s="38">
        <f t="shared" si="1"/>
        <v>0</v>
      </c>
      <c r="I7" s="34">
        <v>3</v>
      </c>
      <c r="J7" s="8">
        <v>3</v>
      </c>
      <c r="K7" s="38">
        <f t="shared" si="2"/>
        <v>6</v>
      </c>
      <c r="L7" s="9">
        <f t="shared" si="3"/>
        <v>9</v>
      </c>
      <c r="M7" s="51">
        <v>45642</v>
      </c>
      <c r="N7" s="15" t="s">
        <v>3</v>
      </c>
      <c r="O7" s="29"/>
      <c r="P7" s="24"/>
      <c r="Q7" s="38">
        <f t="shared" si="4"/>
        <v>0</v>
      </c>
      <c r="R7" s="34"/>
      <c r="S7" s="8"/>
      <c r="T7" s="38">
        <f t="shared" si="5"/>
        <v>0</v>
      </c>
      <c r="U7" s="34"/>
      <c r="V7" s="8"/>
      <c r="W7" s="38">
        <f t="shared" si="6"/>
        <v>0</v>
      </c>
      <c r="X7" s="9">
        <f t="shared" si="7"/>
        <v>0</v>
      </c>
      <c r="Y7" s="51"/>
    </row>
    <row r="8" spans="2:25" x14ac:dyDescent="0.15">
      <c r="B8" s="15" t="s">
        <v>48</v>
      </c>
      <c r="C8" s="29">
        <v>1</v>
      </c>
      <c r="D8" s="24">
        <v>5</v>
      </c>
      <c r="E8" s="38">
        <f t="shared" si="0"/>
        <v>6</v>
      </c>
      <c r="F8" s="34"/>
      <c r="G8" s="8">
        <v>2</v>
      </c>
      <c r="H8" s="38">
        <f t="shared" si="1"/>
        <v>2</v>
      </c>
      <c r="I8" s="34">
        <v>1</v>
      </c>
      <c r="J8" s="8">
        <v>3</v>
      </c>
      <c r="K8" s="38">
        <f t="shared" si="2"/>
        <v>4</v>
      </c>
      <c r="L8" s="9">
        <f t="shared" si="3"/>
        <v>12</v>
      </c>
      <c r="M8" s="51">
        <v>45651</v>
      </c>
      <c r="N8" s="15" t="s">
        <v>3</v>
      </c>
      <c r="O8" s="29">
        <v>100</v>
      </c>
      <c r="P8" s="24">
        <v>50</v>
      </c>
      <c r="Q8" s="38">
        <f t="shared" si="4"/>
        <v>150</v>
      </c>
      <c r="R8" s="34"/>
      <c r="S8" s="8"/>
      <c r="T8" s="38">
        <f t="shared" si="5"/>
        <v>0</v>
      </c>
      <c r="U8" s="34">
        <v>50</v>
      </c>
      <c r="V8" s="8"/>
      <c r="W8" s="38">
        <f t="shared" si="6"/>
        <v>50</v>
      </c>
      <c r="X8" s="9">
        <f t="shared" si="7"/>
        <v>200</v>
      </c>
      <c r="Y8" s="51" t="s">
        <v>30</v>
      </c>
    </row>
    <row r="9" spans="2:25" x14ac:dyDescent="0.15">
      <c r="B9" s="15" t="s">
        <v>53</v>
      </c>
      <c r="C9" s="29"/>
      <c r="D9" s="24"/>
      <c r="E9" s="38">
        <f t="shared" si="0"/>
        <v>0</v>
      </c>
      <c r="F9" s="34">
        <v>1</v>
      </c>
      <c r="G9" s="8"/>
      <c r="H9" s="38">
        <f t="shared" si="1"/>
        <v>1</v>
      </c>
      <c r="I9" s="34"/>
      <c r="J9" s="8"/>
      <c r="K9" s="38">
        <f t="shared" si="2"/>
        <v>0</v>
      </c>
      <c r="L9" s="9">
        <f t="shared" si="3"/>
        <v>1</v>
      </c>
      <c r="M9" s="51">
        <v>45666</v>
      </c>
      <c r="N9" s="15" t="s">
        <v>3</v>
      </c>
      <c r="O9" s="29"/>
      <c r="P9" s="24"/>
      <c r="Q9" s="38">
        <f t="shared" si="4"/>
        <v>0</v>
      </c>
      <c r="R9" s="34">
        <v>50</v>
      </c>
      <c r="S9" s="8">
        <v>40</v>
      </c>
      <c r="T9" s="38">
        <f t="shared" si="5"/>
        <v>90</v>
      </c>
      <c r="U9" s="34"/>
      <c r="V9" s="8">
        <v>30</v>
      </c>
      <c r="W9" s="38">
        <f t="shared" si="6"/>
        <v>30</v>
      </c>
      <c r="X9" s="9">
        <f t="shared" si="7"/>
        <v>120</v>
      </c>
      <c r="Y9" s="51" t="s">
        <v>35</v>
      </c>
    </row>
    <row r="10" spans="2:25" x14ac:dyDescent="0.15">
      <c r="B10" s="15" t="s">
        <v>3</v>
      </c>
      <c r="C10" s="29"/>
      <c r="D10" s="24"/>
      <c r="E10" s="38">
        <f t="shared" ref="E10:E39" si="8">SUM(C10:D10)</f>
        <v>0</v>
      </c>
      <c r="F10" s="34"/>
      <c r="G10" s="8"/>
      <c r="H10" s="38">
        <f t="shared" ref="H10:H39" si="9">SUM(F10:G10)</f>
        <v>0</v>
      </c>
      <c r="I10" s="34"/>
      <c r="J10" s="8"/>
      <c r="K10" s="38">
        <f t="shared" ref="K10:K39" si="10">SUM(I10:J10)</f>
        <v>0</v>
      </c>
      <c r="L10" s="9">
        <f t="shared" ref="L10:L39" si="11">SUM(K10,H10,E10)</f>
        <v>0</v>
      </c>
      <c r="M10" s="51"/>
      <c r="N10" s="15" t="s">
        <v>3</v>
      </c>
      <c r="O10" s="29"/>
      <c r="P10" s="24"/>
      <c r="Q10" s="38">
        <f t="shared" ref="Q10:Q36" si="12">SUM(O10:P10)</f>
        <v>0</v>
      </c>
      <c r="R10" s="34"/>
      <c r="S10" s="8"/>
      <c r="T10" s="38">
        <f t="shared" ref="T10:T36" si="13">SUM(R10:S10)</f>
        <v>0</v>
      </c>
      <c r="U10" s="34"/>
      <c r="V10" s="8"/>
      <c r="W10" s="38">
        <f t="shared" ref="W10:W36" si="14">SUM(U10:V10)</f>
        <v>0</v>
      </c>
      <c r="X10" s="9">
        <f t="shared" ref="X10:X36" si="15">SUM(W10,T10,Q10)</f>
        <v>0</v>
      </c>
      <c r="Y10" s="51"/>
    </row>
    <row r="11" spans="2:25" ht="14.25" thickBot="1" x14ac:dyDescent="0.2">
      <c r="B11" s="14" t="s">
        <v>3</v>
      </c>
      <c r="C11" s="30"/>
      <c r="D11" s="25"/>
      <c r="E11" s="39">
        <f t="shared" si="8"/>
        <v>0</v>
      </c>
      <c r="F11" s="35"/>
      <c r="G11" s="6"/>
      <c r="H11" s="39">
        <f t="shared" si="9"/>
        <v>0</v>
      </c>
      <c r="I11" s="35"/>
      <c r="J11" s="6"/>
      <c r="K11" s="39">
        <f t="shared" si="10"/>
        <v>0</v>
      </c>
      <c r="L11" s="13">
        <f t="shared" si="11"/>
        <v>0</v>
      </c>
      <c r="M11" s="51"/>
      <c r="N11" s="14" t="s">
        <v>3</v>
      </c>
      <c r="O11" s="30"/>
      <c r="P11" s="25"/>
      <c r="Q11" s="39">
        <f t="shared" si="12"/>
        <v>0</v>
      </c>
      <c r="R11" s="35"/>
      <c r="S11" s="6"/>
      <c r="T11" s="39">
        <f t="shared" si="13"/>
        <v>0</v>
      </c>
      <c r="U11" s="35"/>
      <c r="V11" s="6"/>
      <c r="W11" s="39">
        <f t="shared" si="14"/>
        <v>0</v>
      </c>
      <c r="X11" s="13">
        <f t="shared" si="15"/>
        <v>0</v>
      </c>
      <c r="Y11" s="51"/>
    </row>
    <row r="12" spans="2:25" ht="14.25" thickBot="1" x14ac:dyDescent="0.2">
      <c r="B12" s="5" t="s">
        <v>2</v>
      </c>
      <c r="C12" s="31">
        <f>SUM(C6:C11)</f>
        <v>9</v>
      </c>
      <c r="D12" s="18">
        <f>SUM(D6:D11)</f>
        <v>10</v>
      </c>
      <c r="E12" s="40">
        <f t="shared" si="8"/>
        <v>19</v>
      </c>
      <c r="F12" s="31">
        <f>SUM(F6:F11)</f>
        <v>6</v>
      </c>
      <c r="G12" s="18">
        <f>SUM(G6:G11)</f>
        <v>7</v>
      </c>
      <c r="H12" s="40">
        <f t="shared" si="9"/>
        <v>13</v>
      </c>
      <c r="I12" s="31">
        <f>SUM(I6:I11)</f>
        <v>9</v>
      </c>
      <c r="J12" s="18">
        <f>SUM(J6:J11)</f>
        <v>11</v>
      </c>
      <c r="K12" s="40">
        <f t="shared" si="10"/>
        <v>20</v>
      </c>
      <c r="L12" s="12">
        <f t="shared" si="11"/>
        <v>52</v>
      </c>
      <c r="N12" s="5" t="s">
        <v>2</v>
      </c>
      <c r="O12" s="31">
        <f>SUM(O6:O11)</f>
        <v>150</v>
      </c>
      <c r="P12" s="18">
        <f t="shared" ref="P12" si="16">SUM(P6:P11)</f>
        <v>100</v>
      </c>
      <c r="Q12" s="40">
        <f t="shared" ref="Q12" si="17">SUM(Q6:Q11)</f>
        <v>250</v>
      </c>
      <c r="R12" s="31">
        <f t="shared" ref="R12" si="18">SUM(R6:R11)</f>
        <v>100</v>
      </c>
      <c r="S12" s="18">
        <f t="shared" ref="S12" si="19">SUM(S6:S11)</f>
        <v>90</v>
      </c>
      <c r="T12" s="40">
        <f t="shared" ref="T12" si="20">SUM(T6:T11)</f>
        <v>190</v>
      </c>
      <c r="U12" s="31">
        <f t="shared" ref="U12" si="21">SUM(U6:U11)</f>
        <v>100</v>
      </c>
      <c r="V12" s="18">
        <f t="shared" ref="V12" si="22">SUM(V6:V11)</f>
        <v>80</v>
      </c>
      <c r="W12" s="40">
        <f t="shared" ref="W12" si="23">SUM(W6:W11)</f>
        <v>180</v>
      </c>
      <c r="X12" s="12">
        <f t="shared" ref="X12" si="24">SUM(X6:X11)</f>
        <v>620</v>
      </c>
    </row>
    <row r="13" spans="2:25" x14ac:dyDescent="0.15">
      <c r="B13" s="11" t="s">
        <v>23</v>
      </c>
      <c r="C13" s="28"/>
      <c r="D13" s="23"/>
      <c r="E13" s="41">
        <f t="shared" si="8"/>
        <v>0</v>
      </c>
      <c r="F13" s="34">
        <v>1</v>
      </c>
      <c r="G13" s="8"/>
      <c r="H13" s="41">
        <f t="shared" si="9"/>
        <v>1</v>
      </c>
      <c r="I13" s="34">
        <v>1</v>
      </c>
      <c r="J13" s="8"/>
      <c r="K13" s="41">
        <f t="shared" si="10"/>
        <v>1</v>
      </c>
      <c r="L13" s="8">
        <f t="shared" si="11"/>
        <v>2</v>
      </c>
      <c r="M13" s="51">
        <v>45621</v>
      </c>
      <c r="N13" s="7" t="s">
        <v>19</v>
      </c>
      <c r="O13" s="29">
        <v>5</v>
      </c>
      <c r="P13" s="24">
        <v>5</v>
      </c>
      <c r="Q13" s="41">
        <f t="shared" si="12"/>
        <v>10</v>
      </c>
      <c r="R13" s="34">
        <v>5</v>
      </c>
      <c r="S13" s="8">
        <v>5</v>
      </c>
      <c r="T13" s="41">
        <f t="shared" si="13"/>
        <v>10</v>
      </c>
      <c r="U13" s="34">
        <v>5</v>
      </c>
      <c r="V13" s="8">
        <v>5</v>
      </c>
      <c r="W13" s="41">
        <f t="shared" si="14"/>
        <v>10</v>
      </c>
      <c r="X13" s="8">
        <f t="shared" si="15"/>
        <v>30</v>
      </c>
      <c r="Y13" s="51">
        <v>45617</v>
      </c>
    </row>
    <row r="14" spans="2:25" x14ac:dyDescent="0.15">
      <c r="B14" s="67" t="s">
        <v>23</v>
      </c>
      <c r="C14" s="29"/>
      <c r="D14" s="24"/>
      <c r="E14" s="41">
        <f t="shared" si="8"/>
        <v>0</v>
      </c>
      <c r="F14" s="34"/>
      <c r="G14" s="8"/>
      <c r="H14" s="41">
        <f t="shared" si="9"/>
        <v>0</v>
      </c>
      <c r="I14" s="34">
        <v>1</v>
      </c>
      <c r="J14" s="8"/>
      <c r="K14" s="41">
        <f t="shared" si="10"/>
        <v>1</v>
      </c>
      <c r="L14" s="8">
        <f t="shared" si="11"/>
        <v>1</v>
      </c>
      <c r="M14" s="51">
        <v>45626</v>
      </c>
      <c r="N14" s="7" t="s">
        <v>25</v>
      </c>
      <c r="O14" s="29">
        <v>24</v>
      </c>
      <c r="P14" s="24">
        <v>2</v>
      </c>
      <c r="Q14" s="41">
        <f t="shared" si="12"/>
        <v>26</v>
      </c>
      <c r="R14" s="34">
        <v>1</v>
      </c>
      <c r="S14" s="8"/>
      <c r="T14" s="41">
        <f t="shared" si="13"/>
        <v>1</v>
      </c>
      <c r="U14" s="34">
        <v>10</v>
      </c>
      <c r="V14" s="8"/>
      <c r="W14" s="41">
        <f t="shared" si="14"/>
        <v>10</v>
      </c>
      <c r="X14" s="8">
        <f t="shared" si="15"/>
        <v>37</v>
      </c>
      <c r="Y14" s="51">
        <v>45631</v>
      </c>
    </row>
    <row r="15" spans="2:25" x14ac:dyDescent="0.15">
      <c r="B15" s="7" t="s">
        <v>24</v>
      </c>
      <c r="C15" s="29">
        <v>2</v>
      </c>
      <c r="D15" s="24"/>
      <c r="E15" s="41">
        <f t="shared" si="8"/>
        <v>2</v>
      </c>
      <c r="F15" s="34"/>
      <c r="G15" s="8">
        <v>1</v>
      </c>
      <c r="H15" s="41">
        <f t="shared" si="9"/>
        <v>1</v>
      </c>
      <c r="I15" s="34"/>
      <c r="J15" s="8">
        <v>1</v>
      </c>
      <c r="K15" s="41">
        <f t="shared" si="10"/>
        <v>1</v>
      </c>
      <c r="L15" s="8">
        <f t="shared" si="11"/>
        <v>4</v>
      </c>
      <c r="M15" s="51">
        <v>45630</v>
      </c>
      <c r="N15" s="7" t="s">
        <v>26</v>
      </c>
      <c r="O15" s="29"/>
      <c r="P15" s="24">
        <v>16</v>
      </c>
      <c r="Q15" s="41">
        <f t="shared" si="12"/>
        <v>16</v>
      </c>
      <c r="R15" s="34">
        <v>1</v>
      </c>
      <c r="S15" s="8">
        <v>1</v>
      </c>
      <c r="T15" s="41">
        <f t="shared" si="13"/>
        <v>2</v>
      </c>
      <c r="U15" s="34"/>
      <c r="V15" s="8">
        <v>1</v>
      </c>
      <c r="W15" s="41">
        <f t="shared" si="14"/>
        <v>1</v>
      </c>
      <c r="X15" s="8">
        <f t="shared" si="15"/>
        <v>19</v>
      </c>
      <c r="Y15" s="51">
        <v>45632</v>
      </c>
    </row>
    <row r="16" spans="2:25" x14ac:dyDescent="0.15">
      <c r="B16" s="7" t="s">
        <v>29</v>
      </c>
      <c r="C16" s="29"/>
      <c r="D16" s="24"/>
      <c r="E16" s="41">
        <f t="shared" si="8"/>
        <v>0</v>
      </c>
      <c r="F16" s="34"/>
      <c r="G16" s="8"/>
      <c r="H16" s="41">
        <f t="shared" si="9"/>
        <v>0</v>
      </c>
      <c r="I16" s="34"/>
      <c r="J16" s="8">
        <v>1</v>
      </c>
      <c r="K16" s="41">
        <f t="shared" si="10"/>
        <v>1</v>
      </c>
      <c r="L16" s="8">
        <f t="shared" si="11"/>
        <v>1</v>
      </c>
      <c r="M16" s="51">
        <v>45633</v>
      </c>
      <c r="N16" s="7" t="s">
        <v>27</v>
      </c>
      <c r="O16" s="29">
        <v>4</v>
      </c>
      <c r="P16" s="24">
        <v>2</v>
      </c>
      <c r="Q16" s="41">
        <f t="shared" si="12"/>
        <v>6</v>
      </c>
      <c r="R16" s="34">
        <v>10</v>
      </c>
      <c r="S16" s="8">
        <v>8</v>
      </c>
      <c r="T16" s="41">
        <f t="shared" si="13"/>
        <v>18</v>
      </c>
      <c r="U16" s="34">
        <v>4</v>
      </c>
      <c r="V16" s="8">
        <v>4</v>
      </c>
      <c r="W16" s="41">
        <f t="shared" si="14"/>
        <v>8</v>
      </c>
      <c r="X16" s="8">
        <f t="shared" si="15"/>
        <v>32</v>
      </c>
      <c r="Y16" s="51">
        <v>45632</v>
      </c>
    </row>
    <row r="17" spans="2:25" x14ac:dyDescent="0.15">
      <c r="B17" s="67" t="s">
        <v>23</v>
      </c>
      <c r="C17" s="29"/>
      <c r="D17" s="24"/>
      <c r="E17" s="41">
        <f t="shared" si="8"/>
        <v>0</v>
      </c>
      <c r="F17" s="34"/>
      <c r="G17" s="8"/>
      <c r="H17" s="41">
        <f t="shared" si="9"/>
        <v>0</v>
      </c>
      <c r="I17" s="34">
        <v>1</v>
      </c>
      <c r="J17" s="8"/>
      <c r="K17" s="41">
        <f t="shared" si="10"/>
        <v>1</v>
      </c>
      <c r="L17" s="8">
        <f t="shared" si="11"/>
        <v>1</v>
      </c>
      <c r="M17" s="51">
        <v>45637</v>
      </c>
      <c r="N17" s="7" t="s">
        <v>28</v>
      </c>
      <c r="O17" s="29">
        <v>10</v>
      </c>
      <c r="P17" s="24">
        <v>5</v>
      </c>
      <c r="Q17" s="41">
        <f t="shared" si="12"/>
        <v>15</v>
      </c>
      <c r="R17" s="34">
        <v>4</v>
      </c>
      <c r="S17" s="8">
        <v>1</v>
      </c>
      <c r="T17" s="41">
        <f t="shared" si="13"/>
        <v>5</v>
      </c>
      <c r="U17" s="34">
        <v>6</v>
      </c>
      <c r="V17" s="8">
        <v>1</v>
      </c>
      <c r="W17" s="41">
        <f t="shared" si="14"/>
        <v>7</v>
      </c>
      <c r="X17" s="8">
        <f t="shared" si="15"/>
        <v>27</v>
      </c>
      <c r="Y17" s="51">
        <v>45635</v>
      </c>
    </row>
    <row r="18" spans="2:25" x14ac:dyDescent="0.15">
      <c r="B18" s="7" t="s">
        <v>39</v>
      </c>
      <c r="C18" s="29"/>
      <c r="D18" s="24"/>
      <c r="E18" s="41">
        <f t="shared" si="8"/>
        <v>0</v>
      </c>
      <c r="F18" s="34"/>
      <c r="G18" s="8"/>
      <c r="H18" s="41">
        <f t="shared" si="9"/>
        <v>0</v>
      </c>
      <c r="I18" s="34"/>
      <c r="J18" s="8">
        <v>1</v>
      </c>
      <c r="K18" s="41">
        <f t="shared" si="10"/>
        <v>1</v>
      </c>
      <c r="L18" s="8">
        <f t="shared" si="11"/>
        <v>1</v>
      </c>
      <c r="M18" s="51">
        <v>45646</v>
      </c>
      <c r="N18" s="7" t="s">
        <v>31</v>
      </c>
      <c r="O18" s="29">
        <v>17</v>
      </c>
      <c r="P18" s="24">
        <v>9</v>
      </c>
      <c r="Q18" s="41">
        <f t="shared" si="12"/>
        <v>26</v>
      </c>
      <c r="R18" s="34">
        <v>13</v>
      </c>
      <c r="S18" s="8">
        <v>3</v>
      </c>
      <c r="T18" s="41">
        <f t="shared" si="13"/>
        <v>16</v>
      </c>
      <c r="U18" s="34">
        <v>2</v>
      </c>
      <c r="V18" s="8">
        <v>7</v>
      </c>
      <c r="W18" s="41">
        <f t="shared" si="14"/>
        <v>9</v>
      </c>
      <c r="X18" s="8">
        <f t="shared" si="15"/>
        <v>51</v>
      </c>
      <c r="Y18" s="51">
        <v>45637</v>
      </c>
    </row>
    <row r="19" spans="2:25" x14ac:dyDescent="0.15">
      <c r="B19" s="7" t="s">
        <v>40</v>
      </c>
      <c r="C19" s="29">
        <v>1</v>
      </c>
      <c r="D19" s="24">
        <v>3</v>
      </c>
      <c r="E19" s="41">
        <f t="shared" si="8"/>
        <v>4</v>
      </c>
      <c r="F19" s="34"/>
      <c r="G19" s="8"/>
      <c r="H19" s="41">
        <f t="shared" si="9"/>
        <v>0</v>
      </c>
      <c r="I19" s="34"/>
      <c r="J19" s="8"/>
      <c r="K19" s="41">
        <f t="shared" si="10"/>
        <v>0</v>
      </c>
      <c r="L19" s="8">
        <f t="shared" si="11"/>
        <v>4</v>
      </c>
      <c r="M19" s="51">
        <v>45646</v>
      </c>
      <c r="N19" s="7" t="s">
        <v>32</v>
      </c>
      <c r="O19" s="29">
        <v>3</v>
      </c>
      <c r="P19" s="24">
        <v>1</v>
      </c>
      <c r="Q19" s="41">
        <f t="shared" si="12"/>
        <v>4</v>
      </c>
      <c r="R19" s="34"/>
      <c r="S19" s="8">
        <v>5</v>
      </c>
      <c r="T19" s="41">
        <f t="shared" si="13"/>
        <v>5</v>
      </c>
      <c r="U19" s="34"/>
      <c r="V19" s="8">
        <v>4</v>
      </c>
      <c r="W19" s="41">
        <f t="shared" si="14"/>
        <v>4</v>
      </c>
      <c r="X19" s="8">
        <f t="shared" si="15"/>
        <v>13</v>
      </c>
      <c r="Y19" s="51">
        <v>45638</v>
      </c>
    </row>
    <row r="20" spans="2:25" x14ac:dyDescent="0.15">
      <c r="B20" s="7" t="s">
        <v>41</v>
      </c>
      <c r="C20" s="29">
        <v>1</v>
      </c>
      <c r="D20" s="24"/>
      <c r="E20" s="41">
        <f t="shared" si="8"/>
        <v>1</v>
      </c>
      <c r="F20" s="34"/>
      <c r="G20" s="8"/>
      <c r="H20" s="41">
        <f t="shared" si="9"/>
        <v>0</v>
      </c>
      <c r="I20" s="34"/>
      <c r="J20" s="8"/>
      <c r="K20" s="41">
        <f t="shared" si="10"/>
        <v>0</v>
      </c>
      <c r="L20" s="8">
        <f t="shared" si="11"/>
        <v>1</v>
      </c>
      <c r="M20" s="51">
        <v>45649</v>
      </c>
      <c r="N20" s="7" t="s">
        <v>33</v>
      </c>
      <c r="O20" s="29">
        <v>6</v>
      </c>
      <c r="P20" s="24">
        <v>4</v>
      </c>
      <c r="Q20" s="41">
        <f t="shared" si="12"/>
        <v>10</v>
      </c>
      <c r="R20" s="34"/>
      <c r="S20" s="8"/>
      <c r="T20" s="41">
        <f t="shared" si="13"/>
        <v>0</v>
      </c>
      <c r="U20" s="34">
        <v>5</v>
      </c>
      <c r="V20" s="8">
        <v>2</v>
      </c>
      <c r="W20" s="41">
        <f t="shared" si="14"/>
        <v>7</v>
      </c>
      <c r="X20" s="8">
        <f t="shared" si="15"/>
        <v>17</v>
      </c>
      <c r="Y20" s="51">
        <v>45639</v>
      </c>
    </row>
    <row r="21" spans="2:25" x14ac:dyDescent="0.15">
      <c r="B21" s="7" t="s">
        <v>46</v>
      </c>
      <c r="C21" s="29"/>
      <c r="D21" s="24"/>
      <c r="E21" s="41">
        <f t="shared" si="8"/>
        <v>0</v>
      </c>
      <c r="F21" s="34"/>
      <c r="G21" s="8">
        <v>1</v>
      </c>
      <c r="H21" s="41">
        <f t="shared" si="9"/>
        <v>1</v>
      </c>
      <c r="I21" s="34"/>
      <c r="J21" s="8">
        <v>1</v>
      </c>
      <c r="K21" s="41">
        <f t="shared" si="10"/>
        <v>1</v>
      </c>
      <c r="L21" s="8">
        <f t="shared" si="11"/>
        <v>2</v>
      </c>
      <c r="M21" s="51">
        <v>45652</v>
      </c>
      <c r="N21" s="7" t="s">
        <v>34</v>
      </c>
      <c r="O21" s="29">
        <v>11</v>
      </c>
      <c r="P21" s="24">
        <v>2</v>
      </c>
      <c r="Q21" s="41">
        <f t="shared" ref="Q21:Q32" si="25">SUM(O21:P21)</f>
        <v>13</v>
      </c>
      <c r="R21" s="34"/>
      <c r="S21" s="8">
        <v>2</v>
      </c>
      <c r="T21" s="41">
        <f t="shared" ref="T21:T32" si="26">SUM(R21:S21)</f>
        <v>2</v>
      </c>
      <c r="U21" s="34">
        <v>4</v>
      </c>
      <c r="V21" s="8">
        <v>3</v>
      </c>
      <c r="W21" s="41">
        <f t="shared" ref="W21:W32" si="27">SUM(U21:V21)</f>
        <v>7</v>
      </c>
      <c r="X21" s="8">
        <f t="shared" ref="X21:X32" si="28">SUM(W21,T21,Q21)</f>
        <v>22</v>
      </c>
      <c r="Y21" s="51">
        <v>45639</v>
      </c>
    </row>
    <row r="22" spans="2:25" x14ac:dyDescent="0.15">
      <c r="B22" s="67" t="s">
        <v>23</v>
      </c>
      <c r="C22" s="29">
        <v>1</v>
      </c>
      <c r="D22" s="24"/>
      <c r="E22" s="41">
        <f t="shared" si="8"/>
        <v>1</v>
      </c>
      <c r="F22" s="34"/>
      <c r="G22" s="8"/>
      <c r="H22" s="41">
        <f t="shared" si="9"/>
        <v>0</v>
      </c>
      <c r="I22" s="34"/>
      <c r="J22" s="8"/>
      <c r="K22" s="41">
        <f t="shared" si="10"/>
        <v>0</v>
      </c>
      <c r="L22" s="8">
        <f t="shared" si="11"/>
        <v>1</v>
      </c>
      <c r="M22" s="51">
        <v>45653</v>
      </c>
      <c r="N22" s="7" t="s">
        <v>36</v>
      </c>
      <c r="O22" s="29">
        <v>1</v>
      </c>
      <c r="P22" s="24">
        <v>5</v>
      </c>
      <c r="Q22" s="41">
        <f t="shared" si="25"/>
        <v>6</v>
      </c>
      <c r="R22" s="34">
        <v>1</v>
      </c>
      <c r="S22" s="8"/>
      <c r="T22" s="41">
        <f t="shared" si="26"/>
        <v>1</v>
      </c>
      <c r="U22" s="34">
        <v>1</v>
      </c>
      <c r="V22" s="8"/>
      <c r="W22" s="41">
        <f t="shared" si="27"/>
        <v>1</v>
      </c>
      <c r="X22" s="8">
        <f t="shared" si="28"/>
        <v>8</v>
      </c>
      <c r="Y22" s="51">
        <v>45642</v>
      </c>
    </row>
    <row r="23" spans="2:25" x14ac:dyDescent="0.15">
      <c r="B23" s="67" t="s">
        <v>23</v>
      </c>
      <c r="C23" s="29"/>
      <c r="D23" s="24">
        <v>1</v>
      </c>
      <c r="E23" s="41">
        <f t="shared" si="8"/>
        <v>1</v>
      </c>
      <c r="F23" s="34">
        <v>1</v>
      </c>
      <c r="G23" s="8">
        <v>2</v>
      </c>
      <c r="H23" s="41">
        <f t="shared" si="9"/>
        <v>3</v>
      </c>
      <c r="I23" s="34"/>
      <c r="J23" s="8"/>
      <c r="K23" s="41">
        <f t="shared" si="10"/>
        <v>0</v>
      </c>
      <c r="L23" s="8">
        <f t="shared" si="11"/>
        <v>4</v>
      </c>
      <c r="M23" s="51">
        <v>45663</v>
      </c>
      <c r="N23" s="7" t="s">
        <v>19</v>
      </c>
      <c r="O23" s="29">
        <v>3</v>
      </c>
      <c r="P23" s="24"/>
      <c r="Q23" s="41">
        <f t="shared" si="25"/>
        <v>3</v>
      </c>
      <c r="R23" s="34"/>
      <c r="S23" s="8"/>
      <c r="T23" s="41">
        <f t="shared" si="26"/>
        <v>0</v>
      </c>
      <c r="U23" s="34">
        <v>3</v>
      </c>
      <c r="V23" s="8">
        <v>3</v>
      </c>
      <c r="W23" s="41">
        <f t="shared" si="27"/>
        <v>6</v>
      </c>
      <c r="X23" s="8">
        <f t="shared" si="28"/>
        <v>9</v>
      </c>
      <c r="Y23" s="51">
        <v>45642</v>
      </c>
    </row>
    <row r="24" spans="2:25" x14ac:dyDescent="0.15">
      <c r="B24" s="7"/>
      <c r="C24" s="29"/>
      <c r="D24" s="24"/>
      <c r="E24" s="41">
        <f t="shared" si="8"/>
        <v>0</v>
      </c>
      <c r="F24" s="34"/>
      <c r="G24" s="8"/>
      <c r="H24" s="41">
        <f t="shared" si="9"/>
        <v>0</v>
      </c>
      <c r="I24" s="34"/>
      <c r="J24" s="8"/>
      <c r="K24" s="41">
        <f t="shared" si="10"/>
        <v>0</v>
      </c>
      <c r="L24" s="8">
        <f t="shared" si="11"/>
        <v>0</v>
      </c>
      <c r="M24" s="51"/>
      <c r="N24" s="7" t="s">
        <v>37</v>
      </c>
      <c r="O24" s="29">
        <v>2</v>
      </c>
      <c r="P24" s="24">
        <v>2</v>
      </c>
      <c r="Q24" s="41">
        <f t="shared" ref="Q24" si="29">SUM(O24:P24)</f>
        <v>4</v>
      </c>
      <c r="R24" s="34">
        <v>2</v>
      </c>
      <c r="S24" s="8">
        <v>1</v>
      </c>
      <c r="T24" s="41">
        <f t="shared" ref="T24" si="30">SUM(R24:S24)</f>
        <v>3</v>
      </c>
      <c r="U24" s="34">
        <v>5</v>
      </c>
      <c r="V24" s="8"/>
      <c r="W24" s="41">
        <f t="shared" ref="W24" si="31">SUM(U24:V24)</f>
        <v>5</v>
      </c>
      <c r="X24" s="8">
        <f t="shared" ref="X24" si="32">SUM(W24,T24,Q24)</f>
        <v>12</v>
      </c>
      <c r="Y24" s="51">
        <v>45644</v>
      </c>
    </row>
    <row r="25" spans="2:25" x14ac:dyDescent="0.15">
      <c r="B25" s="7"/>
      <c r="C25" s="29"/>
      <c r="D25" s="24"/>
      <c r="E25" s="41">
        <f t="shared" si="8"/>
        <v>0</v>
      </c>
      <c r="F25" s="34"/>
      <c r="G25" s="8"/>
      <c r="H25" s="41">
        <f t="shared" si="9"/>
        <v>0</v>
      </c>
      <c r="I25" s="34"/>
      <c r="J25" s="8"/>
      <c r="K25" s="41">
        <f t="shared" si="10"/>
        <v>0</v>
      </c>
      <c r="L25" s="8">
        <f t="shared" si="11"/>
        <v>0</v>
      </c>
      <c r="M25" s="51"/>
      <c r="N25" s="7" t="s">
        <v>38</v>
      </c>
      <c r="O25" s="29">
        <v>2</v>
      </c>
      <c r="P25" s="24">
        <v>1</v>
      </c>
      <c r="Q25" s="41">
        <f t="shared" si="25"/>
        <v>3</v>
      </c>
      <c r="R25" s="34"/>
      <c r="S25" s="8"/>
      <c r="T25" s="41">
        <f t="shared" si="26"/>
        <v>0</v>
      </c>
      <c r="U25" s="34">
        <v>5</v>
      </c>
      <c r="V25" s="8">
        <v>2</v>
      </c>
      <c r="W25" s="41">
        <f t="shared" si="27"/>
        <v>7</v>
      </c>
      <c r="X25" s="8">
        <f t="shared" si="28"/>
        <v>10</v>
      </c>
      <c r="Y25" s="51">
        <v>45645</v>
      </c>
    </row>
    <row r="26" spans="2:25" x14ac:dyDescent="0.15">
      <c r="B26" s="7"/>
      <c r="C26" s="29"/>
      <c r="D26" s="24"/>
      <c r="E26" s="41">
        <f t="shared" si="8"/>
        <v>0</v>
      </c>
      <c r="F26" s="34"/>
      <c r="G26" s="8"/>
      <c r="H26" s="41">
        <f t="shared" si="9"/>
        <v>0</v>
      </c>
      <c r="I26" s="34"/>
      <c r="J26" s="8"/>
      <c r="K26" s="41">
        <f t="shared" si="10"/>
        <v>0</v>
      </c>
      <c r="L26" s="8">
        <f t="shared" si="11"/>
        <v>0</v>
      </c>
      <c r="M26" s="51"/>
      <c r="N26" s="7" t="s">
        <v>45</v>
      </c>
      <c r="O26" s="29">
        <v>1</v>
      </c>
      <c r="P26" s="24">
        <v>1</v>
      </c>
      <c r="Q26" s="41">
        <f t="shared" si="25"/>
        <v>2</v>
      </c>
      <c r="R26" s="34">
        <v>1</v>
      </c>
      <c r="S26" s="8">
        <v>2</v>
      </c>
      <c r="T26" s="41">
        <f t="shared" si="26"/>
        <v>3</v>
      </c>
      <c r="U26" s="34">
        <v>2</v>
      </c>
      <c r="V26" s="8">
        <v>2</v>
      </c>
      <c r="W26" s="41">
        <f t="shared" si="27"/>
        <v>4</v>
      </c>
      <c r="X26" s="8">
        <f t="shared" si="28"/>
        <v>9</v>
      </c>
      <c r="Y26" s="51">
        <v>45651</v>
      </c>
    </row>
    <row r="27" spans="2:25" x14ac:dyDescent="0.15">
      <c r="B27" s="7"/>
      <c r="C27" s="32"/>
      <c r="D27" s="26"/>
      <c r="E27" s="41">
        <f t="shared" si="8"/>
        <v>0</v>
      </c>
      <c r="F27" s="36"/>
      <c r="G27" s="10"/>
      <c r="H27" s="41">
        <f t="shared" si="9"/>
        <v>0</v>
      </c>
      <c r="I27" s="36"/>
      <c r="J27" s="10"/>
      <c r="K27" s="41">
        <f t="shared" si="10"/>
        <v>0</v>
      </c>
      <c r="L27" s="8">
        <f t="shared" si="11"/>
        <v>0</v>
      </c>
      <c r="M27" s="52"/>
      <c r="N27" s="7" t="s">
        <v>47</v>
      </c>
      <c r="O27" s="29"/>
      <c r="P27" s="24">
        <v>3</v>
      </c>
      <c r="Q27" s="41">
        <f t="shared" si="25"/>
        <v>3</v>
      </c>
      <c r="R27" s="34"/>
      <c r="S27" s="8"/>
      <c r="T27" s="41">
        <f t="shared" si="26"/>
        <v>0</v>
      </c>
      <c r="U27" s="34">
        <v>2</v>
      </c>
      <c r="V27" s="8"/>
      <c r="W27" s="41">
        <f t="shared" si="27"/>
        <v>2</v>
      </c>
      <c r="X27" s="8">
        <f t="shared" si="28"/>
        <v>5</v>
      </c>
      <c r="Y27" s="51">
        <v>45653</v>
      </c>
    </row>
    <row r="28" spans="2:25" x14ac:dyDescent="0.15">
      <c r="B28" s="7"/>
      <c r="C28" s="32"/>
      <c r="D28" s="26"/>
      <c r="E28" s="41">
        <f t="shared" si="8"/>
        <v>0</v>
      </c>
      <c r="F28" s="36"/>
      <c r="G28" s="10"/>
      <c r="H28" s="41">
        <f t="shared" si="9"/>
        <v>0</v>
      </c>
      <c r="I28" s="36"/>
      <c r="J28" s="10"/>
      <c r="K28" s="41">
        <f t="shared" si="10"/>
        <v>0</v>
      </c>
      <c r="L28" s="8">
        <f t="shared" si="11"/>
        <v>0</v>
      </c>
      <c r="M28" s="52"/>
      <c r="N28" s="7"/>
      <c r="O28" s="29"/>
      <c r="P28" s="24"/>
      <c r="Q28" s="41">
        <f t="shared" si="25"/>
        <v>0</v>
      </c>
      <c r="R28" s="34"/>
      <c r="S28" s="8"/>
      <c r="T28" s="41">
        <f t="shared" si="26"/>
        <v>0</v>
      </c>
      <c r="U28" s="34"/>
      <c r="V28" s="8"/>
      <c r="W28" s="41">
        <f t="shared" si="27"/>
        <v>0</v>
      </c>
      <c r="X28" s="8">
        <f t="shared" si="28"/>
        <v>0</v>
      </c>
      <c r="Y28" s="51"/>
    </row>
    <row r="29" spans="2:25" x14ac:dyDescent="0.15">
      <c r="B29" s="7"/>
      <c r="C29" s="32"/>
      <c r="D29" s="26"/>
      <c r="E29" s="41">
        <f t="shared" si="8"/>
        <v>0</v>
      </c>
      <c r="F29" s="36"/>
      <c r="G29" s="10"/>
      <c r="H29" s="41">
        <f t="shared" si="9"/>
        <v>0</v>
      </c>
      <c r="I29" s="36"/>
      <c r="J29" s="10"/>
      <c r="K29" s="41">
        <f t="shared" si="10"/>
        <v>0</v>
      </c>
      <c r="L29" s="8">
        <f t="shared" si="11"/>
        <v>0</v>
      </c>
      <c r="M29" s="52"/>
      <c r="N29" s="7"/>
      <c r="O29" s="29"/>
      <c r="P29" s="24"/>
      <c r="Q29" s="41">
        <f t="shared" si="25"/>
        <v>0</v>
      </c>
      <c r="R29" s="34"/>
      <c r="S29" s="8"/>
      <c r="T29" s="41">
        <f t="shared" si="26"/>
        <v>0</v>
      </c>
      <c r="U29" s="34"/>
      <c r="V29" s="8"/>
      <c r="W29" s="41">
        <f t="shared" si="27"/>
        <v>0</v>
      </c>
      <c r="X29" s="8">
        <f t="shared" si="28"/>
        <v>0</v>
      </c>
      <c r="Y29" s="51"/>
    </row>
    <row r="30" spans="2:25" x14ac:dyDescent="0.15">
      <c r="B30" s="7"/>
      <c r="C30" s="32"/>
      <c r="D30" s="26"/>
      <c r="E30" s="41">
        <f t="shared" si="8"/>
        <v>0</v>
      </c>
      <c r="F30" s="36"/>
      <c r="G30" s="10"/>
      <c r="H30" s="41">
        <f t="shared" si="9"/>
        <v>0</v>
      </c>
      <c r="I30" s="36"/>
      <c r="J30" s="10"/>
      <c r="K30" s="41">
        <f t="shared" si="10"/>
        <v>0</v>
      </c>
      <c r="L30" s="8">
        <f t="shared" si="11"/>
        <v>0</v>
      </c>
      <c r="M30" s="52"/>
      <c r="N30" s="7"/>
      <c r="O30" s="29"/>
      <c r="P30" s="24"/>
      <c r="Q30" s="41">
        <f t="shared" si="25"/>
        <v>0</v>
      </c>
      <c r="R30" s="34"/>
      <c r="S30" s="8"/>
      <c r="T30" s="41">
        <f t="shared" si="26"/>
        <v>0</v>
      </c>
      <c r="U30" s="34"/>
      <c r="V30" s="8"/>
      <c r="W30" s="41">
        <f t="shared" si="27"/>
        <v>0</v>
      </c>
      <c r="X30" s="8">
        <f t="shared" si="28"/>
        <v>0</v>
      </c>
      <c r="Y30" s="51"/>
    </row>
    <row r="31" spans="2:25" x14ac:dyDescent="0.15">
      <c r="B31" s="7"/>
      <c r="C31" s="32"/>
      <c r="D31" s="26"/>
      <c r="E31" s="41">
        <f t="shared" si="8"/>
        <v>0</v>
      </c>
      <c r="F31" s="36"/>
      <c r="G31" s="10"/>
      <c r="H31" s="41">
        <f t="shared" si="9"/>
        <v>0</v>
      </c>
      <c r="I31" s="36"/>
      <c r="J31" s="10"/>
      <c r="K31" s="41">
        <f t="shared" si="10"/>
        <v>0</v>
      </c>
      <c r="L31" s="8">
        <f t="shared" si="11"/>
        <v>0</v>
      </c>
      <c r="M31" s="52"/>
      <c r="N31" s="7"/>
      <c r="O31" s="29"/>
      <c r="P31" s="24"/>
      <c r="Q31" s="41">
        <f t="shared" si="25"/>
        <v>0</v>
      </c>
      <c r="R31" s="34"/>
      <c r="S31" s="8"/>
      <c r="T31" s="41">
        <f t="shared" si="26"/>
        <v>0</v>
      </c>
      <c r="U31" s="34"/>
      <c r="V31" s="8"/>
      <c r="W31" s="41">
        <f t="shared" si="27"/>
        <v>0</v>
      </c>
      <c r="X31" s="8">
        <f t="shared" si="28"/>
        <v>0</v>
      </c>
      <c r="Y31" s="51"/>
    </row>
    <row r="32" spans="2:25" x14ac:dyDescent="0.15">
      <c r="B32" s="7"/>
      <c r="C32" s="29"/>
      <c r="D32" s="24"/>
      <c r="E32" s="41">
        <f t="shared" si="8"/>
        <v>0</v>
      </c>
      <c r="F32" s="34"/>
      <c r="G32" s="8"/>
      <c r="H32" s="41">
        <f t="shared" si="9"/>
        <v>0</v>
      </c>
      <c r="I32" s="34"/>
      <c r="J32" s="8"/>
      <c r="K32" s="41">
        <f t="shared" si="10"/>
        <v>0</v>
      </c>
      <c r="L32" s="8">
        <f t="shared" si="11"/>
        <v>0</v>
      </c>
      <c r="M32" s="51"/>
      <c r="N32" s="7"/>
      <c r="O32" s="29"/>
      <c r="P32" s="24"/>
      <c r="Q32" s="41">
        <f t="shared" si="25"/>
        <v>0</v>
      </c>
      <c r="R32" s="34"/>
      <c r="S32" s="8"/>
      <c r="T32" s="41">
        <f t="shared" si="26"/>
        <v>0</v>
      </c>
      <c r="U32" s="34"/>
      <c r="V32" s="8"/>
      <c r="W32" s="41">
        <f t="shared" si="27"/>
        <v>0</v>
      </c>
      <c r="X32" s="8">
        <f t="shared" si="28"/>
        <v>0</v>
      </c>
      <c r="Y32" s="51"/>
    </row>
    <row r="33" spans="1:25" x14ac:dyDescent="0.15">
      <c r="B33" s="7"/>
      <c r="C33" s="29"/>
      <c r="D33" s="24"/>
      <c r="E33" s="41">
        <f t="shared" si="8"/>
        <v>0</v>
      </c>
      <c r="F33" s="34"/>
      <c r="G33" s="8"/>
      <c r="H33" s="41">
        <f t="shared" si="9"/>
        <v>0</v>
      </c>
      <c r="I33" s="34"/>
      <c r="J33" s="8"/>
      <c r="K33" s="41">
        <f t="shared" si="10"/>
        <v>0</v>
      </c>
      <c r="L33" s="8">
        <f t="shared" si="11"/>
        <v>0</v>
      </c>
      <c r="M33" s="51"/>
      <c r="N33" s="7"/>
      <c r="O33" s="29"/>
      <c r="P33" s="24"/>
      <c r="Q33" s="41">
        <f t="shared" si="12"/>
        <v>0</v>
      </c>
      <c r="R33" s="34"/>
      <c r="S33" s="8"/>
      <c r="T33" s="41">
        <f t="shared" si="13"/>
        <v>0</v>
      </c>
      <c r="U33" s="34"/>
      <c r="V33" s="8"/>
      <c r="W33" s="41">
        <f t="shared" si="14"/>
        <v>0</v>
      </c>
      <c r="X33" s="8">
        <f t="shared" si="15"/>
        <v>0</v>
      </c>
      <c r="Y33" s="51"/>
    </row>
    <row r="34" spans="1:25" x14ac:dyDescent="0.15">
      <c r="B34" s="7"/>
      <c r="C34" s="29"/>
      <c r="D34" s="24"/>
      <c r="E34" s="41">
        <f t="shared" si="8"/>
        <v>0</v>
      </c>
      <c r="F34" s="34"/>
      <c r="G34" s="8"/>
      <c r="H34" s="41">
        <f t="shared" si="9"/>
        <v>0</v>
      </c>
      <c r="I34" s="34"/>
      <c r="J34" s="8"/>
      <c r="K34" s="41">
        <f t="shared" si="10"/>
        <v>0</v>
      </c>
      <c r="L34" s="8">
        <f t="shared" si="11"/>
        <v>0</v>
      </c>
      <c r="M34" s="51"/>
      <c r="N34" s="7"/>
      <c r="O34" s="29"/>
      <c r="P34" s="24"/>
      <c r="Q34" s="41">
        <f t="shared" si="12"/>
        <v>0</v>
      </c>
      <c r="R34" s="34"/>
      <c r="S34" s="8"/>
      <c r="T34" s="41">
        <f t="shared" si="13"/>
        <v>0</v>
      </c>
      <c r="U34" s="34"/>
      <c r="V34" s="8"/>
      <c r="W34" s="41">
        <f t="shared" si="14"/>
        <v>0</v>
      </c>
      <c r="X34" s="8">
        <f t="shared" si="15"/>
        <v>0</v>
      </c>
      <c r="Y34" s="51"/>
    </row>
    <row r="35" spans="1:25" x14ac:dyDescent="0.15">
      <c r="B35" s="7"/>
      <c r="C35" s="29"/>
      <c r="D35" s="24"/>
      <c r="E35" s="41">
        <f t="shared" ref="E35" si="33">SUM(C35:D35)</f>
        <v>0</v>
      </c>
      <c r="F35" s="34"/>
      <c r="G35" s="8"/>
      <c r="H35" s="41">
        <f t="shared" ref="H35" si="34">SUM(F35:G35)</f>
        <v>0</v>
      </c>
      <c r="I35" s="34"/>
      <c r="J35" s="8"/>
      <c r="K35" s="41">
        <f t="shared" ref="K35" si="35">SUM(I35:J35)</f>
        <v>0</v>
      </c>
      <c r="L35" s="8">
        <f t="shared" si="11"/>
        <v>0</v>
      </c>
      <c r="M35" s="51"/>
      <c r="N35" s="7"/>
      <c r="O35" s="29"/>
      <c r="P35" s="24"/>
      <c r="Q35" s="41">
        <f t="shared" si="12"/>
        <v>0</v>
      </c>
      <c r="R35" s="34"/>
      <c r="S35" s="8"/>
      <c r="T35" s="41">
        <f t="shared" si="13"/>
        <v>0</v>
      </c>
      <c r="U35" s="34"/>
      <c r="V35" s="8"/>
      <c r="W35" s="41">
        <f t="shared" si="14"/>
        <v>0</v>
      </c>
      <c r="X35" s="8">
        <f t="shared" si="15"/>
        <v>0</v>
      </c>
      <c r="Y35" s="51"/>
    </row>
    <row r="36" spans="1:25" x14ac:dyDescent="0.15">
      <c r="B36" s="7"/>
      <c r="C36" s="29"/>
      <c r="D36" s="24"/>
      <c r="E36" s="41">
        <f t="shared" si="8"/>
        <v>0</v>
      </c>
      <c r="F36" s="34"/>
      <c r="G36" s="8"/>
      <c r="H36" s="41">
        <f t="shared" si="9"/>
        <v>0</v>
      </c>
      <c r="I36" s="34"/>
      <c r="J36" s="8"/>
      <c r="K36" s="41">
        <f t="shared" si="10"/>
        <v>0</v>
      </c>
      <c r="L36" s="8">
        <f t="shared" si="11"/>
        <v>0</v>
      </c>
      <c r="M36" s="51"/>
      <c r="N36" s="7"/>
      <c r="O36" s="29"/>
      <c r="P36" s="24"/>
      <c r="Q36" s="41">
        <f t="shared" si="12"/>
        <v>0</v>
      </c>
      <c r="R36" s="34"/>
      <c r="S36" s="8"/>
      <c r="T36" s="41">
        <f t="shared" si="13"/>
        <v>0</v>
      </c>
      <c r="U36" s="34"/>
      <c r="V36" s="8"/>
      <c r="W36" s="41">
        <f t="shared" si="14"/>
        <v>0</v>
      </c>
      <c r="X36" s="8">
        <f t="shared" si="15"/>
        <v>0</v>
      </c>
      <c r="Y36" s="51"/>
    </row>
    <row r="37" spans="1:25" ht="14.25" thickBot="1" x14ac:dyDescent="0.2">
      <c r="B37" s="7"/>
      <c r="C37" s="53"/>
      <c r="D37" s="25"/>
      <c r="E37" s="54">
        <f t="shared" si="8"/>
        <v>0</v>
      </c>
      <c r="F37" s="35"/>
      <c r="G37" s="6"/>
      <c r="H37" s="54">
        <f t="shared" si="9"/>
        <v>0</v>
      </c>
      <c r="I37" s="35"/>
      <c r="J37" s="6"/>
      <c r="K37" s="54">
        <f t="shared" si="10"/>
        <v>0</v>
      </c>
      <c r="L37" s="6">
        <f t="shared" si="11"/>
        <v>0</v>
      </c>
      <c r="M37" s="51"/>
      <c r="N37" s="7" t="s">
        <v>13</v>
      </c>
      <c r="O37" s="29"/>
      <c r="P37" s="24"/>
      <c r="Q37" s="41">
        <f t="shared" ref="Q37" si="36">SUM(O37:P37)</f>
        <v>0</v>
      </c>
      <c r="R37" s="34"/>
      <c r="S37" s="8"/>
      <c r="T37" s="41">
        <f t="shared" ref="T37" si="37">SUM(R37:S37)</f>
        <v>0</v>
      </c>
      <c r="U37" s="34"/>
      <c r="V37" s="8"/>
      <c r="W37" s="41">
        <f t="shared" ref="W37" si="38">SUM(U37:V37)</f>
        <v>0</v>
      </c>
      <c r="X37" s="8">
        <f t="shared" ref="X37" si="39">SUM(W37,T37,Q37)</f>
        <v>0</v>
      </c>
      <c r="Y37" s="51" t="s">
        <v>14</v>
      </c>
    </row>
    <row r="38" spans="1:25" ht="14.25" thickBot="1" x14ac:dyDescent="0.2">
      <c r="B38" s="5" t="s">
        <v>1</v>
      </c>
      <c r="C38" s="31">
        <f>SUM(C13:C37)</f>
        <v>5</v>
      </c>
      <c r="D38" s="18">
        <f>SUM(D13:D37)</f>
        <v>4</v>
      </c>
      <c r="E38" s="42">
        <f t="shared" si="8"/>
        <v>9</v>
      </c>
      <c r="F38" s="31">
        <f>SUM(F13:F37)</f>
        <v>2</v>
      </c>
      <c r="G38" s="18">
        <f>SUM(G13:G37)</f>
        <v>4</v>
      </c>
      <c r="H38" s="42">
        <f t="shared" si="9"/>
        <v>6</v>
      </c>
      <c r="I38" s="31">
        <f>SUM(I13:I37)</f>
        <v>3</v>
      </c>
      <c r="J38" s="18">
        <f>SUM(J13:J37)</f>
        <v>4</v>
      </c>
      <c r="K38" s="42">
        <f t="shared" si="10"/>
        <v>7</v>
      </c>
      <c r="L38" s="4">
        <f t="shared" si="11"/>
        <v>22</v>
      </c>
      <c r="N38" s="5" t="s">
        <v>1</v>
      </c>
      <c r="O38" s="31">
        <f>SUM(O13:O37)</f>
        <v>89</v>
      </c>
      <c r="P38" s="18">
        <f t="shared" ref="P38" si="40">SUM(P13:P37)</f>
        <v>58</v>
      </c>
      <c r="Q38" s="42">
        <f t="shared" ref="Q38" si="41">SUM(Q13:Q37)</f>
        <v>147</v>
      </c>
      <c r="R38" s="31">
        <f t="shared" ref="R38" si="42">SUM(R13:R37)</f>
        <v>38</v>
      </c>
      <c r="S38" s="18">
        <f t="shared" ref="S38" si="43">SUM(S13:S37)</f>
        <v>28</v>
      </c>
      <c r="T38" s="42">
        <f t="shared" ref="T38" si="44">SUM(T13:T37)</f>
        <v>66</v>
      </c>
      <c r="U38" s="31">
        <f t="shared" ref="U38" si="45">SUM(U13:U37)</f>
        <v>54</v>
      </c>
      <c r="V38" s="18">
        <f t="shared" ref="V38" si="46">SUM(V13:V37)</f>
        <v>34</v>
      </c>
      <c r="W38" s="42">
        <f t="shared" ref="W38" si="47">SUM(W13:W37)</f>
        <v>88</v>
      </c>
      <c r="X38" s="4">
        <f t="shared" ref="X38" si="48">SUM(X13:X37)</f>
        <v>301</v>
      </c>
    </row>
    <row r="39" spans="1:25" ht="14.25" thickBot="1" x14ac:dyDescent="0.2">
      <c r="B39" s="3" t="s">
        <v>0</v>
      </c>
      <c r="C39" s="33">
        <f>+C12-C38</f>
        <v>4</v>
      </c>
      <c r="D39" s="2">
        <f>+D12-D38</f>
        <v>6</v>
      </c>
      <c r="E39" s="43">
        <f t="shared" si="8"/>
        <v>10</v>
      </c>
      <c r="F39" s="33">
        <f>+F12-F38</f>
        <v>4</v>
      </c>
      <c r="G39" s="2">
        <f>+G12-G38</f>
        <v>3</v>
      </c>
      <c r="H39" s="43">
        <f t="shared" si="9"/>
        <v>7</v>
      </c>
      <c r="I39" s="33">
        <f>+I12-I38</f>
        <v>6</v>
      </c>
      <c r="J39" s="2">
        <f>+J12-J38</f>
        <v>7</v>
      </c>
      <c r="K39" s="43">
        <f t="shared" si="10"/>
        <v>13</v>
      </c>
      <c r="L39" s="2">
        <f t="shared" si="11"/>
        <v>30</v>
      </c>
      <c r="N39" s="3" t="s">
        <v>0</v>
      </c>
      <c r="O39" s="56">
        <f>+O12-O38</f>
        <v>61</v>
      </c>
      <c r="P39" s="57">
        <f t="shared" ref="P39" si="49">+P12-P38</f>
        <v>42</v>
      </c>
      <c r="Q39" s="58">
        <f t="shared" ref="Q39" si="50">+Q12-Q38</f>
        <v>103</v>
      </c>
      <c r="R39" s="56">
        <f t="shared" ref="R39" si="51">+R12-R38</f>
        <v>62</v>
      </c>
      <c r="S39" s="57">
        <f t="shared" ref="S39" si="52">+S12-S38</f>
        <v>62</v>
      </c>
      <c r="T39" s="58">
        <f t="shared" ref="T39" si="53">+T12-T38</f>
        <v>124</v>
      </c>
      <c r="U39" s="56">
        <f t="shared" ref="U39" si="54">+U12-U38</f>
        <v>46</v>
      </c>
      <c r="V39" s="57">
        <f t="shared" ref="V39" si="55">+V12-V38</f>
        <v>46</v>
      </c>
      <c r="W39" s="58">
        <f t="shared" ref="W39" si="56">+W12-W38</f>
        <v>92</v>
      </c>
      <c r="X39" s="57">
        <f t="shared" ref="X39" si="57">+X12-X38</f>
        <v>319</v>
      </c>
    </row>
    <row r="40" spans="1:25" x14ac:dyDescent="0.15">
      <c r="N40" s="1"/>
      <c r="O40" s="69"/>
      <c r="P40" s="69"/>
      <c r="Q40" s="69"/>
      <c r="R40" s="69"/>
      <c r="S40" s="69"/>
      <c r="T40" s="69"/>
      <c r="U40" s="69"/>
      <c r="V40" s="69"/>
      <c r="W40" s="69"/>
      <c r="X40" s="69"/>
    </row>
    <row r="41" spans="1:25" x14ac:dyDescent="0.15"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 spans="1:25" ht="18.75" x14ac:dyDescent="0.2">
      <c r="B42" s="22" t="s">
        <v>8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N42" s="45" t="s">
        <v>9</v>
      </c>
      <c r="O42" s="46"/>
      <c r="P42" s="46"/>
      <c r="Q42" s="46"/>
      <c r="R42" s="46"/>
      <c r="S42" s="46"/>
      <c r="T42" s="46"/>
      <c r="U42" s="46"/>
      <c r="V42" s="46"/>
      <c r="W42" s="46"/>
      <c r="X42" s="46"/>
    </row>
    <row r="43" spans="1:25" ht="15" thickBot="1" x14ac:dyDescent="0.2">
      <c r="B43" s="21" t="s">
        <v>20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47" t="s">
        <v>15</v>
      </c>
      <c r="O43" s="46"/>
      <c r="P43" s="46"/>
      <c r="Q43" s="46"/>
      <c r="R43" s="46" t="s">
        <v>21</v>
      </c>
      <c r="S43" s="46"/>
      <c r="T43" s="46"/>
      <c r="U43" s="46"/>
      <c r="V43" s="46"/>
      <c r="W43" s="46"/>
      <c r="X43" s="46"/>
    </row>
    <row r="44" spans="1:25" ht="14.25" thickBot="1" x14ac:dyDescent="0.2">
      <c r="B44" s="19"/>
      <c r="C44" s="114" t="s">
        <v>10</v>
      </c>
      <c r="D44" s="115"/>
      <c r="E44" s="116"/>
      <c r="F44" s="117" t="s">
        <v>11</v>
      </c>
      <c r="G44" s="118"/>
      <c r="H44" s="119"/>
      <c r="I44" s="120" t="s">
        <v>12</v>
      </c>
      <c r="J44" s="121"/>
      <c r="K44" s="122"/>
      <c r="L44" s="18"/>
      <c r="N44" s="19"/>
      <c r="O44" s="114" t="s">
        <v>10</v>
      </c>
      <c r="P44" s="115"/>
      <c r="Q44" s="116"/>
      <c r="R44" s="117" t="s">
        <v>11</v>
      </c>
      <c r="S44" s="118"/>
      <c r="T44" s="119"/>
      <c r="U44" s="120" t="s">
        <v>12</v>
      </c>
      <c r="V44" s="121"/>
      <c r="W44" s="122"/>
      <c r="X44" s="18"/>
    </row>
    <row r="45" spans="1:25" ht="14.25" thickBot="1" x14ac:dyDescent="0.2">
      <c r="A45" s="1"/>
      <c r="B45" s="17"/>
      <c r="C45" s="27" t="s">
        <v>6</v>
      </c>
      <c r="D45" s="16" t="s">
        <v>5</v>
      </c>
      <c r="E45" s="37" t="s">
        <v>4</v>
      </c>
      <c r="F45" s="27" t="s">
        <v>6</v>
      </c>
      <c r="G45" s="16" t="s">
        <v>5</v>
      </c>
      <c r="H45" s="37" t="s">
        <v>4</v>
      </c>
      <c r="I45" s="27" t="s">
        <v>6</v>
      </c>
      <c r="J45" s="16" t="s">
        <v>5</v>
      </c>
      <c r="K45" s="37" t="s">
        <v>4</v>
      </c>
      <c r="L45" s="16" t="s">
        <v>4</v>
      </c>
      <c r="N45" s="17"/>
      <c r="O45" s="27" t="s">
        <v>6</v>
      </c>
      <c r="P45" s="16" t="s">
        <v>5</v>
      </c>
      <c r="Q45" s="37" t="s">
        <v>4</v>
      </c>
      <c r="R45" s="27" t="s">
        <v>6</v>
      </c>
      <c r="S45" s="16" t="s">
        <v>5</v>
      </c>
      <c r="T45" s="37" t="s">
        <v>4</v>
      </c>
      <c r="U45" s="27" t="s">
        <v>6</v>
      </c>
      <c r="V45" s="16" t="s">
        <v>5</v>
      </c>
      <c r="W45" s="37" t="s">
        <v>4</v>
      </c>
      <c r="X45" s="16" t="s">
        <v>4</v>
      </c>
    </row>
    <row r="46" spans="1:25" x14ac:dyDescent="0.15">
      <c r="B46" s="61" t="s">
        <v>0</v>
      </c>
      <c r="C46" s="62">
        <f t="shared" ref="C46:K46" si="58">C39</f>
        <v>4</v>
      </c>
      <c r="D46" s="63">
        <f t="shared" si="58"/>
        <v>6</v>
      </c>
      <c r="E46" s="64">
        <f t="shared" si="58"/>
        <v>10</v>
      </c>
      <c r="F46" s="62">
        <f t="shared" si="58"/>
        <v>4</v>
      </c>
      <c r="G46" s="63">
        <f t="shared" si="58"/>
        <v>3</v>
      </c>
      <c r="H46" s="64">
        <f t="shared" si="58"/>
        <v>7</v>
      </c>
      <c r="I46" s="62">
        <f t="shared" si="58"/>
        <v>6</v>
      </c>
      <c r="J46" s="63">
        <f t="shared" si="58"/>
        <v>7</v>
      </c>
      <c r="K46" s="64">
        <f t="shared" si="58"/>
        <v>13</v>
      </c>
      <c r="L46" s="65">
        <f t="shared" ref="L46:L79" si="59">SUM(K46,H46,E46)</f>
        <v>30</v>
      </c>
      <c r="M46" s="51"/>
      <c r="N46" s="61" t="s">
        <v>0</v>
      </c>
      <c r="O46" s="62">
        <f>O39</f>
        <v>61</v>
      </c>
      <c r="P46" s="63">
        <f t="shared" ref="P46:X46" si="60">P39</f>
        <v>42</v>
      </c>
      <c r="Q46" s="64">
        <f t="shared" si="60"/>
        <v>103</v>
      </c>
      <c r="R46" s="62">
        <f t="shared" si="60"/>
        <v>62</v>
      </c>
      <c r="S46" s="63">
        <f t="shared" si="60"/>
        <v>62</v>
      </c>
      <c r="T46" s="64">
        <f t="shared" si="60"/>
        <v>124</v>
      </c>
      <c r="U46" s="62">
        <f t="shared" si="60"/>
        <v>46</v>
      </c>
      <c r="V46" s="63">
        <f t="shared" si="60"/>
        <v>46</v>
      </c>
      <c r="W46" s="64">
        <f t="shared" si="60"/>
        <v>92</v>
      </c>
      <c r="X46" s="65">
        <f t="shared" si="60"/>
        <v>319</v>
      </c>
      <c r="Y46" s="51"/>
    </row>
    <row r="47" spans="1:25" x14ac:dyDescent="0.15">
      <c r="B47" s="15" t="s">
        <v>48</v>
      </c>
      <c r="C47" s="29">
        <v>1</v>
      </c>
      <c r="D47" s="24">
        <v>1</v>
      </c>
      <c r="E47" s="38">
        <f t="shared" ref="E47:E51" si="61">SUM(C47:D47)</f>
        <v>2</v>
      </c>
      <c r="F47" s="34">
        <v>2</v>
      </c>
      <c r="G47" s="8">
        <v>1</v>
      </c>
      <c r="H47" s="38">
        <f t="shared" ref="H47:H51" si="62">SUM(F47:G47)</f>
        <v>3</v>
      </c>
      <c r="I47" s="34"/>
      <c r="J47" s="8">
        <v>1</v>
      </c>
      <c r="K47" s="38">
        <f t="shared" ref="K47:K51" si="63">SUM(I47:J47)</f>
        <v>1</v>
      </c>
      <c r="L47" s="9">
        <f t="shared" ref="L47:L51" si="64">SUM(K47,H47,E47)</f>
        <v>6</v>
      </c>
      <c r="M47" s="51">
        <v>45667</v>
      </c>
      <c r="N47" s="15" t="s">
        <v>3</v>
      </c>
      <c r="O47" s="29"/>
      <c r="P47" s="24"/>
      <c r="Q47" s="38">
        <f t="shared" ref="Q47:Q76" si="65">SUM(O47:P47)</f>
        <v>0</v>
      </c>
      <c r="R47" s="34"/>
      <c r="S47" s="8"/>
      <c r="T47" s="38">
        <f t="shared" ref="T47:T76" si="66">SUM(R47:S47)</f>
        <v>0</v>
      </c>
      <c r="U47" s="34"/>
      <c r="V47" s="8"/>
      <c r="W47" s="38">
        <f t="shared" ref="W47:W76" si="67">SUM(U47:V47)</f>
        <v>0</v>
      </c>
      <c r="X47" s="9">
        <f t="shared" ref="X47:X76" si="68">SUM(W47,T47,Q47)</f>
        <v>0</v>
      </c>
      <c r="Y47" s="51"/>
    </row>
    <row r="48" spans="1:25" x14ac:dyDescent="0.15">
      <c r="B48" s="15" t="s">
        <v>3</v>
      </c>
      <c r="C48" s="29"/>
      <c r="D48" s="24"/>
      <c r="E48" s="38">
        <f t="shared" si="61"/>
        <v>0</v>
      </c>
      <c r="F48" s="34"/>
      <c r="G48" s="8"/>
      <c r="H48" s="38">
        <f t="shared" si="62"/>
        <v>0</v>
      </c>
      <c r="I48" s="34">
        <v>3</v>
      </c>
      <c r="J48" s="8"/>
      <c r="K48" s="38">
        <f t="shared" si="63"/>
        <v>3</v>
      </c>
      <c r="L48" s="9">
        <f t="shared" si="64"/>
        <v>3</v>
      </c>
      <c r="M48" s="51">
        <v>45685</v>
      </c>
      <c r="N48" s="15" t="s">
        <v>3</v>
      </c>
      <c r="O48" s="29"/>
      <c r="P48" s="24"/>
      <c r="Q48" s="38">
        <f t="shared" ref="Q48" si="69">SUM(O48:P48)</f>
        <v>0</v>
      </c>
      <c r="R48" s="34">
        <v>100</v>
      </c>
      <c r="S48" s="8">
        <v>100</v>
      </c>
      <c r="T48" s="38">
        <f t="shared" ref="T48" si="70">SUM(R48:S48)</f>
        <v>200</v>
      </c>
      <c r="U48" s="34">
        <v>100</v>
      </c>
      <c r="V48" s="8">
        <v>100</v>
      </c>
      <c r="W48" s="38">
        <f t="shared" ref="W48" si="71">SUM(U48:V48)</f>
        <v>200</v>
      </c>
      <c r="X48" s="9">
        <f t="shared" ref="X48" si="72">SUM(W48,T48,Q48)</f>
        <v>400</v>
      </c>
      <c r="Y48" s="51" t="s">
        <v>44</v>
      </c>
    </row>
    <row r="49" spans="2:25" x14ac:dyDescent="0.15">
      <c r="B49" s="15" t="s">
        <v>48</v>
      </c>
      <c r="C49" s="29"/>
      <c r="D49" s="24">
        <v>2</v>
      </c>
      <c r="E49" s="38">
        <f t="shared" si="61"/>
        <v>2</v>
      </c>
      <c r="F49" s="34"/>
      <c r="G49" s="8"/>
      <c r="H49" s="38">
        <f t="shared" si="62"/>
        <v>0</v>
      </c>
      <c r="I49" s="34"/>
      <c r="J49" s="8">
        <v>1</v>
      </c>
      <c r="K49" s="38">
        <f t="shared" si="63"/>
        <v>1</v>
      </c>
      <c r="L49" s="9">
        <f t="shared" si="64"/>
        <v>3</v>
      </c>
      <c r="M49" s="51">
        <v>45687</v>
      </c>
      <c r="N49" s="15" t="s">
        <v>3</v>
      </c>
      <c r="O49" s="34"/>
      <c r="P49" s="8"/>
      <c r="Q49" s="59">
        <f t="shared" si="65"/>
        <v>0</v>
      </c>
      <c r="R49" s="34"/>
      <c r="S49" s="8"/>
      <c r="T49" s="59">
        <f t="shared" si="66"/>
        <v>0</v>
      </c>
      <c r="U49" s="34">
        <v>5</v>
      </c>
      <c r="V49" s="8"/>
      <c r="W49" s="59">
        <f t="shared" si="67"/>
        <v>5</v>
      </c>
      <c r="X49" s="60">
        <f t="shared" si="68"/>
        <v>5</v>
      </c>
      <c r="Y49" s="51">
        <v>45679</v>
      </c>
    </row>
    <row r="50" spans="2:25" x14ac:dyDescent="0.15">
      <c r="B50" s="15" t="s">
        <v>48</v>
      </c>
      <c r="C50" s="29">
        <v>3</v>
      </c>
      <c r="D50" s="24"/>
      <c r="E50" s="38">
        <f t="shared" si="61"/>
        <v>3</v>
      </c>
      <c r="F50" s="29"/>
      <c r="G50" s="24">
        <v>3</v>
      </c>
      <c r="H50" s="38">
        <f t="shared" si="62"/>
        <v>3</v>
      </c>
      <c r="I50" s="29">
        <v>3</v>
      </c>
      <c r="J50" s="24"/>
      <c r="K50" s="38">
        <f t="shared" si="63"/>
        <v>3</v>
      </c>
      <c r="L50" s="9">
        <f t="shared" si="64"/>
        <v>9</v>
      </c>
      <c r="M50" s="51">
        <v>45692</v>
      </c>
      <c r="N50" s="15" t="s">
        <v>3</v>
      </c>
      <c r="O50" s="29">
        <v>60</v>
      </c>
      <c r="P50" s="24">
        <v>40</v>
      </c>
      <c r="Q50" s="38">
        <f t="shared" ref="Q50" si="73">SUM(O50:P50)</f>
        <v>100</v>
      </c>
      <c r="R50" s="34">
        <v>20</v>
      </c>
      <c r="S50" s="8">
        <v>10</v>
      </c>
      <c r="T50" s="38">
        <f t="shared" ref="T50" si="74">SUM(R50:S50)</f>
        <v>30</v>
      </c>
      <c r="U50" s="34">
        <v>30</v>
      </c>
      <c r="V50" s="8">
        <v>20</v>
      </c>
      <c r="W50" s="38">
        <f t="shared" ref="W50" si="75">SUM(U50:V50)</f>
        <v>50</v>
      </c>
      <c r="X50" s="9">
        <f t="shared" ref="X50" si="76">SUM(W50,T50,Q50)</f>
        <v>180</v>
      </c>
      <c r="Y50" s="51" t="s">
        <v>71</v>
      </c>
    </row>
    <row r="51" spans="2:25" ht="14.25" thickBot="1" x14ac:dyDescent="0.2">
      <c r="B51" s="77" t="s">
        <v>48</v>
      </c>
      <c r="C51" s="53">
        <v>8</v>
      </c>
      <c r="D51" s="78"/>
      <c r="E51" s="39">
        <f t="shared" si="61"/>
        <v>8</v>
      </c>
      <c r="F51" s="53">
        <f>1+3</f>
        <v>4</v>
      </c>
      <c r="G51" s="78">
        <v>1</v>
      </c>
      <c r="H51" s="39">
        <f t="shared" si="62"/>
        <v>5</v>
      </c>
      <c r="I51" s="53"/>
      <c r="J51" s="78">
        <v>2</v>
      </c>
      <c r="K51" s="39">
        <f t="shared" si="63"/>
        <v>2</v>
      </c>
      <c r="L51" s="13">
        <f t="shared" si="64"/>
        <v>15</v>
      </c>
      <c r="M51" s="51">
        <v>45693</v>
      </c>
      <c r="N51" s="14" t="s">
        <v>3</v>
      </c>
      <c r="O51" s="30"/>
      <c r="P51" s="25"/>
      <c r="Q51" s="39">
        <f t="shared" si="65"/>
        <v>0</v>
      </c>
      <c r="R51" s="35"/>
      <c r="S51" s="6"/>
      <c r="T51" s="39">
        <f t="shared" si="66"/>
        <v>0</v>
      </c>
      <c r="U51" s="35"/>
      <c r="V51" s="6"/>
      <c r="W51" s="39">
        <f t="shared" si="67"/>
        <v>0</v>
      </c>
      <c r="X51" s="13">
        <f t="shared" si="68"/>
        <v>0</v>
      </c>
      <c r="Y51" s="51"/>
    </row>
    <row r="52" spans="2:25" ht="14.25" thickBot="1" x14ac:dyDescent="0.2">
      <c r="B52" s="74" t="s">
        <v>2</v>
      </c>
      <c r="C52" s="75">
        <f>SUM(C46:C51)</f>
        <v>16</v>
      </c>
      <c r="D52" s="76">
        <f>SUM(D46:D51)</f>
        <v>9</v>
      </c>
      <c r="E52" s="40">
        <f t="shared" ref="E52:E79" si="77">SUM(C52:D52)</f>
        <v>25</v>
      </c>
      <c r="F52" s="75">
        <f>SUM(F46:F51)</f>
        <v>10</v>
      </c>
      <c r="G52" s="76">
        <f>SUM(G46:G51)</f>
        <v>8</v>
      </c>
      <c r="H52" s="40">
        <f t="shared" ref="H52:H79" si="78">SUM(F52:G52)</f>
        <v>18</v>
      </c>
      <c r="I52" s="75">
        <f>SUM(I46:I51)</f>
        <v>12</v>
      </c>
      <c r="J52" s="76">
        <f>SUM(J46:J51)</f>
        <v>11</v>
      </c>
      <c r="K52" s="40">
        <f t="shared" ref="K52:K79" si="79">SUM(I52:J52)</f>
        <v>23</v>
      </c>
      <c r="L52" s="12">
        <f t="shared" si="59"/>
        <v>66</v>
      </c>
      <c r="N52" s="5" t="s">
        <v>2</v>
      </c>
      <c r="O52" s="31">
        <f>SUM(O46:O51)</f>
        <v>121</v>
      </c>
      <c r="P52" s="18">
        <f t="shared" ref="P52" si="80">SUM(P46:P51)</f>
        <v>82</v>
      </c>
      <c r="Q52" s="40">
        <f t="shared" ref="Q52" si="81">SUM(Q46:Q51)</f>
        <v>203</v>
      </c>
      <c r="R52" s="31">
        <f t="shared" ref="R52" si="82">SUM(R46:R51)</f>
        <v>182</v>
      </c>
      <c r="S52" s="18">
        <f t="shared" ref="S52" si="83">SUM(S46:S51)</f>
        <v>172</v>
      </c>
      <c r="T52" s="40">
        <f t="shared" ref="T52" si="84">SUM(T46:T51)</f>
        <v>354</v>
      </c>
      <c r="U52" s="31">
        <f t="shared" ref="U52" si="85">SUM(U46:U51)</f>
        <v>181</v>
      </c>
      <c r="V52" s="18">
        <f t="shared" ref="V52" si="86">SUM(V46:V51)</f>
        <v>166</v>
      </c>
      <c r="W52" s="40">
        <f t="shared" ref="W52" si="87">SUM(W46:W51)</f>
        <v>347</v>
      </c>
      <c r="X52" s="12">
        <f t="shared" ref="X52" si="88">SUM(X46:X51)</f>
        <v>904</v>
      </c>
    </row>
    <row r="53" spans="2:25" x14ac:dyDescent="0.15">
      <c r="B53" s="7" t="s">
        <v>51</v>
      </c>
      <c r="C53" s="29"/>
      <c r="D53" s="24"/>
      <c r="E53" s="41">
        <f t="shared" ref="E53:E66" si="89">SUM(C53:D53)</f>
        <v>0</v>
      </c>
      <c r="F53" s="34"/>
      <c r="G53" s="8">
        <v>1</v>
      </c>
      <c r="H53" s="41">
        <f t="shared" ref="H53:H66" si="90">SUM(F53:G53)</f>
        <v>1</v>
      </c>
      <c r="I53" s="34"/>
      <c r="J53" s="8"/>
      <c r="K53" s="41">
        <f t="shared" ref="K53:K66" si="91">SUM(I53:J53)</f>
        <v>0</v>
      </c>
      <c r="L53" s="8">
        <f t="shared" ref="L53:L66" si="92">SUM(K53,H53,E53)</f>
        <v>1</v>
      </c>
      <c r="M53" s="51">
        <v>45667</v>
      </c>
      <c r="N53" s="7" t="s">
        <v>18</v>
      </c>
      <c r="O53" s="29"/>
      <c r="P53" s="24"/>
      <c r="Q53" s="41">
        <f t="shared" si="65"/>
        <v>0</v>
      </c>
      <c r="R53" s="34">
        <v>50</v>
      </c>
      <c r="S53" s="8">
        <v>50</v>
      </c>
      <c r="T53" s="41">
        <f t="shared" si="66"/>
        <v>100</v>
      </c>
      <c r="U53" s="34">
        <v>50</v>
      </c>
      <c r="V53" s="8">
        <v>50</v>
      </c>
      <c r="W53" s="41">
        <f t="shared" si="67"/>
        <v>100</v>
      </c>
      <c r="X53" s="8">
        <f t="shared" si="68"/>
        <v>200</v>
      </c>
      <c r="Y53" s="51">
        <v>45651</v>
      </c>
    </row>
    <row r="54" spans="2:25" x14ac:dyDescent="0.15">
      <c r="B54" s="7" t="s">
        <v>55</v>
      </c>
      <c r="C54" s="29"/>
      <c r="D54" s="24"/>
      <c r="E54" s="41">
        <f t="shared" si="89"/>
        <v>0</v>
      </c>
      <c r="F54" s="34"/>
      <c r="G54" s="8"/>
      <c r="H54" s="41">
        <f t="shared" si="90"/>
        <v>0</v>
      </c>
      <c r="I54" s="34"/>
      <c r="J54" s="8">
        <v>1</v>
      </c>
      <c r="K54" s="41">
        <f t="shared" si="91"/>
        <v>1</v>
      </c>
      <c r="L54" s="8">
        <f t="shared" si="92"/>
        <v>1</v>
      </c>
      <c r="M54" s="51">
        <v>45673</v>
      </c>
      <c r="N54" s="7" t="s">
        <v>49</v>
      </c>
      <c r="O54" s="29"/>
      <c r="P54" s="24"/>
      <c r="Q54" s="41">
        <f t="shared" ref="Q54:Q55" si="93">SUM(O54:P54)</f>
        <v>0</v>
      </c>
      <c r="R54" s="34">
        <v>20</v>
      </c>
      <c r="S54" s="8">
        <v>20</v>
      </c>
      <c r="T54" s="41">
        <f t="shared" ref="T54:T55" si="94">SUM(R54:S54)</f>
        <v>40</v>
      </c>
      <c r="U54" s="34">
        <v>20</v>
      </c>
      <c r="V54" s="8">
        <v>20</v>
      </c>
      <c r="W54" s="41">
        <f t="shared" ref="W54:W55" si="95">SUM(U54:V54)</f>
        <v>40</v>
      </c>
      <c r="X54" s="8">
        <f t="shared" ref="X54:X55" si="96">SUM(W54,T54,Q54)</f>
        <v>80</v>
      </c>
      <c r="Y54" s="51">
        <v>45665</v>
      </c>
    </row>
    <row r="55" spans="2:25" x14ac:dyDescent="0.15">
      <c r="B55" s="67" t="s">
        <v>23</v>
      </c>
      <c r="C55" s="29"/>
      <c r="D55" s="24"/>
      <c r="E55" s="41">
        <f t="shared" si="89"/>
        <v>0</v>
      </c>
      <c r="F55" s="34"/>
      <c r="G55" s="8">
        <v>1</v>
      </c>
      <c r="H55" s="41">
        <f t="shared" si="90"/>
        <v>1</v>
      </c>
      <c r="I55" s="34"/>
      <c r="J55" s="8"/>
      <c r="K55" s="41">
        <f t="shared" si="91"/>
        <v>0</v>
      </c>
      <c r="L55" s="8">
        <f t="shared" si="92"/>
        <v>1</v>
      </c>
      <c r="M55" s="51">
        <v>45671</v>
      </c>
      <c r="N55" s="7" t="s">
        <v>50</v>
      </c>
      <c r="O55" s="29"/>
      <c r="P55" s="24"/>
      <c r="Q55" s="41">
        <f t="shared" si="93"/>
        <v>0</v>
      </c>
      <c r="R55" s="34">
        <v>30</v>
      </c>
      <c r="S55" s="8">
        <v>30</v>
      </c>
      <c r="T55" s="41">
        <f t="shared" si="94"/>
        <v>60</v>
      </c>
      <c r="U55" s="34">
        <v>30</v>
      </c>
      <c r="V55" s="8">
        <v>30</v>
      </c>
      <c r="W55" s="41">
        <f t="shared" si="95"/>
        <v>60</v>
      </c>
      <c r="X55" s="8">
        <f t="shared" si="96"/>
        <v>120</v>
      </c>
      <c r="Y55" s="51">
        <v>45666</v>
      </c>
    </row>
    <row r="56" spans="2:25" x14ac:dyDescent="0.15">
      <c r="B56" s="7" t="s">
        <v>57</v>
      </c>
      <c r="C56" s="29"/>
      <c r="D56" s="24"/>
      <c r="E56" s="41">
        <f t="shared" si="89"/>
        <v>0</v>
      </c>
      <c r="F56" s="34"/>
      <c r="G56" s="8">
        <v>1</v>
      </c>
      <c r="H56" s="41">
        <f t="shared" si="90"/>
        <v>1</v>
      </c>
      <c r="I56" s="34"/>
      <c r="J56" s="8"/>
      <c r="K56" s="41">
        <f t="shared" si="91"/>
        <v>0</v>
      </c>
      <c r="L56" s="8">
        <f t="shared" si="92"/>
        <v>1</v>
      </c>
      <c r="M56" s="51">
        <v>45674</v>
      </c>
      <c r="N56" s="7" t="s">
        <v>52</v>
      </c>
      <c r="O56" s="29"/>
      <c r="P56" s="24"/>
      <c r="Q56" s="41">
        <f t="shared" si="65"/>
        <v>0</v>
      </c>
      <c r="R56" s="34">
        <v>20</v>
      </c>
      <c r="S56" s="8">
        <v>20</v>
      </c>
      <c r="T56" s="41">
        <f t="shared" si="66"/>
        <v>40</v>
      </c>
      <c r="U56" s="34">
        <v>20</v>
      </c>
      <c r="V56" s="8">
        <v>20</v>
      </c>
      <c r="W56" s="41">
        <f t="shared" si="67"/>
        <v>40</v>
      </c>
      <c r="X56" s="8">
        <f t="shared" si="68"/>
        <v>80</v>
      </c>
      <c r="Y56" s="51">
        <v>45667</v>
      </c>
    </row>
    <row r="57" spans="2:25" x14ac:dyDescent="0.15">
      <c r="B57" s="67" t="s">
        <v>23</v>
      </c>
      <c r="C57" s="29"/>
      <c r="D57" s="24"/>
      <c r="E57" s="41">
        <f t="shared" si="89"/>
        <v>0</v>
      </c>
      <c r="F57" s="34"/>
      <c r="G57" s="8"/>
      <c r="H57" s="41">
        <f t="shared" si="90"/>
        <v>0</v>
      </c>
      <c r="I57" s="34">
        <v>1</v>
      </c>
      <c r="J57" s="8"/>
      <c r="K57" s="41">
        <f t="shared" si="91"/>
        <v>1</v>
      </c>
      <c r="L57" s="8">
        <f t="shared" si="92"/>
        <v>1</v>
      </c>
      <c r="M57" s="51">
        <v>45673</v>
      </c>
      <c r="N57" s="7" t="s">
        <v>54</v>
      </c>
      <c r="O57" s="29">
        <v>10</v>
      </c>
      <c r="P57" s="24">
        <v>6</v>
      </c>
      <c r="Q57" s="41">
        <f t="shared" si="65"/>
        <v>16</v>
      </c>
      <c r="R57" s="34">
        <v>3</v>
      </c>
      <c r="S57" s="8">
        <v>3</v>
      </c>
      <c r="T57" s="41">
        <f t="shared" si="66"/>
        <v>6</v>
      </c>
      <c r="U57" s="34">
        <v>5</v>
      </c>
      <c r="V57" s="8">
        <v>3</v>
      </c>
      <c r="W57" s="41">
        <f t="shared" si="67"/>
        <v>8</v>
      </c>
      <c r="X57" s="8">
        <f t="shared" si="68"/>
        <v>30</v>
      </c>
      <c r="Y57" s="51">
        <v>45671</v>
      </c>
    </row>
    <row r="58" spans="2:25" x14ac:dyDescent="0.15">
      <c r="B58" s="7" t="s">
        <v>61</v>
      </c>
      <c r="C58" s="29"/>
      <c r="D58" s="24">
        <v>2</v>
      </c>
      <c r="E58" s="41">
        <f t="shared" si="89"/>
        <v>2</v>
      </c>
      <c r="F58" s="34"/>
      <c r="G58" s="8"/>
      <c r="H58" s="41">
        <f t="shared" si="90"/>
        <v>0</v>
      </c>
      <c r="I58" s="34"/>
      <c r="J58" s="8"/>
      <c r="K58" s="41">
        <f t="shared" si="91"/>
        <v>0</v>
      </c>
      <c r="L58" s="8">
        <f t="shared" si="92"/>
        <v>2</v>
      </c>
      <c r="M58" s="51">
        <v>45680</v>
      </c>
      <c r="N58" s="7" t="s">
        <v>56</v>
      </c>
      <c r="O58" s="29"/>
      <c r="P58" s="24">
        <v>4</v>
      </c>
      <c r="Q58" s="41">
        <f t="shared" si="65"/>
        <v>4</v>
      </c>
      <c r="R58" s="34">
        <v>4</v>
      </c>
      <c r="S58" s="8">
        <v>1</v>
      </c>
      <c r="T58" s="41">
        <f t="shared" si="66"/>
        <v>5</v>
      </c>
      <c r="U58" s="34">
        <v>4</v>
      </c>
      <c r="V58" s="8">
        <v>7</v>
      </c>
      <c r="W58" s="41">
        <f t="shared" si="67"/>
        <v>11</v>
      </c>
      <c r="X58" s="8">
        <f t="shared" si="68"/>
        <v>20</v>
      </c>
      <c r="Y58" s="51">
        <v>45674</v>
      </c>
    </row>
    <row r="59" spans="2:25" x14ac:dyDescent="0.15">
      <c r="B59" s="7" t="s">
        <v>64</v>
      </c>
      <c r="C59" s="29"/>
      <c r="D59" s="24"/>
      <c r="E59" s="41">
        <f t="shared" si="89"/>
        <v>0</v>
      </c>
      <c r="F59" s="34"/>
      <c r="G59" s="8"/>
      <c r="H59" s="41">
        <f t="shared" si="90"/>
        <v>0</v>
      </c>
      <c r="I59" s="34">
        <v>5</v>
      </c>
      <c r="J59" s="8"/>
      <c r="K59" s="41">
        <f t="shared" si="91"/>
        <v>5</v>
      </c>
      <c r="L59" s="8">
        <f t="shared" si="92"/>
        <v>5</v>
      </c>
      <c r="M59" s="51">
        <v>45679</v>
      </c>
      <c r="N59" s="7" t="s">
        <v>58</v>
      </c>
      <c r="O59" s="29">
        <v>1</v>
      </c>
      <c r="P59" s="24">
        <v>2</v>
      </c>
      <c r="Q59" s="41">
        <f t="shared" si="65"/>
        <v>3</v>
      </c>
      <c r="R59" s="34">
        <v>2</v>
      </c>
      <c r="S59" s="8">
        <v>2</v>
      </c>
      <c r="T59" s="41">
        <f t="shared" si="66"/>
        <v>4</v>
      </c>
      <c r="U59" s="34">
        <v>8</v>
      </c>
      <c r="V59" s="8">
        <v>1</v>
      </c>
      <c r="W59" s="41">
        <f t="shared" si="67"/>
        <v>9</v>
      </c>
      <c r="X59" s="8">
        <f t="shared" si="68"/>
        <v>16</v>
      </c>
      <c r="Y59" s="51">
        <v>45674</v>
      </c>
    </row>
    <row r="60" spans="2:25" x14ac:dyDescent="0.15">
      <c r="B60" s="7" t="s">
        <v>65</v>
      </c>
      <c r="C60" s="29"/>
      <c r="D60" s="24">
        <v>1</v>
      </c>
      <c r="E60" s="41">
        <f t="shared" si="89"/>
        <v>1</v>
      </c>
      <c r="F60" s="34"/>
      <c r="G60" s="8"/>
      <c r="H60" s="41">
        <f t="shared" si="90"/>
        <v>0</v>
      </c>
      <c r="I60" s="34"/>
      <c r="J60" s="8"/>
      <c r="K60" s="41">
        <f t="shared" si="91"/>
        <v>0</v>
      </c>
      <c r="L60" s="8">
        <f t="shared" si="92"/>
        <v>1</v>
      </c>
      <c r="M60" s="51">
        <v>45686</v>
      </c>
      <c r="N60" s="7" t="s">
        <v>59</v>
      </c>
      <c r="O60" s="29">
        <v>6</v>
      </c>
      <c r="P60" s="24"/>
      <c r="Q60" s="41">
        <f t="shared" si="65"/>
        <v>6</v>
      </c>
      <c r="R60" s="34">
        <v>2</v>
      </c>
      <c r="S60" s="8"/>
      <c r="T60" s="41">
        <f t="shared" si="66"/>
        <v>2</v>
      </c>
      <c r="U60" s="34"/>
      <c r="V60" s="8"/>
      <c r="W60" s="41">
        <f t="shared" si="67"/>
        <v>0</v>
      </c>
      <c r="X60" s="8">
        <f t="shared" si="68"/>
        <v>8</v>
      </c>
      <c r="Y60" s="51">
        <v>45677</v>
      </c>
    </row>
    <row r="61" spans="2:25" x14ac:dyDescent="0.15">
      <c r="B61" s="7" t="s">
        <v>67</v>
      </c>
      <c r="C61" s="29">
        <v>2</v>
      </c>
      <c r="D61" s="24"/>
      <c r="E61" s="41">
        <f t="shared" ref="E61" si="97">SUM(C61:D61)</f>
        <v>2</v>
      </c>
      <c r="F61" s="34"/>
      <c r="G61" s="8"/>
      <c r="H61" s="41">
        <f t="shared" ref="H61" si="98">SUM(F61:G61)</f>
        <v>0</v>
      </c>
      <c r="I61" s="34"/>
      <c r="J61" s="8"/>
      <c r="K61" s="41">
        <f t="shared" ref="K61" si="99">SUM(I61:J61)</f>
        <v>0</v>
      </c>
      <c r="L61" s="8">
        <f t="shared" ref="L61" si="100">SUM(K61,H61,E61)</f>
        <v>2</v>
      </c>
      <c r="M61" s="51">
        <v>45687</v>
      </c>
      <c r="N61" s="7" t="s">
        <v>60</v>
      </c>
      <c r="O61" s="29">
        <v>11</v>
      </c>
      <c r="P61" s="24">
        <v>2</v>
      </c>
      <c r="Q61" s="41">
        <f t="shared" si="65"/>
        <v>13</v>
      </c>
      <c r="R61" s="34">
        <v>2</v>
      </c>
      <c r="S61" s="8"/>
      <c r="T61" s="41">
        <f t="shared" si="66"/>
        <v>2</v>
      </c>
      <c r="U61" s="34">
        <v>3</v>
      </c>
      <c r="V61" s="8">
        <v>1</v>
      </c>
      <c r="W61" s="41">
        <f t="shared" si="67"/>
        <v>4</v>
      </c>
      <c r="X61" s="8">
        <f t="shared" si="68"/>
        <v>19</v>
      </c>
      <c r="Y61" s="51">
        <v>45679</v>
      </c>
    </row>
    <row r="62" spans="2:25" x14ac:dyDescent="0.15">
      <c r="B62" s="67" t="s">
        <v>23</v>
      </c>
      <c r="C62" s="29"/>
      <c r="D62" s="24"/>
      <c r="E62" s="41">
        <f t="shared" si="89"/>
        <v>0</v>
      </c>
      <c r="F62" s="34"/>
      <c r="G62" s="8"/>
      <c r="H62" s="41">
        <f t="shared" si="90"/>
        <v>0</v>
      </c>
      <c r="I62" s="34">
        <v>1</v>
      </c>
      <c r="J62" s="8"/>
      <c r="K62" s="41">
        <f t="shared" si="91"/>
        <v>1</v>
      </c>
      <c r="L62" s="8">
        <f t="shared" si="92"/>
        <v>1</v>
      </c>
      <c r="M62" s="51">
        <v>45685</v>
      </c>
      <c r="N62" s="7" t="s">
        <v>62</v>
      </c>
      <c r="O62" s="29">
        <v>6</v>
      </c>
      <c r="P62" s="24">
        <v>2</v>
      </c>
      <c r="Q62" s="41">
        <f t="shared" si="65"/>
        <v>8</v>
      </c>
      <c r="R62" s="34">
        <v>1</v>
      </c>
      <c r="S62" s="8"/>
      <c r="T62" s="41">
        <f t="shared" si="66"/>
        <v>1</v>
      </c>
      <c r="U62" s="34">
        <v>3</v>
      </c>
      <c r="V62" s="8">
        <v>1</v>
      </c>
      <c r="W62" s="41">
        <f t="shared" si="67"/>
        <v>4</v>
      </c>
      <c r="X62" s="8">
        <f t="shared" si="68"/>
        <v>13</v>
      </c>
      <c r="Y62" s="51">
        <v>45680</v>
      </c>
    </row>
    <row r="63" spans="2:25" x14ac:dyDescent="0.15">
      <c r="B63" s="7" t="s">
        <v>68</v>
      </c>
      <c r="C63" s="29">
        <v>1</v>
      </c>
      <c r="D63" s="24"/>
      <c r="E63" s="41">
        <f t="shared" si="89"/>
        <v>1</v>
      </c>
      <c r="F63" s="34"/>
      <c r="G63" s="8"/>
      <c r="H63" s="41">
        <f t="shared" si="90"/>
        <v>0</v>
      </c>
      <c r="I63" s="34">
        <v>1</v>
      </c>
      <c r="J63" s="8"/>
      <c r="K63" s="41">
        <f t="shared" si="91"/>
        <v>1</v>
      </c>
      <c r="L63" s="8">
        <f t="shared" si="92"/>
        <v>2</v>
      </c>
      <c r="M63" s="51">
        <v>45688</v>
      </c>
      <c r="N63" s="7" t="s">
        <v>63</v>
      </c>
      <c r="O63" s="29">
        <v>8</v>
      </c>
      <c r="P63" s="24"/>
      <c r="Q63" s="41">
        <f t="shared" ref="Q63:Q64" si="101">SUM(O63:P63)</f>
        <v>8</v>
      </c>
      <c r="R63" s="34">
        <v>3</v>
      </c>
      <c r="S63" s="8"/>
      <c r="T63" s="41">
        <f t="shared" ref="T63:T64" si="102">SUM(R63:S63)</f>
        <v>3</v>
      </c>
      <c r="U63" s="34"/>
      <c r="V63" s="8"/>
      <c r="W63" s="41">
        <f t="shared" ref="W63:W64" si="103">SUM(U63:V63)</f>
        <v>0</v>
      </c>
      <c r="X63" s="8">
        <f t="shared" ref="X63:X64" si="104">SUM(W63,T63,Q63)</f>
        <v>11</v>
      </c>
      <c r="Y63" s="51">
        <v>45681</v>
      </c>
    </row>
    <row r="64" spans="2:25" x14ac:dyDescent="0.15">
      <c r="B64" s="7" t="s">
        <v>69</v>
      </c>
      <c r="C64" s="29"/>
      <c r="D64" s="24">
        <v>1</v>
      </c>
      <c r="E64" s="41">
        <f t="shared" si="89"/>
        <v>1</v>
      </c>
      <c r="F64" s="34"/>
      <c r="G64" s="8"/>
      <c r="H64" s="41">
        <f t="shared" si="90"/>
        <v>0</v>
      </c>
      <c r="I64" s="34"/>
      <c r="J64" s="8"/>
      <c r="K64" s="41">
        <f t="shared" si="91"/>
        <v>0</v>
      </c>
      <c r="L64" s="8">
        <f t="shared" si="92"/>
        <v>1</v>
      </c>
      <c r="M64" s="51">
        <v>45693</v>
      </c>
      <c r="N64" s="7" t="s">
        <v>66</v>
      </c>
      <c r="O64" s="29"/>
      <c r="P64" s="24">
        <v>5</v>
      </c>
      <c r="Q64" s="41">
        <f t="shared" si="101"/>
        <v>5</v>
      </c>
      <c r="R64" s="34"/>
      <c r="S64" s="8"/>
      <c r="T64" s="41">
        <f t="shared" si="102"/>
        <v>0</v>
      </c>
      <c r="U64" s="34">
        <v>5</v>
      </c>
      <c r="V64" s="8">
        <v>3</v>
      </c>
      <c r="W64" s="41">
        <f t="shared" si="103"/>
        <v>8</v>
      </c>
      <c r="X64" s="8">
        <f t="shared" si="104"/>
        <v>13</v>
      </c>
      <c r="Y64" s="51">
        <v>45686</v>
      </c>
    </row>
    <row r="65" spans="2:25" x14ac:dyDescent="0.15">
      <c r="B65" s="7" t="s">
        <v>70</v>
      </c>
      <c r="C65" s="29">
        <v>1</v>
      </c>
      <c r="D65" s="24"/>
      <c r="E65" s="41">
        <f t="shared" si="89"/>
        <v>1</v>
      </c>
      <c r="F65" s="34"/>
      <c r="G65" s="8"/>
      <c r="H65" s="41">
        <f t="shared" si="90"/>
        <v>0</v>
      </c>
      <c r="I65" s="34">
        <v>1</v>
      </c>
      <c r="J65" s="8"/>
      <c r="K65" s="41">
        <f t="shared" si="91"/>
        <v>1</v>
      </c>
      <c r="L65" s="8">
        <f t="shared" si="92"/>
        <v>2</v>
      </c>
      <c r="M65" s="51">
        <v>45695</v>
      </c>
      <c r="N65" s="7" t="s">
        <v>19</v>
      </c>
      <c r="O65" s="29"/>
      <c r="P65" s="24"/>
      <c r="Q65" s="41">
        <f t="shared" si="65"/>
        <v>0</v>
      </c>
      <c r="R65" s="34"/>
      <c r="S65" s="8"/>
      <c r="T65" s="41">
        <f t="shared" si="66"/>
        <v>0</v>
      </c>
      <c r="U65" s="34">
        <v>3</v>
      </c>
      <c r="V65" s="8"/>
      <c r="W65" s="41">
        <f t="shared" si="67"/>
        <v>3</v>
      </c>
      <c r="X65" s="8">
        <f t="shared" si="68"/>
        <v>3</v>
      </c>
      <c r="Y65" s="51">
        <v>45685</v>
      </c>
    </row>
    <row r="66" spans="2:25" x14ac:dyDescent="0.15">
      <c r="B66" s="7" t="s">
        <v>72</v>
      </c>
      <c r="C66" s="29">
        <v>1</v>
      </c>
      <c r="D66" s="24"/>
      <c r="E66" s="41">
        <f t="shared" si="89"/>
        <v>1</v>
      </c>
      <c r="F66" s="34">
        <v>1</v>
      </c>
      <c r="G66" s="8"/>
      <c r="H66" s="41">
        <f t="shared" si="90"/>
        <v>1</v>
      </c>
      <c r="I66" s="34">
        <v>1</v>
      </c>
      <c r="J66" s="8"/>
      <c r="K66" s="41">
        <f t="shared" si="91"/>
        <v>1</v>
      </c>
      <c r="L66" s="8">
        <f t="shared" si="92"/>
        <v>3</v>
      </c>
      <c r="M66" s="51">
        <v>45702</v>
      </c>
      <c r="N66" s="7" t="s">
        <v>19</v>
      </c>
      <c r="O66" s="29">
        <v>3</v>
      </c>
      <c r="P66" s="24"/>
      <c r="Q66" s="41">
        <f t="shared" si="65"/>
        <v>3</v>
      </c>
      <c r="R66" s="34"/>
      <c r="S66" s="8">
        <v>3</v>
      </c>
      <c r="T66" s="41">
        <f t="shared" si="66"/>
        <v>3</v>
      </c>
      <c r="U66" s="34">
        <v>3</v>
      </c>
      <c r="V66" s="8"/>
      <c r="W66" s="41">
        <f t="shared" si="67"/>
        <v>3</v>
      </c>
      <c r="X66" s="8">
        <f t="shared" si="68"/>
        <v>9</v>
      </c>
      <c r="Y66" s="51">
        <v>45692</v>
      </c>
    </row>
    <row r="67" spans="2:25" x14ac:dyDescent="0.15">
      <c r="B67" s="7" t="s">
        <v>73</v>
      </c>
      <c r="C67" s="29"/>
      <c r="D67" s="24"/>
      <c r="E67" s="41">
        <f t="shared" si="77"/>
        <v>0</v>
      </c>
      <c r="F67" s="34"/>
      <c r="G67" s="8"/>
      <c r="H67" s="41">
        <f t="shared" si="78"/>
        <v>0</v>
      </c>
      <c r="I67" s="34">
        <v>1</v>
      </c>
      <c r="J67" s="8"/>
      <c r="K67" s="41">
        <f t="shared" si="79"/>
        <v>1</v>
      </c>
      <c r="L67" s="8">
        <f t="shared" si="59"/>
        <v>1</v>
      </c>
      <c r="M67" s="51">
        <v>45702</v>
      </c>
      <c r="N67" s="7" t="s">
        <v>19</v>
      </c>
      <c r="O67" s="29"/>
      <c r="P67" s="24"/>
      <c r="Q67" s="41">
        <f t="shared" si="65"/>
        <v>0</v>
      </c>
      <c r="R67" s="34"/>
      <c r="S67" s="8"/>
      <c r="T67" s="41">
        <f t="shared" si="66"/>
        <v>0</v>
      </c>
      <c r="U67" s="34">
        <v>5</v>
      </c>
      <c r="V67" s="8"/>
      <c r="W67" s="41">
        <f t="shared" si="67"/>
        <v>5</v>
      </c>
      <c r="X67" s="8">
        <f t="shared" si="68"/>
        <v>5</v>
      </c>
      <c r="Y67" s="51">
        <v>45702</v>
      </c>
    </row>
    <row r="68" spans="2:25" x14ac:dyDescent="0.15">
      <c r="B68" s="7" t="s">
        <v>74</v>
      </c>
      <c r="C68" s="29"/>
      <c r="D68" s="24"/>
      <c r="E68" s="41">
        <f t="shared" si="77"/>
        <v>0</v>
      </c>
      <c r="F68" s="34"/>
      <c r="G68" s="8"/>
      <c r="H68" s="41">
        <f t="shared" si="78"/>
        <v>0</v>
      </c>
      <c r="I68" s="34">
        <v>1</v>
      </c>
      <c r="J68" s="8"/>
      <c r="K68" s="41">
        <f t="shared" si="79"/>
        <v>1</v>
      </c>
      <c r="L68" s="8">
        <f t="shared" si="59"/>
        <v>1</v>
      </c>
      <c r="M68" s="51">
        <v>45702</v>
      </c>
      <c r="N68" s="7"/>
      <c r="O68" s="29"/>
      <c r="P68" s="24"/>
      <c r="Q68" s="41">
        <f t="shared" si="65"/>
        <v>0</v>
      </c>
      <c r="R68" s="34"/>
      <c r="S68" s="8"/>
      <c r="T68" s="41">
        <f t="shared" si="66"/>
        <v>0</v>
      </c>
      <c r="U68" s="34"/>
      <c r="V68" s="8"/>
      <c r="W68" s="41">
        <f t="shared" si="67"/>
        <v>0</v>
      </c>
      <c r="X68" s="8">
        <f t="shared" si="68"/>
        <v>0</v>
      </c>
      <c r="Y68" s="51"/>
    </row>
    <row r="69" spans="2:25" x14ac:dyDescent="0.15">
      <c r="B69" s="7" t="s">
        <v>75</v>
      </c>
      <c r="C69" s="29"/>
      <c r="D69" s="24"/>
      <c r="E69" s="41">
        <f t="shared" si="77"/>
        <v>0</v>
      </c>
      <c r="F69" s="34"/>
      <c r="G69" s="8"/>
      <c r="H69" s="41">
        <f t="shared" si="78"/>
        <v>0</v>
      </c>
      <c r="I69" s="34">
        <v>-5</v>
      </c>
      <c r="J69" s="8"/>
      <c r="K69" s="41">
        <f t="shared" si="79"/>
        <v>-5</v>
      </c>
      <c r="L69" s="8">
        <f t="shared" si="59"/>
        <v>-5</v>
      </c>
      <c r="M69" s="51">
        <v>45702</v>
      </c>
      <c r="N69" s="7"/>
      <c r="O69" s="32"/>
      <c r="P69" s="26"/>
      <c r="Q69" s="41">
        <f t="shared" si="65"/>
        <v>0</v>
      </c>
      <c r="R69" s="36"/>
      <c r="S69" s="10"/>
      <c r="T69" s="41">
        <f t="shared" si="66"/>
        <v>0</v>
      </c>
      <c r="U69" s="36"/>
      <c r="V69" s="10"/>
      <c r="W69" s="41">
        <f t="shared" si="67"/>
        <v>0</v>
      </c>
      <c r="X69" s="8">
        <f t="shared" si="68"/>
        <v>0</v>
      </c>
      <c r="Y69" s="52"/>
    </row>
    <row r="70" spans="2:25" x14ac:dyDescent="0.15">
      <c r="B70" s="7" t="s">
        <v>76</v>
      </c>
      <c r="C70" s="29"/>
      <c r="D70" s="24"/>
      <c r="E70" s="41">
        <f t="shared" si="77"/>
        <v>0</v>
      </c>
      <c r="F70" s="34"/>
      <c r="G70" s="8"/>
      <c r="H70" s="41">
        <f t="shared" si="78"/>
        <v>0</v>
      </c>
      <c r="I70" s="34">
        <v>1</v>
      </c>
      <c r="J70" s="8"/>
      <c r="K70" s="41">
        <f t="shared" si="79"/>
        <v>1</v>
      </c>
      <c r="L70" s="8">
        <f t="shared" si="59"/>
        <v>1</v>
      </c>
      <c r="M70" s="51">
        <v>45707</v>
      </c>
      <c r="N70" s="7"/>
      <c r="O70" s="32"/>
      <c r="P70" s="26"/>
      <c r="Q70" s="41">
        <f t="shared" si="65"/>
        <v>0</v>
      </c>
      <c r="R70" s="36"/>
      <c r="S70" s="10"/>
      <c r="T70" s="41">
        <f t="shared" si="66"/>
        <v>0</v>
      </c>
      <c r="U70" s="36"/>
      <c r="V70" s="10"/>
      <c r="W70" s="41">
        <f t="shared" si="67"/>
        <v>0</v>
      </c>
      <c r="X70" s="8">
        <f t="shared" si="68"/>
        <v>0</v>
      </c>
      <c r="Y70" s="52"/>
    </row>
    <row r="71" spans="2:25" x14ac:dyDescent="0.15">
      <c r="B71" s="7" t="s">
        <v>77</v>
      </c>
      <c r="C71" s="29"/>
      <c r="D71" s="24">
        <v>1</v>
      </c>
      <c r="E71" s="41">
        <f t="shared" si="77"/>
        <v>1</v>
      </c>
      <c r="F71" s="34"/>
      <c r="G71" s="8">
        <v>1</v>
      </c>
      <c r="H71" s="41">
        <f t="shared" si="78"/>
        <v>1</v>
      </c>
      <c r="I71" s="34"/>
      <c r="J71" s="8">
        <v>1</v>
      </c>
      <c r="K71" s="41">
        <f t="shared" si="79"/>
        <v>1</v>
      </c>
      <c r="L71" s="8">
        <f t="shared" si="59"/>
        <v>3</v>
      </c>
      <c r="M71" s="51">
        <v>45709</v>
      </c>
      <c r="N71" s="7"/>
      <c r="O71" s="32"/>
      <c r="P71" s="26"/>
      <c r="Q71" s="41">
        <f t="shared" si="65"/>
        <v>0</v>
      </c>
      <c r="R71" s="36"/>
      <c r="S71" s="10"/>
      <c r="T71" s="41">
        <f t="shared" si="66"/>
        <v>0</v>
      </c>
      <c r="U71" s="36"/>
      <c r="V71" s="10"/>
      <c r="W71" s="41">
        <f t="shared" si="67"/>
        <v>0</v>
      </c>
      <c r="X71" s="8">
        <f t="shared" si="68"/>
        <v>0</v>
      </c>
      <c r="Y71" s="52"/>
    </row>
    <row r="72" spans="2:25" x14ac:dyDescent="0.15">
      <c r="B72" s="67" t="s">
        <v>23</v>
      </c>
      <c r="C72" s="29"/>
      <c r="D72" s="24"/>
      <c r="E72" s="41">
        <f t="shared" si="77"/>
        <v>0</v>
      </c>
      <c r="F72" s="34"/>
      <c r="G72" s="8"/>
      <c r="H72" s="41">
        <f t="shared" si="78"/>
        <v>0</v>
      </c>
      <c r="I72" s="34"/>
      <c r="J72" s="8">
        <v>1</v>
      </c>
      <c r="K72" s="41">
        <f t="shared" si="79"/>
        <v>1</v>
      </c>
      <c r="L72" s="8">
        <f t="shared" si="59"/>
        <v>1</v>
      </c>
      <c r="M72" s="51">
        <v>45707</v>
      </c>
      <c r="N72" s="7"/>
      <c r="O72" s="29"/>
      <c r="P72" s="24"/>
      <c r="Q72" s="41">
        <f t="shared" si="65"/>
        <v>0</v>
      </c>
      <c r="R72" s="34"/>
      <c r="S72" s="8"/>
      <c r="T72" s="41">
        <f t="shared" si="66"/>
        <v>0</v>
      </c>
      <c r="U72" s="34"/>
      <c r="V72" s="8"/>
      <c r="W72" s="41">
        <f t="shared" si="67"/>
        <v>0</v>
      </c>
      <c r="X72" s="8">
        <f t="shared" si="68"/>
        <v>0</v>
      </c>
      <c r="Y72" s="51"/>
    </row>
    <row r="73" spans="2:25" x14ac:dyDescent="0.15">
      <c r="B73" s="7" t="s">
        <v>78</v>
      </c>
      <c r="C73" s="29"/>
      <c r="D73" s="24"/>
      <c r="E73" s="41">
        <f t="shared" si="77"/>
        <v>0</v>
      </c>
      <c r="F73" s="34"/>
      <c r="G73" s="8">
        <v>1</v>
      </c>
      <c r="H73" s="41">
        <f t="shared" si="78"/>
        <v>1</v>
      </c>
      <c r="I73" s="34">
        <v>1</v>
      </c>
      <c r="J73" s="8"/>
      <c r="K73" s="41">
        <f t="shared" si="79"/>
        <v>1</v>
      </c>
      <c r="L73" s="8">
        <f t="shared" si="59"/>
        <v>2</v>
      </c>
      <c r="M73" s="51">
        <v>45713</v>
      </c>
      <c r="N73" s="7"/>
      <c r="O73" s="29"/>
      <c r="P73" s="24"/>
      <c r="Q73" s="41">
        <f t="shared" si="65"/>
        <v>0</v>
      </c>
      <c r="R73" s="34"/>
      <c r="S73" s="8"/>
      <c r="T73" s="41">
        <f t="shared" si="66"/>
        <v>0</v>
      </c>
      <c r="U73" s="34"/>
      <c r="V73" s="8"/>
      <c r="W73" s="41">
        <f t="shared" si="67"/>
        <v>0</v>
      </c>
      <c r="X73" s="8">
        <f t="shared" si="68"/>
        <v>0</v>
      </c>
      <c r="Y73" s="51"/>
    </row>
    <row r="74" spans="2:25" x14ac:dyDescent="0.15">
      <c r="B74" s="7" t="s">
        <v>79</v>
      </c>
      <c r="C74" s="29"/>
      <c r="D74" s="24"/>
      <c r="E74" s="41">
        <f t="shared" si="77"/>
        <v>0</v>
      </c>
      <c r="F74" s="34"/>
      <c r="G74" s="8"/>
      <c r="H74" s="41">
        <f t="shared" si="78"/>
        <v>0</v>
      </c>
      <c r="I74" s="34">
        <v>1</v>
      </c>
      <c r="J74" s="8"/>
      <c r="K74" s="41">
        <f t="shared" si="79"/>
        <v>1</v>
      </c>
      <c r="L74" s="8">
        <f t="shared" si="59"/>
        <v>1</v>
      </c>
      <c r="M74" s="51">
        <v>45715</v>
      </c>
      <c r="N74" s="7" t="s">
        <v>105</v>
      </c>
      <c r="O74" s="29"/>
      <c r="P74" s="24"/>
      <c r="Q74" s="41">
        <f t="shared" si="65"/>
        <v>0</v>
      </c>
      <c r="R74" s="34"/>
      <c r="S74" s="8"/>
      <c r="T74" s="41">
        <f t="shared" si="66"/>
        <v>0</v>
      </c>
      <c r="U74" s="34"/>
      <c r="V74" s="8"/>
      <c r="W74" s="41">
        <f t="shared" si="67"/>
        <v>0</v>
      </c>
      <c r="X74" s="8">
        <f t="shared" si="68"/>
        <v>0</v>
      </c>
      <c r="Y74" s="50" t="s">
        <v>85</v>
      </c>
    </row>
    <row r="75" spans="2:25" x14ac:dyDescent="0.15">
      <c r="B75" s="7" t="s">
        <v>64</v>
      </c>
      <c r="C75" s="29">
        <v>8</v>
      </c>
      <c r="D75" s="24">
        <v>4</v>
      </c>
      <c r="E75" s="41">
        <f t="shared" si="77"/>
        <v>12</v>
      </c>
      <c r="F75" s="34">
        <v>7</v>
      </c>
      <c r="G75" s="8"/>
      <c r="H75" s="41">
        <f t="shared" si="78"/>
        <v>7</v>
      </c>
      <c r="I75" s="34"/>
      <c r="J75" s="8">
        <v>5</v>
      </c>
      <c r="K75" s="41">
        <f t="shared" si="79"/>
        <v>5</v>
      </c>
      <c r="L75" s="8">
        <f t="shared" si="59"/>
        <v>24</v>
      </c>
      <c r="M75" s="51">
        <v>45717</v>
      </c>
      <c r="N75" s="7" t="s">
        <v>89</v>
      </c>
      <c r="O75" s="29"/>
      <c r="P75" s="24"/>
      <c r="Q75" s="41">
        <f t="shared" si="65"/>
        <v>0</v>
      </c>
      <c r="R75" s="34"/>
      <c r="S75" s="8"/>
      <c r="T75" s="41">
        <f t="shared" si="66"/>
        <v>0</v>
      </c>
      <c r="U75" s="34"/>
      <c r="V75" s="8"/>
      <c r="W75" s="41">
        <f t="shared" si="67"/>
        <v>0</v>
      </c>
      <c r="X75" s="8">
        <f t="shared" si="68"/>
        <v>0</v>
      </c>
      <c r="Y75" s="50" t="s">
        <v>14</v>
      </c>
    </row>
    <row r="76" spans="2:25" x14ac:dyDescent="0.15">
      <c r="B76" s="7" t="s">
        <v>64</v>
      </c>
      <c r="C76" s="29">
        <v>1</v>
      </c>
      <c r="D76" s="24">
        <v>2</v>
      </c>
      <c r="E76" s="41">
        <f t="shared" si="77"/>
        <v>3</v>
      </c>
      <c r="F76" s="34">
        <v>7</v>
      </c>
      <c r="G76" s="8">
        <v>6</v>
      </c>
      <c r="H76" s="41">
        <f t="shared" si="78"/>
        <v>13</v>
      </c>
      <c r="I76" s="34">
        <v>6</v>
      </c>
      <c r="J76" s="8">
        <v>6</v>
      </c>
      <c r="K76" s="41">
        <f t="shared" si="79"/>
        <v>12</v>
      </c>
      <c r="L76" s="8">
        <f t="shared" si="59"/>
        <v>28</v>
      </c>
      <c r="M76" s="51">
        <v>45731</v>
      </c>
      <c r="N76" s="7" t="s">
        <v>42</v>
      </c>
      <c r="O76" s="29"/>
      <c r="P76" s="24"/>
      <c r="Q76" s="41">
        <f t="shared" si="65"/>
        <v>0</v>
      </c>
      <c r="R76" s="34"/>
      <c r="S76" s="8"/>
      <c r="T76" s="41">
        <f t="shared" si="66"/>
        <v>0</v>
      </c>
      <c r="U76" s="34"/>
      <c r="V76" s="8"/>
      <c r="W76" s="41">
        <f t="shared" si="67"/>
        <v>0</v>
      </c>
      <c r="X76" s="8">
        <f t="shared" si="68"/>
        <v>0</v>
      </c>
      <c r="Y76" s="50" t="s">
        <v>43</v>
      </c>
    </row>
    <row r="77" spans="2:25" ht="14.25" thickBot="1" x14ac:dyDescent="0.2">
      <c r="B77" s="7" t="s">
        <v>83</v>
      </c>
      <c r="C77" s="29"/>
      <c r="D77" s="24">
        <v>1</v>
      </c>
      <c r="E77" s="41">
        <f t="shared" si="77"/>
        <v>1</v>
      </c>
      <c r="F77" s="34"/>
      <c r="G77" s="8"/>
      <c r="H77" s="41">
        <f t="shared" si="78"/>
        <v>0</v>
      </c>
      <c r="I77" s="34"/>
      <c r="J77" s="8">
        <v>1</v>
      </c>
      <c r="K77" s="41">
        <f t="shared" si="79"/>
        <v>1</v>
      </c>
      <c r="L77" s="8">
        <f t="shared" si="59"/>
        <v>2</v>
      </c>
      <c r="M77" s="51">
        <v>45758</v>
      </c>
      <c r="N77" s="7" t="s">
        <v>17</v>
      </c>
      <c r="O77" s="71"/>
      <c r="P77" s="72"/>
      <c r="Q77" s="73">
        <f t="shared" ref="Q77" si="105">SUM(O77:P77)</f>
        <v>0</v>
      </c>
      <c r="R77" s="34">
        <f>120-50-20-30-20</f>
        <v>0</v>
      </c>
      <c r="S77" s="8">
        <f>120-50-20-30-20</f>
        <v>0</v>
      </c>
      <c r="T77" s="41">
        <f t="shared" ref="T77" si="106">SUM(R77:S77)</f>
        <v>0</v>
      </c>
      <c r="U77" s="34">
        <f>120-50-20-30-20</f>
        <v>0</v>
      </c>
      <c r="V77" s="8">
        <f>120-50-20-30-20</f>
        <v>0</v>
      </c>
      <c r="W77" s="41">
        <f t="shared" ref="W77" si="107">SUM(U77:V77)</f>
        <v>0</v>
      </c>
      <c r="X77" s="8">
        <f t="shared" ref="X77" si="108">SUM(W77,T77,Q77)</f>
        <v>0</v>
      </c>
      <c r="Y77" s="51" t="s">
        <v>16</v>
      </c>
    </row>
    <row r="78" spans="2:25" ht="14.25" thickBot="1" x14ac:dyDescent="0.2">
      <c r="B78" s="5" t="s">
        <v>1</v>
      </c>
      <c r="C78" s="31">
        <f>SUM(C53:C77)</f>
        <v>14</v>
      </c>
      <c r="D78" s="18">
        <f>SUM(D53:D77)</f>
        <v>12</v>
      </c>
      <c r="E78" s="42">
        <f t="shared" si="77"/>
        <v>26</v>
      </c>
      <c r="F78" s="31">
        <f>SUM(F53:F77)</f>
        <v>15</v>
      </c>
      <c r="G78" s="18">
        <f>SUM(G53:G77)</f>
        <v>11</v>
      </c>
      <c r="H78" s="42">
        <f t="shared" si="78"/>
        <v>26</v>
      </c>
      <c r="I78" s="31">
        <f>SUM(I53:I77)</f>
        <v>16</v>
      </c>
      <c r="J78" s="18">
        <f>SUM(J53:J77)</f>
        <v>15</v>
      </c>
      <c r="K78" s="42">
        <f t="shared" si="79"/>
        <v>31</v>
      </c>
      <c r="L78" s="4">
        <f t="shared" si="59"/>
        <v>83</v>
      </c>
      <c r="N78" s="5" t="s">
        <v>1</v>
      </c>
      <c r="O78" s="31">
        <f>SUM(O53:O77)</f>
        <v>45</v>
      </c>
      <c r="P78" s="18">
        <f t="shared" ref="P78" si="109">SUM(P53:P77)</f>
        <v>21</v>
      </c>
      <c r="Q78" s="42">
        <f t="shared" ref="Q78" si="110">SUM(Q53:Q77)</f>
        <v>66</v>
      </c>
      <c r="R78" s="31">
        <f t="shared" ref="R78" si="111">SUM(R53:R77)</f>
        <v>137</v>
      </c>
      <c r="S78" s="18">
        <f t="shared" ref="S78" si="112">SUM(S53:S77)</f>
        <v>129</v>
      </c>
      <c r="T78" s="42">
        <f t="shared" ref="T78" si="113">SUM(T53:T77)</f>
        <v>266</v>
      </c>
      <c r="U78" s="31">
        <f t="shared" ref="U78" si="114">SUM(U53:U77)</f>
        <v>159</v>
      </c>
      <c r="V78" s="18">
        <f t="shared" ref="V78" si="115">SUM(V53:V77)</f>
        <v>136</v>
      </c>
      <c r="W78" s="42">
        <f t="shared" ref="W78" si="116">SUM(W53:W77)</f>
        <v>295</v>
      </c>
      <c r="X78" s="4">
        <f t="shared" ref="X78" si="117">SUM(X53:X77)</f>
        <v>627</v>
      </c>
    </row>
    <row r="79" spans="2:25" ht="14.25" thickBot="1" x14ac:dyDescent="0.2">
      <c r="B79" s="3" t="s">
        <v>0</v>
      </c>
      <c r="C79" s="33">
        <f>+C52-C78</f>
        <v>2</v>
      </c>
      <c r="D79" s="2">
        <f>+D52-D78</f>
        <v>-3</v>
      </c>
      <c r="E79" s="43">
        <f t="shared" si="77"/>
        <v>-1</v>
      </c>
      <c r="F79" s="33">
        <f>+F52-F78</f>
        <v>-5</v>
      </c>
      <c r="G79" s="2">
        <f>+G52-G78</f>
        <v>-3</v>
      </c>
      <c r="H79" s="43">
        <f t="shared" si="78"/>
        <v>-8</v>
      </c>
      <c r="I79" s="33">
        <f>+I52-I78</f>
        <v>-4</v>
      </c>
      <c r="J79" s="2">
        <f>+J52-J78</f>
        <v>-4</v>
      </c>
      <c r="K79" s="43">
        <f t="shared" si="79"/>
        <v>-8</v>
      </c>
      <c r="L79" s="2">
        <f t="shared" si="59"/>
        <v>-17</v>
      </c>
      <c r="N79" s="55" t="s">
        <v>0</v>
      </c>
      <c r="O79" s="56">
        <f>+O52-O78</f>
        <v>76</v>
      </c>
      <c r="P79" s="57">
        <f t="shared" ref="P79" si="118">+P52-P78</f>
        <v>61</v>
      </c>
      <c r="Q79" s="58">
        <f t="shared" ref="Q79" si="119">+Q52-Q78</f>
        <v>137</v>
      </c>
      <c r="R79" s="56">
        <f t="shared" ref="R79" si="120">+R52-R78</f>
        <v>45</v>
      </c>
      <c r="S79" s="57">
        <f t="shared" ref="S79" si="121">+S52-S78</f>
        <v>43</v>
      </c>
      <c r="T79" s="58">
        <f t="shared" ref="T79" si="122">+T52-T78</f>
        <v>88</v>
      </c>
      <c r="U79" s="56">
        <f t="shared" ref="U79" si="123">+U52-U78</f>
        <v>22</v>
      </c>
      <c r="V79" s="57">
        <f t="shared" ref="V79" si="124">+V52-V78</f>
        <v>30</v>
      </c>
      <c r="W79" s="58">
        <f t="shared" ref="W79" si="125">+W52-W78</f>
        <v>52</v>
      </c>
      <c r="X79" s="57">
        <f t="shared" ref="X79" si="126">+X52-X78</f>
        <v>277</v>
      </c>
    </row>
    <row r="80" spans="2:25" x14ac:dyDescent="0.15">
      <c r="N80" s="1"/>
      <c r="O80" s="68">
        <f>O79/$X$79*100</f>
        <v>27.436823104693143</v>
      </c>
      <c r="P80" s="68">
        <f t="shared" ref="P80:X80" si="127">P79/$X$79*100</f>
        <v>22.021660649819495</v>
      </c>
      <c r="Q80" s="68">
        <f t="shared" si="127"/>
        <v>49.458483754512635</v>
      </c>
      <c r="R80" s="68">
        <f t="shared" si="127"/>
        <v>16.245487364620939</v>
      </c>
      <c r="S80" s="68">
        <f t="shared" si="127"/>
        <v>15.523465703971121</v>
      </c>
      <c r="T80" s="68">
        <f t="shared" si="127"/>
        <v>31.768953068592058</v>
      </c>
      <c r="U80" s="68">
        <f t="shared" si="127"/>
        <v>7.9422382671480145</v>
      </c>
      <c r="V80" s="68">
        <f t="shared" si="127"/>
        <v>10.830324909747292</v>
      </c>
      <c r="W80" s="68">
        <f t="shared" si="127"/>
        <v>18.772563176895307</v>
      </c>
      <c r="X80" s="68">
        <f t="shared" si="127"/>
        <v>100</v>
      </c>
    </row>
    <row r="81" spans="2:25" x14ac:dyDescent="0.15">
      <c r="O81" s="70">
        <v>33.6</v>
      </c>
      <c r="P81" s="70">
        <v>19.600000000000001</v>
      </c>
      <c r="Q81" s="70">
        <v>53.2</v>
      </c>
      <c r="R81" s="70">
        <v>12.8</v>
      </c>
      <c r="S81" s="70">
        <v>8.5</v>
      </c>
      <c r="T81" s="70">
        <v>21.3</v>
      </c>
      <c r="U81" s="70">
        <v>14.9</v>
      </c>
      <c r="V81" s="70">
        <v>10.6</v>
      </c>
      <c r="W81" s="70">
        <v>25.5</v>
      </c>
      <c r="X81" s="70">
        <v>100</v>
      </c>
    </row>
    <row r="82" spans="2:25" ht="18.75" x14ac:dyDescent="0.2">
      <c r="B82" s="22" t="s">
        <v>8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N82" s="45" t="s">
        <v>9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</row>
    <row r="83" spans="2:25" ht="15" thickBot="1" x14ac:dyDescent="0.2">
      <c r="B83" s="21" t="s">
        <v>20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N83" s="47" t="s">
        <v>15</v>
      </c>
      <c r="O83" s="46"/>
      <c r="P83" s="46"/>
      <c r="Q83" s="46"/>
      <c r="R83" s="46" t="s">
        <v>21</v>
      </c>
      <c r="S83" s="46"/>
      <c r="T83" s="46"/>
      <c r="U83" s="46"/>
      <c r="V83" s="46"/>
      <c r="W83" s="46"/>
      <c r="X83" s="46"/>
    </row>
    <row r="84" spans="2:25" ht="14.25" thickBot="1" x14ac:dyDescent="0.2">
      <c r="B84" s="19"/>
      <c r="C84" s="114" t="s">
        <v>10</v>
      </c>
      <c r="D84" s="115"/>
      <c r="E84" s="116"/>
      <c r="F84" s="117" t="s">
        <v>11</v>
      </c>
      <c r="G84" s="118"/>
      <c r="H84" s="119"/>
      <c r="I84" s="120" t="s">
        <v>12</v>
      </c>
      <c r="J84" s="121"/>
      <c r="K84" s="122"/>
      <c r="L84" s="18"/>
      <c r="N84" s="19"/>
      <c r="O84" s="114" t="s">
        <v>10</v>
      </c>
      <c r="P84" s="115"/>
      <c r="Q84" s="116"/>
      <c r="R84" s="117" t="s">
        <v>11</v>
      </c>
      <c r="S84" s="118"/>
      <c r="T84" s="119"/>
      <c r="U84" s="120" t="s">
        <v>12</v>
      </c>
      <c r="V84" s="121"/>
      <c r="W84" s="122"/>
      <c r="X84" s="18"/>
    </row>
    <row r="85" spans="2:25" ht="14.25" thickBot="1" x14ac:dyDescent="0.2">
      <c r="B85" s="17"/>
      <c r="C85" s="27" t="s">
        <v>6</v>
      </c>
      <c r="D85" s="16" t="s">
        <v>5</v>
      </c>
      <c r="E85" s="37" t="s">
        <v>4</v>
      </c>
      <c r="F85" s="27" t="s">
        <v>6</v>
      </c>
      <c r="G85" s="16" t="s">
        <v>5</v>
      </c>
      <c r="H85" s="37" t="s">
        <v>4</v>
      </c>
      <c r="I85" s="27" t="s">
        <v>6</v>
      </c>
      <c r="J85" s="16" t="s">
        <v>5</v>
      </c>
      <c r="K85" s="37" t="s">
        <v>4</v>
      </c>
      <c r="L85" s="16" t="s">
        <v>4</v>
      </c>
      <c r="N85" s="17"/>
      <c r="O85" s="27" t="s">
        <v>6</v>
      </c>
      <c r="P85" s="16" t="s">
        <v>5</v>
      </c>
      <c r="Q85" s="37" t="s">
        <v>4</v>
      </c>
      <c r="R85" s="27" t="s">
        <v>6</v>
      </c>
      <c r="S85" s="16" t="s">
        <v>5</v>
      </c>
      <c r="T85" s="37" t="s">
        <v>4</v>
      </c>
      <c r="U85" s="27" t="s">
        <v>6</v>
      </c>
      <c r="V85" s="16" t="s">
        <v>5</v>
      </c>
      <c r="W85" s="37" t="s">
        <v>4</v>
      </c>
      <c r="X85" s="16" t="s">
        <v>4</v>
      </c>
    </row>
    <row r="86" spans="2:25" x14ac:dyDescent="0.15">
      <c r="B86" s="61" t="s">
        <v>0</v>
      </c>
      <c r="C86" s="62">
        <f t="shared" ref="C86:K86" si="128">C79</f>
        <v>2</v>
      </c>
      <c r="D86" s="63">
        <f t="shared" si="128"/>
        <v>-3</v>
      </c>
      <c r="E86" s="64">
        <f t="shared" si="128"/>
        <v>-1</v>
      </c>
      <c r="F86" s="62">
        <f t="shared" si="128"/>
        <v>-5</v>
      </c>
      <c r="G86" s="63">
        <f t="shared" si="128"/>
        <v>-3</v>
      </c>
      <c r="H86" s="64">
        <f t="shared" si="128"/>
        <v>-8</v>
      </c>
      <c r="I86" s="62">
        <f t="shared" si="128"/>
        <v>-4</v>
      </c>
      <c r="J86" s="63">
        <f t="shared" si="128"/>
        <v>-4</v>
      </c>
      <c r="K86" s="64">
        <f t="shared" si="128"/>
        <v>-8</v>
      </c>
      <c r="L86" s="65">
        <f t="shared" ref="L86:L119" si="129">SUM(K86,H86,E86)</f>
        <v>-17</v>
      </c>
      <c r="M86" s="51"/>
      <c r="N86" s="61" t="s">
        <v>0</v>
      </c>
      <c r="O86" s="62">
        <f>O79</f>
        <v>76</v>
      </c>
      <c r="P86" s="63">
        <f t="shared" ref="P86:X86" si="130">P79</f>
        <v>61</v>
      </c>
      <c r="Q86" s="64">
        <f t="shared" si="130"/>
        <v>137</v>
      </c>
      <c r="R86" s="62">
        <f t="shared" si="130"/>
        <v>45</v>
      </c>
      <c r="S86" s="63">
        <f t="shared" si="130"/>
        <v>43</v>
      </c>
      <c r="T86" s="64">
        <f t="shared" si="130"/>
        <v>88</v>
      </c>
      <c r="U86" s="62">
        <f t="shared" si="130"/>
        <v>22</v>
      </c>
      <c r="V86" s="63">
        <f t="shared" si="130"/>
        <v>30</v>
      </c>
      <c r="W86" s="64">
        <f t="shared" si="130"/>
        <v>52</v>
      </c>
      <c r="X86" s="65">
        <f t="shared" si="130"/>
        <v>277</v>
      </c>
    </row>
    <row r="87" spans="2:25" x14ac:dyDescent="0.15">
      <c r="B87" s="15" t="s">
        <v>48</v>
      </c>
      <c r="C87" s="29"/>
      <c r="D87" s="24">
        <v>3</v>
      </c>
      <c r="E87" s="38">
        <f t="shared" ref="E87" si="131">SUM(C87:D87)</f>
        <v>3</v>
      </c>
      <c r="F87" s="34"/>
      <c r="G87" s="8">
        <v>2</v>
      </c>
      <c r="H87" s="38">
        <f t="shared" ref="H87" si="132">SUM(F87:G87)</f>
        <v>2</v>
      </c>
      <c r="I87" s="34"/>
      <c r="J87" s="8"/>
      <c r="K87" s="38">
        <f t="shared" ref="K87" si="133">SUM(I87:J87)</f>
        <v>0</v>
      </c>
      <c r="L87" s="9">
        <f t="shared" ref="L87" si="134">SUM(K87,H87,E87)</f>
        <v>5</v>
      </c>
      <c r="M87" s="51">
        <v>45702</v>
      </c>
      <c r="N87" s="15" t="s">
        <v>3</v>
      </c>
      <c r="O87" s="29">
        <v>8</v>
      </c>
      <c r="P87" s="24">
        <v>4</v>
      </c>
      <c r="Q87" s="38">
        <f t="shared" ref="Q87:Q90" si="135">SUM(O87:P87)</f>
        <v>12</v>
      </c>
      <c r="R87" s="34">
        <v>7</v>
      </c>
      <c r="S87" s="8"/>
      <c r="T87" s="38">
        <f t="shared" ref="T87:T90" si="136">SUM(R87:S87)</f>
        <v>7</v>
      </c>
      <c r="U87" s="34"/>
      <c r="V87" s="8">
        <v>5</v>
      </c>
      <c r="W87" s="38">
        <f t="shared" ref="W87:W90" si="137">SUM(U87:V87)</f>
        <v>5</v>
      </c>
      <c r="X87" s="9">
        <f t="shared" ref="X87:X117" si="138">SUM(W87,T87,Q87)</f>
        <v>24</v>
      </c>
      <c r="Y87" s="51">
        <v>45717</v>
      </c>
    </row>
    <row r="88" spans="2:25" x14ac:dyDescent="0.15">
      <c r="B88" s="15" t="s">
        <v>48</v>
      </c>
      <c r="C88" s="29"/>
      <c r="D88" s="24"/>
      <c r="E88" s="38">
        <f t="shared" ref="E88:E119" si="139">SUM(C88:D88)</f>
        <v>0</v>
      </c>
      <c r="F88" s="34"/>
      <c r="G88" s="8"/>
      <c r="H88" s="38">
        <f t="shared" ref="H88:H119" si="140">SUM(F88:G88)</f>
        <v>0</v>
      </c>
      <c r="I88" s="34">
        <v>1</v>
      </c>
      <c r="J88" s="8"/>
      <c r="K88" s="38">
        <f t="shared" ref="K88:K119" si="141">SUM(I88:J88)</f>
        <v>1</v>
      </c>
      <c r="L88" s="9">
        <f t="shared" si="129"/>
        <v>1</v>
      </c>
      <c r="M88" s="51">
        <v>45729</v>
      </c>
      <c r="N88" s="15" t="s">
        <v>3</v>
      </c>
      <c r="O88" s="29">
        <v>1</v>
      </c>
      <c r="P88" s="24">
        <v>2</v>
      </c>
      <c r="Q88" s="38">
        <f t="shared" si="135"/>
        <v>3</v>
      </c>
      <c r="R88" s="34">
        <v>7</v>
      </c>
      <c r="S88" s="8">
        <v>6</v>
      </c>
      <c r="T88" s="38">
        <f t="shared" si="136"/>
        <v>13</v>
      </c>
      <c r="U88" s="34">
        <v>6</v>
      </c>
      <c r="V88" s="8">
        <v>6</v>
      </c>
      <c r="W88" s="38">
        <f t="shared" si="137"/>
        <v>12</v>
      </c>
      <c r="X88" s="9">
        <f t="shared" si="138"/>
        <v>28</v>
      </c>
      <c r="Y88" s="51">
        <v>45731</v>
      </c>
    </row>
    <row r="89" spans="2:25" x14ac:dyDescent="0.15">
      <c r="B89" s="15" t="s">
        <v>80</v>
      </c>
      <c r="C89" s="29"/>
      <c r="D89" s="24"/>
      <c r="E89" s="38">
        <f t="shared" si="139"/>
        <v>0</v>
      </c>
      <c r="F89" s="34">
        <v>6</v>
      </c>
      <c r="G89" s="8">
        <v>4</v>
      </c>
      <c r="H89" s="38">
        <f t="shared" si="140"/>
        <v>10</v>
      </c>
      <c r="I89" s="34">
        <v>6</v>
      </c>
      <c r="J89" s="8">
        <v>4</v>
      </c>
      <c r="K89" s="38">
        <f t="shared" si="141"/>
        <v>10</v>
      </c>
      <c r="L89" s="9">
        <f t="shared" si="129"/>
        <v>20</v>
      </c>
      <c r="M89" s="51">
        <v>45730</v>
      </c>
      <c r="N89" s="15" t="s">
        <v>91</v>
      </c>
      <c r="O89" s="34"/>
      <c r="P89" s="8"/>
      <c r="Q89" s="59">
        <f t="shared" si="135"/>
        <v>0</v>
      </c>
      <c r="R89" s="34"/>
      <c r="S89" s="8"/>
      <c r="T89" s="59">
        <f t="shared" si="136"/>
        <v>0</v>
      </c>
      <c r="U89" s="34">
        <v>60</v>
      </c>
      <c r="V89" s="8">
        <v>30</v>
      </c>
      <c r="W89" s="59">
        <f t="shared" si="137"/>
        <v>90</v>
      </c>
      <c r="X89" s="60">
        <f t="shared" si="138"/>
        <v>90</v>
      </c>
      <c r="Y89" s="51" t="s">
        <v>106</v>
      </c>
    </row>
    <row r="90" spans="2:25" x14ac:dyDescent="0.15">
      <c r="B90" s="15" t="s">
        <v>80</v>
      </c>
      <c r="C90" s="29"/>
      <c r="D90" s="24">
        <v>1</v>
      </c>
      <c r="E90" s="38">
        <f t="shared" si="139"/>
        <v>1</v>
      </c>
      <c r="F90" s="34">
        <v>1</v>
      </c>
      <c r="G90" s="8"/>
      <c r="H90" s="38">
        <f t="shared" si="140"/>
        <v>1</v>
      </c>
      <c r="I90" s="34"/>
      <c r="J90" s="8">
        <v>1</v>
      </c>
      <c r="K90" s="38">
        <f t="shared" si="141"/>
        <v>1</v>
      </c>
      <c r="L90" s="9">
        <f t="shared" si="129"/>
        <v>3</v>
      </c>
      <c r="M90" s="51">
        <v>45730</v>
      </c>
      <c r="N90" s="15" t="s">
        <v>92</v>
      </c>
      <c r="O90" s="34">
        <v>60</v>
      </c>
      <c r="P90" s="8">
        <v>40</v>
      </c>
      <c r="Q90" s="59">
        <f t="shared" si="135"/>
        <v>100</v>
      </c>
      <c r="R90" s="34">
        <v>30</v>
      </c>
      <c r="S90" s="8">
        <v>30</v>
      </c>
      <c r="T90" s="59">
        <f t="shared" si="136"/>
        <v>60</v>
      </c>
      <c r="U90" s="34"/>
      <c r="V90" s="8"/>
      <c r="W90" s="59">
        <f t="shared" si="137"/>
        <v>0</v>
      </c>
      <c r="X90" s="60">
        <f t="shared" si="138"/>
        <v>160</v>
      </c>
      <c r="Y90" s="51" t="s">
        <v>111</v>
      </c>
    </row>
    <row r="91" spans="2:25" ht="14.25" thickBot="1" x14ac:dyDescent="0.2">
      <c r="B91" s="14" t="s">
        <v>81</v>
      </c>
      <c r="C91" s="30"/>
      <c r="D91" s="25"/>
      <c r="E91" s="39">
        <f t="shared" si="139"/>
        <v>0</v>
      </c>
      <c r="F91" s="35"/>
      <c r="G91" s="6">
        <v>-1</v>
      </c>
      <c r="H91" s="39">
        <f t="shared" si="140"/>
        <v>-1</v>
      </c>
      <c r="I91" s="35">
        <v>-1</v>
      </c>
      <c r="J91" s="6"/>
      <c r="K91" s="39">
        <f t="shared" si="141"/>
        <v>-1</v>
      </c>
      <c r="L91" s="13">
        <f t="shared" si="129"/>
        <v>-2</v>
      </c>
      <c r="M91" s="51">
        <v>45730</v>
      </c>
      <c r="N91" s="14" t="s">
        <v>3</v>
      </c>
      <c r="O91" s="30"/>
      <c r="P91" s="25"/>
      <c r="Q91" s="39">
        <f t="shared" ref="Q91:Q117" si="142">SUM(O91:P91)</f>
        <v>0</v>
      </c>
      <c r="R91" s="35"/>
      <c r="S91" s="6"/>
      <c r="T91" s="39">
        <f t="shared" ref="T91:T117" si="143">SUM(R91:S91)</f>
        <v>0</v>
      </c>
      <c r="U91" s="35"/>
      <c r="V91" s="6"/>
      <c r="W91" s="39">
        <f t="shared" ref="W91:W117" si="144">SUM(U91:V91)</f>
        <v>0</v>
      </c>
      <c r="X91" s="13">
        <f t="shared" si="138"/>
        <v>0</v>
      </c>
    </row>
    <row r="92" spans="2:25" ht="14.25" thickBot="1" x14ac:dyDescent="0.2">
      <c r="B92" s="5" t="s">
        <v>2</v>
      </c>
      <c r="C92" s="31">
        <f>SUM(C86:C91)</f>
        <v>2</v>
      </c>
      <c r="D92" s="18">
        <f>SUM(D86:D91)</f>
        <v>1</v>
      </c>
      <c r="E92" s="40">
        <f t="shared" si="139"/>
        <v>3</v>
      </c>
      <c r="F92" s="31">
        <f>SUM(F86:F91)</f>
        <v>2</v>
      </c>
      <c r="G92" s="18">
        <f>SUM(G86:G91)</f>
        <v>2</v>
      </c>
      <c r="H92" s="40">
        <f t="shared" si="140"/>
        <v>4</v>
      </c>
      <c r="I92" s="31">
        <f>SUM(I86:I91)</f>
        <v>2</v>
      </c>
      <c r="J92" s="18">
        <f>SUM(J86:J91)</f>
        <v>1</v>
      </c>
      <c r="K92" s="40">
        <f t="shared" si="141"/>
        <v>3</v>
      </c>
      <c r="L92" s="12">
        <f t="shared" si="129"/>
        <v>10</v>
      </c>
      <c r="N92" s="5" t="s">
        <v>2</v>
      </c>
      <c r="O92" s="31">
        <f>SUM(O86:O91)</f>
        <v>145</v>
      </c>
      <c r="P92" s="18">
        <f t="shared" ref="P92:X92" si="145">SUM(P86:P91)</f>
        <v>107</v>
      </c>
      <c r="Q92" s="40">
        <f t="shared" si="145"/>
        <v>252</v>
      </c>
      <c r="R92" s="31">
        <f t="shared" si="145"/>
        <v>89</v>
      </c>
      <c r="S92" s="18">
        <f t="shared" si="145"/>
        <v>79</v>
      </c>
      <c r="T92" s="40">
        <f t="shared" si="145"/>
        <v>168</v>
      </c>
      <c r="U92" s="31">
        <f t="shared" si="145"/>
        <v>88</v>
      </c>
      <c r="V92" s="18">
        <f t="shared" si="145"/>
        <v>71</v>
      </c>
      <c r="W92" s="40">
        <f t="shared" si="145"/>
        <v>159</v>
      </c>
      <c r="X92" s="12">
        <f t="shared" si="145"/>
        <v>579</v>
      </c>
    </row>
    <row r="93" spans="2:25" x14ac:dyDescent="0.15">
      <c r="B93" s="7" t="s">
        <v>81</v>
      </c>
      <c r="C93" s="32">
        <v>0</v>
      </c>
      <c r="D93" s="26">
        <v>0</v>
      </c>
      <c r="E93" s="41">
        <f t="shared" si="139"/>
        <v>0</v>
      </c>
      <c r="F93" s="36">
        <v>0</v>
      </c>
      <c r="G93" s="10">
        <v>0</v>
      </c>
      <c r="H93" s="41">
        <f t="shared" si="140"/>
        <v>0</v>
      </c>
      <c r="I93" s="36">
        <v>0</v>
      </c>
      <c r="J93" s="10">
        <v>0</v>
      </c>
      <c r="K93" s="41">
        <f t="shared" si="141"/>
        <v>0</v>
      </c>
      <c r="L93" s="8">
        <f t="shared" si="129"/>
        <v>0</v>
      </c>
      <c r="M93" s="52">
        <v>45878</v>
      </c>
      <c r="N93" s="7" t="s">
        <v>82</v>
      </c>
      <c r="O93" s="29"/>
      <c r="P93" s="24">
        <v>2</v>
      </c>
      <c r="Q93" s="41">
        <f t="shared" si="142"/>
        <v>2</v>
      </c>
      <c r="R93" s="34"/>
      <c r="S93" s="8"/>
      <c r="T93" s="41">
        <f t="shared" si="143"/>
        <v>0</v>
      </c>
      <c r="U93" s="34"/>
      <c r="V93" s="8"/>
      <c r="W93" s="41">
        <f t="shared" si="144"/>
        <v>0</v>
      </c>
      <c r="X93" s="8">
        <f t="shared" si="138"/>
        <v>2</v>
      </c>
      <c r="Y93" s="51">
        <v>45744</v>
      </c>
    </row>
    <row r="94" spans="2:25" x14ac:dyDescent="0.15">
      <c r="B94" s="7" t="s">
        <v>23</v>
      </c>
      <c r="C94" s="32"/>
      <c r="D94" s="26"/>
      <c r="E94" s="41">
        <f t="shared" si="139"/>
        <v>0</v>
      </c>
      <c r="F94" s="36"/>
      <c r="G94" s="10">
        <v>1</v>
      </c>
      <c r="H94" s="41">
        <f t="shared" si="140"/>
        <v>1</v>
      </c>
      <c r="I94" s="36"/>
      <c r="J94" s="10"/>
      <c r="K94" s="41">
        <f t="shared" si="141"/>
        <v>0</v>
      </c>
      <c r="L94" s="8">
        <f t="shared" si="129"/>
        <v>1</v>
      </c>
      <c r="M94" s="52">
        <v>45938</v>
      </c>
      <c r="N94" s="86" t="s">
        <v>93</v>
      </c>
      <c r="O94" s="87"/>
      <c r="P94" s="88"/>
      <c r="Q94" s="89">
        <f t="shared" si="142"/>
        <v>0</v>
      </c>
      <c r="R94" s="90"/>
      <c r="S94" s="91"/>
      <c r="T94" s="89">
        <f t="shared" si="143"/>
        <v>0</v>
      </c>
      <c r="U94" s="90"/>
      <c r="V94" s="91">
        <v>2</v>
      </c>
      <c r="W94" s="89">
        <f t="shared" si="144"/>
        <v>2</v>
      </c>
      <c r="X94" s="91">
        <f t="shared" si="138"/>
        <v>2</v>
      </c>
      <c r="Y94" s="92">
        <v>45959</v>
      </c>
    </row>
    <row r="95" spans="2:25" x14ac:dyDescent="0.15">
      <c r="B95" s="7" t="s">
        <v>23</v>
      </c>
      <c r="C95" s="32"/>
      <c r="D95" s="26"/>
      <c r="E95" s="41">
        <f t="shared" si="139"/>
        <v>0</v>
      </c>
      <c r="F95" s="36"/>
      <c r="G95" s="10"/>
      <c r="H95" s="41">
        <f t="shared" si="140"/>
        <v>0</v>
      </c>
      <c r="I95" s="36"/>
      <c r="J95" s="10">
        <v>1</v>
      </c>
      <c r="K95" s="41">
        <f t="shared" si="141"/>
        <v>1</v>
      </c>
      <c r="L95" s="8">
        <f t="shared" si="129"/>
        <v>1</v>
      </c>
      <c r="M95" s="52">
        <v>45957</v>
      </c>
      <c r="N95" s="7" t="s">
        <v>25</v>
      </c>
      <c r="O95" s="29"/>
      <c r="P95" s="24"/>
      <c r="Q95" s="41">
        <f t="shared" si="142"/>
        <v>0</v>
      </c>
      <c r="R95" s="34">
        <v>3</v>
      </c>
      <c r="S95" s="8"/>
      <c r="T95" s="41">
        <f t="shared" si="143"/>
        <v>3</v>
      </c>
      <c r="U95" s="34">
        <v>3</v>
      </c>
      <c r="V95" s="8"/>
      <c r="W95" s="41">
        <f t="shared" si="144"/>
        <v>3</v>
      </c>
      <c r="X95" s="8">
        <f t="shared" si="138"/>
        <v>6</v>
      </c>
      <c r="Y95" s="51">
        <v>45982</v>
      </c>
    </row>
    <row r="96" spans="2:25" x14ac:dyDescent="0.15">
      <c r="B96" s="86" t="s">
        <v>3</v>
      </c>
      <c r="C96" s="87"/>
      <c r="D96" s="88"/>
      <c r="E96" s="89">
        <f t="shared" si="139"/>
        <v>0</v>
      </c>
      <c r="F96" s="90"/>
      <c r="G96" s="91"/>
      <c r="H96" s="89">
        <f t="shared" si="140"/>
        <v>0</v>
      </c>
      <c r="I96" s="90"/>
      <c r="J96" s="91">
        <v>-2</v>
      </c>
      <c r="K96" s="89">
        <f t="shared" si="141"/>
        <v>-2</v>
      </c>
      <c r="L96" s="91">
        <f t="shared" si="129"/>
        <v>-2</v>
      </c>
      <c r="M96" s="92">
        <v>45959</v>
      </c>
      <c r="N96" s="86" t="s">
        <v>19</v>
      </c>
      <c r="O96" s="87">
        <v>2</v>
      </c>
      <c r="P96" s="88">
        <v>2</v>
      </c>
      <c r="Q96" s="89">
        <f t="shared" si="142"/>
        <v>4</v>
      </c>
      <c r="R96" s="90">
        <v>2</v>
      </c>
      <c r="S96" s="91">
        <v>2</v>
      </c>
      <c r="T96" s="89">
        <f t="shared" si="143"/>
        <v>4</v>
      </c>
      <c r="U96" s="90">
        <v>2</v>
      </c>
      <c r="V96" s="91">
        <v>2</v>
      </c>
      <c r="W96" s="89">
        <f t="shared" si="144"/>
        <v>4</v>
      </c>
      <c r="X96" s="91">
        <f t="shared" si="138"/>
        <v>12</v>
      </c>
      <c r="Y96" s="92">
        <v>45986</v>
      </c>
    </row>
    <row r="97" spans="2:25" x14ac:dyDescent="0.15">
      <c r="B97" s="7" t="s">
        <v>23</v>
      </c>
      <c r="C97" s="32"/>
      <c r="D97" s="26"/>
      <c r="E97" s="41">
        <f t="shared" si="139"/>
        <v>0</v>
      </c>
      <c r="F97" s="36"/>
      <c r="G97" s="10"/>
      <c r="H97" s="41">
        <f t="shared" si="140"/>
        <v>0</v>
      </c>
      <c r="I97" s="36">
        <v>1</v>
      </c>
      <c r="J97" s="10"/>
      <c r="K97" s="41">
        <f t="shared" si="141"/>
        <v>1</v>
      </c>
      <c r="L97" s="8">
        <f t="shared" si="129"/>
        <v>1</v>
      </c>
      <c r="M97" s="52">
        <v>45959</v>
      </c>
      <c r="N97" s="7" t="s">
        <v>26</v>
      </c>
      <c r="O97" s="29">
        <v>5</v>
      </c>
      <c r="P97" s="24"/>
      <c r="Q97" s="41">
        <f t="shared" si="142"/>
        <v>5</v>
      </c>
      <c r="R97" s="34">
        <v>3</v>
      </c>
      <c r="S97" s="8">
        <v>2</v>
      </c>
      <c r="T97" s="41">
        <f t="shared" si="143"/>
        <v>5</v>
      </c>
      <c r="U97" s="34"/>
      <c r="V97" s="8">
        <v>2</v>
      </c>
      <c r="W97" s="41">
        <f t="shared" si="144"/>
        <v>2</v>
      </c>
      <c r="X97" s="8">
        <f t="shared" si="138"/>
        <v>12</v>
      </c>
      <c r="Y97" s="51">
        <v>45988</v>
      </c>
    </row>
    <row r="98" spans="2:25" x14ac:dyDescent="0.15">
      <c r="B98" s="7" t="s">
        <v>23</v>
      </c>
      <c r="C98" s="32">
        <v>1</v>
      </c>
      <c r="D98" s="26"/>
      <c r="E98" s="41">
        <f t="shared" si="139"/>
        <v>1</v>
      </c>
      <c r="F98" s="36"/>
      <c r="G98" s="10"/>
      <c r="H98" s="41">
        <f t="shared" si="140"/>
        <v>0</v>
      </c>
      <c r="I98" s="36"/>
      <c r="J98" s="10"/>
      <c r="K98" s="41">
        <f t="shared" si="141"/>
        <v>0</v>
      </c>
      <c r="L98" s="8">
        <f t="shared" si="129"/>
        <v>1</v>
      </c>
      <c r="M98" s="52">
        <v>45965</v>
      </c>
      <c r="N98" s="7" t="s">
        <v>27</v>
      </c>
      <c r="O98" s="29">
        <v>4</v>
      </c>
      <c r="P98" s="24">
        <v>4</v>
      </c>
      <c r="Q98" s="41">
        <f t="shared" si="142"/>
        <v>8</v>
      </c>
      <c r="R98" s="34">
        <v>1</v>
      </c>
      <c r="S98" s="8">
        <v>2</v>
      </c>
      <c r="T98" s="41">
        <f t="shared" si="143"/>
        <v>3</v>
      </c>
      <c r="U98" s="34">
        <v>1</v>
      </c>
      <c r="V98" s="8"/>
      <c r="W98" s="41">
        <f t="shared" si="144"/>
        <v>1</v>
      </c>
      <c r="X98" s="8">
        <f t="shared" si="138"/>
        <v>12</v>
      </c>
      <c r="Y98" s="51">
        <v>45989</v>
      </c>
    </row>
    <row r="99" spans="2:25" x14ac:dyDescent="0.15">
      <c r="B99" s="7" t="s">
        <v>24</v>
      </c>
      <c r="C99" s="29">
        <v>1</v>
      </c>
      <c r="D99" s="24"/>
      <c r="E99" s="41">
        <f t="shared" si="139"/>
        <v>1</v>
      </c>
      <c r="F99" s="34"/>
      <c r="G99" s="8"/>
      <c r="H99" s="41">
        <f t="shared" si="140"/>
        <v>0</v>
      </c>
      <c r="I99" s="34"/>
      <c r="J99" s="8"/>
      <c r="K99" s="41">
        <f t="shared" si="141"/>
        <v>0</v>
      </c>
      <c r="L99" s="8">
        <f t="shared" si="129"/>
        <v>1</v>
      </c>
      <c r="M99" s="51">
        <v>45982</v>
      </c>
      <c r="N99" s="7" t="s">
        <v>28</v>
      </c>
      <c r="O99" s="29">
        <v>1</v>
      </c>
      <c r="P99" s="24">
        <v>2</v>
      </c>
      <c r="Q99" s="41">
        <f t="shared" si="142"/>
        <v>3</v>
      </c>
      <c r="R99" s="34"/>
      <c r="S99" s="8">
        <v>1</v>
      </c>
      <c r="T99" s="41">
        <f t="shared" si="143"/>
        <v>1</v>
      </c>
      <c r="U99" s="34">
        <v>1</v>
      </c>
      <c r="V99" s="8">
        <v>2</v>
      </c>
      <c r="W99" s="41">
        <f t="shared" si="144"/>
        <v>3</v>
      </c>
      <c r="X99" s="8">
        <f t="shared" si="138"/>
        <v>7</v>
      </c>
      <c r="Y99" s="51">
        <v>45989</v>
      </c>
    </row>
    <row r="100" spans="2:25" x14ac:dyDescent="0.15">
      <c r="B100" s="7" t="s">
        <v>23</v>
      </c>
      <c r="C100" s="32">
        <v>1</v>
      </c>
      <c r="D100" s="26"/>
      <c r="E100" s="41">
        <f t="shared" si="139"/>
        <v>1</v>
      </c>
      <c r="F100" s="36"/>
      <c r="G100" s="10"/>
      <c r="H100" s="41">
        <f t="shared" si="140"/>
        <v>0</v>
      </c>
      <c r="I100" s="36"/>
      <c r="J100" s="10"/>
      <c r="K100" s="41">
        <f t="shared" si="141"/>
        <v>0</v>
      </c>
      <c r="L100" s="8">
        <f t="shared" si="129"/>
        <v>1</v>
      </c>
      <c r="M100" s="52">
        <v>45986</v>
      </c>
      <c r="N100" s="7" t="s">
        <v>19</v>
      </c>
      <c r="O100" s="29">
        <v>3</v>
      </c>
      <c r="P100" s="24"/>
      <c r="Q100" s="41">
        <f t="shared" si="142"/>
        <v>3</v>
      </c>
      <c r="R100" s="34"/>
      <c r="S100" s="8"/>
      <c r="T100" s="41">
        <f t="shared" si="143"/>
        <v>0</v>
      </c>
      <c r="U100" s="34"/>
      <c r="V100" s="8"/>
      <c r="W100" s="41">
        <f t="shared" si="144"/>
        <v>0</v>
      </c>
      <c r="X100" s="8">
        <f t="shared" si="138"/>
        <v>3</v>
      </c>
      <c r="Y100" s="51">
        <v>45989</v>
      </c>
    </row>
    <row r="101" spans="2:25" x14ac:dyDescent="0.15">
      <c r="B101" s="7" t="s">
        <v>23</v>
      </c>
      <c r="C101" s="29">
        <v>1</v>
      </c>
      <c r="D101" s="24"/>
      <c r="E101" s="41">
        <f t="shared" si="139"/>
        <v>1</v>
      </c>
      <c r="F101" s="34">
        <v>1</v>
      </c>
      <c r="G101" s="8"/>
      <c r="H101" s="41">
        <f t="shared" si="140"/>
        <v>1</v>
      </c>
      <c r="I101" s="34">
        <v>1</v>
      </c>
      <c r="J101" s="8"/>
      <c r="K101" s="41">
        <f t="shared" si="141"/>
        <v>1</v>
      </c>
      <c r="L101" s="8">
        <f t="shared" si="129"/>
        <v>3</v>
      </c>
      <c r="M101" s="51">
        <v>45988</v>
      </c>
      <c r="N101" s="7" t="s">
        <v>31</v>
      </c>
      <c r="O101" s="29">
        <v>1</v>
      </c>
      <c r="P101" s="24">
        <v>1</v>
      </c>
      <c r="Q101" s="41">
        <f t="shared" si="142"/>
        <v>2</v>
      </c>
      <c r="R101" s="34">
        <v>1</v>
      </c>
      <c r="S101" s="8">
        <v>1</v>
      </c>
      <c r="T101" s="41">
        <f t="shared" si="143"/>
        <v>2</v>
      </c>
      <c r="U101" s="34">
        <v>1</v>
      </c>
      <c r="V101" s="8">
        <v>1</v>
      </c>
      <c r="W101" s="41">
        <f t="shared" si="144"/>
        <v>2</v>
      </c>
      <c r="X101" s="8">
        <f t="shared" si="138"/>
        <v>6</v>
      </c>
      <c r="Y101" s="51">
        <v>45992</v>
      </c>
    </row>
    <row r="102" spans="2:25" x14ac:dyDescent="0.15">
      <c r="B102" s="7" t="s">
        <v>38</v>
      </c>
      <c r="C102" s="29"/>
      <c r="D102" s="24"/>
      <c r="E102" s="41">
        <f t="shared" si="139"/>
        <v>0</v>
      </c>
      <c r="F102" s="34"/>
      <c r="G102" s="8"/>
      <c r="H102" s="41">
        <f t="shared" si="140"/>
        <v>0</v>
      </c>
      <c r="I102" s="34"/>
      <c r="J102" s="8">
        <v>1</v>
      </c>
      <c r="K102" s="41">
        <f t="shared" si="141"/>
        <v>1</v>
      </c>
      <c r="L102" s="8">
        <f t="shared" si="129"/>
        <v>1</v>
      </c>
      <c r="M102" s="51">
        <v>46002</v>
      </c>
      <c r="N102" s="7" t="s">
        <v>32</v>
      </c>
      <c r="O102" s="29">
        <v>2</v>
      </c>
      <c r="P102" s="24">
        <v>1</v>
      </c>
      <c r="Q102" s="41">
        <f t="shared" si="142"/>
        <v>3</v>
      </c>
      <c r="R102" s="34">
        <v>2</v>
      </c>
      <c r="S102" s="8">
        <v>3</v>
      </c>
      <c r="T102" s="41">
        <f t="shared" si="143"/>
        <v>5</v>
      </c>
      <c r="U102" s="34">
        <v>2</v>
      </c>
      <c r="V102" s="8"/>
      <c r="W102" s="41">
        <f t="shared" si="144"/>
        <v>2</v>
      </c>
      <c r="X102" s="8">
        <f t="shared" si="138"/>
        <v>10</v>
      </c>
      <c r="Y102" s="51">
        <v>45994</v>
      </c>
    </row>
    <row r="103" spans="2:25" x14ac:dyDescent="0.15">
      <c r="B103" s="7" t="s">
        <v>39</v>
      </c>
      <c r="C103" s="29">
        <v>2</v>
      </c>
      <c r="D103" s="24">
        <v>2</v>
      </c>
      <c r="E103" s="41">
        <f t="shared" si="139"/>
        <v>4</v>
      </c>
      <c r="F103" s="34"/>
      <c r="G103" s="8"/>
      <c r="H103" s="41">
        <f t="shared" si="140"/>
        <v>0</v>
      </c>
      <c r="I103" s="34"/>
      <c r="J103" s="8"/>
      <c r="K103" s="41">
        <f t="shared" si="141"/>
        <v>0</v>
      </c>
      <c r="L103" s="8">
        <f t="shared" si="129"/>
        <v>4</v>
      </c>
      <c r="M103" s="51">
        <v>46003</v>
      </c>
      <c r="N103" s="7" t="s">
        <v>33</v>
      </c>
      <c r="O103" s="29"/>
      <c r="P103" s="24">
        <v>3</v>
      </c>
      <c r="Q103" s="41">
        <f t="shared" si="142"/>
        <v>3</v>
      </c>
      <c r="R103" s="34">
        <v>2</v>
      </c>
      <c r="S103" s="8">
        <v>1</v>
      </c>
      <c r="T103" s="41">
        <f t="shared" si="143"/>
        <v>3</v>
      </c>
      <c r="U103" s="34">
        <v>3</v>
      </c>
      <c r="V103" s="8"/>
      <c r="W103" s="41">
        <f t="shared" si="144"/>
        <v>3</v>
      </c>
      <c r="X103" s="8">
        <f t="shared" si="138"/>
        <v>9</v>
      </c>
      <c r="Y103" s="51">
        <v>45996</v>
      </c>
    </row>
    <row r="104" spans="2:25" x14ac:dyDescent="0.15">
      <c r="B104" s="7" t="s">
        <v>3</v>
      </c>
      <c r="C104" s="90">
        <v>-2</v>
      </c>
      <c r="D104" s="91">
        <v>-2</v>
      </c>
      <c r="E104" s="93">
        <f t="shared" si="139"/>
        <v>-4</v>
      </c>
      <c r="F104" s="90">
        <v>-2</v>
      </c>
      <c r="G104" s="91">
        <v>-2</v>
      </c>
      <c r="H104" s="93">
        <f t="shared" si="140"/>
        <v>-4</v>
      </c>
      <c r="I104" s="90">
        <v>-2</v>
      </c>
      <c r="J104" s="91">
        <v>-2</v>
      </c>
      <c r="K104" s="93">
        <f t="shared" si="141"/>
        <v>-4</v>
      </c>
      <c r="L104" s="94">
        <f t="shared" si="129"/>
        <v>-12</v>
      </c>
      <c r="M104" s="92">
        <v>45986</v>
      </c>
      <c r="N104" s="7" t="s">
        <v>34</v>
      </c>
      <c r="O104" s="29">
        <v>2</v>
      </c>
      <c r="P104" s="24">
        <v>1</v>
      </c>
      <c r="Q104" s="41">
        <f t="shared" si="142"/>
        <v>3</v>
      </c>
      <c r="R104" s="34">
        <v>1</v>
      </c>
      <c r="S104" s="8"/>
      <c r="T104" s="41">
        <f t="shared" si="143"/>
        <v>1</v>
      </c>
      <c r="U104" s="34">
        <v>1</v>
      </c>
      <c r="V104" s="8"/>
      <c r="W104" s="41">
        <f t="shared" si="144"/>
        <v>1</v>
      </c>
      <c r="X104" s="8">
        <f t="shared" si="138"/>
        <v>5</v>
      </c>
      <c r="Y104" s="51">
        <v>45996</v>
      </c>
    </row>
    <row r="105" spans="2:25" x14ac:dyDescent="0.15">
      <c r="B105" s="7" t="s">
        <v>3</v>
      </c>
      <c r="C105" s="34">
        <v>-3</v>
      </c>
      <c r="D105" s="8"/>
      <c r="E105" s="59">
        <f t="shared" si="139"/>
        <v>-3</v>
      </c>
      <c r="F105" s="34"/>
      <c r="G105" s="8"/>
      <c r="H105" s="59">
        <f t="shared" si="140"/>
        <v>0</v>
      </c>
      <c r="I105" s="34"/>
      <c r="J105" s="8"/>
      <c r="K105" s="59">
        <f t="shared" si="141"/>
        <v>0</v>
      </c>
      <c r="L105" s="60">
        <f t="shared" si="129"/>
        <v>-3</v>
      </c>
      <c r="M105" s="51">
        <v>45989</v>
      </c>
      <c r="N105" s="7" t="s">
        <v>36</v>
      </c>
      <c r="O105" s="29">
        <v>6</v>
      </c>
      <c r="P105" s="24">
        <v>5</v>
      </c>
      <c r="Q105" s="41">
        <f t="shared" si="142"/>
        <v>11</v>
      </c>
      <c r="R105" s="34">
        <v>2</v>
      </c>
      <c r="S105" s="8">
        <v>2</v>
      </c>
      <c r="T105" s="41">
        <f t="shared" si="143"/>
        <v>4</v>
      </c>
      <c r="U105" s="34">
        <v>3</v>
      </c>
      <c r="V105" s="8">
        <v>2</v>
      </c>
      <c r="W105" s="41">
        <f t="shared" si="144"/>
        <v>5</v>
      </c>
      <c r="X105" s="8">
        <f t="shared" si="138"/>
        <v>20</v>
      </c>
      <c r="Y105" s="51">
        <v>45999</v>
      </c>
    </row>
    <row r="106" spans="2:25" x14ac:dyDescent="0.15">
      <c r="B106" s="15" t="s">
        <v>3</v>
      </c>
      <c r="C106" s="34"/>
      <c r="D106" s="8"/>
      <c r="E106" s="59">
        <f t="shared" si="139"/>
        <v>0</v>
      </c>
      <c r="F106" s="34"/>
      <c r="G106" s="8"/>
      <c r="H106" s="59">
        <f t="shared" si="140"/>
        <v>0</v>
      </c>
      <c r="I106" s="34">
        <v>-3</v>
      </c>
      <c r="J106" s="8"/>
      <c r="K106" s="59">
        <f t="shared" si="141"/>
        <v>-3</v>
      </c>
      <c r="L106" s="60">
        <f t="shared" si="129"/>
        <v>-3</v>
      </c>
      <c r="M106" s="51">
        <v>46001</v>
      </c>
      <c r="N106" s="7" t="s">
        <v>37</v>
      </c>
      <c r="O106" s="29"/>
      <c r="P106" s="24">
        <v>3</v>
      </c>
      <c r="Q106" s="41">
        <f t="shared" si="142"/>
        <v>3</v>
      </c>
      <c r="R106" s="34"/>
      <c r="S106" s="8"/>
      <c r="T106" s="41">
        <f t="shared" si="143"/>
        <v>0</v>
      </c>
      <c r="U106" s="34"/>
      <c r="V106" s="8"/>
      <c r="W106" s="41">
        <f t="shared" si="144"/>
        <v>0</v>
      </c>
      <c r="X106" s="8">
        <f t="shared" si="138"/>
        <v>3</v>
      </c>
      <c r="Y106" s="51">
        <v>46001</v>
      </c>
    </row>
    <row r="107" spans="2:25" x14ac:dyDescent="0.15">
      <c r="B107" s="7" t="s">
        <v>3</v>
      </c>
      <c r="C107" s="29">
        <v>-3</v>
      </c>
      <c r="D107" s="24">
        <v>-3</v>
      </c>
      <c r="E107" s="41">
        <f t="shared" si="139"/>
        <v>-6</v>
      </c>
      <c r="F107" s="34"/>
      <c r="G107" s="8"/>
      <c r="H107" s="41">
        <f t="shared" si="140"/>
        <v>0</v>
      </c>
      <c r="I107" s="34"/>
      <c r="J107" s="8"/>
      <c r="K107" s="41">
        <f t="shared" si="141"/>
        <v>0</v>
      </c>
      <c r="L107" s="8">
        <f t="shared" si="129"/>
        <v>-6</v>
      </c>
      <c r="M107" s="51">
        <v>46003</v>
      </c>
      <c r="N107" s="86" t="s">
        <v>112</v>
      </c>
      <c r="O107" s="87"/>
      <c r="P107" s="88"/>
      <c r="Q107" s="89">
        <f t="shared" si="142"/>
        <v>0</v>
      </c>
      <c r="R107" s="90"/>
      <c r="S107" s="91"/>
      <c r="T107" s="89">
        <f t="shared" si="143"/>
        <v>0</v>
      </c>
      <c r="U107" s="90">
        <v>3</v>
      </c>
      <c r="V107" s="91"/>
      <c r="W107" s="89">
        <f t="shared" si="144"/>
        <v>3</v>
      </c>
      <c r="X107" s="91">
        <f t="shared" si="138"/>
        <v>3</v>
      </c>
      <c r="Y107" s="92">
        <v>46001</v>
      </c>
    </row>
    <row r="108" spans="2:25" x14ac:dyDescent="0.15">
      <c r="B108" s="7" t="s">
        <v>115</v>
      </c>
      <c r="C108" s="29"/>
      <c r="D108" s="24"/>
      <c r="E108" s="41">
        <f t="shared" si="139"/>
        <v>0</v>
      </c>
      <c r="F108" s="34"/>
      <c r="G108" s="8"/>
      <c r="H108" s="41">
        <f t="shared" si="140"/>
        <v>0</v>
      </c>
      <c r="I108" s="34"/>
      <c r="J108" s="8">
        <v>-1</v>
      </c>
      <c r="K108" s="41">
        <f t="shared" si="141"/>
        <v>-1</v>
      </c>
      <c r="L108" s="8">
        <f t="shared" si="129"/>
        <v>-1</v>
      </c>
      <c r="M108" s="51">
        <v>46000</v>
      </c>
      <c r="N108" s="7" t="s">
        <v>40</v>
      </c>
      <c r="O108" s="29">
        <v>2</v>
      </c>
      <c r="P108" s="24"/>
      <c r="Q108" s="41">
        <f t="shared" si="142"/>
        <v>2</v>
      </c>
      <c r="R108" s="34"/>
      <c r="S108" s="8"/>
      <c r="T108" s="41">
        <f t="shared" si="143"/>
        <v>0</v>
      </c>
      <c r="U108" s="34"/>
      <c r="V108" s="8"/>
      <c r="W108" s="41">
        <f t="shared" si="144"/>
        <v>0</v>
      </c>
      <c r="X108" s="8">
        <f t="shared" si="138"/>
        <v>2</v>
      </c>
      <c r="Y108" s="51">
        <v>46003</v>
      </c>
    </row>
    <row r="109" spans="2:25" x14ac:dyDescent="0.15">
      <c r="B109" s="7" t="s">
        <v>116</v>
      </c>
      <c r="C109" s="29"/>
      <c r="D109" s="24"/>
      <c r="E109" s="41">
        <f t="shared" si="139"/>
        <v>0</v>
      </c>
      <c r="F109" s="34">
        <v>1</v>
      </c>
      <c r="G109" s="8"/>
      <c r="H109" s="41">
        <f t="shared" si="140"/>
        <v>1</v>
      </c>
      <c r="I109" s="34">
        <v>1</v>
      </c>
      <c r="J109" s="8"/>
      <c r="K109" s="41">
        <f t="shared" si="141"/>
        <v>1</v>
      </c>
      <c r="L109" s="8">
        <f t="shared" si="129"/>
        <v>2</v>
      </c>
      <c r="M109" s="51">
        <v>46009</v>
      </c>
      <c r="N109" s="7" t="s">
        <v>112</v>
      </c>
      <c r="O109" s="29">
        <v>3</v>
      </c>
      <c r="P109" s="24">
        <v>3</v>
      </c>
      <c r="Q109" s="41">
        <f t="shared" si="142"/>
        <v>6</v>
      </c>
      <c r="R109" s="34"/>
      <c r="S109" s="8"/>
      <c r="T109" s="41">
        <f t="shared" si="143"/>
        <v>0</v>
      </c>
      <c r="U109" s="34"/>
      <c r="V109" s="8"/>
      <c r="W109" s="41">
        <f t="shared" si="144"/>
        <v>0</v>
      </c>
      <c r="X109" s="8">
        <f t="shared" si="138"/>
        <v>6</v>
      </c>
      <c r="Y109" s="51">
        <v>46003</v>
      </c>
    </row>
    <row r="110" spans="2:25" x14ac:dyDescent="0.15">
      <c r="B110" s="7"/>
      <c r="C110" s="29"/>
      <c r="D110" s="24"/>
      <c r="E110" s="41">
        <f t="shared" ref="E110:E114" si="146">SUM(C110:D110)</f>
        <v>0</v>
      </c>
      <c r="F110" s="34"/>
      <c r="G110" s="8"/>
      <c r="H110" s="41">
        <f t="shared" ref="H110:H114" si="147">SUM(F110:G110)</f>
        <v>0</v>
      </c>
      <c r="I110" s="34"/>
      <c r="J110" s="8"/>
      <c r="K110" s="41">
        <f t="shared" ref="K110:K114" si="148">SUM(I110:J110)</f>
        <v>0</v>
      </c>
      <c r="L110" s="8">
        <f t="shared" ref="L110:L114" si="149">SUM(K110,H110,E110)</f>
        <v>0</v>
      </c>
      <c r="M110" s="51"/>
      <c r="N110" s="7" t="s">
        <v>41</v>
      </c>
      <c r="O110" s="29">
        <v>9</v>
      </c>
      <c r="P110" s="24">
        <v>3</v>
      </c>
      <c r="Q110" s="41">
        <f t="shared" si="142"/>
        <v>12</v>
      </c>
      <c r="R110" s="34"/>
      <c r="S110" s="8"/>
      <c r="T110" s="41">
        <f t="shared" si="143"/>
        <v>0</v>
      </c>
      <c r="U110" s="34"/>
      <c r="V110" s="8">
        <v>3</v>
      </c>
      <c r="W110" s="41">
        <f t="shared" si="144"/>
        <v>3</v>
      </c>
      <c r="X110" s="8">
        <f t="shared" si="138"/>
        <v>15</v>
      </c>
      <c r="Y110" s="51">
        <v>46006</v>
      </c>
    </row>
    <row r="111" spans="2:25" x14ac:dyDescent="0.15">
      <c r="B111" s="7"/>
      <c r="C111" s="29"/>
      <c r="D111" s="24"/>
      <c r="E111" s="41">
        <f t="shared" si="146"/>
        <v>0</v>
      </c>
      <c r="F111" s="34"/>
      <c r="G111" s="8"/>
      <c r="H111" s="41">
        <f t="shared" si="147"/>
        <v>0</v>
      </c>
      <c r="I111" s="34"/>
      <c r="J111" s="8"/>
      <c r="K111" s="41">
        <f t="shared" si="148"/>
        <v>0</v>
      </c>
      <c r="L111" s="8">
        <f t="shared" si="149"/>
        <v>0</v>
      </c>
      <c r="M111" s="51"/>
      <c r="N111" s="7" t="s">
        <v>45</v>
      </c>
      <c r="O111" s="29">
        <v>8</v>
      </c>
      <c r="P111" s="24">
        <v>3</v>
      </c>
      <c r="Q111" s="41">
        <f t="shared" si="142"/>
        <v>11</v>
      </c>
      <c r="R111" s="34">
        <v>8</v>
      </c>
      <c r="S111" s="8">
        <v>3</v>
      </c>
      <c r="T111" s="41">
        <f t="shared" si="143"/>
        <v>11</v>
      </c>
      <c r="U111" s="34">
        <v>2</v>
      </c>
      <c r="V111" s="8">
        <v>2</v>
      </c>
      <c r="W111" s="41">
        <f t="shared" si="144"/>
        <v>4</v>
      </c>
      <c r="X111" s="8">
        <f t="shared" si="138"/>
        <v>26</v>
      </c>
      <c r="Y111" s="51">
        <v>46008</v>
      </c>
    </row>
    <row r="112" spans="2:25" x14ac:dyDescent="0.15">
      <c r="B112" s="7"/>
      <c r="C112" s="29"/>
      <c r="D112" s="24"/>
      <c r="E112" s="41">
        <f t="shared" si="146"/>
        <v>0</v>
      </c>
      <c r="F112" s="34"/>
      <c r="G112" s="8"/>
      <c r="H112" s="41">
        <f t="shared" si="147"/>
        <v>0</v>
      </c>
      <c r="I112" s="34"/>
      <c r="J112" s="8"/>
      <c r="K112" s="41">
        <f t="shared" si="148"/>
        <v>0</v>
      </c>
      <c r="L112" s="8">
        <f t="shared" si="149"/>
        <v>0</v>
      </c>
      <c r="M112" s="51"/>
      <c r="N112" s="7" t="s">
        <v>46</v>
      </c>
      <c r="O112" s="29">
        <v>4</v>
      </c>
      <c r="P112" s="24"/>
      <c r="Q112" s="41">
        <f t="shared" si="142"/>
        <v>4</v>
      </c>
      <c r="R112" s="34">
        <v>2</v>
      </c>
      <c r="S112" s="8">
        <v>1</v>
      </c>
      <c r="T112" s="41">
        <f t="shared" si="143"/>
        <v>3</v>
      </c>
      <c r="U112" s="34">
        <v>5</v>
      </c>
      <c r="V112" s="8">
        <v>2</v>
      </c>
      <c r="W112" s="41">
        <f t="shared" si="144"/>
        <v>7</v>
      </c>
      <c r="X112" s="8">
        <f t="shared" si="138"/>
        <v>14</v>
      </c>
      <c r="Y112" s="51">
        <v>46009</v>
      </c>
    </row>
    <row r="113" spans="2:26" x14ac:dyDescent="0.15">
      <c r="B113" s="7"/>
      <c r="C113" s="29"/>
      <c r="D113" s="24"/>
      <c r="E113" s="41">
        <f t="shared" si="146"/>
        <v>0</v>
      </c>
      <c r="F113" s="34"/>
      <c r="G113" s="8"/>
      <c r="H113" s="41">
        <f t="shared" si="147"/>
        <v>0</v>
      </c>
      <c r="I113" s="34"/>
      <c r="J113" s="8"/>
      <c r="K113" s="41">
        <f t="shared" si="148"/>
        <v>0</v>
      </c>
      <c r="L113" s="8">
        <f t="shared" si="149"/>
        <v>0</v>
      </c>
      <c r="M113" s="51"/>
      <c r="N113" s="7" t="s">
        <v>47</v>
      </c>
      <c r="O113" s="29">
        <v>3</v>
      </c>
      <c r="P113" s="24"/>
      <c r="Q113" s="41">
        <f t="shared" ref="Q113:Q114" si="150">SUM(O113:P113)</f>
        <v>3</v>
      </c>
      <c r="R113" s="34">
        <v>1</v>
      </c>
      <c r="S113" s="8"/>
      <c r="T113" s="41">
        <f t="shared" ref="T113:T114" si="151">SUM(R113:S113)</f>
        <v>1</v>
      </c>
      <c r="U113" s="34">
        <v>2</v>
      </c>
      <c r="V113" s="8">
        <v>2</v>
      </c>
      <c r="W113" s="41">
        <f t="shared" ref="W113:W114" si="152">SUM(U113:V113)</f>
        <v>4</v>
      </c>
      <c r="X113" s="8">
        <f t="shared" ref="X113:X114" si="153">SUM(W113,T113,Q113)</f>
        <v>8</v>
      </c>
      <c r="Y113" s="51">
        <v>46010</v>
      </c>
    </row>
    <row r="114" spans="2:26" x14ac:dyDescent="0.15">
      <c r="B114" s="7"/>
      <c r="C114" s="29"/>
      <c r="D114" s="24"/>
      <c r="E114" s="41">
        <f t="shared" si="146"/>
        <v>0</v>
      </c>
      <c r="F114" s="34"/>
      <c r="G114" s="8"/>
      <c r="H114" s="41">
        <f t="shared" si="147"/>
        <v>0</v>
      </c>
      <c r="I114" s="34"/>
      <c r="J114" s="8"/>
      <c r="K114" s="41">
        <f t="shared" si="148"/>
        <v>0</v>
      </c>
      <c r="L114" s="8">
        <f t="shared" si="149"/>
        <v>0</v>
      </c>
      <c r="M114" s="51"/>
      <c r="N114" s="7"/>
      <c r="O114" s="29"/>
      <c r="P114" s="24"/>
      <c r="Q114" s="41">
        <f t="shared" si="150"/>
        <v>0</v>
      </c>
      <c r="R114" s="34"/>
      <c r="S114" s="8"/>
      <c r="T114" s="41">
        <f t="shared" si="151"/>
        <v>0</v>
      </c>
      <c r="U114" s="34"/>
      <c r="V114" s="8"/>
      <c r="W114" s="41">
        <f t="shared" si="152"/>
        <v>0</v>
      </c>
      <c r="X114" s="8">
        <f t="shared" si="153"/>
        <v>0</v>
      </c>
    </row>
    <row r="115" spans="2:26" x14ac:dyDescent="0.15">
      <c r="B115" s="7"/>
      <c r="C115" s="29"/>
      <c r="D115" s="24"/>
      <c r="E115" s="41">
        <f t="shared" si="139"/>
        <v>0</v>
      </c>
      <c r="F115" s="34"/>
      <c r="G115" s="8"/>
      <c r="H115" s="41">
        <f t="shared" si="140"/>
        <v>0</v>
      </c>
      <c r="I115" s="34"/>
      <c r="J115" s="8"/>
      <c r="K115" s="41">
        <f t="shared" si="141"/>
        <v>0</v>
      </c>
      <c r="L115" s="8">
        <f t="shared" si="129"/>
        <v>0</v>
      </c>
      <c r="M115" s="51"/>
      <c r="N115" s="7" t="s">
        <v>101</v>
      </c>
      <c r="O115" s="29"/>
      <c r="P115" s="24"/>
      <c r="Q115" s="41">
        <f t="shared" si="142"/>
        <v>0</v>
      </c>
      <c r="R115" s="34"/>
      <c r="S115" s="8"/>
      <c r="T115" s="41">
        <f t="shared" si="143"/>
        <v>0</v>
      </c>
      <c r="U115" s="34"/>
      <c r="V115" s="8"/>
      <c r="W115" s="41">
        <f t="shared" si="144"/>
        <v>0</v>
      </c>
      <c r="X115" s="8">
        <f t="shared" si="138"/>
        <v>0</v>
      </c>
      <c r="Y115" s="50" t="s">
        <v>102</v>
      </c>
    </row>
    <row r="116" spans="2:26" x14ac:dyDescent="0.15">
      <c r="B116" s="7"/>
      <c r="C116" s="29"/>
      <c r="D116" s="24"/>
      <c r="E116" s="41">
        <f t="shared" si="139"/>
        <v>0</v>
      </c>
      <c r="F116" s="34"/>
      <c r="G116" s="8"/>
      <c r="H116" s="41">
        <f t="shared" si="140"/>
        <v>0</v>
      </c>
      <c r="I116" s="34"/>
      <c r="J116" s="8"/>
      <c r="K116" s="41">
        <f t="shared" si="141"/>
        <v>0</v>
      </c>
      <c r="L116" s="8">
        <f t="shared" si="129"/>
        <v>0</v>
      </c>
      <c r="M116" s="51"/>
      <c r="N116" s="7" t="s">
        <v>103</v>
      </c>
      <c r="O116" s="29"/>
      <c r="P116" s="24"/>
      <c r="Q116" s="41">
        <f t="shared" si="142"/>
        <v>0</v>
      </c>
      <c r="R116" s="34"/>
      <c r="S116" s="8"/>
      <c r="T116" s="41">
        <f t="shared" si="143"/>
        <v>0</v>
      </c>
      <c r="U116" s="34"/>
      <c r="V116" s="8"/>
      <c r="W116" s="41">
        <f t="shared" si="144"/>
        <v>0</v>
      </c>
      <c r="X116" s="8">
        <f t="shared" si="138"/>
        <v>0</v>
      </c>
      <c r="Y116" s="50" t="s">
        <v>104</v>
      </c>
    </row>
    <row r="117" spans="2:26" ht="14.25" thickBot="1" x14ac:dyDescent="0.2">
      <c r="B117" s="7"/>
      <c r="C117" s="29"/>
      <c r="D117" s="24"/>
      <c r="E117" s="41">
        <f t="shared" si="139"/>
        <v>0</v>
      </c>
      <c r="F117" s="34"/>
      <c r="G117" s="8"/>
      <c r="H117" s="41">
        <f t="shared" si="140"/>
        <v>0</v>
      </c>
      <c r="I117" s="34"/>
      <c r="J117" s="8"/>
      <c r="K117" s="41">
        <f t="shared" si="141"/>
        <v>0</v>
      </c>
      <c r="L117" s="8">
        <f t="shared" si="129"/>
        <v>0</v>
      </c>
      <c r="M117" s="51"/>
      <c r="N117" s="7" t="s">
        <v>109</v>
      </c>
      <c r="O117" s="29"/>
      <c r="P117" s="24"/>
      <c r="Q117" s="41">
        <f t="shared" si="142"/>
        <v>0</v>
      </c>
      <c r="R117" s="34"/>
      <c r="S117" s="8"/>
      <c r="T117" s="41">
        <f t="shared" si="143"/>
        <v>0</v>
      </c>
      <c r="U117" s="34"/>
      <c r="V117" s="8"/>
      <c r="W117" s="41">
        <f t="shared" si="144"/>
        <v>0</v>
      </c>
      <c r="X117" s="8">
        <f t="shared" si="138"/>
        <v>0</v>
      </c>
      <c r="Y117" s="50" t="s">
        <v>110</v>
      </c>
    </row>
    <row r="118" spans="2:26" ht="14.25" thickBot="1" x14ac:dyDescent="0.2">
      <c r="B118" s="5" t="s">
        <v>1</v>
      </c>
      <c r="C118" s="31">
        <f>SUM(C93:C117)</f>
        <v>-2</v>
      </c>
      <c r="D118" s="18">
        <f>SUM(D93:D117)</f>
        <v>-3</v>
      </c>
      <c r="E118" s="42">
        <f t="shared" si="139"/>
        <v>-5</v>
      </c>
      <c r="F118" s="31">
        <f>SUM(F93:F117)</f>
        <v>0</v>
      </c>
      <c r="G118" s="18">
        <f>SUM(G93:G117)</f>
        <v>-1</v>
      </c>
      <c r="H118" s="42">
        <f t="shared" si="140"/>
        <v>-1</v>
      </c>
      <c r="I118" s="31">
        <f>SUM(I93:I117)</f>
        <v>-2</v>
      </c>
      <c r="J118" s="18">
        <f>SUM(J93:J117)</f>
        <v>-3</v>
      </c>
      <c r="K118" s="42">
        <f t="shared" si="141"/>
        <v>-5</v>
      </c>
      <c r="L118" s="4">
        <f t="shared" si="129"/>
        <v>-11</v>
      </c>
      <c r="N118" s="5" t="s">
        <v>1</v>
      </c>
      <c r="O118" s="31">
        <f>SUM(O93:O117)</f>
        <v>55</v>
      </c>
      <c r="P118" s="18">
        <f t="shared" ref="P118:X118" si="154">SUM(P93:P117)</f>
        <v>33</v>
      </c>
      <c r="Q118" s="42">
        <f t="shared" si="154"/>
        <v>88</v>
      </c>
      <c r="R118" s="31">
        <f t="shared" si="154"/>
        <v>28</v>
      </c>
      <c r="S118" s="18">
        <f t="shared" si="154"/>
        <v>18</v>
      </c>
      <c r="T118" s="42">
        <f t="shared" si="154"/>
        <v>46</v>
      </c>
      <c r="U118" s="31">
        <f t="shared" si="154"/>
        <v>29</v>
      </c>
      <c r="V118" s="18">
        <f t="shared" si="154"/>
        <v>20</v>
      </c>
      <c r="W118" s="42">
        <f t="shared" si="154"/>
        <v>49</v>
      </c>
      <c r="X118" s="4">
        <f t="shared" si="154"/>
        <v>183</v>
      </c>
    </row>
    <row r="119" spans="2:26" ht="14.25" thickBot="1" x14ac:dyDescent="0.2">
      <c r="B119" s="3" t="s">
        <v>0</v>
      </c>
      <c r="C119" s="33">
        <f>+C92-C118</f>
        <v>4</v>
      </c>
      <c r="D119" s="2">
        <f>+D92-D118</f>
        <v>4</v>
      </c>
      <c r="E119" s="43">
        <f t="shared" si="139"/>
        <v>8</v>
      </c>
      <c r="F119" s="33">
        <f>+F92-F118</f>
        <v>2</v>
      </c>
      <c r="G119" s="2">
        <f>+G92-G118</f>
        <v>3</v>
      </c>
      <c r="H119" s="43">
        <f t="shared" si="140"/>
        <v>5</v>
      </c>
      <c r="I119" s="33">
        <f>+I92-I118</f>
        <v>4</v>
      </c>
      <c r="J119" s="2">
        <f>+J92-J118</f>
        <v>4</v>
      </c>
      <c r="K119" s="43">
        <f t="shared" si="141"/>
        <v>8</v>
      </c>
      <c r="L119" s="2">
        <f t="shared" si="129"/>
        <v>21</v>
      </c>
      <c r="N119" s="55" t="s">
        <v>0</v>
      </c>
      <c r="O119" s="56">
        <f>+O92-O118</f>
        <v>90</v>
      </c>
      <c r="P119" s="57">
        <f t="shared" ref="P119:X119" si="155">+P92-P118</f>
        <v>74</v>
      </c>
      <c r="Q119" s="58">
        <f t="shared" si="155"/>
        <v>164</v>
      </c>
      <c r="R119" s="56">
        <f t="shared" si="155"/>
        <v>61</v>
      </c>
      <c r="S119" s="57">
        <f t="shared" si="155"/>
        <v>61</v>
      </c>
      <c r="T119" s="58">
        <f t="shared" si="155"/>
        <v>122</v>
      </c>
      <c r="U119" s="56">
        <f t="shared" si="155"/>
        <v>59</v>
      </c>
      <c r="V119" s="57">
        <f t="shared" si="155"/>
        <v>51</v>
      </c>
      <c r="W119" s="58">
        <f t="shared" si="155"/>
        <v>110</v>
      </c>
      <c r="X119" s="57">
        <f t="shared" si="155"/>
        <v>396</v>
      </c>
      <c r="Z119" t="s">
        <v>84</v>
      </c>
    </row>
    <row r="120" spans="2:26" x14ac:dyDescent="0.15">
      <c r="N120" s="1"/>
      <c r="O120">
        <f>O118+O78+O38</f>
        <v>189</v>
      </c>
      <c r="P120">
        <f t="shared" ref="P120:X120" si="156">P118+P78+P38</f>
        <v>112</v>
      </c>
      <c r="Q120" s="70">
        <f t="shared" si="156"/>
        <v>301</v>
      </c>
      <c r="R120">
        <f t="shared" si="156"/>
        <v>203</v>
      </c>
      <c r="S120">
        <f t="shared" si="156"/>
        <v>175</v>
      </c>
      <c r="T120" s="70">
        <f t="shared" si="156"/>
        <v>378</v>
      </c>
      <c r="U120">
        <f t="shared" si="156"/>
        <v>242</v>
      </c>
      <c r="V120">
        <f t="shared" si="156"/>
        <v>190</v>
      </c>
      <c r="W120" s="70">
        <f t="shared" si="156"/>
        <v>432</v>
      </c>
      <c r="X120">
        <f t="shared" si="156"/>
        <v>1111</v>
      </c>
    </row>
    <row r="121" spans="2:26" ht="36" customHeight="1" x14ac:dyDescent="0.3">
      <c r="B121" s="123" t="s">
        <v>86</v>
      </c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</row>
    <row r="122" spans="2:26" ht="18.75" x14ac:dyDescent="0.2">
      <c r="B122" s="22" t="s">
        <v>108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N122" s="45" t="s">
        <v>107</v>
      </c>
      <c r="O122" s="46"/>
      <c r="P122" s="46"/>
      <c r="Q122" s="46"/>
      <c r="R122" s="46"/>
      <c r="S122" s="46"/>
      <c r="T122" s="46"/>
      <c r="U122" s="46"/>
      <c r="V122" s="46"/>
      <c r="W122" s="46"/>
      <c r="X122" s="46"/>
    </row>
    <row r="123" spans="2:26" ht="15" thickBot="1" x14ac:dyDescent="0.2">
      <c r="B123" s="21" t="s">
        <v>20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N123" s="47" t="s">
        <v>15</v>
      </c>
      <c r="O123" s="46"/>
      <c r="P123" s="46"/>
      <c r="Q123" s="46"/>
      <c r="R123" s="46" t="s">
        <v>21</v>
      </c>
      <c r="S123" s="46"/>
      <c r="T123" s="46"/>
      <c r="U123" s="46"/>
      <c r="V123" s="46"/>
      <c r="W123" s="46"/>
      <c r="X123" s="46"/>
    </row>
    <row r="124" spans="2:26" ht="14.25" thickBot="1" x14ac:dyDescent="0.2">
      <c r="B124" s="19"/>
      <c r="C124" s="114" t="s">
        <v>10</v>
      </c>
      <c r="D124" s="115"/>
      <c r="E124" s="116"/>
      <c r="F124" s="117" t="s">
        <v>11</v>
      </c>
      <c r="G124" s="118"/>
      <c r="H124" s="119"/>
      <c r="I124" s="120" t="s">
        <v>12</v>
      </c>
      <c r="J124" s="121"/>
      <c r="K124" s="122"/>
      <c r="L124" s="18"/>
      <c r="N124" s="19"/>
      <c r="O124" s="114" t="s">
        <v>10</v>
      </c>
      <c r="P124" s="115"/>
      <c r="Q124" s="116"/>
      <c r="R124" s="117" t="s">
        <v>11</v>
      </c>
      <c r="S124" s="118"/>
      <c r="T124" s="119"/>
      <c r="U124" s="120" t="s">
        <v>12</v>
      </c>
      <c r="V124" s="121"/>
      <c r="W124" s="122"/>
      <c r="X124" s="18"/>
    </row>
    <row r="125" spans="2:26" ht="14.25" thickBot="1" x14ac:dyDescent="0.2">
      <c r="B125" s="17"/>
      <c r="C125" s="27" t="s">
        <v>6</v>
      </c>
      <c r="D125" s="16" t="s">
        <v>5</v>
      </c>
      <c r="E125" s="37" t="s">
        <v>4</v>
      </c>
      <c r="F125" s="27" t="s">
        <v>6</v>
      </c>
      <c r="G125" s="16" t="s">
        <v>5</v>
      </c>
      <c r="H125" s="37" t="s">
        <v>4</v>
      </c>
      <c r="I125" s="27" t="s">
        <v>6</v>
      </c>
      <c r="J125" s="16" t="s">
        <v>5</v>
      </c>
      <c r="K125" s="37" t="s">
        <v>4</v>
      </c>
      <c r="L125" s="16" t="s">
        <v>4</v>
      </c>
      <c r="N125" s="17"/>
      <c r="O125" s="27" t="s">
        <v>6</v>
      </c>
      <c r="P125" s="16" t="s">
        <v>5</v>
      </c>
      <c r="Q125" s="37" t="s">
        <v>4</v>
      </c>
      <c r="R125" s="27" t="s">
        <v>6</v>
      </c>
      <c r="S125" s="16" t="s">
        <v>5</v>
      </c>
      <c r="T125" s="37" t="s">
        <v>4</v>
      </c>
      <c r="U125" s="27" t="s">
        <v>6</v>
      </c>
      <c r="V125" s="16" t="s">
        <v>5</v>
      </c>
      <c r="W125" s="37" t="s">
        <v>4</v>
      </c>
      <c r="X125" s="16" t="s">
        <v>4</v>
      </c>
    </row>
    <row r="126" spans="2:26" x14ac:dyDescent="0.15">
      <c r="B126" s="61" t="s">
        <v>0</v>
      </c>
      <c r="C126" s="62">
        <f t="shared" ref="C126:K126" si="157">C119</f>
        <v>4</v>
      </c>
      <c r="D126" s="63">
        <f t="shared" si="157"/>
        <v>4</v>
      </c>
      <c r="E126" s="64">
        <f t="shared" si="157"/>
        <v>8</v>
      </c>
      <c r="F126" s="62">
        <f t="shared" si="157"/>
        <v>2</v>
      </c>
      <c r="G126" s="63">
        <f t="shared" si="157"/>
        <v>3</v>
      </c>
      <c r="H126" s="64">
        <f t="shared" si="157"/>
        <v>5</v>
      </c>
      <c r="I126" s="62">
        <f t="shared" si="157"/>
        <v>4</v>
      </c>
      <c r="J126" s="63">
        <f t="shared" si="157"/>
        <v>4</v>
      </c>
      <c r="K126" s="64">
        <f t="shared" si="157"/>
        <v>8</v>
      </c>
      <c r="L126" s="65">
        <f t="shared" ref="L126:L159" si="158">SUM(K126,H126,E126)</f>
        <v>21</v>
      </c>
      <c r="M126" s="51"/>
      <c r="N126" s="61" t="s">
        <v>0</v>
      </c>
      <c r="O126" s="62">
        <f>O119</f>
        <v>90</v>
      </c>
      <c r="P126" s="63">
        <f t="shared" ref="P126:X126" si="159">P119</f>
        <v>74</v>
      </c>
      <c r="Q126" s="64">
        <f t="shared" si="159"/>
        <v>164</v>
      </c>
      <c r="R126" s="62">
        <f t="shared" si="159"/>
        <v>61</v>
      </c>
      <c r="S126" s="63">
        <f t="shared" si="159"/>
        <v>61</v>
      </c>
      <c r="T126" s="64">
        <f t="shared" si="159"/>
        <v>122</v>
      </c>
      <c r="U126" s="62">
        <f t="shared" si="159"/>
        <v>59</v>
      </c>
      <c r="V126" s="63">
        <f t="shared" si="159"/>
        <v>51</v>
      </c>
      <c r="W126" s="64">
        <f t="shared" si="159"/>
        <v>110</v>
      </c>
      <c r="X126" s="65">
        <f t="shared" si="159"/>
        <v>396</v>
      </c>
    </row>
    <row r="127" spans="2:26" x14ac:dyDescent="0.15">
      <c r="B127" s="15" t="s">
        <v>117</v>
      </c>
      <c r="C127" s="29"/>
      <c r="D127" s="24"/>
      <c r="E127" s="38">
        <f t="shared" ref="E127:E129" si="160">SUM(C127:D127)</f>
        <v>0</v>
      </c>
      <c r="F127" s="34">
        <v>1</v>
      </c>
      <c r="G127" s="8"/>
      <c r="H127" s="38">
        <f t="shared" ref="H127:H129" si="161">SUM(F127:G127)</f>
        <v>1</v>
      </c>
      <c r="I127" s="34"/>
      <c r="J127" s="8">
        <v>1</v>
      </c>
      <c r="K127" s="38">
        <f t="shared" ref="K127:K129" si="162">SUM(I127:J127)</f>
        <v>1</v>
      </c>
      <c r="L127" s="9">
        <f t="shared" ref="L127:L129" si="163">SUM(K127,H127,E127)</f>
        <v>2</v>
      </c>
      <c r="M127" s="51">
        <v>46015</v>
      </c>
      <c r="N127" s="15" t="s">
        <v>3</v>
      </c>
      <c r="O127" s="34"/>
      <c r="P127" s="8"/>
      <c r="Q127" s="59">
        <f t="shared" ref="Q127:Q131" si="164">SUM(O127:P127)</f>
        <v>0</v>
      </c>
      <c r="R127" s="34">
        <v>30</v>
      </c>
      <c r="S127" s="8">
        <v>30</v>
      </c>
      <c r="T127" s="59">
        <f t="shared" ref="T127:T131" si="165">SUM(R127:S127)</f>
        <v>60</v>
      </c>
      <c r="U127" s="34">
        <v>30</v>
      </c>
      <c r="V127" s="8">
        <v>30</v>
      </c>
      <c r="W127" s="59">
        <f t="shared" ref="W127:W131" si="166">SUM(U127:V127)</f>
        <v>60</v>
      </c>
      <c r="X127" s="60">
        <f t="shared" ref="X127:X131" si="167">SUM(W127,T127,Q127)</f>
        <v>120</v>
      </c>
      <c r="Y127" s="51" t="s">
        <v>118</v>
      </c>
    </row>
    <row r="128" spans="2:26" x14ac:dyDescent="0.15">
      <c r="B128" s="15" t="s">
        <v>117</v>
      </c>
      <c r="C128" s="29">
        <v>1</v>
      </c>
      <c r="D128" s="24"/>
      <c r="E128" s="38">
        <f t="shared" si="160"/>
        <v>1</v>
      </c>
      <c r="F128" s="34">
        <v>1</v>
      </c>
      <c r="G128" s="8"/>
      <c r="H128" s="38">
        <f t="shared" si="161"/>
        <v>1</v>
      </c>
      <c r="I128" s="34"/>
      <c r="J128" s="8"/>
      <c r="K128" s="38">
        <f t="shared" si="162"/>
        <v>0</v>
      </c>
      <c r="L128" s="9">
        <f t="shared" si="163"/>
        <v>2</v>
      </c>
      <c r="M128" s="51">
        <v>46038</v>
      </c>
      <c r="N128" s="15" t="s">
        <v>3</v>
      </c>
      <c r="O128" s="34"/>
      <c r="P128" s="8"/>
      <c r="Q128" s="59">
        <f t="shared" si="164"/>
        <v>0</v>
      </c>
      <c r="R128" s="34"/>
      <c r="S128" s="8"/>
      <c r="T128" s="59">
        <f t="shared" si="165"/>
        <v>0</v>
      </c>
      <c r="U128" s="34"/>
      <c r="V128" s="8"/>
      <c r="W128" s="59">
        <f t="shared" si="166"/>
        <v>0</v>
      </c>
      <c r="X128" s="60">
        <f t="shared" si="167"/>
        <v>0</v>
      </c>
    </row>
    <row r="129" spans="2:25" x14ac:dyDescent="0.15">
      <c r="B129" s="15" t="s">
        <v>117</v>
      </c>
      <c r="C129" s="29">
        <v>1</v>
      </c>
      <c r="D129" s="24">
        <v>2</v>
      </c>
      <c r="E129" s="38">
        <f t="shared" si="160"/>
        <v>3</v>
      </c>
      <c r="F129" s="34"/>
      <c r="G129" s="8"/>
      <c r="H129" s="38">
        <f t="shared" si="161"/>
        <v>0</v>
      </c>
      <c r="I129" s="34"/>
      <c r="J129" s="8"/>
      <c r="K129" s="38">
        <f t="shared" si="162"/>
        <v>0</v>
      </c>
      <c r="L129" s="9">
        <f t="shared" si="163"/>
        <v>3</v>
      </c>
      <c r="M129" s="51">
        <v>46051</v>
      </c>
      <c r="N129" s="15" t="s">
        <v>90</v>
      </c>
      <c r="O129" s="34">
        <v>50</v>
      </c>
      <c r="P129" s="8">
        <v>30</v>
      </c>
      <c r="Q129" s="59">
        <f t="shared" si="164"/>
        <v>80</v>
      </c>
      <c r="R129" s="34">
        <f>170</f>
        <v>170</v>
      </c>
      <c r="S129" s="8">
        <f>150</f>
        <v>150</v>
      </c>
      <c r="T129" s="59">
        <f t="shared" si="165"/>
        <v>320</v>
      </c>
      <c r="U129" s="34">
        <f>170</f>
        <v>170</v>
      </c>
      <c r="V129" s="8">
        <f>160</f>
        <v>160</v>
      </c>
      <c r="W129" s="59">
        <f t="shared" si="166"/>
        <v>330</v>
      </c>
      <c r="X129" s="60">
        <f t="shared" si="167"/>
        <v>730</v>
      </c>
      <c r="Y129" s="51" t="s">
        <v>120</v>
      </c>
    </row>
    <row r="130" spans="2:25" x14ac:dyDescent="0.15">
      <c r="B130" s="96" t="s">
        <v>3</v>
      </c>
      <c r="C130" s="79">
        <v>2</v>
      </c>
      <c r="D130" s="80"/>
      <c r="E130" s="97">
        <f t="shared" ref="E130:E131" si="168">SUM(C130:D130)</f>
        <v>2</v>
      </c>
      <c r="F130" s="81"/>
      <c r="G130" s="82"/>
      <c r="H130" s="97">
        <f t="shared" ref="H130:H131" si="169">SUM(F130:G130)</f>
        <v>0</v>
      </c>
      <c r="I130" s="81">
        <v>2</v>
      </c>
      <c r="J130" s="82"/>
      <c r="K130" s="97">
        <f t="shared" ref="K130:K131" si="170">SUM(I130:J130)</f>
        <v>2</v>
      </c>
      <c r="L130" s="98">
        <f t="shared" si="158"/>
        <v>4</v>
      </c>
      <c r="M130" s="95">
        <v>46052</v>
      </c>
      <c r="N130" s="15" t="s">
        <v>3</v>
      </c>
      <c r="O130" s="29"/>
      <c r="P130" s="24"/>
      <c r="Q130" s="38">
        <f t="shared" si="164"/>
        <v>0</v>
      </c>
      <c r="R130" s="29">
        <v>-30</v>
      </c>
      <c r="S130" s="24">
        <v>-30</v>
      </c>
      <c r="T130" s="38">
        <f t="shared" si="165"/>
        <v>-60</v>
      </c>
      <c r="U130" s="29">
        <v>-30</v>
      </c>
      <c r="V130" s="24">
        <v>-30</v>
      </c>
      <c r="W130" s="38">
        <f t="shared" si="166"/>
        <v>-60</v>
      </c>
      <c r="X130" s="9">
        <f t="shared" si="167"/>
        <v>-120</v>
      </c>
      <c r="Y130" s="50" t="s">
        <v>98</v>
      </c>
    </row>
    <row r="131" spans="2:25" ht="14.25" thickBot="1" x14ac:dyDescent="0.2">
      <c r="B131" s="99" t="s">
        <v>3</v>
      </c>
      <c r="C131" s="100"/>
      <c r="D131" s="101"/>
      <c r="E131" s="102">
        <f t="shared" si="168"/>
        <v>0</v>
      </c>
      <c r="F131" s="103"/>
      <c r="G131" s="104"/>
      <c r="H131" s="102">
        <f t="shared" si="169"/>
        <v>0</v>
      </c>
      <c r="I131" s="103">
        <v>2</v>
      </c>
      <c r="J131" s="104"/>
      <c r="K131" s="102">
        <f t="shared" si="170"/>
        <v>2</v>
      </c>
      <c r="L131" s="105">
        <f t="shared" si="158"/>
        <v>2</v>
      </c>
      <c r="M131" s="92">
        <v>46058</v>
      </c>
      <c r="N131" s="77" t="s">
        <v>3</v>
      </c>
      <c r="O131" s="53"/>
      <c r="P131" s="78"/>
      <c r="Q131" s="39">
        <f t="shared" si="164"/>
        <v>0</v>
      </c>
      <c r="R131" s="53"/>
      <c r="S131" s="78"/>
      <c r="T131" s="39">
        <f t="shared" si="165"/>
        <v>0</v>
      </c>
      <c r="U131" s="53"/>
      <c r="V131" s="78"/>
      <c r="W131" s="39">
        <f t="shared" si="166"/>
        <v>0</v>
      </c>
      <c r="X131" s="13">
        <f t="shared" si="167"/>
        <v>0</v>
      </c>
      <c r="Y131" s="50" t="s">
        <v>98</v>
      </c>
    </row>
    <row r="132" spans="2:25" ht="14.25" thickBot="1" x14ac:dyDescent="0.2">
      <c r="B132" s="5" t="s">
        <v>2</v>
      </c>
      <c r="C132" s="31">
        <f>SUM(C126:C131)</f>
        <v>8</v>
      </c>
      <c r="D132" s="18">
        <f>SUM(D126:D131)</f>
        <v>6</v>
      </c>
      <c r="E132" s="40">
        <f t="shared" ref="E132:E159" si="171">SUM(C132:D132)</f>
        <v>14</v>
      </c>
      <c r="F132" s="31">
        <f>SUM(F126:F131)</f>
        <v>4</v>
      </c>
      <c r="G132" s="18">
        <f>SUM(G126:G131)</f>
        <v>3</v>
      </c>
      <c r="H132" s="40">
        <f t="shared" ref="H132:H159" si="172">SUM(F132:G132)</f>
        <v>7</v>
      </c>
      <c r="I132" s="31">
        <f>SUM(I126:I131)</f>
        <v>8</v>
      </c>
      <c r="J132" s="18">
        <f>SUM(J126:J131)</f>
        <v>5</v>
      </c>
      <c r="K132" s="40">
        <f t="shared" ref="K132:K159" si="173">SUM(I132:J132)</f>
        <v>13</v>
      </c>
      <c r="L132" s="12">
        <f t="shared" si="158"/>
        <v>34</v>
      </c>
      <c r="N132" s="74" t="s">
        <v>2</v>
      </c>
      <c r="O132" s="75">
        <f>SUM(O126:O131)</f>
        <v>140</v>
      </c>
      <c r="P132" s="76">
        <f t="shared" ref="P132:X132" si="174">SUM(P126:P131)</f>
        <v>104</v>
      </c>
      <c r="Q132" s="40">
        <f t="shared" si="174"/>
        <v>244</v>
      </c>
      <c r="R132" s="75">
        <f t="shared" si="174"/>
        <v>231</v>
      </c>
      <c r="S132" s="76">
        <f t="shared" si="174"/>
        <v>211</v>
      </c>
      <c r="T132" s="40">
        <f t="shared" si="174"/>
        <v>442</v>
      </c>
      <c r="U132" s="75">
        <f t="shared" si="174"/>
        <v>229</v>
      </c>
      <c r="V132" s="76">
        <f t="shared" si="174"/>
        <v>211</v>
      </c>
      <c r="W132" s="40">
        <f t="shared" si="174"/>
        <v>440</v>
      </c>
      <c r="X132" s="12">
        <f t="shared" si="174"/>
        <v>1126</v>
      </c>
    </row>
    <row r="133" spans="2:25" x14ac:dyDescent="0.15">
      <c r="B133" s="7" t="s">
        <v>67</v>
      </c>
      <c r="C133" s="29">
        <v>1</v>
      </c>
      <c r="D133" s="24"/>
      <c r="E133" s="41">
        <f t="shared" si="171"/>
        <v>1</v>
      </c>
      <c r="F133" s="34"/>
      <c r="G133" s="8"/>
      <c r="H133" s="41">
        <f t="shared" si="172"/>
        <v>0</v>
      </c>
      <c r="I133" s="34">
        <v>1</v>
      </c>
      <c r="J133" s="8"/>
      <c r="K133" s="41">
        <f t="shared" si="173"/>
        <v>1</v>
      </c>
      <c r="L133" s="8">
        <f t="shared" si="158"/>
        <v>2</v>
      </c>
      <c r="M133" s="51">
        <v>46017</v>
      </c>
      <c r="N133" s="7" t="s">
        <v>100</v>
      </c>
      <c r="O133" s="29"/>
      <c r="P133" s="24"/>
      <c r="Q133" s="41">
        <f t="shared" ref="Q133:Q155" si="175">SUM(O133:P133)</f>
        <v>0</v>
      </c>
      <c r="R133" s="34">
        <v>60</v>
      </c>
      <c r="S133" s="8">
        <v>60</v>
      </c>
      <c r="T133" s="41">
        <f t="shared" ref="T133:T155" si="176">SUM(R133:S133)</f>
        <v>120</v>
      </c>
      <c r="U133" s="34">
        <v>60</v>
      </c>
      <c r="V133" s="8">
        <v>60</v>
      </c>
      <c r="W133" s="41">
        <f t="shared" ref="W133:W155" si="177">SUM(U133:V133)</f>
        <v>120</v>
      </c>
      <c r="X133" s="8">
        <f t="shared" ref="X133:X155" si="178">SUM(W133,T133,Q133)</f>
        <v>240</v>
      </c>
      <c r="Y133" s="51">
        <v>46016</v>
      </c>
    </row>
    <row r="134" spans="2:25" x14ac:dyDescent="0.15">
      <c r="B134" s="7" t="s">
        <v>23</v>
      </c>
      <c r="C134" s="29"/>
      <c r="D134" s="24">
        <v>1</v>
      </c>
      <c r="E134" s="41">
        <f t="shared" si="171"/>
        <v>1</v>
      </c>
      <c r="F134" s="34"/>
      <c r="G134" s="8"/>
      <c r="H134" s="41">
        <f t="shared" si="172"/>
        <v>0</v>
      </c>
      <c r="I134" s="34"/>
      <c r="J134" s="8">
        <v>1</v>
      </c>
      <c r="K134" s="41">
        <f t="shared" si="173"/>
        <v>1</v>
      </c>
      <c r="L134" s="8">
        <f t="shared" si="158"/>
        <v>2</v>
      </c>
      <c r="M134" s="51">
        <v>46016</v>
      </c>
      <c r="N134" s="7" t="s">
        <v>51</v>
      </c>
      <c r="O134" s="29"/>
      <c r="P134" s="24">
        <v>1</v>
      </c>
      <c r="Q134" s="41">
        <f t="shared" si="175"/>
        <v>1</v>
      </c>
      <c r="R134" s="34"/>
      <c r="S134" s="8">
        <v>4</v>
      </c>
      <c r="T134" s="41">
        <f t="shared" si="176"/>
        <v>4</v>
      </c>
      <c r="U134" s="34">
        <v>2</v>
      </c>
      <c r="V134" s="8"/>
      <c r="W134" s="41">
        <f t="shared" si="177"/>
        <v>2</v>
      </c>
      <c r="X134" s="8">
        <f t="shared" si="178"/>
        <v>7</v>
      </c>
      <c r="Y134" s="51">
        <v>46010</v>
      </c>
    </row>
    <row r="135" spans="2:25" x14ac:dyDescent="0.15">
      <c r="B135" s="7" t="s">
        <v>69</v>
      </c>
      <c r="C135" s="29">
        <v>1</v>
      </c>
      <c r="D135" s="24"/>
      <c r="E135" s="41">
        <f t="shared" si="171"/>
        <v>1</v>
      </c>
      <c r="F135" s="34"/>
      <c r="G135" s="8"/>
      <c r="H135" s="41">
        <f t="shared" si="172"/>
        <v>0</v>
      </c>
      <c r="I135" s="34"/>
      <c r="J135" s="8"/>
      <c r="K135" s="41">
        <f t="shared" si="173"/>
        <v>0</v>
      </c>
      <c r="L135" s="8">
        <f t="shared" si="158"/>
        <v>1</v>
      </c>
      <c r="M135" s="51">
        <v>46031</v>
      </c>
      <c r="N135" s="7" t="s">
        <v>55</v>
      </c>
      <c r="O135" s="29">
        <v>5</v>
      </c>
      <c r="P135" s="24">
        <v>3</v>
      </c>
      <c r="Q135" s="41">
        <f t="shared" si="175"/>
        <v>8</v>
      </c>
      <c r="R135" s="34"/>
      <c r="S135" s="8"/>
      <c r="T135" s="41">
        <f t="shared" si="176"/>
        <v>0</v>
      </c>
      <c r="U135" s="34">
        <v>2</v>
      </c>
      <c r="V135" s="8">
        <v>1</v>
      </c>
      <c r="W135" s="41">
        <f t="shared" si="177"/>
        <v>3</v>
      </c>
      <c r="X135" s="8">
        <f t="shared" si="178"/>
        <v>11</v>
      </c>
      <c r="Y135" s="51">
        <v>46013</v>
      </c>
    </row>
    <row r="136" spans="2:25" x14ac:dyDescent="0.15">
      <c r="B136" s="7" t="s">
        <v>83</v>
      </c>
      <c r="C136" s="29"/>
      <c r="D136" s="24">
        <v>1</v>
      </c>
      <c r="E136" s="41">
        <f t="shared" si="171"/>
        <v>1</v>
      </c>
      <c r="F136" s="34"/>
      <c r="G136" s="8"/>
      <c r="H136" s="41">
        <f t="shared" si="172"/>
        <v>0</v>
      </c>
      <c r="I136" s="34"/>
      <c r="J136" s="8"/>
      <c r="K136" s="41">
        <f t="shared" si="173"/>
        <v>0</v>
      </c>
      <c r="L136" s="8">
        <f t="shared" si="158"/>
        <v>1</v>
      </c>
      <c r="M136" s="51">
        <v>46044</v>
      </c>
      <c r="N136" s="7" t="s">
        <v>57</v>
      </c>
      <c r="O136" s="29">
        <v>2</v>
      </c>
      <c r="P136" s="24">
        <v>2</v>
      </c>
      <c r="Q136" s="41">
        <f t="shared" si="175"/>
        <v>4</v>
      </c>
      <c r="R136" s="34">
        <v>1</v>
      </c>
      <c r="S136" s="8">
        <v>1</v>
      </c>
      <c r="T136" s="41">
        <f t="shared" si="176"/>
        <v>2</v>
      </c>
      <c r="U136" s="34">
        <v>2</v>
      </c>
      <c r="V136" s="8"/>
      <c r="W136" s="41">
        <f t="shared" si="177"/>
        <v>2</v>
      </c>
      <c r="X136" s="8">
        <f t="shared" si="178"/>
        <v>8</v>
      </c>
      <c r="Y136" s="51">
        <v>46015</v>
      </c>
    </row>
    <row r="137" spans="2:25" x14ac:dyDescent="0.15">
      <c r="B137" s="7" t="s">
        <v>123</v>
      </c>
      <c r="C137" s="29">
        <v>1</v>
      </c>
      <c r="D137" s="24"/>
      <c r="E137" s="41">
        <f t="shared" si="171"/>
        <v>1</v>
      </c>
      <c r="F137" s="34"/>
      <c r="G137" s="8"/>
      <c r="H137" s="41">
        <f t="shared" si="172"/>
        <v>0</v>
      </c>
      <c r="I137" s="34">
        <v>1</v>
      </c>
      <c r="J137" s="8"/>
      <c r="K137" s="41">
        <f t="shared" si="173"/>
        <v>1</v>
      </c>
      <c r="L137" s="8">
        <f t="shared" si="158"/>
        <v>2</v>
      </c>
      <c r="M137" s="51">
        <v>46048</v>
      </c>
      <c r="N137" s="7" t="s">
        <v>61</v>
      </c>
      <c r="O137" s="29">
        <v>3</v>
      </c>
      <c r="P137" s="24"/>
      <c r="Q137" s="41">
        <f t="shared" si="175"/>
        <v>3</v>
      </c>
      <c r="R137" s="34">
        <v>5</v>
      </c>
      <c r="S137" s="8"/>
      <c r="T137" s="41">
        <f t="shared" si="176"/>
        <v>5</v>
      </c>
      <c r="U137" s="34">
        <v>2</v>
      </c>
      <c r="V137" s="8"/>
      <c r="W137" s="41">
        <f t="shared" si="177"/>
        <v>2</v>
      </c>
      <c r="X137" s="8">
        <f t="shared" si="178"/>
        <v>10</v>
      </c>
      <c r="Y137" s="51">
        <v>46016</v>
      </c>
    </row>
    <row r="138" spans="2:25" x14ac:dyDescent="0.15">
      <c r="B138" s="7" t="s">
        <v>127</v>
      </c>
      <c r="C138" s="29">
        <v>1</v>
      </c>
      <c r="D138" s="24"/>
      <c r="E138" s="41">
        <f t="shared" ref="E138:E143" si="179">SUM(C138:D138)</f>
        <v>1</v>
      </c>
      <c r="F138" s="34"/>
      <c r="G138" s="8"/>
      <c r="H138" s="41">
        <f t="shared" ref="H138:H143" si="180">SUM(F138:G138)</f>
        <v>0</v>
      </c>
      <c r="I138" s="34"/>
      <c r="J138" s="8"/>
      <c r="K138" s="41">
        <f t="shared" ref="K138:K143" si="181">SUM(I138:J138)</f>
        <v>0</v>
      </c>
      <c r="L138" s="8">
        <f t="shared" ref="L138:L143" si="182">SUM(K138,H138,E138)</f>
        <v>1</v>
      </c>
      <c r="M138" s="51">
        <v>46052</v>
      </c>
      <c r="N138" s="7" t="s">
        <v>65</v>
      </c>
      <c r="O138" s="29">
        <v>7</v>
      </c>
      <c r="P138" s="24">
        <v>2</v>
      </c>
      <c r="Q138" s="41">
        <f t="shared" si="175"/>
        <v>9</v>
      </c>
      <c r="R138" s="34"/>
      <c r="S138" s="8"/>
      <c r="T138" s="41">
        <f t="shared" si="176"/>
        <v>0</v>
      </c>
      <c r="U138" s="34">
        <v>2</v>
      </c>
      <c r="V138" s="8"/>
      <c r="W138" s="41">
        <f t="shared" si="177"/>
        <v>2</v>
      </c>
      <c r="X138" s="8">
        <f t="shared" si="178"/>
        <v>11</v>
      </c>
      <c r="Y138" s="51">
        <v>46017</v>
      </c>
    </row>
    <row r="139" spans="2:25" x14ac:dyDescent="0.15">
      <c r="B139" s="7" t="s">
        <v>129</v>
      </c>
      <c r="C139" s="29">
        <v>2</v>
      </c>
      <c r="D139" s="24"/>
      <c r="E139" s="41">
        <f t="shared" si="179"/>
        <v>2</v>
      </c>
      <c r="F139" s="34"/>
      <c r="G139" s="8"/>
      <c r="H139" s="41">
        <f t="shared" si="180"/>
        <v>0</v>
      </c>
      <c r="I139" s="34">
        <v>2</v>
      </c>
      <c r="J139" s="8"/>
      <c r="K139" s="41">
        <f t="shared" si="181"/>
        <v>2</v>
      </c>
      <c r="L139" s="8">
        <f t="shared" si="182"/>
        <v>4</v>
      </c>
      <c r="M139" s="51">
        <v>46055</v>
      </c>
      <c r="N139" s="7" t="s">
        <v>68</v>
      </c>
      <c r="O139" s="29">
        <v>7</v>
      </c>
      <c r="P139" s="24">
        <v>5</v>
      </c>
      <c r="Q139" s="41">
        <f t="shared" si="175"/>
        <v>12</v>
      </c>
      <c r="R139" s="34">
        <v>4</v>
      </c>
      <c r="S139" s="8">
        <v>3</v>
      </c>
      <c r="T139" s="41">
        <f t="shared" si="176"/>
        <v>7</v>
      </c>
      <c r="U139" s="34">
        <v>4</v>
      </c>
      <c r="V139" s="8">
        <v>1</v>
      </c>
      <c r="W139" s="41">
        <f t="shared" si="177"/>
        <v>5</v>
      </c>
      <c r="X139" s="8">
        <f t="shared" si="178"/>
        <v>24</v>
      </c>
      <c r="Y139" s="51">
        <v>46029</v>
      </c>
    </row>
    <row r="140" spans="2:25" x14ac:dyDescent="0.15">
      <c r="B140" s="7"/>
      <c r="C140" s="32"/>
      <c r="D140" s="26"/>
      <c r="E140" s="41">
        <f t="shared" si="179"/>
        <v>0</v>
      </c>
      <c r="F140" s="36"/>
      <c r="G140" s="10"/>
      <c r="H140" s="41">
        <f t="shared" si="180"/>
        <v>0</v>
      </c>
      <c r="I140" s="36"/>
      <c r="J140" s="10"/>
      <c r="K140" s="41">
        <f t="shared" si="181"/>
        <v>0</v>
      </c>
      <c r="L140" s="8">
        <f t="shared" si="182"/>
        <v>0</v>
      </c>
      <c r="M140" s="52"/>
      <c r="N140" s="7" t="s">
        <v>119</v>
      </c>
      <c r="O140" s="29"/>
      <c r="P140" s="24"/>
      <c r="Q140" s="41">
        <f t="shared" si="175"/>
        <v>0</v>
      </c>
      <c r="R140" s="34">
        <v>40</v>
      </c>
      <c r="S140" s="8">
        <v>10</v>
      </c>
      <c r="T140" s="41">
        <f t="shared" si="176"/>
        <v>50</v>
      </c>
      <c r="U140" s="34">
        <v>40</v>
      </c>
      <c r="V140" s="8">
        <v>10</v>
      </c>
      <c r="W140" s="41">
        <f t="shared" si="177"/>
        <v>50</v>
      </c>
      <c r="X140" s="8">
        <f t="shared" si="178"/>
        <v>100</v>
      </c>
      <c r="Y140" s="51">
        <v>46031</v>
      </c>
    </row>
    <row r="141" spans="2:25" x14ac:dyDescent="0.15">
      <c r="B141" s="7"/>
      <c r="C141" s="32"/>
      <c r="D141" s="26"/>
      <c r="E141" s="41">
        <f t="shared" si="179"/>
        <v>0</v>
      </c>
      <c r="F141" s="36"/>
      <c r="G141" s="10"/>
      <c r="H141" s="41">
        <f t="shared" si="180"/>
        <v>0</v>
      </c>
      <c r="I141" s="36"/>
      <c r="J141" s="10"/>
      <c r="K141" s="41">
        <f t="shared" si="181"/>
        <v>0</v>
      </c>
      <c r="L141" s="8">
        <f t="shared" si="182"/>
        <v>0</v>
      </c>
      <c r="M141" s="52"/>
      <c r="N141" s="7" t="s">
        <v>70</v>
      </c>
      <c r="O141" s="29">
        <v>3</v>
      </c>
      <c r="P141" s="24"/>
      <c r="Q141" s="41">
        <f t="shared" si="175"/>
        <v>3</v>
      </c>
      <c r="R141" s="34">
        <v>1</v>
      </c>
      <c r="S141" s="8"/>
      <c r="T141" s="41">
        <f t="shared" si="176"/>
        <v>1</v>
      </c>
      <c r="U141" s="34"/>
      <c r="V141" s="8"/>
      <c r="W141" s="41">
        <f t="shared" si="177"/>
        <v>0</v>
      </c>
      <c r="X141" s="8">
        <f t="shared" si="178"/>
        <v>4</v>
      </c>
      <c r="Y141" s="51">
        <v>46035</v>
      </c>
    </row>
    <row r="142" spans="2:25" x14ac:dyDescent="0.15">
      <c r="B142" s="7"/>
      <c r="C142" s="32"/>
      <c r="D142" s="26"/>
      <c r="E142" s="41">
        <f t="shared" si="179"/>
        <v>0</v>
      </c>
      <c r="F142" s="36"/>
      <c r="G142" s="10"/>
      <c r="H142" s="41">
        <f t="shared" si="180"/>
        <v>0</v>
      </c>
      <c r="I142" s="36"/>
      <c r="J142" s="10"/>
      <c r="K142" s="41">
        <f t="shared" si="181"/>
        <v>0</v>
      </c>
      <c r="L142" s="8">
        <f t="shared" si="182"/>
        <v>0</v>
      </c>
      <c r="M142" s="52"/>
      <c r="N142" s="7" t="s">
        <v>73</v>
      </c>
      <c r="O142" s="29">
        <v>2</v>
      </c>
      <c r="P142" s="24">
        <v>2</v>
      </c>
      <c r="Q142" s="41">
        <f t="shared" si="175"/>
        <v>4</v>
      </c>
      <c r="R142" s="34">
        <v>1</v>
      </c>
      <c r="S142" s="8">
        <v>1</v>
      </c>
      <c r="T142" s="41">
        <f t="shared" si="176"/>
        <v>2</v>
      </c>
      <c r="U142" s="34"/>
      <c r="V142" s="8">
        <v>3</v>
      </c>
      <c r="W142" s="41">
        <f t="shared" si="177"/>
        <v>3</v>
      </c>
      <c r="X142" s="8">
        <f t="shared" si="178"/>
        <v>9</v>
      </c>
      <c r="Y142" s="51">
        <v>46037</v>
      </c>
    </row>
    <row r="143" spans="2:25" x14ac:dyDescent="0.15">
      <c r="B143" s="7"/>
      <c r="C143" s="32"/>
      <c r="D143" s="26"/>
      <c r="E143" s="41">
        <f t="shared" si="179"/>
        <v>0</v>
      </c>
      <c r="F143" s="36"/>
      <c r="G143" s="10"/>
      <c r="H143" s="41">
        <f t="shared" si="180"/>
        <v>0</v>
      </c>
      <c r="I143" s="36"/>
      <c r="J143" s="10"/>
      <c r="K143" s="41">
        <f t="shared" si="181"/>
        <v>0</v>
      </c>
      <c r="L143" s="8">
        <f t="shared" si="182"/>
        <v>0</v>
      </c>
      <c r="M143" s="52"/>
      <c r="N143" s="7" t="s">
        <v>76</v>
      </c>
      <c r="O143" s="29">
        <v>3</v>
      </c>
      <c r="P143" s="24">
        <v>3</v>
      </c>
      <c r="Q143" s="41">
        <f t="shared" si="175"/>
        <v>6</v>
      </c>
      <c r="R143" s="34">
        <v>1</v>
      </c>
      <c r="S143" s="8">
        <v>2</v>
      </c>
      <c r="T143" s="41">
        <f t="shared" si="176"/>
        <v>3</v>
      </c>
      <c r="U143" s="34"/>
      <c r="V143" s="8">
        <v>4</v>
      </c>
      <c r="W143" s="41">
        <f t="shared" si="177"/>
        <v>4</v>
      </c>
      <c r="X143" s="8">
        <f t="shared" si="178"/>
        <v>13</v>
      </c>
      <c r="Y143" s="51">
        <v>46038</v>
      </c>
    </row>
    <row r="144" spans="2:25" x14ac:dyDescent="0.15">
      <c r="B144" s="7"/>
      <c r="C144" s="32"/>
      <c r="D144" s="26"/>
      <c r="E144" s="41">
        <f t="shared" si="171"/>
        <v>0</v>
      </c>
      <c r="F144" s="36"/>
      <c r="G144" s="10"/>
      <c r="H144" s="41">
        <f t="shared" si="172"/>
        <v>0</v>
      </c>
      <c r="I144" s="36"/>
      <c r="J144" s="10"/>
      <c r="K144" s="41">
        <f t="shared" si="173"/>
        <v>0</v>
      </c>
      <c r="L144" s="8">
        <f t="shared" si="158"/>
        <v>0</v>
      </c>
      <c r="M144" s="52"/>
      <c r="N144" s="7" t="s">
        <v>77</v>
      </c>
      <c r="O144" s="29">
        <v>2</v>
      </c>
      <c r="P144" s="24">
        <v>3</v>
      </c>
      <c r="Q144" s="41">
        <f t="shared" si="175"/>
        <v>5</v>
      </c>
      <c r="R144" s="34"/>
      <c r="S144" s="8">
        <v>1</v>
      </c>
      <c r="T144" s="41">
        <f t="shared" si="176"/>
        <v>1</v>
      </c>
      <c r="U144" s="34"/>
      <c r="V144" s="8">
        <v>1</v>
      </c>
      <c r="W144" s="41">
        <f t="shared" si="177"/>
        <v>1</v>
      </c>
      <c r="X144" s="8">
        <f t="shared" si="178"/>
        <v>7</v>
      </c>
      <c r="Y144" s="51">
        <v>46038</v>
      </c>
    </row>
    <row r="145" spans="2:25" x14ac:dyDescent="0.15">
      <c r="B145" s="7"/>
      <c r="C145" s="32"/>
      <c r="D145" s="26"/>
      <c r="E145" s="41">
        <f t="shared" si="171"/>
        <v>0</v>
      </c>
      <c r="F145" s="36"/>
      <c r="G145" s="10"/>
      <c r="H145" s="41">
        <f t="shared" si="172"/>
        <v>0</v>
      </c>
      <c r="I145" s="36"/>
      <c r="J145" s="10"/>
      <c r="K145" s="41">
        <f t="shared" si="173"/>
        <v>0</v>
      </c>
      <c r="L145" s="8">
        <f t="shared" si="158"/>
        <v>0</v>
      </c>
      <c r="M145" s="52"/>
      <c r="N145" s="7" t="s">
        <v>78</v>
      </c>
      <c r="O145" s="29">
        <v>1</v>
      </c>
      <c r="P145" s="24">
        <v>1</v>
      </c>
      <c r="Q145" s="41">
        <f t="shared" si="175"/>
        <v>2</v>
      </c>
      <c r="R145" s="34">
        <v>2</v>
      </c>
      <c r="S145" s="8">
        <v>1</v>
      </c>
      <c r="T145" s="41">
        <f t="shared" si="176"/>
        <v>3</v>
      </c>
      <c r="U145" s="34">
        <v>2</v>
      </c>
      <c r="V145" s="8"/>
      <c r="W145" s="41">
        <f t="shared" si="177"/>
        <v>2</v>
      </c>
      <c r="X145" s="8">
        <f t="shared" si="178"/>
        <v>7</v>
      </c>
      <c r="Y145" s="51">
        <v>46043</v>
      </c>
    </row>
    <row r="146" spans="2:25" x14ac:dyDescent="0.15">
      <c r="B146" s="7"/>
      <c r="C146" s="32"/>
      <c r="D146" s="26"/>
      <c r="E146" s="41">
        <f t="shared" si="171"/>
        <v>0</v>
      </c>
      <c r="F146" s="36"/>
      <c r="G146" s="10"/>
      <c r="H146" s="41">
        <f t="shared" si="172"/>
        <v>0</v>
      </c>
      <c r="I146" s="36"/>
      <c r="J146" s="10"/>
      <c r="K146" s="41">
        <f t="shared" si="173"/>
        <v>0</v>
      </c>
      <c r="L146" s="8">
        <f t="shared" si="158"/>
        <v>0</v>
      </c>
      <c r="M146" s="52"/>
      <c r="N146" s="7" t="s">
        <v>121</v>
      </c>
      <c r="O146" s="29">
        <v>2</v>
      </c>
      <c r="P146" s="24"/>
      <c r="Q146" s="41">
        <f t="shared" si="175"/>
        <v>2</v>
      </c>
      <c r="R146" s="34"/>
      <c r="S146" s="8"/>
      <c r="T146" s="41">
        <f t="shared" si="176"/>
        <v>0</v>
      </c>
      <c r="U146" s="34">
        <v>1</v>
      </c>
      <c r="V146" s="8"/>
      <c r="W146" s="41">
        <f t="shared" si="177"/>
        <v>1</v>
      </c>
      <c r="X146" s="8">
        <f t="shared" si="178"/>
        <v>3</v>
      </c>
      <c r="Y146" s="51">
        <v>46045</v>
      </c>
    </row>
    <row r="147" spans="2:25" x14ac:dyDescent="0.15">
      <c r="B147" s="7"/>
      <c r="C147" s="32"/>
      <c r="D147" s="26"/>
      <c r="E147" s="41">
        <f t="shared" si="171"/>
        <v>0</v>
      </c>
      <c r="F147" s="36"/>
      <c r="G147" s="10"/>
      <c r="H147" s="41">
        <f t="shared" si="172"/>
        <v>0</v>
      </c>
      <c r="I147" s="36"/>
      <c r="J147" s="10"/>
      <c r="K147" s="41">
        <f t="shared" si="173"/>
        <v>0</v>
      </c>
      <c r="L147" s="8">
        <f t="shared" si="158"/>
        <v>0</v>
      </c>
      <c r="M147" s="52"/>
      <c r="N147" s="7" t="s">
        <v>122</v>
      </c>
      <c r="O147" s="29">
        <v>2</v>
      </c>
      <c r="P147" s="24"/>
      <c r="Q147" s="41">
        <f t="shared" si="175"/>
        <v>2</v>
      </c>
      <c r="R147" s="34"/>
      <c r="S147" s="8"/>
      <c r="T147" s="41">
        <f t="shared" si="176"/>
        <v>0</v>
      </c>
      <c r="U147" s="34"/>
      <c r="V147" s="8"/>
      <c r="W147" s="41">
        <f t="shared" si="177"/>
        <v>0</v>
      </c>
      <c r="X147" s="8">
        <f t="shared" si="178"/>
        <v>2</v>
      </c>
      <c r="Y147" s="51">
        <v>46045</v>
      </c>
    </row>
    <row r="148" spans="2:25" x14ac:dyDescent="0.15">
      <c r="B148" s="7"/>
      <c r="C148" s="32"/>
      <c r="D148" s="26"/>
      <c r="E148" s="41">
        <f t="shared" si="171"/>
        <v>0</v>
      </c>
      <c r="F148" s="36"/>
      <c r="G148" s="10"/>
      <c r="H148" s="41">
        <f t="shared" si="172"/>
        <v>0</v>
      </c>
      <c r="I148" s="36"/>
      <c r="J148" s="10"/>
      <c r="K148" s="41">
        <f t="shared" si="173"/>
        <v>0</v>
      </c>
      <c r="L148" s="8">
        <f t="shared" si="158"/>
        <v>0</v>
      </c>
      <c r="M148" s="52"/>
      <c r="N148" s="7" t="s">
        <v>124</v>
      </c>
      <c r="O148" s="29">
        <v>8</v>
      </c>
      <c r="P148" s="24">
        <v>1</v>
      </c>
      <c r="Q148" s="41">
        <f t="shared" si="175"/>
        <v>9</v>
      </c>
      <c r="R148" s="34">
        <v>1</v>
      </c>
      <c r="S148" s="8"/>
      <c r="T148" s="41">
        <f t="shared" si="176"/>
        <v>1</v>
      </c>
      <c r="U148" s="34"/>
      <c r="V148" s="8"/>
      <c r="W148" s="41">
        <f t="shared" si="177"/>
        <v>0</v>
      </c>
      <c r="X148" s="8">
        <f t="shared" si="178"/>
        <v>10</v>
      </c>
      <c r="Y148" s="51">
        <v>46050</v>
      </c>
    </row>
    <row r="149" spans="2:25" x14ac:dyDescent="0.15">
      <c r="B149" s="7"/>
      <c r="C149" s="32"/>
      <c r="D149" s="26"/>
      <c r="E149" s="41">
        <f t="shared" si="171"/>
        <v>0</v>
      </c>
      <c r="F149" s="36"/>
      <c r="G149" s="10"/>
      <c r="H149" s="41">
        <f t="shared" si="172"/>
        <v>0</v>
      </c>
      <c r="I149" s="36"/>
      <c r="J149" s="10"/>
      <c r="K149" s="41">
        <f t="shared" si="173"/>
        <v>0</v>
      </c>
      <c r="L149" s="8">
        <f t="shared" si="158"/>
        <v>0</v>
      </c>
      <c r="M149" s="52"/>
      <c r="N149" s="7" t="s">
        <v>125</v>
      </c>
      <c r="O149" s="29"/>
      <c r="P149" s="24">
        <v>2</v>
      </c>
      <c r="Q149" s="41">
        <f t="shared" si="175"/>
        <v>2</v>
      </c>
      <c r="R149" s="34">
        <v>2</v>
      </c>
      <c r="S149" s="8"/>
      <c r="T149" s="41">
        <f t="shared" si="176"/>
        <v>2</v>
      </c>
      <c r="U149" s="34">
        <v>2</v>
      </c>
      <c r="V149" s="8">
        <v>1</v>
      </c>
      <c r="W149" s="41">
        <f t="shared" si="177"/>
        <v>3</v>
      </c>
      <c r="X149" s="8">
        <f t="shared" si="178"/>
        <v>7</v>
      </c>
      <c r="Y149" s="51">
        <v>46051</v>
      </c>
    </row>
    <row r="150" spans="2:25" x14ac:dyDescent="0.15">
      <c r="B150" s="7"/>
      <c r="C150" s="32"/>
      <c r="D150" s="26"/>
      <c r="E150" s="41">
        <f t="shared" si="171"/>
        <v>0</v>
      </c>
      <c r="F150" s="36"/>
      <c r="G150" s="10"/>
      <c r="H150" s="41">
        <f t="shared" si="172"/>
        <v>0</v>
      </c>
      <c r="I150" s="36"/>
      <c r="J150" s="10"/>
      <c r="K150" s="41">
        <f t="shared" si="173"/>
        <v>0</v>
      </c>
      <c r="L150" s="8">
        <f t="shared" si="158"/>
        <v>0</v>
      </c>
      <c r="M150" s="52"/>
      <c r="N150" s="7" t="s">
        <v>126</v>
      </c>
      <c r="O150" s="29"/>
      <c r="P150" s="24"/>
      <c r="Q150" s="41">
        <f t="shared" si="175"/>
        <v>0</v>
      </c>
      <c r="R150" s="34">
        <v>2</v>
      </c>
      <c r="S150" s="8">
        <v>1</v>
      </c>
      <c r="T150" s="41">
        <f t="shared" si="176"/>
        <v>3</v>
      </c>
      <c r="U150" s="34"/>
      <c r="V150" s="8"/>
      <c r="W150" s="41">
        <f t="shared" si="177"/>
        <v>0</v>
      </c>
      <c r="X150" s="8">
        <f t="shared" si="178"/>
        <v>3</v>
      </c>
      <c r="Y150" s="51">
        <v>46052</v>
      </c>
    </row>
    <row r="151" spans="2:25" x14ac:dyDescent="0.15">
      <c r="B151" s="7"/>
      <c r="C151" s="32"/>
      <c r="D151" s="26"/>
      <c r="E151" s="41">
        <f t="shared" si="171"/>
        <v>0</v>
      </c>
      <c r="F151" s="36"/>
      <c r="G151" s="10"/>
      <c r="H151" s="41">
        <f t="shared" si="172"/>
        <v>0</v>
      </c>
      <c r="I151" s="36"/>
      <c r="J151" s="10"/>
      <c r="K151" s="41">
        <f t="shared" si="173"/>
        <v>0</v>
      </c>
      <c r="L151" s="8">
        <f t="shared" si="158"/>
        <v>0</v>
      </c>
      <c r="M151" s="52"/>
      <c r="N151" s="7" t="s">
        <v>112</v>
      </c>
      <c r="O151" s="29">
        <v>2</v>
      </c>
      <c r="P151" s="24"/>
      <c r="Q151" s="41">
        <f t="shared" si="175"/>
        <v>2</v>
      </c>
      <c r="R151" s="34"/>
      <c r="S151" s="8"/>
      <c r="T151" s="41">
        <f t="shared" si="176"/>
        <v>0</v>
      </c>
      <c r="U151" s="34">
        <v>2</v>
      </c>
      <c r="V151" s="8"/>
      <c r="W151" s="41">
        <f t="shared" si="177"/>
        <v>2</v>
      </c>
      <c r="X151" s="8">
        <f t="shared" si="178"/>
        <v>4</v>
      </c>
      <c r="Y151" s="51">
        <v>46052</v>
      </c>
    </row>
    <row r="152" spans="2:25" x14ac:dyDescent="0.15">
      <c r="B152" s="7"/>
      <c r="C152" s="29"/>
      <c r="D152" s="24"/>
      <c r="E152" s="41">
        <f t="shared" si="171"/>
        <v>0</v>
      </c>
      <c r="F152" s="34"/>
      <c r="G152" s="8"/>
      <c r="H152" s="41">
        <f t="shared" si="172"/>
        <v>0</v>
      </c>
      <c r="I152" s="34"/>
      <c r="J152" s="8"/>
      <c r="K152" s="41">
        <f t="shared" si="173"/>
        <v>0</v>
      </c>
      <c r="L152" s="8">
        <f t="shared" si="158"/>
        <v>0</v>
      </c>
      <c r="M152" s="51"/>
      <c r="N152" s="7" t="s">
        <v>128</v>
      </c>
      <c r="O152" s="29"/>
      <c r="P152" s="24"/>
      <c r="Q152" s="41">
        <f t="shared" si="175"/>
        <v>0</v>
      </c>
      <c r="R152" s="34">
        <v>10</v>
      </c>
      <c r="S152" s="8">
        <v>5</v>
      </c>
      <c r="T152" s="41">
        <f t="shared" si="176"/>
        <v>15</v>
      </c>
      <c r="U152" s="34">
        <v>10</v>
      </c>
      <c r="V152" s="8">
        <v>5</v>
      </c>
      <c r="W152" s="41">
        <f t="shared" si="177"/>
        <v>15</v>
      </c>
      <c r="X152" s="8">
        <f t="shared" si="178"/>
        <v>30</v>
      </c>
      <c r="Y152" s="51">
        <v>46053</v>
      </c>
    </row>
    <row r="153" spans="2:25" x14ac:dyDescent="0.15">
      <c r="B153" s="7"/>
      <c r="C153" s="29"/>
      <c r="D153" s="24"/>
      <c r="E153" s="41">
        <f t="shared" si="171"/>
        <v>0</v>
      </c>
      <c r="F153" s="34"/>
      <c r="G153" s="8"/>
      <c r="H153" s="41">
        <f t="shared" si="172"/>
        <v>0</v>
      </c>
      <c r="I153" s="34"/>
      <c r="J153" s="8"/>
      <c r="K153" s="41">
        <f t="shared" si="173"/>
        <v>0</v>
      </c>
      <c r="L153" s="8">
        <f t="shared" si="158"/>
        <v>0</v>
      </c>
      <c r="M153" s="51"/>
      <c r="N153" s="86" t="s">
        <v>112</v>
      </c>
      <c r="O153" s="87"/>
      <c r="P153" s="88"/>
      <c r="Q153" s="89">
        <f t="shared" si="175"/>
        <v>0</v>
      </c>
      <c r="R153" s="90"/>
      <c r="S153" s="91"/>
      <c r="T153" s="89">
        <f t="shared" si="176"/>
        <v>0</v>
      </c>
      <c r="U153" s="90">
        <v>2</v>
      </c>
      <c r="V153" s="91"/>
      <c r="W153" s="89">
        <f t="shared" si="177"/>
        <v>2</v>
      </c>
      <c r="X153" s="91">
        <f t="shared" si="178"/>
        <v>2</v>
      </c>
      <c r="Y153" s="92">
        <v>46058</v>
      </c>
    </row>
    <row r="154" spans="2:25" x14ac:dyDescent="0.15">
      <c r="B154" s="7"/>
      <c r="C154" s="29"/>
      <c r="D154" s="24"/>
      <c r="E154" s="41">
        <f t="shared" si="171"/>
        <v>0</v>
      </c>
      <c r="F154" s="34"/>
      <c r="G154" s="8"/>
      <c r="H154" s="41">
        <f t="shared" si="172"/>
        <v>0</v>
      </c>
      <c r="I154" s="34"/>
      <c r="J154" s="8"/>
      <c r="K154" s="41">
        <f t="shared" si="173"/>
        <v>0</v>
      </c>
      <c r="L154" s="8">
        <f t="shared" si="158"/>
        <v>0</v>
      </c>
      <c r="M154" s="51"/>
      <c r="N154" s="108" t="s">
        <v>96</v>
      </c>
      <c r="O154" s="109"/>
      <c r="P154" s="110"/>
      <c r="Q154" s="111">
        <f t="shared" si="175"/>
        <v>0</v>
      </c>
      <c r="R154" s="112"/>
      <c r="S154" s="113"/>
      <c r="T154" s="111">
        <f t="shared" si="176"/>
        <v>0</v>
      </c>
      <c r="U154" s="112"/>
      <c r="V154" s="113"/>
      <c r="W154" s="111">
        <f t="shared" si="177"/>
        <v>0</v>
      </c>
      <c r="X154" s="113">
        <f t="shared" si="178"/>
        <v>0</v>
      </c>
    </row>
    <row r="155" spans="2:25" x14ac:dyDescent="0.15">
      <c r="B155" s="7"/>
      <c r="C155" s="29"/>
      <c r="D155" s="24"/>
      <c r="E155" s="41">
        <f t="shared" si="171"/>
        <v>0</v>
      </c>
      <c r="F155" s="34"/>
      <c r="G155" s="8"/>
      <c r="H155" s="41">
        <f t="shared" si="172"/>
        <v>0</v>
      </c>
      <c r="I155" s="34"/>
      <c r="J155" s="8"/>
      <c r="K155" s="41">
        <f t="shared" si="173"/>
        <v>0</v>
      </c>
      <c r="L155" s="8">
        <f t="shared" si="158"/>
        <v>0</v>
      </c>
      <c r="M155" s="51"/>
      <c r="N155" s="7" t="s">
        <v>99</v>
      </c>
      <c r="O155" s="109"/>
      <c r="P155" s="110"/>
      <c r="Q155" s="41">
        <f t="shared" si="175"/>
        <v>0</v>
      </c>
      <c r="R155" s="34"/>
      <c r="S155" s="8"/>
      <c r="T155" s="41">
        <f t="shared" si="176"/>
        <v>0</v>
      </c>
      <c r="U155" s="34"/>
      <c r="V155" s="8"/>
      <c r="W155" s="41">
        <f t="shared" si="177"/>
        <v>0</v>
      </c>
      <c r="X155" s="8">
        <f t="shared" si="178"/>
        <v>0</v>
      </c>
      <c r="Y155" s="50" t="s">
        <v>97</v>
      </c>
    </row>
    <row r="156" spans="2:25" x14ac:dyDescent="0.15">
      <c r="B156" s="7"/>
      <c r="C156" s="29"/>
      <c r="D156" s="24"/>
      <c r="E156" s="41">
        <f t="shared" si="171"/>
        <v>0</v>
      </c>
      <c r="F156" s="34"/>
      <c r="G156" s="8"/>
      <c r="H156" s="41">
        <f t="shared" si="172"/>
        <v>0</v>
      </c>
      <c r="I156" s="34"/>
      <c r="J156" s="8"/>
      <c r="K156" s="41">
        <f t="shared" si="173"/>
        <v>0</v>
      </c>
      <c r="L156" s="8">
        <f t="shared" si="158"/>
        <v>0</v>
      </c>
      <c r="M156" s="51"/>
      <c r="N156" s="7" t="s">
        <v>94</v>
      </c>
      <c r="O156" s="29"/>
      <c r="P156" s="24"/>
      <c r="Q156" s="41">
        <f t="shared" ref="Q156:Q157" si="183">SUM(O156:P156)</f>
        <v>0</v>
      </c>
      <c r="R156" s="34"/>
      <c r="S156" s="8"/>
      <c r="T156" s="41">
        <f t="shared" ref="T156:T157" si="184">SUM(R156:S156)</f>
        <v>0</v>
      </c>
      <c r="U156" s="34"/>
      <c r="V156" s="8"/>
      <c r="W156" s="41">
        <f t="shared" ref="W156:W157" si="185">SUM(U156:V156)</f>
        <v>0</v>
      </c>
      <c r="X156" s="8">
        <f t="shared" ref="X156:X157" si="186">SUM(W156,T156,Q156)</f>
        <v>0</v>
      </c>
      <c r="Y156" s="50" t="s">
        <v>95</v>
      </c>
    </row>
    <row r="157" spans="2:25" ht="14.25" thickBot="1" x14ac:dyDescent="0.2">
      <c r="B157" s="7"/>
      <c r="C157" s="29"/>
      <c r="D157" s="24"/>
      <c r="E157" s="41">
        <f t="shared" si="171"/>
        <v>0</v>
      </c>
      <c r="F157" s="34"/>
      <c r="G157" s="8"/>
      <c r="H157" s="41">
        <f t="shared" si="172"/>
        <v>0</v>
      </c>
      <c r="I157" s="34"/>
      <c r="J157" s="8"/>
      <c r="K157" s="41">
        <f t="shared" si="173"/>
        <v>0</v>
      </c>
      <c r="L157" s="8">
        <f t="shared" si="158"/>
        <v>0</v>
      </c>
      <c r="M157" s="51"/>
      <c r="N157" s="7" t="s">
        <v>113</v>
      </c>
      <c r="O157" s="29"/>
      <c r="P157" s="24"/>
      <c r="Q157" s="41">
        <f t="shared" si="183"/>
        <v>0</v>
      </c>
      <c r="R157" s="34"/>
      <c r="S157" s="8"/>
      <c r="T157" s="41">
        <f t="shared" si="184"/>
        <v>0</v>
      </c>
      <c r="U157" s="34"/>
      <c r="V157" s="8"/>
      <c r="W157" s="41">
        <f t="shared" si="185"/>
        <v>0</v>
      </c>
      <c r="X157" s="8">
        <f t="shared" si="186"/>
        <v>0</v>
      </c>
      <c r="Y157" s="50" t="s">
        <v>114</v>
      </c>
    </row>
    <row r="158" spans="2:25" ht="14.25" thickBot="1" x14ac:dyDescent="0.2">
      <c r="B158" s="5" t="s">
        <v>1</v>
      </c>
      <c r="C158" s="31">
        <f>SUM(C133:C157)</f>
        <v>6</v>
      </c>
      <c r="D158" s="18">
        <f>SUM(D133:D157)</f>
        <v>2</v>
      </c>
      <c r="E158" s="42">
        <f t="shared" si="171"/>
        <v>8</v>
      </c>
      <c r="F158" s="31">
        <f>SUM(F133:F157)</f>
        <v>0</v>
      </c>
      <c r="G158" s="18">
        <f>SUM(G133:G157)</f>
        <v>0</v>
      </c>
      <c r="H158" s="42">
        <f t="shared" si="172"/>
        <v>0</v>
      </c>
      <c r="I158" s="31">
        <f>SUM(I133:I157)</f>
        <v>4</v>
      </c>
      <c r="J158" s="18">
        <f>SUM(J133:J157)</f>
        <v>1</v>
      </c>
      <c r="K158" s="42">
        <f t="shared" si="173"/>
        <v>5</v>
      </c>
      <c r="L158" s="4">
        <f t="shared" si="158"/>
        <v>13</v>
      </c>
      <c r="N158" s="5" t="s">
        <v>1</v>
      </c>
      <c r="O158" s="31">
        <f>SUM(O133:O157)</f>
        <v>49</v>
      </c>
      <c r="P158" s="18">
        <f t="shared" ref="P158:X158" si="187">SUM(P133:P157)</f>
        <v>25</v>
      </c>
      <c r="Q158" s="42">
        <f t="shared" si="187"/>
        <v>74</v>
      </c>
      <c r="R158" s="31">
        <f t="shared" si="187"/>
        <v>130</v>
      </c>
      <c r="S158" s="18">
        <f t="shared" si="187"/>
        <v>89</v>
      </c>
      <c r="T158" s="42">
        <f t="shared" si="187"/>
        <v>219</v>
      </c>
      <c r="U158" s="31">
        <f t="shared" si="187"/>
        <v>133</v>
      </c>
      <c r="V158" s="18">
        <f t="shared" si="187"/>
        <v>86</v>
      </c>
      <c r="W158" s="42">
        <f t="shared" si="187"/>
        <v>219</v>
      </c>
      <c r="X158" s="4">
        <f t="shared" si="187"/>
        <v>512</v>
      </c>
    </row>
    <row r="159" spans="2:25" ht="14.25" thickBot="1" x14ac:dyDescent="0.2">
      <c r="B159" s="3" t="s">
        <v>0</v>
      </c>
      <c r="C159" s="33">
        <f>+C132-C158</f>
        <v>2</v>
      </c>
      <c r="D159" s="2">
        <f>+D132-D158</f>
        <v>4</v>
      </c>
      <c r="E159" s="43">
        <f t="shared" si="171"/>
        <v>6</v>
      </c>
      <c r="F159" s="33">
        <f>+F132-F158</f>
        <v>4</v>
      </c>
      <c r="G159" s="2">
        <f>+G132-G158</f>
        <v>3</v>
      </c>
      <c r="H159" s="43">
        <f t="shared" si="172"/>
        <v>7</v>
      </c>
      <c r="I159" s="33">
        <f>+I132-I158</f>
        <v>4</v>
      </c>
      <c r="J159" s="2">
        <f>+J132-J158</f>
        <v>4</v>
      </c>
      <c r="K159" s="43">
        <f t="shared" si="173"/>
        <v>8</v>
      </c>
      <c r="L159" s="2">
        <f t="shared" si="158"/>
        <v>21</v>
      </c>
      <c r="N159" s="55" t="s">
        <v>0</v>
      </c>
      <c r="O159" s="56">
        <f>+O132-O158</f>
        <v>91</v>
      </c>
      <c r="P159" s="57">
        <f t="shared" ref="P159:X159" si="188">+P132-P158</f>
        <v>79</v>
      </c>
      <c r="Q159" s="58">
        <f t="shared" si="188"/>
        <v>170</v>
      </c>
      <c r="R159" s="56">
        <f t="shared" si="188"/>
        <v>101</v>
      </c>
      <c r="S159" s="57">
        <f t="shared" si="188"/>
        <v>122</v>
      </c>
      <c r="T159" s="58">
        <f t="shared" si="188"/>
        <v>223</v>
      </c>
      <c r="U159" s="56">
        <f t="shared" si="188"/>
        <v>96</v>
      </c>
      <c r="V159" s="57">
        <f t="shared" si="188"/>
        <v>125</v>
      </c>
      <c r="W159" s="58">
        <f t="shared" si="188"/>
        <v>221</v>
      </c>
      <c r="X159" s="57">
        <f t="shared" si="188"/>
        <v>614</v>
      </c>
    </row>
    <row r="160" spans="2:25" x14ac:dyDescent="0.15">
      <c r="N160" s="83" t="s">
        <v>88</v>
      </c>
      <c r="O160" s="69">
        <f>O159/$X$159*100</f>
        <v>14.82084690553746</v>
      </c>
      <c r="P160" s="69">
        <f t="shared" ref="P160:X160" si="189">P159/$X$159*100</f>
        <v>12.866449511400651</v>
      </c>
      <c r="Q160" s="69">
        <f t="shared" si="189"/>
        <v>27.687296416938111</v>
      </c>
      <c r="R160" s="69">
        <f t="shared" si="189"/>
        <v>16.449511400651463</v>
      </c>
      <c r="S160" s="69">
        <f t="shared" si="189"/>
        <v>19.869706840390879</v>
      </c>
      <c r="T160" s="69">
        <f t="shared" si="189"/>
        <v>36.319218241042343</v>
      </c>
      <c r="U160" s="69">
        <f t="shared" si="189"/>
        <v>15.635179153094461</v>
      </c>
      <c r="V160" s="69">
        <f t="shared" si="189"/>
        <v>20.358306188925081</v>
      </c>
      <c r="W160" s="69">
        <f t="shared" si="189"/>
        <v>35.993485342019547</v>
      </c>
      <c r="X160" s="69">
        <f t="shared" si="189"/>
        <v>100</v>
      </c>
    </row>
    <row r="161" spans="2:25" x14ac:dyDescent="0.15">
      <c r="N161" s="84" t="s">
        <v>87</v>
      </c>
      <c r="O161" s="85">
        <f>O120/$X$120*100</f>
        <v>17.011701170117011</v>
      </c>
      <c r="P161" s="85">
        <f t="shared" ref="P161:X161" si="190">P120/$X$120*100</f>
        <v>10.081008100810081</v>
      </c>
      <c r="Q161" s="85">
        <f t="shared" si="190"/>
        <v>27.092709270927092</v>
      </c>
      <c r="R161" s="85">
        <f t="shared" si="190"/>
        <v>18.271827182718273</v>
      </c>
      <c r="S161" s="85">
        <f t="shared" si="190"/>
        <v>15.751575157515752</v>
      </c>
      <c r="T161" s="85">
        <f t="shared" si="190"/>
        <v>34.023402340234021</v>
      </c>
      <c r="U161" s="85">
        <f t="shared" si="190"/>
        <v>21.782178217821784</v>
      </c>
      <c r="V161" s="85">
        <f t="shared" si="190"/>
        <v>17.1017101710171</v>
      </c>
      <c r="W161" s="85">
        <f t="shared" si="190"/>
        <v>38.883888388838884</v>
      </c>
      <c r="X161" s="85">
        <f t="shared" si="190"/>
        <v>100</v>
      </c>
    </row>
    <row r="162" spans="2:25" ht="18.75" x14ac:dyDescent="0.2">
      <c r="B162" s="22" t="s">
        <v>108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N162" s="45" t="s">
        <v>107</v>
      </c>
      <c r="O162" s="46"/>
      <c r="P162" s="46"/>
      <c r="Q162" s="46"/>
      <c r="R162" s="46"/>
      <c r="S162" s="46"/>
      <c r="T162" s="46"/>
      <c r="U162" s="46"/>
      <c r="V162" s="46"/>
      <c r="W162" s="46"/>
      <c r="X162" s="46"/>
    </row>
    <row r="163" spans="2:25" ht="15" thickBot="1" x14ac:dyDescent="0.2">
      <c r="B163" s="21" t="s">
        <v>20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N163" s="47" t="s">
        <v>15</v>
      </c>
      <c r="O163" s="46"/>
      <c r="P163" s="46"/>
      <c r="Q163" s="46"/>
      <c r="R163" s="46" t="s">
        <v>21</v>
      </c>
      <c r="S163" s="46"/>
      <c r="T163" s="46"/>
      <c r="U163" s="46"/>
      <c r="V163" s="46"/>
      <c r="W163" s="46"/>
      <c r="X163" s="46"/>
    </row>
    <row r="164" spans="2:25" ht="14.25" thickBot="1" x14ac:dyDescent="0.2">
      <c r="B164" s="19"/>
      <c r="C164" s="114" t="s">
        <v>10</v>
      </c>
      <c r="D164" s="115"/>
      <c r="E164" s="116"/>
      <c r="F164" s="117" t="s">
        <v>11</v>
      </c>
      <c r="G164" s="118"/>
      <c r="H164" s="119"/>
      <c r="I164" s="120" t="s">
        <v>12</v>
      </c>
      <c r="J164" s="121"/>
      <c r="K164" s="122"/>
      <c r="L164" s="18"/>
      <c r="N164" s="19"/>
      <c r="O164" s="114" t="s">
        <v>10</v>
      </c>
      <c r="P164" s="115"/>
      <c r="Q164" s="116"/>
      <c r="R164" s="117" t="s">
        <v>11</v>
      </c>
      <c r="S164" s="118"/>
      <c r="T164" s="119"/>
      <c r="U164" s="120" t="s">
        <v>12</v>
      </c>
      <c r="V164" s="121"/>
      <c r="W164" s="122"/>
      <c r="X164" s="18"/>
    </row>
    <row r="165" spans="2:25" ht="14.25" thickBot="1" x14ac:dyDescent="0.2">
      <c r="B165" s="17"/>
      <c r="C165" s="27" t="s">
        <v>6</v>
      </c>
      <c r="D165" s="16" t="s">
        <v>5</v>
      </c>
      <c r="E165" s="37" t="s">
        <v>4</v>
      </c>
      <c r="F165" s="27" t="s">
        <v>6</v>
      </c>
      <c r="G165" s="16" t="s">
        <v>5</v>
      </c>
      <c r="H165" s="37" t="s">
        <v>4</v>
      </c>
      <c r="I165" s="27" t="s">
        <v>6</v>
      </c>
      <c r="J165" s="16" t="s">
        <v>5</v>
      </c>
      <c r="K165" s="37" t="s">
        <v>4</v>
      </c>
      <c r="L165" s="16" t="s">
        <v>4</v>
      </c>
      <c r="N165" s="17"/>
      <c r="O165" s="27" t="s">
        <v>6</v>
      </c>
      <c r="P165" s="16" t="s">
        <v>5</v>
      </c>
      <c r="Q165" s="37" t="s">
        <v>4</v>
      </c>
      <c r="R165" s="27" t="s">
        <v>6</v>
      </c>
      <c r="S165" s="16" t="s">
        <v>5</v>
      </c>
      <c r="T165" s="37" t="s">
        <v>4</v>
      </c>
      <c r="U165" s="27" t="s">
        <v>6</v>
      </c>
      <c r="V165" s="16" t="s">
        <v>5</v>
      </c>
      <c r="W165" s="37" t="s">
        <v>4</v>
      </c>
      <c r="X165" s="16" t="s">
        <v>4</v>
      </c>
    </row>
    <row r="166" spans="2:25" x14ac:dyDescent="0.15">
      <c r="B166" s="61" t="s">
        <v>0</v>
      </c>
      <c r="C166" s="62">
        <f t="shared" ref="C166:K166" si="191">C159</f>
        <v>2</v>
      </c>
      <c r="D166" s="63">
        <f t="shared" si="191"/>
        <v>4</v>
      </c>
      <c r="E166" s="64">
        <f t="shared" si="191"/>
        <v>6</v>
      </c>
      <c r="F166" s="62">
        <f t="shared" si="191"/>
        <v>4</v>
      </c>
      <c r="G166" s="63">
        <f t="shared" si="191"/>
        <v>3</v>
      </c>
      <c r="H166" s="64">
        <f t="shared" si="191"/>
        <v>7</v>
      </c>
      <c r="I166" s="62">
        <f t="shared" si="191"/>
        <v>4</v>
      </c>
      <c r="J166" s="63">
        <f t="shared" si="191"/>
        <v>4</v>
      </c>
      <c r="K166" s="64">
        <f t="shared" si="191"/>
        <v>8</v>
      </c>
      <c r="L166" s="65">
        <f t="shared" ref="L166:L199" si="192">SUM(K166,H166,E166)</f>
        <v>21</v>
      </c>
      <c r="N166" s="61" t="s">
        <v>0</v>
      </c>
      <c r="O166" s="62">
        <f>O159</f>
        <v>91</v>
      </c>
      <c r="P166" s="63">
        <f t="shared" ref="P166:X166" si="193">P159</f>
        <v>79</v>
      </c>
      <c r="Q166" s="64">
        <f t="shared" si="193"/>
        <v>170</v>
      </c>
      <c r="R166" s="62">
        <f t="shared" si="193"/>
        <v>101</v>
      </c>
      <c r="S166" s="63">
        <f t="shared" si="193"/>
        <v>122</v>
      </c>
      <c r="T166" s="64">
        <f t="shared" si="193"/>
        <v>223</v>
      </c>
      <c r="U166" s="62">
        <f t="shared" si="193"/>
        <v>96</v>
      </c>
      <c r="V166" s="63">
        <f t="shared" si="193"/>
        <v>125</v>
      </c>
      <c r="W166" s="64">
        <f t="shared" si="193"/>
        <v>221</v>
      </c>
      <c r="X166" s="65">
        <f t="shared" si="193"/>
        <v>614</v>
      </c>
    </row>
    <row r="167" spans="2:25" x14ac:dyDescent="0.15">
      <c r="B167" s="15" t="s">
        <v>48</v>
      </c>
      <c r="C167" s="34"/>
      <c r="D167" s="8"/>
      <c r="E167" s="59">
        <f t="shared" ref="E167:E199" si="194">SUM(C167:D167)</f>
        <v>0</v>
      </c>
      <c r="F167" s="34">
        <v>1</v>
      </c>
      <c r="G167" s="8"/>
      <c r="H167" s="59">
        <f t="shared" ref="H167:H199" si="195">SUM(F167:G167)</f>
        <v>1</v>
      </c>
      <c r="I167" s="34"/>
      <c r="J167" s="8">
        <v>1</v>
      </c>
      <c r="K167" s="59">
        <f t="shared" ref="K167:K199" si="196">SUM(I167:J167)</f>
        <v>1</v>
      </c>
      <c r="L167" s="60">
        <f t="shared" si="192"/>
        <v>2</v>
      </c>
      <c r="M167" s="51">
        <v>46062</v>
      </c>
      <c r="N167" s="15" t="s">
        <v>147</v>
      </c>
      <c r="O167" s="34"/>
      <c r="P167" s="8"/>
      <c r="Q167" s="59">
        <f t="shared" ref="Q167:Q168" si="197">SUM(O167:P167)</f>
        <v>0</v>
      </c>
      <c r="R167" s="34">
        <v>13</v>
      </c>
      <c r="S167" s="8">
        <v>13</v>
      </c>
      <c r="T167" s="59">
        <f t="shared" ref="T167:T168" si="198">SUM(R167:S167)</f>
        <v>26</v>
      </c>
      <c r="U167" s="34">
        <v>13</v>
      </c>
      <c r="V167" s="8">
        <v>13</v>
      </c>
      <c r="W167" s="59">
        <f t="shared" ref="W167:W168" si="199">SUM(U167:V167)</f>
        <v>26</v>
      </c>
      <c r="X167" s="60">
        <f t="shared" ref="X167:X168" si="200">SUM(W167,T167,Q167)</f>
        <v>52</v>
      </c>
      <c r="Y167" s="51">
        <v>46088</v>
      </c>
    </row>
    <row r="168" spans="2:25" x14ac:dyDescent="0.15">
      <c r="B168" s="106" t="s">
        <v>3</v>
      </c>
      <c r="C168" s="90">
        <v>2</v>
      </c>
      <c r="D168" s="91">
        <v>2</v>
      </c>
      <c r="E168" s="93">
        <f t="shared" si="194"/>
        <v>4</v>
      </c>
      <c r="F168" s="90"/>
      <c r="G168" s="91"/>
      <c r="H168" s="93">
        <f t="shared" si="195"/>
        <v>0</v>
      </c>
      <c r="I168" s="90"/>
      <c r="J168" s="91"/>
      <c r="K168" s="93">
        <f t="shared" si="196"/>
        <v>0</v>
      </c>
      <c r="L168" s="94">
        <f t="shared" si="192"/>
        <v>4</v>
      </c>
      <c r="M168" s="92">
        <v>46071</v>
      </c>
      <c r="N168" s="15" t="s">
        <v>3</v>
      </c>
      <c r="O168" s="34"/>
      <c r="P168" s="8"/>
      <c r="Q168" s="59">
        <f t="shared" si="197"/>
        <v>0</v>
      </c>
      <c r="R168" s="34"/>
      <c r="S168" s="8"/>
      <c r="T168" s="59">
        <f t="shared" si="198"/>
        <v>0</v>
      </c>
      <c r="U168" s="34"/>
      <c r="V168" s="8"/>
      <c r="W168" s="59">
        <f t="shared" si="199"/>
        <v>0</v>
      </c>
      <c r="X168" s="60">
        <f t="shared" si="200"/>
        <v>0</v>
      </c>
    </row>
    <row r="169" spans="2:25" x14ac:dyDescent="0.15">
      <c r="B169" s="106" t="s">
        <v>3</v>
      </c>
      <c r="C169" s="90"/>
      <c r="D169" s="91">
        <v>2</v>
      </c>
      <c r="E169" s="93">
        <f t="shared" si="194"/>
        <v>2</v>
      </c>
      <c r="F169" s="90"/>
      <c r="G169" s="91"/>
      <c r="H169" s="93">
        <f t="shared" si="195"/>
        <v>0</v>
      </c>
      <c r="I169" s="90"/>
      <c r="J169" s="91"/>
      <c r="K169" s="93">
        <f t="shared" si="196"/>
        <v>0</v>
      </c>
      <c r="L169" s="94">
        <f t="shared" si="192"/>
        <v>2</v>
      </c>
      <c r="M169" s="92">
        <v>46078</v>
      </c>
      <c r="N169" s="15" t="s">
        <v>3</v>
      </c>
      <c r="O169" s="34"/>
      <c r="P169" s="8"/>
      <c r="Q169" s="59">
        <f t="shared" ref="Q169" si="201">SUM(O169:P169)</f>
        <v>0</v>
      </c>
      <c r="R169" s="34"/>
      <c r="S169" s="8"/>
      <c r="T169" s="59">
        <f t="shared" ref="T169" si="202">SUM(R169:S169)</f>
        <v>0</v>
      </c>
      <c r="U169" s="34"/>
      <c r="V169" s="8"/>
      <c r="W169" s="59">
        <f t="shared" ref="W169" si="203">SUM(U169:V169)</f>
        <v>0</v>
      </c>
      <c r="X169" s="60">
        <f t="shared" ref="X169" si="204">SUM(W169,T169,Q169)</f>
        <v>0</v>
      </c>
    </row>
    <row r="170" spans="2:25" x14ac:dyDescent="0.15">
      <c r="B170" s="15" t="s">
        <v>48</v>
      </c>
      <c r="C170" s="29"/>
      <c r="D170" s="24"/>
      <c r="E170" s="38">
        <f t="shared" si="194"/>
        <v>0</v>
      </c>
      <c r="F170" s="34">
        <v>1</v>
      </c>
      <c r="G170" s="8"/>
      <c r="H170" s="38">
        <f t="shared" si="195"/>
        <v>1</v>
      </c>
      <c r="I170" s="34"/>
      <c r="J170" s="8"/>
      <c r="K170" s="38">
        <f t="shared" si="196"/>
        <v>0</v>
      </c>
      <c r="L170" s="9">
        <f t="shared" si="192"/>
        <v>1</v>
      </c>
      <c r="M170" s="51">
        <v>46077</v>
      </c>
      <c r="N170" s="15" t="s">
        <v>3</v>
      </c>
      <c r="O170" s="29"/>
      <c r="P170" s="24"/>
      <c r="Q170" s="38">
        <f t="shared" ref="Q170" si="205">SUM(O170:P170)</f>
        <v>0</v>
      </c>
      <c r="R170" s="29"/>
      <c r="S170" s="24"/>
      <c r="T170" s="38">
        <f t="shared" ref="T170" si="206">SUM(R170:S170)</f>
        <v>0</v>
      </c>
      <c r="U170" s="29"/>
      <c r="V170" s="24"/>
      <c r="W170" s="38">
        <f t="shared" ref="W170" si="207">SUM(U170:V170)</f>
        <v>0</v>
      </c>
      <c r="X170" s="9">
        <f t="shared" ref="X170" si="208">SUM(W170,T170,Q170)</f>
        <v>0</v>
      </c>
      <c r="Y170" s="50" t="s">
        <v>98</v>
      </c>
    </row>
    <row r="171" spans="2:25" ht="14.25" thickBot="1" x14ac:dyDescent="0.2">
      <c r="B171" s="14" t="s">
        <v>80</v>
      </c>
      <c r="C171" s="30"/>
      <c r="D171" s="25"/>
      <c r="E171" s="39">
        <f t="shared" si="194"/>
        <v>0</v>
      </c>
      <c r="F171" s="35">
        <v>13</v>
      </c>
      <c r="G171" s="6">
        <v>13</v>
      </c>
      <c r="H171" s="39">
        <f t="shared" si="195"/>
        <v>26</v>
      </c>
      <c r="I171" s="35">
        <v>13</v>
      </c>
      <c r="J171" s="6">
        <v>13</v>
      </c>
      <c r="K171" s="39">
        <f t="shared" si="196"/>
        <v>26</v>
      </c>
      <c r="L171" s="13">
        <f t="shared" si="192"/>
        <v>52</v>
      </c>
      <c r="M171" s="51">
        <v>46086</v>
      </c>
      <c r="N171" s="77" t="s">
        <v>3</v>
      </c>
      <c r="O171" s="53"/>
      <c r="P171" s="78"/>
      <c r="Q171" s="39">
        <f t="shared" ref="Q171" si="209">SUM(O171:P171)</f>
        <v>0</v>
      </c>
      <c r="R171" s="53"/>
      <c r="S171" s="78"/>
      <c r="T171" s="39">
        <f t="shared" ref="T171" si="210">SUM(R171:S171)</f>
        <v>0</v>
      </c>
      <c r="U171" s="53"/>
      <c r="V171" s="78"/>
      <c r="W171" s="39">
        <f t="shared" ref="W171" si="211">SUM(U171:V171)</f>
        <v>0</v>
      </c>
      <c r="X171" s="13">
        <f t="shared" ref="X171" si="212">SUM(W171,T171,Q171)</f>
        <v>0</v>
      </c>
      <c r="Y171" s="50" t="s">
        <v>98</v>
      </c>
    </row>
    <row r="172" spans="2:25" ht="14.25" thickBot="1" x14ac:dyDescent="0.2">
      <c r="B172" s="5" t="s">
        <v>2</v>
      </c>
      <c r="C172" s="31">
        <f>SUM(C166:C171)</f>
        <v>4</v>
      </c>
      <c r="D172" s="18">
        <f>SUM(D166:D171)</f>
        <v>8</v>
      </c>
      <c r="E172" s="40">
        <f t="shared" si="194"/>
        <v>12</v>
      </c>
      <c r="F172" s="31">
        <f>SUM(F166:F171)</f>
        <v>19</v>
      </c>
      <c r="G172" s="18">
        <f>SUM(G166:G171)</f>
        <v>16</v>
      </c>
      <c r="H172" s="40">
        <f t="shared" si="195"/>
        <v>35</v>
      </c>
      <c r="I172" s="31">
        <f>SUM(I166:I171)</f>
        <v>17</v>
      </c>
      <c r="J172" s="18">
        <f>SUM(J166:J171)</f>
        <v>18</v>
      </c>
      <c r="K172" s="40">
        <f t="shared" si="196"/>
        <v>35</v>
      </c>
      <c r="L172" s="12">
        <f t="shared" si="192"/>
        <v>82</v>
      </c>
      <c r="N172" s="74" t="s">
        <v>2</v>
      </c>
      <c r="O172" s="75">
        <f>SUM(O166:O171)</f>
        <v>91</v>
      </c>
      <c r="P172" s="76">
        <f t="shared" ref="P172:X172" si="213">SUM(P166:P171)</f>
        <v>79</v>
      </c>
      <c r="Q172" s="40">
        <f t="shared" si="213"/>
        <v>170</v>
      </c>
      <c r="R172" s="75">
        <f t="shared" si="213"/>
        <v>114</v>
      </c>
      <c r="S172" s="76">
        <f t="shared" si="213"/>
        <v>135</v>
      </c>
      <c r="T172" s="40">
        <f t="shared" si="213"/>
        <v>249</v>
      </c>
      <c r="U172" s="75">
        <f t="shared" si="213"/>
        <v>109</v>
      </c>
      <c r="V172" s="76">
        <f t="shared" si="213"/>
        <v>138</v>
      </c>
      <c r="W172" s="40">
        <f t="shared" si="213"/>
        <v>247</v>
      </c>
      <c r="X172" s="12">
        <f t="shared" si="213"/>
        <v>666</v>
      </c>
    </row>
    <row r="173" spans="2:25" x14ac:dyDescent="0.15">
      <c r="B173" s="7" t="s">
        <v>132</v>
      </c>
      <c r="C173" s="29"/>
      <c r="D173" s="24"/>
      <c r="E173" s="41">
        <f t="shared" si="194"/>
        <v>0</v>
      </c>
      <c r="F173" s="34">
        <v>2</v>
      </c>
      <c r="G173" s="8"/>
      <c r="H173" s="41">
        <f t="shared" si="195"/>
        <v>2</v>
      </c>
      <c r="I173" s="34">
        <v>1</v>
      </c>
      <c r="J173" s="8">
        <v>1</v>
      </c>
      <c r="K173" s="41">
        <f t="shared" si="196"/>
        <v>2</v>
      </c>
      <c r="L173" s="8">
        <f t="shared" si="192"/>
        <v>4</v>
      </c>
      <c r="M173" s="51">
        <v>46059</v>
      </c>
      <c r="N173" s="7" t="s">
        <v>130</v>
      </c>
      <c r="O173" s="29">
        <v>2</v>
      </c>
      <c r="P173" s="24"/>
      <c r="Q173" s="41">
        <f t="shared" ref="Q173" si="214">SUM(O173:P173)</f>
        <v>2</v>
      </c>
      <c r="R173" s="34"/>
      <c r="S173" s="8"/>
      <c r="T173" s="41">
        <f t="shared" ref="T173" si="215">SUM(R173:S173)</f>
        <v>0</v>
      </c>
      <c r="U173" s="34"/>
      <c r="V173" s="8">
        <v>3</v>
      </c>
      <c r="W173" s="41">
        <f t="shared" ref="W173" si="216">SUM(U173:V173)</f>
        <v>3</v>
      </c>
      <c r="X173" s="8">
        <f t="shared" ref="X173" si="217">SUM(W173,T173,Q173)</f>
        <v>5</v>
      </c>
      <c r="Y173" s="51">
        <v>46057</v>
      </c>
    </row>
    <row r="174" spans="2:25" x14ac:dyDescent="0.15">
      <c r="B174" s="7" t="s">
        <v>134</v>
      </c>
      <c r="C174" s="29">
        <v>1</v>
      </c>
      <c r="D174" s="24">
        <v>1</v>
      </c>
      <c r="E174" s="41">
        <f t="shared" si="194"/>
        <v>2</v>
      </c>
      <c r="F174" s="34"/>
      <c r="G174" s="8"/>
      <c r="H174" s="41">
        <f t="shared" si="195"/>
        <v>0</v>
      </c>
      <c r="I174" s="34"/>
      <c r="J174" s="8"/>
      <c r="K174" s="41">
        <f t="shared" si="196"/>
        <v>0</v>
      </c>
      <c r="L174" s="8">
        <f t="shared" si="192"/>
        <v>2</v>
      </c>
      <c r="M174" s="51">
        <v>46062</v>
      </c>
      <c r="N174" s="7" t="s">
        <v>131</v>
      </c>
      <c r="O174" s="29"/>
      <c r="P174" s="24"/>
      <c r="Q174" s="41">
        <f t="shared" ref="Q174:Q193" si="218">SUM(O174:P174)</f>
        <v>0</v>
      </c>
      <c r="R174" s="34"/>
      <c r="S174" s="8"/>
      <c r="T174" s="41">
        <f t="shared" ref="T174:T193" si="219">SUM(R174:S174)</f>
        <v>0</v>
      </c>
      <c r="U174" s="34">
        <v>2</v>
      </c>
      <c r="V174" s="8"/>
      <c r="W174" s="41">
        <f t="shared" ref="W174:W193" si="220">SUM(U174:V174)</f>
        <v>2</v>
      </c>
      <c r="X174" s="8">
        <f t="shared" ref="X174:X193" si="221">SUM(W174,T174,Q174)</f>
        <v>2</v>
      </c>
      <c r="Y174" s="51">
        <v>46058</v>
      </c>
    </row>
    <row r="175" spans="2:25" x14ac:dyDescent="0.15">
      <c r="B175" s="7" t="s">
        <v>138</v>
      </c>
      <c r="C175" s="29"/>
      <c r="D175" s="24">
        <v>2</v>
      </c>
      <c r="E175" s="41">
        <f t="shared" si="194"/>
        <v>2</v>
      </c>
      <c r="F175" s="34"/>
      <c r="G175" s="8"/>
      <c r="H175" s="41">
        <f t="shared" si="195"/>
        <v>0</v>
      </c>
      <c r="I175" s="34"/>
      <c r="J175" s="8"/>
      <c r="K175" s="41">
        <f t="shared" si="196"/>
        <v>0</v>
      </c>
      <c r="L175" s="8">
        <f t="shared" si="192"/>
        <v>2</v>
      </c>
      <c r="M175" s="51">
        <v>46069</v>
      </c>
      <c r="N175" s="7" t="s">
        <v>133</v>
      </c>
      <c r="O175" s="29">
        <v>6</v>
      </c>
      <c r="P175" s="24"/>
      <c r="Q175" s="41">
        <f t="shared" si="218"/>
        <v>6</v>
      </c>
      <c r="R175" s="34">
        <v>1</v>
      </c>
      <c r="S175" s="8">
        <v>1</v>
      </c>
      <c r="T175" s="41">
        <f t="shared" si="219"/>
        <v>2</v>
      </c>
      <c r="U175" s="34">
        <v>2</v>
      </c>
      <c r="V175" s="8"/>
      <c r="W175" s="41">
        <f t="shared" si="220"/>
        <v>2</v>
      </c>
      <c r="X175" s="8">
        <f t="shared" si="221"/>
        <v>10</v>
      </c>
      <c r="Y175" s="51">
        <v>46059</v>
      </c>
    </row>
    <row r="176" spans="2:25" x14ac:dyDescent="0.15">
      <c r="B176" s="7" t="s">
        <v>139</v>
      </c>
      <c r="C176" s="29"/>
      <c r="D176" s="24">
        <v>1</v>
      </c>
      <c r="E176" s="41">
        <f t="shared" si="194"/>
        <v>1</v>
      </c>
      <c r="F176" s="34"/>
      <c r="G176" s="8"/>
      <c r="H176" s="41">
        <f t="shared" si="195"/>
        <v>0</v>
      </c>
      <c r="I176" s="34"/>
      <c r="J176" s="8"/>
      <c r="K176" s="41">
        <f t="shared" si="196"/>
        <v>0</v>
      </c>
      <c r="L176" s="8">
        <f t="shared" si="192"/>
        <v>1</v>
      </c>
      <c r="M176" s="51">
        <v>46071</v>
      </c>
      <c r="N176" s="7" t="s">
        <v>135</v>
      </c>
      <c r="O176" s="29">
        <v>3</v>
      </c>
      <c r="P176" s="24">
        <v>1</v>
      </c>
      <c r="Q176" s="41">
        <f t="shared" si="218"/>
        <v>4</v>
      </c>
      <c r="R176" s="34">
        <v>1</v>
      </c>
      <c r="S176" s="8">
        <v>2</v>
      </c>
      <c r="T176" s="41">
        <f t="shared" si="219"/>
        <v>3</v>
      </c>
      <c r="U176" s="34">
        <v>3</v>
      </c>
      <c r="V176" s="8"/>
      <c r="W176" s="41">
        <f t="shared" si="220"/>
        <v>3</v>
      </c>
      <c r="X176" s="8">
        <f t="shared" si="221"/>
        <v>10</v>
      </c>
      <c r="Y176" s="51">
        <v>46063</v>
      </c>
    </row>
    <row r="177" spans="2:25" x14ac:dyDescent="0.15">
      <c r="B177" s="7" t="s">
        <v>23</v>
      </c>
      <c r="C177" s="32"/>
      <c r="D177" s="26"/>
      <c r="E177" s="41">
        <f t="shared" si="194"/>
        <v>0</v>
      </c>
      <c r="F177" s="36"/>
      <c r="G177" s="10"/>
      <c r="H177" s="41">
        <f t="shared" si="195"/>
        <v>0</v>
      </c>
      <c r="I177" s="36"/>
      <c r="J177" s="10">
        <v>1</v>
      </c>
      <c r="K177" s="41">
        <f t="shared" si="196"/>
        <v>1</v>
      </c>
      <c r="L177" s="8">
        <f t="shared" si="192"/>
        <v>1</v>
      </c>
      <c r="M177" s="51">
        <v>46070</v>
      </c>
      <c r="N177" s="7" t="s">
        <v>136</v>
      </c>
      <c r="O177" s="29"/>
      <c r="P177" s="24">
        <v>1</v>
      </c>
      <c r="Q177" s="41">
        <f t="shared" si="218"/>
        <v>1</v>
      </c>
      <c r="R177" s="34">
        <v>2</v>
      </c>
      <c r="S177" s="8">
        <v>1</v>
      </c>
      <c r="T177" s="41">
        <f t="shared" si="219"/>
        <v>3</v>
      </c>
      <c r="U177" s="34"/>
      <c r="V177" s="8">
        <v>1</v>
      </c>
      <c r="W177" s="41">
        <f t="shared" si="220"/>
        <v>1</v>
      </c>
      <c r="X177" s="8">
        <f t="shared" si="221"/>
        <v>5</v>
      </c>
      <c r="Y177" s="51">
        <v>46065</v>
      </c>
    </row>
    <row r="178" spans="2:25" x14ac:dyDescent="0.15">
      <c r="B178" s="7" t="s">
        <v>141</v>
      </c>
      <c r="C178" s="29"/>
      <c r="D178" s="24"/>
      <c r="E178" s="41">
        <f t="shared" si="194"/>
        <v>0</v>
      </c>
      <c r="F178" s="34">
        <v>1</v>
      </c>
      <c r="G178" s="8"/>
      <c r="H178" s="41">
        <f t="shared" si="195"/>
        <v>1</v>
      </c>
      <c r="I178" s="34"/>
      <c r="J178" s="8"/>
      <c r="K178" s="41">
        <f t="shared" si="196"/>
        <v>0</v>
      </c>
      <c r="L178" s="8">
        <f t="shared" si="192"/>
        <v>1</v>
      </c>
      <c r="M178" s="51">
        <v>46073</v>
      </c>
      <c r="N178" s="7" t="s">
        <v>137</v>
      </c>
      <c r="O178" s="29">
        <v>2</v>
      </c>
      <c r="P178" s="24">
        <v>3</v>
      </c>
      <c r="Q178" s="41">
        <f t="shared" si="218"/>
        <v>5</v>
      </c>
      <c r="R178" s="34">
        <v>1</v>
      </c>
      <c r="S178" s="8">
        <v>3</v>
      </c>
      <c r="T178" s="41">
        <f t="shared" si="219"/>
        <v>4</v>
      </c>
      <c r="U178" s="34"/>
      <c r="V178" s="8"/>
      <c r="W178" s="41">
        <f t="shared" si="220"/>
        <v>0</v>
      </c>
      <c r="X178" s="8">
        <f t="shared" si="221"/>
        <v>9</v>
      </c>
      <c r="Y178" s="51">
        <v>46066</v>
      </c>
    </row>
    <row r="179" spans="2:25" x14ac:dyDescent="0.15">
      <c r="B179" s="7" t="s">
        <v>143</v>
      </c>
      <c r="C179" s="29"/>
      <c r="D179" s="24">
        <v>1</v>
      </c>
      <c r="E179" s="41">
        <f t="shared" si="194"/>
        <v>1</v>
      </c>
      <c r="F179" s="34"/>
      <c r="G179" s="8"/>
      <c r="H179" s="41">
        <f t="shared" si="195"/>
        <v>0</v>
      </c>
      <c r="I179" s="34"/>
      <c r="J179" s="8"/>
      <c r="K179" s="41">
        <f t="shared" si="196"/>
        <v>0</v>
      </c>
      <c r="L179" s="8">
        <f t="shared" si="192"/>
        <v>1</v>
      </c>
      <c r="M179" s="51">
        <v>46079</v>
      </c>
      <c r="N179" s="7" t="s">
        <v>140</v>
      </c>
      <c r="O179" s="29">
        <v>2</v>
      </c>
      <c r="P179" s="24">
        <v>2</v>
      </c>
      <c r="Q179" s="41">
        <f t="shared" si="218"/>
        <v>4</v>
      </c>
      <c r="R179" s="34"/>
      <c r="S179" s="8"/>
      <c r="T179" s="41">
        <f t="shared" si="219"/>
        <v>0</v>
      </c>
      <c r="U179" s="34"/>
      <c r="V179" s="8"/>
      <c r="W179" s="41">
        <f t="shared" si="220"/>
        <v>0</v>
      </c>
      <c r="X179" s="8">
        <f t="shared" si="221"/>
        <v>4</v>
      </c>
      <c r="Y179" s="51">
        <v>46071</v>
      </c>
    </row>
    <row r="180" spans="2:25" x14ac:dyDescent="0.15">
      <c r="B180" s="7" t="s">
        <v>23</v>
      </c>
      <c r="C180" s="32"/>
      <c r="D180" s="26"/>
      <c r="E180" s="41">
        <f t="shared" si="194"/>
        <v>0</v>
      </c>
      <c r="F180" s="36"/>
      <c r="G180" s="10"/>
      <c r="H180" s="41">
        <f t="shared" si="195"/>
        <v>0</v>
      </c>
      <c r="I180" s="36">
        <v>1</v>
      </c>
      <c r="J180" s="10"/>
      <c r="K180" s="41">
        <f t="shared" si="196"/>
        <v>1</v>
      </c>
      <c r="L180" s="8">
        <f t="shared" si="192"/>
        <v>1</v>
      </c>
      <c r="M180" s="51">
        <v>46077</v>
      </c>
      <c r="N180" s="7" t="s">
        <v>142</v>
      </c>
      <c r="O180" s="29"/>
      <c r="P180" s="24">
        <v>3</v>
      </c>
      <c r="Q180" s="41">
        <f t="shared" si="218"/>
        <v>3</v>
      </c>
      <c r="R180" s="34"/>
      <c r="S180" s="8"/>
      <c r="T180" s="41">
        <f t="shared" si="219"/>
        <v>0</v>
      </c>
      <c r="U180" s="34"/>
      <c r="V180" s="8">
        <v>1</v>
      </c>
      <c r="W180" s="41">
        <f t="shared" si="220"/>
        <v>1</v>
      </c>
      <c r="X180" s="8">
        <f t="shared" si="221"/>
        <v>4</v>
      </c>
      <c r="Y180" s="51">
        <v>46077</v>
      </c>
    </row>
    <row r="181" spans="2:25" x14ac:dyDescent="0.15">
      <c r="B181" s="7" t="s">
        <v>146</v>
      </c>
      <c r="C181" s="32"/>
      <c r="D181" s="26"/>
      <c r="E181" s="41">
        <f t="shared" si="194"/>
        <v>0</v>
      </c>
      <c r="F181" s="36">
        <v>13</v>
      </c>
      <c r="G181" s="10">
        <v>13</v>
      </c>
      <c r="H181" s="41">
        <f t="shared" si="195"/>
        <v>26</v>
      </c>
      <c r="I181" s="36">
        <v>13</v>
      </c>
      <c r="J181" s="10">
        <v>13</v>
      </c>
      <c r="K181" s="41">
        <f t="shared" si="196"/>
        <v>26</v>
      </c>
      <c r="L181" s="8">
        <f t="shared" si="192"/>
        <v>52</v>
      </c>
      <c r="M181" s="51">
        <v>46088</v>
      </c>
      <c r="N181" s="86" t="s">
        <v>112</v>
      </c>
      <c r="O181" s="87"/>
      <c r="P181" s="88">
        <v>2</v>
      </c>
      <c r="Q181" s="89">
        <f t="shared" si="218"/>
        <v>2</v>
      </c>
      <c r="R181" s="90"/>
      <c r="S181" s="91"/>
      <c r="T181" s="89">
        <f t="shared" si="219"/>
        <v>0</v>
      </c>
      <c r="U181" s="90"/>
      <c r="V181" s="91"/>
      <c r="W181" s="89">
        <f t="shared" si="220"/>
        <v>0</v>
      </c>
      <c r="X181" s="91">
        <f t="shared" si="221"/>
        <v>2</v>
      </c>
      <c r="Y181" s="92">
        <v>46078</v>
      </c>
    </row>
    <row r="182" spans="2:25" x14ac:dyDescent="0.15">
      <c r="B182" s="7" t="s">
        <v>145</v>
      </c>
      <c r="C182" s="29"/>
      <c r="D182" s="24"/>
      <c r="E182" s="41">
        <f t="shared" si="194"/>
        <v>0</v>
      </c>
      <c r="F182" s="34">
        <v>1</v>
      </c>
      <c r="G182" s="8"/>
      <c r="H182" s="41">
        <f t="shared" si="195"/>
        <v>1</v>
      </c>
      <c r="I182" s="34"/>
      <c r="J182" s="8"/>
      <c r="K182" s="41">
        <f t="shared" si="196"/>
        <v>0</v>
      </c>
      <c r="L182" s="8">
        <f t="shared" si="192"/>
        <v>1</v>
      </c>
      <c r="M182" s="51">
        <v>46094</v>
      </c>
      <c r="N182" s="7" t="s">
        <v>154</v>
      </c>
      <c r="O182" s="29"/>
      <c r="P182" s="24"/>
      <c r="Q182" s="41">
        <f t="shared" si="218"/>
        <v>0</v>
      </c>
      <c r="R182" s="34">
        <v>1</v>
      </c>
      <c r="S182" s="8"/>
      <c r="T182" s="41">
        <f t="shared" si="219"/>
        <v>1</v>
      </c>
      <c r="U182" s="34"/>
      <c r="V182" s="8"/>
      <c r="W182" s="41">
        <f t="shared" si="220"/>
        <v>0</v>
      </c>
      <c r="X182" s="8">
        <f t="shared" si="221"/>
        <v>1</v>
      </c>
      <c r="Y182" s="51">
        <v>46129</v>
      </c>
    </row>
    <row r="183" spans="2:25" x14ac:dyDescent="0.15">
      <c r="B183" s="7" t="s">
        <v>148</v>
      </c>
      <c r="C183" s="29"/>
      <c r="D183" s="24"/>
      <c r="E183" s="41">
        <f t="shared" si="194"/>
        <v>0</v>
      </c>
      <c r="F183" s="34"/>
      <c r="G183" s="8"/>
      <c r="H183" s="41">
        <f t="shared" si="195"/>
        <v>0</v>
      </c>
      <c r="I183" s="34">
        <v>-2</v>
      </c>
      <c r="J183" s="8"/>
      <c r="K183" s="41">
        <f t="shared" si="196"/>
        <v>-2</v>
      </c>
      <c r="L183" s="8">
        <f t="shared" si="192"/>
        <v>-2</v>
      </c>
      <c r="M183" s="51">
        <v>46090</v>
      </c>
      <c r="N183" s="7"/>
      <c r="O183" s="32"/>
      <c r="P183" s="26"/>
      <c r="Q183" s="41">
        <f t="shared" si="218"/>
        <v>0</v>
      </c>
      <c r="R183" s="36"/>
      <c r="S183" s="10"/>
      <c r="T183" s="41">
        <f t="shared" si="219"/>
        <v>0</v>
      </c>
      <c r="U183" s="36"/>
      <c r="V183" s="10"/>
      <c r="W183" s="41">
        <f t="shared" si="220"/>
        <v>0</v>
      </c>
      <c r="X183" s="8">
        <f t="shared" si="221"/>
        <v>0</v>
      </c>
    </row>
    <row r="184" spans="2:25" x14ac:dyDescent="0.15">
      <c r="B184" s="7" t="s">
        <v>149</v>
      </c>
      <c r="C184" s="29"/>
      <c r="D184" s="24"/>
      <c r="E184" s="41">
        <f t="shared" si="194"/>
        <v>0</v>
      </c>
      <c r="F184" s="34"/>
      <c r="G184" s="8">
        <v>1</v>
      </c>
      <c r="H184" s="41">
        <f t="shared" si="195"/>
        <v>1</v>
      </c>
      <c r="I184" s="34"/>
      <c r="J184" s="8"/>
      <c r="K184" s="41">
        <f t="shared" si="196"/>
        <v>0</v>
      </c>
      <c r="L184" s="8">
        <f t="shared" si="192"/>
        <v>1</v>
      </c>
      <c r="M184" s="51">
        <v>46104</v>
      </c>
      <c r="N184" s="7"/>
      <c r="O184" s="32"/>
      <c r="P184" s="26"/>
      <c r="Q184" s="41">
        <f t="shared" si="218"/>
        <v>0</v>
      </c>
      <c r="R184" s="36"/>
      <c r="S184" s="10"/>
      <c r="T184" s="41">
        <f t="shared" si="219"/>
        <v>0</v>
      </c>
      <c r="U184" s="36"/>
      <c r="V184" s="10"/>
      <c r="W184" s="41">
        <f t="shared" si="220"/>
        <v>0</v>
      </c>
      <c r="X184" s="8">
        <f t="shared" si="221"/>
        <v>0</v>
      </c>
    </row>
    <row r="185" spans="2:25" x14ac:dyDescent="0.15">
      <c r="B185" s="7" t="s">
        <v>150</v>
      </c>
      <c r="C185" s="29"/>
      <c r="D185" s="24"/>
      <c r="E185" s="41">
        <f t="shared" si="194"/>
        <v>0</v>
      </c>
      <c r="F185" s="34"/>
      <c r="G185" s="8"/>
      <c r="H185" s="41">
        <f t="shared" si="195"/>
        <v>0</v>
      </c>
      <c r="I185" s="34">
        <v>1</v>
      </c>
      <c r="J185" s="8"/>
      <c r="K185" s="41">
        <f t="shared" si="196"/>
        <v>1</v>
      </c>
      <c r="L185" s="8">
        <f t="shared" si="192"/>
        <v>1</v>
      </c>
      <c r="M185" s="51">
        <v>46106</v>
      </c>
      <c r="N185" s="7"/>
      <c r="O185" s="29"/>
      <c r="P185" s="24"/>
      <c r="Q185" s="41">
        <f t="shared" si="218"/>
        <v>0</v>
      </c>
      <c r="R185" s="34"/>
      <c r="S185" s="8"/>
      <c r="T185" s="41">
        <f t="shared" si="219"/>
        <v>0</v>
      </c>
      <c r="U185" s="34"/>
      <c r="V185" s="8"/>
      <c r="W185" s="41">
        <f t="shared" si="220"/>
        <v>0</v>
      </c>
      <c r="X185" s="8">
        <f t="shared" si="221"/>
        <v>0</v>
      </c>
    </row>
    <row r="186" spans="2:25" x14ac:dyDescent="0.15">
      <c r="B186" s="7" t="s">
        <v>151</v>
      </c>
      <c r="C186" s="29"/>
      <c r="D186" s="24">
        <v>1</v>
      </c>
      <c r="E186" s="41">
        <f t="shared" si="194"/>
        <v>1</v>
      </c>
      <c r="F186" s="34"/>
      <c r="G186" s="8"/>
      <c r="H186" s="41">
        <f t="shared" si="195"/>
        <v>0</v>
      </c>
      <c r="I186" s="34"/>
      <c r="J186" s="8"/>
      <c r="K186" s="41">
        <f t="shared" si="196"/>
        <v>0</v>
      </c>
      <c r="L186" s="8">
        <f t="shared" si="192"/>
        <v>1</v>
      </c>
      <c r="M186" s="51">
        <v>46113</v>
      </c>
      <c r="N186" s="7"/>
      <c r="O186" s="32"/>
      <c r="P186" s="26"/>
      <c r="Q186" s="41">
        <f t="shared" si="218"/>
        <v>0</v>
      </c>
      <c r="R186" s="36"/>
      <c r="S186" s="10"/>
      <c r="T186" s="41">
        <f t="shared" si="219"/>
        <v>0</v>
      </c>
      <c r="U186" s="36"/>
      <c r="V186" s="10"/>
      <c r="W186" s="41">
        <f t="shared" si="220"/>
        <v>0</v>
      </c>
      <c r="X186" s="8">
        <f t="shared" si="221"/>
        <v>0</v>
      </c>
    </row>
    <row r="187" spans="2:25" x14ac:dyDescent="0.15">
      <c r="B187" s="7" t="s">
        <v>152</v>
      </c>
      <c r="C187" s="29"/>
      <c r="D187" s="24"/>
      <c r="E187" s="41">
        <f t="shared" si="194"/>
        <v>0</v>
      </c>
      <c r="F187" s="34">
        <v>1</v>
      </c>
      <c r="G187" s="8"/>
      <c r="H187" s="41">
        <f t="shared" si="195"/>
        <v>1</v>
      </c>
      <c r="I187" s="34"/>
      <c r="J187" s="8"/>
      <c r="K187" s="41">
        <f t="shared" si="196"/>
        <v>0</v>
      </c>
      <c r="L187" s="8">
        <f t="shared" si="192"/>
        <v>1</v>
      </c>
      <c r="M187" s="51">
        <v>46114</v>
      </c>
      <c r="N187" s="7"/>
      <c r="O187" s="32"/>
      <c r="P187" s="26"/>
      <c r="Q187" s="41">
        <f t="shared" si="218"/>
        <v>0</v>
      </c>
      <c r="R187" s="36"/>
      <c r="S187" s="10"/>
      <c r="T187" s="41">
        <f t="shared" si="219"/>
        <v>0</v>
      </c>
      <c r="U187" s="36"/>
      <c r="V187" s="10"/>
      <c r="W187" s="41">
        <f t="shared" si="220"/>
        <v>0</v>
      </c>
      <c r="X187" s="8">
        <f t="shared" si="221"/>
        <v>0</v>
      </c>
    </row>
    <row r="188" spans="2:25" x14ac:dyDescent="0.15">
      <c r="B188" s="7" t="s">
        <v>153</v>
      </c>
      <c r="C188" s="32"/>
      <c r="D188" s="26"/>
      <c r="E188" s="41">
        <f t="shared" si="194"/>
        <v>0</v>
      </c>
      <c r="F188" s="36">
        <v>1</v>
      </c>
      <c r="G188" s="10"/>
      <c r="H188" s="41">
        <f t="shared" si="195"/>
        <v>1</v>
      </c>
      <c r="I188" s="36"/>
      <c r="J188" s="10"/>
      <c r="K188" s="41">
        <f t="shared" si="196"/>
        <v>0</v>
      </c>
      <c r="L188" s="8">
        <f t="shared" si="192"/>
        <v>1</v>
      </c>
      <c r="M188" s="51">
        <v>46119</v>
      </c>
      <c r="N188" s="7"/>
      <c r="O188" s="32"/>
      <c r="P188" s="26"/>
      <c r="Q188" s="41">
        <f t="shared" si="218"/>
        <v>0</v>
      </c>
      <c r="R188" s="36"/>
      <c r="S188" s="10"/>
      <c r="T188" s="41">
        <f t="shared" si="219"/>
        <v>0</v>
      </c>
      <c r="U188" s="36"/>
      <c r="V188" s="10"/>
      <c r="W188" s="41">
        <f t="shared" si="220"/>
        <v>0</v>
      </c>
      <c r="X188" s="8">
        <f t="shared" si="221"/>
        <v>0</v>
      </c>
    </row>
    <row r="189" spans="2:25" x14ac:dyDescent="0.15">
      <c r="B189" s="7" t="s">
        <v>48</v>
      </c>
      <c r="C189" s="32">
        <v>-1</v>
      </c>
      <c r="D189" s="26"/>
      <c r="E189" s="41">
        <f t="shared" si="194"/>
        <v>-1</v>
      </c>
      <c r="F189" s="36"/>
      <c r="G189" s="10"/>
      <c r="H189" s="41">
        <f t="shared" si="195"/>
        <v>0</v>
      </c>
      <c r="I189" s="36"/>
      <c r="J189" s="10"/>
      <c r="K189" s="41">
        <f t="shared" si="196"/>
        <v>0</v>
      </c>
      <c r="L189" s="8">
        <f t="shared" si="192"/>
        <v>-1</v>
      </c>
      <c r="M189" s="51">
        <v>46119</v>
      </c>
      <c r="N189" s="7"/>
      <c r="O189" s="32"/>
      <c r="P189" s="26"/>
      <c r="Q189" s="41">
        <f t="shared" si="218"/>
        <v>0</v>
      </c>
      <c r="R189" s="36"/>
      <c r="S189" s="10"/>
      <c r="T189" s="41">
        <f t="shared" si="219"/>
        <v>0</v>
      </c>
      <c r="U189" s="36"/>
      <c r="V189" s="10"/>
      <c r="W189" s="41">
        <f t="shared" si="220"/>
        <v>0</v>
      </c>
      <c r="X189" s="8">
        <f t="shared" si="221"/>
        <v>0</v>
      </c>
    </row>
    <row r="190" spans="2:25" x14ac:dyDescent="0.15">
      <c r="B190" s="7" t="s">
        <v>155</v>
      </c>
      <c r="C190" s="32"/>
      <c r="D190" s="26"/>
      <c r="E190" s="41">
        <f t="shared" si="194"/>
        <v>0</v>
      </c>
      <c r="F190" s="36">
        <v>-1</v>
      </c>
      <c r="G190" s="10"/>
      <c r="H190" s="41">
        <f t="shared" si="195"/>
        <v>-1</v>
      </c>
      <c r="I190" s="36">
        <v>-1</v>
      </c>
      <c r="J190" s="10"/>
      <c r="K190" s="41">
        <f t="shared" si="196"/>
        <v>-1</v>
      </c>
      <c r="L190" s="8">
        <f t="shared" si="192"/>
        <v>-2</v>
      </c>
      <c r="M190" s="51">
        <v>46132</v>
      </c>
      <c r="N190" s="7"/>
      <c r="O190" s="32"/>
      <c r="P190" s="26"/>
      <c r="Q190" s="41">
        <f t="shared" si="218"/>
        <v>0</v>
      </c>
      <c r="R190" s="36"/>
      <c r="S190" s="10"/>
      <c r="T190" s="41">
        <f t="shared" si="219"/>
        <v>0</v>
      </c>
      <c r="U190" s="36"/>
      <c r="V190" s="10"/>
      <c r="W190" s="41">
        <f t="shared" si="220"/>
        <v>0</v>
      </c>
      <c r="X190" s="8">
        <f t="shared" si="221"/>
        <v>0</v>
      </c>
    </row>
    <row r="191" spans="2:25" x14ac:dyDescent="0.15">
      <c r="B191" s="7" t="s">
        <v>156</v>
      </c>
      <c r="C191" s="32"/>
      <c r="D191" s="26"/>
      <c r="E191" s="41">
        <f t="shared" si="194"/>
        <v>0</v>
      </c>
      <c r="F191" s="36">
        <v>-1</v>
      </c>
      <c r="G191" s="10"/>
      <c r="H191" s="41">
        <f t="shared" si="195"/>
        <v>-1</v>
      </c>
      <c r="I191" s="36"/>
      <c r="J191" s="10"/>
      <c r="K191" s="41">
        <f t="shared" si="196"/>
        <v>0</v>
      </c>
      <c r="L191" s="8">
        <f t="shared" si="192"/>
        <v>-1</v>
      </c>
      <c r="M191" s="51">
        <v>46133</v>
      </c>
      <c r="N191" s="7"/>
      <c r="O191" s="32"/>
      <c r="P191" s="26"/>
      <c r="Q191" s="41">
        <f t="shared" si="218"/>
        <v>0</v>
      </c>
      <c r="R191" s="36"/>
      <c r="S191" s="10"/>
      <c r="T191" s="41">
        <f t="shared" si="219"/>
        <v>0</v>
      </c>
      <c r="U191" s="36"/>
      <c r="V191" s="10"/>
      <c r="W191" s="41">
        <f t="shared" si="220"/>
        <v>0</v>
      </c>
      <c r="X191" s="8">
        <f t="shared" si="221"/>
        <v>0</v>
      </c>
    </row>
    <row r="192" spans="2:25" x14ac:dyDescent="0.15">
      <c r="B192" s="7"/>
      <c r="C192" s="29"/>
      <c r="D192" s="24"/>
      <c r="E192" s="41">
        <f t="shared" si="194"/>
        <v>0</v>
      </c>
      <c r="F192" s="34"/>
      <c r="G192" s="8"/>
      <c r="H192" s="41">
        <f t="shared" si="195"/>
        <v>0</v>
      </c>
      <c r="I192" s="34"/>
      <c r="J192" s="8"/>
      <c r="K192" s="41">
        <f t="shared" si="196"/>
        <v>0</v>
      </c>
      <c r="L192" s="8">
        <f t="shared" si="192"/>
        <v>0</v>
      </c>
      <c r="N192" s="7"/>
      <c r="O192" s="29"/>
      <c r="P192" s="24"/>
      <c r="Q192" s="41">
        <f t="shared" si="218"/>
        <v>0</v>
      </c>
      <c r="R192" s="34"/>
      <c r="S192" s="8"/>
      <c r="T192" s="41">
        <f t="shared" si="219"/>
        <v>0</v>
      </c>
      <c r="U192" s="34"/>
      <c r="V192" s="8"/>
      <c r="W192" s="41">
        <f t="shared" si="220"/>
        <v>0</v>
      </c>
      <c r="X192" s="8">
        <f t="shared" si="221"/>
        <v>0</v>
      </c>
    </row>
    <row r="193" spans="2:25" x14ac:dyDescent="0.15">
      <c r="B193" s="7"/>
      <c r="C193" s="29"/>
      <c r="D193" s="24"/>
      <c r="E193" s="41">
        <f t="shared" si="194"/>
        <v>0</v>
      </c>
      <c r="F193" s="34"/>
      <c r="G193" s="8"/>
      <c r="H193" s="41">
        <f t="shared" si="195"/>
        <v>0</v>
      </c>
      <c r="I193" s="34"/>
      <c r="J193" s="8"/>
      <c r="K193" s="41">
        <f t="shared" si="196"/>
        <v>0</v>
      </c>
      <c r="L193" s="8">
        <f t="shared" si="192"/>
        <v>0</v>
      </c>
      <c r="N193" s="7"/>
      <c r="O193" s="29"/>
      <c r="P193" s="24"/>
      <c r="Q193" s="41">
        <f t="shared" si="218"/>
        <v>0</v>
      </c>
      <c r="R193" s="34"/>
      <c r="S193" s="8"/>
      <c r="T193" s="41">
        <f t="shared" si="219"/>
        <v>0</v>
      </c>
      <c r="U193" s="34"/>
      <c r="V193" s="8"/>
      <c r="W193" s="41">
        <f t="shared" si="220"/>
        <v>0</v>
      </c>
      <c r="X193" s="8">
        <f t="shared" si="221"/>
        <v>0</v>
      </c>
    </row>
    <row r="194" spans="2:25" x14ac:dyDescent="0.15">
      <c r="B194" s="7"/>
      <c r="C194" s="29"/>
      <c r="D194" s="24"/>
      <c r="E194" s="41">
        <f t="shared" si="194"/>
        <v>0</v>
      </c>
      <c r="F194" s="34"/>
      <c r="G194" s="8"/>
      <c r="H194" s="41">
        <f t="shared" si="195"/>
        <v>0</v>
      </c>
      <c r="I194" s="34"/>
      <c r="J194" s="8"/>
      <c r="K194" s="41">
        <f t="shared" si="196"/>
        <v>0</v>
      </c>
      <c r="L194" s="8">
        <f t="shared" si="192"/>
        <v>0</v>
      </c>
      <c r="N194" s="7"/>
      <c r="O194" s="29"/>
      <c r="P194" s="24"/>
      <c r="Q194" s="41">
        <f t="shared" ref="Q194:Q195" si="222">SUM(O194:P194)</f>
        <v>0</v>
      </c>
      <c r="R194" s="34"/>
      <c r="S194" s="8"/>
      <c r="T194" s="41">
        <f t="shared" ref="T194:T195" si="223">SUM(R194:S194)</f>
        <v>0</v>
      </c>
      <c r="U194" s="34"/>
      <c r="V194" s="8"/>
      <c r="W194" s="41">
        <f t="shared" ref="W194:W195" si="224">SUM(U194:V194)</f>
        <v>0</v>
      </c>
      <c r="X194" s="8">
        <f t="shared" ref="X194:X195" si="225">SUM(W194,T194,Q194)</f>
        <v>0</v>
      </c>
    </row>
    <row r="195" spans="2:25" x14ac:dyDescent="0.15">
      <c r="B195" s="7"/>
      <c r="C195" s="29"/>
      <c r="D195" s="24"/>
      <c r="E195" s="41">
        <f t="shared" si="194"/>
        <v>0</v>
      </c>
      <c r="F195" s="34"/>
      <c r="G195" s="8"/>
      <c r="H195" s="41">
        <f t="shared" si="195"/>
        <v>0</v>
      </c>
      <c r="I195" s="34"/>
      <c r="J195" s="8"/>
      <c r="K195" s="41">
        <f t="shared" si="196"/>
        <v>0</v>
      </c>
      <c r="L195" s="8">
        <f t="shared" si="192"/>
        <v>0</v>
      </c>
      <c r="N195" s="7"/>
      <c r="O195" s="29"/>
      <c r="P195" s="24"/>
      <c r="Q195" s="41">
        <f t="shared" si="222"/>
        <v>0</v>
      </c>
      <c r="R195" s="34"/>
      <c r="S195" s="8"/>
      <c r="T195" s="41">
        <f t="shared" si="223"/>
        <v>0</v>
      </c>
      <c r="U195" s="34"/>
      <c r="V195" s="8"/>
      <c r="W195" s="41">
        <f t="shared" si="224"/>
        <v>0</v>
      </c>
      <c r="X195" s="8">
        <f t="shared" si="225"/>
        <v>0</v>
      </c>
    </row>
    <row r="196" spans="2:25" x14ac:dyDescent="0.15">
      <c r="B196" s="7"/>
      <c r="C196" s="29"/>
      <c r="D196" s="24"/>
      <c r="E196" s="41">
        <f t="shared" si="194"/>
        <v>0</v>
      </c>
      <c r="F196" s="34"/>
      <c r="G196" s="8"/>
      <c r="H196" s="41">
        <f t="shared" si="195"/>
        <v>0</v>
      </c>
      <c r="I196" s="34"/>
      <c r="J196" s="8"/>
      <c r="K196" s="41">
        <f t="shared" si="196"/>
        <v>0</v>
      </c>
      <c r="L196" s="8">
        <f t="shared" si="192"/>
        <v>0</v>
      </c>
      <c r="N196" s="7"/>
      <c r="O196" s="29"/>
      <c r="P196" s="24"/>
      <c r="Q196" s="41">
        <f t="shared" ref="Q196:Q197" si="226">SUM(O196:P196)</f>
        <v>0</v>
      </c>
      <c r="R196" s="34"/>
      <c r="S196" s="8"/>
      <c r="T196" s="41">
        <f t="shared" ref="T196:T197" si="227">SUM(R196:S196)</f>
        <v>0</v>
      </c>
      <c r="U196" s="34"/>
      <c r="V196" s="8"/>
      <c r="W196" s="41">
        <f t="shared" ref="W196:W197" si="228">SUM(U196:V196)</f>
        <v>0</v>
      </c>
      <c r="X196" s="8">
        <f t="shared" ref="X196:X197" si="229">SUM(W196,T196,Q196)</f>
        <v>0</v>
      </c>
    </row>
    <row r="197" spans="2:25" ht="14.25" thickBot="1" x14ac:dyDescent="0.2">
      <c r="B197" s="7"/>
      <c r="C197" s="29"/>
      <c r="D197" s="24"/>
      <c r="E197" s="41">
        <f t="shared" si="194"/>
        <v>0</v>
      </c>
      <c r="F197" s="34"/>
      <c r="G197" s="8"/>
      <c r="H197" s="41">
        <f t="shared" si="195"/>
        <v>0</v>
      </c>
      <c r="I197" s="34"/>
      <c r="J197" s="8"/>
      <c r="K197" s="41">
        <f t="shared" si="196"/>
        <v>0</v>
      </c>
      <c r="L197" s="8">
        <f t="shared" si="192"/>
        <v>0</v>
      </c>
      <c r="N197" s="7"/>
      <c r="O197" s="29"/>
      <c r="P197" s="24"/>
      <c r="Q197" s="41">
        <f t="shared" si="226"/>
        <v>0</v>
      </c>
      <c r="R197" s="34"/>
      <c r="S197" s="8"/>
      <c r="T197" s="41">
        <f t="shared" si="227"/>
        <v>0</v>
      </c>
      <c r="U197" s="34"/>
      <c r="V197" s="8"/>
      <c r="W197" s="41">
        <f t="shared" si="228"/>
        <v>0</v>
      </c>
      <c r="X197" s="8">
        <f t="shared" si="229"/>
        <v>0</v>
      </c>
    </row>
    <row r="198" spans="2:25" ht="14.25" thickBot="1" x14ac:dyDescent="0.2">
      <c r="B198" s="5" t="s">
        <v>1</v>
      </c>
      <c r="C198" s="31">
        <f>SUM(C173:C197)</f>
        <v>0</v>
      </c>
      <c r="D198" s="18">
        <f>SUM(D173:D197)</f>
        <v>6</v>
      </c>
      <c r="E198" s="42">
        <f t="shared" si="194"/>
        <v>6</v>
      </c>
      <c r="F198" s="31">
        <f>SUM(F173:F197)</f>
        <v>17</v>
      </c>
      <c r="G198" s="18">
        <f>SUM(G173:G197)</f>
        <v>14</v>
      </c>
      <c r="H198" s="42">
        <f t="shared" si="195"/>
        <v>31</v>
      </c>
      <c r="I198" s="31">
        <f>SUM(I173:I197)</f>
        <v>13</v>
      </c>
      <c r="J198" s="18">
        <f>SUM(J173:J197)</f>
        <v>15</v>
      </c>
      <c r="K198" s="42">
        <f t="shared" si="196"/>
        <v>28</v>
      </c>
      <c r="L198" s="4">
        <f t="shared" si="192"/>
        <v>65</v>
      </c>
      <c r="N198" s="5" t="s">
        <v>1</v>
      </c>
      <c r="O198" s="31">
        <f>SUM(O173:O197)</f>
        <v>15</v>
      </c>
      <c r="P198" s="18">
        <f t="shared" ref="P198:X198" si="230">SUM(P173:P197)</f>
        <v>12</v>
      </c>
      <c r="Q198" s="42">
        <f t="shared" si="230"/>
        <v>27</v>
      </c>
      <c r="R198" s="31">
        <f t="shared" si="230"/>
        <v>6</v>
      </c>
      <c r="S198" s="18">
        <f t="shared" si="230"/>
        <v>7</v>
      </c>
      <c r="T198" s="42">
        <f t="shared" si="230"/>
        <v>13</v>
      </c>
      <c r="U198" s="31">
        <f t="shared" si="230"/>
        <v>7</v>
      </c>
      <c r="V198" s="18">
        <f t="shared" si="230"/>
        <v>5</v>
      </c>
      <c r="W198" s="42">
        <f t="shared" si="230"/>
        <v>12</v>
      </c>
      <c r="X198" s="4">
        <f t="shared" si="230"/>
        <v>52</v>
      </c>
    </row>
    <row r="199" spans="2:25" ht="14.25" thickBot="1" x14ac:dyDescent="0.2">
      <c r="B199" s="3" t="s">
        <v>0</v>
      </c>
      <c r="C199" s="33">
        <f>+C172-C198</f>
        <v>4</v>
      </c>
      <c r="D199" s="2">
        <f>+D172-D198</f>
        <v>2</v>
      </c>
      <c r="E199" s="43">
        <f t="shared" si="194"/>
        <v>6</v>
      </c>
      <c r="F199" s="33">
        <f>+F172-F198</f>
        <v>2</v>
      </c>
      <c r="G199" s="2">
        <f>+G172-G198</f>
        <v>2</v>
      </c>
      <c r="H199" s="43">
        <f t="shared" si="195"/>
        <v>4</v>
      </c>
      <c r="I199" s="33">
        <f>+I172-I198</f>
        <v>4</v>
      </c>
      <c r="J199" s="2">
        <f>+J172-J198</f>
        <v>3</v>
      </c>
      <c r="K199" s="43">
        <f t="shared" si="196"/>
        <v>7</v>
      </c>
      <c r="L199" s="2">
        <f t="shared" si="192"/>
        <v>17</v>
      </c>
      <c r="N199" s="55" t="s">
        <v>0</v>
      </c>
      <c r="O199" s="56">
        <f>+O172-O198</f>
        <v>76</v>
      </c>
      <c r="P199" s="57">
        <f t="shared" ref="P199:X199" si="231">+P172-P198</f>
        <v>67</v>
      </c>
      <c r="Q199" s="58">
        <f t="shared" si="231"/>
        <v>143</v>
      </c>
      <c r="R199" s="56">
        <f t="shared" si="231"/>
        <v>108</v>
      </c>
      <c r="S199" s="57">
        <f t="shared" si="231"/>
        <v>128</v>
      </c>
      <c r="T199" s="58">
        <f t="shared" si="231"/>
        <v>236</v>
      </c>
      <c r="U199" s="56">
        <f t="shared" si="231"/>
        <v>102</v>
      </c>
      <c r="V199" s="57">
        <f t="shared" si="231"/>
        <v>133</v>
      </c>
      <c r="W199" s="58">
        <f t="shared" si="231"/>
        <v>235</v>
      </c>
      <c r="X199" s="57">
        <f t="shared" si="231"/>
        <v>614</v>
      </c>
      <c r="Y199" s="107" t="s">
        <v>144</v>
      </c>
    </row>
  </sheetData>
  <mergeCells count="31">
    <mergeCell ref="U84:W84"/>
    <mergeCell ref="C84:E84"/>
    <mergeCell ref="F84:H84"/>
    <mergeCell ref="I84:K84"/>
    <mergeCell ref="O84:Q84"/>
    <mergeCell ref="R84:T84"/>
    <mergeCell ref="U4:W4"/>
    <mergeCell ref="O44:Q44"/>
    <mergeCell ref="R44:T44"/>
    <mergeCell ref="U44:W44"/>
    <mergeCell ref="O4:Q4"/>
    <mergeCell ref="R4:T4"/>
    <mergeCell ref="C4:E4"/>
    <mergeCell ref="F4:H4"/>
    <mergeCell ref="I4:K4"/>
    <mergeCell ref="C44:E44"/>
    <mergeCell ref="F44:H44"/>
    <mergeCell ref="I44:K44"/>
    <mergeCell ref="O164:Q164"/>
    <mergeCell ref="R164:T164"/>
    <mergeCell ref="U164:W164"/>
    <mergeCell ref="B121:X121"/>
    <mergeCell ref="U124:W124"/>
    <mergeCell ref="C124:E124"/>
    <mergeCell ref="F124:H124"/>
    <mergeCell ref="I124:K124"/>
    <mergeCell ref="O124:Q124"/>
    <mergeCell ref="R124:T124"/>
    <mergeCell ref="C164:E164"/>
    <mergeCell ref="F164:H164"/>
    <mergeCell ref="I164:K164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表ベロア裏シャギーチェックパンツ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cp:lastPrinted>2023-07-13T02:27:14Z</cp:lastPrinted>
  <dcterms:created xsi:type="dcterms:W3CDTF">2023-04-17T08:29:02Z</dcterms:created>
  <dcterms:modified xsi:type="dcterms:W3CDTF">2026-04-23T05:58:45Z</dcterms:modified>
</cp:coreProperties>
</file>