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BD11EE21-B5C2-4418-A28F-7C5B107B5E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92" i="1" l="1"/>
  <c r="R492" i="1"/>
  <c r="S492" i="1" s="1"/>
  <c r="O493" i="1"/>
  <c r="R493" i="1"/>
  <c r="S493" i="1"/>
  <c r="O494" i="1"/>
  <c r="R494" i="1"/>
  <c r="S494" i="1" s="1"/>
  <c r="O495" i="1"/>
  <c r="R495" i="1"/>
  <c r="S495" i="1"/>
  <c r="O496" i="1"/>
  <c r="R496" i="1"/>
  <c r="S496" i="1" s="1"/>
  <c r="O497" i="1"/>
  <c r="R497" i="1"/>
  <c r="S497" i="1"/>
  <c r="O498" i="1"/>
  <c r="R498" i="1"/>
  <c r="S498" i="1" s="1"/>
  <c r="E492" i="1"/>
  <c r="H492" i="1"/>
  <c r="I492" i="1" s="1"/>
  <c r="E493" i="1"/>
  <c r="H493" i="1"/>
  <c r="I493" i="1"/>
  <c r="E494" i="1"/>
  <c r="H494" i="1"/>
  <c r="I494" i="1" s="1"/>
  <c r="E495" i="1"/>
  <c r="H495" i="1"/>
  <c r="I495" i="1"/>
  <c r="E496" i="1"/>
  <c r="H496" i="1"/>
  <c r="E497" i="1"/>
  <c r="H497" i="1"/>
  <c r="I497" i="1"/>
  <c r="E498" i="1"/>
  <c r="H498" i="1"/>
  <c r="E499" i="1"/>
  <c r="I499" i="1" s="1"/>
  <c r="H499" i="1"/>
  <c r="E500" i="1"/>
  <c r="H500" i="1"/>
  <c r="I500" i="1" s="1"/>
  <c r="E501" i="1"/>
  <c r="H501" i="1"/>
  <c r="I501" i="1" s="1"/>
  <c r="E502" i="1"/>
  <c r="H502" i="1"/>
  <c r="I502" i="1" s="1"/>
  <c r="E503" i="1"/>
  <c r="H503" i="1"/>
  <c r="I503" i="1"/>
  <c r="E504" i="1"/>
  <c r="H504" i="1"/>
  <c r="I504" i="1" s="1"/>
  <c r="E505" i="1"/>
  <c r="H505" i="1"/>
  <c r="I505" i="1"/>
  <c r="E506" i="1"/>
  <c r="H506" i="1"/>
  <c r="I506" i="1" s="1"/>
  <c r="E507" i="1"/>
  <c r="H507" i="1"/>
  <c r="I507" i="1"/>
  <c r="E508" i="1"/>
  <c r="H508" i="1"/>
  <c r="I508" i="1" s="1"/>
  <c r="E509" i="1"/>
  <c r="H509" i="1"/>
  <c r="I509" i="1"/>
  <c r="E510" i="1"/>
  <c r="H510" i="1"/>
  <c r="I510" i="1" s="1"/>
  <c r="E511" i="1"/>
  <c r="H511" i="1"/>
  <c r="I511" i="1"/>
  <c r="E512" i="1"/>
  <c r="H512" i="1"/>
  <c r="I512" i="1" s="1"/>
  <c r="E513" i="1"/>
  <c r="H513" i="1"/>
  <c r="I513" i="1"/>
  <c r="E514" i="1"/>
  <c r="H514" i="1"/>
  <c r="I514" i="1" s="1"/>
  <c r="Q517" i="1"/>
  <c r="P517" i="1"/>
  <c r="O517" i="1"/>
  <c r="N517" i="1"/>
  <c r="M517" i="1"/>
  <c r="G517" i="1"/>
  <c r="F517" i="1"/>
  <c r="D517" i="1"/>
  <c r="C517" i="1"/>
  <c r="S516" i="1"/>
  <c r="R516" i="1"/>
  <c r="O516" i="1"/>
  <c r="I516" i="1"/>
  <c r="H516" i="1"/>
  <c r="E516" i="1"/>
  <c r="S515" i="1"/>
  <c r="R515" i="1"/>
  <c r="O515" i="1"/>
  <c r="I515" i="1"/>
  <c r="H515" i="1"/>
  <c r="E515" i="1"/>
  <c r="S514" i="1"/>
  <c r="R514" i="1"/>
  <c r="O514" i="1"/>
  <c r="S513" i="1"/>
  <c r="R513" i="1"/>
  <c r="O513" i="1"/>
  <c r="S512" i="1"/>
  <c r="R512" i="1"/>
  <c r="O512" i="1"/>
  <c r="S511" i="1"/>
  <c r="R511" i="1"/>
  <c r="O511" i="1"/>
  <c r="S510" i="1"/>
  <c r="R510" i="1"/>
  <c r="O510" i="1"/>
  <c r="S509" i="1"/>
  <c r="R509" i="1"/>
  <c r="O509" i="1"/>
  <c r="S508" i="1"/>
  <c r="R508" i="1"/>
  <c r="O508" i="1"/>
  <c r="S507" i="1"/>
  <c r="R507" i="1"/>
  <c r="O507" i="1"/>
  <c r="S506" i="1"/>
  <c r="R506" i="1"/>
  <c r="O506" i="1"/>
  <c r="S505" i="1"/>
  <c r="R505" i="1"/>
  <c r="O505" i="1"/>
  <c r="S504" i="1"/>
  <c r="R504" i="1"/>
  <c r="O504" i="1"/>
  <c r="S503" i="1"/>
  <c r="R503" i="1"/>
  <c r="O503" i="1"/>
  <c r="S502" i="1"/>
  <c r="R502" i="1"/>
  <c r="O502" i="1"/>
  <c r="S501" i="1"/>
  <c r="R501" i="1"/>
  <c r="O501" i="1"/>
  <c r="S500" i="1"/>
  <c r="R500" i="1"/>
  <c r="O500" i="1"/>
  <c r="S499" i="1"/>
  <c r="R499" i="1"/>
  <c r="O499" i="1"/>
  <c r="M491" i="1"/>
  <c r="M518" i="1" s="1"/>
  <c r="F491" i="1"/>
  <c r="F518" i="1" s="1"/>
  <c r="R490" i="1"/>
  <c r="S490" i="1" s="1"/>
  <c r="O490" i="1"/>
  <c r="H490" i="1"/>
  <c r="E490" i="1"/>
  <c r="R489" i="1"/>
  <c r="S489" i="1" s="1"/>
  <c r="O489" i="1"/>
  <c r="H489" i="1"/>
  <c r="E489" i="1"/>
  <c r="R488" i="1"/>
  <c r="S488" i="1" s="1"/>
  <c r="O488" i="1"/>
  <c r="H488" i="1"/>
  <c r="E488" i="1"/>
  <c r="R487" i="1"/>
  <c r="S487" i="1" s="1"/>
  <c r="O487" i="1"/>
  <c r="H487" i="1"/>
  <c r="E487" i="1"/>
  <c r="R486" i="1"/>
  <c r="S486" i="1" s="1"/>
  <c r="O486" i="1"/>
  <c r="H486" i="1"/>
  <c r="E486" i="1"/>
  <c r="P485" i="1"/>
  <c r="P491" i="1" s="1"/>
  <c r="P518" i="1" s="1"/>
  <c r="M485" i="1"/>
  <c r="F485" i="1"/>
  <c r="O452" i="1"/>
  <c r="R452" i="1"/>
  <c r="S452" i="1" s="1"/>
  <c r="O453" i="1"/>
  <c r="R453" i="1"/>
  <c r="S453" i="1" s="1"/>
  <c r="O454" i="1"/>
  <c r="R454" i="1"/>
  <c r="S454" i="1" s="1"/>
  <c r="O455" i="1"/>
  <c r="R455" i="1"/>
  <c r="O456" i="1"/>
  <c r="R456" i="1"/>
  <c r="S456" i="1" s="1"/>
  <c r="O457" i="1"/>
  <c r="R457" i="1"/>
  <c r="S457" i="1"/>
  <c r="O458" i="1"/>
  <c r="R458" i="1"/>
  <c r="S458" i="1" s="1"/>
  <c r="Q477" i="1"/>
  <c r="P477" i="1"/>
  <c r="N477" i="1"/>
  <c r="M477" i="1"/>
  <c r="F477" i="1"/>
  <c r="D477" i="1"/>
  <c r="C477" i="1"/>
  <c r="R476" i="1"/>
  <c r="O476" i="1"/>
  <c r="S476" i="1" s="1"/>
  <c r="H476" i="1"/>
  <c r="E476" i="1"/>
  <c r="I476" i="1" s="1"/>
  <c r="R475" i="1"/>
  <c r="O475" i="1"/>
  <c r="S475" i="1" s="1"/>
  <c r="H475" i="1"/>
  <c r="E475" i="1"/>
  <c r="I475" i="1" s="1"/>
  <c r="R474" i="1"/>
  <c r="O474" i="1"/>
  <c r="S474" i="1" s="1"/>
  <c r="H474" i="1"/>
  <c r="E474" i="1"/>
  <c r="R473" i="1"/>
  <c r="O473" i="1"/>
  <c r="S473" i="1" s="1"/>
  <c r="H473" i="1"/>
  <c r="E473" i="1"/>
  <c r="R472" i="1"/>
  <c r="O472" i="1"/>
  <c r="S472" i="1" s="1"/>
  <c r="H472" i="1"/>
  <c r="E472" i="1"/>
  <c r="R471" i="1"/>
  <c r="O471" i="1"/>
  <c r="S471" i="1" s="1"/>
  <c r="H471" i="1"/>
  <c r="E471" i="1"/>
  <c r="R470" i="1"/>
  <c r="O470" i="1"/>
  <c r="S470" i="1" s="1"/>
  <c r="H470" i="1"/>
  <c r="E470" i="1"/>
  <c r="R469" i="1"/>
  <c r="O469" i="1"/>
  <c r="S469" i="1" s="1"/>
  <c r="H469" i="1"/>
  <c r="E469" i="1"/>
  <c r="R468" i="1"/>
  <c r="O468" i="1"/>
  <c r="S468" i="1" s="1"/>
  <c r="H468" i="1"/>
  <c r="E468" i="1"/>
  <c r="R467" i="1"/>
  <c r="O467" i="1"/>
  <c r="S467" i="1" s="1"/>
  <c r="H467" i="1"/>
  <c r="E467" i="1"/>
  <c r="R466" i="1"/>
  <c r="O466" i="1"/>
  <c r="S466" i="1" s="1"/>
  <c r="H466" i="1"/>
  <c r="E466" i="1"/>
  <c r="R465" i="1"/>
  <c r="O465" i="1"/>
  <c r="S465" i="1" s="1"/>
  <c r="H465" i="1"/>
  <c r="E465" i="1"/>
  <c r="R464" i="1"/>
  <c r="O464" i="1"/>
  <c r="S464" i="1" s="1"/>
  <c r="H464" i="1"/>
  <c r="E464" i="1"/>
  <c r="R463" i="1"/>
  <c r="O463" i="1"/>
  <c r="S463" i="1" s="1"/>
  <c r="H463" i="1"/>
  <c r="E463" i="1"/>
  <c r="R462" i="1"/>
  <c r="O462" i="1"/>
  <c r="S462" i="1" s="1"/>
  <c r="H462" i="1"/>
  <c r="E462" i="1"/>
  <c r="R461" i="1"/>
  <c r="O461" i="1"/>
  <c r="S461" i="1" s="1"/>
  <c r="H461" i="1"/>
  <c r="E461" i="1"/>
  <c r="R460" i="1"/>
  <c r="O460" i="1"/>
  <c r="S460" i="1" s="1"/>
  <c r="H460" i="1"/>
  <c r="E460" i="1"/>
  <c r="R459" i="1"/>
  <c r="O459" i="1"/>
  <c r="S459" i="1" s="1"/>
  <c r="H459" i="1"/>
  <c r="E459" i="1"/>
  <c r="H458" i="1"/>
  <c r="E458" i="1"/>
  <c r="H457" i="1"/>
  <c r="E457" i="1"/>
  <c r="H456" i="1"/>
  <c r="E456" i="1"/>
  <c r="H455" i="1"/>
  <c r="E455" i="1"/>
  <c r="H454" i="1"/>
  <c r="E454" i="1"/>
  <c r="H453" i="1"/>
  <c r="E453" i="1"/>
  <c r="H452" i="1"/>
  <c r="E452" i="1"/>
  <c r="R450" i="1"/>
  <c r="O450" i="1"/>
  <c r="S450" i="1" s="1"/>
  <c r="H450" i="1"/>
  <c r="E450" i="1"/>
  <c r="R449" i="1"/>
  <c r="O449" i="1"/>
  <c r="S449" i="1" s="1"/>
  <c r="H449" i="1"/>
  <c r="E449" i="1"/>
  <c r="R448" i="1"/>
  <c r="O448" i="1"/>
  <c r="S448" i="1" s="1"/>
  <c r="H448" i="1"/>
  <c r="E448" i="1"/>
  <c r="R447" i="1"/>
  <c r="O447" i="1"/>
  <c r="H447" i="1"/>
  <c r="E447" i="1"/>
  <c r="R446" i="1"/>
  <c r="O446" i="1"/>
  <c r="S446" i="1" s="1"/>
  <c r="H446" i="1"/>
  <c r="E446" i="1"/>
  <c r="S445" i="1"/>
  <c r="R445" i="1"/>
  <c r="Q445" i="1"/>
  <c r="Q451" i="1" s="1"/>
  <c r="P445" i="1"/>
  <c r="P451" i="1" s="1"/>
  <c r="O445" i="1"/>
  <c r="O451" i="1" s="1"/>
  <c r="N445" i="1"/>
  <c r="N451" i="1" s="1"/>
  <c r="N478" i="1" s="1"/>
  <c r="N485" i="1" s="1"/>
  <c r="N491" i="1" s="1"/>
  <c r="N518" i="1" s="1"/>
  <c r="M445" i="1"/>
  <c r="M451" i="1" s="1"/>
  <c r="M478" i="1" s="1"/>
  <c r="G445" i="1"/>
  <c r="G451" i="1" s="1"/>
  <c r="O436" i="1"/>
  <c r="R436" i="1"/>
  <c r="S436" i="1"/>
  <c r="O395" i="1"/>
  <c r="S395" i="1" s="1"/>
  <c r="R395" i="1"/>
  <c r="G414" i="1"/>
  <c r="R378" i="1"/>
  <c r="O378" i="1"/>
  <c r="S378" i="1" s="1"/>
  <c r="E410" i="1"/>
  <c r="H410" i="1"/>
  <c r="O413" i="1"/>
  <c r="R413" i="1"/>
  <c r="S413" i="1" s="1"/>
  <c r="O414" i="1"/>
  <c r="S414" i="1" s="1"/>
  <c r="R414" i="1"/>
  <c r="O415" i="1"/>
  <c r="R415" i="1"/>
  <c r="S415" i="1" s="1"/>
  <c r="O416" i="1"/>
  <c r="R416" i="1"/>
  <c r="S416" i="1"/>
  <c r="O417" i="1"/>
  <c r="R417" i="1"/>
  <c r="O418" i="1"/>
  <c r="R418" i="1"/>
  <c r="S418" i="1"/>
  <c r="O419" i="1"/>
  <c r="R419" i="1"/>
  <c r="O420" i="1"/>
  <c r="S420" i="1" s="1"/>
  <c r="R420" i="1"/>
  <c r="O421" i="1"/>
  <c r="R421" i="1"/>
  <c r="S421" i="1" s="1"/>
  <c r="O422" i="1"/>
  <c r="S422" i="1" s="1"/>
  <c r="R422" i="1"/>
  <c r="O423" i="1"/>
  <c r="R423" i="1"/>
  <c r="S423" i="1" s="1"/>
  <c r="O424" i="1"/>
  <c r="R424" i="1"/>
  <c r="S424" i="1"/>
  <c r="O425" i="1"/>
  <c r="R425" i="1"/>
  <c r="O426" i="1"/>
  <c r="R426" i="1"/>
  <c r="S426" i="1"/>
  <c r="O427" i="1"/>
  <c r="R427" i="1"/>
  <c r="O428" i="1"/>
  <c r="S428" i="1" s="1"/>
  <c r="R428" i="1"/>
  <c r="O429" i="1"/>
  <c r="R429" i="1"/>
  <c r="S429" i="1" s="1"/>
  <c r="O430" i="1"/>
  <c r="S430" i="1" s="1"/>
  <c r="R430" i="1"/>
  <c r="O431" i="1"/>
  <c r="R431" i="1"/>
  <c r="S431" i="1" s="1"/>
  <c r="O432" i="1"/>
  <c r="R432" i="1"/>
  <c r="S432" i="1"/>
  <c r="O433" i="1"/>
  <c r="R433" i="1"/>
  <c r="O435" i="1"/>
  <c r="R435" i="1"/>
  <c r="S435" i="1" s="1"/>
  <c r="Q437" i="1"/>
  <c r="P437" i="1"/>
  <c r="N437" i="1"/>
  <c r="M437" i="1"/>
  <c r="G437" i="1"/>
  <c r="F437" i="1"/>
  <c r="D437" i="1"/>
  <c r="H436" i="1"/>
  <c r="E436" i="1"/>
  <c r="I436" i="1" s="1"/>
  <c r="H435" i="1"/>
  <c r="E435" i="1"/>
  <c r="R434" i="1"/>
  <c r="S434" i="1" s="1"/>
  <c r="O434" i="1"/>
  <c r="H434" i="1"/>
  <c r="E434" i="1"/>
  <c r="H433" i="1"/>
  <c r="E433" i="1"/>
  <c r="H432" i="1"/>
  <c r="E432" i="1"/>
  <c r="H431" i="1"/>
  <c r="E431" i="1"/>
  <c r="H430" i="1"/>
  <c r="E430" i="1"/>
  <c r="H429" i="1"/>
  <c r="E429" i="1"/>
  <c r="H428" i="1"/>
  <c r="E428" i="1"/>
  <c r="H427" i="1"/>
  <c r="E427" i="1"/>
  <c r="H426" i="1"/>
  <c r="E426" i="1"/>
  <c r="H425" i="1"/>
  <c r="E425" i="1"/>
  <c r="H424" i="1"/>
  <c r="E424" i="1"/>
  <c r="H423" i="1"/>
  <c r="E423" i="1"/>
  <c r="H422" i="1"/>
  <c r="E422" i="1"/>
  <c r="H421" i="1"/>
  <c r="E421" i="1"/>
  <c r="H420" i="1"/>
  <c r="E420" i="1"/>
  <c r="H419" i="1"/>
  <c r="E419" i="1"/>
  <c r="H418" i="1"/>
  <c r="E418" i="1"/>
  <c r="H417" i="1"/>
  <c r="E417" i="1"/>
  <c r="H416" i="1"/>
  <c r="E416" i="1"/>
  <c r="H415" i="1"/>
  <c r="E415" i="1"/>
  <c r="H414" i="1"/>
  <c r="E414" i="1"/>
  <c r="H413" i="1"/>
  <c r="E413" i="1"/>
  <c r="R412" i="1"/>
  <c r="O412" i="1"/>
  <c r="H412" i="1"/>
  <c r="E412" i="1"/>
  <c r="R410" i="1"/>
  <c r="S410" i="1" s="1"/>
  <c r="O410" i="1"/>
  <c r="R409" i="1"/>
  <c r="O409" i="1"/>
  <c r="H409" i="1"/>
  <c r="E409" i="1"/>
  <c r="R408" i="1"/>
  <c r="O408" i="1"/>
  <c r="H408" i="1"/>
  <c r="E408" i="1"/>
  <c r="R407" i="1"/>
  <c r="O407" i="1"/>
  <c r="H407" i="1"/>
  <c r="E407" i="1"/>
  <c r="R406" i="1"/>
  <c r="O406" i="1"/>
  <c r="H406" i="1"/>
  <c r="E406" i="1"/>
  <c r="G393" i="1"/>
  <c r="N397" i="1"/>
  <c r="C376" i="1"/>
  <c r="O355" i="1"/>
  <c r="R355" i="1"/>
  <c r="O356" i="1"/>
  <c r="R356" i="1"/>
  <c r="O372" i="1"/>
  <c r="R372" i="1"/>
  <c r="O373" i="1"/>
  <c r="R373" i="1"/>
  <c r="O374" i="1"/>
  <c r="R374" i="1"/>
  <c r="S374" i="1" s="1"/>
  <c r="O375" i="1"/>
  <c r="R375" i="1"/>
  <c r="O376" i="1"/>
  <c r="R376" i="1"/>
  <c r="S376" i="1" s="1"/>
  <c r="O377" i="1"/>
  <c r="R377" i="1"/>
  <c r="S377" i="1" s="1"/>
  <c r="G397" i="1"/>
  <c r="F397" i="1"/>
  <c r="D397" i="1"/>
  <c r="C397" i="1"/>
  <c r="R396" i="1"/>
  <c r="O396" i="1"/>
  <c r="H396" i="1"/>
  <c r="E396" i="1"/>
  <c r="Q397" i="1"/>
  <c r="P397" i="1"/>
  <c r="M397" i="1"/>
  <c r="H395" i="1"/>
  <c r="E395" i="1"/>
  <c r="R394" i="1"/>
  <c r="O394" i="1"/>
  <c r="H394" i="1"/>
  <c r="E394" i="1"/>
  <c r="I394" i="1" s="1"/>
  <c r="R393" i="1"/>
  <c r="O393" i="1"/>
  <c r="H393" i="1"/>
  <c r="E393" i="1"/>
  <c r="R392" i="1"/>
  <c r="O392" i="1"/>
  <c r="H392" i="1"/>
  <c r="E392" i="1"/>
  <c r="R391" i="1"/>
  <c r="O391" i="1"/>
  <c r="H391" i="1"/>
  <c r="E391" i="1"/>
  <c r="R390" i="1"/>
  <c r="O390" i="1"/>
  <c r="H390" i="1"/>
  <c r="E390" i="1"/>
  <c r="I390" i="1" s="1"/>
  <c r="R389" i="1"/>
  <c r="O389" i="1"/>
  <c r="H389" i="1"/>
  <c r="E389" i="1"/>
  <c r="I389" i="1" s="1"/>
  <c r="R388" i="1"/>
  <c r="O388" i="1"/>
  <c r="H388" i="1"/>
  <c r="E388" i="1"/>
  <c r="R387" i="1"/>
  <c r="O387" i="1"/>
  <c r="H387" i="1"/>
  <c r="E387" i="1"/>
  <c r="I387" i="1" s="1"/>
  <c r="R386" i="1"/>
  <c r="O386" i="1"/>
  <c r="H386" i="1"/>
  <c r="E386" i="1"/>
  <c r="I386" i="1" s="1"/>
  <c r="R385" i="1"/>
  <c r="O385" i="1"/>
  <c r="H385" i="1"/>
  <c r="E385" i="1"/>
  <c r="I385" i="1" s="1"/>
  <c r="R384" i="1"/>
  <c r="O384" i="1"/>
  <c r="H384" i="1"/>
  <c r="E384" i="1"/>
  <c r="I384" i="1" s="1"/>
  <c r="R383" i="1"/>
  <c r="O383" i="1"/>
  <c r="H383" i="1"/>
  <c r="E383" i="1"/>
  <c r="I383" i="1" s="1"/>
  <c r="R382" i="1"/>
  <c r="O382" i="1"/>
  <c r="H382" i="1"/>
  <c r="E382" i="1"/>
  <c r="I382" i="1" s="1"/>
  <c r="R381" i="1"/>
  <c r="O381" i="1"/>
  <c r="H381" i="1"/>
  <c r="E381" i="1"/>
  <c r="I381" i="1" s="1"/>
  <c r="R380" i="1"/>
  <c r="O380" i="1"/>
  <c r="H380" i="1"/>
  <c r="E380" i="1"/>
  <c r="I380" i="1" s="1"/>
  <c r="R379" i="1"/>
  <c r="O379" i="1"/>
  <c r="H379" i="1"/>
  <c r="E379" i="1"/>
  <c r="I379" i="1" s="1"/>
  <c r="H378" i="1"/>
  <c r="E378" i="1"/>
  <c r="H377" i="1"/>
  <c r="E377" i="1"/>
  <c r="H376" i="1"/>
  <c r="E376" i="1"/>
  <c r="H375" i="1"/>
  <c r="E375" i="1"/>
  <c r="I375" i="1" s="1"/>
  <c r="H374" i="1"/>
  <c r="E374" i="1"/>
  <c r="H373" i="1"/>
  <c r="E373" i="1"/>
  <c r="H372" i="1"/>
  <c r="E372" i="1"/>
  <c r="R370" i="1"/>
  <c r="O370" i="1"/>
  <c r="S370" i="1" s="1"/>
  <c r="H370" i="1"/>
  <c r="E370" i="1"/>
  <c r="R369" i="1"/>
  <c r="O369" i="1"/>
  <c r="H369" i="1"/>
  <c r="E369" i="1"/>
  <c r="R368" i="1"/>
  <c r="O368" i="1"/>
  <c r="S368" i="1" s="1"/>
  <c r="H368" i="1"/>
  <c r="E368" i="1"/>
  <c r="R367" i="1"/>
  <c r="O367" i="1"/>
  <c r="H367" i="1"/>
  <c r="E367" i="1"/>
  <c r="R366" i="1"/>
  <c r="O366" i="1"/>
  <c r="S366" i="1" s="1"/>
  <c r="H366" i="1"/>
  <c r="E366" i="1"/>
  <c r="R295" i="1"/>
  <c r="O295" i="1"/>
  <c r="S295" i="1" s="1"/>
  <c r="E332" i="1"/>
  <c r="H332" i="1"/>
  <c r="E333" i="1"/>
  <c r="I333" i="1" s="1"/>
  <c r="H333" i="1"/>
  <c r="E334" i="1"/>
  <c r="H334" i="1"/>
  <c r="I334" i="1" s="1"/>
  <c r="E335" i="1"/>
  <c r="H335" i="1"/>
  <c r="E336" i="1"/>
  <c r="H336" i="1"/>
  <c r="E337" i="1"/>
  <c r="H337" i="1"/>
  <c r="E338" i="1"/>
  <c r="H338" i="1"/>
  <c r="I338" i="1" s="1"/>
  <c r="E339" i="1"/>
  <c r="H339" i="1"/>
  <c r="E340" i="1"/>
  <c r="H340" i="1"/>
  <c r="I340" i="1" s="1"/>
  <c r="E341" i="1"/>
  <c r="H341" i="1"/>
  <c r="E342" i="1"/>
  <c r="H342" i="1"/>
  <c r="I342" i="1" s="1"/>
  <c r="E343" i="1"/>
  <c r="H343" i="1"/>
  <c r="E344" i="1"/>
  <c r="H344" i="1"/>
  <c r="I344" i="1" s="1"/>
  <c r="E345" i="1"/>
  <c r="H345" i="1"/>
  <c r="E346" i="1"/>
  <c r="H346" i="1"/>
  <c r="I346" i="1" s="1"/>
  <c r="E347" i="1"/>
  <c r="H347" i="1"/>
  <c r="E348" i="1"/>
  <c r="H348" i="1"/>
  <c r="E349" i="1"/>
  <c r="H349" i="1"/>
  <c r="E350" i="1"/>
  <c r="H350" i="1"/>
  <c r="O315" i="1"/>
  <c r="R315" i="1"/>
  <c r="O316" i="1"/>
  <c r="R316" i="1"/>
  <c r="S316" i="1"/>
  <c r="O332" i="1"/>
  <c r="R332" i="1"/>
  <c r="S332" i="1"/>
  <c r="O333" i="1"/>
  <c r="R333" i="1"/>
  <c r="O334" i="1"/>
  <c r="R334" i="1"/>
  <c r="S334" i="1" s="1"/>
  <c r="H330" i="1"/>
  <c r="E330" i="1"/>
  <c r="H329" i="1"/>
  <c r="E329" i="1"/>
  <c r="I329" i="1" s="1"/>
  <c r="H328" i="1"/>
  <c r="E328" i="1"/>
  <c r="H327" i="1"/>
  <c r="E327" i="1"/>
  <c r="I327" i="1" s="1"/>
  <c r="H326" i="1"/>
  <c r="E326" i="1"/>
  <c r="O326" i="1"/>
  <c r="R326" i="1"/>
  <c r="Q357" i="1"/>
  <c r="P357" i="1"/>
  <c r="N357" i="1"/>
  <c r="M357" i="1"/>
  <c r="G357" i="1"/>
  <c r="F357" i="1"/>
  <c r="D357" i="1"/>
  <c r="C357" i="1"/>
  <c r="H356" i="1"/>
  <c r="E356" i="1"/>
  <c r="H355" i="1"/>
  <c r="E355" i="1"/>
  <c r="I355" i="1" s="1"/>
  <c r="R354" i="1"/>
  <c r="O354" i="1"/>
  <c r="H354" i="1"/>
  <c r="E354" i="1"/>
  <c r="I354" i="1" s="1"/>
  <c r="R353" i="1"/>
  <c r="O353" i="1"/>
  <c r="H353" i="1"/>
  <c r="E353" i="1"/>
  <c r="I353" i="1" s="1"/>
  <c r="R352" i="1"/>
  <c r="O352" i="1"/>
  <c r="H352" i="1"/>
  <c r="E352" i="1"/>
  <c r="R351" i="1"/>
  <c r="O351" i="1"/>
  <c r="H351" i="1"/>
  <c r="E351" i="1"/>
  <c r="I351" i="1" s="1"/>
  <c r="R350" i="1"/>
  <c r="O350" i="1"/>
  <c r="R349" i="1"/>
  <c r="O349" i="1"/>
  <c r="S349" i="1" s="1"/>
  <c r="R348" i="1"/>
  <c r="O348" i="1"/>
  <c r="R347" i="1"/>
  <c r="O347" i="1"/>
  <c r="S347" i="1" s="1"/>
  <c r="R346" i="1"/>
  <c r="O346" i="1"/>
  <c r="R345" i="1"/>
  <c r="O345" i="1"/>
  <c r="S345" i="1" s="1"/>
  <c r="R344" i="1"/>
  <c r="O344" i="1"/>
  <c r="R343" i="1"/>
  <c r="O343" i="1"/>
  <c r="S343" i="1" s="1"/>
  <c r="R342" i="1"/>
  <c r="O342" i="1"/>
  <c r="R341" i="1"/>
  <c r="O341" i="1"/>
  <c r="S341" i="1" s="1"/>
  <c r="R340" i="1"/>
  <c r="O340" i="1"/>
  <c r="R339" i="1"/>
  <c r="O339" i="1"/>
  <c r="S339" i="1" s="1"/>
  <c r="R338" i="1"/>
  <c r="O338" i="1"/>
  <c r="R337" i="1"/>
  <c r="O337" i="1"/>
  <c r="S337" i="1" s="1"/>
  <c r="R336" i="1"/>
  <c r="O336" i="1"/>
  <c r="R335" i="1"/>
  <c r="O335" i="1"/>
  <c r="S335" i="1" s="1"/>
  <c r="R330" i="1"/>
  <c r="O330" i="1"/>
  <c r="R329" i="1"/>
  <c r="O329" i="1"/>
  <c r="S329" i="1" s="1"/>
  <c r="R328" i="1"/>
  <c r="O328" i="1"/>
  <c r="R327" i="1"/>
  <c r="O327" i="1"/>
  <c r="S327" i="1" s="1"/>
  <c r="Q11" i="1"/>
  <c r="P11" i="1"/>
  <c r="N11" i="1"/>
  <c r="M11" i="1"/>
  <c r="Q37" i="1"/>
  <c r="Q38" i="1" s="1"/>
  <c r="Q45" i="1" s="1"/>
  <c r="Q51" i="1" s="1"/>
  <c r="P37" i="1"/>
  <c r="N37" i="1"/>
  <c r="M37" i="1"/>
  <c r="Q77" i="1"/>
  <c r="P77" i="1"/>
  <c r="N77" i="1"/>
  <c r="M77" i="1"/>
  <c r="Q117" i="1"/>
  <c r="P117" i="1"/>
  <c r="N117" i="1"/>
  <c r="M117" i="1"/>
  <c r="Q157" i="1"/>
  <c r="P157" i="1"/>
  <c r="N157" i="1"/>
  <c r="M157" i="1"/>
  <c r="Q197" i="1"/>
  <c r="P197" i="1"/>
  <c r="N197" i="1"/>
  <c r="M197" i="1"/>
  <c r="Q237" i="1"/>
  <c r="P237" i="1"/>
  <c r="N237" i="1"/>
  <c r="M237" i="1"/>
  <c r="Q277" i="1"/>
  <c r="P277" i="1"/>
  <c r="N277" i="1"/>
  <c r="M277" i="1"/>
  <c r="N317" i="1"/>
  <c r="P317" i="1"/>
  <c r="Q317" i="1"/>
  <c r="M317" i="1"/>
  <c r="O196" i="1"/>
  <c r="H290" i="1"/>
  <c r="E290" i="1"/>
  <c r="R294" i="1"/>
  <c r="O294" i="1"/>
  <c r="S294" i="1" s="1"/>
  <c r="R293" i="1"/>
  <c r="O293" i="1"/>
  <c r="S293" i="1" s="1"/>
  <c r="R286" i="1"/>
  <c r="O286" i="1"/>
  <c r="O287" i="1"/>
  <c r="S287" i="1" s="1"/>
  <c r="R287" i="1"/>
  <c r="O288" i="1"/>
  <c r="R288" i="1"/>
  <c r="O292" i="1"/>
  <c r="R292" i="1"/>
  <c r="E292" i="1"/>
  <c r="H292" i="1"/>
  <c r="E293" i="1"/>
  <c r="H293" i="1"/>
  <c r="E294" i="1"/>
  <c r="H294" i="1"/>
  <c r="I294" i="1" s="1"/>
  <c r="E295" i="1"/>
  <c r="H295" i="1"/>
  <c r="E296" i="1"/>
  <c r="H296" i="1"/>
  <c r="E297" i="1"/>
  <c r="H297" i="1"/>
  <c r="E298" i="1"/>
  <c r="H298" i="1"/>
  <c r="E299" i="1"/>
  <c r="H299" i="1"/>
  <c r="E300" i="1"/>
  <c r="H300" i="1"/>
  <c r="E301" i="1"/>
  <c r="H301" i="1"/>
  <c r="E302" i="1"/>
  <c r="H302" i="1"/>
  <c r="E303" i="1"/>
  <c r="H303" i="1"/>
  <c r="E304" i="1"/>
  <c r="H304" i="1"/>
  <c r="E305" i="1"/>
  <c r="I305" i="1" s="1"/>
  <c r="H305" i="1"/>
  <c r="E306" i="1"/>
  <c r="H306" i="1"/>
  <c r="E307" i="1"/>
  <c r="I307" i="1" s="1"/>
  <c r="H307" i="1"/>
  <c r="E308" i="1"/>
  <c r="H308" i="1"/>
  <c r="E309" i="1"/>
  <c r="H309" i="1"/>
  <c r="E310" i="1"/>
  <c r="H310" i="1"/>
  <c r="I310" i="1" s="1"/>
  <c r="E311" i="1"/>
  <c r="H311" i="1"/>
  <c r="I311" i="1" s="1"/>
  <c r="E312" i="1"/>
  <c r="H312" i="1"/>
  <c r="E313" i="1"/>
  <c r="H313" i="1"/>
  <c r="E314" i="1"/>
  <c r="H314" i="1"/>
  <c r="I314" i="1" s="1"/>
  <c r="G317" i="1"/>
  <c r="F317" i="1"/>
  <c r="C317" i="1"/>
  <c r="H316" i="1"/>
  <c r="E316" i="1"/>
  <c r="H315" i="1"/>
  <c r="E315" i="1"/>
  <c r="R314" i="1"/>
  <c r="O314" i="1"/>
  <c r="R313" i="1"/>
  <c r="O313" i="1"/>
  <c r="S313" i="1" s="1"/>
  <c r="R312" i="1"/>
  <c r="O312" i="1"/>
  <c r="R311" i="1"/>
  <c r="O311" i="1"/>
  <c r="R310" i="1"/>
  <c r="S310" i="1" s="1"/>
  <c r="O310" i="1"/>
  <c r="R309" i="1"/>
  <c r="O309" i="1"/>
  <c r="S309" i="1" s="1"/>
  <c r="S308" i="1"/>
  <c r="R308" i="1"/>
  <c r="O308" i="1"/>
  <c r="R307" i="1"/>
  <c r="O307" i="1"/>
  <c r="S307" i="1" s="1"/>
  <c r="R306" i="1"/>
  <c r="O306" i="1"/>
  <c r="R305" i="1"/>
  <c r="O305" i="1"/>
  <c r="R304" i="1"/>
  <c r="O304" i="1"/>
  <c r="R303" i="1"/>
  <c r="O303" i="1"/>
  <c r="R302" i="1"/>
  <c r="O302" i="1"/>
  <c r="R301" i="1"/>
  <c r="O301" i="1"/>
  <c r="S301" i="1" s="1"/>
  <c r="R300" i="1"/>
  <c r="O300" i="1"/>
  <c r="R299" i="1"/>
  <c r="O299" i="1"/>
  <c r="S299" i="1" s="1"/>
  <c r="R298" i="1"/>
  <c r="O298" i="1"/>
  <c r="R297" i="1"/>
  <c r="O297" i="1"/>
  <c r="R296" i="1"/>
  <c r="O296" i="1"/>
  <c r="S296" i="1" s="1"/>
  <c r="D317" i="1"/>
  <c r="R290" i="1"/>
  <c r="O290" i="1"/>
  <c r="R289" i="1"/>
  <c r="O289" i="1"/>
  <c r="H289" i="1"/>
  <c r="E289" i="1"/>
  <c r="H288" i="1"/>
  <c r="E288" i="1"/>
  <c r="H287" i="1"/>
  <c r="E287" i="1"/>
  <c r="H286" i="1"/>
  <c r="E286" i="1"/>
  <c r="R254" i="1"/>
  <c r="O254" i="1"/>
  <c r="H248" i="1"/>
  <c r="E248" i="1"/>
  <c r="C262" i="1"/>
  <c r="R253" i="1"/>
  <c r="O253" i="1"/>
  <c r="S253" i="1" s="1"/>
  <c r="R252" i="1"/>
  <c r="O252" i="1"/>
  <c r="D254" i="1"/>
  <c r="E254" i="1" s="1"/>
  <c r="H253" i="1"/>
  <c r="E253" i="1"/>
  <c r="D231" i="1"/>
  <c r="E231" i="1" s="1"/>
  <c r="I231" i="1" s="1"/>
  <c r="O250" i="1"/>
  <c r="R250" i="1"/>
  <c r="R247" i="1"/>
  <c r="O247" i="1"/>
  <c r="E252" i="1"/>
  <c r="I252" i="1" s="1"/>
  <c r="H252" i="1"/>
  <c r="H254" i="1"/>
  <c r="E255" i="1"/>
  <c r="H255" i="1"/>
  <c r="E256" i="1"/>
  <c r="H256" i="1"/>
  <c r="E257" i="1"/>
  <c r="H257" i="1"/>
  <c r="E258" i="1"/>
  <c r="H258" i="1"/>
  <c r="E259" i="1"/>
  <c r="I259" i="1" s="1"/>
  <c r="H259" i="1"/>
  <c r="E260" i="1"/>
  <c r="H260" i="1"/>
  <c r="I260" i="1" s="1"/>
  <c r="E261" i="1"/>
  <c r="I261" i="1" s="1"/>
  <c r="H261" i="1"/>
  <c r="H262" i="1"/>
  <c r="E263" i="1"/>
  <c r="H263" i="1"/>
  <c r="E264" i="1"/>
  <c r="H264" i="1"/>
  <c r="E265" i="1"/>
  <c r="H265" i="1"/>
  <c r="E266" i="1"/>
  <c r="H266" i="1"/>
  <c r="F277" i="1"/>
  <c r="H276" i="1"/>
  <c r="E276" i="1"/>
  <c r="H275" i="1"/>
  <c r="E275" i="1"/>
  <c r="H274" i="1"/>
  <c r="E274" i="1"/>
  <c r="H273" i="1"/>
  <c r="E273" i="1"/>
  <c r="I273" i="1" s="1"/>
  <c r="H272" i="1"/>
  <c r="E272" i="1"/>
  <c r="H271" i="1"/>
  <c r="E271" i="1"/>
  <c r="H270" i="1"/>
  <c r="E270" i="1"/>
  <c r="H269" i="1"/>
  <c r="E269" i="1"/>
  <c r="H268" i="1"/>
  <c r="E268" i="1"/>
  <c r="H267" i="1"/>
  <c r="E267" i="1"/>
  <c r="H250" i="1"/>
  <c r="E250" i="1"/>
  <c r="H249" i="1"/>
  <c r="E249" i="1"/>
  <c r="I249" i="1" s="1"/>
  <c r="H247" i="1"/>
  <c r="E247" i="1"/>
  <c r="H246" i="1"/>
  <c r="E246" i="1"/>
  <c r="R276" i="1"/>
  <c r="S276" i="1" s="1"/>
  <c r="O276" i="1"/>
  <c r="R275" i="1"/>
  <c r="O275" i="1"/>
  <c r="S275" i="1" s="1"/>
  <c r="R274" i="1"/>
  <c r="O274" i="1"/>
  <c r="R273" i="1"/>
  <c r="O273" i="1"/>
  <c r="S273" i="1" s="1"/>
  <c r="R272" i="1"/>
  <c r="S272" i="1" s="1"/>
  <c r="O272" i="1"/>
  <c r="R271" i="1"/>
  <c r="O271" i="1"/>
  <c r="S271" i="1" s="1"/>
  <c r="R270" i="1"/>
  <c r="O270" i="1"/>
  <c r="R269" i="1"/>
  <c r="O269" i="1"/>
  <c r="S269" i="1" s="1"/>
  <c r="R268" i="1"/>
  <c r="O268" i="1"/>
  <c r="R267" i="1"/>
  <c r="O267" i="1"/>
  <c r="S267" i="1" s="1"/>
  <c r="R266" i="1"/>
  <c r="O266" i="1"/>
  <c r="R265" i="1"/>
  <c r="O265" i="1"/>
  <c r="R264" i="1"/>
  <c r="O264" i="1"/>
  <c r="R263" i="1"/>
  <c r="O263" i="1"/>
  <c r="R262" i="1"/>
  <c r="O262" i="1"/>
  <c r="R261" i="1"/>
  <c r="S261" i="1" s="1"/>
  <c r="O261" i="1"/>
  <c r="R260" i="1"/>
  <c r="O260" i="1"/>
  <c r="R259" i="1"/>
  <c r="O259" i="1"/>
  <c r="R258" i="1"/>
  <c r="O258" i="1"/>
  <c r="S258" i="1" s="1"/>
  <c r="R257" i="1"/>
  <c r="O257" i="1"/>
  <c r="R256" i="1"/>
  <c r="O256" i="1"/>
  <c r="R255" i="1"/>
  <c r="O255" i="1"/>
  <c r="R249" i="1"/>
  <c r="O249" i="1"/>
  <c r="S249" i="1" s="1"/>
  <c r="R248" i="1"/>
  <c r="O248" i="1"/>
  <c r="R246" i="1"/>
  <c r="O246" i="1"/>
  <c r="S246" i="1" s="1"/>
  <c r="C223" i="1"/>
  <c r="E223" i="1" s="1"/>
  <c r="G223" i="1"/>
  <c r="R196" i="1"/>
  <c r="D218" i="1"/>
  <c r="E218" i="1" s="1"/>
  <c r="I218" i="1" s="1"/>
  <c r="R184" i="1"/>
  <c r="O184" i="1"/>
  <c r="D216" i="1"/>
  <c r="E216" i="1" s="1"/>
  <c r="R180" i="1"/>
  <c r="O180" i="1"/>
  <c r="G191" i="1"/>
  <c r="D191" i="1"/>
  <c r="E191" i="1" s="1"/>
  <c r="D187" i="1"/>
  <c r="D197" i="1" s="1"/>
  <c r="F187" i="1"/>
  <c r="R177" i="1"/>
  <c r="O177" i="1"/>
  <c r="H186" i="1"/>
  <c r="E186" i="1"/>
  <c r="H185" i="1"/>
  <c r="E185" i="1"/>
  <c r="H210" i="1"/>
  <c r="E210" i="1"/>
  <c r="H209" i="1"/>
  <c r="E209" i="1"/>
  <c r="I209" i="1" s="1"/>
  <c r="H208" i="1"/>
  <c r="E208" i="1"/>
  <c r="H207" i="1"/>
  <c r="E207" i="1"/>
  <c r="I207" i="1" s="1"/>
  <c r="H206" i="1"/>
  <c r="E206" i="1"/>
  <c r="E212" i="1"/>
  <c r="I212" i="1" s="1"/>
  <c r="H212" i="1"/>
  <c r="O212" i="1"/>
  <c r="R212" i="1"/>
  <c r="S212" i="1"/>
  <c r="E213" i="1"/>
  <c r="I213" i="1" s="1"/>
  <c r="H213" i="1"/>
  <c r="O213" i="1"/>
  <c r="R213" i="1"/>
  <c r="E214" i="1"/>
  <c r="H214" i="1"/>
  <c r="O214" i="1"/>
  <c r="R214" i="1"/>
  <c r="E215" i="1"/>
  <c r="H215" i="1"/>
  <c r="O215" i="1"/>
  <c r="S215" i="1" s="1"/>
  <c r="R215" i="1"/>
  <c r="H216" i="1"/>
  <c r="O216" i="1"/>
  <c r="S216" i="1" s="1"/>
  <c r="R216" i="1"/>
  <c r="E217" i="1"/>
  <c r="H217" i="1"/>
  <c r="O217" i="1"/>
  <c r="S217" i="1" s="1"/>
  <c r="R217" i="1"/>
  <c r="H218" i="1"/>
  <c r="O218" i="1"/>
  <c r="S218" i="1" s="1"/>
  <c r="R218" i="1"/>
  <c r="E219" i="1"/>
  <c r="H219" i="1"/>
  <c r="I219" i="1" s="1"/>
  <c r="O219" i="1"/>
  <c r="R219" i="1"/>
  <c r="E220" i="1"/>
  <c r="H220" i="1"/>
  <c r="I220" i="1" s="1"/>
  <c r="O220" i="1"/>
  <c r="S220" i="1" s="1"/>
  <c r="R220" i="1"/>
  <c r="E221" i="1"/>
  <c r="H221" i="1"/>
  <c r="I221" i="1" s="1"/>
  <c r="O221" i="1"/>
  <c r="R221" i="1"/>
  <c r="S221" i="1"/>
  <c r="E222" i="1"/>
  <c r="I222" i="1" s="1"/>
  <c r="H222" i="1"/>
  <c r="O222" i="1"/>
  <c r="R222" i="1"/>
  <c r="S222" i="1"/>
  <c r="O223" i="1"/>
  <c r="R223" i="1"/>
  <c r="E224" i="1"/>
  <c r="H224" i="1"/>
  <c r="O224" i="1"/>
  <c r="S224" i="1" s="1"/>
  <c r="R224" i="1"/>
  <c r="E225" i="1"/>
  <c r="H225" i="1"/>
  <c r="O225" i="1"/>
  <c r="R225" i="1"/>
  <c r="S225" i="1"/>
  <c r="E226" i="1"/>
  <c r="I226" i="1" s="1"/>
  <c r="H226" i="1"/>
  <c r="O226" i="1"/>
  <c r="R226" i="1"/>
  <c r="S226" i="1"/>
  <c r="E227" i="1"/>
  <c r="H227" i="1"/>
  <c r="O227" i="1"/>
  <c r="R227" i="1"/>
  <c r="E228" i="1"/>
  <c r="H228" i="1"/>
  <c r="O228" i="1"/>
  <c r="R228" i="1"/>
  <c r="E230" i="1"/>
  <c r="H230" i="1"/>
  <c r="O230" i="1"/>
  <c r="S230" i="1" s="1"/>
  <c r="R230" i="1"/>
  <c r="H231" i="1"/>
  <c r="O231" i="1"/>
  <c r="S231" i="1" s="1"/>
  <c r="R231" i="1"/>
  <c r="E232" i="1"/>
  <c r="H232" i="1"/>
  <c r="O232" i="1"/>
  <c r="R232" i="1"/>
  <c r="E233" i="1"/>
  <c r="H233" i="1"/>
  <c r="O233" i="1"/>
  <c r="S233" i="1" s="1"/>
  <c r="R233" i="1"/>
  <c r="E234" i="1"/>
  <c r="H234" i="1"/>
  <c r="I234" i="1" s="1"/>
  <c r="O234" i="1"/>
  <c r="R234" i="1"/>
  <c r="S234" i="1"/>
  <c r="E235" i="1"/>
  <c r="I235" i="1" s="1"/>
  <c r="H235" i="1"/>
  <c r="O235" i="1"/>
  <c r="R235" i="1"/>
  <c r="S235" i="1"/>
  <c r="E236" i="1"/>
  <c r="H236" i="1"/>
  <c r="I236" i="1"/>
  <c r="O236" i="1"/>
  <c r="S236" i="1" s="1"/>
  <c r="R236" i="1"/>
  <c r="R229" i="1"/>
  <c r="O229" i="1"/>
  <c r="H229" i="1"/>
  <c r="E229" i="1"/>
  <c r="F237" i="1"/>
  <c r="R210" i="1"/>
  <c r="O210" i="1"/>
  <c r="R209" i="1"/>
  <c r="S209" i="1" s="1"/>
  <c r="O209" i="1"/>
  <c r="R208" i="1"/>
  <c r="O208" i="1"/>
  <c r="R207" i="1"/>
  <c r="S207" i="1" s="1"/>
  <c r="O207" i="1"/>
  <c r="R206" i="1"/>
  <c r="O206" i="1"/>
  <c r="C184" i="1"/>
  <c r="E184" i="1" s="1"/>
  <c r="R176" i="1"/>
  <c r="O176" i="1"/>
  <c r="S176" i="1" s="1"/>
  <c r="R175" i="1"/>
  <c r="O175" i="1"/>
  <c r="R174" i="1"/>
  <c r="O174" i="1"/>
  <c r="S174" i="1" s="1"/>
  <c r="R173" i="1"/>
  <c r="O173" i="1"/>
  <c r="F174" i="1"/>
  <c r="H174" i="1" s="1"/>
  <c r="C174" i="1"/>
  <c r="E174" i="1" s="1"/>
  <c r="R156" i="1"/>
  <c r="O156" i="1"/>
  <c r="R155" i="1"/>
  <c r="O155" i="1"/>
  <c r="S155" i="1" s="1"/>
  <c r="R195" i="1"/>
  <c r="O195" i="1"/>
  <c r="R172" i="1"/>
  <c r="O172" i="1"/>
  <c r="F152" i="1"/>
  <c r="R133" i="1"/>
  <c r="O133" i="1"/>
  <c r="R132" i="1"/>
  <c r="O132" i="1"/>
  <c r="C145" i="1"/>
  <c r="O187" i="1"/>
  <c r="R187" i="1"/>
  <c r="O188" i="1"/>
  <c r="R188" i="1"/>
  <c r="O189" i="1"/>
  <c r="R189" i="1"/>
  <c r="O190" i="1"/>
  <c r="R190" i="1"/>
  <c r="O191" i="1"/>
  <c r="R191" i="1"/>
  <c r="S191" i="1"/>
  <c r="O192" i="1"/>
  <c r="R192" i="1"/>
  <c r="O193" i="1"/>
  <c r="S193" i="1" s="1"/>
  <c r="R193" i="1"/>
  <c r="O194" i="1"/>
  <c r="R194" i="1"/>
  <c r="E166" i="1"/>
  <c r="H166" i="1"/>
  <c r="E167" i="1"/>
  <c r="H167" i="1"/>
  <c r="I167" i="1"/>
  <c r="E172" i="1"/>
  <c r="H172" i="1"/>
  <c r="E173" i="1"/>
  <c r="I173" i="1" s="1"/>
  <c r="H173" i="1"/>
  <c r="E175" i="1"/>
  <c r="H175" i="1"/>
  <c r="E176" i="1"/>
  <c r="I176" i="1" s="1"/>
  <c r="H176" i="1"/>
  <c r="E177" i="1"/>
  <c r="H177" i="1"/>
  <c r="E178" i="1"/>
  <c r="H178" i="1"/>
  <c r="E179" i="1"/>
  <c r="H179" i="1"/>
  <c r="E180" i="1"/>
  <c r="I180" i="1" s="1"/>
  <c r="H180" i="1"/>
  <c r="E181" i="1"/>
  <c r="H181" i="1"/>
  <c r="I181" i="1"/>
  <c r="E182" i="1"/>
  <c r="H182" i="1"/>
  <c r="E183" i="1"/>
  <c r="H183" i="1"/>
  <c r="H184" i="1"/>
  <c r="H196" i="1"/>
  <c r="E196" i="1"/>
  <c r="I196" i="1" s="1"/>
  <c r="H195" i="1"/>
  <c r="E195" i="1"/>
  <c r="I195" i="1" s="1"/>
  <c r="H194" i="1"/>
  <c r="E194" i="1"/>
  <c r="I194" i="1" s="1"/>
  <c r="H193" i="1"/>
  <c r="E193" i="1"/>
  <c r="H192" i="1"/>
  <c r="E192" i="1"/>
  <c r="I192" i="1" s="1"/>
  <c r="H190" i="1"/>
  <c r="E190" i="1"/>
  <c r="I190" i="1" s="1"/>
  <c r="H189" i="1"/>
  <c r="E189" i="1"/>
  <c r="H188" i="1"/>
  <c r="E188" i="1"/>
  <c r="I188" i="1" s="1"/>
  <c r="H187" i="1"/>
  <c r="R186" i="1"/>
  <c r="O186" i="1"/>
  <c r="S186" i="1" s="1"/>
  <c r="R185" i="1"/>
  <c r="O185" i="1"/>
  <c r="R183" i="1"/>
  <c r="O183" i="1"/>
  <c r="R182" i="1"/>
  <c r="O182" i="1"/>
  <c r="R181" i="1"/>
  <c r="O181" i="1"/>
  <c r="R179" i="1"/>
  <c r="O179" i="1"/>
  <c r="R178" i="1"/>
  <c r="O178" i="1"/>
  <c r="R170" i="1"/>
  <c r="O170" i="1"/>
  <c r="H170" i="1"/>
  <c r="E170" i="1"/>
  <c r="R169" i="1"/>
  <c r="O169" i="1"/>
  <c r="H169" i="1"/>
  <c r="E169" i="1"/>
  <c r="I169" i="1" s="1"/>
  <c r="R168" i="1"/>
  <c r="O168" i="1"/>
  <c r="H168" i="1"/>
  <c r="E168" i="1"/>
  <c r="R167" i="1"/>
  <c r="O167" i="1"/>
  <c r="R166" i="1"/>
  <c r="O166" i="1"/>
  <c r="S166" i="1" s="1"/>
  <c r="D142" i="1"/>
  <c r="R95" i="1"/>
  <c r="O95" i="1"/>
  <c r="S95" i="1" s="1"/>
  <c r="E127" i="1"/>
  <c r="R94" i="1"/>
  <c r="O94" i="1"/>
  <c r="O116" i="1"/>
  <c r="R60" i="1"/>
  <c r="O60" i="1"/>
  <c r="S60" i="1" s="1"/>
  <c r="H50" i="1"/>
  <c r="E50" i="1"/>
  <c r="R58" i="1"/>
  <c r="O58" i="1"/>
  <c r="S58" i="1" s="1"/>
  <c r="R56" i="1"/>
  <c r="O56" i="1"/>
  <c r="S56" i="1" s="1"/>
  <c r="O73" i="1"/>
  <c r="R73" i="1"/>
  <c r="I498" i="1" l="1"/>
  <c r="I496" i="1"/>
  <c r="E517" i="1"/>
  <c r="H517" i="1"/>
  <c r="I517" i="1" s="1"/>
  <c r="S517" i="1"/>
  <c r="R517" i="1"/>
  <c r="I486" i="1"/>
  <c r="I487" i="1"/>
  <c r="I488" i="1"/>
  <c r="I489" i="1"/>
  <c r="I490" i="1"/>
  <c r="S455" i="1"/>
  <c r="P478" i="1"/>
  <c r="I454" i="1"/>
  <c r="I447" i="1"/>
  <c r="I449" i="1"/>
  <c r="R451" i="1"/>
  <c r="S447" i="1"/>
  <c r="S451" i="1" s="1"/>
  <c r="Q478" i="1"/>
  <c r="Q485" i="1" s="1"/>
  <c r="Q491" i="1" s="1"/>
  <c r="Q518" i="1" s="1"/>
  <c r="R477" i="1"/>
  <c r="R478" i="1" s="1"/>
  <c r="R485" i="1" s="1"/>
  <c r="R491" i="1" s="1"/>
  <c r="I453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E477" i="1"/>
  <c r="I446" i="1"/>
  <c r="I448" i="1"/>
  <c r="I450" i="1"/>
  <c r="I452" i="1"/>
  <c r="O477" i="1"/>
  <c r="O478" i="1" s="1"/>
  <c r="O485" i="1" s="1"/>
  <c r="O491" i="1" s="1"/>
  <c r="O518" i="1" s="1"/>
  <c r="S477" i="1"/>
  <c r="G477" i="1"/>
  <c r="G478" i="1" s="1"/>
  <c r="G485" i="1" s="1"/>
  <c r="G491" i="1" s="1"/>
  <c r="G518" i="1" s="1"/>
  <c r="H518" i="1" s="1"/>
  <c r="I395" i="1"/>
  <c r="I232" i="1"/>
  <c r="S265" i="1"/>
  <c r="I265" i="1"/>
  <c r="I50" i="1"/>
  <c r="C197" i="1"/>
  <c r="S189" i="1"/>
  <c r="S133" i="1"/>
  <c r="I230" i="1"/>
  <c r="I208" i="1"/>
  <c r="S184" i="1"/>
  <c r="S256" i="1"/>
  <c r="S262" i="1"/>
  <c r="S266" i="1"/>
  <c r="I270" i="1"/>
  <c r="I258" i="1"/>
  <c r="S289" i="1"/>
  <c r="S298" i="1"/>
  <c r="S302" i="1"/>
  <c r="S304" i="1"/>
  <c r="S306" i="1"/>
  <c r="I306" i="1"/>
  <c r="S406" i="1"/>
  <c r="S407" i="1"/>
  <c r="S408" i="1"/>
  <c r="S409" i="1"/>
  <c r="S412" i="1"/>
  <c r="I435" i="1"/>
  <c r="S427" i="1"/>
  <c r="S419" i="1"/>
  <c r="I233" i="1"/>
  <c r="S228" i="1"/>
  <c r="S214" i="1"/>
  <c r="S297" i="1"/>
  <c r="S185" i="1"/>
  <c r="E187" i="1"/>
  <c r="I187" i="1" s="1"/>
  <c r="I166" i="1"/>
  <c r="S192" i="1"/>
  <c r="S175" i="1"/>
  <c r="I210" i="1"/>
  <c r="F197" i="1"/>
  <c r="H197" i="1" s="1"/>
  <c r="S255" i="1"/>
  <c r="S257" i="1"/>
  <c r="S259" i="1"/>
  <c r="I274" i="1"/>
  <c r="I255" i="1"/>
  <c r="S290" i="1"/>
  <c r="S312" i="1"/>
  <c r="S314" i="1"/>
  <c r="R317" i="1"/>
  <c r="S286" i="1"/>
  <c r="I337" i="1"/>
  <c r="S356" i="1"/>
  <c r="I423" i="1"/>
  <c r="I425" i="1"/>
  <c r="I427" i="1"/>
  <c r="I429" i="1"/>
  <c r="I431" i="1"/>
  <c r="I433" i="1"/>
  <c r="S433" i="1"/>
  <c r="S425" i="1"/>
  <c r="S417" i="1"/>
  <c r="I410" i="1"/>
  <c r="O437" i="1"/>
  <c r="I412" i="1"/>
  <c r="I413" i="1"/>
  <c r="I414" i="1"/>
  <c r="I415" i="1"/>
  <c r="I416" i="1"/>
  <c r="I422" i="1"/>
  <c r="I424" i="1"/>
  <c r="I426" i="1"/>
  <c r="I428" i="1"/>
  <c r="I430" i="1"/>
  <c r="I432" i="1"/>
  <c r="I434" i="1"/>
  <c r="H437" i="1"/>
  <c r="I417" i="1"/>
  <c r="I418" i="1"/>
  <c r="I419" i="1"/>
  <c r="I420" i="1"/>
  <c r="I421" i="1"/>
  <c r="I406" i="1"/>
  <c r="I407" i="1"/>
  <c r="I408" i="1"/>
  <c r="I409" i="1"/>
  <c r="S437" i="1"/>
  <c r="C437" i="1"/>
  <c r="E437" i="1" s="1"/>
  <c r="R437" i="1"/>
  <c r="S396" i="1"/>
  <c r="I393" i="1"/>
  <c r="I392" i="1"/>
  <c r="I391" i="1"/>
  <c r="I388" i="1"/>
  <c r="S375" i="1"/>
  <c r="H397" i="1"/>
  <c r="I377" i="1"/>
  <c r="S373" i="1"/>
  <c r="I373" i="1"/>
  <c r="S213" i="1"/>
  <c r="S187" i="1"/>
  <c r="R197" i="1"/>
  <c r="G197" i="1"/>
  <c r="H191" i="1"/>
  <c r="S252" i="1"/>
  <c r="O277" i="1"/>
  <c r="E262" i="1"/>
  <c r="I262" i="1" s="1"/>
  <c r="C277" i="1"/>
  <c r="R237" i="1"/>
  <c r="S172" i="1"/>
  <c r="O197" i="1"/>
  <c r="S227" i="1"/>
  <c r="S232" i="1"/>
  <c r="S223" i="1"/>
  <c r="S219" i="1"/>
  <c r="H223" i="1"/>
  <c r="G237" i="1"/>
  <c r="H237" i="1" s="1"/>
  <c r="N38" i="1"/>
  <c r="N45" i="1" s="1"/>
  <c r="N51" i="1" s="1"/>
  <c r="I183" i="1"/>
  <c r="I215" i="1"/>
  <c r="I272" i="1"/>
  <c r="I264" i="1"/>
  <c r="I339" i="1"/>
  <c r="I175" i="1"/>
  <c r="S206" i="1"/>
  <c r="S210" i="1"/>
  <c r="S264" i="1"/>
  <c r="I299" i="1"/>
  <c r="I295" i="1"/>
  <c r="I293" i="1"/>
  <c r="S292" i="1"/>
  <c r="S190" i="1"/>
  <c r="I225" i="1"/>
  <c r="S260" i="1"/>
  <c r="I266" i="1"/>
  <c r="R277" i="1"/>
  <c r="I335" i="1"/>
  <c r="I177" i="1"/>
  <c r="S188" i="1"/>
  <c r="S208" i="1"/>
  <c r="I224" i="1"/>
  <c r="S94" i="1"/>
  <c r="S167" i="1"/>
  <c r="S168" i="1"/>
  <c r="S169" i="1"/>
  <c r="S170" i="1"/>
  <c r="I182" i="1"/>
  <c r="S194" i="1"/>
  <c r="S132" i="1"/>
  <c r="S156" i="1"/>
  <c r="S173" i="1"/>
  <c r="C237" i="1"/>
  <c r="S229" i="1"/>
  <c r="I227" i="1"/>
  <c r="O237" i="1"/>
  <c r="I185" i="1"/>
  <c r="S177" i="1"/>
  <c r="S196" i="1"/>
  <c r="S263" i="1"/>
  <c r="S268" i="1"/>
  <c r="S274" i="1"/>
  <c r="I247" i="1"/>
  <c r="I250" i="1"/>
  <c r="I263" i="1"/>
  <c r="S250" i="1"/>
  <c r="I254" i="1"/>
  <c r="S254" i="1"/>
  <c r="S305" i="1"/>
  <c r="I308" i="1"/>
  <c r="I300" i="1"/>
  <c r="S326" i="1"/>
  <c r="I348" i="1"/>
  <c r="S270" i="1"/>
  <c r="I267" i="1"/>
  <c r="I269" i="1"/>
  <c r="I276" i="1"/>
  <c r="I256" i="1"/>
  <c r="S247" i="1"/>
  <c r="I253" i="1"/>
  <c r="I248" i="1"/>
  <c r="S300" i="1"/>
  <c r="S303" i="1"/>
  <c r="S311" i="1"/>
  <c r="I316" i="1"/>
  <c r="I309" i="1"/>
  <c r="I303" i="1"/>
  <c r="I296" i="1"/>
  <c r="I292" i="1"/>
  <c r="S288" i="1"/>
  <c r="I290" i="1"/>
  <c r="S328" i="1"/>
  <c r="S330" i="1"/>
  <c r="S336" i="1"/>
  <c r="S338" i="1"/>
  <c r="S340" i="1"/>
  <c r="S342" i="1"/>
  <c r="S344" i="1"/>
  <c r="S346" i="1"/>
  <c r="S348" i="1"/>
  <c r="S350" i="1"/>
  <c r="S351" i="1"/>
  <c r="S352" i="1"/>
  <c r="S353" i="1"/>
  <c r="S354" i="1"/>
  <c r="I356" i="1"/>
  <c r="I326" i="1"/>
  <c r="I328" i="1"/>
  <c r="I330" i="1"/>
  <c r="S315" i="1"/>
  <c r="I349" i="1"/>
  <c r="I345" i="1"/>
  <c r="I343" i="1"/>
  <c r="I370" i="1"/>
  <c r="I372" i="1"/>
  <c r="I374" i="1"/>
  <c r="I376" i="1"/>
  <c r="I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I396" i="1"/>
  <c r="S355" i="1"/>
  <c r="S372" i="1"/>
  <c r="E397" i="1"/>
  <c r="I366" i="1"/>
  <c r="I367" i="1"/>
  <c r="I368" i="1"/>
  <c r="I369" i="1"/>
  <c r="S367" i="1"/>
  <c r="S369" i="1"/>
  <c r="R397" i="1"/>
  <c r="I352" i="1"/>
  <c r="I350" i="1"/>
  <c r="I347" i="1"/>
  <c r="R357" i="1"/>
  <c r="O357" i="1"/>
  <c r="I341" i="1"/>
  <c r="H357" i="1"/>
  <c r="I336" i="1"/>
  <c r="I332" i="1"/>
  <c r="O317" i="1"/>
  <c r="I313" i="1"/>
  <c r="I312" i="1"/>
  <c r="E357" i="1"/>
  <c r="S333" i="1"/>
  <c r="P38" i="1"/>
  <c r="P45" i="1" s="1"/>
  <c r="P51" i="1" s="1"/>
  <c r="M38" i="1"/>
  <c r="M45" i="1" s="1"/>
  <c r="M51" i="1" s="1"/>
  <c r="I289" i="1"/>
  <c r="I304" i="1"/>
  <c r="I302" i="1"/>
  <c r="I301" i="1"/>
  <c r="I298" i="1"/>
  <c r="I297" i="1"/>
  <c r="H317" i="1"/>
  <c r="I315" i="1"/>
  <c r="E317" i="1"/>
  <c r="I286" i="1"/>
  <c r="I287" i="1"/>
  <c r="I288" i="1"/>
  <c r="I275" i="1"/>
  <c r="I271" i="1"/>
  <c r="I268" i="1"/>
  <c r="I257" i="1"/>
  <c r="D277" i="1"/>
  <c r="E277" i="1" s="1"/>
  <c r="I229" i="1"/>
  <c r="I228" i="1"/>
  <c r="S248" i="1"/>
  <c r="I246" i="1"/>
  <c r="G277" i="1"/>
  <c r="H277" i="1" s="1"/>
  <c r="I223" i="1"/>
  <c r="I206" i="1"/>
  <c r="S183" i="1"/>
  <c r="I217" i="1"/>
  <c r="S182" i="1"/>
  <c r="D237" i="1"/>
  <c r="I216" i="1"/>
  <c r="S181" i="1"/>
  <c r="I214" i="1"/>
  <c r="S180" i="1"/>
  <c r="I193" i="1"/>
  <c r="I191" i="1"/>
  <c r="S179" i="1"/>
  <c r="I189" i="1"/>
  <c r="S195" i="1"/>
  <c r="S178" i="1"/>
  <c r="I186" i="1"/>
  <c r="I184" i="1"/>
  <c r="I170" i="1"/>
  <c r="I179" i="1"/>
  <c r="I168" i="1"/>
  <c r="I178" i="1"/>
  <c r="E197" i="1"/>
  <c r="I174" i="1"/>
  <c r="I172" i="1"/>
  <c r="R116" i="1"/>
  <c r="S116" i="1" s="1"/>
  <c r="S73" i="1"/>
  <c r="R55" i="1"/>
  <c r="O55" i="1"/>
  <c r="S55" i="1" s="1"/>
  <c r="R518" i="1" l="1"/>
  <c r="H491" i="1"/>
  <c r="H477" i="1"/>
  <c r="I477" i="1" s="1"/>
  <c r="S478" i="1"/>
  <c r="S485" i="1" s="1"/>
  <c r="S491" i="1" s="1"/>
  <c r="S518" i="1" s="1"/>
  <c r="I437" i="1"/>
  <c r="S317" i="1"/>
  <c r="S237" i="1"/>
  <c r="I397" i="1"/>
  <c r="S197" i="1"/>
  <c r="S277" i="1"/>
  <c r="E237" i="1"/>
  <c r="I237" i="1" s="1"/>
  <c r="S397" i="1"/>
  <c r="O397" i="1"/>
  <c r="S357" i="1"/>
  <c r="I357" i="1"/>
  <c r="I317" i="1"/>
  <c r="I277" i="1"/>
  <c r="I197" i="1"/>
  <c r="O21" i="1"/>
  <c r="R21" i="1"/>
  <c r="R52" i="1"/>
  <c r="O52" i="1"/>
  <c r="H35" i="1"/>
  <c r="E35" i="1"/>
  <c r="I35" i="1" l="1"/>
  <c r="S52" i="1"/>
  <c r="S21" i="1"/>
  <c r="R20" i="1"/>
  <c r="O20" i="1"/>
  <c r="R74" i="1"/>
  <c r="O74" i="1"/>
  <c r="S20" i="1" l="1"/>
  <c r="S74" i="1"/>
  <c r="O34" i="1"/>
  <c r="R34" i="1"/>
  <c r="R75" i="1"/>
  <c r="O75" i="1"/>
  <c r="S34" i="1" l="1"/>
  <c r="S75" i="1"/>
  <c r="R14" i="1"/>
  <c r="O14" i="1"/>
  <c r="O8" i="1"/>
  <c r="R8" i="1"/>
  <c r="R47" i="1"/>
  <c r="O47" i="1"/>
  <c r="S47" i="1" l="1"/>
  <c r="S8" i="1"/>
  <c r="S14" i="1"/>
  <c r="G157" i="1"/>
  <c r="F157" i="1"/>
  <c r="D157" i="1"/>
  <c r="C157" i="1"/>
  <c r="H156" i="1"/>
  <c r="E156" i="1"/>
  <c r="H155" i="1"/>
  <c r="E155" i="1"/>
  <c r="R154" i="1"/>
  <c r="O154" i="1"/>
  <c r="H154" i="1"/>
  <c r="E154" i="1"/>
  <c r="R153" i="1"/>
  <c r="O153" i="1"/>
  <c r="H153" i="1"/>
  <c r="E153" i="1"/>
  <c r="R152" i="1"/>
  <c r="O152" i="1"/>
  <c r="H152" i="1"/>
  <c r="E152" i="1"/>
  <c r="R151" i="1"/>
  <c r="O151" i="1"/>
  <c r="H151" i="1"/>
  <c r="E151" i="1"/>
  <c r="R150" i="1"/>
  <c r="O150" i="1"/>
  <c r="H150" i="1"/>
  <c r="E150" i="1"/>
  <c r="R149" i="1"/>
  <c r="O149" i="1"/>
  <c r="H149" i="1"/>
  <c r="E149" i="1"/>
  <c r="R148" i="1"/>
  <c r="O148" i="1"/>
  <c r="H148" i="1"/>
  <c r="E148" i="1"/>
  <c r="R147" i="1"/>
  <c r="O147" i="1"/>
  <c r="H147" i="1"/>
  <c r="E147" i="1"/>
  <c r="R146" i="1"/>
  <c r="O146" i="1"/>
  <c r="H146" i="1"/>
  <c r="E146" i="1"/>
  <c r="R145" i="1"/>
  <c r="O145" i="1"/>
  <c r="H145" i="1"/>
  <c r="E145" i="1"/>
  <c r="R144" i="1"/>
  <c r="O144" i="1"/>
  <c r="H144" i="1"/>
  <c r="E144" i="1"/>
  <c r="R143" i="1"/>
  <c r="O143" i="1"/>
  <c r="H143" i="1"/>
  <c r="E143" i="1"/>
  <c r="R142" i="1"/>
  <c r="O142" i="1"/>
  <c r="H142" i="1"/>
  <c r="E142" i="1"/>
  <c r="R141" i="1"/>
  <c r="O141" i="1"/>
  <c r="H141" i="1"/>
  <c r="E141" i="1"/>
  <c r="R140" i="1"/>
  <c r="O140" i="1"/>
  <c r="H140" i="1"/>
  <c r="E140" i="1"/>
  <c r="R139" i="1"/>
  <c r="O139" i="1"/>
  <c r="H139" i="1"/>
  <c r="E139" i="1"/>
  <c r="R138" i="1"/>
  <c r="O138" i="1"/>
  <c r="H138" i="1"/>
  <c r="E138" i="1"/>
  <c r="R137" i="1"/>
  <c r="O137" i="1"/>
  <c r="H137" i="1"/>
  <c r="E137" i="1"/>
  <c r="R136" i="1"/>
  <c r="O136" i="1"/>
  <c r="H136" i="1"/>
  <c r="E136" i="1"/>
  <c r="R135" i="1"/>
  <c r="O135" i="1"/>
  <c r="H135" i="1"/>
  <c r="E135" i="1"/>
  <c r="R134" i="1"/>
  <c r="R157" i="1" s="1"/>
  <c r="O134" i="1"/>
  <c r="O157" i="1" s="1"/>
  <c r="H134" i="1"/>
  <c r="E134" i="1"/>
  <c r="H133" i="1"/>
  <c r="E133" i="1"/>
  <c r="H132" i="1"/>
  <c r="E132" i="1"/>
  <c r="R130" i="1"/>
  <c r="O130" i="1"/>
  <c r="H130" i="1"/>
  <c r="E130" i="1"/>
  <c r="R129" i="1"/>
  <c r="O129" i="1"/>
  <c r="H129" i="1"/>
  <c r="E129" i="1"/>
  <c r="R128" i="1"/>
  <c r="O128" i="1"/>
  <c r="H128" i="1"/>
  <c r="E128" i="1"/>
  <c r="R127" i="1"/>
  <c r="O127" i="1"/>
  <c r="H127" i="1"/>
  <c r="R126" i="1"/>
  <c r="O126" i="1"/>
  <c r="H126" i="1"/>
  <c r="E126" i="1"/>
  <c r="G117" i="1"/>
  <c r="F117" i="1"/>
  <c r="D117" i="1"/>
  <c r="C117" i="1"/>
  <c r="H116" i="1"/>
  <c r="E116" i="1"/>
  <c r="R115" i="1"/>
  <c r="O115" i="1"/>
  <c r="H115" i="1"/>
  <c r="E115" i="1"/>
  <c r="R114" i="1"/>
  <c r="O114" i="1"/>
  <c r="H114" i="1"/>
  <c r="E114" i="1"/>
  <c r="R113" i="1"/>
  <c r="O113" i="1"/>
  <c r="H113" i="1"/>
  <c r="E113" i="1"/>
  <c r="R112" i="1"/>
  <c r="O112" i="1"/>
  <c r="H112" i="1"/>
  <c r="E112" i="1"/>
  <c r="R111" i="1"/>
  <c r="O111" i="1"/>
  <c r="H111" i="1"/>
  <c r="E111" i="1"/>
  <c r="R110" i="1"/>
  <c r="O110" i="1"/>
  <c r="H110" i="1"/>
  <c r="E110" i="1"/>
  <c r="R109" i="1"/>
  <c r="O109" i="1"/>
  <c r="H109" i="1"/>
  <c r="E109" i="1"/>
  <c r="R108" i="1"/>
  <c r="O108" i="1"/>
  <c r="H108" i="1"/>
  <c r="E108" i="1"/>
  <c r="R107" i="1"/>
  <c r="O107" i="1"/>
  <c r="H107" i="1"/>
  <c r="E107" i="1"/>
  <c r="R106" i="1"/>
  <c r="O106" i="1"/>
  <c r="H106" i="1"/>
  <c r="E106" i="1"/>
  <c r="R105" i="1"/>
  <c r="O105" i="1"/>
  <c r="H105" i="1"/>
  <c r="E105" i="1"/>
  <c r="R104" i="1"/>
  <c r="O104" i="1"/>
  <c r="H104" i="1"/>
  <c r="E104" i="1"/>
  <c r="R103" i="1"/>
  <c r="O103" i="1"/>
  <c r="H103" i="1"/>
  <c r="E103" i="1"/>
  <c r="R102" i="1"/>
  <c r="O102" i="1"/>
  <c r="H102" i="1"/>
  <c r="E102" i="1"/>
  <c r="R101" i="1"/>
  <c r="O101" i="1"/>
  <c r="H101" i="1"/>
  <c r="E101" i="1"/>
  <c r="R100" i="1"/>
  <c r="O100" i="1"/>
  <c r="H100" i="1"/>
  <c r="E100" i="1"/>
  <c r="R99" i="1"/>
  <c r="O99" i="1"/>
  <c r="H99" i="1"/>
  <c r="E99" i="1"/>
  <c r="R98" i="1"/>
  <c r="O98" i="1"/>
  <c r="H98" i="1"/>
  <c r="E98" i="1"/>
  <c r="R97" i="1"/>
  <c r="O97" i="1"/>
  <c r="H97" i="1"/>
  <c r="E97" i="1"/>
  <c r="R96" i="1"/>
  <c r="O96" i="1"/>
  <c r="H96" i="1"/>
  <c r="E96" i="1"/>
  <c r="H95" i="1"/>
  <c r="E95" i="1"/>
  <c r="H94" i="1"/>
  <c r="E94" i="1"/>
  <c r="R93" i="1"/>
  <c r="O93" i="1"/>
  <c r="H93" i="1"/>
  <c r="E93" i="1"/>
  <c r="R92" i="1"/>
  <c r="R117" i="1" s="1"/>
  <c r="O92" i="1"/>
  <c r="O117" i="1" s="1"/>
  <c r="H92" i="1"/>
  <c r="E92" i="1"/>
  <c r="R90" i="1"/>
  <c r="O90" i="1"/>
  <c r="H90" i="1"/>
  <c r="E90" i="1"/>
  <c r="R89" i="1"/>
  <c r="O89" i="1"/>
  <c r="H89" i="1"/>
  <c r="E89" i="1"/>
  <c r="R88" i="1"/>
  <c r="O88" i="1"/>
  <c r="H88" i="1"/>
  <c r="E88" i="1"/>
  <c r="R87" i="1"/>
  <c r="O87" i="1"/>
  <c r="H87" i="1"/>
  <c r="E87" i="1"/>
  <c r="R86" i="1"/>
  <c r="O86" i="1"/>
  <c r="H86" i="1"/>
  <c r="E86" i="1"/>
  <c r="S142" i="1" l="1"/>
  <c r="S148" i="1"/>
  <c r="S154" i="1"/>
  <c r="I137" i="1"/>
  <c r="I141" i="1"/>
  <c r="S135" i="1"/>
  <c r="S145" i="1"/>
  <c r="S151" i="1"/>
  <c r="H157" i="1"/>
  <c r="S137" i="1"/>
  <c r="S140" i="1"/>
  <c r="I145" i="1"/>
  <c r="S146" i="1"/>
  <c r="I148" i="1"/>
  <c r="S152" i="1"/>
  <c r="S136" i="1"/>
  <c r="I92" i="1"/>
  <c r="S93" i="1"/>
  <c r="I95" i="1"/>
  <c r="S96" i="1"/>
  <c r="I98" i="1"/>
  <c r="I101" i="1"/>
  <c r="S102" i="1"/>
  <c r="I104" i="1"/>
  <c r="I107" i="1"/>
  <c r="S108" i="1"/>
  <c r="I110" i="1"/>
  <c r="S114" i="1"/>
  <c r="I116" i="1"/>
  <c r="I90" i="1"/>
  <c r="S126" i="1"/>
  <c r="S129" i="1"/>
  <c r="I132" i="1"/>
  <c r="I127" i="1"/>
  <c r="I130" i="1"/>
  <c r="S127" i="1"/>
  <c r="S130" i="1"/>
  <c r="S144" i="1"/>
  <c r="I149" i="1"/>
  <c r="S150" i="1"/>
  <c r="S153" i="1"/>
  <c r="I86" i="1"/>
  <c r="S87" i="1"/>
  <c r="I89" i="1"/>
  <c r="S90" i="1"/>
  <c r="I93" i="1"/>
  <c r="I96" i="1"/>
  <c r="I99" i="1"/>
  <c r="S100" i="1"/>
  <c r="I102" i="1"/>
  <c r="I105" i="1"/>
  <c r="S106" i="1"/>
  <c r="I108" i="1"/>
  <c r="I111" i="1"/>
  <c r="S112" i="1"/>
  <c r="I114" i="1"/>
  <c r="S139" i="1"/>
  <c r="I87" i="1"/>
  <c r="S92" i="1"/>
  <c r="I94" i="1"/>
  <c r="I97" i="1"/>
  <c r="S98" i="1"/>
  <c r="I100" i="1"/>
  <c r="I103" i="1"/>
  <c r="S104" i="1"/>
  <c r="I106" i="1"/>
  <c r="I109" i="1"/>
  <c r="S110" i="1"/>
  <c r="I112" i="1"/>
  <c r="I126" i="1"/>
  <c r="I129" i="1"/>
  <c r="I133" i="1"/>
  <c r="S134" i="1"/>
  <c r="S138" i="1"/>
  <c r="I140" i="1"/>
  <c r="S149" i="1"/>
  <c r="I155" i="1"/>
  <c r="I128" i="1"/>
  <c r="S141" i="1"/>
  <c r="S86" i="1"/>
  <c r="I88" i="1"/>
  <c r="S89" i="1"/>
  <c r="S128" i="1"/>
  <c r="S143" i="1"/>
  <c r="S147" i="1"/>
  <c r="I153" i="1"/>
  <c r="S97" i="1"/>
  <c r="S99" i="1"/>
  <c r="S101" i="1"/>
  <c r="S103" i="1"/>
  <c r="S105" i="1"/>
  <c r="S107" i="1"/>
  <c r="S109" i="1"/>
  <c r="S111" i="1"/>
  <c r="S113" i="1"/>
  <c r="S115" i="1"/>
  <c r="H117" i="1"/>
  <c r="I138" i="1"/>
  <c r="I146" i="1"/>
  <c r="I154" i="1"/>
  <c r="I135" i="1"/>
  <c r="I143" i="1"/>
  <c r="I151" i="1"/>
  <c r="I156" i="1"/>
  <c r="I134" i="1"/>
  <c r="I142" i="1"/>
  <c r="I150" i="1"/>
  <c r="S88" i="1"/>
  <c r="I139" i="1"/>
  <c r="I147" i="1"/>
  <c r="I113" i="1"/>
  <c r="I115" i="1"/>
  <c r="E117" i="1"/>
  <c r="I136" i="1"/>
  <c r="I144" i="1"/>
  <c r="I152" i="1"/>
  <c r="E157" i="1"/>
  <c r="E6" i="1"/>
  <c r="H6" i="1"/>
  <c r="E7" i="1"/>
  <c r="H7" i="1"/>
  <c r="O53" i="1"/>
  <c r="R53" i="1"/>
  <c r="O54" i="1"/>
  <c r="R54" i="1"/>
  <c r="E47" i="1"/>
  <c r="H47" i="1"/>
  <c r="S117" i="1" l="1"/>
  <c r="S157" i="1"/>
  <c r="I157" i="1"/>
  <c r="I117" i="1"/>
  <c r="I7" i="1"/>
  <c r="I6" i="1"/>
  <c r="I47" i="1"/>
  <c r="S54" i="1"/>
  <c r="S53" i="1"/>
  <c r="O76" i="1"/>
  <c r="R76" i="1"/>
  <c r="S76" i="1" l="1"/>
  <c r="H65" i="1"/>
  <c r="E65" i="1"/>
  <c r="I65" i="1" l="1"/>
  <c r="O49" i="1"/>
  <c r="R49" i="1"/>
  <c r="R48" i="1"/>
  <c r="O48" i="1"/>
  <c r="O57" i="1"/>
  <c r="R57" i="1"/>
  <c r="O5" i="1"/>
  <c r="R5" i="1"/>
  <c r="O6" i="1"/>
  <c r="R6" i="1"/>
  <c r="O7" i="1"/>
  <c r="R7" i="1"/>
  <c r="R72" i="1"/>
  <c r="O72" i="1"/>
  <c r="R71" i="1"/>
  <c r="O71" i="1"/>
  <c r="R70" i="1"/>
  <c r="O70" i="1"/>
  <c r="R69" i="1"/>
  <c r="O69" i="1"/>
  <c r="R68" i="1"/>
  <c r="O68" i="1"/>
  <c r="R67" i="1"/>
  <c r="O67" i="1"/>
  <c r="R66" i="1"/>
  <c r="O66" i="1"/>
  <c r="R65" i="1"/>
  <c r="O65" i="1"/>
  <c r="R64" i="1"/>
  <c r="O64" i="1"/>
  <c r="R63" i="1"/>
  <c r="O63" i="1"/>
  <c r="R62" i="1"/>
  <c r="O62" i="1"/>
  <c r="R61" i="1"/>
  <c r="O61" i="1"/>
  <c r="R59" i="1"/>
  <c r="O59" i="1"/>
  <c r="R50" i="1"/>
  <c r="O50" i="1"/>
  <c r="R46" i="1"/>
  <c r="O46" i="1"/>
  <c r="R36" i="1"/>
  <c r="O36" i="1"/>
  <c r="R35" i="1"/>
  <c r="O35" i="1"/>
  <c r="R33" i="1"/>
  <c r="O33" i="1"/>
  <c r="R32" i="1"/>
  <c r="O32" i="1"/>
  <c r="R31" i="1"/>
  <c r="O31" i="1"/>
  <c r="R30" i="1"/>
  <c r="O30" i="1"/>
  <c r="R29" i="1"/>
  <c r="O29" i="1"/>
  <c r="R28" i="1"/>
  <c r="O28" i="1"/>
  <c r="R27" i="1"/>
  <c r="O27" i="1"/>
  <c r="R26" i="1"/>
  <c r="O26" i="1"/>
  <c r="R25" i="1"/>
  <c r="O25" i="1"/>
  <c r="R24" i="1"/>
  <c r="O24" i="1"/>
  <c r="R23" i="1"/>
  <c r="O23" i="1"/>
  <c r="R22" i="1"/>
  <c r="O22" i="1"/>
  <c r="R19" i="1"/>
  <c r="O19" i="1"/>
  <c r="R18" i="1"/>
  <c r="O18" i="1"/>
  <c r="R17" i="1"/>
  <c r="O17" i="1"/>
  <c r="O16" i="1"/>
  <c r="R15" i="1"/>
  <c r="O15" i="1"/>
  <c r="R13" i="1"/>
  <c r="O13" i="1"/>
  <c r="R12" i="1"/>
  <c r="O12" i="1"/>
  <c r="O37" i="1" s="1"/>
  <c r="R10" i="1"/>
  <c r="O10" i="1"/>
  <c r="R9" i="1"/>
  <c r="O9" i="1"/>
  <c r="R77" i="1" l="1"/>
  <c r="O77" i="1"/>
  <c r="O11" i="1"/>
  <c r="O38" i="1" s="1"/>
  <c r="O45" i="1" s="1"/>
  <c r="O51" i="1" s="1"/>
  <c r="R11" i="1"/>
  <c r="S57" i="1"/>
  <c r="S5" i="1"/>
  <c r="S10" i="1"/>
  <c r="S63" i="1"/>
  <c r="S66" i="1"/>
  <c r="S69" i="1"/>
  <c r="S49" i="1"/>
  <c r="S7" i="1"/>
  <c r="S9" i="1"/>
  <c r="S59" i="1"/>
  <c r="S62" i="1"/>
  <c r="S65" i="1"/>
  <c r="S71" i="1"/>
  <c r="S6" i="1"/>
  <c r="S48" i="1"/>
  <c r="S61" i="1"/>
  <c r="S67" i="1"/>
  <c r="S70" i="1"/>
  <c r="S12" i="1"/>
  <c r="S13" i="1"/>
  <c r="S15" i="1"/>
  <c r="S17" i="1"/>
  <c r="S18" i="1"/>
  <c r="S19" i="1"/>
  <c r="S22" i="1"/>
  <c r="S23" i="1"/>
  <c r="S24" i="1"/>
  <c r="S25" i="1"/>
  <c r="S26" i="1"/>
  <c r="S27" i="1"/>
  <c r="S28" i="1"/>
  <c r="S29" i="1"/>
  <c r="S30" i="1"/>
  <c r="S31" i="1"/>
  <c r="S32" i="1"/>
  <c r="S33" i="1"/>
  <c r="S35" i="1"/>
  <c r="S36" i="1"/>
  <c r="R16" i="1"/>
  <c r="S16" i="1" s="1"/>
  <c r="S46" i="1"/>
  <c r="S50" i="1"/>
  <c r="S64" i="1"/>
  <c r="S68" i="1"/>
  <c r="S72" i="1"/>
  <c r="E48" i="1"/>
  <c r="H48" i="1"/>
  <c r="E49" i="1"/>
  <c r="H49" i="1"/>
  <c r="S11" i="1" l="1"/>
  <c r="S77" i="1"/>
  <c r="R38" i="1"/>
  <c r="R45" i="1" s="1"/>
  <c r="R51" i="1" s="1"/>
  <c r="R78" i="1" s="1"/>
  <c r="R85" i="1" s="1"/>
  <c r="R91" i="1" s="1"/>
  <c r="S37" i="1"/>
  <c r="R37" i="1"/>
  <c r="M78" i="1"/>
  <c r="M85" i="1" s="1"/>
  <c r="M91" i="1" s="1"/>
  <c r="P78" i="1"/>
  <c r="P85" i="1" s="1"/>
  <c r="P91" i="1" s="1"/>
  <c r="N78" i="1"/>
  <c r="N85" i="1" s="1"/>
  <c r="N91" i="1" s="1"/>
  <c r="Q78" i="1"/>
  <c r="Q85" i="1" s="1"/>
  <c r="Q91" i="1" s="1"/>
  <c r="I48" i="1"/>
  <c r="I49" i="1"/>
  <c r="E29" i="1"/>
  <c r="F37" i="1"/>
  <c r="H16" i="1"/>
  <c r="E5" i="1"/>
  <c r="H5" i="1"/>
  <c r="E8" i="1"/>
  <c r="H8" i="1"/>
  <c r="E9" i="1"/>
  <c r="H9" i="1"/>
  <c r="E10" i="1"/>
  <c r="H10" i="1"/>
  <c r="C11" i="1"/>
  <c r="D11" i="1"/>
  <c r="F11" i="1"/>
  <c r="G11" i="1"/>
  <c r="E12" i="1"/>
  <c r="H12" i="1"/>
  <c r="E13" i="1"/>
  <c r="H13" i="1"/>
  <c r="E14" i="1"/>
  <c r="H14" i="1"/>
  <c r="E15" i="1"/>
  <c r="H15" i="1"/>
  <c r="E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9" i="1"/>
  <c r="E30" i="1"/>
  <c r="H30" i="1"/>
  <c r="E31" i="1"/>
  <c r="H31" i="1"/>
  <c r="E32" i="1"/>
  <c r="H32" i="1"/>
  <c r="E33" i="1"/>
  <c r="H33" i="1"/>
  <c r="E34" i="1"/>
  <c r="H34" i="1"/>
  <c r="E36" i="1"/>
  <c r="H36" i="1"/>
  <c r="C37" i="1"/>
  <c r="E46" i="1"/>
  <c r="H46" i="1"/>
  <c r="E52" i="1"/>
  <c r="H52" i="1"/>
  <c r="E53" i="1"/>
  <c r="H53" i="1"/>
  <c r="E54" i="1"/>
  <c r="H54" i="1"/>
  <c r="E55" i="1"/>
  <c r="H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C77" i="1"/>
  <c r="D77" i="1"/>
  <c r="F77" i="1"/>
  <c r="G77" i="1"/>
  <c r="S38" i="1" l="1"/>
  <c r="S45" i="1" s="1"/>
  <c r="S51" i="1" s="1"/>
  <c r="M118" i="1"/>
  <c r="M125" i="1" s="1"/>
  <c r="M131" i="1" s="1"/>
  <c r="P118" i="1"/>
  <c r="P125" i="1" s="1"/>
  <c r="P131" i="1" s="1"/>
  <c r="Q118" i="1"/>
  <c r="N118" i="1"/>
  <c r="I16" i="1"/>
  <c r="R118" i="1"/>
  <c r="R125" i="1" s="1"/>
  <c r="R131" i="1" s="1"/>
  <c r="I72" i="1"/>
  <c r="I31" i="1"/>
  <c r="I27" i="1"/>
  <c r="I24" i="1"/>
  <c r="I21" i="1"/>
  <c r="I18" i="1"/>
  <c r="I29" i="1"/>
  <c r="I34" i="1"/>
  <c r="I76" i="1"/>
  <c r="I73" i="1"/>
  <c r="I70" i="1"/>
  <c r="I67" i="1"/>
  <c r="I64" i="1"/>
  <c r="I61" i="1"/>
  <c r="I58" i="1"/>
  <c r="I55" i="1"/>
  <c r="I52" i="1"/>
  <c r="I14" i="1"/>
  <c r="I9" i="1"/>
  <c r="I36" i="1"/>
  <c r="I33" i="1"/>
  <c r="I30" i="1"/>
  <c r="I26" i="1"/>
  <c r="I23" i="1"/>
  <c r="I20" i="1"/>
  <c r="I17" i="1"/>
  <c r="I75" i="1"/>
  <c r="I69" i="1"/>
  <c r="I63" i="1"/>
  <c r="I57" i="1"/>
  <c r="I13" i="1"/>
  <c r="I8" i="1"/>
  <c r="I32" i="1"/>
  <c r="I25" i="1"/>
  <c r="I22" i="1"/>
  <c r="I19" i="1"/>
  <c r="I66" i="1"/>
  <c r="I60" i="1"/>
  <c r="I54" i="1"/>
  <c r="I5" i="1"/>
  <c r="E77" i="1"/>
  <c r="I74" i="1"/>
  <c r="I71" i="1"/>
  <c r="I68" i="1"/>
  <c r="I62" i="1"/>
  <c r="I59" i="1"/>
  <c r="I56" i="1"/>
  <c r="I53" i="1"/>
  <c r="I46" i="1"/>
  <c r="I15" i="1"/>
  <c r="I12" i="1"/>
  <c r="I10" i="1"/>
  <c r="D37" i="1"/>
  <c r="D38" i="1" s="1"/>
  <c r="D45" i="1" s="1"/>
  <c r="D51" i="1" s="1"/>
  <c r="D78" i="1" s="1"/>
  <c r="D85" i="1" s="1"/>
  <c r="D91" i="1" s="1"/>
  <c r="D118" i="1" s="1"/>
  <c r="D125" i="1" s="1"/>
  <c r="D131" i="1" s="1"/>
  <c r="D158" i="1" s="1"/>
  <c r="D165" i="1" s="1"/>
  <c r="D171" i="1" s="1"/>
  <c r="D198" i="1" s="1"/>
  <c r="D205" i="1" s="1"/>
  <c r="D211" i="1" s="1"/>
  <c r="D238" i="1" s="1"/>
  <c r="D245" i="1" s="1"/>
  <c r="D251" i="1" s="1"/>
  <c r="D278" i="1" s="1"/>
  <c r="D285" i="1" s="1"/>
  <c r="D291" i="1" s="1"/>
  <c r="D318" i="1" s="1"/>
  <c r="D325" i="1" s="1"/>
  <c r="D331" i="1" s="1"/>
  <c r="D358" i="1" s="1"/>
  <c r="D365" i="1" s="1"/>
  <c r="D371" i="1" s="1"/>
  <c r="D398" i="1" s="1"/>
  <c r="D405" i="1" s="1"/>
  <c r="D411" i="1" s="1"/>
  <c r="D438" i="1" s="1"/>
  <c r="D445" i="1" s="1"/>
  <c r="D451" i="1" s="1"/>
  <c r="D478" i="1" s="1"/>
  <c r="D485" i="1" s="1"/>
  <c r="D491" i="1" s="1"/>
  <c r="H28" i="1"/>
  <c r="I28" i="1" s="1"/>
  <c r="H11" i="1"/>
  <c r="H77" i="1"/>
  <c r="G37" i="1"/>
  <c r="H37" i="1" s="1"/>
  <c r="E11" i="1"/>
  <c r="C38" i="1"/>
  <c r="C45" i="1" s="1"/>
  <c r="F38" i="1"/>
  <c r="F45" i="1" s="1"/>
  <c r="F51" i="1" s="1"/>
  <c r="D518" i="1" l="1"/>
  <c r="N125" i="1"/>
  <c r="N131" i="1" s="1"/>
  <c r="N158" i="1" s="1"/>
  <c r="N165" i="1" s="1"/>
  <c r="N171" i="1" s="1"/>
  <c r="N198" i="1" s="1"/>
  <c r="N205" i="1" s="1"/>
  <c r="N211" i="1" s="1"/>
  <c r="N238" i="1" s="1"/>
  <c r="N245" i="1" s="1"/>
  <c r="N251" i="1" s="1"/>
  <c r="N278" i="1" s="1"/>
  <c r="N285" i="1" s="1"/>
  <c r="N291" i="1" s="1"/>
  <c r="N318" i="1" s="1"/>
  <c r="N325" i="1" s="1"/>
  <c r="N331" i="1" s="1"/>
  <c r="N358" i="1" s="1"/>
  <c r="N365" i="1" s="1"/>
  <c r="N371" i="1" s="1"/>
  <c r="N398" i="1" s="1"/>
  <c r="N405" i="1" s="1"/>
  <c r="N411" i="1" s="1"/>
  <c r="N438" i="1" s="1"/>
  <c r="Q125" i="1"/>
  <c r="Q131" i="1" s="1"/>
  <c r="Q158" i="1" s="1"/>
  <c r="Q165" i="1" s="1"/>
  <c r="Q171" i="1" s="1"/>
  <c r="Q198" i="1" s="1"/>
  <c r="Q205" i="1" s="1"/>
  <c r="Q211" i="1" s="1"/>
  <c r="Q238" i="1" s="1"/>
  <c r="Q245" i="1" s="1"/>
  <c r="Q251" i="1" s="1"/>
  <c r="Q278" i="1" s="1"/>
  <c r="Q285" i="1" s="1"/>
  <c r="Q291" i="1" s="1"/>
  <c r="Q318" i="1" s="1"/>
  <c r="Q325" i="1" s="1"/>
  <c r="Q331" i="1" s="1"/>
  <c r="Q358" i="1" s="1"/>
  <c r="Q365" i="1" s="1"/>
  <c r="Q371" i="1" s="1"/>
  <c r="Q398" i="1" s="1"/>
  <c r="Q405" i="1" s="1"/>
  <c r="Q411" i="1" s="1"/>
  <c r="Q438" i="1" s="1"/>
  <c r="S78" i="1"/>
  <c r="S85" i="1" s="1"/>
  <c r="S91" i="1" s="1"/>
  <c r="S118" i="1" s="1"/>
  <c r="S125" i="1" s="1"/>
  <c r="S131" i="1" s="1"/>
  <c r="O78" i="1"/>
  <c r="I11" i="1"/>
  <c r="I77" i="1"/>
  <c r="E37" i="1"/>
  <c r="I37" i="1" s="1"/>
  <c r="E38" i="1"/>
  <c r="G38" i="1"/>
  <c r="G45" i="1" s="1"/>
  <c r="G51" i="1" s="1"/>
  <c r="G78" i="1" s="1"/>
  <c r="G85" i="1" s="1"/>
  <c r="G91" i="1" s="1"/>
  <c r="G118" i="1" s="1"/>
  <c r="G125" i="1" s="1"/>
  <c r="G131" i="1" s="1"/>
  <c r="G158" i="1" s="1"/>
  <c r="G165" i="1" s="1"/>
  <c r="G171" i="1" s="1"/>
  <c r="C51" i="1"/>
  <c r="F78" i="1"/>
  <c r="F85" i="1" s="1"/>
  <c r="F91" i="1" s="1"/>
  <c r="O85" i="1" l="1"/>
  <c r="O91" i="1" s="1"/>
  <c r="O118" i="1" s="1"/>
  <c r="O125" i="1" s="1"/>
  <c r="O131" i="1" s="1"/>
  <c r="P158" i="1"/>
  <c r="P165" i="1" s="1"/>
  <c r="P171" i="1" s="1"/>
  <c r="M158" i="1"/>
  <c r="M165" i="1" s="1"/>
  <c r="M171" i="1" s="1"/>
  <c r="G198" i="1"/>
  <c r="G205" i="1" s="1"/>
  <c r="G211" i="1" s="1"/>
  <c r="G238" i="1" s="1"/>
  <c r="G245" i="1" s="1"/>
  <c r="G251" i="1" s="1"/>
  <c r="G278" i="1" s="1"/>
  <c r="G285" i="1" s="1"/>
  <c r="G291" i="1" s="1"/>
  <c r="G318" i="1" s="1"/>
  <c r="G325" i="1" s="1"/>
  <c r="G331" i="1" s="1"/>
  <c r="G358" i="1" s="1"/>
  <c r="G365" i="1" s="1"/>
  <c r="G371" i="1" s="1"/>
  <c r="G398" i="1" s="1"/>
  <c r="G405" i="1" s="1"/>
  <c r="G411" i="1" s="1"/>
  <c r="F118" i="1"/>
  <c r="H91" i="1"/>
  <c r="R158" i="1"/>
  <c r="R165" i="1" s="1"/>
  <c r="R171" i="1" s="1"/>
  <c r="E45" i="1"/>
  <c r="H78" i="1"/>
  <c r="H85" i="1" s="1"/>
  <c r="H51" i="1"/>
  <c r="H38" i="1"/>
  <c r="H45" i="1" s="1"/>
  <c r="C78" i="1"/>
  <c r="C85" i="1" s="1"/>
  <c r="C91" i="1" s="1"/>
  <c r="E51" i="1"/>
  <c r="G438" i="1" l="1"/>
  <c r="S158" i="1"/>
  <c r="S165" i="1" s="1"/>
  <c r="S171" i="1" s="1"/>
  <c r="O158" i="1"/>
  <c r="O165" i="1" s="1"/>
  <c r="O171" i="1" s="1"/>
  <c r="C118" i="1"/>
  <c r="C125" i="1" s="1"/>
  <c r="E91" i="1"/>
  <c r="I91" i="1" s="1"/>
  <c r="H118" i="1"/>
  <c r="H125" i="1" s="1"/>
  <c r="F125" i="1"/>
  <c r="F131" i="1" s="1"/>
  <c r="I38" i="1"/>
  <c r="I51" i="1"/>
  <c r="I45" i="1"/>
  <c r="E78" i="1"/>
  <c r="E85" i="1" s="1"/>
  <c r="I85" i="1" s="1"/>
  <c r="P198" i="1" l="1"/>
  <c r="P205" i="1" s="1"/>
  <c r="P211" i="1" s="1"/>
  <c r="M198" i="1"/>
  <c r="M205" i="1" s="1"/>
  <c r="M211" i="1" s="1"/>
  <c r="O198" i="1"/>
  <c r="O205" i="1" s="1"/>
  <c r="O211" i="1" s="1"/>
  <c r="R198" i="1"/>
  <c r="R205" i="1" s="1"/>
  <c r="R211" i="1" s="1"/>
  <c r="F158" i="1"/>
  <c r="H131" i="1"/>
  <c r="E118" i="1"/>
  <c r="C131" i="1"/>
  <c r="I78" i="1"/>
  <c r="H158" i="1" l="1"/>
  <c r="H165" i="1" s="1"/>
  <c r="F165" i="1"/>
  <c r="F171" i="1" s="1"/>
  <c r="S198" i="1"/>
  <c r="S205" i="1" s="1"/>
  <c r="S211" i="1" s="1"/>
  <c r="I118" i="1"/>
  <c r="E125" i="1"/>
  <c r="I125" i="1" s="1"/>
  <c r="C158" i="1"/>
  <c r="E131" i="1"/>
  <c r="I131" i="1" s="1"/>
  <c r="P238" i="1" l="1"/>
  <c r="M238" i="1"/>
  <c r="R238" i="1"/>
  <c r="O238" i="1"/>
  <c r="O245" i="1" s="1"/>
  <c r="O251" i="1" s="1"/>
  <c r="F198" i="1"/>
  <c r="H171" i="1"/>
  <c r="E158" i="1"/>
  <c r="C165" i="1"/>
  <c r="C171" i="1" s="1"/>
  <c r="P245" i="1" l="1"/>
  <c r="P251" i="1" s="1"/>
  <c r="P278" i="1" s="1"/>
  <c r="P285" i="1" s="1"/>
  <c r="P291" i="1" s="1"/>
  <c r="P318" i="1" s="1"/>
  <c r="P325" i="1" s="1"/>
  <c r="P331" i="1" s="1"/>
  <c r="P358" i="1" s="1"/>
  <c r="P365" i="1" s="1"/>
  <c r="P371" i="1" s="1"/>
  <c r="P398" i="1" s="1"/>
  <c r="P405" i="1" s="1"/>
  <c r="P411" i="1" s="1"/>
  <c r="P438" i="1" s="1"/>
  <c r="R245" i="1"/>
  <c r="R251" i="1" s="1"/>
  <c r="R278" i="1" s="1"/>
  <c r="R285" i="1" s="1"/>
  <c r="R291" i="1" s="1"/>
  <c r="R318" i="1" s="1"/>
  <c r="R325" i="1" s="1"/>
  <c r="R331" i="1" s="1"/>
  <c r="R358" i="1" s="1"/>
  <c r="R365" i="1" s="1"/>
  <c r="R371" i="1" s="1"/>
  <c r="R398" i="1" s="1"/>
  <c r="R405" i="1" s="1"/>
  <c r="R411" i="1" s="1"/>
  <c r="R438" i="1" s="1"/>
  <c r="M245" i="1"/>
  <c r="M251" i="1" s="1"/>
  <c r="M278" i="1" s="1"/>
  <c r="M285" i="1" s="1"/>
  <c r="M291" i="1" s="1"/>
  <c r="M318" i="1" s="1"/>
  <c r="M325" i="1" s="1"/>
  <c r="M331" i="1" s="1"/>
  <c r="M358" i="1" s="1"/>
  <c r="M365" i="1" s="1"/>
  <c r="M371" i="1" s="1"/>
  <c r="M398" i="1" s="1"/>
  <c r="M405" i="1" s="1"/>
  <c r="M411" i="1" s="1"/>
  <c r="M438" i="1" s="1"/>
  <c r="O278" i="1"/>
  <c r="O285" i="1" s="1"/>
  <c r="O291" i="1" s="1"/>
  <c r="S238" i="1"/>
  <c r="S245" i="1" s="1"/>
  <c r="S251" i="1" s="1"/>
  <c r="S278" i="1" s="1"/>
  <c r="S285" i="1" s="1"/>
  <c r="S291" i="1" s="1"/>
  <c r="H198" i="1"/>
  <c r="H205" i="1" s="1"/>
  <c r="F205" i="1"/>
  <c r="F211" i="1" s="1"/>
  <c r="C198" i="1"/>
  <c r="E171" i="1"/>
  <c r="I171" i="1" s="1"/>
  <c r="I158" i="1"/>
  <c r="E165" i="1"/>
  <c r="I165" i="1" s="1"/>
  <c r="S318" i="1" l="1"/>
  <c r="S325" i="1" s="1"/>
  <c r="S331" i="1" s="1"/>
  <c r="S358" i="1" s="1"/>
  <c r="S365" i="1" s="1"/>
  <c r="S371" i="1" s="1"/>
  <c r="S398" i="1" s="1"/>
  <c r="S405" i="1" s="1"/>
  <c r="S411" i="1" s="1"/>
  <c r="S438" i="1" s="1"/>
  <c r="O318" i="1"/>
  <c r="O325" i="1" s="1"/>
  <c r="O331" i="1" s="1"/>
  <c r="O358" i="1" s="1"/>
  <c r="O365" i="1" s="1"/>
  <c r="O371" i="1" s="1"/>
  <c r="O398" i="1" s="1"/>
  <c r="O405" i="1" s="1"/>
  <c r="O411" i="1" s="1"/>
  <c r="O438" i="1" s="1"/>
  <c r="H211" i="1"/>
  <c r="F238" i="1"/>
  <c r="E198" i="1"/>
  <c r="C205" i="1"/>
  <c r="C211" i="1" s="1"/>
  <c r="H238" i="1" l="1"/>
  <c r="H245" i="1" s="1"/>
  <c r="F245" i="1"/>
  <c r="F251" i="1" s="1"/>
  <c r="E211" i="1"/>
  <c r="I211" i="1" s="1"/>
  <c r="C238" i="1"/>
  <c r="I198" i="1"/>
  <c r="E205" i="1"/>
  <c r="I205" i="1" s="1"/>
  <c r="H251" i="1" l="1"/>
  <c r="F278" i="1"/>
  <c r="E238" i="1"/>
  <c r="C245" i="1"/>
  <c r="C251" i="1" s="1"/>
  <c r="H278" i="1" l="1"/>
  <c r="H285" i="1" s="1"/>
  <c r="F285" i="1"/>
  <c r="F291" i="1" s="1"/>
  <c r="C278" i="1"/>
  <c r="E251" i="1"/>
  <c r="I251" i="1" s="1"/>
  <c r="I238" i="1"/>
  <c r="E245" i="1"/>
  <c r="I245" i="1" s="1"/>
  <c r="E278" i="1" l="1"/>
  <c r="E285" i="1" s="1"/>
  <c r="C285" i="1"/>
  <c r="C291" i="1" s="1"/>
  <c r="I285" i="1"/>
  <c r="H291" i="1"/>
  <c r="F318" i="1"/>
  <c r="I278" i="1"/>
  <c r="C318" i="1" l="1"/>
  <c r="E291" i="1"/>
  <c r="I291" i="1" s="1"/>
  <c r="H318" i="1"/>
  <c r="F325" i="1"/>
  <c r="F331" i="1" s="1"/>
  <c r="C325" i="1" l="1"/>
  <c r="C331" i="1" s="1"/>
  <c r="E318" i="1"/>
  <c r="E325" i="1" s="1"/>
  <c r="I318" i="1"/>
  <c r="H325" i="1"/>
  <c r="I325" i="1" s="1"/>
  <c r="H331" i="1"/>
  <c r="F358" i="1"/>
  <c r="C358" i="1" l="1"/>
  <c r="E331" i="1"/>
  <c r="I331" i="1" s="1"/>
  <c r="H358" i="1"/>
  <c r="F365" i="1"/>
  <c r="F371" i="1" s="1"/>
  <c r="C365" i="1" l="1"/>
  <c r="C371" i="1" s="1"/>
  <c r="E358" i="1"/>
  <c r="E365" i="1" s="1"/>
  <c r="F398" i="1"/>
  <c r="H371" i="1"/>
  <c r="H365" i="1"/>
  <c r="H398" i="1" l="1"/>
  <c r="H405" i="1" s="1"/>
  <c r="F405" i="1"/>
  <c r="F411" i="1" s="1"/>
  <c r="I365" i="1"/>
  <c r="I358" i="1"/>
  <c r="C398" i="1"/>
  <c r="E371" i="1"/>
  <c r="I371" i="1" s="1"/>
  <c r="F438" i="1" l="1"/>
  <c r="H411" i="1"/>
  <c r="E398" i="1"/>
  <c r="C405" i="1"/>
  <c r="C411" i="1" s="1"/>
  <c r="H438" i="1" l="1"/>
  <c r="H445" i="1" s="1"/>
  <c r="F445" i="1"/>
  <c r="F451" i="1" s="1"/>
  <c r="E411" i="1"/>
  <c r="C438" i="1"/>
  <c r="I398" i="1"/>
  <c r="E405" i="1"/>
  <c r="I405" i="1" s="1"/>
  <c r="I411" i="1"/>
  <c r="F478" i="1" l="1"/>
  <c r="H478" i="1" s="1"/>
  <c r="H485" i="1" s="1"/>
  <c r="H451" i="1"/>
  <c r="E438" i="1"/>
  <c r="C445" i="1"/>
  <c r="C451" i="1" s="1"/>
  <c r="E451" i="1" l="1"/>
  <c r="I451" i="1" s="1"/>
  <c r="C478" i="1"/>
  <c r="I438" i="1"/>
  <c r="E445" i="1"/>
  <c r="I445" i="1" s="1"/>
  <c r="E478" i="1" l="1"/>
  <c r="C485" i="1"/>
  <c r="C491" i="1" s="1"/>
  <c r="I478" i="1"/>
  <c r="E485" i="1"/>
  <c r="I485" i="1" s="1"/>
  <c r="C518" i="1" l="1"/>
  <c r="E518" i="1" s="1"/>
  <c r="I518" i="1" s="1"/>
  <c r="E491" i="1"/>
  <c r="I491" i="1" s="1"/>
</calcChain>
</file>

<file path=xl/sharedStrings.xml><?xml version="1.0" encoding="utf-8"?>
<sst xmlns="http://schemas.openxmlformats.org/spreadsheetml/2006/main" count="927" uniqueCount="150">
  <si>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</si>
  <si>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</si>
  <si>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</si>
  <si>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</si>
  <si>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</si>
  <si>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</si>
  <si>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</si>
  <si>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初回</t>
    <rPh sb="0" eb="2">
      <t>ショカイ</t>
    </rPh>
    <phoneticPr fontId="2"/>
  </si>
  <si>
    <t>ブラック</t>
    <phoneticPr fontId="2"/>
  </si>
  <si>
    <t>合計</t>
    <rPh sb="0" eb="2">
      <t>ゴウケイ</t>
    </rPh>
    <phoneticPr fontId="2"/>
  </si>
  <si>
    <t>チャコールグレー</t>
    <phoneticPr fontId="2"/>
  </si>
  <si>
    <t>初回2-1</t>
    <rPh sb="0" eb="2">
      <t>ショカイ</t>
    </rPh>
    <phoneticPr fontId="2"/>
  </si>
  <si>
    <t>追加2-2</t>
    <rPh sb="0" eb="2">
      <t>ツイカ</t>
    </rPh>
    <phoneticPr fontId="2"/>
  </si>
  <si>
    <t>JODメルシー1018</t>
    <phoneticPr fontId="2"/>
  </si>
  <si>
    <t>10/18～</t>
    <phoneticPr fontId="2"/>
  </si>
  <si>
    <t>営業用サンプル</t>
    <rPh sb="0" eb="3">
      <t>エイギョウヨウ</t>
    </rPh>
    <phoneticPr fontId="2"/>
  </si>
  <si>
    <t>JOD色合わせ用sample</t>
    <rPh sb="3" eb="5">
      <t>イロア</t>
    </rPh>
    <rPh sb="7" eb="8">
      <t>ヨウ</t>
    </rPh>
    <phoneticPr fontId="2"/>
  </si>
  <si>
    <t>コープきんきsample</t>
    <phoneticPr fontId="2"/>
  </si>
  <si>
    <t>なごみsample</t>
    <phoneticPr fontId="2"/>
  </si>
  <si>
    <t>くらし企画（パル）sample</t>
    <rPh sb="3" eb="5">
      <t>キカク</t>
    </rPh>
    <phoneticPr fontId="2"/>
  </si>
  <si>
    <t>くらし企画（きんき)選定会議用sample</t>
    <rPh sb="3" eb="5">
      <t>キカク</t>
    </rPh>
    <rPh sb="10" eb="15">
      <t>センテイカイギヨウ</t>
    </rPh>
    <phoneticPr fontId="2"/>
  </si>
  <si>
    <t>夢販</t>
    <rPh sb="0" eb="2">
      <t>ユメハン</t>
    </rPh>
    <phoneticPr fontId="2"/>
  </si>
  <si>
    <t>2023/10/7数伝</t>
    <rPh sb="9" eb="11">
      <t>スウデン</t>
    </rPh>
    <phoneticPr fontId="2"/>
  </si>
  <si>
    <t>ネット</t>
    <phoneticPr fontId="2"/>
  </si>
  <si>
    <t>牧野</t>
    <rPh sb="0" eb="2">
      <t>マキノ</t>
    </rPh>
    <phoneticPr fontId="2"/>
  </si>
  <si>
    <t>【ブラック M-L:B4221-01/L-LL:B4221-02 】【チャコール M-L:B4221-03/L-LL:B4221-04】</t>
  </si>
  <si>
    <t>【ブラック M-L:B4221-01/L-LL:B4221-02 】【チャコール M-L:B4221-03/L-LL:B4221-04】</t>
    <phoneticPr fontId="2"/>
  </si>
  <si>
    <t>JOD①</t>
    <phoneticPr fontId="2"/>
  </si>
  <si>
    <t>切りっぱなしレギンス＜夢販在庫＞ @640 1P\1980</t>
    <rPh sb="0" eb="1">
      <t>キ</t>
    </rPh>
    <rPh sb="11" eb="15">
      <t>ユメハンザイコ</t>
    </rPh>
    <phoneticPr fontId="2"/>
  </si>
  <si>
    <t>切りっぱなしレギンス＜KPORT在庫＞  @640  1P\1980</t>
    <rPh sb="16" eb="18">
      <t>ザイコ</t>
    </rPh>
    <phoneticPr fontId="2"/>
  </si>
  <si>
    <t>IEI使ってヨカッタ1月号/2色組</t>
    <rPh sb="3" eb="4">
      <t>ツカ</t>
    </rPh>
    <rPh sb="11" eb="13">
      <t>ガツゴウ</t>
    </rPh>
    <rPh sb="15" eb="17">
      <t>ショクグミ</t>
    </rPh>
    <phoneticPr fontId="2"/>
  </si>
  <si>
    <t>1/4～</t>
    <phoneticPr fontId="2"/>
  </si>
  <si>
    <t>JOD②</t>
    <phoneticPr fontId="2"/>
  </si>
  <si>
    <t>JOD③</t>
    <phoneticPr fontId="2"/>
  </si>
  <si>
    <t>JOD④</t>
    <phoneticPr fontId="2"/>
  </si>
  <si>
    <t>JOD⑤</t>
    <phoneticPr fontId="2"/>
  </si>
  <si>
    <t>JOD⑥</t>
    <phoneticPr fontId="2"/>
  </si>
  <si>
    <t>JOD⑦</t>
    <phoneticPr fontId="2"/>
  </si>
  <si>
    <t>JOD⑧</t>
    <phoneticPr fontId="2"/>
  </si>
  <si>
    <t>JOD⑨</t>
    <phoneticPr fontId="2"/>
  </si>
  <si>
    <t>牧野</t>
    <rPh sb="0" eb="2">
      <t>マキノ</t>
    </rPh>
    <phoneticPr fontId="2"/>
  </si>
  <si>
    <t>JOD特別号9583</t>
    <rPh sb="3" eb="6">
      <t>トクベツゴウ</t>
    </rPh>
    <phoneticPr fontId="2"/>
  </si>
  <si>
    <t>12/12～</t>
    <phoneticPr fontId="2"/>
  </si>
  <si>
    <t>JOD⑩</t>
    <phoneticPr fontId="2"/>
  </si>
  <si>
    <t>JOD⑪</t>
    <phoneticPr fontId="2"/>
  </si>
  <si>
    <t>JODアクセス7098</t>
    <phoneticPr fontId="2"/>
  </si>
  <si>
    <t>1/15～</t>
    <phoneticPr fontId="2"/>
  </si>
  <si>
    <t>西夢</t>
    <rPh sb="0" eb="2">
      <t>ニシユメ</t>
    </rPh>
    <phoneticPr fontId="2"/>
  </si>
  <si>
    <t>JOD⑫</t>
    <phoneticPr fontId="2"/>
  </si>
  <si>
    <t>JOD⑬</t>
    <phoneticPr fontId="2"/>
  </si>
  <si>
    <t>コープさっぽろ2月2回</t>
    <rPh sb="8" eb="9">
      <t>ガツ</t>
    </rPh>
    <rPh sb="10" eb="11">
      <t>カイ</t>
    </rPh>
    <phoneticPr fontId="2"/>
  </si>
  <si>
    <t>1/31、2/5</t>
    <phoneticPr fontId="2"/>
  </si>
  <si>
    <t>2023/12/4済伝</t>
    <rPh sb="9" eb="10">
      <t>スミ</t>
    </rPh>
    <rPh sb="10" eb="11">
      <t>デン</t>
    </rPh>
    <phoneticPr fontId="2"/>
  </si>
  <si>
    <t>JOD⑭</t>
    <phoneticPr fontId="2"/>
  </si>
  <si>
    <t>IEI使ってヨカッタ1月号/2色組①</t>
    <rPh sb="3" eb="4">
      <t>ツカ</t>
    </rPh>
    <rPh sb="11" eb="13">
      <t>ガツゴウ</t>
    </rPh>
    <rPh sb="15" eb="17">
      <t>ショクグミ</t>
    </rPh>
    <phoneticPr fontId="2"/>
  </si>
  <si>
    <t>JOD⑮</t>
    <phoneticPr fontId="2"/>
  </si>
  <si>
    <t>JOD⑯</t>
    <phoneticPr fontId="2"/>
  </si>
  <si>
    <t>JOD⑰</t>
    <phoneticPr fontId="2"/>
  </si>
  <si>
    <t>JOD⑱</t>
    <phoneticPr fontId="2"/>
  </si>
  <si>
    <t>JOD⑲</t>
    <phoneticPr fontId="2"/>
  </si>
  <si>
    <t>JOD⑳</t>
    <phoneticPr fontId="2"/>
  </si>
  <si>
    <t>IEI使ってヨカッタ1月号/2色組②</t>
    <rPh sb="3" eb="4">
      <t>ツカ</t>
    </rPh>
    <rPh sb="11" eb="13">
      <t>ガツゴウ</t>
    </rPh>
    <rPh sb="15" eb="17">
      <t>ショクグミ</t>
    </rPh>
    <phoneticPr fontId="2"/>
  </si>
  <si>
    <t>JOD㉑</t>
    <phoneticPr fontId="2"/>
  </si>
  <si>
    <t>JOD返品</t>
    <rPh sb="3" eb="5">
      <t>ヘンピン</t>
    </rPh>
    <phoneticPr fontId="2"/>
  </si>
  <si>
    <t>JOD色合わせ用sample返却</t>
    <rPh sb="3" eb="5">
      <t>イロア</t>
    </rPh>
    <rPh sb="7" eb="8">
      <t>ヨウ</t>
    </rPh>
    <rPh sb="14" eb="16">
      <t>ヘンキャク</t>
    </rPh>
    <phoneticPr fontId="2"/>
  </si>
  <si>
    <t>JOD㉒</t>
    <phoneticPr fontId="2"/>
  </si>
  <si>
    <t>IEI使ってヨカッタ1月号/2色組③</t>
    <rPh sb="3" eb="4">
      <t>ツカ</t>
    </rPh>
    <rPh sb="11" eb="13">
      <t>ガツゴウ</t>
    </rPh>
    <rPh sb="15" eb="17">
      <t>ショクグミ</t>
    </rPh>
    <phoneticPr fontId="2"/>
  </si>
  <si>
    <t>JOD㉓</t>
    <phoneticPr fontId="2"/>
  </si>
  <si>
    <t>JOD㉔</t>
    <phoneticPr fontId="2"/>
  </si>
  <si>
    <t>追加</t>
    <rPh sb="0" eb="2">
      <t>ツイカ</t>
    </rPh>
    <phoneticPr fontId="2"/>
  </si>
  <si>
    <t>JOD㉕</t>
    <phoneticPr fontId="2"/>
  </si>
  <si>
    <t>JOD㉖</t>
    <phoneticPr fontId="2"/>
  </si>
  <si>
    <t>JOD㉗</t>
    <phoneticPr fontId="2"/>
  </si>
  <si>
    <t>JOD㉘</t>
    <phoneticPr fontId="2"/>
  </si>
  <si>
    <t>JOD㉙</t>
    <phoneticPr fontId="2"/>
  </si>
  <si>
    <t>コープさっぽろ2月2回①</t>
    <rPh sb="8" eb="9">
      <t>ガツ</t>
    </rPh>
    <rPh sb="10" eb="11">
      <t>カイ</t>
    </rPh>
    <phoneticPr fontId="2"/>
  </si>
  <si>
    <t>ネット</t>
    <phoneticPr fontId="2"/>
  </si>
  <si>
    <t>コープさっぽろ2月2回②</t>
    <rPh sb="8" eb="9">
      <t>ガツ</t>
    </rPh>
    <rPh sb="10" eb="11">
      <t>カイ</t>
    </rPh>
    <phoneticPr fontId="2"/>
  </si>
  <si>
    <t>JOD㉚</t>
    <phoneticPr fontId="2"/>
  </si>
  <si>
    <t>JOD㉛</t>
    <phoneticPr fontId="2"/>
  </si>
  <si>
    <t>JOD㉜</t>
    <phoneticPr fontId="2"/>
  </si>
  <si>
    <t>JOD㉝</t>
    <phoneticPr fontId="2"/>
  </si>
  <si>
    <t>JOD㉞</t>
    <phoneticPr fontId="2"/>
  </si>
  <si>
    <t>JOD㉟</t>
    <phoneticPr fontId="2"/>
  </si>
  <si>
    <t>JOD㊱</t>
    <phoneticPr fontId="2"/>
  </si>
  <si>
    <t>JOD㊲</t>
    <phoneticPr fontId="2"/>
  </si>
  <si>
    <t>JOD㊳</t>
    <phoneticPr fontId="2"/>
  </si>
  <si>
    <t>オバタ返品</t>
    <rPh sb="3" eb="5">
      <t>ヘンピン</t>
    </rPh>
    <phoneticPr fontId="2"/>
  </si>
  <si>
    <t>JOD㊴</t>
    <phoneticPr fontId="2"/>
  </si>
  <si>
    <t>JOD㊵</t>
    <phoneticPr fontId="2"/>
  </si>
  <si>
    <t>IEI返品</t>
    <rPh sb="3" eb="5">
      <t>ヘンピン</t>
    </rPh>
    <phoneticPr fontId="2"/>
  </si>
  <si>
    <t>JOD㊶</t>
    <phoneticPr fontId="2"/>
  </si>
  <si>
    <t>JOD㊷</t>
    <phoneticPr fontId="2"/>
  </si>
  <si>
    <t>パルシステム宮﨑BY</t>
    <rPh sb="6" eb="8">
      <t>ミヤザキ</t>
    </rPh>
    <phoneticPr fontId="2"/>
  </si>
  <si>
    <t>くらし企画（パル）sample</t>
    <rPh sb="3" eb="5">
      <t>キカク</t>
    </rPh>
    <phoneticPr fontId="2"/>
  </si>
  <si>
    <t>芳仲在庫2024/6/28現在</t>
    <rPh sb="0" eb="2">
      <t>ヨシナカ</t>
    </rPh>
    <rPh sb="2" eb="4">
      <t>ザイコ</t>
    </rPh>
    <rPh sb="13" eb="15">
      <t>ゲンザイ</t>
    </rPh>
    <phoneticPr fontId="2"/>
  </si>
  <si>
    <t>在庫確認</t>
    <rPh sb="0" eb="4">
      <t>ザイコカクニン</t>
    </rPh>
    <phoneticPr fontId="2"/>
  </si>
  <si>
    <t>点12/12、アバウト・初回12/24、最終12/30</t>
    <rPh sb="0" eb="1">
      <t>テン</t>
    </rPh>
    <rPh sb="12" eb="14">
      <t>ショカイ</t>
    </rPh>
    <rPh sb="20" eb="22">
      <t>サイシュウ</t>
    </rPh>
    <phoneticPr fontId="2"/>
  </si>
  <si>
    <t>JOD</t>
    <phoneticPr fontId="2"/>
  </si>
  <si>
    <t>パルくらす1月1回（不透明袋）</t>
    <rPh sb="6" eb="7">
      <t>ガツ</t>
    </rPh>
    <rPh sb="8" eb="9">
      <t>カイ</t>
    </rPh>
    <rPh sb="10" eb="14">
      <t>フトウメイフクロ</t>
    </rPh>
    <phoneticPr fontId="2"/>
  </si>
  <si>
    <t>コープきんき1月1回（不透明袋）</t>
    <rPh sb="7" eb="8">
      <t>ガツ</t>
    </rPh>
    <rPh sb="9" eb="10">
      <t>カイ</t>
    </rPh>
    <rPh sb="11" eb="15">
      <t>フトウメイフクロ</t>
    </rPh>
    <phoneticPr fontId="2"/>
  </si>
  <si>
    <t>くらし企画（きんき）sample</t>
    <rPh sb="3" eb="5">
      <t>キカク</t>
    </rPh>
    <phoneticPr fontId="2"/>
  </si>
  <si>
    <t>西夢</t>
    <rPh sb="0" eb="2">
      <t>ニシユメ</t>
    </rPh>
    <phoneticPr fontId="2"/>
  </si>
  <si>
    <t>点12/5、アバウト12/24、本12/25～1/4</t>
    <rPh sb="0" eb="1">
      <t>テン</t>
    </rPh>
    <rPh sb="16" eb="17">
      <t>ホン</t>
    </rPh>
    <phoneticPr fontId="2"/>
  </si>
  <si>
    <t>西夢</t>
    <rPh sb="0" eb="2">
      <t>ニシユメ</t>
    </rPh>
    <phoneticPr fontId="2"/>
  </si>
  <si>
    <t>追加</t>
    <rPh sb="0" eb="2">
      <t>ツイカ</t>
    </rPh>
    <phoneticPr fontId="2"/>
  </si>
  <si>
    <t>コープきんき1月1回（不透明袋）①</t>
    <rPh sb="7" eb="8">
      <t>ガツ</t>
    </rPh>
    <rPh sb="9" eb="10">
      <t>カイ</t>
    </rPh>
    <rPh sb="11" eb="15">
      <t>フトウメイフクロ</t>
    </rPh>
    <phoneticPr fontId="2"/>
  </si>
  <si>
    <t>パルくらす1月1回（不透明袋）①</t>
    <rPh sb="6" eb="7">
      <t>ガツ</t>
    </rPh>
    <rPh sb="8" eb="9">
      <t>カイ</t>
    </rPh>
    <rPh sb="10" eb="14">
      <t>フトウメイフクロ</t>
    </rPh>
    <phoneticPr fontId="2"/>
  </si>
  <si>
    <t>パルくらす1月1回（不透明袋）②</t>
    <rPh sb="6" eb="7">
      <t>ガツ</t>
    </rPh>
    <rPh sb="8" eb="9">
      <t>カイ</t>
    </rPh>
    <rPh sb="10" eb="14">
      <t>フトウメイフクロ</t>
    </rPh>
    <phoneticPr fontId="2"/>
  </si>
  <si>
    <t>パルくらす1月1回（不透明袋）③</t>
    <rPh sb="6" eb="7">
      <t>ガツ</t>
    </rPh>
    <rPh sb="8" eb="9">
      <t>カイ</t>
    </rPh>
    <rPh sb="10" eb="14">
      <t>フトウメイフクロ</t>
    </rPh>
    <phoneticPr fontId="2"/>
  </si>
  <si>
    <t>パルくらす1月1回（不透明袋）④</t>
    <rPh sb="6" eb="7">
      <t>ガツ</t>
    </rPh>
    <rPh sb="8" eb="9">
      <t>カイ</t>
    </rPh>
    <rPh sb="10" eb="14">
      <t>フトウメイフクロ</t>
    </rPh>
    <phoneticPr fontId="2"/>
  </si>
  <si>
    <t>コープきんき1月1回（不透明袋）②</t>
    <rPh sb="7" eb="8">
      <t>ガツ</t>
    </rPh>
    <rPh sb="9" eb="10">
      <t>カイ</t>
    </rPh>
    <rPh sb="11" eb="15">
      <t>フトウメイフクロ</t>
    </rPh>
    <phoneticPr fontId="2"/>
  </si>
  <si>
    <t>パルくらす1月1回（不透明袋）⑤</t>
    <rPh sb="6" eb="7">
      <t>ガツ</t>
    </rPh>
    <rPh sb="8" eb="9">
      <t>カイ</t>
    </rPh>
    <rPh sb="10" eb="14">
      <t>フトウメイフクロ</t>
    </rPh>
    <phoneticPr fontId="2"/>
  </si>
  <si>
    <t>コープきんき1月1回（不透明袋）③</t>
    <rPh sb="7" eb="8">
      <t>ガツ</t>
    </rPh>
    <rPh sb="9" eb="10">
      <t>カイ</t>
    </rPh>
    <rPh sb="11" eb="15">
      <t>フトウメイフクロ</t>
    </rPh>
    <phoneticPr fontId="2"/>
  </si>
  <si>
    <t>かりん</t>
    <phoneticPr fontId="2"/>
  </si>
  <si>
    <t>くらし返品きんき</t>
    <rPh sb="3" eb="5">
      <t>ヘンピン</t>
    </rPh>
    <phoneticPr fontId="2"/>
  </si>
  <si>
    <t>くらし返品パル</t>
    <rPh sb="3" eb="5">
      <t>ヘンピン</t>
    </rPh>
    <phoneticPr fontId="2"/>
  </si>
  <si>
    <t>アテニア提案sample</t>
    <rPh sb="4" eb="6">
      <t>テイアン</t>
    </rPh>
    <phoneticPr fontId="2"/>
  </si>
  <si>
    <t>試着用sample</t>
    <rPh sb="0" eb="3">
      <t>シチャクヨウ</t>
    </rPh>
    <phoneticPr fontId="2"/>
  </si>
  <si>
    <t>アテニア提案sample返却</t>
    <rPh sb="4" eb="6">
      <t>テイアン</t>
    </rPh>
    <rPh sb="12" eb="14">
      <t>ヘンキャク</t>
    </rPh>
    <phoneticPr fontId="2"/>
  </si>
  <si>
    <t>くらし企画返品</t>
    <rPh sb="3" eb="7">
      <t>キカクヘンピン</t>
    </rPh>
    <phoneticPr fontId="2"/>
  </si>
  <si>
    <t>K-PORT</t>
    <phoneticPr fontId="2"/>
  </si>
  <si>
    <t>かりん</t>
    <phoneticPr fontId="2"/>
  </si>
  <si>
    <t>夢販</t>
    <rPh sb="0" eb="2">
      <t>ユメハン</t>
    </rPh>
    <phoneticPr fontId="2"/>
  </si>
  <si>
    <t>コープきんきsample返却</t>
    <rPh sb="12" eb="14">
      <t>ヘンキャク</t>
    </rPh>
    <phoneticPr fontId="2"/>
  </si>
  <si>
    <t>←ここまで式確認2025/7/29</t>
    <rPh sb="5" eb="8">
      <t>シキカクニン</t>
    </rPh>
    <phoneticPr fontId="2"/>
  </si>
  <si>
    <t>在庫確認</t>
    <rPh sb="0" eb="4">
      <t>ザイコカクニン</t>
    </rPh>
    <phoneticPr fontId="2"/>
  </si>
  <si>
    <t>追加</t>
    <rPh sb="0" eb="2">
      <t>ツイカ</t>
    </rPh>
    <phoneticPr fontId="2"/>
  </si>
  <si>
    <t>かりん</t>
    <phoneticPr fontId="2"/>
  </si>
  <si>
    <t>夢販</t>
    <rPh sb="0" eb="2">
      <t>ユメハン</t>
    </rPh>
    <phoneticPr fontId="2"/>
  </si>
  <si>
    <t>点12/9、アバウト12/27、本12/27～1/2</t>
    <rPh sb="0" eb="1">
      <t>テン</t>
    </rPh>
    <rPh sb="16" eb="17">
      <t>ホン</t>
    </rPh>
    <phoneticPr fontId="2"/>
  </si>
  <si>
    <t>追加</t>
    <rPh sb="0" eb="2">
      <t>ツイカ</t>
    </rPh>
    <phoneticPr fontId="2"/>
  </si>
  <si>
    <t>ネット返品</t>
    <rPh sb="3" eb="5">
      <t>ヘンピン</t>
    </rPh>
    <phoneticPr fontId="2"/>
  </si>
  <si>
    <t>夢販</t>
    <rPh sb="0" eb="2">
      <t>ユメハン</t>
    </rPh>
    <phoneticPr fontId="2"/>
  </si>
  <si>
    <t>かりん</t>
    <phoneticPr fontId="2"/>
  </si>
  <si>
    <t>ネット返品</t>
    <rPh sb="3" eb="5">
      <t>ヘンピン</t>
    </rPh>
    <phoneticPr fontId="2"/>
  </si>
  <si>
    <t>追加</t>
    <rPh sb="0" eb="2">
      <t>ツイカ</t>
    </rPh>
    <phoneticPr fontId="2"/>
  </si>
  <si>
    <t>夢販</t>
    <rPh sb="0" eb="2">
      <t>y</t>
    </rPh>
    <phoneticPr fontId="2"/>
  </si>
  <si>
    <r>
      <t>コープきんき1月1回</t>
    </r>
    <r>
      <rPr>
        <b/>
        <sz val="11"/>
        <rFont val="ＭＳ Ｐゴシック"/>
        <family val="3"/>
        <charset val="128"/>
      </rPr>
      <t>限定（不透明袋）</t>
    </r>
    <r>
      <rPr>
        <sz val="11"/>
        <rFont val="ＭＳ Ｐゴシック"/>
        <family val="3"/>
        <charset val="128"/>
      </rPr>
      <t>￥1580①</t>
    </r>
    <rPh sb="7" eb="8">
      <t>ガツ</t>
    </rPh>
    <rPh sb="9" eb="10">
      <t>カイ</t>
    </rPh>
    <rPh sb="10" eb="12">
      <t>ゲンテイ</t>
    </rPh>
    <rPh sb="13" eb="17">
      <t>フトウメイフクロ</t>
    </rPh>
    <phoneticPr fontId="2"/>
  </si>
  <si>
    <r>
      <t>コープきんき1月1回</t>
    </r>
    <r>
      <rPr>
        <b/>
        <sz val="11"/>
        <rFont val="ＭＳ Ｐゴシック"/>
        <family val="3"/>
        <charset val="128"/>
      </rPr>
      <t>限定（不透明袋）</t>
    </r>
    <r>
      <rPr>
        <sz val="11"/>
        <rFont val="ＭＳ Ｐゴシック"/>
        <family val="3"/>
        <charset val="128"/>
      </rPr>
      <t>￥1580</t>
    </r>
    <rPh sb="7" eb="8">
      <t>ガツ</t>
    </rPh>
    <rPh sb="9" eb="10">
      <t>カイ</t>
    </rPh>
    <rPh sb="10" eb="12">
      <t>ゲンテイ</t>
    </rPh>
    <rPh sb="13" eb="17">
      <t>フトウメイフクロ</t>
    </rPh>
    <phoneticPr fontId="2"/>
  </si>
  <si>
    <t>ゆめはん</t>
    <phoneticPr fontId="2"/>
  </si>
  <si>
    <t>くらし返品</t>
    <rPh sb="3" eb="5">
      <t>ヘンピン</t>
    </rPh>
    <phoneticPr fontId="2"/>
  </si>
  <si>
    <t>追加</t>
    <rPh sb="0" eb="2">
      <t>ツイカ</t>
    </rPh>
    <phoneticPr fontId="2"/>
  </si>
  <si>
    <t>かりん</t>
    <phoneticPr fontId="2"/>
  </si>
  <si>
    <t>ゆめはん</t>
    <phoneticPr fontId="2"/>
  </si>
  <si>
    <t>かりん</t>
    <phoneticPr fontId="2"/>
  </si>
  <si>
    <t>→ここまで在庫確認済2/27</t>
    <rPh sb="0" eb="10">
      <t>ヤジルシココマデザイコカクニンスミ</t>
    </rPh>
    <phoneticPr fontId="2"/>
  </si>
  <si>
    <t>かりん</t>
    <phoneticPr fontId="2"/>
  </si>
  <si>
    <t>KPORT</t>
    <phoneticPr fontId="2"/>
  </si>
  <si>
    <t>夢販移動</t>
    <rPh sb="0" eb="4">
      <t>ユメハンイドウ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</si>
</sst>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1" fillId="0" borderId="8" xfId="0" applyFont="1" applyBorder="1"/>
    <xf numFmtId="56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0" fillId="0" borderId="24" xfId="0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56" fontId="0" fillId="0" borderId="28" xfId="0" applyNumberFormat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0" fillId="3" borderId="28" xfId="0" applyFill="1" applyBorder="1"/>
    <xf numFmtId="0" fontId="0" fillId="3" borderId="36" xfId="0" applyFill="1" applyBorder="1"/>
    <xf numFmtId="0" fontId="0" fillId="3" borderId="3" xfId="0" applyFill="1" applyBorder="1"/>
    <xf numFmtId="0" fontId="3" fillId="3" borderId="28" xfId="0" applyFont="1" applyFill="1" applyBorder="1"/>
    <xf numFmtId="0" fontId="3" fillId="3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0" borderId="17" xfId="0" applyFont="1" applyBorder="1"/>
    <xf numFmtId="0" fontId="0" fillId="4" borderId="11" xfId="0" applyFill="1" applyBorder="1" applyAlignment="1">
      <alignment horizontal="center"/>
    </xf>
    <xf numFmtId="0" fontId="0" fillId="4" borderId="9" xfId="0" applyFill="1" applyBorder="1"/>
    <xf numFmtId="0" fontId="0" fillId="4" borderId="7" xfId="0" applyFill="1" applyBorder="1"/>
    <xf numFmtId="0" fontId="0" fillId="4" borderId="10" xfId="0" applyFill="1" applyBorder="1"/>
    <xf numFmtId="0" fontId="3" fillId="4" borderId="2" xfId="0" applyFont="1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3" xfId="0" applyFill="1" applyBorder="1"/>
    <xf numFmtId="0" fontId="3" fillId="4" borderId="1" xfId="0" applyFont="1" applyFill="1" applyBorder="1"/>
    <xf numFmtId="0" fontId="0" fillId="4" borderId="29" xfId="0" applyFill="1" applyBorder="1" applyAlignment="1">
      <alignment horizontal="center"/>
    </xf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3" fillId="4" borderId="33" xfId="0" applyFont="1" applyFill="1" applyBorder="1"/>
    <xf numFmtId="0" fontId="0" fillId="4" borderId="34" xfId="0" applyFill="1" applyBorder="1"/>
    <xf numFmtId="0" fontId="0" fillId="4" borderId="0" xfId="0" applyFill="1"/>
    <xf numFmtId="0" fontId="0" fillId="4" borderId="14" xfId="0" applyFill="1" applyBorder="1"/>
    <xf numFmtId="0" fontId="3" fillId="4" borderId="35" xfId="0" applyFont="1" applyFill="1" applyBorder="1"/>
    <xf numFmtId="0" fontId="3" fillId="4" borderId="9" xfId="0" applyFont="1" applyFill="1" applyBorder="1"/>
    <xf numFmtId="0" fontId="3" fillId="4" borderId="30" xfId="0" applyFont="1" applyFill="1" applyBorder="1"/>
    <xf numFmtId="0" fontId="0" fillId="0" borderId="13" xfId="0" applyBorder="1" applyAlignment="1">
      <alignment horizontal="center"/>
    </xf>
    <xf numFmtId="0" fontId="4" fillId="5" borderId="0" xfId="0" applyFont="1" applyFill="1"/>
    <xf numFmtId="0" fontId="0" fillId="5" borderId="0" xfId="0" applyFill="1"/>
    <xf numFmtId="0" fontId="0" fillId="0" borderId="16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8" xfId="0" applyFill="1" applyBorder="1"/>
    <xf numFmtId="0" fontId="0" fillId="4" borderId="37" xfId="0" applyFill="1" applyBorder="1"/>
    <xf numFmtId="0" fontId="6" fillId="2" borderId="0" xfId="0" applyFont="1" applyFill="1"/>
    <xf numFmtId="0" fontId="6" fillId="5" borderId="0" xfId="0" applyFont="1" applyFill="1"/>
    <xf numFmtId="56" fontId="7" fillId="0" borderId="28" xfId="0" applyNumberFormat="1" applyFont="1" applyBorder="1" applyAlignment="1">
      <alignment horizontal="center"/>
    </xf>
    <xf numFmtId="0" fontId="7" fillId="0" borderId="22" xfId="0" applyFont="1" applyBorder="1"/>
    <xf numFmtId="0" fontId="7" fillId="0" borderId="18" xfId="0" applyFont="1" applyBorder="1"/>
    <xf numFmtId="0" fontId="7" fillId="4" borderId="8" xfId="0" applyFont="1" applyFill="1" applyBorder="1"/>
    <xf numFmtId="0" fontId="7" fillId="0" borderId="26" xfId="0" applyFont="1" applyBorder="1"/>
    <xf numFmtId="0" fontId="7" fillId="0" borderId="8" xfId="0" applyFont="1" applyBorder="1"/>
    <xf numFmtId="0" fontId="7" fillId="4" borderId="34" xfId="0" applyFont="1" applyFill="1" applyBorder="1"/>
    <xf numFmtId="0" fontId="7" fillId="3" borderId="28" xfId="0" applyFont="1" applyFill="1" applyBorder="1"/>
    <xf numFmtId="56" fontId="7" fillId="0" borderId="0" xfId="0" applyNumberFormat="1" applyFont="1" applyAlignment="1">
      <alignment horizontal="left"/>
    </xf>
    <xf numFmtId="56" fontId="7" fillId="0" borderId="7" xfId="0" applyNumberFormat="1" applyFont="1" applyBorder="1" applyAlignment="1">
      <alignment horizontal="center"/>
    </xf>
    <xf numFmtId="0" fontId="0" fillId="0" borderId="25" xfId="0" applyBorder="1"/>
    <xf numFmtId="0" fontId="0" fillId="4" borderId="18" xfId="0" applyFill="1" applyBorder="1"/>
    <xf numFmtId="0" fontId="0" fillId="4" borderId="38" xfId="0" applyFill="1" applyBorder="1"/>
    <xf numFmtId="0" fontId="0" fillId="3" borderId="7" xfId="0" applyFill="1" applyBorder="1"/>
    <xf numFmtId="0" fontId="3" fillId="0" borderId="0" xfId="0" applyFont="1"/>
    <xf numFmtId="0" fontId="3" fillId="3" borderId="2" xfId="0" applyFont="1" applyFill="1" applyBorder="1"/>
    <xf numFmtId="56" fontId="0" fillId="0" borderId="10" xfId="0" applyNumberFormat="1" applyBorder="1" applyAlignment="1">
      <alignment horizontal="center"/>
    </xf>
    <xf numFmtId="0" fontId="0" fillId="0" borderId="39" xfId="0" applyBorder="1"/>
    <xf numFmtId="0" fontId="0" fillId="4" borderId="39" xfId="0" applyFill="1" applyBorder="1"/>
    <xf numFmtId="0" fontId="0" fillId="4" borderId="40" xfId="0" applyFill="1" applyBorder="1"/>
    <xf numFmtId="0" fontId="0" fillId="3" borderId="10" xfId="0" applyFill="1" applyBorder="1"/>
    <xf numFmtId="56" fontId="0" fillId="0" borderId="0" xfId="0" applyNumberFormat="1"/>
    <xf numFmtId="0" fontId="8" fillId="0" borderId="0" xfId="0" applyFont="1"/>
    <xf numFmtId="56" fontId="0" fillId="0" borderId="7" xfId="0" applyNumberFormat="1" applyBorder="1" applyAlignment="1">
      <alignment horizontal="center" shrinkToFit="1"/>
    </xf>
    <xf numFmtId="0" fontId="0" fillId="0" borderId="10" xfId="0" applyBorder="1" applyAlignment="1">
      <alignment horizontal="center"/>
    </xf>
    <xf numFmtId="0" fontId="0" fillId="4" borderId="6" xfId="0" applyFill="1" applyBorder="1"/>
    <xf numFmtId="0" fontId="0" fillId="4" borderId="41" xfId="0" applyFill="1" applyBorder="1"/>
    <xf numFmtId="0" fontId="3" fillId="4" borderId="3" xfId="0" applyFont="1" applyFill="1" applyBorder="1"/>
    <xf numFmtId="0" fontId="3" fillId="4" borderId="14" xfId="0" applyFont="1" applyFill="1" applyBorder="1"/>
    <xf numFmtId="0" fontId="7" fillId="0" borderId="7" xfId="0" applyFont="1" applyBorder="1" applyAlignment="1">
      <alignment horizontal="center"/>
    </xf>
    <xf numFmtId="0" fontId="7" fillId="4" borderId="7" xfId="0" applyFont="1" applyFill="1" applyBorder="1"/>
    <xf numFmtId="0" fontId="7" fillId="4" borderId="31" xfId="0" applyFont="1" applyFill="1" applyBorder="1"/>
    <xf numFmtId="56" fontId="7" fillId="0" borderId="0" xfId="0" applyNumberFormat="1" applyFont="1"/>
    <xf numFmtId="0" fontId="7" fillId="0" borderId="0" xfId="0" applyFont="1"/>
    <xf numFmtId="56" fontId="0" fillId="0" borderId="0" xfId="0" applyNumberFormat="1" applyAlignment="1">
      <alignment horizontal="right"/>
    </xf>
    <xf numFmtId="0" fontId="0" fillId="7" borderId="16" xfId="0" applyFill="1" applyBorder="1"/>
    <xf numFmtId="0" fontId="3" fillId="7" borderId="25" xfId="0" applyFont="1" applyFill="1" applyBorder="1"/>
    <xf numFmtId="0" fontId="9" fillId="0" borderId="0" xfId="0" applyFont="1"/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8"/>
  <sheetViews>
    <sheetView tabSelected="1" topLeftCell="A496" zoomScale="90" zoomScaleNormal="90" workbookViewId="0">
      <selection activeCell="K506" sqref="K506"/>
    </sheetView>
  </sheetViews>
  <sheetFormatPr defaultRowHeight="13.5" x14ac:dyDescent="0.15"/>
  <cols>
    <col min="2" max="2" width="29.625" style="1" customWidth="1"/>
    <col min="3" max="9" width="7" customWidth="1"/>
    <col min="10" max="10" width="9.25" style="34" bestFit="1" customWidth="1"/>
    <col min="11" max="11" width="4.875" customWidth="1"/>
    <col min="12" max="12" width="42" customWidth="1"/>
    <col min="20" max="20" width="9.25" bestFit="1" customWidth="1"/>
  </cols>
  <sheetData>
    <row r="1" spans="2:20" ht="18.75" x14ac:dyDescent="0.2">
      <c r="B1" s="16" t="s">
        <v>28</v>
      </c>
      <c r="C1" s="15"/>
      <c r="D1" s="15"/>
      <c r="E1" s="15"/>
      <c r="F1" s="15"/>
      <c r="G1" s="15"/>
      <c r="H1" s="15"/>
      <c r="I1" s="15"/>
      <c r="L1" s="69" t="s">
        <v>29</v>
      </c>
      <c r="M1" s="70"/>
      <c r="N1" s="70"/>
      <c r="O1" s="70"/>
      <c r="P1" s="70"/>
      <c r="Q1" s="70"/>
      <c r="R1" s="70"/>
      <c r="S1" s="70"/>
      <c r="T1" s="34"/>
    </row>
    <row r="2" spans="2:20" ht="15" thickBot="1" x14ac:dyDescent="0.2">
      <c r="B2" s="75" t="s">
        <v>26</v>
      </c>
      <c r="C2" s="15"/>
      <c r="D2" s="15"/>
      <c r="E2" s="15"/>
      <c r="F2" s="15"/>
      <c r="G2" s="15"/>
      <c r="H2" s="15"/>
      <c r="I2" s="15"/>
      <c r="L2" s="76" t="s">
        <v>25</v>
      </c>
      <c r="M2" s="70"/>
      <c r="N2" s="70"/>
      <c r="O2" s="70"/>
      <c r="P2" s="70"/>
      <c r="Q2" s="70"/>
      <c r="R2" s="70"/>
      <c r="S2" s="70"/>
      <c r="T2" s="34"/>
    </row>
    <row r="3" spans="2:20" ht="14.25" thickBot="1" x14ac:dyDescent="0.2">
      <c r="B3" s="14"/>
      <c r="C3" s="117" t="s">
        <v>8</v>
      </c>
      <c r="D3" s="118"/>
      <c r="E3" s="119"/>
      <c r="F3" s="120" t="s">
        <v>10</v>
      </c>
      <c r="G3" s="121"/>
      <c r="H3" s="121"/>
      <c r="I3" s="115" t="s">
        <v>9</v>
      </c>
      <c r="L3" s="14"/>
      <c r="M3" s="117" t="s">
        <v>8</v>
      </c>
      <c r="N3" s="118"/>
      <c r="O3" s="119"/>
      <c r="P3" s="120" t="s">
        <v>10</v>
      </c>
      <c r="Q3" s="121"/>
      <c r="R3" s="121"/>
      <c r="S3" s="115" t="s">
        <v>9</v>
      </c>
      <c r="T3" s="34"/>
    </row>
    <row r="4" spans="2:20" s="1" customFormat="1" ht="14.25" thickBot="1" x14ac:dyDescent="0.2">
      <c r="B4" s="13"/>
      <c r="C4" s="22" t="s">
        <v>6</v>
      </c>
      <c r="D4" s="12" t="s">
        <v>5</v>
      </c>
      <c r="E4" s="48" t="s">
        <v>4</v>
      </c>
      <c r="F4" s="22" t="s">
        <v>6</v>
      </c>
      <c r="G4" s="12" t="s">
        <v>5</v>
      </c>
      <c r="H4" s="57" t="s">
        <v>4</v>
      </c>
      <c r="I4" s="116"/>
      <c r="J4" s="34"/>
      <c r="L4" s="4"/>
      <c r="M4" s="71" t="s">
        <v>6</v>
      </c>
      <c r="N4" s="68" t="s">
        <v>5</v>
      </c>
      <c r="O4" s="72" t="s">
        <v>4</v>
      </c>
      <c r="P4" s="71" t="s">
        <v>6</v>
      </c>
      <c r="Q4" s="68" t="s">
        <v>5</v>
      </c>
      <c r="R4" s="72" t="s">
        <v>4</v>
      </c>
      <c r="S4" s="116"/>
      <c r="T4" s="34"/>
    </row>
    <row r="5" spans="2:20" ht="14.25" customHeight="1" x14ac:dyDescent="0.15">
      <c r="B5" s="9" t="s">
        <v>7</v>
      </c>
      <c r="C5" s="23">
        <v>0</v>
      </c>
      <c r="D5" s="17">
        <v>0</v>
      </c>
      <c r="E5" s="49">
        <f t="shared" ref="E5:E38" si="0">SUM(C5:D5)</f>
        <v>0</v>
      </c>
      <c r="F5" s="23">
        <v>0</v>
      </c>
      <c r="G5" s="17">
        <v>0</v>
      </c>
      <c r="H5" s="58">
        <f t="shared" ref="H5:H38" si="1">SUM(F5:G5)</f>
        <v>0</v>
      </c>
      <c r="I5" s="37">
        <f>E5+H5</f>
        <v>0</v>
      </c>
      <c r="J5" s="35"/>
      <c r="L5" s="33" t="s">
        <v>11</v>
      </c>
      <c r="M5" s="30">
        <v>250</v>
      </c>
      <c r="N5" s="7">
        <v>300</v>
      </c>
      <c r="O5" s="73">
        <f t="shared" ref="O5:O8" si="2">SUM(M5:N5)</f>
        <v>550</v>
      </c>
      <c r="P5" s="30">
        <v>200</v>
      </c>
      <c r="Q5" s="7">
        <v>250</v>
      </c>
      <c r="R5" s="74">
        <f t="shared" ref="R5:R8" si="3">SUM(P5:Q5)</f>
        <v>450</v>
      </c>
      <c r="S5" s="37">
        <f t="shared" ref="S5:S8" si="4">O5+R5</f>
        <v>1000</v>
      </c>
      <c r="T5" s="35" t="s">
        <v>22</v>
      </c>
    </row>
    <row r="6" spans="2:20" x14ac:dyDescent="0.15">
      <c r="B6" s="11" t="s">
        <v>15</v>
      </c>
      <c r="C6" s="24">
        <v>3</v>
      </c>
      <c r="D6" s="18">
        <v>2</v>
      </c>
      <c r="E6" s="50">
        <f t="shared" ref="E6:E7" si="5">SUM(C6:D6)</f>
        <v>5</v>
      </c>
      <c r="F6" s="30">
        <v>3</v>
      </c>
      <c r="G6" s="7">
        <v>2</v>
      </c>
      <c r="H6" s="59">
        <f t="shared" ref="H6:H7" si="6">SUM(F6:G6)</f>
        <v>5</v>
      </c>
      <c r="I6" s="37">
        <f t="shared" ref="I6:I7" si="7">E6+H6</f>
        <v>10</v>
      </c>
      <c r="J6" s="35">
        <v>45173</v>
      </c>
      <c r="L6" s="11" t="s">
        <v>3</v>
      </c>
      <c r="M6" s="24"/>
      <c r="N6" s="18"/>
      <c r="O6" s="50">
        <f t="shared" si="2"/>
        <v>0</v>
      </c>
      <c r="P6" s="30"/>
      <c r="Q6" s="7"/>
      <c r="R6" s="59">
        <f t="shared" si="3"/>
        <v>0</v>
      </c>
      <c r="S6" s="37">
        <f t="shared" si="4"/>
        <v>0</v>
      </c>
      <c r="T6" s="35"/>
    </row>
    <row r="7" spans="2:20" x14ac:dyDescent="0.15">
      <c r="B7" s="11" t="s">
        <v>3</v>
      </c>
      <c r="C7" s="24">
        <v>5</v>
      </c>
      <c r="D7" s="18">
        <v>5</v>
      </c>
      <c r="E7" s="50">
        <f t="shared" si="5"/>
        <v>10</v>
      </c>
      <c r="F7" s="30">
        <v>5</v>
      </c>
      <c r="G7" s="7">
        <v>5</v>
      </c>
      <c r="H7" s="59">
        <f t="shared" si="6"/>
        <v>10</v>
      </c>
      <c r="I7" s="37">
        <f t="shared" si="7"/>
        <v>20</v>
      </c>
      <c r="J7" s="35">
        <v>45206</v>
      </c>
      <c r="L7" s="11" t="s">
        <v>3</v>
      </c>
      <c r="M7" s="24"/>
      <c r="N7" s="18"/>
      <c r="O7" s="50">
        <f t="shared" si="2"/>
        <v>0</v>
      </c>
      <c r="P7" s="30"/>
      <c r="Q7" s="7"/>
      <c r="R7" s="59">
        <f t="shared" si="3"/>
        <v>0</v>
      </c>
      <c r="S7" s="37">
        <f t="shared" si="4"/>
        <v>0</v>
      </c>
      <c r="T7" s="35"/>
    </row>
    <row r="8" spans="2:20" x14ac:dyDescent="0.15">
      <c r="B8" s="11" t="s">
        <v>3</v>
      </c>
      <c r="C8" s="24">
        <v>5</v>
      </c>
      <c r="D8" s="18">
        <v>5</v>
      </c>
      <c r="E8" s="50">
        <f t="shared" si="0"/>
        <v>10</v>
      </c>
      <c r="F8" s="30"/>
      <c r="G8" s="7"/>
      <c r="H8" s="59">
        <f t="shared" si="1"/>
        <v>0</v>
      </c>
      <c r="I8" s="37">
        <f t="shared" ref="I8:I38" si="8">E8+H8</f>
        <v>10</v>
      </c>
      <c r="J8" s="35">
        <v>45218</v>
      </c>
      <c r="L8" s="11" t="s">
        <v>3</v>
      </c>
      <c r="M8" s="24"/>
      <c r="N8" s="18"/>
      <c r="O8" s="50">
        <f t="shared" si="2"/>
        <v>0</v>
      </c>
      <c r="P8" s="30"/>
      <c r="Q8" s="7"/>
      <c r="R8" s="59">
        <f t="shared" si="3"/>
        <v>0</v>
      </c>
      <c r="S8" s="37">
        <f t="shared" si="4"/>
        <v>0</v>
      </c>
      <c r="T8" s="35"/>
    </row>
    <row r="9" spans="2:20" x14ac:dyDescent="0.15">
      <c r="B9" s="11" t="s">
        <v>3</v>
      </c>
      <c r="C9" s="24">
        <v>5</v>
      </c>
      <c r="D9" s="18">
        <v>5</v>
      </c>
      <c r="E9" s="50">
        <f t="shared" si="0"/>
        <v>10</v>
      </c>
      <c r="F9" s="30">
        <v>5</v>
      </c>
      <c r="G9" s="7">
        <v>5</v>
      </c>
      <c r="H9" s="59">
        <f t="shared" si="1"/>
        <v>10</v>
      </c>
      <c r="I9" s="37">
        <f t="shared" si="8"/>
        <v>20</v>
      </c>
      <c r="J9" s="35">
        <v>45220</v>
      </c>
      <c r="L9" s="11" t="s">
        <v>3</v>
      </c>
      <c r="M9" s="24"/>
      <c r="N9" s="18"/>
      <c r="O9" s="50">
        <f t="shared" ref="O9:O36" si="9">SUM(M9:N9)</f>
        <v>0</v>
      </c>
      <c r="P9" s="30"/>
      <c r="Q9" s="7"/>
      <c r="R9" s="59">
        <f t="shared" ref="R9:R36" si="10">SUM(P9:Q9)</f>
        <v>0</v>
      </c>
      <c r="S9" s="37">
        <f t="shared" ref="S9:S36" si="11">O9+R9</f>
        <v>0</v>
      </c>
      <c r="T9" s="35"/>
    </row>
    <row r="10" spans="2:20" ht="14.25" thickBot="1" x14ac:dyDescent="0.2">
      <c r="B10" s="10" t="s">
        <v>3</v>
      </c>
      <c r="C10" s="25">
        <v>5</v>
      </c>
      <c r="D10" s="19">
        <v>5</v>
      </c>
      <c r="E10" s="51">
        <f t="shared" si="0"/>
        <v>10</v>
      </c>
      <c r="F10" s="31">
        <v>5</v>
      </c>
      <c r="G10" s="5">
        <v>5</v>
      </c>
      <c r="H10" s="60">
        <f t="shared" si="1"/>
        <v>10</v>
      </c>
      <c r="I10" s="38">
        <f t="shared" si="8"/>
        <v>20</v>
      </c>
      <c r="J10" s="35">
        <v>45238</v>
      </c>
      <c r="L10" s="10" t="s">
        <v>3</v>
      </c>
      <c r="M10" s="25"/>
      <c r="N10" s="19"/>
      <c r="O10" s="102">
        <f t="shared" si="9"/>
        <v>0</v>
      </c>
      <c r="P10" s="31"/>
      <c r="Q10" s="5"/>
      <c r="R10" s="103">
        <f t="shared" si="10"/>
        <v>0</v>
      </c>
      <c r="S10" s="38">
        <f t="shared" si="11"/>
        <v>0</v>
      </c>
      <c r="T10" s="35"/>
    </row>
    <row r="11" spans="2:20" ht="14.25" thickBot="1" x14ac:dyDescent="0.2">
      <c r="B11" s="42" t="s">
        <v>2</v>
      </c>
      <c r="C11" s="43">
        <f>SUM(C5:C10)</f>
        <v>23</v>
      </c>
      <c r="D11" s="44">
        <f>SUM(D5:D10)</f>
        <v>22</v>
      </c>
      <c r="E11" s="52">
        <f t="shared" si="0"/>
        <v>45</v>
      </c>
      <c r="F11" s="43">
        <f>SUM(F5:F10)</f>
        <v>18</v>
      </c>
      <c r="G11" s="44">
        <f>SUM(G5:G10)</f>
        <v>17</v>
      </c>
      <c r="H11" s="61">
        <f t="shared" si="1"/>
        <v>35</v>
      </c>
      <c r="I11" s="41">
        <f t="shared" si="8"/>
        <v>80</v>
      </c>
      <c r="L11" s="42" t="s">
        <v>2</v>
      </c>
      <c r="M11" s="43">
        <f>SUM(M5:M10)</f>
        <v>250</v>
      </c>
      <c r="N11" s="44">
        <f t="shared" ref="N11" si="12">SUM(N5:N10)</f>
        <v>300</v>
      </c>
      <c r="O11" s="104">
        <f t="shared" ref="O11" si="13">SUM(O5:O10)</f>
        <v>550</v>
      </c>
      <c r="P11" s="43">
        <f t="shared" ref="P11" si="14">SUM(P5:P10)</f>
        <v>200</v>
      </c>
      <c r="Q11" s="44">
        <f t="shared" ref="Q11" si="15">SUM(Q5:Q10)</f>
        <v>250</v>
      </c>
      <c r="R11" s="105">
        <f t="shared" ref="R11" si="16">SUM(R5:R10)</f>
        <v>450</v>
      </c>
      <c r="S11" s="41">
        <f t="shared" ref="S11" si="17">SUM(S5:S10)</f>
        <v>1000</v>
      </c>
      <c r="T11" s="34"/>
    </row>
    <row r="12" spans="2:20" x14ac:dyDescent="0.15">
      <c r="B12" s="9" t="s">
        <v>16</v>
      </c>
      <c r="C12" s="23"/>
      <c r="D12" s="17"/>
      <c r="E12" s="53">
        <f t="shared" si="0"/>
        <v>0</v>
      </c>
      <c r="F12" s="30"/>
      <c r="G12" s="7">
        <v>1</v>
      </c>
      <c r="H12" s="62">
        <f t="shared" si="1"/>
        <v>1</v>
      </c>
      <c r="I12" s="37">
        <f t="shared" si="8"/>
        <v>1</v>
      </c>
      <c r="J12" s="35">
        <v>45173</v>
      </c>
      <c r="L12" s="9" t="s">
        <v>21</v>
      </c>
      <c r="M12" s="23">
        <v>5</v>
      </c>
      <c r="N12" s="17">
        <v>5</v>
      </c>
      <c r="O12" s="53">
        <f t="shared" si="9"/>
        <v>10</v>
      </c>
      <c r="P12" s="30">
        <v>5</v>
      </c>
      <c r="Q12" s="7">
        <v>5</v>
      </c>
      <c r="R12" s="62">
        <f t="shared" si="10"/>
        <v>10</v>
      </c>
      <c r="S12" s="37">
        <f t="shared" si="11"/>
        <v>20</v>
      </c>
      <c r="T12" s="35">
        <v>45206</v>
      </c>
    </row>
    <row r="13" spans="2:20" x14ac:dyDescent="0.15">
      <c r="B13" s="6" t="s">
        <v>17</v>
      </c>
      <c r="C13" s="24">
        <v>1</v>
      </c>
      <c r="D13" s="18"/>
      <c r="E13" s="53">
        <f t="shared" si="0"/>
        <v>1</v>
      </c>
      <c r="F13" s="30"/>
      <c r="G13" s="7"/>
      <c r="H13" s="62">
        <f t="shared" si="1"/>
        <v>0</v>
      </c>
      <c r="I13" s="37">
        <f t="shared" si="8"/>
        <v>1</v>
      </c>
      <c r="J13" s="35">
        <v>45173</v>
      </c>
      <c r="L13" s="33" t="s">
        <v>21</v>
      </c>
      <c r="M13" s="24">
        <v>5</v>
      </c>
      <c r="N13" s="18">
        <v>5</v>
      </c>
      <c r="O13" s="53">
        <f t="shared" si="9"/>
        <v>10</v>
      </c>
      <c r="P13" s="30"/>
      <c r="Q13" s="7"/>
      <c r="R13" s="62">
        <f t="shared" si="10"/>
        <v>0</v>
      </c>
      <c r="S13" s="37">
        <f t="shared" si="11"/>
        <v>10</v>
      </c>
      <c r="T13" s="35">
        <v>45218</v>
      </c>
    </row>
    <row r="14" spans="2:20" x14ac:dyDescent="0.15">
      <c r="B14" s="6" t="s">
        <v>18</v>
      </c>
      <c r="C14" s="24">
        <v>1</v>
      </c>
      <c r="D14" s="18"/>
      <c r="E14" s="53">
        <f t="shared" si="0"/>
        <v>1</v>
      </c>
      <c r="F14" s="30"/>
      <c r="G14" s="7"/>
      <c r="H14" s="62">
        <f t="shared" si="1"/>
        <v>0</v>
      </c>
      <c r="I14" s="37">
        <f t="shared" si="8"/>
        <v>1</v>
      </c>
      <c r="J14" s="35">
        <v>45180</v>
      </c>
      <c r="L14" s="33" t="s">
        <v>21</v>
      </c>
      <c r="M14" s="24">
        <v>5</v>
      </c>
      <c r="N14" s="18">
        <v>5</v>
      </c>
      <c r="O14" s="53">
        <f t="shared" si="9"/>
        <v>10</v>
      </c>
      <c r="P14" s="30">
        <v>5</v>
      </c>
      <c r="Q14" s="7">
        <v>5</v>
      </c>
      <c r="R14" s="62">
        <f t="shared" si="10"/>
        <v>10</v>
      </c>
      <c r="S14" s="37">
        <f t="shared" si="11"/>
        <v>20</v>
      </c>
      <c r="T14" s="35">
        <v>45220</v>
      </c>
    </row>
    <row r="15" spans="2:20" x14ac:dyDescent="0.15">
      <c r="B15" s="6" t="s">
        <v>19</v>
      </c>
      <c r="C15" s="24"/>
      <c r="D15" s="18"/>
      <c r="E15" s="53">
        <f t="shared" si="0"/>
        <v>0</v>
      </c>
      <c r="F15" s="30">
        <v>1</v>
      </c>
      <c r="G15" s="7"/>
      <c r="H15" s="62">
        <f t="shared" si="1"/>
        <v>1</v>
      </c>
      <c r="I15" s="37">
        <f t="shared" si="8"/>
        <v>1</v>
      </c>
      <c r="J15" s="35">
        <v>45188</v>
      </c>
      <c r="L15" s="6" t="s">
        <v>33</v>
      </c>
      <c r="M15" s="24">
        <v>9</v>
      </c>
      <c r="N15" s="18"/>
      <c r="O15" s="53">
        <f t="shared" si="9"/>
        <v>9</v>
      </c>
      <c r="P15" s="30">
        <v>3</v>
      </c>
      <c r="Q15" s="7"/>
      <c r="R15" s="62">
        <f t="shared" si="10"/>
        <v>3</v>
      </c>
      <c r="S15" s="37">
        <f t="shared" si="11"/>
        <v>12</v>
      </c>
      <c r="T15" s="35">
        <v>45229</v>
      </c>
    </row>
    <row r="16" spans="2:20" x14ac:dyDescent="0.15">
      <c r="B16" s="6" t="s">
        <v>20</v>
      </c>
      <c r="C16" s="24"/>
      <c r="D16" s="18">
        <v>1</v>
      </c>
      <c r="E16" s="53">
        <f t="shared" si="0"/>
        <v>1</v>
      </c>
      <c r="F16" s="30">
        <v>1</v>
      </c>
      <c r="G16" s="7"/>
      <c r="H16" s="62">
        <f t="shared" si="1"/>
        <v>1</v>
      </c>
      <c r="I16" s="37">
        <f t="shared" si="8"/>
        <v>2</v>
      </c>
      <c r="J16" s="35">
        <v>45202</v>
      </c>
      <c r="L16" s="6" t="s">
        <v>34</v>
      </c>
      <c r="M16" s="24">
        <v>7</v>
      </c>
      <c r="N16" s="18"/>
      <c r="O16" s="53">
        <f t="shared" si="9"/>
        <v>7</v>
      </c>
      <c r="P16" s="30">
        <v>2</v>
      </c>
      <c r="Q16" s="7"/>
      <c r="R16" s="62">
        <f t="shared" si="10"/>
        <v>2</v>
      </c>
      <c r="S16" s="37">
        <f t="shared" si="11"/>
        <v>9</v>
      </c>
      <c r="T16" s="35">
        <v>45230</v>
      </c>
    </row>
    <row r="17" spans="2:20" x14ac:dyDescent="0.15">
      <c r="B17" s="33" t="s">
        <v>23</v>
      </c>
      <c r="C17" s="24">
        <v>2</v>
      </c>
      <c r="D17" s="18"/>
      <c r="E17" s="53">
        <f t="shared" si="0"/>
        <v>2</v>
      </c>
      <c r="F17" s="30"/>
      <c r="G17" s="7"/>
      <c r="H17" s="62">
        <f t="shared" si="1"/>
        <v>0</v>
      </c>
      <c r="I17" s="37">
        <f t="shared" si="8"/>
        <v>2</v>
      </c>
      <c r="J17" s="35">
        <v>45209</v>
      </c>
      <c r="L17" s="6" t="s">
        <v>35</v>
      </c>
      <c r="M17" s="24">
        <v>1</v>
      </c>
      <c r="N17" s="18">
        <v>6</v>
      </c>
      <c r="O17" s="53">
        <f t="shared" si="9"/>
        <v>7</v>
      </c>
      <c r="P17" s="30">
        <v>1</v>
      </c>
      <c r="Q17" s="7">
        <v>6</v>
      </c>
      <c r="R17" s="62">
        <f t="shared" si="10"/>
        <v>7</v>
      </c>
      <c r="S17" s="37">
        <f t="shared" si="11"/>
        <v>14</v>
      </c>
      <c r="T17" s="35">
        <v>45231</v>
      </c>
    </row>
    <row r="18" spans="2:20" x14ac:dyDescent="0.15">
      <c r="B18" s="6" t="s">
        <v>24</v>
      </c>
      <c r="C18" s="24"/>
      <c r="D18" s="18">
        <v>1</v>
      </c>
      <c r="E18" s="53">
        <f t="shared" si="0"/>
        <v>1</v>
      </c>
      <c r="F18" s="30"/>
      <c r="G18" s="7"/>
      <c r="H18" s="62">
        <f t="shared" si="1"/>
        <v>0</v>
      </c>
      <c r="I18" s="37">
        <f t="shared" si="8"/>
        <v>1</v>
      </c>
      <c r="J18" s="35">
        <v>45211</v>
      </c>
      <c r="L18" s="6" t="s">
        <v>36</v>
      </c>
      <c r="M18" s="24">
        <v>2</v>
      </c>
      <c r="N18" s="18">
        <v>4</v>
      </c>
      <c r="O18" s="53">
        <f t="shared" si="9"/>
        <v>6</v>
      </c>
      <c r="P18" s="30">
        <v>1</v>
      </c>
      <c r="Q18" s="7">
        <v>3</v>
      </c>
      <c r="R18" s="62">
        <f t="shared" si="10"/>
        <v>4</v>
      </c>
      <c r="S18" s="37">
        <f t="shared" si="11"/>
        <v>10</v>
      </c>
      <c r="T18" s="35">
        <v>45232</v>
      </c>
    </row>
    <row r="19" spans="2:20" x14ac:dyDescent="0.15">
      <c r="B19" s="33" t="s">
        <v>23</v>
      </c>
      <c r="C19" s="24"/>
      <c r="D19" s="18">
        <v>1</v>
      </c>
      <c r="E19" s="53">
        <f t="shared" si="0"/>
        <v>1</v>
      </c>
      <c r="F19" s="30"/>
      <c r="G19" s="7"/>
      <c r="H19" s="62">
        <f t="shared" si="1"/>
        <v>0</v>
      </c>
      <c r="I19" s="37">
        <f t="shared" si="8"/>
        <v>1</v>
      </c>
      <c r="J19" s="35">
        <v>45215</v>
      </c>
      <c r="L19" s="6" t="s">
        <v>37</v>
      </c>
      <c r="M19" s="24"/>
      <c r="N19" s="18">
        <v>4</v>
      </c>
      <c r="O19" s="53">
        <f t="shared" si="9"/>
        <v>4</v>
      </c>
      <c r="P19" s="30"/>
      <c r="Q19" s="7"/>
      <c r="R19" s="62">
        <f t="shared" si="10"/>
        <v>0</v>
      </c>
      <c r="S19" s="37">
        <f t="shared" si="11"/>
        <v>4</v>
      </c>
      <c r="T19" s="35">
        <v>45236</v>
      </c>
    </row>
    <row r="20" spans="2:20" x14ac:dyDescent="0.15">
      <c r="B20" s="6" t="s">
        <v>27</v>
      </c>
      <c r="C20" s="24">
        <v>3</v>
      </c>
      <c r="D20" s="18">
        <v>3</v>
      </c>
      <c r="E20" s="53">
        <f t="shared" si="0"/>
        <v>6</v>
      </c>
      <c r="F20" s="30">
        <v>3</v>
      </c>
      <c r="G20" s="7">
        <v>3</v>
      </c>
      <c r="H20" s="62">
        <f t="shared" si="1"/>
        <v>6</v>
      </c>
      <c r="I20" s="37">
        <f t="shared" si="8"/>
        <v>12</v>
      </c>
      <c r="J20" s="35">
        <v>45222</v>
      </c>
      <c r="L20" s="77" t="s">
        <v>21</v>
      </c>
      <c r="M20" s="78">
        <v>5</v>
      </c>
      <c r="N20" s="79">
        <v>5</v>
      </c>
      <c r="O20" s="80">
        <f t="shared" si="9"/>
        <v>10</v>
      </c>
      <c r="P20" s="81">
        <v>5</v>
      </c>
      <c r="Q20" s="82">
        <v>5</v>
      </c>
      <c r="R20" s="83">
        <f t="shared" si="10"/>
        <v>10</v>
      </c>
      <c r="S20" s="84">
        <f t="shared" si="11"/>
        <v>20</v>
      </c>
      <c r="T20" s="85">
        <v>45238</v>
      </c>
    </row>
    <row r="21" spans="2:20" x14ac:dyDescent="0.15">
      <c r="B21" s="33" t="s">
        <v>23</v>
      </c>
      <c r="C21" s="24"/>
      <c r="D21" s="18"/>
      <c r="E21" s="53">
        <f t="shared" si="0"/>
        <v>0</v>
      </c>
      <c r="F21" s="30"/>
      <c r="G21" s="7">
        <v>1</v>
      </c>
      <c r="H21" s="62">
        <f t="shared" si="1"/>
        <v>1</v>
      </c>
      <c r="I21" s="37">
        <f t="shared" si="8"/>
        <v>1</v>
      </c>
      <c r="J21" s="35">
        <v>45224</v>
      </c>
      <c r="L21" s="6"/>
      <c r="M21" s="27"/>
      <c r="N21" s="21"/>
      <c r="O21" s="53">
        <f t="shared" ref="O21" si="18">SUM(M21:N21)</f>
        <v>0</v>
      </c>
      <c r="P21" s="32"/>
      <c r="Q21" s="8"/>
      <c r="R21" s="62">
        <f t="shared" ref="R21" si="19">SUM(P21:Q21)</f>
        <v>0</v>
      </c>
      <c r="S21" s="37">
        <f t="shared" ref="S21" si="20">O21+R21</f>
        <v>0</v>
      </c>
      <c r="T21" s="36"/>
    </row>
    <row r="22" spans="2:20" x14ac:dyDescent="0.15">
      <c r="B22" s="6" t="s">
        <v>32</v>
      </c>
      <c r="C22" s="24">
        <v>3</v>
      </c>
      <c r="D22" s="18"/>
      <c r="E22" s="53">
        <f t="shared" si="0"/>
        <v>3</v>
      </c>
      <c r="F22" s="30"/>
      <c r="G22" s="7"/>
      <c r="H22" s="62">
        <f t="shared" si="1"/>
        <v>0</v>
      </c>
      <c r="I22" s="37">
        <f t="shared" si="8"/>
        <v>3</v>
      </c>
      <c r="J22" s="35">
        <v>45226</v>
      </c>
      <c r="L22" s="6"/>
      <c r="M22" s="27"/>
      <c r="N22" s="21"/>
      <c r="O22" s="53">
        <f t="shared" si="9"/>
        <v>0</v>
      </c>
      <c r="P22" s="32"/>
      <c r="Q22" s="8"/>
      <c r="R22" s="62">
        <f t="shared" si="10"/>
        <v>0</v>
      </c>
      <c r="S22" s="37">
        <f t="shared" si="11"/>
        <v>0</v>
      </c>
      <c r="T22" s="36"/>
    </row>
    <row r="23" spans="2:20" x14ac:dyDescent="0.15">
      <c r="B23" s="33" t="s">
        <v>23</v>
      </c>
      <c r="C23" s="27">
        <v>1</v>
      </c>
      <c r="D23" s="21"/>
      <c r="E23" s="53">
        <f t="shared" si="0"/>
        <v>1</v>
      </c>
      <c r="F23" s="32"/>
      <c r="G23" s="8"/>
      <c r="H23" s="62">
        <f t="shared" si="1"/>
        <v>0</v>
      </c>
      <c r="I23" s="37">
        <f t="shared" si="8"/>
        <v>1</v>
      </c>
      <c r="J23" s="36">
        <v>45229</v>
      </c>
      <c r="L23" s="6"/>
      <c r="M23" s="27"/>
      <c r="N23" s="21"/>
      <c r="O23" s="53">
        <f t="shared" si="9"/>
        <v>0</v>
      </c>
      <c r="P23" s="32"/>
      <c r="Q23" s="8"/>
      <c r="R23" s="62">
        <f t="shared" si="10"/>
        <v>0</v>
      </c>
      <c r="S23" s="37">
        <f t="shared" si="11"/>
        <v>0</v>
      </c>
      <c r="T23" s="36"/>
    </row>
    <row r="24" spans="2:20" x14ac:dyDescent="0.15">
      <c r="B24" s="33" t="s">
        <v>23</v>
      </c>
      <c r="C24" s="24">
        <v>1</v>
      </c>
      <c r="D24" s="18"/>
      <c r="E24" s="53">
        <f t="shared" si="0"/>
        <v>1</v>
      </c>
      <c r="F24" s="30">
        <v>1</v>
      </c>
      <c r="G24" s="7"/>
      <c r="H24" s="62">
        <f t="shared" si="1"/>
        <v>1</v>
      </c>
      <c r="I24" s="37">
        <f t="shared" si="8"/>
        <v>2</v>
      </c>
      <c r="J24" s="35">
        <v>45230</v>
      </c>
      <c r="L24" s="6"/>
      <c r="M24" s="24"/>
      <c r="N24" s="18"/>
      <c r="O24" s="53">
        <f t="shared" si="9"/>
        <v>0</v>
      </c>
      <c r="P24" s="30"/>
      <c r="Q24" s="7"/>
      <c r="R24" s="62">
        <f t="shared" si="10"/>
        <v>0</v>
      </c>
      <c r="S24" s="37">
        <f t="shared" si="11"/>
        <v>0</v>
      </c>
      <c r="T24" s="35"/>
    </row>
    <row r="25" spans="2:20" x14ac:dyDescent="0.15">
      <c r="B25" s="6" t="s">
        <v>38</v>
      </c>
      <c r="C25" s="24"/>
      <c r="D25" s="18">
        <v>3</v>
      </c>
      <c r="E25" s="53">
        <f t="shared" si="0"/>
        <v>3</v>
      </c>
      <c r="F25" s="30"/>
      <c r="G25" s="7">
        <v>1</v>
      </c>
      <c r="H25" s="62">
        <f t="shared" si="1"/>
        <v>1</v>
      </c>
      <c r="I25" s="37">
        <f t="shared" si="8"/>
        <v>4</v>
      </c>
      <c r="J25" s="35">
        <v>45237</v>
      </c>
      <c r="L25" s="6"/>
      <c r="M25" s="27"/>
      <c r="N25" s="21"/>
      <c r="O25" s="53">
        <f t="shared" si="9"/>
        <v>0</v>
      </c>
      <c r="P25" s="32"/>
      <c r="Q25" s="8"/>
      <c r="R25" s="62">
        <f t="shared" si="10"/>
        <v>0</v>
      </c>
      <c r="S25" s="37">
        <f t="shared" si="11"/>
        <v>0</v>
      </c>
      <c r="T25" s="36"/>
    </row>
    <row r="26" spans="2:20" x14ac:dyDescent="0.15">
      <c r="B26" s="6" t="s">
        <v>39</v>
      </c>
      <c r="C26" s="24"/>
      <c r="D26" s="18">
        <v>1</v>
      </c>
      <c r="E26" s="53">
        <f t="shared" si="0"/>
        <v>1</v>
      </c>
      <c r="F26" s="30"/>
      <c r="G26" s="7">
        <v>1</v>
      </c>
      <c r="H26" s="62">
        <f t="shared" si="1"/>
        <v>1</v>
      </c>
      <c r="I26" s="37">
        <f t="shared" si="8"/>
        <v>2</v>
      </c>
      <c r="J26" s="35">
        <v>45238</v>
      </c>
      <c r="L26" s="6"/>
      <c r="M26" s="27"/>
      <c r="N26" s="21"/>
      <c r="O26" s="53">
        <f t="shared" si="9"/>
        <v>0</v>
      </c>
      <c r="P26" s="32"/>
      <c r="Q26" s="8"/>
      <c r="R26" s="62">
        <f t="shared" si="10"/>
        <v>0</v>
      </c>
      <c r="S26" s="37">
        <f t="shared" si="11"/>
        <v>0</v>
      </c>
      <c r="T26" s="36"/>
    </row>
    <row r="27" spans="2:20" x14ac:dyDescent="0.15">
      <c r="B27" s="6" t="s">
        <v>40</v>
      </c>
      <c r="C27" s="27"/>
      <c r="D27" s="21">
        <v>2</v>
      </c>
      <c r="E27" s="53">
        <f t="shared" si="0"/>
        <v>2</v>
      </c>
      <c r="F27" s="32"/>
      <c r="G27" s="8"/>
      <c r="H27" s="62">
        <f t="shared" si="1"/>
        <v>0</v>
      </c>
      <c r="I27" s="37">
        <f t="shared" si="8"/>
        <v>2</v>
      </c>
      <c r="J27" s="36">
        <v>45240</v>
      </c>
      <c r="L27" s="6"/>
      <c r="M27" s="27"/>
      <c r="N27" s="21"/>
      <c r="O27" s="53">
        <f t="shared" si="9"/>
        <v>0</v>
      </c>
      <c r="P27" s="32"/>
      <c r="Q27" s="8"/>
      <c r="R27" s="62">
        <f t="shared" si="10"/>
        <v>0</v>
      </c>
      <c r="S27" s="37">
        <f t="shared" si="11"/>
        <v>0</v>
      </c>
      <c r="T27" s="36"/>
    </row>
    <row r="28" spans="2:20" x14ac:dyDescent="0.15">
      <c r="B28" s="33" t="s">
        <v>23</v>
      </c>
      <c r="C28" s="27"/>
      <c r="D28" s="21">
        <v>1</v>
      </c>
      <c r="E28" s="53">
        <f t="shared" si="0"/>
        <v>1</v>
      </c>
      <c r="F28" s="32"/>
      <c r="G28" s="8">
        <v>1</v>
      </c>
      <c r="H28" s="62">
        <f t="shared" si="1"/>
        <v>1</v>
      </c>
      <c r="I28" s="37">
        <f t="shared" si="8"/>
        <v>2</v>
      </c>
      <c r="J28" s="36">
        <v>45246</v>
      </c>
      <c r="L28" s="6"/>
      <c r="M28" s="27"/>
      <c r="N28" s="21"/>
      <c r="O28" s="53">
        <f t="shared" si="9"/>
        <v>0</v>
      </c>
      <c r="P28" s="32"/>
      <c r="Q28" s="8"/>
      <c r="R28" s="62">
        <f t="shared" si="10"/>
        <v>0</v>
      </c>
      <c r="S28" s="37">
        <f t="shared" si="11"/>
        <v>0</v>
      </c>
      <c r="T28" s="36"/>
    </row>
    <row r="29" spans="2:20" x14ac:dyDescent="0.15">
      <c r="B29" s="33" t="s">
        <v>23</v>
      </c>
      <c r="C29" s="27"/>
      <c r="D29" s="21"/>
      <c r="E29" s="53">
        <f t="shared" si="0"/>
        <v>0</v>
      </c>
      <c r="F29" s="32">
        <v>1</v>
      </c>
      <c r="G29" s="8"/>
      <c r="H29" s="62">
        <f t="shared" si="1"/>
        <v>1</v>
      </c>
      <c r="I29" s="37">
        <f t="shared" si="8"/>
        <v>1</v>
      </c>
      <c r="J29" s="36">
        <v>45247</v>
      </c>
      <c r="L29" s="6"/>
      <c r="M29" s="27"/>
      <c r="N29" s="21"/>
      <c r="O29" s="53">
        <f t="shared" si="9"/>
        <v>0</v>
      </c>
      <c r="P29" s="32"/>
      <c r="Q29" s="8"/>
      <c r="R29" s="62">
        <f t="shared" si="10"/>
        <v>0</v>
      </c>
      <c r="S29" s="37">
        <f t="shared" si="11"/>
        <v>0</v>
      </c>
      <c r="T29" s="36"/>
    </row>
    <row r="30" spans="2:20" x14ac:dyDescent="0.15">
      <c r="B30" s="6" t="s">
        <v>43</v>
      </c>
      <c r="C30" s="24"/>
      <c r="D30" s="18"/>
      <c r="E30" s="53">
        <f t="shared" si="0"/>
        <v>0</v>
      </c>
      <c r="F30" s="30"/>
      <c r="G30" s="7">
        <v>2</v>
      </c>
      <c r="H30" s="62">
        <f t="shared" si="1"/>
        <v>2</v>
      </c>
      <c r="I30" s="37">
        <f t="shared" si="8"/>
        <v>2</v>
      </c>
      <c r="J30" s="35">
        <v>45252</v>
      </c>
      <c r="L30" s="6"/>
      <c r="M30" s="27"/>
      <c r="N30" s="21"/>
      <c r="O30" s="53">
        <f t="shared" si="9"/>
        <v>0</v>
      </c>
      <c r="P30" s="32"/>
      <c r="Q30" s="8"/>
      <c r="R30" s="62">
        <f t="shared" si="10"/>
        <v>0</v>
      </c>
      <c r="S30" s="37">
        <f t="shared" si="11"/>
        <v>0</v>
      </c>
      <c r="T30" s="36"/>
    </row>
    <row r="31" spans="2:20" x14ac:dyDescent="0.15">
      <c r="B31" s="6" t="s">
        <v>44</v>
      </c>
      <c r="C31" s="24"/>
      <c r="D31" s="18"/>
      <c r="E31" s="53">
        <f t="shared" si="0"/>
        <v>0</v>
      </c>
      <c r="F31" s="30">
        <v>1</v>
      </c>
      <c r="G31" s="7"/>
      <c r="H31" s="62">
        <f t="shared" si="1"/>
        <v>1</v>
      </c>
      <c r="I31" s="37">
        <f t="shared" si="8"/>
        <v>1</v>
      </c>
      <c r="J31" s="35">
        <v>45254</v>
      </c>
      <c r="L31" s="6"/>
      <c r="M31" s="24"/>
      <c r="N31" s="18"/>
      <c r="O31" s="53">
        <f t="shared" si="9"/>
        <v>0</v>
      </c>
      <c r="P31" s="30"/>
      <c r="Q31" s="7"/>
      <c r="R31" s="62">
        <f t="shared" si="10"/>
        <v>0</v>
      </c>
      <c r="S31" s="37">
        <f t="shared" si="11"/>
        <v>0</v>
      </c>
      <c r="T31" s="35"/>
    </row>
    <row r="32" spans="2:20" x14ac:dyDescent="0.15">
      <c r="B32" s="86" t="s">
        <v>47</v>
      </c>
      <c r="C32" s="78"/>
      <c r="D32" s="79">
        <v>1</v>
      </c>
      <c r="E32" s="80">
        <f t="shared" si="0"/>
        <v>1</v>
      </c>
      <c r="F32" s="81">
        <v>1</v>
      </c>
      <c r="G32" s="82"/>
      <c r="H32" s="83">
        <f t="shared" si="1"/>
        <v>1</v>
      </c>
      <c r="I32" s="84">
        <f t="shared" si="8"/>
        <v>2</v>
      </c>
      <c r="J32" s="85">
        <v>45251</v>
      </c>
      <c r="L32" s="6"/>
      <c r="M32" s="24"/>
      <c r="N32" s="18"/>
      <c r="O32" s="53">
        <f t="shared" si="9"/>
        <v>0</v>
      </c>
      <c r="P32" s="30"/>
      <c r="Q32" s="7"/>
      <c r="R32" s="62">
        <f t="shared" si="10"/>
        <v>0</v>
      </c>
      <c r="S32" s="37">
        <f t="shared" si="11"/>
        <v>0</v>
      </c>
      <c r="T32" s="35"/>
    </row>
    <row r="33" spans="1:20" x14ac:dyDescent="0.15">
      <c r="B33" s="86" t="s">
        <v>48</v>
      </c>
      <c r="C33" s="78">
        <v>2</v>
      </c>
      <c r="D33" s="79"/>
      <c r="E33" s="80">
        <f t="shared" si="0"/>
        <v>2</v>
      </c>
      <c r="F33" s="81"/>
      <c r="G33" s="82">
        <v>1</v>
      </c>
      <c r="H33" s="83">
        <f t="shared" si="1"/>
        <v>1</v>
      </c>
      <c r="I33" s="84">
        <f t="shared" si="8"/>
        <v>3</v>
      </c>
      <c r="J33" s="85">
        <v>45254</v>
      </c>
      <c r="L33" s="6"/>
      <c r="M33" s="24"/>
      <c r="N33" s="18"/>
      <c r="O33" s="53">
        <f t="shared" si="9"/>
        <v>0</v>
      </c>
      <c r="P33" s="30"/>
      <c r="Q33" s="7"/>
      <c r="R33" s="62">
        <f t="shared" si="10"/>
        <v>0</v>
      </c>
      <c r="S33" s="37">
        <f t="shared" si="11"/>
        <v>0</v>
      </c>
      <c r="T33" s="35"/>
    </row>
    <row r="34" spans="1:20" x14ac:dyDescent="0.15">
      <c r="B34" s="77" t="s">
        <v>23</v>
      </c>
      <c r="C34" s="78"/>
      <c r="D34" s="79">
        <v>1</v>
      </c>
      <c r="E34" s="80">
        <f t="shared" si="0"/>
        <v>1</v>
      </c>
      <c r="F34" s="81"/>
      <c r="G34" s="82">
        <v>1</v>
      </c>
      <c r="H34" s="83">
        <f t="shared" si="1"/>
        <v>1</v>
      </c>
      <c r="I34" s="84">
        <f t="shared" si="8"/>
        <v>2</v>
      </c>
      <c r="J34" s="85">
        <v>45252</v>
      </c>
      <c r="L34" s="6"/>
      <c r="M34" s="24"/>
      <c r="N34" s="18"/>
      <c r="O34" s="53">
        <f t="shared" ref="O34" si="21">SUM(M34:N34)</f>
        <v>0</v>
      </c>
      <c r="P34" s="30"/>
      <c r="Q34" s="7"/>
      <c r="R34" s="62">
        <f t="shared" ref="R34" si="22">SUM(P34:Q34)</f>
        <v>0</v>
      </c>
      <c r="S34" s="37">
        <f t="shared" ref="S34" si="23">O34+R34</f>
        <v>0</v>
      </c>
      <c r="T34" s="35"/>
    </row>
    <row r="35" spans="1:20" x14ac:dyDescent="0.15">
      <c r="B35" s="6" t="s">
        <v>49</v>
      </c>
      <c r="C35" s="24"/>
      <c r="D35" s="18"/>
      <c r="E35" s="88">
        <f t="shared" ref="E35" si="24">SUM(C35:D35)</f>
        <v>0</v>
      </c>
      <c r="F35" s="24">
        <v>1</v>
      </c>
      <c r="G35" s="18">
        <v>1</v>
      </c>
      <c r="H35" s="89">
        <f t="shared" ref="H35" si="25">SUM(F35:G35)</f>
        <v>2</v>
      </c>
      <c r="I35" s="90">
        <f t="shared" ref="I35" si="26">E35+H35</f>
        <v>2</v>
      </c>
      <c r="J35" s="35">
        <v>45258</v>
      </c>
      <c r="L35" s="6"/>
      <c r="M35" s="24"/>
      <c r="N35" s="18"/>
      <c r="O35" s="53">
        <f t="shared" si="9"/>
        <v>0</v>
      </c>
      <c r="P35" s="30"/>
      <c r="Q35" s="7"/>
      <c r="R35" s="62">
        <f t="shared" si="10"/>
        <v>0</v>
      </c>
      <c r="S35" s="37">
        <f t="shared" si="11"/>
        <v>0</v>
      </c>
      <c r="T35" s="35"/>
    </row>
    <row r="36" spans="1:20" ht="14.25" thickBot="1" x14ac:dyDescent="0.2">
      <c r="B36" s="33" t="s">
        <v>49</v>
      </c>
      <c r="C36" s="87"/>
      <c r="D36" s="5"/>
      <c r="E36" s="54">
        <f t="shared" si="0"/>
        <v>0</v>
      </c>
      <c r="F36" s="31"/>
      <c r="G36" s="5"/>
      <c r="H36" s="63">
        <f t="shared" si="1"/>
        <v>0</v>
      </c>
      <c r="I36" s="38">
        <f t="shared" si="8"/>
        <v>0</v>
      </c>
      <c r="J36" s="35"/>
      <c r="L36" s="6" t="s">
        <v>13</v>
      </c>
      <c r="M36" s="28"/>
      <c r="N36" s="19"/>
      <c r="O36" s="54">
        <f t="shared" si="9"/>
        <v>0</v>
      </c>
      <c r="P36" s="31"/>
      <c r="Q36" s="5"/>
      <c r="R36" s="63">
        <f t="shared" si="10"/>
        <v>0</v>
      </c>
      <c r="S36" s="38">
        <f t="shared" si="11"/>
        <v>0</v>
      </c>
      <c r="T36" s="35" t="s">
        <v>14</v>
      </c>
    </row>
    <row r="37" spans="1:20" ht="14.25" thickBot="1" x14ac:dyDescent="0.2">
      <c r="B37" s="4" t="s">
        <v>1</v>
      </c>
      <c r="C37" s="26">
        <f>SUM(C12:C36)</f>
        <v>14</v>
      </c>
      <c r="D37" s="20">
        <f>SUM(D12:D36)</f>
        <v>15</v>
      </c>
      <c r="E37" s="55">
        <f t="shared" si="0"/>
        <v>29</v>
      </c>
      <c r="F37" s="26">
        <f>SUM(F12:F36)</f>
        <v>10</v>
      </c>
      <c r="G37" s="20">
        <f>SUM(G12:G36)</f>
        <v>13</v>
      </c>
      <c r="H37" s="64">
        <f t="shared" si="1"/>
        <v>23</v>
      </c>
      <c r="I37" s="39">
        <f t="shared" si="8"/>
        <v>52</v>
      </c>
      <c r="L37" s="4" t="s">
        <v>1</v>
      </c>
      <c r="M37" s="26">
        <f>SUM(M12:M36)</f>
        <v>39</v>
      </c>
      <c r="N37" s="20">
        <f t="shared" ref="N37" si="27">SUM(N12:N36)</f>
        <v>34</v>
      </c>
      <c r="O37" s="55">
        <f t="shared" ref="O37" si="28">SUM(O12:O36)</f>
        <v>73</v>
      </c>
      <c r="P37" s="26">
        <f t="shared" ref="P37" si="29">SUM(P12:P36)</f>
        <v>22</v>
      </c>
      <c r="Q37" s="20">
        <f t="shared" ref="Q37" si="30">SUM(Q12:Q36)</f>
        <v>24</v>
      </c>
      <c r="R37" s="64">
        <f t="shared" ref="R37" si="31">SUM(R12:R36)</f>
        <v>46</v>
      </c>
      <c r="S37" s="39">
        <f t="shared" ref="S37" si="32">SUM(S12:S36)</f>
        <v>119</v>
      </c>
      <c r="T37" s="34"/>
    </row>
    <row r="38" spans="1:20" ht="14.25" thickBot="1" x14ac:dyDescent="0.2">
      <c r="B38" s="3" t="s">
        <v>0</v>
      </c>
      <c r="C38" s="29">
        <f>+C11-C37</f>
        <v>9</v>
      </c>
      <c r="D38" s="2">
        <f>+D11-D37</f>
        <v>7</v>
      </c>
      <c r="E38" s="56">
        <f t="shared" si="0"/>
        <v>16</v>
      </c>
      <c r="F38" s="29">
        <f>+F11-F37</f>
        <v>8</v>
      </c>
      <c r="G38" s="2">
        <f>+G11-G37</f>
        <v>4</v>
      </c>
      <c r="H38" s="65">
        <f t="shared" si="1"/>
        <v>12</v>
      </c>
      <c r="I38" s="41">
        <f t="shared" si="8"/>
        <v>28</v>
      </c>
      <c r="L38" s="3" t="s">
        <v>0</v>
      </c>
      <c r="M38" s="29">
        <f>+M11-M37</f>
        <v>211</v>
      </c>
      <c r="N38" s="2">
        <f t="shared" ref="N38" si="33">+N11-N37</f>
        <v>266</v>
      </c>
      <c r="O38" s="56">
        <f t="shared" ref="O38" si="34">+O11-O37</f>
        <v>477</v>
      </c>
      <c r="P38" s="29">
        <f t="shared" ref="P38" si="35">+P11-P37</f>
        <v>178</v>
      </c>
      <c r="Q38" s="2">
        <f t="shared" ref="Q38" si="36">+Q11-Q37</f>
        <v>226</v>
      </c>
      <c r="R38" s="65">
        <f t="shared" ref="R38" si="37">+R11-R37</f>
        <v>404</v>
      </c>
      <c r="S38" s="41">
        <f t="shared" ref="S38" si="38">+S11-S37</f>
        <v>881</v>
      </c>
      <c r="T38" s="34"/>
    </row>
    <row r="39" spans="1:20" x14ac:dyDescent="0.15">
      <c r="B39"/>
      <c r="J39"/>
    </row>
    <row r="40" spans="1:20" x14ac:dyDescent="0.15">
      <c r="B40"/>
      <c r="J40"/>
    </row>
    <row r="41" spans="1:20" ht="18.75" x14ac:dyDescent="0.2">
      <c r="B41" s="16" t="s">
        <v>28</v>
      </c>
      <c r="C41" s="15"/>
      <c r="D41" s="15"/>
      <c r="E41" s="15"/>
      <c r="F41" s="15"/>
      <c r="G41" s="15"/>
      <c r="H41" s="15"/>
      <c r="I41" s="15"/>
      <c r="L41" s="69" t="s">
        <v>29</v>
      </c>
      <c r="M41" s="70"/>
      <c r="N41" s="70"/>
      <c r="O41" s="70"/>
      <c r="P41" s="70"/>
      <c r="Q41" s="70"/>
      <c r="R41" s="70"/>
      <c r="S41" s="70"/>
      <c r="T41" s="34"/>
    </row>
    <row r="42" spans="1:20" ht="15" thickBot="1" x14ac:dyDescent="0.2">
      <c r="B42" s="75" t="s">
        <v>26</v>
      </c>
      <c r="C42" s="15"/>
      <c r="D42" s="15"/>
      <c r="E42" s="15"/>
      <c r="F42" s="15"/>
      <c r="G42" s="15"/>
      <c r="H42" s="15"/>
      <c r="I42" s="15"/>
      <c r="L42" s="76" t="s">
        <v>25</v>
      </c>
      <c r="M42" s="70"/>
      <c r="N42" s="70"/>
      <c r="O42" s="70"/>
      <c r="P42" s="70"/>
      <c r="Q42" s="70"/>
      <c r="R42" s="70"/>
      <c r="S42" s="70"/>
      <c r="T42" s="34"/>
    </row>
    <row r="43" spans="1:20" ht="14.25" thickBot="1" x14ac:dyDescent="0.2">
      <c r="B43" s="14"/>
      <c r="C43" s="117" t="s">
        <v>8</v>
      </c>
      <c r="D43" s="118"/>
      <c r="E43" s="119"/>
      <c r="F43" s="120" t="s">
        <v>10</v>
      </c>
      <c r="G43" s="121"/>
      <c r="H43" s="121"/>
      <c r="I43" s="115" t="s">
        <v>9</v>
      </c>
      <c r="L43" s="14"/>
      <c r="M43" s="117" t="s">
        <v>8</v>
      </c>
      <c r="N43" s="118"/>
      <c r="O43" s="119"/>
      <c r="P43" s="120" t="s">
        <v>10</v>
      </c>
      <c r="Q43" s="121"/>
      <c r="R43" s="121"/>
      <c r="S43" s="115" t="s">
        <v>9</v>
      </c>
      <c r="T43" s="34"/>
    </row>
    <row r="44" spans="1:20" ht="14.25" thickBot="1" x14ac:dyDescent="0.2">
      <c r="A44" s="1"/>
      <c r="B44" s="13"/>
      <c r="C44" s="22" t="s">
        <v>6</v>
      </c>
      <c r="D44" s="12" t="s">
        <v>5</v>
      </c>
      <c r="E44" s="48" t="s">
        <v>4</v>
      </c>
      <c r="F44" s="22" t="s">
        <v>6</v>
      </c>
      <c r="G44" s="12" t="s">
        <v>5</v>
      </c>
      <c r="H44" s="57" t="s">
        <v>4</v>
      </c>
      <c r="I44" s="116"/>
      <c r="K44" s="1"/>
      <c r="L44" s="13"/>
      <c r="M44" s="22" t="s">
        <v>6</v>
      </c>
      <c r="N44" s="12" t="s">
        <v>5</v>
      </c>
      <c r="O44" s="48" t="s">
        <v>4</v>
      </c>
      <c r="P44" s="22" t="s">
        <v>6</v>
      </c>
      <c r="Q44" s="12" t="s">
        <v>5</v>
      </c>
      <c r="R44" s="57" t="s">
        <v>4</v>
      </c>
      <c r="S44" s="116"/>
      <c r="T44" s="34"/>
    </row>
    <row r="45" spans="1:20" x14ac:dyDescent="0.15">
      <c r="B45" s="45" t="s">
        <v>0</v>
      </c>
      <c r="C45" s="46">
        <f>C38</f>
        <v>9</v>
      </c>
      <c r="D45" s="47">
        <f t="shared" ref="D45:H45" si="39">D38</f>
        <v>7</v>
      </c>
      <c r="E45" s="66">
        <f t="shared" si="39"/>
        <v>16</v>
      </c>
      <c r="F45" s="46">
        <f t="shared" si="39"/>
        <v>8</v>
      </c>
      <c r="G45" s="47">
        <f t="shared" si="39"/>
        <v>4</v>
      </c>
      <c r="H45" s="67">
        <f t="shared" si="39"/>
        <v>12</v>
      </c>
      <c r="I45" s="40">
        <f>E45+H45</f>
        <v>28</v>
      </c>
      <c r="J45" s="35"/>
      <c r="L45" s="45" t="s">
        <v>0</v>
      </c>
      <c r="M45" s="46">
        <f>M38</f>
        <v>211</v>
      </c>
      <c r="N45" s="47">
        <f t="shared" ref="N45:S45" si="40">N38</f>
        <v>266</v>
      </c>
      <c r="O45" s="66">
        <f t="shared" si="40"/>
        <v>477</v>
      </c>
      <c r="P45" s="46">
        <f t="shared" si="40"/>
        <v>178</v>
      </c>
      <c r="Q45" s="47">
        <f t="shared" si="40"/>
        <v>226</v>
      </c>
      <c r="R45" s="67">
        <f t="shared" si="40"/>
        <v>404</v>
      </c>
      <c r="S45" s="40">
        <f t="shared" si="40"/>
        <v>881</v>
      </c>
      <c r="T45" s="35"/>
    </row>
    <row r="46" spans="1:20" x14ac:dyDescent="0.15">
      <c r="B46" s="11" t="s">
        <v>3</v>
      </c>
      <c r="C46" s="24">
        <v>5</v>
      </c>
      <c r="D46" s="18">
        <v>5</v>
      </c>
      <c r="E46" s="50">
        <f t="shared" ref="E46:E78" si="41">SUM(C46:D46)</f>
        <v>10</v>
      </c>
      <c r="F46" s="30">
        <v>5</v>
      </c>
      <c r="G46" s="7">
        <v>5</v>
      </c>
      <c r="H46" s="59">
        <f t="shared" ref="H46:H78" si="42">SUM(F46:G46)</f>
        <v>10</v>
      </c>
      <c r="I46" s="37">
        <f t="shared" ref="I46:I78" si="43">E46+H46</f>
        <v>20</v>
      </c>
      <c r="J46" s="35">
        <v>45254</v>
      </c>
      <c r="L46" s="11" t="s">
        <v>3</v>
      </c>
      <c r="M46" s="24"/>
      <c r="N46" s="18"/>
      <c r="O46" s="50">
        <f t="shared" ref="O46:O72" si="44">SUM(M46:N46)</f>
        <v>0</v>
      </c>
      <c r="P46" s="30"/>
      <c r="Q46" s="7"/>
      <c r="R46" s="59">
        <f t="shared" ref="R46:R72" si="45">SUM(P46:Q46)</f>
        <v>0</v>
      </c>
      <c r="S46" s="37">
        <f t="shared" ref="S46:S75" si="46">O46+R46</f>
        <v>0</v>
      </c>
      <c r="T46" s="35"/>
    </row>
    <row r="47" spans="1:20" x14ac:dyDescent="0.15">
      <c r="B47" s="11" t="s">
        <v>3</v>
      </c>
      <c r="C47" s="24">
        <v>5</v>
      </c>
      <c r="D47" s="18">
        <v>5</v>
      </c>
      <c r="E47" s="50">
        <f t="shared" si="41"/>
        <v>10</v>
      </c>
      <c r="F47" s="30"/>
      <c r="G47" s="7">
        <v>10</v>
      </c>
      <c r="H47" s="59">
        <f t="shared" si="42"/>
        <v>10</v>
      </c>
      <c r="I47" s="37">
        <f t="shared" ref="I47" si="47">E47+H47</f>
        <v>20</v>
      </c>
      <c r="J47" s="35">
        <v>45285</v>
      </c>
      <c r="L47" s="11" t="s">
        <v>12</v>
      </c>
      <c r="M47" s="24">
        <v>250</v>
      </c>
      <c r="N47" s="18">
        <v>300</v>
      </c>
      <c r="O47" s="50">
        <f t="shared" si="44"/>
        <v>550</v>
      </c>
      <c r="P47" s="30">
        <v>200</v>
      </c>
      <c r="Q47" s="7">
        <v>250</v>
      </c>
      <c r="R47" s="59">
        <f t="shared" si="45"/>
        <v>450</v>
      </c>
      <c r="S47" s="37">
        <f t="shared" si="46"/>
        <v>1000</v>
      </c>
      <c r="T47" s="35" t="s">
        <v>52</v>
      </c>
    </row>
    <row r="48" spans="1:20" x14ac:dyDescent="0.15">
      <c r="B48" s="11" t="s">
        <v>3</v>
      </c>
      <c r="C48" s="24">
        <v>5</v>
      </c>
      <c r="D48" s="18">
        <v>5</v>
      </c>
      <c r="E48" s="50">
        <f t="shared" ref="E48:E50" si="48">SUM(C48:D48)</f>
        <v>10</v>
      </c>
      <c r="F48" s="30">
        <v>10</v>
      </c>
      <c r="G48" s="7">
        <v>5</v>
      </c>
      <c r="H48" s="59">
        <f t="shared" ref="H48:H50" si="49">SUM(F48:G48)</f>
        <v>15</v>
      </c>
      <c r="I48" s="37">
        <f t="shared" si="43"/>
        <v>25</v>
      </c>
      <c r="J48" s="35">
        <v>45288</v>
      </c>
      <c r="L48" s="11" t="s">
        <v>3</v>
      </c>
      <c r="M48" s="24"/>
      <c r="N48" s="18"/>
      <c r="O48" s="50">
        <f t="shared" si="44"/>
        <v>0</v>
      </c>
      <c r="P48" s="30"/>
      <c r="Q48" s="7"/>
      <c r="R48" s="59">
        <f t="shared" si="45"/>
        <v>0</v>
      </c>
      <c r="S48" s="37">
        <f t="shared" si="46"/>
        <v>0</v>
      </c>
      <c r="T48" s="35"/>
    </row>
    <row r="49" spans="2:21" x14ac:dyDescent="0.15">
      <c r="B49" s="11" t="s">
        <v>63</v>
      </c>
      <c r="C49" s="24"/>
      <c r="D49" s="18">
        <v>1</v>
      </c>
      <c r="E49" s="50">
        <f t="shared" si="48"/>
        <v>1</v>
      </c>
      <c r="F49" s="30"/>
      <c r="G49" s="7"/>
      <c r="H49" s="59">
        <f t="shared" si="49"/>
        <v>0</v>
      </c>
      <c r="I49" s="37">
        <f t="shared" si="43"/>
        <v>1</v>
      </c>
      <c r="J49" s="35">
        <v>45306</v>
      </c>
      <c r="L49" s="11" t="s">
        <v>3</v>
      </c>
      <c r="M49" s="24"/>
      <c r="N49" s="18"/>
      <c r="O49" s="50">
        <f t="shared" ref="O49" si="50">SUM(M49:N49)</f>
        <v>0</v>
      </c>
      <c r="P49" s="30"/>
      <c r="Q49" s="7"/>
      <c r="R49" s="59">
        <f t="shared" ref="R49" si="51">SUM(P49:Q49)</f>
        <v>0</v>
      </c>
      <c r="S49" s="37">
        <f t="shared" ref="S49" si="52">O49+R49</f>
        <v>0</v>
      </c>
      <c r="T49" s="35"/>
    </row>
    <row r="50" spans="2:21" ht="14.25" thickBot="1" x14ac:dyDescent="0.2">
      <c r="B50" s="93" t="s">
        <v>64</v>
      </c>
      <c r="C50" s="28"/>
      <c r="D50" s="94"/>
      <c r="E50" s="95">
        <f t="shared" si="48"/>
        <v>0</v>
      </c>
      <c r="F50" s="28"/>
      <c r="G50" s="94">
        <v>1</v>
      </c>
      <c r="H50" s="96">
        <f t="shared" si="49"/>
        <v>1</v>
      </c>
      <c r="I50" s="97">
        <f t="shared" si="43"/>
        <v>1</v>
      </c>
      <c r="J50" s="35">
        <v>45311</v>
      </c>
      <c r="L50" s="10" t="s">
        <v>3</v>
      </c>
      <c r="M50" s="25"/>
      <c r="N50" s="19"/>
      <c r="O50" s="51">
        <f t="shared" si="44"/>
        <v>0</v>
      </c>
      <c r="P50" s="31"/>
      <c r="Q50" s="5"/>
      <c r="R50" s="60">
        <f t="shared" si="45"/>
        <v>0</v>
      </c>
      <c r="S50" s="38">
        <f t="shared" si="46"/>
        <v>0</v>
      </c>
      <c r="T50" s="35"/>
    </row>
    <row r="51" spans="2:21" ht="14.25" thickBot="1" x14ac:dyDescent="0.2">
      <c r="B51" s="3" t="s">
        <v>2</v>
      </c>
      <c r="C51" s="29">
        <f>SUM(C45:C50)</f>
        <v>24</v>
      </c>
      <c r="D51" s="2">
        <f>SUM(D45:D50)</f>
        <v>23</v>
      </c>
      <c r="E51" s="52">
        <f t="shared" si="41"/>
        <v>47</v>
      </c>
      <c r="F51" s="29">
        <f>SUM(F45:F50)</f>
        <v>23</v>
      </c>
      <c r="G51" s="2">
        <f>SUM(G45:G50)</f>
        <v>25</v>
      </c>
      <c r="H51" s="61">
        <f t="shared" si="42"/>
        <v>48</v>
      </c>
      <c r="I51" s="92">
        <f t="shared" si="43"/>
        <v>95</v>
      </c>
      <c r="L51" s="42" t="s">
        <v>2</v>
      </c>
      <c r="M51" s="43">
        <f>SUM(M45:M50)</f>
        <v>461</v>
      </c>
      <c r="N51" s="44">
        <f t="shared" ref="N51" si="53">SUM(N45:N50)</f>
        <v>566</v>
      </c>
      <c r="O51" s="104">
        <f t="shared" ref="O51" si="54">SUM(O45:O50)</f>
        <v>1027</v>
      </c>
      <c r="P51" s="43">
        <f t="shared" ref="P51" si="55">SUM(P45:P50)</f>
        <v>378</v>
      </c>
      <c r="Q51" s="44">
        <f t="shared" ref="Q51" si="56">SUM(Q45:Q50)</f>
        <v>476</v>
      </c>
      <c r="R51" s="105">
        <f t="shared" ref="R51" si="57">SUM(R45:R50)</f>
        <v>854</v>
      </c>
      <c r="S51" s="41">
        <f t="shared" ref="S51" si="58">SUM(S45:S50)</f>
        <v>1881</v>
      </c>
      <c r="T51" s="34"/>
    </row>
    <row r="52" spans="2:21" x14ac:dyDescent="0.15">
      <c r="B52" s="77" t="s">
        <v>23</v>
      </c>
      <c r="C52" s="23"/>
      <c r="D52" s="17">
        <v>1</v>
      </c>
      <c r="E52" s="53">
        <f t="shared" si="41"/>
        <v>1</v>
      </c>
      <c r="F52" s="30"/>
      <c r="G52" s="7">
        <v>1</v>
      </c>
      <c r="H52" s="62">
        <f t="shared" si="42"/>
        <v>1</v>
      </c>
      <c r="I52" s="37">
        <f t="shared" si="43"/>
        <v>2</v>
      </c>
      <c r="J52" s="35">
        <v>45257</v>
      </c>
      <c r="L52" s="77" t="s">
        <v>21</v>
      </c>
      <c r="M52" s="78">
        <v>5</v>
      </c>
      <c r="N52" s="79">
        <v>5</v>
      </c>
      <c r="O52" s="80">
        <f t="shared" si="44"/>
        <v>10</v>
      </c>
      <c r="P52" s="81">
        <v>5</v>
      </c>
      <c r="Q52" s="82">
        <v>5</v>
      </c>
      <c r="R52" s="83">
        <f t="shared" si="45"/>
        <v>10</v>
      </c>
      <c r="S52" s="84">
        <f t="shared" si="46"/>
        <v>20</v>
      </c>
      <c r="T52" s="85">
        <v>45254</v>
      </c>
    </row>
    <row r="53" spans="2:21" x14ac:dyDescent="0.15">
      <c r="B53" s="6" t="s">
        <v>53</v>
      </c>
      <c r="C53" s="24">
        <v>1</v>
      </c>
      <c r="D53" s="18"/>
      <c r="E53" s="53">
        <f t="shared" si="41"/>
        <v>1</v>
      </c>
      <c r="F53" s="30"/>
      <c r="G53" s="7"/>
      <c r="H53" s="62">
        <f t="shared" si="42"/>
        <v>0</v>
      </c>
      <c r="I53" s="37">
        <f t="shared" si="43"/>
        <v>1</v>
      </c>
      <c r="J53" s="35">
        <v>45271</v>
      </c>
      <c r="L53" s="6" t="s">
        <v>54</v>
      </c>
      <c r="M53" s="24">
        <v>5</v>
      </c>
      <c r="N53" s="18">
        <v>6</v>
      </c>
      <c r="O53" s="53">
        <f t="shared" si="44"/>
        <v>11</v>
      </c>
      <c r="P53" s="30">
        <v>5</v>
      </c>
      <c r="Q53" s="7">
        <v>6</v>
      </c>
      <c r="R53" s="62">
        <f t="shared" si="45"/>
        <v>11</v>
      </c>
      <c r="S53" s="37">
        <f t="shared" si="46"/>
        <v>22</v>
      </c>
      <c r="T53" s="35">
        <v>45279</v>
      </c>
    </row>
    <row r="54" spans="2:21" x14ac:dyDescent="0.15">
      <c r="B54" s="77" t="s">
        <v>23</v>
      </c>
      <c r="C54" s="24">
        <v>1</v>
      </c>
      <c r="D54" s="18"/>
      <c r="E54" s="53">
        <f t="shared" si="41"/>
        <v>1</v>
      </c>
      <c r="F54" s="30">
        <v>1</v>
      </c>
      <c r="G54" s="7"/>
      <c r="H54" s="62">
        <f t="shared" si="42"/>
        <v>1</v>
      </c>
      <c r="I54" s="37">
        <f t="shared" si="43"/>
        <v>2</v>
      </c>
      <c r="J54" s="35">
        <v>45271</v>
      </c>
      <c r="L54" s="6" t="s">
        <v>56</v>
      </c>
      <c r="M54" s="24">
        <v>5</v>
      </c>
      <c r="N54" s="18"/>
      <c r="O54" s="53">
        <f t="shared" si="44"/>
        <v>5</v>
      </c>
      <c r="P54" s="30"/>
      <c r="Q54" s="7"/>
      <c r="R54" s="62">
        <f t="shared" si="45"/>
        <v>0</v>
      </c>
      <c r="S54" s="37">
        <f t="shared" si="46"/>
        <v>5</v>
      </c>
      <c r="T54" s="35">
        <v>45281</v>
      </c>
    </row>
    <row r="55" spans="2:21" x14ac:dyDescent="0.15">
      <c r="B55" s="77" t="s">
        <v>23</v>
      </c>
      <c r="C55" s="24"/>
      <c r="D55" s="18"/>
      <c r="E55" s="53">
        <f t="shared" si="41"/>
        <v>0</v>
      </c>
      <c r="F55" s="30">
        <v>1</v>
      </c>
      <c r="G55" s="7"/>
      <c r="H55" s="62">
        <f t="shared" si="42"/>
        <v>1</v>
      </c>
      <c r="I55" s="37">
        <f t="shared" si="43"/>
        <v>1</v>
      </c>
      <c r="J55" s="35">
        <v>45273</v>
      </c>
      <c r="L55" s="33" t="s">
        <v>21</v>
      </c>
      <c r="M55" s="24">
        <v>5</v>
      </c>
      <c r="N55" s="18">
        <v>5</v>
      </c>
      <c r="O55" s="53">
        <f t="shared" si="44"/>
        <v>10</v>
      </c>
      <c r="P55" s="30"/>
      <c r="Q55" s="7">
        <v>10</v>
      </c>
      <c r="R55" s="62">
        <f t="shared" si="45"/>
        <v>10</v>
      </c>
      <c r="S55" s="37">
        <f t="shared" si="46"/>
        <v>20</v>
      </c>
      <c r="T55" s="35">
        <v>45285</v>
      </c>
    </row>
    <row r="56" spans="2:21" x14ac:dyDescent="0.15">
      <c r="B56" s="6" t="s">
        <v>55</v>
      </c>
      <c r="C56" s="24">
        <v>1</v>
      </c>
      <c r="D56" s="18"/>
      <c r="E56" s="53">
        <f t="shared" si="41"/>
        <v>1</v>
      </c>
      <c r="F56" s="30"/>
      <c r="G56" s="7"/>
      <c r="H56" s="62">
        <f t="shared" si="42"/>
        <v>0</v>
      </c>
      <c r="I56" s="37">
        <f t="shared" si="43"/>
        <v>1</v>
      </c>
      <c r="J56" s="35">
        <v>45280</v>
      </c>
      <c r="L56" s="33" t="s">
        <v>21</v>
      </c>
      <c r="M56" s="24">
        <v>5</v>
      </c>
      <c r="N56" s="18">
        <v>5</v>
      </c>
      <c r="O56" s="53">
        <f t="shared" si="44"/>
        <v>10</v>
      </c>
      <c r="P56" s="30">
        <v>10</v>
      </c>
      <c r="Q56" s="7">
        <v>5</v>
      </c>
      <c r="R56" s="62">
        <f t="shared" si="45"/>
        <v>15</v>
      </c>
      <c r="S56" s="37">
        <f t="shared" si="46"/>
        <v>25</v>
      </c>
      <c r="T56" s="35">
        <v>45288</v>
      </c>
      <c r="U56" s="91"/>
    </row>
    <row r="57" spans="2:21" x14ac:dyDescent="0.15">
      <c r="B57" s="6" t="s">
        <v>47</v>
      </c>
      <c r="C57" s="24">
        <v>4</v>
      </c>
      <c r="D57" s="18">
        <v>3</v>
      </c>
      <c r="E57" s="53">
        <f t="shared" si="41"/>
        <v>7</v>
      </c>
      <c r="F57" s="30">
        <v>4</v>
      </c>
      <c r="G57" s="7">
        <v>2</v>
      </c>
      <c r="H57" s="62">
        <f t="shared" si="42"/>
        <v>6</v>
      </c>
      <c r="I57" s="37">
        <f t="shared" si="43"/>
        <v>13</v>
      </c>
      <c r="J57" s="35">
        <v>45279</v>
      </c>
      <c r="L57" s="6" t="s">
        <v>61</v>
      </c>
      <c r="M57" s="24">
        <v>7</v>
      </c>
      <c r="N57" s="18">
        <v>4</v>
      </c>
      <c r="O57" s="53">
        <f t="shared" ref="O57:O58" si="59">SUM(M57:N57)</f>
        <v>11</v>
      </c>
      <c r="P57" s="30">
        <v>7</v>
      </c>
      <c r="Q57" s="7">
        <v>4</v>
      </c>
      <c r="R57" s="62">
        <f t="shared" ref="R57:R58" si="60">SUM(P57:Q57)</f>
        <v>11</v>
      </c>
      <c r="S57" s="37">
        <f t="shared" ref="S57:S58" si="61">O57+R57</f>
        <v>22</v>
      </c>
      <c r="T57" s="35">
        <v>45307</v>
      </c>
    </row>
    <row r="58" spans="2:21" x14ac:dyDescent="0.15">
      <c r="B58" s="6" t="s">
        <v>57</v>
      </c>
      <c r="C58" s="24"/>
      <c r="D58" s="18"/>
      <c r="E58" s="53">
        <f t="shared" si="41"/>
        <v>0</v>
      </c>
      <c r="F58" s="30"/>
      <c r="G58" s="7">
        <v>1</v>
      </c>
      <c r="H58" s="62">
        <f t="shared" si="42"/>
        <v>1</v>
      </c>
      <c r="I58" s="37">
        <f t="shared" si="43"/>
        <v>1</v>
      </c>
      <c r="J58" s="35">
        <v>45282</v>
      </c>
      <c r="L58" s="6" t="s">
        <v>62</v>
      </c>
      <c r="M58" s="24">
        <v>4</v>
      </c>
      <c r="N58" s="18">
        <v>3</v>
      </c>
      <c r="O58" s="53">
        <f t="shared" si="59"/>
        <v>7</v>
      </c>
      <c r="P58" s="30">
        <v>2</v>
      </c>
      <c r="Q58" s="7">
        <v>2</v>
      </c>
      <c r="R58" s="62">
        <f t="shared" si="60"/>
        <v>4</v>
      </c>
      <c r="S58" s="37">
        <f t="shared" si="61"/>
        <v>11</v>
      </c>
      <c r="T58" s="35">
        <v>45308</v>
      </c>
    </row>
    <row r="59" spans="2:21" x14ac:dyDescent="0.15">
      <c r="B59" s="77" t="s">
        <v>23</v>
      </c>
      <c r="C59" s="24"/>
      <c r="D59" s="18">
        <v>2</v>
      </c>
      <c r="E59" s="53">
        <f t="shared" si="41"/>
        <v>2</v>
      </c>
      <c r="F59" s="30"/>
      <c r="G59" s="7">
        <v>2</v>
      </c>
      <c r="H59" s="62">
        <f t="shared" si="42"/>
        <v>2</v>
      </c>
      <c r="I59" s="37">
        <f t="shared" si="43"/>
        <v>4</v>
      </c>
      <c r="J59" s="35">
        <v>45280</v>
      </c>
      <c r="L59" s="6" t="s">
        <v>66</v>
      </c>
      <c r="M59" s="24">
        <v>7</v>
      </c>
      <c r="N59" s="18">
        <v>4</v>
      </c>
      <c r="O59" s="53">
        <f t="shared" si="44"/>
        <v>11</v>
      </c>
      <c r="P59" s="30">
        <v>7</v>
      </c>
      <c r="Q59" s="7">
        <v>4</v>
      </c>
      <c r="R59" s="62">
        <f t="shared" si="45"/>
        <v>11</v>
      </c>
      <c r="S59" s="37">
        <f t="shared" si="46"/>
        <v>22</v>
      </c>
      <c r="T59" s="35">
        <v>45316</v>
      </c>
    </row>
    <row r="60" spans="2:21" x14ac:dyDescent="0.15">
      <c r="B60" s="6" t="s">
        <v>58</v>
      </c>
      <c r="C60" s="24">
        <v>3</v>
      </c>
      <c r="D60" s="18">
        <v>1</v>
      </c>
      <c r="E60" s="53">
        <f t="shared" si="41"/>
        <v>4</v>
      </c>
      <c r="F60" s="30"/>
      <c r="G60" s="7"/>
      <c r="H60" s="62">
        <f t="shared" si="42"/>
        <v>0</v>
      </c>
      <c r="I60" s="37">
        <f t="shared" si="43"/>
        <v>4</v>
      </c>
      <c r="J60" s="35">
        <v>45282</v>
      </c>
      <c r="L60" s="33" t="s">
        <v>21</v>
      </c>
      <c r="M60" s="24"/>
      <c r="N60" s="18">
        <v>10</v>
      </c>
      <c r="O60" s="53">
        <f t="shared" si="44"/>
        <v>10</v>
      </c>
      <c r="P60" s="30"/>
      <c r="Q60" s="7"/>
      <c r="R60" s="62">
        <f t="shared" si="45"/>
        <v>0</v>
      </c>
      <c r="S60" s="37">
        <f t="shared" si="46"/>
        <v>10</v>
      </c>
      <c r="T60" s="35">
        <v>45316</v>
      </c>
    </row>
    <row r="61" spans="2:21" x14ac:dyDescent="0.15">
      <c r="B61" s="33" t="s">
        <v>23</v>
      </c>
      <c r="C61" s="24"/>
      <c r="D61" s="18"/>
      <c r="E61" s="53">
        <f t="shared" si="41"/>
        <v>0</v>
      </c>
      <c r="F61" s="30"/>
      <c r="G61" s="7">
        <v>2</v>
      </c>
      <c r="H61" s="62">
        <f t="shared" si="42"/>
        <v>2</v>
      </c>
      <c r="I61" s="37">
        <f t="shared" si="43"/>
        <v>2</v>
      </c>
      <c r="J61" s="35">
        <v>45282</v>
      </c>
      <c r="L61" s="6"/>
      <c r="M61" s="24"/>
      <c r="N61" s="18"/>
      <c r="O61" s="53">
        <f t="shared" si="44"/>
        <v>0</v>
      </c>
      <c r="P61" s="30"/>
      <c r="Q61" s="7"/>
      <c r="R61" s="62">
        <f t="shared" si="45"/>
        <v>0</v>
      </c>
      <c r="S61" s="37">
        <f t="shared" si="46"/>
        <v>0</v>
      </c>
      <c r="T61" s="35"/>
    </row>
    <row r="62" spans="2:21" x14ac:dyDescent="0.15">
      <c r="B62" s="6" t="s">
        <v>47</v>
      </c>
      <c r="C62" s="24">
        <v>1</v>
      </c>
      <c r="D62" s="18">
        <v>1</v>
      </c>
      <c r="E62" s="53">
        <f t="shared" si="41"/>
        <v>2</v>
      </c>
      <c r="F62" s="30">
        <v>1</v>
      </c>
      <c r="G62" s="7"/>
      <c r="H62" s="62">
        <f t="shared" si="42"/>
        <v>1</v>
      </c>
      <c r="I62" s="37">
        <f t="shared" si="43"/>
        <v>3</v>
      </c>
      <c r="J62" s="35">
        <v>45285</v>
      </c>
      <c r="L62" s="6"/>
      <c r="M62" s="27"/>
      <c r="N62" s="21"/>
      <c r="O62" s="53">
        <f t="shared" si="44"/>
        <v>0</v>
      </c>
      <c r="P62" s="32"/>
      <c r="Q62" s="8"/>
      <c r="R62" s="62">
        <f t="shared" si="45"/>
        <v>0</v>
      </c>
      <c r="S62" s="37">
        <f t="shared" si="46"/>
        <v>0</v>
      </c>
      <c r="T62" s="36"/>
    </row>
    <row r="63" spans="2:21" x14ac:dyDescent="0.15">
      <c r="B63" s="6" t="s">
        <v>59</v>
      </c>
      <c r="C63" s="24"/>
      <c r="D63" s="18">
        <v>1</v>
      </c>
      <c r="E63" s="53">
        <f t="shared" si="41"/>
        <v>1</v>
      </c>
      <c r="F63" s="30"/>
      <c r="G63" s="7"/>
      <c r="H63" s="62">
        <f t="shared" si="42"/>
        <v>0</v>
      </c>
      <c r="I63" s="37">
        <f t="shared" si="43"/>
        <v>1</v>
      </c>
      <c r="J63" s="35">
        <v>45288</v>
      </c>
      <c r="L63" s="6"/>
      <c r="M63" s="27"/>
      <c r="N63" s="21"/>
      <c r="O63" s="53">
        <f t="shared" si="44"/>
        <v>0</v>
      </c>
      <c r="P63" s="32"/>
      <c r="Q63" s="8"/>
      <c r="R63" s="62">
        <f t="shared" si="45"/>
        <v>0</v>
      </c>
      <c r="S63" s="37">
        <f t="shared" si="46"/>
        <v>0</v>
      </c>
      <c r="T63" s="36"/>
    </row>
    <row r="64" spans="2:21" x14ac:dyDescent="0.15">
      <c r="B64" s="33" t="s">
        <v>23</v>
      </c>
      <c r="C64" s="24"/>
      <c r="D64" s="18">
        <v>1</v>
      </c>
      <c r="E64" s="53">
        <f t="shared" si="41"/>
        <v>1</v>
      </c>
      <c r="F64" s="30"/>
      <c r="G64" s="7"/>
      <c r="H64" s="62">
        <f t="shared" si="42"/>
        <v>0</v>
      </c>
      <c r="I64" s="37">
        <f t="shared" si="43"/>
        <v>1</v>
      </c>
      <c r="J64" s="35">
        <v>45286</v>
      </c>
      <c r="L64" s="6"/>
      <c r="M64" s="24"/>
      <c r="N64" s="18"/>
      <c r="O64" s="53">
        <f t="shared" si="44"/>
        <v>0</v>
      </c>
      <c r="P64" s="30"/>
      <c r="Q64" s="7"/>
      <c r="R64" s="62">
        <f t="shared" si="45"/>
        <v>0</v>
      </c>
      <c r="S64" s="37">
        <f t="shared" si="46"/>
        <v>0</v>
      </c>
      <c r="T64" s="35"/>
    </row>
    <row r="65" spans="2:20" x14ac:dyDescent="0.15">
      <c r="B65" s="6" t="s">
        <v>60</v>
      </c>
      <c r="C65" s="24"/>
      <c r="D65" s="18">
        <v>1</v>
      </c>
      <c r="E65" s="53">
        <f t="shared" si="41"/>
        <v>1</v>
      </c>
      <c r="F65" s="30"/>
      <c r="G65" s="7"/>
      <c r="H65" s="62">
        <f t="shared" si="42"/>
        <v>0</v>
      </c>
      <c r="I65" s="37">
        <f t="shared" si="43"/>
        <v>1</v>
      </c>
      <c r="J65" s="35">
        <v>45300</v>
      </c>
      <c r="L65" s="6"/>
      <c r="M65" s="27"/>
      <c r="N65" s="21"/>
      <c r="O65" s="53">
        <f t="shared" si="44"/>
        <v>0</v>
      </c>
      <c r="P65" s="32"/>
      <c r="Q65" s="8"/>
      <c r="R65" s="62">
        <f t="shared" si="45"/>
        <v>0</v>
      </c>
      <c r="S65" s="37">
        <f t="shared" si="46"/>
        <v>0</v>
      </c>
      <c r="T65" s="36"/>
    </row>
    <row r="66" spans="2:20" x14ac:dyDescent="0.15">
      <c r="B66" s="33" t="s">
        <v>23</v>
      </c>
      <c r="C66" s="24"/>
      <c r="D66" s="18"/>
      <c r="E66" s="53">
        <f t="shared" si="41"/>
        <v>0</v>
      </c>
      <c r="F66" s="30">
        <v>1</v>
      </c>
      <c r="G66" s="7"/>
      <c r="H66" s="62">
        <f t="shared" si="42"/>
        <v>1</v>
      </c>
      <c r="I66" s="37">
        <f t="shared" si="43"/>
        <v>1</v>
      </c>
      <c r="J66" s="35">
        <v>45301</v>
      </c>
      <c r="L66" s="6"/>
      <c r="M66" s="27"/>
      <c r="N66" s="21"/>
      <c r="O66" s="53">
        <f t="shared" si="44"/>
        <v>0</v>
      </c>
      <c r="P66" s="32"/>
      <c r="Q66" s="8"/>
      <c r="R66" s="62">
        <f t="shared" si="45"/>
        <v>0</v>
      </c>
      <c r="S66" s="37">
        <f t="shared" si="46"/>
        <v>0</v>
      </c>
      <c r="T66" s="36"/>
    </row>
    <row r="67" spans="2:20" x14ac:dyDescent="0.15">
      <c r="B67" s="6" t="s">
        <v>47</v>
      </c>
      <c r="C67" s="24">
        <v>2</v>
      </c>
      <c r="D67" s="18"/>
      <c r="E67" s="53">
        <f t="shared" si="41"/>
        <v>2</v>
      </c>
      <c r="F67" s="30"/>
      <c r="G67" s="7"/>
      <c r="H67" s="62">
        <f t="shared" si="42"/>
        <v>0</v>
      </c>
      <c r="I67" s="37">
        <f t="shared" si="43"/>
        <v>2</v>
      </c>
      <c r="J67" s="35">
        <v>45306</v>
      </c>
      <c r="L67" s="6"/>
      <c r="M67" s="27"/>
      <c r="N67" s="21"/>
      <c r="O67" s="53">
        <f t="shared" si="44"/>
        <v>0</v>
      </c>
      <c r="P67" s="32"/>
      <c r="Q67" s="8"/>
      <c r="R67" s="62">
        <f t="shared" si="45"/>
        <v>0</v>
      </c>
      <c r="S67" s="37">
        <f t="shared" si="46"/>
        <v>0</v>
      </c>
      <c r="T67" s="36"/>
    </row>
    <row r="68" spans="2:20" x14ac:dyDescent="0.15">
      <c r="B68" s="33" t="s">
        <v>23</v>
      </c>
      <c r="C68" s="24"/>
      <c r="D68" s="18"/>
      <c r="E68" s="53">
        <f t="shared" si="41"/>
        <v>0</v>
      </c>
      <c r="F68" s="30"/>
      <c r="G68" s="7">
        <v>1</v>
      </c>
      <c r="H68" s="62">
        <f t="shared" si="42"/>
        <v>1</v>
      </c>
      <c r="I68" s="37">
        <f t="shared" si="43"/>
        <v>1</v>
      </c>
      <c r="J68" s="35">
        <v>45306</v>
      </c>
      <c r="L68" s="6"/>
      <c r="M68" s="27"/>
      <c r="N68" s="21"/>
      <c r="O68" s="53">
        <f t="shared" si="44"/>
        <v>0</v>
      </c>
      <c r="P68" s="32"/>
      <c r="Q68" s="8"/>
      <c r="R68" s="62">
        <f t="shared" si="45"/>
        <v>0</v>
      </c>
      <c r="S68" s="37">
        <f t="shared" si="46"/>
        <v>0</v>
      </c>
      <c r="T68" s="36"/>
    </row>
    <row r="69" spans="2:20" x14ac:dyDescent="0.15">
      <c r="B69" s="6" t="s">
        <v>65</v>
      </c>
      <c r="C69" s="24"/>
      <c r="D69" s="18">
        <v>3</v>
      </c>
      <c r="E69" s="53">
        <f t="shared" si="41"/>
        <v>3</v>
      </c>
      <c r="F69" s="30"/>
      <c r="G69" s="7">
        <v>5</v>
      </c>
      <c r="H69" s="62">
        <f t="shared" si="42"/>
        <v>5</v>
      </c>
      <c r="I69" s="37">
        <f t="shared" si="43"/>
        <v>8</v>
      </c>
      <c r="J69" s="35">
        <v>45315</v>
      </c>
      <c r="L69" s="6"/>
      <c r="M69" s="27"/>
      <c r="N69" s="21"/>
      <c r="O69" s="53">
        <f t="shared" si="44"/>
        <v>0</v>
      </c>
      <c r="P69" s="32"/>
      <c r="Q69" s="8"/>
      <c r="R69" s="62">
        <f t="shared" si="45"/>
        <v>0</v>
      </c>
      <c r="S69" s="37">
        <f t="shared" si="46"/>
        <v>0</v>
      </c>
      <c r="T69" s="36"/>
    </row>
    <row r="70" spans="2:20" x14ac:dyDescent="0.15">
      <c r="B70" s="33" t="s">
        <v>23</v>
      </c>
      <c r="C70" s="24">
        <v>1</v>
      </c>
      <c r="D70" s="18">
        <v>1</v>
      </c>
      <c r="E70" s="53">
        <f t="shared" si="41"/>
        <v>2</v>
      </c>
      <c r="F70" s="30"/>
      <c r="G70" s="7"/>
      <c r="H70" s="62">
        <f t="shared" si="42"/>
        <v>0</v>
      </c>
      <c r="I70" s="37">
        <f t="shared" si="43"/>
        <v>2</v>
      </c>
      <c r="J70" s="35">
        <v>45313</v>
      </c>
      <c r="L70" s="6"/>
      <c r="M70" s="27"/>
      <c r="N70" s="21"/>
      <c r="O70" s="53">
        <f t="shared" si="44"/>
        <v>0</v>
      </c>
      <c r="P70" s="32"/>
      <c r="Q70" s="8"/>
      <c r="R70" s="62">
        <f t="shared" si="45"/>
        <v>0</v>
      </c>
      <c r="S70" s="37">
        <f t="shared" si="46"/>
        <v>0</v>
      </c>
      <c r="T70" s="36"/>
    </row>
    <row r="71" spans="2:20" x14ac:dyDescent="0.15">
      <c r="B71" s="6" t="s">
        <v>67</v>
      </c>
      <c r="C71" s="24"/>
      <c r="D71" s="18">
        <v>1</v>
      </c>
      <c r="E71" s="53">
        <f t="shared" si="41"/>
        <v>1</v>
      </c>
      <c r="F71" s="30">
        <v>3</v>
      </c>
      <c r="G71" s="7"/>
      <c r="H71" s="62">
        <f t="shared" si="42"/>
        <v>3</v>
      </c>
      <c r="I71" s="37">
        <f t="shared" si="43"/>
        <v>4</v>
      </c>
      <c r="J71" s="35">
        <v>45316</v>
      </c>
      <c r="L71" s="6"/>
      <c r="M71" s="24"/>
      <c r="N71" s="18"/>
      <c r="O71" s="53">
        <f t="shared" si="44"/>
        <v>0</v>
      </c>
      <c r="P71" s="30"/>
      <c r="Q71" s="7"/>
      <c r="R71" s="62">
        <f t="shared" si="45"/>
        <v>0</v>
      </c>
      <c r="S71" s="37">
        <f t="shared" si="46"/>
        <v>0</v>
      </c>
      <c r="T71" s="35"/>
    </row>
    <row r="72" spans="2:20" x14ac:dyDescent="0.15">
      <c r="B72" s="6" t="s">
        <v>68</v>
      </c>
      <c r="C72" s="24"/>
      <c r="D72" s="18">
        <v>4</v>
      </c>
      <c r="E72" s="53">
        <f t="shared" si="41"/>
        <v>4</v>
      </c>
      <c r="F72" s="30"/>
      <c r="G72" s="7"/>
      <c r="H72" s="62">
        <f t="shared" si="42"/>
        <v>0</v>
      </c>
      <c r="I72" s="37">
        <f t="shared" si="43"/>
        <v>4</v>
      </c>
      <c r="J72" s="35">
        <v>45317</v>
      </c>
      <c r="L72" s="6"/>
      <c r="M72" s="24"/>
      <c r="N72" s="18"/>
      <c r="O72" s="53">
        <f t="shared" si="44"/>
        <v>0</v>
      </c>
      <c r="P72" s="30"/>
      <c r="Q72" s="7"/>
      <c r="R72" s="62">
        <f t="shared" si="45"/>
        <v>0</v>
      </c>
      <c r="S72" s="37">
        <f t="shared" si="46"/>
        <v>0</v>
      </c>
      <c r="T72" s="35"/>
    </row>
    <row r="73" spans="2:20" x14ac:dyDescent="0.15">
      <c r="B73" s="6" t="s">
        <v>69</v>
      </c>
      <c r="C73" s="24"/>
      <c r="D73" s="18">
        <v>-10</v>
      </c>
      <c r="E73" s="53">
        <f t="shared" si="41"/>
        <v>-10</v>
      </c>
      <c r="F73" s="30"/>
      <c r="G73" s="7"/>
      <c r="H73" s="62">
        <f t="shared" si="42"/>
        <v>0</v>
      </c>
      <c r="I73" s="37">
        <f t="shared" si="43"/>
        <v>-10</v>
      </c>
      <c r="J73" s="35">
        <v>45316</v>
      </c>
      <c r="L73" s="6"/>
      <c r="M73" s="24"/>
      <c r="N73" s="18"/>
      <c r="O73" s="53">
        <f t="shared" ref="O73" si="62">SUM(M73:N73)</f>
        <v>0</v>
      </c>
      <c r="P73" s="30"/>
      <c r="Q73" s="7"/>
      <c r="R73" s="62">
        <f t="shared" ref="R73" si="63">SUM(P73:Q73)</f>
        <v>0</v>
      </c>
      <c r="S73" s="37">
        <f t="shared" ref="S73" si="64">O73+R73</f>
        <v>0</v>
      </c>
      <c r="T73" s="35"/>
    </row>
    <row r="74" spans="2:20" x14ac:dyDescent="0.15">
      <c r="B74" s="6" t="s">
        <v>70</v>
      </c>
      <c r="C74" s="24"/>
      <c r="D74" s="18"/>
      <c r="E74" s="53">
        <f t="shared" si="41"/>
        <v>0</v>
      </c>
      <c r="F74" s="30">
        <v>1</v>
      </c>
      <c r="G74" s="7"/>
      <c r="H74" s="62">
        <f t="shared" si="42"/>
        <v>1</v>
      </c>
      <c r="I74" s="37">
        <f t="shared" si="43"/>
        <v>1</v>
      </c>
      <c r="J74" s="35">
        <v>45317</v>
      </c>
      <c r="L74" s="6" t="s">
        <v>41</v>
      </c>
      <c r="M74" s="24"/>
      <c r="N74" s="18"/>
      <c r="O74" s="53">
        <f t="shared" ref="O74" si="65">SUM(M74:N74)</f>
        <v>0</v>
      </c>
      <c r="P74" s="30"/>
      <c r="Q74" s="7"/>
      <c r="R74" s="62">
        <f t="shared" ref="R74" si="66">SUM(P74:Q74)</f>
        <v>0</v>
      </c>
      <c r="S74" s="37">
        <f t="shared" si="46"/>
        <v>0</v>
      </c>
      <c r="T74" s="35" t="s">
        <v>42</v>
      </c>
    </row>
    <row r="75" spans="2:20" x14ac:dyDescent="0.15">
      <c r="B75" s="6" t="s">
        <v>71</v>
      </c>
      <c r="C75" s="24"/>
      <c r="D75" s="18">
        <v>1</v>
      </c>
      <c r="E75" s="53">
        <f t="shared" si="41"/>
        <v>1</v>
      </c>
      <c r="F75" s="30"/>
      <c r="G75" s="7">
        <v>2</v>
      </c>
      <c r="H75" s="62">
        <f t="shared" si="42"/>
        <v>2</v>
      </c>
      <c r="I75" s="37">
        <f t="shared" si="43"/>
        <v>3</v>
      </c>
      <c r="J75" s="35">
        <v>45320</v>
      </c>
      <c r="L75" s="6" t="s">
        <v>30</v>
      </c>
      <c r="M75" s="24"/>
      <c r="N75" s="18"/>
      <c r="O75" s="53">
        <f t="shared" ref="O75" si="67">SUM(M75:N75)</f>
        <v>0</v>
      </c>
      <c r="P75" s="24"/>
      <c r="Q75" s="18"/>
      <c r="R75" s="62">
        <f t="shared" ref="R75" si="68">SUM(P75:Q75)</f>
        <v>0</v>
      </c>
      <c r="S75" s="37">
        <f t="shared" si="46"/>
        <v>0</v>
      </c>
      <c r="T75" s="35" t="s">
        <v>31</v>
      </c>
    </row>
    <row r="76" spans="2:20" ht="14.25" thickBot="1" x14ac:dyDescent="0.2">
      <c r="B76" s="6" t="s">
        <v>72</v>
      </c>
      <c r="C76" s="28"/>
      <c r="D76" s="19"/>
      <c r="E76" s="54">
        <f t="shared" si="41"/>
        <v>0</v>
      </c>
      <c r="F76" s="31">
        <v>1</v>
      </c>
      <c r="G76" s="5"/>
      <c r="H76" s="63">
        <f t="shared" si="42"/>
        <v>1</v>
      </c>
      <c r="I76" s="38">
        <f t="shared" si="43"/>
        <v>1</v>
      </c>
      <c r="J76" s="35">
        <v>45322</v>
      </c>
      <c r="L76" s="6" t="s">
        <v>45</v>
      </c>
      <c r="M76" s="24"/>
      <c r="N76" s="18"/>
      <c r="O76" s="53">
        <f t="shared" ref="O76" si="69">SUM(M76:N76)</f>
        <v>0</v>
      </c>
      <c r="P76" s="30"/>
      <c r="Q76" s="7"/>
      <c r="R76" s="62">
        <f t="shared" ref="R76" si="70">SUM(P76:Q76)</f>
        <v>0</v>
      </c>
      <c r="S76" s="37">
        <f t="shared" ref="S76" si="71">O76+R76</f>
        <v>0</v>
      </c>
      <c r="T76" s="35" t="s">
        <v>46</v>
      </c>
    </row>
    <row r="77" spans="2:20" ht="14.25" thickBot="1" x14ac:dyDescent="0.2">
      <c r="B77" s="4" t="s">
        <v>1</v>
      </c>
      <c r="C77" s="26">
        <f>SUM(C52:C76)</f>
        <v>14</v>
      </c>
      <c r="D77" s="20">
        <f>SUM(D52:D76)</f>
        <v>11</v>
      </c>
      <c r="E77" s="55">
        <f t="shared" si="41"/>
        <v>25</v>
      </c>
      <c r="F77" s="26">
        <f>SUM(F52:F76)</f>
        <v>13</v>
      </c>
      <c r="G77" s="20">
        <f>SUM(G52:G76)</f>
        <v>16</v>
      </c>
      <c r="H77" s="64">
        <f t="shared" si="42"/>
        <v>29</v>
      </c>
      <c r="I77" s="39">
        <f t="shared" si="43"/>
        <v>54</v>
      </c>
      <c r="L77" s="4" t="s">
        <v>1</v>
      </c>
      <c r="M77" s="26">
        <f>SUM(M52:M76)</f>
        <v>43</v>
      </c>
      <c r="N77" s="20">
        <f t="shared" ref="N77" si="72">SUM(N52:N76)</f>
        <v>42</v>
      </c>
      <c r="O77" s="55">
        <f t="shared" ref="O77" si="73">SUM(O52:O76)</f>
        <v>85</v>
      </c>
      <c r="P77" s="26">
        <f t="shared" ref="P77" si="74">SUM(P52:P76)</f>
        <v>36</v>
      </c>
      <c r="Q77" s="20">
        <f t="shared" ref="Q77" si="75">SUM(Q52:Q76)</f>
        <v>36</v>
      </c>
      <c r="R77" s="64">
        <f t="shared" ref="R77" si="76">SUM(R52:R76)</f>
        <v>72</v>
      </c>
      <c r="S77" s="39">
        <f t="shared" ref="S77" si="77">SUM(S52:S76)</f>
        <v>157</v>
      </c>
      <c r="T77" s="34"/>
    </row>
    <row r="78" spans="2:20" ht="14.25" thickBot="1" x14ac:dyDescent="0.2">
      <c r="B78" s="3" t="s">
        <v>0</v>
      </c>
      <c r="C78" s="29">
        <f>+C51-C77</f>
        <v>10</v>
      </c>
      <c r="D78" s="2">
        <f>+D51-D77</f>
        <v>12</v>
      </c>
      <c r="E78" s="56">
        <f t="shared" si="41"/>
        <v>22</v>
      </c>
      <c r="F78" s="29">
        <f>+F51-F77</f>
        <v>10</v>
      </c>
      <c r="G78" s="2">
        <f>+G51-G77</f>
        <v>9</v>
      </c>
      <c r="H78" s="65">
        <f t="shared" si="42"/>
        <v>19</v>
      </c>
      <c r="I78" s="41">
        <f t="shared" si="43"/>
        <v>41</v>
      </c>
      <c r="L78" s="3" t="s">
        <v>0</v>
      </c>
      <c r="M78" s="29">
        <f>+M51-M77</f>
        <v>418</v>
      </c>
      <c r="N78" s="2">
        <f t="shared" ref="N78" si="78">+N51-N77</f>
        <v>524</v>
      </c>
      <c r="O78" s="56">
        <f t="shared" ref="O78" si="79">+O51-O77</f>
        <v>942</v>
      </c>
      <c r="P78" s="29">
        <f t="shared" ref="P78" si="80">+P51-P77</f>
        <v>342</v>
      </c>
      <c r="Q78" s="2">
        <f t="shared" ref="Q78" si="81">+Q51-Q77</f>
        <v>440</v>
      </c>
      <c r="R78" s="65">
        <f t="shared" ref="R78" si="82">+R51-R77</f>
        <v>782</v>
      </c>
      <c r="S78" s="41">
        <f t="shared" ref="S78" si="83">+S51-S77</f>
        <v>1724</v>
      </c>
      <c r="T78" s="34"/>
    </row>
    <row r="79" spans="2:20" x14ac:dyDescent="0.15">
      <c r="B79"/>
      <c r="J79"/>
    </row>
    <row r="80" spans="2:20" x14ac:dyDescent="0.15">
      <c r="B80"/>
      <c r="J80"/>
    </row>
    <row r="81" spans="2:20" ht="18.75" x14ac:dyDescent="0.2">
      <c r="B81" s="16" t="s">
        <v>28</v>
      </c>
      <c r="C81" s="15"/>
      <c r="D81" s="15"/>
      <c r="E81" s="15"/>
      <c r="F81" s="15"/>
      <c r="G81" s="15"/>
      <c r="H81" s="15"/>
      <c r="I81" s="15"/>
      <c r="L81" s="69" t="s">
        <v>29</v>
      </c>
      <c r="M81" s="70"/>
      <c r="N81" s="70"/>
      <c r="O81" s="70"/>
      <c r="P81" s="70"/>
      <c r="Q81" s="70"/>
      <c r="R81" s="70"/>
      <c r="S81" s="70"/>
    </row>
    <row r="82" spans="2:20" ht="15" thickBot="1" x14ac:dyDescent="0.2">
      <c r="B82" s="75" t="s">
        <v>26</v>
      </c>
      <c r="C82" s="15"/>
      <c r="D82" s="15"/>
      <c r="E82" s="15"/>
      <c r="F82" s="15"/>
      <c r="G82" s="15"/>
      <c r="H82" s="15"/>
      <c r="I82" s="15"/>
      <c r="L82" s="76" t="s">
        <v>25</v>
      </c>
      <c r="M82" s="70"/>
      <c r="N82" s="70"/>
      <c r="O82" s="70"/>
      <c r="P82" s="70"/>
      <c r="Q82" s="70"/>
      <c r="R82" s="70"/>
      <c r="S82" s="70"/>
    </row>
    <row r="83" spans="2:20" ht="14.25" thickBot="1" x14ac:dyDescent="0.2">
      <c r="B83" s="14"/>
      <c r="C83" s="117" t="s">
        <v>8</v>
      </c>
      <c r="D83" s="118"/>
      <c r="E83" s="119"/>
      <c r="F83" s="120" t="s">
        <v>10</v>
      </c>
      <c r="G83" s="121"/>
      <c r="H83" s="121"/>
      <c r="I83" s="115" t="s">
        <v>9</v>
      </c>
      <c r="L83" s="14"/>
      <c r="M83" s="117" t="s">
        <v>8</v>
      </c>
      <c r="N83" s="118"/>
      <c r="O83" s="119"/>
      <c r="P83" s="120" t="s">
        <v>10</v>
      </c>
      <c r="Q83" s="121"/>
      <c r="R83" s="121"/>
      <c r="S83" s="115" t="s">
        <v>9</v>
      </c>
    </row>
    <row r="84" spans="2:20" ht="14.25" thickBot="1" x14ac:dyDescent="0.2">
      <c r="B84" s="13"/>
      <c r="C84" s="22" t="s">
        <v>6</v>
      </c>
      <c r="D84" s="12" t="s">
        <v>5</v>
      </c>
      <c r="E84" s="48" t="s">
        <v>4</v>
      </c>
      <c r="F84" s="22" t="s">
        <v>6</v>
      </c>
      <c r="G84" s="12" t="s">
        <v>5</v>
      </c>
      <c r="H84" s="57" t="s">
        <v>4</v>
      </c>
      <c r="I84" s="116"/>
      <c r="K84" s="1"/>
      <c r="L84" s="13"/>
      <c r="M84" s="22" t="s">
        <v>6</v>
      </c>
      <c r="N84" s="12" t="s">
        <v>5</v>
      </c>
      <c r="O84" s="48" t="s">
        <v>4</v>
      </c>
      <c r="P84" s="22" t="s">
        <v>6</v>
      </c>
      <c r="Q84" s="12" t="s">
        <v>5</v>
      </c>
      <c r="R84" s="57" t="s">
        <v>4</v>
      </c>
      <c r="S84" s="116"/>
    </row>
    <row r="85" spans="2:20" x14ac:dyDescent="0.15">
      <c r="B85" s="45" t="s">
        <v>0</v>
      </c>
      <c r="C85" s="46">
        <f>C78</f>
        <v>10</v>
      </c>
      <c r="D85" s="47">
        <f t="shared" ref="D85:H85" si="84">D78</f>
        <v>12</v>
      </c>
      <c r="E85" s="66">
        <f t="shared" si="84"/>
        <v>22</v>
      </c>
      <c r="F85" s="46">
        <f t="shared" si="84"/>
        <v>10</v>
      </c>
      <c r="G85" s="47">
        <f t="shared" si="84"/>
        <v>9</v>
      </c>
      <c r="H85" s="67">
        <f t="shared" si="84"/>
        <v>19</v>
      </c>
      <c r="I85" s="40">
        <f>E85+H85</f>
        <v>41</v>
      </c>
      <c r="J85" s="35"/>
      <c r="L85" s="45" t="s">
        <v>0</v>
      </c>
      <c r="M85" s="46">
        <f>M78</f>
        <v>418</v>
      </c>
      <c r="N85" s="47">
        <f t="shared" ref="N85:S85" si="85">N78</f>
        <v>524</v>
      </c>
      <c r="O85" s="66">
        <f t="shared" si="85"/>
        <v>942</v>
      </c>
      <c r="P85" s="46">
        <f t="shared" si="85"/>
        <v>342</v>
      </c>
      <c r="Q85" s="47">
        <f t="shared" si="85"/>
        <v>440</v>
      </c>
      <c r="R85" s="67">
        <f t="shared" si="85"/>
        <v>782</v>
      </c>
      <c r="S85" s="40">
        <f t="shared" si="85"/>
        <v>1724</v>
      </c>
    </row>
    <row r="86" spans="2:20" x14ac:dyDescent="0.15">
      <c r="B86" s="11" t="s">
        <v>3</v>
      </c>
      <c r="C86" s="24"/>
      <c r="D86" s="18">
        <v>3</v>
      </c>
      <c r="E86" s="50">
        <f t="shared" ref="E86:E118" si="86">SUM(C86:D86)</f>
        <v>3</v>
      </c>
      <c r="F86" s="30"/>
      <c r="G86" s="7"/>
      <c r="H86" s="59">
        <f t="shared" ref="H86:H118" si="87">SUM(F86:G86)</f>
        <v>0</v>
      </c>
      <c r="I86" s="37">
        <f t="shared" ref="I86:I118" si="88">E86+H86</f>
        <v>3</v>
      </c>
      <c r="J86" s="35">
        <v>45348</v>
      </c>
      <c r="L86" s="11" t="s">
        <v>3</v>
      </c>
      <c r="M86" s="24"/>
      <c r="N86" s="18"/>
      <c r="O86" s="50">
        <f t="shared" ref="O86:O116" si="89">SUM(M86:N86)</f>
        <v>0</v>
      </c>
      <c r="P86" s="30"/>
      <c r="Q86" s="7"/>
      <c r="R86" s="59">
        <f t="shared" ref="R86:R116" si="90">SUM(P86:Q86)</f>
        <v>0</v>
      </c>
      <c r="S86" s="37">
        <f t="shared" ref="S86:S116" si="91">O86+R86</f>
        <v>0</v>
      </c>
    </row>
    <row r="87" spans="2:20" x14ac:dyDescent="0.15">
      <c r="B87" s="11" t="s">
        <v>87</v>
      </c>
      <c r="C87" s="24">
        <v>4</v>
      </c>
      <c r="D87" s="18"/>
      <c r="E87" s="50">
        <f t="shared" si="86"/>
        <v>4</v>
      </c>
      <c r="F87" s="30">
        <v>1</v>
      </c>
      <c r="G87" s="7"/>
      <c r="H87" s="59">
        <f t="shared" si="87"/>
        <v>1</v>
      </c>
      <c r="I87" s="37">
        <f t="shared" si="88"/>
        <v>5</v>
      </c>
      <c r="J87" s="35">
        <v>45373</v>
      </c>
      <c r="L87" s="11" t="s">
        <v>3</v>
      </c>
      <c r="M87" s="24"/>
      <c r="N87" s="18"/>
      <c r="O87" s="50">
        <f t="shared" si="89"/>
        <v>0</v>
      </c>
      <c r="P87" s="30"/>
      <c r="Q87" s="7"/>
      <c r="R87" s="59">
        <f t="shared" si="90"/>
        <v>0</v>
      </c>
      <c r="S87" s="37">
        <f t="shared" si="91"/>
        <v>0</v>
      </c>
    </row>
    <row r="88" spans="2:20" x14ac:dyDescent="0.15">
      <c r="B88" s="11" t="s">
        <v>87</v>
      </c>
      <c r="C88" s="24"/>
      <c r="D88" s="18"/>
      <c r="E88" s="50">
        <f t="shared" si="86"/>
        <v>0</v>
      </c>
      <c r="F88" s="30">
        <v>2</v>
      </c>
      <c r="G88" s="7">
        <v>2</v>
      </c>
      <c r="H88" s="59">
        <f t="shared" si="87"/>
        <v>4</v>
      </c>
      <c r="I88" s="37">
        <f t="shared" si="88"/>
        <v>4</v>
      </c>
      <c r="J88" s="35">
        <v>45372</v>
      </c>
      <c r="L88" s="11" t="s">
        <v>3</v>
      </c>
      <c r="M88" s="24"/>
      <c r="N88" s="18"/>
      <c r="O88" s="50">
        <f t="shared" si="89"/>
        <v>0</v>
      </c>
      <c r="P88" s="30"/>
      <c r="Q88" s="7"/>
      <c r="R88" s="59">
        <f t="shared" si="90"/>
        <v>0</v>
      </c>
      <c r="S88" s="37">
        <f t="shared" si="91"/>
        <v>0</v>
      </c>
    </row>
    <row r="89" spans="2:20" x14ac:dyDescent="0.15">
      <c r="B89" s="11" t="s">
        <v>90</v>
      </c>
      <c r="C89" s="24"/>
      <c r="D89" s="18">
        <v>2</v>
      </c>
      <c r="E89" s="50">
        <f t="shared" si="86"/>
        <v>2</v>
      </c>
      <c r="F89" s="30"/>
      <c r="G89" s="7">
        <v>2</v>
      </c>
      <c r="H89" s="59">
        <f t="shared" si="87"/>
        <v>2</v>
      </c>
      <c r="I89" s="37">
        <f t="shared" si="88"/>
        <v>4</v>
      </c>
      <c r="J89" s="35">
        <v>45380</v>
      </c>
      <c r="L89" s="11" t="s">
        <v>3</v>
      </c>
      <c r="M89" s="24"/>
      <c r="N89" s="18"/>
      <c r="O89" s="50">
        <f t="shared" si="89"/>
        <v>0</v>
      </c>
      <c r="P89" s="30"/>
      <c r="Q89" s="7"/>
      <c r="R89" s="59">
        <f t="shared" si="90"/>
        <v>0</v>
      </c>
      <c r="S89" s="37">
        <f t="shared" si="91"/>
        <v>0</v>
      </c>
    </row>
    <row r="90" spans="2:20" ht="14.25" thickBot="1" x14ac:dyDescent="0.2">
      <c r="B90" s="10" t="s">
        <v>3</v>
      </c>
      <c r="C90" s="25"/>
      <c r="D90" s="19"/>
      <c r="E90" s="51">
        <f t="shared" si="86"/>
        <v>0</v>
      </c>
      <c r="F90" s="31"/>
      <c r="G90" s="5"/>
      <c r="H90" s="60">
        <f t="shared" si="87"/>
        <v>0</v>
      </c>
      <c r="I90" s="38">
        <f t="shared" si="88"/>
        <v>0</v>
      </c>
      <c r="J90" s="35"/>
      <c r="L90" s="10" t="s">
        <v>3</v>
      </c>
      <c r="M90" s="25"/>
      <c r="N90" s="19"/>
      <c r="O90" s="51">
        <f t="shared" si="89"/>
        <v>0</v>
      </c>
      <c r="P90" s="31"/>
      <c r="Q90" s="5"/>
      <c r="R90" s="60">
        <f t="shared" si="90"/>
        <v>0</v>
      </c>
      <c r="S90" s="38">
        <f t="shared" si="91"/>
        <v>0</v>
      </c>
    </row>
    <row r="91" spans="2:20" ht="14.25" thickBot="1" x14ac:dyDescent="0.2">
      <c r="B91" s="42" t="s">
        <v>2</v>
      </c>
      <c r="C91" s="43">
        <f>SUM(C85:C90)</f>
        <v>14</v>
      </c>
      <c r="D91" s="44">
        <f>SUM(D85:D90)</f>
        <v>17</v>
      </c>
      <c r="E91" s="52">
        <f t="shared" si="86"/>
        <v>31</v>
      </c>
      <c r="F91" s="43">
        <f>SUM(F85:F90)</f>
        <v>13</v>
      </c>
      <c r="G91" s="44">
        <f>SUM(G85:G90)</f>
        <v>13</v>
      </c>
      <c r="H91" s="61">
        <f t="shared" si="87"/>
        <v>26</v>
      </c>
      <c r="I91" s="41">
        <f t="shared" si="88"/>
        <v>57</v>
      </c>
      <c r="L91" s="42" t="s">
        <v>2</v>
      </c>
      <c r="M91" s="43">
        <f>SUM(M85:M90)</f>
        <v>418</v>
      </c>
      <c r="N91" s="44">
        <f t="shared" ref="N91" si="92">SUM(N85:N90)</f>
        <v>524</v>
      </c>
      <c r="O91" s="104">
        <f t="shared" ref="O91" si="93">SUM(O85:O90)</f>
        <v>942</v>
      </c>
      <c r="P91" s="43">
        <f t="shared" ref="P91" si="94">SUM(P85:P90)</f>
        <v>342</v>
      </c>
      <c r="Q91" s="44">
        <f t="shared" ref="Q91" si="95">SUM(Q85:Q90)</f>
        <v>440</v>
      </c>
      <c r="R91" s="105">
        <f t="shared" ref="R91" si="96">SUM(R85:R90)</f>
        <v>782</v>
      </c>
      <c r="S91" s="41">
        <f t="shared" ref="S91" si="97">SUM(S85:S90)</f>
        <v>1724</v>
      </c>
    </row>
    <row r="92" spans="2:20" x14ac:dyDescent="0.15">
      <c r="B92" s="6" t="s">
        <v>73</v>
      </c>
      <c r="C92" s="23"/>
      <c r="D92" s="17"/>
      <c r="E92" s="53">
        <f t="shared" si="86"/>
        <v>0</v>
      </c>
      <c r="F92" s="30">
        <v>2</v>
      </c>
      <c r="G92" s="7"/>
      <c r="H92" s="62">
        <f t="shared" si="87"/>
        <v>2</v>
      </c>
      <c r="I92" s="37">
        <f t="shared" si="88"/>
        <v>2</v>
      </c>
      <c r="J92" s="35">
        <v>45323</v>
      </c>
      <c r="L92" s="6" t="s">
        <v>75</v>
      </c>
      <c r="M92" s="24">
        <v>12</v>
      </c>
      <c r="N92" s="18">
        <v>4</v>
      </c>
      <c r="O92" s="53">
        <f t="shared" si="89"/>
        <v>16</v>
      </c>
      <c r="P92" s="30">
        <v>8</v>
      </c>
      <c r="Q92" s="7">
        <v>3</v>
      </c>
      <c r="R92" s="62">
        <f t="shared" si="90"/>
        <v>11</v>
      </c>
      <c r="S92" s="37">
        <f t="shared" si="91"/>
        <v>27</v>
      </c>
      <c r="T92" s="98">
        <v>45324</v>
      </c>
    </row>
    <row r="93" spans="2:20" x14ac:dyDescent="0.15">
      <c r="B93" s="6" t="s">
        <v>74</v>
      </c>
      <c r="C93" s="24"/>
      <c r="D93" s="18">
        <v>2</v>
      </c>
      <c r="E93" s="53">
        <f t="shared" si="86"/>
        <v>2</v>
      </c>
      <c r="F93" s="30"/>
      <c r="G93" s="7"/>
      <c r="H93" s="62">
        <f t="shared" si="87"/>
        <v>0</v>
      </c>
      <c r="I93" s="37">
        <f t="shared" si="88"/>
        <v>2</v>
      </c>
      <c r="J93" s="35">
        <v>45324</v>
      </c>
      <c r="L93" s="6" t="s">
        <v>77</v>
      </c>
      <c r="M93" s="24"/>
      <c r="N93" s="18">
        <v>2</v>
      </c>
      <c r="O93" s="53">
        <f t="shared" si="89"/>
        <v>2</v>
      </c>
      <c r="P93" s="30"/>
      <c r="Q93" s="7">
        <v>5</v>
      </c>
      <c r="R93" s="62">
        <f t="shared" si="90"/>
        <v>5</v>
      </c>
      <c r="S93" s="37">
        <f t="shared" si="91"/>
        <v>7</v>
      </c>
      <c r="T93" s="98">
        <v>45328</v>
      </c>
    </row>
    <row r="94" spans="2:20" x14ac:dyDescent="0.15">
      <c r="B94" s="6" t="s">
        <v>76</v>
      </c>
      <c r="C94" s="24"/>
      <c r="D94" s="18">
        <v>1</v>
      </c>
      <c r="E94" s="53">
        <f t="shared" si="86"/>
        <v>1</v>
      </c>
      <c r="F94" s="30"/>
      <c r="G94" s="7"/>
      <c r="H94" s="62">
        <f t="shared" si="87"/>
        <v>0</v>
      </c>
      <c r="I94" s="37">
        <f t="shared" si="88"/>
        <v>1</v>
      </c>
      <c r="J94" s="35">
        <v>45322</v>
      </c>
      <c r="L94" s="33" t="s">
        <v>21</v>
      </c>
      <c r="M94" s="24"/>
      <c r="N94" s="18">
        <v>3</v>
      </c>
      <c r="O94" s="53">
        <f t="shared" si="89"/>
        <v>3</v>
      </c>
      <c r="P94" s="30"/>
      <c r="Q94" s="7"/>
      <c r="R94" s="62">
        <f t="shared" si="90"/>
        <v>0</v>
      </c>
      <c r="S94" s="37">
        <f t="shared" si="91"/>
        <v>3</v>
      </c>
      <c r="T94" s="98">
        <v>45348</v>
      </c>
    </row>
    <row r="95" spans="2:20" x14ac:dyDescent="0.15">
      <c r="B95" s="6" t="s">
        <v>78</v>
      </c>
      <c r="C95" s="24"/>
      <c r="D95" s="18">
        <v>2</v>
      </c>
      <c r="E95" s="53">
        <f t="shared" si="86"/>
        <v>2</v>
      </c>
      <c r="F95" s="30"/>
      <c r="G95" s="7"/>
      <c r="H95" s="62">
        <f t="shared" si="87"/>
        <v>0</v>
      </c>
      <c r="I95" s="37">
        <f t="shared" si="88"/>
        <v>2</v>
      </c>
      <c r="J95" s="35">
        <v>45330</v>
      </c>
      <c r="L95" s="33" t="s">
        <v>21</v>
      </c>
      <c r="M95" s="24">
        <v>10</v>
      </c>
      <c r="N95" s="18">
        <v>10</v>
      </c>
      <c r="O95" s="53">
        <f t="shared" si="89"/>
        <v>20</v>
      </c>
      <c r="P95" s="30">
        <v>10</v>
      </c>
      <c r="Q95" s="7">
        <v>10</v>
      </c>
      <c r="R95" s="62">
        <f t="shared" si="90"/>
        <v>20</v>
      </c>
      <c r="S95" s="37">
        <f t="shared" si="91"/>
        <v>40</v>
      </c>
      <c r="T95" s="98">
        <v>45580</v>
      </c>
    </row>
    <row r="96" spans="2:20" x14ac:dyDescent="0.15">
      <c r="B96" s="6" t="s">
        <v>23</v>
      </c>
      <c r="C96" s="24">
        <v>1</v>
      </c>
      <c r="D96" s="18"/>
      <c r="E96" s="53">
        <f t="shared" si="86"/>
        <v>1</v>
      </c>
      <c r="F96" s="30"/>
      <c r="G96" s="7"/>
      <c r="H96" s="62">
        <f t="shared" si="87"/>
        <v>0</v>
      </c>
      <c r="I96" s="37">
        <f t="shared" si="88"/>
        <v>1</v>
      </c>
      <c r="J96" s="35">
        <v>45328</v>
      </c>
      <c r="L96" s="6"/>
      <c r="M96" s="24"/>
      <c r="N96" s="18"/>
      <c r="O96" s="53">
        <f t="shared" si="89"/>
        <v>0</v>
      </c>
      <c r="P96" s="30"/>
      <c r="Q96" s="7"/>
      <c r="R96" s="62">
        <f t="shared" si="90"/>
        <v>0</v>
      </c>
      <c r="S96" s="37">
        <f t="shared" si="91"/>
        <v>0</v>
      </c>
    </row>
    <row r="97" spans="2:19" x14ac:dyDescent="0.15">
      <c r="B97" s="6" t="s">
        <v>23</v>
      </c>
      <c r="C97" s="24"/>
      <c r="D97" s="18">
        <v>1</v>
      </c>
      <c r="E97" s="53">
        <f t="shared" si="86"/>
        <v>1</v>
      </c>
      <c r="F97" s="30"/>
      <c r="G97" s="7"/>
      <c r="H97" s="62">
        <f t="shared" si="87"/>
        <v>0</v>
      </c>
      <c r="I97" s="37">
        <f t="shared" si="88"/>
        <v>1</v>
      </c>
      <c r="J97" s="35">
        <v>45335</v>
      </c>
      <c r="L97" s="6"/>
      <c r="M97" s="24"/>
      <c r="N97" s="18"/>
      <c r="O97" s="53">
        <f t="shared" si="89"/>
        <v>0</v>
      </c>
      <c r="P97" s="30"/>
      <c r="Q97" s="7"/>
      <c r="R97" s="62">
        <f t="shared" si="90"/>
        <v>0</v>
      </c>
      <c r="S97" s="37">
        <f t="shared" si="91"/>
        <v>0</v>
      </c>
    </row>
    <row r="98" spans="2:19" x14ac:dyDescent="0.15">
      <c r="B98" s="6" t="s">
        <v>79</v>
      </c>
      <c r="C98" s="24"/>
      <c r="D98" s="18">
        <v>1</v>
      </c>
      <c r="E98" s="53">
        <f t="shared" si="86"/>
        <v>1</v>
      </c>
      <c r="F98" s="30"/>
      <c r="G98" s="7"/>
      <c r="H98" s="62">
        <f t="shared" si="87"/>
        <v>0</v>
      </c>
      <c r="I98" s="37">
        <f t="shared" si="88"/>
        <v>1</v>
      </c>
      <c r="J98" s="35">
        <v>45338</v>
      </c>
      <c r="L98" s="6"/>
      <c r="M98" s="24"/>
      <c r="N98" s="18"/>
      <c r="O98" s="53">
        <f t="shared" si="89"/>
        <v>0</v>
      </c>
      <c r="P98" s="30"/>
      <c r="Q98" s="7"/>
      <c r="R98" s="62">
        <f t="shared" si="90"/>
        <v>0</v>
      </c>
      <c r="S98" s="37">
        <f t="shared" si="91"/>
        <v>0</v>
      </c>
    </row>
    <row r="99" spans="2:19" x14ac:dyDescent="0.15">
      <c r="B99" s="6" t="s">
        <v>80</v>
      </c>
      <c r="C99" s="24"/>
      <c r="D99" s="18">
        <v>1</v>
      </c>
      <c r="E99" s="53">
        <f t="shared" si="86"/>
        <v>1</v>
      </c>
      <c r="F99" s="30"/>
      <c r="G99" s="7"/>
      <c r="H99" s="62">
        <f t="shared" si="87"/>
        <v>0</v>
      </c>
      <c r="I99" s="37">
        <f t="shared" si="88"/>
        <v>1</v>
      </c>
      <c r="J99" s="35">
        <v>45338</v>
      </c>
      <c r="L99" s="6"/>
      <c r="M99" s="24"/>
      <c r="N99" s="18"/>
      <c r="O99" s="53">
        <f t="shared" si="89"/>
        <v>0</v>
      </c>
      <c r="P99" s="30"/>
      <c r="Q99" s="7"/>
      <c r="R99" s="62">
        <f t="shared" si="90"/>
        <v>0</v>
      </c>
      <c r="S99" s="37">
        <f t="shared" si="91"/>
        <v>0</v>
      </c>
    </row>
    <row r="100" spans="2:19" x14ac:dyDescent="0.15">
      <c r="B100" s="6" t="s">
        <v>81</v>
      </c>
      <c r="C100" s="24"/>
      <c r="D100" s="18">
        <v>1</v>
      </c>
      <c r="E100" s="53">
        <f t="shared" si="86"/>
        <v>1</v>
      </c>
      <c r="F100" s="30"/>
      <c r="G100" s="7">
        <v>2</v>
      </c>
      <c r="H100" s="62">
        <f t="shared" si="87"/>
        <v>2</v>
      </c>
      <c r="I100" s="37">
        <f t="shared" si="88"/>
        <v>3</v>
      </c>
      <c r="J100" s="35">
        <v>45343</v>
      </c>
      <c r="L100" s="6"/>
      <c r="M100" s="24"/>
      <c r="N100" s="18"/>
      <c r="O100" s="53">
        <f t="shared" si="89"/>
        <v>0</v>
      </c>
      <c r="P100" s="30"/>
      <c r="Q100" s="7"/>
      <c r="R100" s="62">
        <f t="shared" si="90"/>
        <v>0</v>
      </c>
      <c r="S100" s="37">
        <f t="shared" si="91"/>
        <v>0</v>
      </c>
    </row>
    <row r="101" spans="2:19" x14ac:dyDescent="0.15">
      <c r="B101" s="6" t="s">
        <v>82</v>
      </c>
      <c r="C101" s="24"/>
      <c r="D101" s="18">
        <v>1</v>
      </c>
      <c r="E101" s="53">
        <f t="shared" si="86"/>
        <v>1</v>
      </c>
      <c r="F101" s="30"/>
      <c r="G101" s="7"/>
      <c r="H101" s="62">
        <f t="shared" si="87"/>
        <v>0</v>
      </c>
      <c r="I101" s="37">
        <f t="shared" si="88"/>
        <v>1</v>
      </c>
      <c r="J101" s="35">
        <v>45348</v>
      </c>
      <c r="L101" s="6"/>
      <c r="M101" s="24"/>
      <c r="N101" s="18"/>
      <c r="O101" s="53">
        <f t="shared" si="89"/>
        <v>0</v>
      </c>
      <c r="P101" s="30"/>
      <c r="Q101" s="7"/>
      <c r="R101" s="62">
        <f t="shared" si="90"/>
        <v>0</v>
      </c>
      <c r="S101" s="37">
        <f t="shared" si="91"/>
        <v>0</v>
      </c>
    </row>
    <row r="102" spans="2:19" x14ac:dyDescent="0.15">
      <c r="B102" s="6" t="s">
        <v>47</v>
      </c>
      <c r="C102" s="24">
        <v>1</v>
      </c>
      <c r="D102" s="18"/>
      <c r="E102" s="53">
        <f t="shared" si="86"/>
        <v>1</v>
      </c>
      <c r="F102" s="30"/>
      <c r="G102" s="7"/>
      <c r="H102" s="62">
        <f t="shared" si="87"/>
        <v>0</v>
      </c>
      <c r="I102" s="37">
        <f t="shared" si="88"/>
        <v>1</v>
      </c>
      <c r="J102" s="35">
        <v>45348</v>
      </c>
      <c r="L102" s="6"/>
      <c r="M102" s="27"/>
      <c r="N102" s="21"/>
      <c r="O102" s="53">
        <f t="shared" si="89"/>
        <v>0</v>
      </c>
      <c r="P102" s="32"/>
      <c r="Q102" s="8"/>
      <c r="R102" s="62">
        <f t="shared" si="90"/>
        <v>0</v>
      </c>
      <c r="S102" s="37">
        <f t="shared" si="91"/>
        <v>0</v>
      </c>
    </row>
    <row r="103" spans="2:19" x14ac:dyDescent="0.15">
      <c r="B103" s="6" t="s">
        <v>83</v>
      </c>
      <c r="C103" s="24"/>
      <c r="D103" s="18">
        <v>1</v>
      </c>
      <c r="E103" s="53">
        <f t="shared" si="86"/>
        <v>1</v>
      </c>
      <c r="F103" s="30"/>
      <c r="G103" s="7"/>
      <c r="H103" s="62">
        <f t="shared" si="87"/>
        <v>0</v>
      </c>
      <c r="I103" s="37">
        <f t="shared" si="88"/>
        <v>1</v>
      </c>
      <c r="J103" s="35">
        <v>45351</v>
      </c>
      <c r="L103" s="6"/>
      <c r="M103" s="27"/>
      <c r="N103" s="21"/>
      <c r="O103" s="53">
        <f t="shared" si="89"/>
        <v>0</v>
      </c>
      <c r="P103" s="32"/>
      <c r="Q103" s="8"/>
      <c r="R103" s="62">
        <f t="shared" si="90"/>
        <v>0</v>
      </c>
      <c r="S103" s="37">
        <f t="shared" si="91"/>
        <v>0</v>
      </c>
    </row>
    <row r="104" spans="2:19" x14ac:dyDescent="0.15">
      <c r="B104" s="6" t="s">
        <v>84</v>
      </c>
      <c r="C104" s="24"/>
      <c r="D104" s="18"/>
      <c r="E104" s="53">
        <f t="shared" si="86"/>
        <v>0</v>
      </c>
      <c r="F104" s="30"/>
      <c r="G104" s="7">
        <v>1</v>
      </c>
      <c r="H104" s="62">
        <f t="shared" si="87"/>
        <v>1</v>
      </c>
      <c r="I104" s="37">
        <f t="shared" si="88"/>
        <v>1</v>
      </c>
      <c r="J104" s="35">
        <v>45355</v>
      </c>
      <c r="L104" s="6"/>
      <c r="M104" s="24"/>
      <c r="N104" s="18"/>
      <c r="O104" s="53">
        <f t="shared" si="89"/>
        <v>0</v>
      </c>
      <c r="P104" s="30"/>
      <c r="Q104" s="7"/>
      <c r="R104" s="62">
        <f t="shared" si="90"/>
        <v>0</v>
      </c>
      <c r="S104" s="37">
        <f t="shared" si="91"/>
        <v>0</v>
      </c>
    </row>
    <row r="105" spans="2:19" x14ac:dyDescent="0.15">
      <c r="B105" s="6" t="s">
        <v>23</v>
      </c>
      <c r="C105" s="24">
        <v>1</v>
      </c>
      <c r="D105" s="18"/>
      <c r="E105" s="53">
        <f t="shared" si="86"/>
        <v>1</v>
      </c>
      <c r="F105" s="30"/>
      <c r="G105" s="7"/>
      <c r="H105" s="62">
        <f t="shared" si="87"/>
        <v>0</v>
      </c>
      <c r="I105" s="37">
        <f t="shared" si="88"/>
        <v>1</v>
      </c>
      <c r="J105" s="35">
        <v>45359</v>
      </c>
      <c r="L105" s="6"/>
      <c r="M105" s="27"/>
      <c r="N105" s="21"/>
      <c r="O105" s="53">
        <f t="shared" si="89"/>
        <v>0</v>
      </c>
      <c r="P105" s="32"/>
      <c r="Q105" s="8"/>
      <c r="R105" s="62">
        <f t="shared" si="90"/>
        <v>0</v>
      </c>
      <c r="S105" s="37">
        <f t="shared" si="91"/>
        <v>0</v>
      </c>
    </row>
    <row r="106" spans="2:19" x14ac:dyDescent="0.15">
      <c r="B106" s="6" t="s">
        <v>47</v>
      </c>
      <c r="C106" s="24"/>
      <c r="D106" s="18"/>
      <c r="E106" s="53">
        <f t="shared" si="86"/>
        <v>0</v>
      </c>
      <c r="F106" s="30">
        <v>1</v>
      </c>
      <c r="G106" s="7"/>
      <c r="H106" s="62">
        <f t="shared" si="87"/>
        <v>1</v>
      </c>
      <c r="I106" s="37">
        <f t="shared" si="88"/>
        <v>1</v>
      </c>
      <c r="J106" s="35">
        <v>45363</v>
      </c>
      <c r="L106" s="6"/>
      <c r="M106" s="27"/>
      <c r="N106" s="21"/>
      <c r="O106" s="53">
        <f t="shared" si="89"/>
        <v>0</v>
      </c>
      <c r="P106" s="32"/>
      <c r="Q106" s="8"/>
      <c r="R106" s="62">
        <f t="shared" si="90"/>
        <v>0</v>
      </c>
      <c r="S106" s="37">
        <f t="shared" si="91"/>
        <v>0</v>
      </c>
    </row>
    <row r="107" spans="2:19" x14ac:dyDescent="0.15">
      <c r="B107" s="6" t="s">
        <v>23</v>
      </c>
      <c r="C107" s="24">
        <v>2</v>
      </c>
      <c r="D107" s="18"/>
      <c r="E107" s="53">
        <f t="shared" si="86"/>
        <v>2</v>
      </c>
      <c r="F107" s="30"/>
      <c r="G107" s="7"/>
      <c r="H107" s="62">
        <f t="shared" si="87"/>
        <v>0</v>
      </c>
      <c r="I107" s="37">
        <f t="shared" si="88"/>
        <v>2</v>
      </c>
      <c r="J107" s="35">
        <v>45362</v>
      </c>
      <c r="L107" s="6"/>
      <c r="M107" s="27"/>
      <c r="N107" s="21"/>
      <c r="O107" s="53">
        <f t="shared" si="89"/>
        <v>0</v>
      </c>
      <c r="P107" s="32"/>
      <c r="Q107" s="8"/>
      <c r="R107" s="62">
        <f t="shared" si="90"/>
        <v>0</v>
      </c>
      <c r="S107" s="37">
        <f t="shared" si="91"/>
        <v>0</v>
      </c>
    </row>
    <row r="108" spans="2:19" x14ac:dyDescent="0.15">
      <c r="B108" s="6" t="s">
        <v>85</v>
      </c>
      <c r="C108" s="24"/>
      <c r="D108" s="18"/>
      <c r="E108" s="53">
        <f t="shared" si="86"/>
        <v>0</v>
      </c>
      <c r="F108" s="30">
        <v>1</v>
      </c>
      <c r="G108" s="7"/>
      <c r="H108" s="62">
        <f t="shared" si="87"/>
        <v>1</v>
      </c>
      <c r="I108" s="37">
        <f t="shared" si="88"/>
        <v>1</v>
      </c>
      <c r="J108" s="35">
        <v>45365</v>
      </c>
      <c r="L108" s="6"/>
      <c r="M108" s="27"/>
      <c r="N108" s="21"/>
      <c r="O108" s="53">
        <f t="shared" si="89"/>
        <v>0</v>
      </c>
      <c r="P108" s="32"/>
      <c r="Q108" s="8"/>
      <c r="R108" s="62">
        <f t="shared" si="90"/>
        <v>0</v>
      </c>
      <c r="S108" s="37">
        <f t="shared" si="91"/>
        <v>0</v>
      </c>
    </row>
    <row r="109" spans="2:19" x14ac:dyDescent="0.15">
      <c r="B109" s="6" t="s">
        <v>86</v>
      </c>
      <c r="C109" s="24">
        <v>1</v>
      </c>
      <c r="D109" s="18"/>
      <c r="E109" s="53">
        <f t="shared" si="86"/>
        <v>1</v>
      </c>
      <c r="F109" s="30">
        <v>2</v>
      </c>
      <c r="G109" s="7"/>
      <c r="H109" s="62">
        <f t="shared" si="87"/>
        <v>2</v>
      </c>
      <c r="I109" s="37">
        <f t="shared" si="88"/>
        <v>3</v>
      </c>
      <c r="J109" s="35">
        <v>45370</v>
      </c>
      <c r="L109" s="6"/>
      <c r="M109" s="27"/>
      <c r="N109" s="21"/>
      <c r="O109" s="53">
        <f t="shared" si="89"/>
        <v>0</v>
      </c>
      <c r="P109" s="32"/>
      <c r="Q109" s="8"/>
      <c r="R109" s="62">
        <f t="shared" si="90"/>
        <v>0</v>
      </c>
      <c r="S109" s="37">
        <f t="shared" si="91"/>
        <v>0</v>
      </c>
    </row>
    <row r="110" spans="2:19" x14ac:dyDescent="0.15">
      <c r="B110" s="6" t="s">
        <v>88</v>
      </c>
      <c r="C110" s="24"/>
      <c r="D110" s="18"/>
      <c r="E110" s="53">
        <f t="shared" si="86"/>
        <v>0</v>
      </c>
      <c r="F110" s="30">
        <v>1</v>
      </c>
      <c r="G110" s="7"/>
      <c r="H110" s="62">
        <f t="shared" si="87"/>
        <v>1</v>
      </c>
      <c r="I110" s="37">
        <f t="shared" si="88"/>
        <v>1</v>
      </c>
      <c r="J110" s="35">
        <v>45379</v>
      </c>
      <c r="L110" s="6"/>
      <c r="M110" s="27"/>
      <c r="N110" s="21"/>
      <c r="O110" s="53">
        <f t="shared" si="89"/>
        <v>0</v>
      </c>
      <c r="P110" s="32"/>
      <c r="Q110" s="8"/>
      <c r="R110" s="62">
        <f t="shared" si="90"/>
        <v>0</v>
      </c>
      <c r="S110" s="37">
        <f t="shared" si="91"/>
        <v>0</v>
      </c>
    </row>
    <row r="111" spans="2:19" x14ac:dyDescent="0.15">
      <c r="B111" s="6" t="s">
        <v>89</v>
      </c>
      <c r="C111" s="24"/>
      <c r="D111" s="18"/>
      <c r="E111" s="53">
        <f t="shared" si="86"/>
        <v>0</v>
      </c>
      <c r="F111" s="30"/>
      <c r="G111" s="7">
        <v>2</v>
      </c>
      <c r="H111" s="62">
        <f t="shared" si="87"/>
        <v>2</v>
      </c>
      <c r="I111" s="37">
        <f t="shared" si="88"/>
        <v>2</v>
      </c>
      <c r="J111" s="35">
        <v>45380</v>
      </c>
      <c r="L111" s="6"/>
      <c r="M111" s="24"/>
      <c r="N111" s="18"/>
      <c r="O111" s="53">
        <f t="shared" si="89"/>
        <v>0</v>
      </c>
      <c r="P111" s="30"/>
      <c r="Q111" s="7"/>
      <c r="R111" s="62">
        <f t="shared" si="90"/>
        <v>0</v>
      </c>
      <c r="S111" s="37">
        <f t="shared" si="91"/>
        <v>0</v>
      </c>
    </row>
    <row r="112" spans="2:19" x14ac:dyDescent="0.15">
      <c r="B112" s="6" t="s">
        <v>23</v>
      </c>
      <c r="C112" s="24"/>
      <c r="D112" s="18"/>
      <c r="E112" s="53">
        <f t="shared" si="86"/>
        <v>0</v>
      </c>
      <c r="F112" s="30">
        <v>1</v>
      </c>
      <c r="G112" s="7"/>
      <c r="H112" s="62">
        <f t="shared" si="87"/>
        <v>1</v>
      </c>
      <c r="I112" s="37">
        <f t="shared" si="88"/>
        <v>1</v>
      </c>
      <c r="J112" s="35">
        <v>45383</v>
      </c>
      <c r="L112" s="6"/>
      <c r="M112" s="24"/>
      <c r="N112" s="18"/>
      <c r="O112" s="53">
        <f t="shared" si="89"/>
        <v>0</v>
      </c>
      <c r="P112" s="30"/>
      <c r="Q112" s="7"/>
      <c r="R112" s="62">
        <f t="shared" si="90"/>
        <v>0</v>
      </c>
      <c r="S112" s="37">
        <f t="shared" si="91"/>
        <v>0</v>
      </c>
    </row>
    <row r="113" spans="2:20" x14ac:dyDescent="0.15">
      <c r="B113" s="6" t="s">
        <v>91</v>
      </c>
      <c r="C113" s="24">
        <v>1</v>
      </c>
      <c r="D113" s="18"/>
      <c r="E113" s="53">
        <f t="shared" si="86"/>
        <v>1</v>
      </c>
      <c r="F113" s="30">
        <v>1</v>
      </c>
      <c r="G113" s="7"/>
      <c r="H113" s="62">
        <f t="shared" si="87"/>
        <v>1</v>
      </c>
      <c r="I113" s="37">
        <f t="shared" si="88"/>
        <v>2</v>
      </c>
      <c r="J113" s="35">
        <v>45386</v>
      </c>
      <c r="L113" s="6"/>
      <c r="M113" s="24"/>
      <c r="N113" s="18"/>
      <c r="O113" s="53">
        <f t="shared" si="89"/>
        <v>0</v>
      </c>
      <c r="P113" s="30"/>
      <c r="Q113" s="7"/>
      <c r="R113" s="62">
        <f t="shared" si="90"/>
        <v>0</v>
      </c>
      <c r="S113" s="37">
        <f t="shared" si="91"/>
        <v>0</v>
      </c>
    </row>
    <row r="114" spans="2:20" x14ac:dyDescent="0.15">
      <c r="B114" s="6" t="s">
        <v>47</v>
      </c>
      <c r="C114" s="24">
        <v>1</v>
      </c>
      <c r="D114" s="18"/>
      <c r="E114" s="53">
        <f t="shared" si="86"/>
        <v>1</v>
      </c>
      <c r="F114" s="30"/>
      <c r="G114" s="7"/>
      <c r="H114" s="62">
        <f t="shared" si="87"/>
        <v>0</v>
      </c>
      <c r="I114" s="37">
        <f t="shared" si="88"/>
        <v>1</v>
      </c>
      <c r="J114" s="35">
        <v>45391</v>
      </c>
      <c r="L114" s="6"/>
      <c r="M114" s="24"/>
      <c r="N114" s="18"/>
      <c r="O114" s="53">
        <f t="shared" si="89"/>
        <v>0</v>
      </c>
      <c r="P114" s="30"/>
      <c r="Q114" s="7"/>
      <c r="R114" s="62">
        <f t="shared" si="90"/>
        <v>0</v>
      </c>
      <c r="S114" s="37">
        <f t="shared" si="91"/>
        <v>0</v>
      </c>
    </row>
    <row r="115" spans="2:20" x14ac:dyDescent="0.15">
      <c r="B115" s="6" t="s">
        <v>23</v>
      </c>
      <c r="C115" s="24">
        <v>1</v>
      </c>
      <c r="D115" s="18"/>
      <c r="E115" s="53">
        <f t="shared" si="86"/>
        <v>1</v>
      </c>
      <c r="F115" s="30"/>
      <c r="G115" s="7"/>
      <c r="H115" s="62">
        <f t="shared" si="87"/>
        <v>0</v>
      </c>
      <c r="I115" s="37">
        <f t="shared" si="88"/>
        <v>1</v>
      </c>
      <c r="J115" s="35">
        <v>45392</v>
      </c>
      <c r="L115" s="6"/>
      <c r="M115" s="24"/>
      <c r="N115" s="18"/>
      <c r="O115" s="53">
        <f t="shared" si="89"/>
        <v>0</v>
      </c>
      <c r="P115" s="30"/>
      <c r="Q115" s="7"/>
      <c r="R115" s="62">
        <f t="shared" si="90"/>
        <v>0</v>
      </c>
      <c r="S115" s="37">
        <f t="shared" si="91"/>
        <v>0</v>
      </c>
    </row>
    <row r="116" spans="2:20" ht="14.25" thickBot="1" x14ac:dyDescent="0.2">
      <c r="B116" s="6" t="s">
        <v>92</v>
      </c>
      <c r="C116" s="28"/>
      <c r="D116" s="19">
        <v>1</v>
      </c>
      <c r="E116" s="54">
        <f t="shared" si="86"/>
        <v>1</v>
      </c>
      <c r="F116" s="31"/>
      <c r="G116" s="5"/>
      <c r="H116" s="63">
        <f t="shared" si="87"/>
        <v>0</v>
      </c>
      <c r="I116" s="38">
        <f t="shared" si="88"/>
        <v>1</v>
      </c>
      <c r="J116" s="35">
        <v>45400</v>
      </c>
      <c r="L116" s="6" t="s">
        <v>50</v>
      </c>
      <c r="M116" s="24"/>
      <c r="N116" s="18"/>
      <c r="O116" s="53">
        <f t="shared" si="89"/>
        <v>0</v>
      </c>
      <c r="P116" s="30"/>
      <c r="Q116" s="7"/>
      <c r="R116" s="62">
        <f t="shared" si="90"/>
        <v>0</v>
      </c>
      <c r="S116" s="37">
        <f t="shared" si="91"/>
        <v>0</v>
      </c>
      <c r="T116" s="35" t="s">
        <v>51</v>
      </c>
    </row>
    <row r="117" spans="2:20" ht="14.25" thickBot="1" x14ac:dyDescent="0.2">
      <c r="B117" s="4" t="s">
        <v>1</v>
      </c>
      <c r="C117" s="26">
        <f>SUM(C92:C116)</f>
        <v>9</v>
      </c>
      <c r="D117" s="20">
        <f>SUM(D92:D116)</f>
        <v>12</v>
      </c>
      <c r="E117" s="55">
        <f t="shared" si="86"/>
        <v>21</v>
      </c>
      <c r="F117" s="26">
        <f>SUM(F92:F116)</f>
        <v>9</v>
      </c>
      <c r="G117" s="20">
        <f>SUM(G92:G116)</f>
        <v>5</v>
      </c>
      <c r="H117" s="64">
        <f t="shared" si="87"/>
        <v>14</v>
      </c>
      <c r="I117" s="39">
        <f t="shared" si="88"/>
        <v>35</v>
      </c>
      <c r="L117" s="4" t="s">
        <v>1</v>
      </c>
      <c r="M117" s="26">
        <f>SUM(M92:M116)</f>
        <v>22</v>
      </c>
      <c r="N117" s="20">
        <f t="shared" ref="N117" si="98">SUM(N92:N116)</f>
        <v>19</v>
      </c>
      <c r="O117" s="55">
        <f t="shared" ref="O117" si="99">SUM(O92:O116)</f>
        <v>41</v>
      </c>
      <c r="P117" s="26">
        <f t="shared" ref="P117" si="100">SUM(P92:P116)</f>
        <v>18</v>
      </c>
      <c r="Q117" s="20">
        <f t="shared" ref="Q117" si="101">SUM(Q92:Q116)</f>
        <v>18</v>
      </c>
      <c r="R117" s="64">
        <f t="shared" ref="R117" si="102">SUM(R92:R116)</f>
        <v>36</v>
      </c>
      <c r="S117" s="39">
        <f t="shared" ref="S117" si="103">SUM(S92:S116)</f>
        <v>77</v>
      </c>
    </row>
    <row r="118" spans="2:20" ht="14.25" thickBot="1" x14ac:dyDescent="0.2">
      <c r="B118" s="3" t="s">
        <v>0</v>
      </c>
      <c r="C118" s="29">
        <f>+C91-C117</f>
        <v>5</v>
      </c>
      <c r="D118" s="2">
        <f>+D91-D117</f>
        <v>5</v>
      </c>
      <c r="E118" s="56">
        <f t="shared" si="86"/>
        <v>10</v>
      </c>
      <c r="F118" s="29">
        <f>+F91-F117</f>
        <v>4</v>
      </c>
      <c r="G118" s="2">
        <f>+G91-G117</f>
        <v>8</v>
      </c>
      <c r="H118" s="65">
        <f t="shared" si="87"/>
        <v>12</v>
      </c>
      <c r="I118" s="41">
        <f t="shared" si="88"/>
        <v>22</v>
      </c>
      <c r="L118" s="3" t="s">
        <v>0</v>
      </c>
      <c r="M118" s="29">
        <f>+M91-M117</f>
        <v>396</v>
      </c>
      <c r="N118" s="2">
        <f t="shared" ref="N118" si="104">+N91-N117</f>
        <v>505</v>
      </c>
      <c r="O118" s="56">
        <f t="shared" ref="O118" si="105">+O91-O117</f>
        <v>901</v>
      </c>
      <c r="P118" s="29">
        <f t="shared" ref="P118" si="106">+P91-P117</f>
        <v>324</v>
      </c>
      <c r="Q118" s="2">
        <f t="shared" ref="Q118" si="107">+Q91-Q117</f>
        <v>422</v>
      </c>
      <c r="R118" s="65">
        <f t="shared" ref="R118" si="108">+R91-R117</f>
        <v>746</v>
      </c>
      <c r="S118" s="41">
        <f t="shared" ref="S118" si="109">+S91-S117</f>
        <v>1647</v>
      </c>
    </row>
    <row r="119" spans="2:20" x14ac:dyDescent="0.15">
      <c r="B119"/>
      <c r="J119"/>
    </row>
    <row r="120" spans="2:20" x14ac:dyDescent="0.15">
      <c r="B120"/>
      <c r="J120"/>
    </row>
    <row r="121" spans="2:20" ht="18.75" x14ac:dyDescent="0.2">
      <c r="B121" s="16" t="s">
        <v>28</v>
      </c>
      <c r="C121" s="15"/>
      <c r="D121" s="15"/>
      <c r="E121" s="15"/>
      <c r="F121" s="15"/>
      <c r="G121" s="15"/>
      <c r="H121" s="15"/>
      <c r="I121" s="15"/>
      <c r="L121" s="69" t="s">
        <v>29</v>
      </c>
      <c r="M121" s="70"/>
      <c r="N121" s="70"/>
      <c r="O121" s="70"/>
      <c r="P121" s="70"/>
      <c r="Q121" s="70"/>
      <c r="R121" s="70"/>
      <c r="S121" s="70"/>
    </row>
    <row r="122" spans="2:20" ht="15" thickBot="1" x14ac:dyDescent="0.2">
      <c r="B122" s="75" t="s">
        <v>26</v>
      </c>
      <c r="C122" s="15"/>
      <c r="D122" s="15"/>
      <c r="E122" s="15"/>
      <c r="F122" s="15"/>
      <c r="G122" s="15"/>
      <c r="H122" s="15"/>
      <c r="I122" s="15"/>
      <c r="L122" s="76" t="s">
        <v>25</v>
      </c>
      <c r="M122" s="70"/>
      <c r="N122" s="70"/>
      <c r="O122" s="70"/>
      <c r="P122" s="70"/>
      <c r="Q122" s="70"/>
      <c r="R122" s="70"/>
      <c r="S122" s="70"/>
    </row>
    <row r="123" spans="2:20" ht="14.25" thickBot="1" x14ac:dyDescent="0.2">
      <c r="B123" s="14"/>
      <c r="C123" s="117" t="s">
        <v>8</v>
      </c>
      <c r="D123" s="118"/>
      <c r="E123" s="119"/>
      <c r="F123" s="120" t="s">
        <v>10</v>
      </c>
      <c r="G123" s="121"/>
      <c r="H123" s="121"/>
      <c r="I123" s="115" t="s">
        <v>9</v>
      </c>
      <c r="L123" s="14"/>
      <c r="M123" s="117" t="s">
        <v>8</v>
      </c>
      <c r="N123" s="118"/>
      <c r="O123" s="119"/>
      <c r="P123" s="120" t="s">
        <v>10</v>
      </c>
      <c r="Q123" s="121"/>
      <c r="R123" s="121"/>
      <c r="S123" s="115" t="s">
        <v>9</v>
      </c>
    </row>
    <row r="124" spans="2:20" ht="14.25" thickBot="1" x14ac:dyDescent="0.2">
      <c r="B124" s="13"/>
      <c r="C124" s="22" t="s">
        <v>6</v>
      </c>
      <c r="D124" s="12" t="s">
        <v>5</v>
      </c>
      <c r="E124" s="48" t="s">
        <v>4</v>
      </c>
      <c r="F124" s="22" t="s">
        <v>6</v>
      </c>
      <c r="G124" s="12" t="s">
        <v>5</v>
      </c>
      <c r="H124" s="57" t="s">
        <v>4</v>
      </c>
      <c r="I124" s="116"/>
      <c r="K124" s="1"/>
      <c r="L124" s="13"/>
      <c r="M124" s="22" t="s">
        <v>6</v>
      </c>
      <c r="N124" s="12" t="s">
        <v>5</v>
      </c>
      <c r="O124" s="48" t="s">
        <v>4</v>
      </c>
      <c r="P124" s="22" t="s">
        <v>6</v>
      </c>
      <c r="Q124" s="12" t="s">
        <v>5</v>
      </c>
      <c r="R124" s="57" t="s">
        <v>4</v>
      </c>
      <c r="S124" s="116"/>
    </row>
    <row r="125" spans="2:20" x14ac:dyDescent="0.15">
      <c r="B125" s="45" t="s">
        <v>0</v>
      </c>
      <c r="C125" s="46">
        <f>C118</f>
        <v>5</v>
      </c>
      <c r="D125" s="47">
        <f t="shared" ref="D125:H125" si="110">D118</f>
        <v>5</v>
      </c>
      <c r="E125" s="66">
        <f t="shared" si="110"/>
        <v>10</v>
      </c>
      <c r="F125" s="46">
        <f t="shared" si="110"/>
        <v>4</v>
      </c>
      <c r="G125" s="47">
        <f t="shared" si="110"/>
        <v>8</v>
      </c>
      <c r="H125" s="67">
        <f t="shared" si="110"/>
        <v>12</v>
      </c>
      <c r="I125" s="40">
        <f>E125+H125</f>
        <v>22</v>
      </c>
      <c r="J125" s="35"/>
      <c r="L125" s="45" t="s">
        <v>0</v>
      </c>
      <c r="M125" s="46">
        <f>M118</f>
        <v>396</v>
      </c>
      <c r="N125" s="47">
        <f t="shared" ref="N125:S125" si="111">N118</f>
        <v>505</v>
      </c>
      <c r="O125" s="66">
        <f t="shared" si="111"/>
        <v>901</v>
      </c>
      <c r="P125" s="46">
        <f t="shared" si="111"/>
        <v>324</v>
      </c>
      <c r="Q125" s="47">
        <f t="shared" si="111"/>
        <v>422</v>
      </c>
      <c r="R125" s="67">
        <f t="shared" si="111"/>
        <v>746</v>
      </c>
      <c r="S125" s="40">
        <f t="shared" si="111"/>
        <v>1647</v>
      </c>
    </row>
    <row r="126" spans="2:20" x14ac:dyDescent="0.15">
      <c r="B126" s="11" t="s">
        <v>96</v>
      </c>
      <c r="C126" s="24">
        <v>0</v>
      </c>
      <c r="D126" s="18">
        <v>0</v>
      </c>
      <c r="E126" s="50">
        <f t="shared" ref="E126:E158" si="112">SUM(C126:D126)</f>
        <v>0</v>
      </c>
      <c r="F126" s="30">
        <v>0</v>
      </c>
      <c r="G126" s="7">
        <v>0</v>
      </c>
      <c r="H126" s="59">
        <f t="shared" ref="H126:H158" si="113">SUM(F126:G126)</f>
        <v>0</v>
      </c>
      <c r="I126" s="37">
        <f t="shared" ref="I126:I158" si="114">E126+H126</f>
        <v>0</v>
      </c>
      <c r="J126" s="35">
        <v>45527</v>
      </c>
      <c r="L126" s="11" t="s">
        <v>3</v>
      </c>
      <c r="M126" s="24"/>
      <c r="N126" s="18"/>
      <c r="O126" s="50">
        <f t="shared" ref="O126:O154" si="115">SUM(M126:N126)</f>
        <v>0</v>
      </c>
      <c r="P126" s="30"/>
      <c r="Q126" s="7"/>
      <c r="R126" s="59">
        <f t="shared" ref="R126:R154" si="116">SUM(P126:Q126)</f>
        <v>0</v>
      </c>
      <c r="S126" s="37">
        <f t="shared" ref="S126:S154" si="117">O126+R126</f>
        <v>0</v>
      </c>
    </row>
    <row r="127" spans="2:20" x14ac:dyDescent="0.15">
      <c r="B127" s="11" t="s">
        <v>3</v>
      </c>
      <c r="C127" s="24">
        <v>10</v>
      </c>
      <c r="D127" s="18">
        <v>10</v>
      </c>
      <c r="E127" s="50">
        <f t="shared" si="112"/>
        <v>20</v>
      </c>
      <c r="F127" s="30">
        <v>10</v>
      </c>
      <c r="G127" s="7">
        <v>10</v>
      </c>
      <c r="H127" s="59">
        <f t="shared" si="113"/>
        <v>20</v>
      </c>
      <c r="I127" s="37">
        <f t="shared" si="114"/>
        <v>40</v>
      </c>
      <c r="J127" s="35">
        <v>45580</v>
      </c>
      <c r="L127" s="11" t="s">
        <v>3</v>
      </c>
      <c r="M127" s="24"/>
      <c r="N127" s="18"/>
      <c r="O127" s="50">
        <f t="shared" si="115"/>
        <v>0</v>
      </c>
      <c r="P127" s="30"/>
      <c r="Q127" s="7"/>
      <c r="R127" s="59">
        <f t="shared" si="116"/>
        <v>0</v>
      </c>
      <c r="S127" s="37">
        <f t="shared" si="117"/>
        <v>0</v>
      </c>
    </row>
    <row r="128" spans="2:20" x14ac:dyDescent="0.15">
      <c r="B128" s="11" t="s">
        <v>3</v>
      </c>
      <c r="C128" s="24">
        <v>5</v>
      </c>
      <c r="D128" s="18">
        <v>5</v>
      </c>
      <c r="E128" s="50">
        <f t="shared" si="112"/>
        <v>10</v>
      </c>
      <c r="F128" s="30"/>
      <c r="G128" s="7"/>
      <c r="H128" s="59">
        <f t="shared" si="113"/>
        <v>0</v>
      </c>
      <c r="I128" s="37">
        <f t="shared" si="114"/>
        <v>10</v>
      </c>
      <c r="J128" s="35">
        <v>45593</v>
      </c>
      <c r="L128" s="11" t="s">
        <v>3</v>
      </c>
      <c r="M128" s="24"/>
      <c r="N128" s="18"/>
      <c r="O128" s="50">
        <f t="shared" si="115"/>
        <v>0</v>
      </c>
      <c r="P128" s="30"/>
      <c r="Q128" s="7"/>
      <c r="R128" s="59">
        <f t="shared" si="116"/>
        <v>0</v>
      </c>
      <c r="S128" s="37">
        <f t="shared" si="117"/>
        <v>0</v>
      </c>
    </row>
    <row r="129" spans="2:20" x14ac:dyDescent="0.15">
      <c r="B129" s="11" t="s">
        <v>3</v>
      </c>
      <c r="C129" s="24">
        <v>5</v>
      </c>
      <c r="D129" s="18">
        <v>5</v>
      </c>
      <c r="E129" s="50">
        <f t="shared" si="112"/>
        <v>10</v>
      </c>
      <c r="F129" s="30"/>
      <c r="G129" s="7"/>
      <c r="H129" s="59">
        <f t="shared" si="113"/>
        <v>0</v>
      </c>
      <c r="I129" s="37">
        <f t="shared" si="114"/>
        <v>10</v>
      </c>
      <c r="J129" s="35">
        <v>45602</v>
      </c>
      <c r="L129" s="11" t="s">
        <v>3</v>
      </c>
      <c r="M129" s="24"/>
      <c r="N129" s="18"/>
      <c r="O129" s="50">
        <f t="shared" si="115"/>
        <v>0</v>
      </c>
      <c r="P129" s="30"/>
      <c r="Q129" s="7"/>
      <c r="R129" s="59">
        <f t="shared" si="116"/>
        <v>0</v>
      </c>
      <c r="S129" s="37">
        <f t="shared" si="117"/>
        <v>0</v>
      </c>
    </row>
    <row r="130" spans="2:20" ht="14.25" thickBot="1" x14ac:dyDescent="0.2">
      <c r="B130" s="10" t="s">
        <v>3</v>
      </c>
      <c r="C130" s="25"/>
      <c r="D130" s="19"/>
      <c r="E130" s="51">
        <f t="shared" si="112"/>
        <v>0</v>
      </c>
      <c r="F130" s="31"/>
      <c r="G130" s="5"/>
      <c r="H130" s="60">
        <f t="shared" si="113"/>
        <v>0</v>
      </c>
      <c r="I130" s="38">
        <f t="shared" si="114"/>
        <v>0</v>
      </c>
      <c r="J130" s="35"/>
      <c r="L130" s="10" t="s">
        <v>3</v>
      </c>
      <c r="M130" s="25"/>
      <c r="N130" s="19"/>
      <c r="O130" s="51">
        <f t="shared" si="115"/>
        <v>0</v>
      </c>
      <c r="P130" s="31"/>
      <c r="Q130" s="5"/>
      <c r="R130" s="60">
        <f t="shared" si="116"/>
        <v>0</v>
      </c>
      <c r="S130" s="38">
        <f t="shared" si="117"/>
        <v>0</v>
      </c>
    </row>
    <row r="131" spans="2:20" ht="14.25" thickBot="1" x14ac:dyDescent="0.2">
      <c r="B131" s="42" t="s">
        <v>2</v>
      </c>
      <c r="C131" s="43">
        <f>SUM(C125:C130)</f>
        <v>25</v>
      </c>
      <c r="D131" s="44">
        <f>SUM(D125:D130)</f>
        <v>25</v>
      </c>
      <c r="E131" s="52">
        <f t="shared" si="112"/>
        <v>50</v>
      </c>
      <c r="F131" s="43">
        <f>SUM(F125:F130)</f>
        <v>14</v>
      </c>
      <c r="G131" s="44">
        <f>SUM(G125:G130)</f>
        <v>18</v>
      </c>
      <c r="H131" s="61">
        <f t="shared" si="113"/>
        <v>32</v>
      </c>
      <c r="I131" s="41">
        <f t="shared" si="114"/>
        <v>82</v>
      </c>
      <c r="L131" s="42" t="s">
        <v>2</v>
      </c>
      <c r="M131" s="43">
        <f>SUM(M125:M130)</f>
        <v>396</v>
      </c>
      <c r="N131" s="44">
        <f t="shared" ref="N131" si="118">SUM(N125:N130)</f>
        <v>505</v>
      </c>
      <c r="O131" s="104">
        <f t="shared" ref="O131" si="119">SUM(O125:O130)</f>
        <v>901</v>
      </c>
      <c r="P131" s="43">
        <f t="shared" ref="P131" si="120">SUM(P125:P130)</f>
        <v>324</v>
      </c>
      <c r="Q131" s="44">
        <f t="shared" ref="Q131" si="121">SUM(Q125:Q130)</f>
        <v>422</v>
      </c>
      <c r="R131" s="105">
        <f t="shared" ref="R131" si="122">SUM(R125:R130)</f>
        <v>746</v>
      </c>
      <c r="S131" s="41">
        <f t="shared" ref="S131" si="123">SUM(S125:S130)</f>
        <v>1647</v>
      </c>
    </row>
    <row r="132" spans="2:20" x14ac:dyDescent="0.15">
      <c r="B132" s="6" t="s">
        <v>23</v>
      </c>
      <c r="C132" s="23">
        <v>1</v>
      </c>
      <c r="D132" s="17"/>
      <c r="E132" s="53">
        <f t="shared" si="112"/>
        <v>1</v>
      </c>
      <c r="F132" s="30">
        <v>1</v>
      </c>
      <c r="G132" s="7"/>
      <c r="H132" s="62">
        <f t="shared" si="113"/>
        <v>1</v>
      </c>
      <c r="I132" s="37">
        <f t="shared" si="114"/>
        <v>2</v>
      </c>
      <c r="J132" s="35">
        <v>45401</v>
      </c>
      <c r="L132" s="33" t="s">
        <v>21</v>
      </c>
      <c r="M132" s="24">
        <v>5</v>
      </c>
      <c r="N132" s="18">
        <v>5</v>
      </c>
      <c r="O132" s="53">
        <f t="shared" si="115"/>
        <v>10</v>
      </c>
      <c r="P132" s="30"/>
      <c r="Q132" s="7"/>
      <c r="R132" s="62">
        <f t="shared" si="116"/>
        <v>0</v>
      </c>
      <c r="S132" s="37">
        <f t="shared" si="117"/>
        <v>10</v>
      </c>
      <c r="T132" s="98">
        <v>45593</v>
      </c>
    </row>
    <row r="133" spans="2:20" x14ac:dyDescent="0.15">
      <c r="B133" s="6" t="s">
        <v>93</v>
      </c>
      <c r="C133" s="24"/>
      <c r="D133" s="18"/>
      <c r="E133" s="53">
        <f t="shared" si="112"/>
        <v>0</v>
      </c>
      <c r="F133" s="30"/>
      <c r="G133" s="7">
        <v>1</v>
      </c>
      <c r="H133" s="62">
        <f t="shared" si="113"/>
        <v>1</v>
      </c>
      <c r="I133" s="37">
        <f t="shared" si="114"/>
        <v>1</v>
      </c>
      <c r="J133" s="35">
        <v>45460</v>
      </c>
      <c r="L133" s="33" t="s">
        <v>21</v>
      </c>
      <c r="M133" s="24">
        <v>5</v>
      </c>
      <c r="N133" s="18">
        <v>5</v>
      </c>
      <c r="O133" s="53">
        <f t="shared" si="115"/>
        <v>10</v>
      </c>
      <c r="P133" s="30"/>
      <c r="Q133" s="7"/>
      <c r="R133" s="62">
        <f t="shared" si="116"/>
        <v>0</v>
      </c>
      <c r="S133" s="37">
        <f t="shared" si="117"/>
        <v>10</v>
      </c>
      <c r="T133" s="98">
        <v>45602</v>
      </c>
    </row>
    <row r="134" spans="2:20" x14ac:dyDescent="0.15">
      <c r="B134" s="6" t="s">
        <v>94</v>
      </c>
      <c r="C134" s="24">
        <v>1</v>
      </c>
      <c r="D134" s="18"/>
      <c r="E134" s="53">
        <f t="shared" si="112"/>
        <v>1</v>
      </c>
      <c r="F134" s="30"/>
      <c r="G134" s="7">
        <v>1</v>
      </c>
      <c r="H134" s="62">
        <f t="shared" si="113"/>
        <v>1</v>
      </c>
      <c r="I134" s="37">
        <f t="shared" si="114"/>
        <v>2</v>
      </c>
      <c r="J134" s="35">
        <v>45474</v>
      </c>
      <c r="L134" s="6"/>
      <c r="M134" s="24"/>
      <c r="N134" s="18"/>
      <c r="O134" s="53">
        <f t="shared" si="115"/>
        <v>0</v>
      </c>
      <c r="P134" s="30"/>
      <c r="Q134" s="7"/>
      <c r="R134" s="62">
        <f t="shared" si="116"/>
        <v>0</v>
      </c>
      <c r="S134" s="37">
        <f t="shared" si="117"/>
        <v>0</v>
      </c>
    </row>
    <row r="135" spans="2:20" x14ac:dyDescent="0.15">
      <c r="B135" s="6" t="s">
        <v>23</v>
      </c>
      <c r="C135" s="24"/>
      <c r="D135" s="18">
        <v>1</v>
      </c>
      <c r="E135" s="53">
        <f t="shared" si="112"/>
        <v>1</v>
      </c>
      <c r="F135" s="30"/>
      <c r="G135" s="7"/>
      <c r="H135" s="62">
        <f t="shared" si="113"/>
        <v>0</v>
      </c>
      <c r="I135" s="37">
        <f t="shared" si="114"/>
        <v>1</v>
      </c>
      <c r="J135" s="35">
        <v>45540</v>
      </c>
      <c r="L135" s="6"/>
      <c r="M135" s="24"/>
      <c r="N135" s="18"/>
      <c r="O135" s="53">
        <f t="shared" si="115"/>
        <v>0</v>
      </c>
      <c r="P135" s="30"/>
      <c r="Q135" s="7"/>
      <c r="R135" s="62">
        <f t="shared" si="116"/>
        <v>0</v>
      </c>
      <c r="S135" s="37">
        <f t="shared" si="117"/>
        <v>0</v>
      </c>
    </row>
    <row r="136" spans="2:20" x14ac:dyDescent="0.15">
      <c r="B136" s="6" t="s">
        <v>23</v>
      </c>
      <c r="C136" s="24"/>
      <c r="D136" s="18">
        <v>1</v>
      </c>
      <c r="E136" s="53">
        <f t="shared" si="112"/>
        <v>1</v>
      </c>
      <c r="F136" s="30"/>
      <c r="G136" s="7">
        <v>1</v>
      </c>
      <c r="H136" s="62">
        <f t="shared" si="113"/>
        <v>1</v>
      </c>
      <c r="I136" s="37">
        <f t="shared" si="114"/>
        <v>2</v>
      </c>
      <c r="J136" s="35">
        <v>45552</v>
      </c>
      <c r="L136" s="6"/>
      <c r="M136" s="24"/>
      <c r="N136" s="18"/>
      <c r="O136" s="53">
        <f t="shared" si="115"/>
        <v>0</v>
      </c>
      <c r="P136" s="30"/>
      <c r="Q136" s="7"/>
      <c r="R136" s="62">
        <f t="shared" si="116"/>
        <v>0</v>
      </c>
      <c r="S136" s="37">
        <f t="shared" si="117"/>
        <v>0</v>
      </c>
    </row>
    <row r="137" spans="2:20" x14ac:dyDescent="0.15">
      <c r="B137" s="6" t="s">
        <v>23</v>
      </c>
      <c r="C137" s="24">
        <v>1</v>
      </c>
      <c r="D137" s="18"/>
      <c r="E137" s="53">
        <f t="shared" si="112"/>
        <v>1</v>
      </c>
      <c r="F137" s="30"/>
      <c r="G137" s="7"/>
      <c r="H137" s="62">
        <f t="shared" si="113"/>
        <v>0</v>
      </c>
      <c r="I137" s="37">
        <f t="shared" si="114"/>
        <v>1</v>
      </c>
      <c r="J137" s="35">
        <v>45559</v>
      </c>
      <c r="L137" s="6"/>
      <c r="M137" s="24"/>
      <c r="N137" s="18"/>
      <c r="O137" s="53">
        <f t="shared" si="115"/>
        <v>0</v>
      </c>
      <c r="P137" s="30"/>
      <c r="Q137" s="7"/>
      <c r="R137" s="62">
        <f t="shared" si="116"/>
        <v>0</v>
      </c>
      <c r="S137" s="37">
        <f t="shared" si="117"/>
        <v>0</v>
      </c>
    </row>
    <row r="138" spans="2:20" x14ac:dyDescent="0.15">
      <c r="B138" s="6" t="s">
        <v>101</v>
      </c>
      <c r="C138" s="24">
        <v>1</v>
      </c>
      <c r="D138" s="18"/>
      <c r="E138" s="53">
        <f t="shared" si="112"/>
        <v>1</v>
      </c>
      <c r="F138" s="30"/>
      <c r="G138" s="7">
        <v>1</v>
      </c>
      <c r="H138" s="62">
        <f t="shared" si="113"/>
        <v>1</v>
      </c>
      <c r="I138" s="37">
        <f t="shared" si="114"/>
        <v>2</v>
      </c>
      <c r="J138" s="35">
        <v>45565</v>
      </c>
      <c r="L138" s="6"/>
      <c r="M138" s="24"/>
      <c r="N138" s="18"/>
      <c r="O138" s="53">
        <f t="shared" si="115"/>
        <v>0</v>
      </c>
      <c r="P138" s="30"/>
      <c r="Q138" s="7"/>
      <c r="R138" s="62">
        <f t="shared" si="116"/>
        <v>0</v>
      </c>
      <c r="S138" s="37">
        <f t="shared" si="117"/>
        <v>0</v>
      </c>
    </row>
    <row r="139" spans="2:20" x14ac:dyDescent="0.15">
      <c r="B139" s="6" t="s">
        <v>23</v>
      </c>
      <c r="C139" s="24"/>
      <c r="D139" s="18"/>
      <c r="E139" s="53">
        <f t="shared" si="112"/>
        <v>0</v>
      </c>
      <c r="F139" s="30">
        <v>1</v>
      </c>
      <c r="G139" s="7"/>
      <c r="H139" s="62">
        <f t="shared" si="113"/>
        <v>1</v>
      </c>
      <c r="I139" s="37">
        <f t="shared" si="114"/>
        <v>1</v>
      </c>
      <c r="J139" s="35">
        <v>45567</v>
      </c>
      <c r="L139" s="6"/>
      <c r="M139" s="24"/>
      <c r="N139" s="18"/>
      <c r="O139" s="53">
        <f t="shared" si="115"/>
        <v>0</v>
      </c>
      <c r="P139" s="30"/>
      <c r="Q139" s="7"/>
      <c r="R139" s="62">
        <f t="shared" si="116"/>
        <v>0</v>
      </c>
      <c r="S139" s="37">
        <f t="shared" si="117"/>
        <v>0</v>
      </c>
    </row>
    <row r="140" spans="2:20" x14ac:dyDescent="0.15">
      <c r="B140" s="6" t="s">
        <v>23</v>
      </c>
      <c r="C140" s="24"/>
      <c r="D140" s="18">
        <v>1</v>
      </c>
      <c r="E140" s="53">
        <f t="shared" si="112"/>
        <v>1</v>
      </c>
      <c r="F140" s="30"/>
      <c r="G140" s="7">
        <v>1</v>
      </c>
      <c r="H140" s="62">
        <f t="shared" si="113"/>
        <v>1</v>
      </c>
      <c r="I140" s="37">
        <f t="shared" si="114"/>
        <v>2</v>
      </c>
      <c r="J140" s="35">
        <v>45576</v>
      </c>
      <c r="L140" s="6"/>
      <c r="M140" s="24"/>
      <c r="N140" s="18"/>
      <c r="O140" s="53">
        <f t="shared" si="115"/>
        <v>0</v>
      </c>
      <c r="P140" s="30"/>
      <c r="Q140" s="7"/>
      <c r="R140" s="62">
        <f t="shared" si="116"/>
        <v>0</v>
      </c>
      <c r="S140" s="37">
        <f t="shared" si="117"/>
        <v>0</v>
      </c>
    </row>
    <row r="141" spans="2:20" x14ac:dyDescent="0.15">
      <c r="B141" s="6" t="s">
        <v>102</v>
      </c>
      <c r="C141" s="24"/>
      <c r="D141" s="18">
        <v>2</v>
      </c>
      <c r="E141" s="53">
        <f t="shared" si="112"/>
        <v>2</v>
      </c>
      <c r="F141" s="30"/>
      <c r="G141" s="7"/>
      <c r="H141" s="62">
        <f t="shared" si="113"/>
        <v>0</v>
      </c>
      <c r="I141" s="37">
        <f t="shared" si="114"/>
        <v>2</v>
      </c>
      <c r="J141" s="35">
        <v>45580</v>
      </c>
      <c r="L141" s="6"/>
      <c r="M141" s="24"/>
      <c r="N141" s="18"/>
      <c r="O141" s="53">
        <f t="shared" si="115"/>
        <v>0</v>
      </c>
      <c r="P141" s="30"/>
      <c r="Q141" s="7"/>
      <c r="R141" s="62">
        <f t="shared" si="116"/>
        <v>0</v>
      </c>
      <c r="S141" s="37">
        <f t="shared" si="117"/>
        <v>0</v>
      </c>
    </row>
    <row r="142" spans="2:20" x14ac:dyDescent="0.15">
      <c r="B142" s="6" t="s">
        <v>23</v>
      </c>
      <c r="C142" s="24">
        <v>1</v>
      </c>
      <c r="D142" s="18">
        <f>1+1</f>
        <v>2</v>
      </c>
      <c r="E142" s="53">
        <f t="shared" si="112"/>
        <v>3</v>
      </c>
      <c r="F142" s="30"/>
      <c r="G142" s="7">
        <v>1</v>
      </c>
      <c r="H142" s="62">
        <f t="shared" si="113"/>
        <v>1</v>
      </c>
      <c r="I142" s="37">
        <f t="shared" si="114"/>
        <v>4</v>
      </c>
      <c r="J142" s="35">
        <v>45581</v>
      </c>
      <c r="L142" s="6"/>
      <c r="M142" s="27"/>
      <c r="N142" s="21"/>
      <c r="O142" s="53">
        <f t="shared" si="115"/>
        <v>0</v>
      </c>
      <c r="P142" s="32"/>
      <c r="Q142" s="8"/>
      <c r="R142" s="62">
        <f t="shared" si="116"/>
        <v>0</v>
      </c>
      <c r="S142" s="37">
        <f t="shared" si="117"/>
        <v>0</v>
      </c>
    </row>
    <row r="143" spans="2:20" x14ac:dyDescent="0.15">
      <c r="B143" s="6" t="s">
        <v>23</v>
      </c>
      <c r="C143" s="27"/>
      <c r="D143" s="21">
        <v>1</v>
      </c>
      <c r="E143" s="53">
        <f t="shared" si="112"/>
        <v>1</v>
      </c>
      <c r="F143" s="32"/>
      <c r="G143" s="8"/>
      <c r="H143" s="62">
        <f t="shared" si="113"/>
        <v>0</v>
      </c>
      <c r="I143" s="37">
        <f t="shared" si="114"/>
        <v>1</v>
      </c>
      <c r="J143" s="36">
        <v>45588</v>
      </c>
      <c r="L143" s="6"/>
      <c r="M143" s="27"/>
      <c r="N143" s="21"/>
      <c r="O143" s="53">
        <f t="shared" si="115"/>
        <v>0</v>
      </c>
      <c r="P143" s="32"/>
      <c r="Q143" s="8"/>
      <c r="R143" s="62">
        <f t="shared" si="116"/>
        <v>0</v>
      </c>
      <c r="S143" s="37">
        <f t="shared" si="117"/>
        <v>0</v>
      </c>
    </row>
    <row r="144" spans="2:20" x14ac:dyDescent="0.15">
      <c r="B144" s="6" t="s">
        <v>23</v>
      </c>
      <c r="C144" s="24">
        <v>1</v>
      </c>
      <c r="D144" s="18"/>
      <c r="E144" s="53">
        <f t="shared" si="112"/>
        <v>1</v>
      </c>
      <c r="F144" s="30"/>
      <c r="G144" s="7"/>
      <c r="H144" s="62">
        <f t="shared" si="113"/>
        <v>0</v>
      </c>
      <c r="I144" s="37">
        <f t="shared" si="114"/>
        <v>1</v>
      </c>
      <c r="J144" s="35">
        <v>45589</v>
      </c>
      <c r="L144" s="6"/>
      <c r="M144" s="24"/>
      <c r="N144" s="18"/>
      <c r="O144" s="53">
        <f t="shared" si="115"/>
        <v>0</v>
      </c>
      <c r="P144" s="30"/>
      <c r="Q144" s="7"/>
      <c r="R144" s="62">
        <f t="shared" si="116"/>
        <v>0</v>
      </c>
      <c r="S144" s="37">
        <f t="shared" si="117"/>
        <v>0</v>
      </c>
    </row>
    <row r="145" spans="2:19" x14ac:dyDescent="0.15">
      <c r="B145" s="6" t="s">
        <v>23</v>
      </c>
      <c r="C145" s="24">
        <f>1+2</f>
        <v>3</v>
      </c>
      <c r="D145" s="18"/>
      <c r="E145" s="53">
        <f t="shared" si="112"/>
        <v>3</v>
      </c>
      <c r="F145" s="30"/>
      <c r="G145" s="7"/>
      <c r="H145" s="62">
        <f t="shared" si="113"/>
        <v>0</v>
      </c>
      <c r="I145" s="37">
        <f t="shared" si="114"/>
        <v>3</v>
      </c>
      <c r="J145" s="35">
        <v>45590</v>
      </c>
      <c r="L145" s="6"/>
      <c r="M145" s="27"/>
      <c r="N145" s="21"/>
      <c r="O145" s="53">
        <f t="shared" si="115"/>
        <v>0</v>
      </c>
      <c r="P145" s="32"/>
      <c r="Q145" s="8"/>
      <c r="R145" s="62">
        <f t="shared" si="116"/>
        <v>0</v>
      </c>
      <c r="S145" s="37">
        <f t="shared" si="117"/>
        <v>0</v>
      </c>
    </row>
    <row r="146" spans="2:19" x14ac:dyDescent="0.15">
      <c r="B146" s="6" t="s">
        <v>23</v>
      </c>
      <c r="C146" s="24"/>
      <c r="D146" s="18">
        <v>1</v>
      </c>
      <c r="E146" s="53">
        <f t="shared" si="112"/>
        <v>1</v>
      </c>
      <c r="F146" s="30"/>
      <c r="G146" s="7"/>
      <c r="H146" s="62">
        <f t="shared" si="113"/>
        <v>0</v>
      </c>
      <c r="I146" s="37">
        <f t="shared" si="114"/>
        <v>1</v>
      </c>
      <c r="J146" s="35">
        <v>45594</v>
      </c>
      <c r="L146" s="6"/>
      <c r="M146" s="27"/>
      <c r="N146" s="21"/>
      <c r="O146" s="53">
        <f t="shared" si="115"/>
        <v>0</v>
      </c>
      <c r="P146" s="32"/>
      <c r="Q146" s="8"/>
      <c r="R146" s="62">
        <f t="shared" si="116"/>
        <v>0</v>
      </c>
      <c r="S146" s="37">
        <f t="shared" si="117"/>
        <v>0</v>
      </c>
    </row>
    <row r="147" spans="2:19" x14ac:dyDescent="0.15">
      <c r="B147" s="6" t="s">
        <v>23</v>
      </c>
      <c r="C147" s="27"/>
      <c r="D147" s="21">
        <v>2</v>
      </c>
      <c r="E147" s="53">
        <f t="shared" si="112"/>
        <v>2</v>
      </c>
      <c r="F147" s="32"/>
      <c r="G147" s="8">
        <v>1</v>
      </c>
      <c r="H147" s="62">
        <f t="shared" si="113"/>
        <v>1</v>
      </c>
      <c r="I147" s="37">
        <f t="shared" si="114"/>
        <v>3</v>
      </c>
      <c r="J147" s="36">
        <v>45595</v>
      </c>
      <c r="L147" s="6"/>
      <c r="M147" s="27"/>
      <c r="N147" s="21"/>
      <c r="O147" s="53">
        <f t="shared" si="115"/>
        <v>0</v>
      </c>
      <c r="P147" s="32"/>
      <c r="Q147" s="8"/>
      <c r="R147" s="62">
        <f t="shared" si="116"/>
        <v>0</v>
      </c>
      <c r="S147" s="37">
        <f t="shared" si="117"/>
        <v>0</v>
      </c>
    </row>
    <row r="148" spans="2:19" x14ac:dyDescent="0.15">
      <c r="B148" s="6" t="s">
        <v>23</v>
      </c>
      <c r="C148" s="24">
        <v>4</v>
      </c>
      <c r="D148" s="18">
        <v>2</v>
      </c>
      <c r="E148" s="53">
        <f t="shared" si="112"/>
        <v>6</v>
      </c>
      <c r="F148" s="30"/>
      <c r="G148" s="7">
        <v>1</v>
      </c>
      <c r="H148" s="62">
        <f t="shared" si="113"/>
        <v>1</v>
      </c>
      <c r="I148" s="37">
        <f t="shared" si="114"/>
        <v>7</v>
      </c>
      <c r="J148" s="35">
        <v>45596</v>
      </c>
      <c r="L148" s="6"/>
      <c r="M148" s="27"/>
      <c r="N148" s="21"/>
      <c r="O148" s="53">
        <f t="shared" si="115"/>
        <v>0</v>
      </c>
      <c r="P148" s="32"/>
      <c r="Q148" s="8"/>
      <c r="R148" s="62">
        <f t="shared" si="116"/>
        <v>0</v>
      </c>
      <c r="S148" s="37">
        <f t="shared" si="117"/>
        <v>0</v>
      </c>
    </row>
    <row r="149" spans="2:19" x14ac:dyDescent="0.15">
      <c r="B149" s="6" t="s">
        <v>23</v>
      </c>
      <c r="C149" s="27"/>
      <c r="D149" s="21">
        <v>1</v>
      </c>
      <c r="E149" s="53">
        <f t="shared" si="112"/>
        <v>1</v>
      </c>
      <c r="F149" s="32"/>
      <c r="G149" s="8"/>
      <c r="H149" s="62">
        <f t="shared" si="113"/>
        <v>0</v>
      </c>
      <c r="I149" s="37">
        <f t="shared" si="114"/>
        <v>1</v>
      </c>
      <c r="J149" s="36">
        <v>45598</v>
      </c>
      <c r="L149" s="6"/>
      <c r="M149" s="27"/>
      <c r="N149" s="21"/>
      <c r="O149" s="53">
        <f t="shared" si="115"/>
        <v>0</v>
      </c>
      <c r="P149" s="32"/>
      <c r="Q149" s="8"/>
      <c r="R149" s="62">
        <f t="shared" si="116"/>
        <v>0</v>
      </c>
      <c r="S149" s="37">
        <f t="shared" si="117"/>
        <v>0</v>
      </c>
    </row>
    <row r="150" spans="2:19" x14ac:dyDescent="0.15">
      <c r="B150" s="6" t="s">
        <v>23</v>
      </c>
      <c r="C150" s="24"/>
      <c r="D150" s="18">
        <v>1</v>
      </c>
      <c r="E150" s="53">
        <f t="shared" si="112"/>
        <v>1</v>
      </c>
      <c r="F150" s="30"/>
      <c r="G150" s="7"/>
      <c r="H150" s="62">
        <f t="shared" si="113"/>
        <v>0</v>
      </c>
      <c r="I150" s="37">
        <f t="shared" si="114"/>
        <v>1</v>
      </c>
      <c r="J150" s="35">
        <v>45601</v>
      </c>
      <c r="L150" s="6"/>
      <c r="M150" s="27"/>
      <c r="N150" s="21"/>
      <c r="O150" s="53">
        <f t="shared" si="115"/>
        <v>0</v>
      </c>
      <c r="P150" s="32"/>
      <c r="Q150" s="8"/>
      <c r="R150" s="62">
        <f t="shared" si="116"/>
        <v>0</v>
      </c>
      <c r="S150" s="37">
        <f t="shared" si="117"/>
        <v>0</v>
      </c>
    </row>
    <row r="151" spans="2:19" x14ac:dyDescent="0.15">
      <c r="B151" s="6" t="s">
        <v>47</v>
      </c>
      <c r="C151" s="24"/>
      <c r="D151" s="18"/>
      <c r="E151" s="53">
        <f t="shared" si="112"/>
        <v>0</v>
      </c>
      <c r="F151" s="30">
        <v>1</v>
      </c>
      <c r="G151" s="7"/>
      <c r="H151" s="62">
        <f t="shared" si="113"/>
        <v>1</v>
      </c>
      <c r="I151" s="37">
        <f t="shared" si="114"/>
        <v>1</v>
      </c>
      <c r="J151" s="35">
        <v>45602</v>
      </c>
      <c r="L151" s="6"/>
      <c r="M151" s="24"/>
      <c r="N151" s="18"/>
      <c r="O151" s="53">
        <f t="shared" si="115"/>
        <v>0</v>
      </c>
      <c r="P151" s="30"/>
      <c r="Q151" s="7"/>
      <c r="R151" s="62">
        <f t="shared" si="116"/>
        <v>0</v>
      </c>
      <c r="S151" s="37">
        <f t="shared" si="117"/>
        <v>0</v>
      </c>
    </row>
    <row r="152" spans="2:19" x14ac:dyDescent="0.15">
      <c r="B152" s="6" t="s">
        <v>23</v>
      </c>
      <c r="C152" s="24"/>
      <c r="D152" s="18"/>
      <c r="E152" s="53">
        <f t="shared" si="112"/>
        <v>0</v>
      </c>
      <c r="F152" s="30">
        <f>1+1</f>
        <v>2</v>
      </c>
      <c r="G152" s="7"/>
      <c r="H152" s="62">
        <f t="shared" si="113"/>
        <v>2</v>
      </c>
      <c r="I152" s="37">
        <f t="shared" si="114"/>
        <v>2</v>
      </c>
      <c r="J152" s="35">
        <v>45603</v>
      </c>
      <c r="L152" s="6"/>
      <c r="M152" s="24"/>
      <c r="N152" s="18"/>
      <c r="O152" s="53">
        <f t="shared" si="115"/>
        <v>0</v>
      </c>
      <c r="P152" s="30"/>
      <c r="Q152" s="7"/>
      <c r="R152" s="62">
        <f t="shared" si="116"/>
        <v>0</v>
      </c>
      <c r="S152" s="37">
        <f t="shared" si="117"/>
        <v>0</v>
      </c>
    </row>
    <row r="153" spans="2:19" x14ac:dyDescent="0.15">
      <c r="B153" s="6" t="s">
        <v>23</v>
      </c>
      <c r="C153" s="24"/>
      <c r="D153" s="18"/>
      <c r="E153" s="53">
        <f t="shared" si="112"/>
        <v>0</v>
      </c>
      <c r="F153" s="30">
        <v>1</v>
      </c>
      <c r="G153" s="7">
        <v>1</v>
      </c>
      <c r="H153" s="62">
        <f t="shared" si="113"/>
        <v>2</v>
      </c>
      <c r="I153" s="37">
        <f t="shared" si="114"/>
        <v>2</v>
      </c>
      <c r="J153" s="35">
        <v>45604</v>
      </c>
      <c r="L153" s="6"/>
      <c r="M153" s="24"/>
      <c r="N153" s="18"/>
      <c r="O153" s="53">
        <f t="shared" si="115"/>
        <v>0</v>
      </c>
      <c r="P153" s="30"/>
      <c r="Q153" s="7"/>
      <c r="R153" s="62">
        <f t="shared" si="116"/>
        <v>0</v>
      </c>
      <c r="S153" s="37">
        <f t="shared" si="117"/>
        <v>0</v>
      </c>
    </row>
    <row r="154" spans="2:19" x14ac:dyDescent="0.15">
      <c r="B154" s="6" t="s">
        <v>23</v>
      </c>
      <c r="C154" s="24">
        <v>1</v>
      </c>
      <c r="D154" s="18"/>
      <c r="E154" s="53">
        <f t="shared" si="112"/>
        <v>1</v>
      </c>
      <c r="F154" s="30">
        <v>1</v>
      </c>
      <c r="G154" s="7">
        <v>1</v>
      </c>
      <c r="H154" s="62">
        <f t="shared" si="113"/>
        <v>2</v>
      </c>
      <c r="I154" s="37">
        <f t="shared" si="114"/>
        <v>3</v>
      </c>
      <c r="J154" s="35">
        <v>45607</v>
      </c>
      <c r="L154" s="6"/>
      <c r="M154" s="24"/>
      <c r="N154" s="18"/>
      <c r="O154" s="53">
        <f t="shared" si="115"/>
        <v>0</v>
      </c>
      <c r="P154" s="30"/>
      <c r="Q154" s="7"/>
      <c r="R154" s="62">
        <f t="shared" si="116"/>
        <v>0</v>
      </c>
      <c r="S154" s="37">
        <f t="shared" si="117"/>
        <v>0</v>
      </c>
    </row>
    <row r="155" spans="2:19" x14ac:dyDescent="0.15">
      <c r="B155" s="6" t="s">
        <v>23</v>
      </c>
      <c r="C155" s="24">
        <v>1</v>
      </c>
      <c r="D155" s="18"/>
      <c r="E155" s="53">
        <f t="shared" si="112"/>
        <v>1</v>
      </c>
      <c r="F155" s="30"/>
      <c r="G155" s="7"/>
      <c r="H155" s="62">
        <f t="shared" si="113"/>
        <v>0</v>
      </c>
      <c r="I155" s="37">
        <f t="shared" si="114"/>
        <v>1</v>
      </c>
      <c r="J155" s="35">
        <v>45608</v>
      </c>
      <c r="L155" s="6"/>
      <c r="M155" s="24"/>
      <c r="N155" s="18"/>
      <c r="O155" s="53">
        <f t="shared" ref="O155:O156" si="124">SUM(M155:N155)</f>
        <v>0</v>
      </c>
      <c r="P155" s="30"/>
      <c r="Q155" s="7"/>
      <c r="R155" s="62">
        <f t="shared" ref="R155:R156" si="125">SUM(P155:Q155)</f>
        <v>0</v>
      </c>
      <c r="S155" s="37">
        <f t="shared" ref="S155:S156" si="126">O155+R155</f>
        <v>0</v>
      </c>
    </row>
    <row r="156" spans="2:19" ht="14.25" thickBot="1" x14ac:dyDescent="0.2">
      <c r="B156" s="6" t="s">
        <v>23</v>
      </c>
      <c r="C156" s="28">
        <v>1</v>
      </c>
      <c r="D156" s="19">
        <v>1</v>
      </c>
      <c r="E156" s="54">
        <f t="shared" si="112"/>
        <v>2</v>
      </c>
      <c r="F156" s="31"/>
      <c r="G156" s="5"/>
      <c r="H156" s="63">
        <f t="shared" si="113"/>
        <v>0</v>
      </c>
      <c r="I156" s="38">
        <f t="shared" si="114"/>
        <v>2</v>
      </c>
      <c r="J156" s="35">
        <v>45610</v>
      </c>
      <c r="L156" s="6" t="s">
        <v>98</v>
      </c>
      <c r="M156" s="24"/>
      <c r="N156" s="18"/>
      <c r="O156" s="53">
        <f t="shared" si="124"/>
        <v>0</v>
      </c>
      <c r="P156" s="30"/>
      <c r="Q156" s="7"/>
      <c r="R156" s="62">
        <f t="shared" si="125"/>
        <v>0</v>
      </c>
      <c r="S156" s="37">
        <f t="shared" si="126"/>
        <v>0</v>
      </c>
    </row>
    <row r="157" spans="2:19" ht="14.25" thickBot="1" x14ac:dyDescent="0.2">
      <c r="B157" s="4" t="s">
        <v>1</v>
      </c>
      <c r="C157" s="26">
        <f>SUM(C132:C156)</f>
        <v>16</v>
      </c>
      <c r="D157" s="20">
        <f>SUM(D132:D156)</f>
        <v>16</v>
      </c>
      <c r="E157" s="55">
        <f t="shared" si="112"/>
        <v>32</v>
      </c>
      <c r="F157" s="26">
        <f>SUM(F132:F156)</f>
        <v>7</v>
      </c>
      <c r="G157" s="20">
        <f>SUM(G132:G156)</f>
        <v>10</v>
      </c>
      <c r="H157" s="64">
        <f t="shared" si="113"/>
        <v>17</v>
      </c>
      <c r="I157" s="39">
        <f t="shared" si="114"/>
        <v>49</v>
      </c>
      <c r="L157" s="4" t="s">
        <v>1</v>
      </c>
      <c r="M157" s="26">
        <f>SUM(M132:M156)</f>
        <v>10</v>
      </c>
      <c r="N157" s="20">
        <f t="shared" ref="N157" si="127">SUM(N132:N156)</f>
        <v>10</v>
      </c>
      <c r="O157" s="55">
        <f t="shared" ref="O157" si="128">SUM(O132:O156)</f>
        <v>20</v>
      </c>
      <c r="P157" s="26">
        <f t="shared" ref="P157" si="129">SUM(P132:P156)</f>
        <v>0</v>
      </c>
      <c r="Q157" s="20">
        <f t="shared" ref="Q157" si="130">SUM(Q132:Q156)</f>
        <v>0</v>
      </c>
      <c r="R157" s="64">
        <f t="shared" ref="R157" si="131">SUM(R132:R156)</f>
        <v>0</v>
      </c>
      <c r="S157" s="39">
        <f t="shared" ref="S157" si="132">SUM(S132:S156)</f>
        <v>20</v>
      </c>
    </row>
    <row r="158" spans="2:19" ht="14.25" thickBot="1" x14ac:dyDescent="0.2">
      <c r="B158" s="3" t="s">
        <v>0</v>
      </c>
      <c r="C158" s="29">
        <f>+C131-C157</f>
        <v>9</v>
      </c>
      <c r="D158" s="2">
        <f>+D131-D157</f>
        <v>9</v>
      </c>
      <c r="E158" s="56">
        <f t="shared" si="112"/>
        <v>18</v>
      </c>
      <c r="F158" s="29">
        <f>+F131-F157</f>
        <v>7</v>
      </c>
      <c r="G158" s="2">
        <f>+G131-G157</f>
        <v>8</v>
      </c>
      <c r="H158" s="65">
        <f t="shared" si="113"/>
        <v>15</v>
      </c>
      <c r="I158" s="41">
        <f t="shared" si="114"/>
        <v>33</v>
      </c>
      <c r="L158" s="3" t="s">
        <v>0</v>
      </c>
      <c r="M158" s="29">
        <f>+M131-M157</f>
        <v>386</v>
      </c>
      <c r="N158" s="2">
        <f t="shared" ref="N158" si="133">+N131-N157</f>
        <v>495</v>
      </c>
      <c r="O158" s="56">
        <f t="shared" ref="O158" si="134">+O131-O157</f>
        <v>881</v>
      </c>
      <c r="P158" s="29">
        <f t="shared" ref="P158" si="135">+P131-P157</f>
        <v>324</v>
      </c>
      <c r="Q158" s="2">
        <f t="shared" ref="Q158" si="136">+Q131-Q157</f>
        <v>422</v>
      </c>
      <c r="R158" s="65">
        <f t="shared" ref="R158" si="137">+R131-R157</f>
        <v>746</v>
      </c>
      <c r="S158" s="41">
        <f t="shared" ref="S158" si="138">+S131-S157</f>
        <v>1627</v>
      </c>
    </row>
    <row r="160" spans="2:19" x14ac:dyDescent="0.15">
      <c r="L160" s="99" t="s">
        <v>95</v>
      </c>
      <c r="M160" s="99">
        <v>288</v>
      </c>
      <c r="N160" s="99">
        <v>246</v>
      </c>
      <c r="O160" s="99"/>
      <c r="P160" s="99">
        <v>159</v>
      </c>
      <c r="Q160" s="99">
        <v>133</v>
      </c>
    </row>
    <row r="161" spans="2:20" ht="18.75" x14ac:dyDescent="0.2">
      <c r="B161" s="16" t="s">
        <v>28</v>
      </c>
      <c r="C161" s="15"/>
      <c r="D161" s="15"/>
      <c r="E161" s="15"/>
      <c r="F161" s="15"/>
      <c r="G161" s="15"/>
      <c r="H161" s="15"/>
      <c r="I161" s="15"/>
      <c r="L161" s="69" t="s">
        <v>29</v>
      </c>
      <c r="M161" s="70"/>
      <c r="N161" s="70"/>
      <c r="O161" s="70"/>
      <c r="P161" s="70"/>
      <c r="Q161" s="70"/>
      <c r="R161" s="70"/>
      <c r="S161" s="70"/>
    </row>
    <row r="162" spans="2:20" ht="15" thickBot="1" x14ac:dyDescent="0.2">
      <c r="B162" s="75" t="s">
        <v>26</v>
      </c>
      <c r="C162" s="15"/>
      <c r="D162" s="15"/>
      <c r="E162" s="15"/>
      <c r="F162" s="15"/>
      <c r="G162" s="15"/>
      <c r="H162" s="15"/>
      <c r="I162" s="15"/>
      <c r="L162" s="76" t="s">
        <v>25</v>
      </c>
      <c r="M162" s="70"/>
      <c r="N162" s="70"/>
      <c r="O162" s="70"/>
      <c r="P162" s="70"/>
      <c r="Q162" s="70"/>
      <c r="R162" s="70"/>
      <c r="S162" s="70"/>
    </row>
    <row r="163" spans="2:20" ht="14.25" thickBot="1" x14ac:dyDescent="0.2">
      <c r="B163" s="14"/>
      <c r="C163" s="117" t="s">
        <v>8</v>
      </c>
      <c r="D163" s="118"/>
      <c r="E163" s="119"/>
      <c r="F163" s="120" t="s">
        <v>10</v>
      </c>
      <c r="G163" s="121"/>
      <c r="H163" s="121"/>
      <c r="I163" s="115" t="s">
        <v>9</v>
      </c>
      <c r="L163" s="14"/>
      <c r="M163" s="117" t="s">
        <v>8</v>
      </c>
      <c r="N163" s="118"/>
      <c r="O163" s="119"/>
      <c r="P163" s="120" t="s">
        <v>10</v>
      </c>
      <c r="Q163" s="121"/>
      <c r="R163" s="121"/>
      <c r="S163" s="115" t="s">
        <v>9</v>
      </c>
    </row>
    <row r="164" spans="2:20" ht="14.25" thickBot="1" x14ac:dyDescent="0.2">
      <c r="B164" s="13"/>
      <c r="C164" s="22" t="s">
        <v>6</v>
      </c>
      <c r="D164" s="12" t="s">
        <v>5</v>
      </c>
      <c r="E164" s="48" t="s">
        <v>4</v>
      </c>
      <c r="F164" s="22" t="s">
        <v>6</v>
      </c>
      <c r="G164" s="12" t="s">
        <v>5</v>
      </c>
      <c r="H164" s="57" t="s">
        <v>4</v>
      </c>
      <c r="I164" s="116"/>
      <c r="K164" s="1"/>
      <c r="L164" s="13"/>
      <c r="M164" s="22" t="s">
        <v>6</v>
      </c>
      <c r="N164" s="12" t="s">
        <v>5</v>
      </c>
      <c r="O164" s="48" t="s">
        <v>4</v>
      </c>
      <c r="P164" s="22" t="s">
        <v>6</v>
      </c>
      <c r="Q164" s="12" t="s">
        <v>5</v>
      </c>
      <c r="R164" s="57" t="s">
        <v>4</v>
      </c>
      <c r="S164" s="116"/>
    </row>
    <row r="165" spans="2:20" x14ac:dyDescent="0.15">
      <c r="B165" s="45" t="s">
        <v>0</v>
      </c>
      <c r="C165" s="46">
        <f>C158</f>
        <v>9</v>
      </c>
      <c r="D165" s="47">
        <f t="shared" ref="D165:H165" si="139">D158</f>
        <v>9</v>
      </c>
      <c r="E165" s="66">
        <f t="shared" si="139"/>
        <v>18</v>
      </c>
      <c r="F165" s="46">
        <f t="shared" si="139"/>
        <v>7</v>
      </c>
      <c r="G165" s="47">
        <f t="shared" si="139"/>
        <v>8</v>
      </c>
      <c r="H165" s="67">
        <f t="shared" si="139"/>
        <v>15</v>
      </c>
      <c r="I165" s="40">
        <f>E165+H165</f>
        <v>33</v>
      </c>
      <c r="J165" s="35"/>
      <c r="L165" s="45" t="s">
        <v>0</v>
      </c>
      <c r="M165" s="46">
        <f>M158</f>
        <v>386</v>
      </c>
      <c r="N165" s="47">
        <f t="shared" ref="N165:S165" si="140">N158</f>
        <v>495</v>
      </c>
      <c r="O165" s="66">
        <f t="shared" si="140"/>
        <v>881</v>
      </c>
      <c r="P165" s="46">
        <f t="shared" si="140"/>
        <v>324</v>
      </c>
      <c r="Q165" s="47">
        <f t="shared" si="140"/>
        <v>422</v>
      </c>
      <c r="R165" s="67">
        <f t="shared" si="140"/>
        <v>746</v>
      </c>
      <c r="S165" s="40">
        <f t="shared" si="140"/>
        <v>1627</v>
      </c>
    </row>
    <row r="166" spans="2:20" x14ac:dyDescent="0.15">
      <c r="B166" s="11" t="s">
        <v>3</v>
      </c>
      <c r="C166" s="24">
        <v>5</v>
      </c>
      <c r="D166" s="18">
        <v>5</v>
      </c>
      <c r="E166" s="50">
        <f t="shared" ref="E166:E167" si="141">SUM(C166:D166)</f>
        <v>10</v>
      </c>
      <c r="F166" s="30">
        <v>5</v>
      </c>
      <c r="G166" s="7">
        <v>5</v>
      </c>
      <c r="H166" s="59">
        <f t="shared" ref="H166:H167" si="142">SUM(F166:G166)</f>
        <v>10</v>
      </c>
      <c r="I166" s="37">
        <f t="shared" ref="I166:I167" si="143">E166+H166</f>
        <v>20</v>
      </c>
      <c r="J166" s="35">
        <v>45612</v>
      </c>
      <c r="L166" s="11" t="s">
        <v>3</v>
      </c>
      <c r="M166" s="24"/>
      <c r="N166" s="18"/>
      <c r="O166" s="50">
        <f t="shared" ref="O166:O186" si="144">SUM(M166:N166)</f>
        <v>0</v>
      </c>
      <c r="P166" s="30"/>
      <c r="Q166" s="7"/>
      <c r="R166" s="59">
        <f t="shared" ref="R166:R186" si="145">SUM(P166:Q166)</f>
        <v>0</v>
      </c>
      <c r="S166" s="37">
        <f t="shared" ref="S166:S186" si="146">O166+R166</f>
        <v>0</v>
      </c>
    </row>
    <row r="167" spans="2:20" x14ac:dyDescent="0.15">
      <c r="B167" s="11" t="s">
        <v>3</v>
      </c>
      <c r="C167" s="24"/>
      <c r="D167" s="18">
        <v>10</v>
      </c>
      <c r="E167" s="50">
        <f t="shared" si="141"/>
        <v>10</v>
      </c>
      <c r="F167" s="30"/>
      <c r="G167" s="7">
        <v>5</v>
      </c>
      <c r="H167" s="59">
        <f t="shared" si="142"/>
        <v>5</v>
      </c>
      <c r="I167" s="37">
        <f t="shared" si="143"/>
        <v>15</v>
      </c>
      <c r="J167" s="35">
        <v>45621</v>
      </c>
      <c r="L167" s="11" t="s">
        <v>3</v>
      </c>
      <c r="M167" s="24"/>
      <c r="N167" s="18"/>
      <c r="O167" s="50">
        <f t="shared" si="144"/>
        <v>0</v>
      </c>
      <c r="P167" s="30"/>
      <c r="Q167" s="7"/>
      <c r="R167" s="59">
        <f t="shared" si="145"/>
        <v>0</v>
      </c>
      <c r="S167" s="37">
        <f t="shared" si="146"/>
        <v>0</v>
      </c>
    </row>
    <row r="168" spans="2:20" x14ac:dyDescent="0.15">
      <c r="B168" s="11" t="s">
        <v>3</v>
      </c>
      <c r="C168" s="24">
        <v>10</v>
      </c>
      <c r="D168" s="18"/>
      <c r="E168" s="50">
        <f t="shared" ref="E168:E198" si="147">SUM(C168:D168)</f>
        <v>10</v>
      </c>
      <c r="F168" s="30">
        <v>10</v>
      </c>
      <c r="G168" s="7"/>
      <c r="H168" s="59">
        <f t="shared" ref="H168:H198" si="148">SUM(F168:G168)</f>
        <v>10</v>
      </c>
      <c r="I168" s="37">
        <f t="shared" ref="I168:I198" si="149">E168+H168</f>
        <v>20</v>
      </c>
      <c r="J168" s="35">
        <v>45622</v>
      </c>
      <c r="L168" s="11" t="s">
        <v>3</v>
      </c>
      <c r="M168" s="24"/>
      <c r="N168" s="18"/>
      <c r="O168" s="50">
        <f t="shared" si="144"/>
        <v>0</v>
      </c>
      <c r="P168" s="30"/>
      <c r="Q168" s="7"/>
      <c r="R168" s="59">
        <f t="shared" si="145"/>
        <v>0</v>
      </c>
      <c r="S168" s="37">
        <f t="shared" si="146"/>
        <v>0</v>
      </c>
    </row>
    <row r="169" spans="2:20" x14ac:dyDescent="0.15">
      <c r="B169" s="11" t="s">
        <v>3</v>
      </c>
      <c r="C169" s="24"/>
      <c r="D169" s="18">
        <v>5</v>
      </c>
      <c r="E169" s="50">
        <f t="shared" si="147"/>
        <v>5</v>
      </c>
      <c r="F169" s="30"/>
      <c r="G169" s="7"/>
      <c r="H169" s="59">
        <f t="shared" si="148"/>
        <v>0</v>
      </c>
      <c r="I169" s="37">
        <f t="shared" si="149"/>
        <v>5</v>
      </c>
      <c r="J169" s="35">
        <v>45624</v>
      </c>
      <c r="L169" s="11" t="s">
        <v>3</v>
      </c>
      <c r="M169" s="24"/>
      <c r="N169" s="18"/>
      <c r="O169" s="50">
        <f t="shared" si="144"/>
        <v>0</v>
      </c>
      <c r="P169" s="30"/>
      <c r="Q169" s="7"/>
      <c r="R169" s="59">
        <f t="shared" si="145"/>
        <v>0</v>
      </c>
      <c r="S169" s="37">
        <f t="shared" si="146"/>
        <v>0</v>
      </c>
    </row>
    <row r="170" spans="2:20" ht="14.25" thickBot="1" x14ac:dyDescent="0.2">
      <c r="B170" s="10" t="s">
        <v>3</v>
      </c>
      <c r="C170" s="25">
        <v>10</v>
      </c>
      <c r="D170" s="19">
        <v>10</v>
      </c>
      <c r="E170" s="51">
        <f t="shared" si="147"/>
        <v>20</v>
      </c>
      <c r="F170" s="31"/>
      <c r="G170" s="5">
        <v>5</v>
      </c>
      <c r="H170" s="60">
        <f t="shared" si="148"/>
        <v>5</v>
      </c>
      <c r="I170" s="38">
        <f t="shared" si="149"/>
        <v>25</v>
      </c>
      <c r="J170" s="35">
        <v>45626</v>
      </c>
      <c r="L170" s="10" t="s">
        <v>3</v>
      </c>
      <c r="M170" s="25"/>
      <c r="N170" s="19"/>
      <c r="O170" s="51">
        <f t="shared" si="144"/>
        <v>0</v>
      </c>
      <c r="P170" s="31"/>
      <c r="Q170" s="5"/>
      <c r="R170" s="60">
        <f t="shared" si="145"/>
        <v>0</v>
      </c>
      <c r="S170" s="38">
        <f t="shared" si="146"/>
        <v>0</v>
      </c>
    </row>
    <row r="171" spans="2:20" ht="14.25" thickBot="1" x14ac:dyDescent="0.2">
      <c r="B171" s="42" t="s">
        <v>2</v>
      </c>
      <c r="C171" s="43">
        <f>SUM(C165:C170)</f>
        <v>34</v>
      </c>
      <c r="D171" s="44">
        <f>SUM(D165:D170)</f>
        <v>39</v>
      </c>
      <c r="E171" s="52">
        <f t="shared" si="147"/>
        <v>73</v>
      </c>
      <c r="F171" s="43">
        <f>SUM(F165:F170)</f>
        <v>22</v>
      </c>
      <c r="G171" s="44">
        <f>SUM(G165:G170)</f>
        <v>23</v>
      </c>
      <c r="H171" s="61">
        <f t="shared" si="148"/>
        <v>45</v>
      </c>
      <c r="I171" s="41">
        <f t="shared" si="149"/>
        <v>118</v>
      </c>
      <c r="L171" s="42" t="s">
        <v>2</v>
      </c>
      <c r="M171" s="43">
        <f>SUM(M165:M170)</f>
        <v>386</v>
      </c>
      <c r="N171" s="44">
        <f t="shared" ref="N171" si="150">SUM(N165:N170)</f>
        <v>495</v>
      </c>
      <c r="O171" s="104">
        <f t="shared" ref="O171" si="151">SUM(O165:O170)</f>
        <v>881</v>
      </c>
      <c r="P171" s="43">
        <f t="shared" ref="P171" si="152">SUM(P165:P170)</f>
        <v>324</v>
      </c>
      <c r="Q171" s="44">
        <f t="shared" ref="Q171" si="153">SUM(Q165:Q170)</f>
        <v>422</v>
      </c>
      <c r="R171" s="105">
        <f t="shared" ref="R171" si="154">SUM(R165:R170)</f>
        <v>746</v>
      </c>
      <c r="S171" s="41">
        <f t="shared" ref="S171" si="155">SUM(S165:S170)</f>
        <v>1627</v>
      </c>
    </row>
    <row r="172" spans="2:20" x14ac:dyDescent="0.15">
      <c r="B172" s="6" t="s">
        <v>23</v>
      </c>
      <c r="C172" s="27"/>
      <c r="D172" s="21">
        <v>1</v>
      </c>
      <c r="E172" s="53">
        <f t="shared" ref="E172:E184" si="156">SUM(C172:D172)</f>
        <v>1</v>
      </c>
      <c r="F172" s="32"/>
      <c r="G172" s="8">
        <v>1</v>
      </c>
      <c r="H172" s="62">
        <f t="shared" ref="H172:H184" si="157">SUM(F172:G172)</f>
        <v>1</v>
      </c>
      <c r="I172" s="37">
        <f t="shared" ref="I172:I184" si="158">E172+H172</f>
        <v>2</v>
      </c>
      <c r="J172" s="36">
        <v>45611</v>
      </c>
      <c r="L172" s="33" t="s">
        <v>21</v>
      </c>
      <c r="M172" s="24">
        <v>5</v>
      </c>
      <c r="N172" s="18">
        <v>5</v>
      </c>
      <c r="O172" s="53">
        <f t="shared" si="144"/>
        <v>10</v>
      </c>
      <c r="P172" s="30">
        <v>5</v>
      </c>
      <c r="Q172" s="7">
        <v>5</v>
      </c>
      <c r="R172" s="62">
        <f t="shared" si="145"/>
        <v>10</v>
      </c>
      <c r="S172" s="37">
        <f t="shared" si="146"/>
        <v>20</v>
      </c>
      <c r="T172" s="98">
        <v>45612</v>
      </c>
    </row>
    <row r="173" spans="2:20" x14ac:dyDescent="0.15">
      <c r="B173" s="6" t="s">
        <v>23</v>
      </c>
      <c r="C173" s="27"/>
      <c r="D173" s="21">
        <v>1</v>
      </c>
      <c r="E173" s="53">
        <f t="shared" si="156"/>
        <v>1</v>
      </c>
      <c r="F173" s="32"/>
      <c r="G173" s="8">
        <v>1</v>
      </c>
      <c r="H173" s="62">
        <f t="shared" si="157"/>
        <v>1</v>
      </c>
      <c r="I173" s="37">
        <f t="shared" si="158"/>
        <v>2</v>
      </c>
      <c r="J173" s="36">
        <v>45612</v>
      </c>
      <c r="L173" s="33" t="s">
        <v>21</v>
      </c>
      <c r="M173" s="24"/>
      <c r="N173" s="18">
        <v>10</v>
      </c>
      <c r="O173" s="50">
        <f t="shared" si="144"/>
        <v>10</v>
      </c>
      <c r="P173" s="30"/>
      <c r="Q173" s="7">
        <v>5</v>
      </c>
      <c r="R173" s="59">
        <f t="shared" si="145"/>
        <v>5</v>
      </c>
      <c r="S173" s="37">
        <f t="shared" si="146"/>
        <v>15</v>
      </c>
      <c r="T173" s="35">
        <v>45621</v>
      </c>
    </row>
    <row r="174" spans="2:20" x14ac:dyDescent="0.15">
      <c r="B174" s="6" t="s">
        <v>23</v>
      </c>
      <c r="C174" s="27">
        <f>1+1</f>
        <v>2</v>
      </c>
      <c r="D174" s="21">
        <v>4</v>
      </c>
      <c r="E174" s="53">
        <f t="shared" si="156"/>
        <v>6</v>
      </c>
      <c r="F174" s="32">
        <f>1+1</f>
        <v>2</v>
      </c>
      <c r="G174" s="8">
        <v>4</v>
      </c>
      <c r="H174" s="62">
        <f t="shared" si="157"/>
        <v>6</v>
      </c>
      <c r="I174" s="37">
        <f t="shared" si="158"/>
        <v>12</v>
      </c>
      <c r="J174" s="36">
        <v>45614</v>
      </c>
      <c r="L174" s="33" t="s">
        <v>21</v>
      </c>
      <c r="M174" s="24">
        <v>10</v>
      </c>
      <c r="N174" s="18"/>
      <c r="O174" s="53">
        <f t="shared" si="144"/>
        <v>10</v>
      </c>
      <c r="P174" s="30">
        <v>10</v>
      </c>
      <c r="Q174" s="7"/>
      <c r="R174" s="62">
        <f t="shared" si="145"/>
        <v>10</v>
      </c>
      <c r="S174" s="37">
        <f t="shared" si="146"/>
        <v>20</v>
      </c>
      <c r="T174" s="98">
        <v>45622</v>
      </c>
    </row>
    <row r="175" spans="2:20" x14ac:dyDescent="0.15">
      <c r="B175" s="6" t="s">
        <v>23</v>
      </c>
      <c r="C175" s="27"/>
      <c r="D175" s="21">
        <v>2</v>
      </c>
      <c r="E175" s="53">
        <f t="shared" si="156"/>
        <v>2</v>
      </c>
      <c r="F175" s="32"/>
      <c r="G175" s="8"/>
      <c r="H175" s="62">
        <f t="shared" si="157"/>
        <v>0</v>
      </c>
      <c r="I175" s="37">
        <f t="shared" si="158"/>
        <v>2</v>
      </c>
      <c r="J175" s="36">
        <v>45615</v>
      </c>
      <c r="L175" s="33" t="s">
        <v>21</v>
      </c>
      <c r="M175" s="24"/>
      <c r="N175" s="18">
        <v>5</v>
      </c>
      <c r="O175" s="53">
        <f t="shared" si="144"/>
        <v>5</v>
      </c>
      <c r="P175" s="30"/>
      <c r="Q175" s="7"/>
      <c r="R175" s="62">
        <f t="shared" si="145"/>
        <v>0</v>
      </c>
      <c r="S175" s="37">
        <f t="shared" si="146"/>
        <v>5</v>
      </c>
      <c r="T175" s="98">
        <v>45624</v>
      </c>
    </row>
    <row r="176" spans="2:20" x14ac:dyDescent="0.15">
      <c r="B176" s="6" t="s">
        <v>23</v>
      </c>
      <c r="C176" s="27"/>
      <c r="D176" s="21">
        <v>1</v>
      </c>
      <c r="E176" s="53">
        <f t="shared" si="156"/>
        <v>1</v>
      </c>
      <c r="F176" s="32"/>
      <c r="G176" s="8"/>
      <c r="H176" s="62">
        <f t="shared" si="157"/>
        <v>0</v>
      </c>
      <c r="I176" s="37">
        <f t="shared" si="158"/>
        <v>1</v>
      </c>
      <c r="J176" s="36">
        <v>45617</v>
      </c>
      <c r="L176" s="33" t="s">
        <v>21</v>
      </c>
      <c r="M176" s="24">
        <v>10</v>
      </c>
      <c r="N176" s="18">
        <v>10</v>
      </c>
      <c r="O176" s="53">
        <f t="shared" si="144"/>
        <v>20</v>
      </c>
      <c r="P176" s="30"/>
      <c r="Q176" s="7">
        <v>5</v>
      </c>
      <c r="R176" s="62">
        <f t="shared" si="145"/>
        <v>5</v>
      </c>
      <c r="S176" s="37">
        <f t="shared" si="146"/>
        <v>25</v>
      </c>
      <c r="T176" s="98">
        <v>45626</v>
      </c>
    </row>
    <row r="177" spans="2:20" x14ac:dyDescent="0.15">
      <c r="B177" s="6" t="s">
        <v>23</v>
      </c>
      <c r="C177" s="27">
        <v>1</v>
      </c>
      <c r="D177" s="21"/>
      <c r="E177" s="53">
        <f t="shared" si="156"/>
        <v>1</v>
      </c>
      <c r="F177" s="32"/>
      <c r="G177" s="8"/>
      <c r="H177" s="62">
        <f t="shared" si="157"/>
        <v>0</v>
      </c>
      <c r="I177" s="37">
        <f t="shared" si="158"/>
        <v>1</v>
      </c>
      <c r="J177" s="36">
        <v>45618</v>
      </c>
      <c r="L177" s="33" t="s">
        <v>21</v>
      </c>
      <c r="M177" s="24"/>
      <c r="N177" s="18">
        <v>5</v>
      </c>
      <c r="O177" s="53">
        <f t="shared" si="144"/>
        <v>5</v>
      </c>
      <c r="P177" s="30">
        <v>5</v>
      </c>
      <c r="Q177" s="7">
        <v>5</v>
      </c>
      <c r="R177" s="62">
        <f t="shared" si="145"/>
        <v>10</v>
      </c>
      <c r="S177" s="37">
        <f t="shared" si="146"/>
        <v>15</v>
      </c>
      <c r="T177" s="98">
        <v>45631</v>
      </c>
    </row>
    <row r="178" spans="2:20" x14ac:dyDescent="0.15">
      <c r="B178" s="6" t="s">
        <v>23</v>
      </c>
      <c r="C178" s="24">
        <v>3</v>
      </c>
      <c r="D178" s="18">
        <v>2</v>
      </c>
      <c r="E178" s="53">
        <f t="shared" si="156"/>
        <v>5</v>
      </c>
      <c r="F178" s="30">
        <v>4</v>
      </c>
      <c r="G178" s="7">
        <v>2</v>
      </c>
      <c r="H178" s="62">
        <f t="shared" si="157"/>
        <v>6</v>
      </c>
      <c r="I178" s="37">
        <f t="shared" si="158"/>
        <v>11</v>
      </c>
      <c r="J178" s="35">
        <v>45621</v>
      </c>
      <c r="L178" s="100" t="s">
        <v>106</v>
      </c>
      <c r="M178" s="24">
        <v>30</v>
      </c>
      <c r="N178" s="18">
        <v>30</v>
      </c>
      <c r="O178" s="53">
        <f t="shared" si="144"/>
        <v>60</v>
      </c>
      <c r="P178" s="30">
        <v>30</v>
      </c>
      <c r="Q178" s="7">
        <v>30</v>
      </c>
      <c r="R178" s="62">
        <f t="shared" si="145"/>
        <v>60</v>
      </c>
      <c r="S178" s="37">
        <f t="shared" si="146"/>
        <v>120</v>
      </c>
      <c r="T178" s="98">
        <v>45638</v>
      </c>
    </row>
    <row r="179" spans="2:20" x14ac:dyDescent="0.15">
      <c r="B179" s="6" t="s">
        <v>23</v>
      </c>
      <c r="C179" s="24">
        <v>1</v>
      </c>
      <c r="D179" s="18">
        <v>2</v>
      </c>
      <c r="E179" s="53">
        <f t="shared" si="156"/>
        <v>3</v>
      </c>
      <c r="F179" s="30">
        <v>1</v>
      </c>
      <c r="G179" s="7"/>
      <c r="H179" s="62">
        <f t="shared" si="157"/>
        <v>1</v>
      </c>
      <c r="I179" s="37">
        <f t="shared" si="158"/>
        <v>4</v>
      </c>
      <c r="J179" s="35">
        <v>45622</v>
      </c>
      <c r="L179" s="6" t="s">
        <v>107</v>
      </c>
      <c r="M179" s="24">
        <v>10</v>
      </c>
      <c r="N179" s="18">
        <v>10</v>
      </c>
      <c r="O179" s="53">
        <f t="shared" si="144"/>
        <v>20</v>
      </c>
      <c r="P179" s="30">
        <v>10</v>
      </c>
      <c r="Q179" s="7">
        <v>10</v>
      </c>
      <c r="R179" s="62">
        <f t="shared" si="145"/>
        <v>20</v>
      </c>
      <c r="S179" s="37">
        <f t="shared" si="146"/>
        <v>40</v>
      </c>
      <c r="T179" s="98">
        <v>45645</v>
      </c>
    </row>
    <row r="180" spans="2:20" x14ac:dyDescent="0.15">
      <c r="B180" s="6" t="s">
        <v>104</v>
      </c>
      <c r="C180" s="24">
        <v>1</v>
      </c>
      <c r="D180" s="18"/>
      <c r="E180" s="53">
        <f t="shared" si="156"/>
        <v>1</v>
      </c>
      <c r="F180" s="30"/>
      <c r="G180" s="7"/>
      <c r="H180" s="62">
        <f t="shared" si="157"/>
        <v>0</v>
      </c>
      <c r="I180" s="37">
        <f t="shared" si="158"/>
        <v>1</v>
      </c>
      <c r="J180" s="35">
        <v>45624</v>
      </c>
      <c r="L180" s="33" t="s">
        <v>21</v>
      </c>
      <c r="M180" s="24">
        <v>5</v>
      </c>
      <c r="N180" s="18">
        <v>15</v>
      </c>
      <c r="O180" s="53">
        <f t="shared" si="144"/>
        <v>20</v>
      </c>
      <c r="P180" s="30">
        <v>5</v>
      </c>
      <c r="Q180" s="7">
        <v>10</v>
      </c>
      <c r="R180" s="62">
        <f t="shared" si="145"/>
        <v>15</v>
      </c>
      <c r="S180" s="37">
        <f t="shared" si="146"/>
        <v>35</v>
      </c>
      <c r="T180" s="98">
        <v>45638</v>
      </c>
    </row>
    <row r="181" spans="2:20" x14ac:dyDescent="0.15">
      <c r="B181" s="6" t="s">
        <v>23</v>
      </c>
      <c r="C181" s="24"/>
      <c r="D181" s="18">
        <v>5</v>
      </c>
      <c r="E181" s="53">
        <f t="shared" si="156"/>
        <v>5</v>
      </c>
      <c r="F181" s="30"/>
      <c r="G181" s="7"/>
      <c r="H181" s="62">
        <f t="shared" si="157"/>
        <v>0</v>
      </c>
      <c r="I181" s="37">
        <f t="shared" si="158"/>
        <v>5</v>
      </c>
      <c r="J181" s="35">
        <v>45623</v>
      </c>
      <c r="L181" s="6" t="s">
        <v>108</v>
      </c>
      <c r="M181" s="24">
        <v>20</v>
      </c>
      <c r="N181" s="18">
        <v>30</v>
      </c>
      <c r="O181" s="53">
        <f t="shared" si="144"/>
        <v>50</v>
      </c>
      <c r="P181" s="30"/>
      <c r="Q181" s="7">
        <v>5</v>
      </c>
      <c r="R181" s="62">
        <f t="shared" si="145"/>
        <v>5</v>
      </c>
      <c r="S181" s="37">
        <f t="shared" si="146"/>
        <v>55</v>
      </c>
      <c r="T181" s="98">
        <v>45650</v>
      </c>
    </row>
    <row r="182" spans="2:20" x14ac:dyDescent="0.15">
      <c r="B182" s="6" t="s">
        <v>23</v>
      </c>
      <c r="C182" s="24"/>
      <c r="D182" s="18">
        <v>3</v>
      </c>
      <c r="E182" s="53">
        <f t="shared" si="156"/>
        <v>3</v>
      </c>
      <c r="F182" s="30"/>
      <c r="G182" s="7"/>
      <c r="H182" s="62">
        <f t="shared" si="157"/>
        <v>0</v>
      </c>
      <c r="I182" s="37">
        <f t="shared" si="158"/>
        <v>3</v>
      </c>
      <c r="J182" s="35">
        <v>45624</v>
      </c>
      <c r="L182" s="6" t="s">
        <v>109</v>
      </c>
      <c r="M182" s="24">
        <v>50</v>
      </c>
      <c r="N182" s="18">
        <v>40</v>
      </c>
      <c r="O182" s="53">
        <f t="shared" si="144"/>
        <v>90</v>
      </c>
      <c r="P182" s="30">
        <v>50</v>
      </c>
      <c r="Q182" s="7">
        <v>40</v>
      </c>
      <c r="R182" s="62">
        <f t="shared" si="145"/>
        <v>90</v>
      </c>
      <c r="S182" s="37">
        <f t="shared" si="146"/>
        <v>180</v>
      </c>
      <c r="T182" s="98">
        <v>45652</v>
      </c>
    </row>
    <row r="183" spans="2:20" x14ac:dyDescent="0.15">
      <c r="B183" s="6" t="s">
        <v>23</v>
      </c>
      <c r="C183" s="24">
        <v>3</v>
      </c>
      <c r="D183" s="18"/>
      <c r="E183" s="53">
        <f t="shared" si="156"/>
        <v>3</v>
      </c>
      <c r="F183" s="30"/>
      <c r="G183" s="7"/>
      <c r="H183" s="62">
        <f t="shared" si="157"/>
        <v>0</v>
      </c>
      <c r="I183" s="37">
        <f t="shared" si="158"/>
        <v>3</v>
      </c>
      <c r="J183" s="35">
        <v>45625</v>
      </c>
      <c r="L183" s="6" t="s">
        <v>110</v>
      </c>
      <c r="M183" s="24">
        <v>26</v>
      </c>
      <c r="N183" s="18">
        <v>30</v>
      </c>
      <c r="O183" s="53">
        <f t="shared" si="144"/>
        <v>56</v>
      </c>
      <c r="P183" s="30">
        <v>10</v>
      </c>
      <c r="Q183" s="7">
        <v>10</v>
      </c>
      <c r="R183" s="62">
        <f t="shared" si="145"/>
        <v>20</v>
      </c>
      <c r="S183" s="37">
        <f t="shared" si="146"/>
        <v>76</v>
      </c>
      <c r="T183" s="98">
        <v>45652</v>
      </c>
    </row>
    <row r="184" spans="2:20" x14ac:dyDescent="0.15">
      <c r="B184" s="6" t="s">
        <v>23</v>
      </c>
      <c r="C184" s="24">
        <f>2+2</f>
        <v>4</v>
      </c>
      <c r="D184" s="18">
        <v>3</v>
      </c>
      <c r="E184" s="53">
        <f t="shared" si="156"/>
        <v>7</v>
      </c>
      <c r="F184" s="30">
        <v>1</v>
      </c>
      <c r="G184" s="7"/>
      <c r="H184" s="62">
        <f t="shared" si="157"/>
        <v>1</v>
      </c>
      <c r="I184" s="37">
        <f t="shared" si="158"/>
        <v>8</v>
      </c>
      <c r="J184" s="35">
        <v>45628</v>
      </c>
      <c r="L184" s="33" t="s">
        <v>21</v>
      </c>
      <c r="M184" s="24">
        <v>15</v>
      </c>
      <c r="N184" s="18">
        <v>10</v>
      </c>
      <c r="O184" s="53">
        <f t="shared" si="144"/>
        <v>25</v>
      </c>
      <c r="P184" s="30">
        <v>5</v>
      </c>
      <c r="Q184" s="7">
        <v>5</v>
      </c>
      <c r="R184" s="62">
        <f t="shared" si="145"/>
        <v>10</v>
      </c>
      <c r="S184" s="37">
        <f t="shared" si="146"/>
        <v>35</v>
      </c>
      <c r="T184" s="98">
        <v>45652</v>
      </c>
    </row>
    <row r="185" spans="2:20" x14ac:dyDescent="0.15">
      <c r="B185" s="6" t="s">
        <v>23</v>
      </c>
      <c r="C185" s="24"/>
      <c r="D185" s="18">
        <v>1</v>
      </c>
      <c r="E185" s="53">
        <f t="shared" ref="E185:E186" si="159">SUM(C185:D185)</f>
        <v>1</v>
      </c>
      <c r="F185" s="30"/>
      <c r="G185" s="7"/>
      <c r="H185" s="62">
        <f t="shared" ref="H185:H186" si="160">SUM(F185:G185)</f>
        <v>0</v>
      </c>
      <c r="I185" s="37">
        <f t="shared" ref="I185:I186" si="161">E185+H185</f>
        <v>1</v>
      </c>
      <c r="J185" s="35">
        <v>45629</v>
      </c>
      <c r="L185" s="100" t="s">
        <v>111</v>
      </c>
      <c r="M185" s="24">
        <v>75</v>
      </c>
      <c r="N185" s="18">
        <v>40</v>
      </c>
      <c r="O185" s="53">
        <f t="shared" si="144"/>
        <v>115</v>
      </c>
      <c r="P185" s="30">
        <v>80</v>
      </c>
      <c r="Q185" s="7">
        <v>65</v>
      </c>
      <c r="R185" s="62">
        <f t="shared" si="145"/>
        <v>145</v>
      </c>
      <c r="S185" s="37">
        <f t="shared" si="146"/>
        <v>260</v>
      </c>
      <c r="T185" s="98">
        <v>45653</v>
      </c>
    </row>
    <row r="186" spans="2:20" x14ac:dyDescent="0.15">
      <c r="B186" s="6" t="s">
        <v>105</v>
      </c>
      <c r="C186" s="24"/>
      <c r="D186" s="18">
        <v>-5</v>
      </c>
      <c r="E186" s="53">
        <f t="shared" si="159"/>
        <v>-5</v>
      </c>
      <c r="F186" s="30">
        <v>-5</v>
      </c>
      <c r="G186" s="7">
        <v>-5</v>
      </c>
      <c r="H186" s="62">
        <f t="shared" si="160"/>
        <v>-10</v>
      </c>
      <c r="I186" s="37">
        <f t="shared" si="161"/>
        <v>-15</v>
      </c>
      <c r="J186" s="35">
        <v>45631</v>
      </c>
      <c r="L186" s="6" t="s">
        <v>112</v>
      </c>
      <c r="M186" s="24">
        <v>20</v>
      </c>
      <c r="N186" s="18">
        <v>30</v>
      </c>
      <c r="O186" s="53">
        <f t="shared" si="144"/>
        <v>50</v>
      </c>
      <c r="P186" s="30">
        <v>20</v>
      </c>
      <c r="Q186" s="7">
        <v>10</v>
      </c>
      <c r="R186" s="62">
        <f t="shared" si="145"/>
        <v>30</v>
      </c>
      <c r="S186" s="37">
        <f t="shared" si="146"/>
        <v>80</v>
      </c>
      <c r="T186" s="98">
        <v>45653</v>
      </c>
    </row>
    <row r="187" spans="2:20" x14ac:dyDescent="0.15">
      <c r="B187" s="6" t="s">
        <v>23</v>
      </c>
      <c r="C187" s="24"/>
      <c r="D187" s="18">
        <f>4+2</f>
        <v>6</v>
      </c>
      <c r="E187" s="53">
        <f t="shared" si="147"/>
        <v>6</v>
      </c>
      <c r="F187" s="30">
        <f>1+1</f>
        <v>2</v>
      </c>
      <c r="G187" s="7"/>
      <c r="H187" s="62">
        <f t="shared" si="148"/>
        <v>2</v>
      </c>
      <c r="I187" s="37">
        <f t="shared" si="149"/>
        <v>8</v>
      </c>
      <c r="J187" s="35">
        <v>45631</v>
      </c>
      <c r="L187" s="100" t="s">
        <v>113</v>
      </c>
      <c r="M187" s="24">
        <v>20</v>
      </c>
      <c r="N187" s="18">
        <v>20</v>
      </c>
      <c r="O187" s="53">
        <f t="shared" ref="O187:O196" si="162">SUM(M187:N187)</f>
        <v>40</v>
      </c>
      <c r="P187" s="30"/>
      <c r="Q187" s="7"/>
      <c r="R187" s="62">
        <f t="shared" ref="R187:R196" si="163">SUM(P187:Q187)</f>
        <v>0</v>
      </c>
      <c r="S187" s="37">
        <f t="shared" ref="S187:S196" si="164">O187+R187</f>
        <v>40</v>
      </c>
      <c r="T187" s="98">
        <v>45654</v>
      </c>
    </row>
    <row r="188" spans="2:20" x14ac:dyDescent="0.15">
      <c r="B188" s="6" t="s">
        <v>47</v>
      </c>
      <c r="C188" s="24"/>
      <c r="D188" s="18"/>
      <c r="E188" s="53">
        <f t="shared" si="147"/>
        <v>0</v>
      </c>
      <c r="F188" s="30"/>
      <c r="G188" s="7">
        <v>2</v>
      </c>
      <c r="H188" s="62">
        <f t="shared" si="148"/>
        <v>2</v>
      </c>
      <c r="I188" s="37">
        <f t="shared" si="149"/>
        <v>2</v>
      </c>
      <c r="J188" s="35">
        <v>45632</v>
      </c>
      <c r="K188" s="91"/>
      <c r="L188" s="6"/>
      <c r="M188" s="24"/>
      <c r="N188" s="18"/>
      <c r="O188" s="53">
        <f t="shared" si="162"/>
        <v>0</v>
      </c>
      <c r="P188" s="30"/>
      <c r="Q188" s="7"/>
      <c r="R188" s="62">
        <f t="shared" si="163"/>
        <v>0</v>
      </c>
      <c r="S188" s="37">
        <f t="shared" si="164"/>
        <v>0</v>
      </c>
    </row>
    <row r="189" spans="2:20" x14ac:dyDescent="0.15">
      <c r="B189" s="6" t="s">
        <v>23</v>
      </c>
      <c r="C189" s="24"/>
      <c r="D189" s="18">
        <v>1</v>
      </c>
      <c r="E189" s="53">
        <f t="shared" si="147"/>
        <v>1</v>
      </c>
      <c r="F189" s="30"/>
      <c r="G189" s="7">
        <v>1</v>
      </c>
      <c r="H189" s="62">
        <f t="shared" si="148"/>
        <v>1</v>
      </c>
      <c r="I189" s="37">
        <f t="shared" si="149"/>
        <v>2</v>
      </c>
      <c r="J189" s="35">
        <v>45633</v>
      </c>
      <c r="L189" s="6"/>
      <c r="M189" s="24"/>
      <c r="N189" s="18"/>
      <c r="O189" s="53">
        <f t="shared" si="162"/>
        <v>0</v>
      </c>
      <c r="P189" s="30"/>
      <c r="Q189" s="7"/>
      <c r="R189" s="62">
        <f t="shared" si="163"/>
        <v>0</v>
      </c>
      <c r="S189" s="37">
        <f t="shared" si="164"/>
        <v>0</v>
      </c>
    </row>
    <row r="190" spans="2:20" x14ac:dyDescent="0.15">
      <c r="B190" s="6" t="s">
        <v>23</v>
      </c>
      <c r="C190" s="24">
        <v>1</v>
      </c>
      <c r="D190" s="18">
        <v>1</v>
      </c>
      <c r="E190" s="53">
        <f t="shared" si="147"/>
        <v>2</v>
      </c>
      <c r="F190" s="30"/>
      <c r="G190" s="7">
        <v>1</v>
      </c>
      <c r="H190" s="62">
        <f t="shared" si="148"/>
        <v>1</v>
      </c>
      <c r="I190" s="37">
        <f t="shared" si="149"/>
        <v>3</v>
      </c>
      <c r="J190" s="35">
        <v>45635</v>
      </c>
      <c r="L190" s="6"/>
      <c r="M190" s="24"/>
      <c r="N190" s="18"/>
      <c r="O190" s="53">
        <f t="shared" si="162"/>
        <v>0</v>
      </c>
      <c r="P190" s="30"/>
      <c r="Q190" s="7"/>
      <c r="R190" s="62">
        <f t="shared" si="163"/>
        <v>0</v>
      </c>
      <c r="S190" s="37">
        <f t="shared" si="164"/>
        <v>0</v>
      </c>
    </row>
    <row r="191" spans="2:20" x14ac:dyDescent="0.15">
      <c r="B191" s="6" t="s">
        <v>23</v>
      </c>
      <c r="C191" s="24">
        <v>1</v>
      </c>
      <c r="D191" s="18">
        <f>2+1</f>
        <v>3</v>
      </c>
      <c r="E191" s="53">
        <f t="shared" si="147"/>
        <v>4</v>
      </c>
      <c r="F191" s="30"/>
      <c r="G191" s="7">
        <f>1+1</f>
        <v>2</v>
      </c>
      <c r="H191" s="62">
        <f t="shared" si="148"/>
        <v>2</v>
      </c>
      <c r="I191" s="37">
        <f t="shared" si="149"/>
        <v>6</v>
      </c>
      <c r="J191" s="35">
        <v>45636</v>
      </c>
      <c r="L191" s="6"/>
      <c r="M191" s="27"/>
      <c r="N191" s="21"/>
      <c r="O191" s="53">
        <f t="shared" si="162"/>
        <v>0</v>
      </c>
      <c r="P191" s="32"/>
      <c r="Q191" s="8"/>
      <c r="R191" s="62">
        <f t="shared" si="163"/>
        <v>0</v>
      </c>
      <c r="S191" s="37">
        <f t="shared" si="164"/>
        <v>0</v>
      </c>
    </row>
    <row r="192" spans="2:20" x14ac:dyDescent="0.15">
      <c r="B192" s="6" t="s">
        <v>23</v>
      </c>
      <c r="C192" s="24">
        <v>2</v>
      </c>
      <c r="D192" s="18">
        <v>1</v>
      </c>
      <c r="E192" s="53">
        <f t="shared" si="147"/>
        <v>3</v>
      </c>
      <c r="F192" s="30"/>
      <c r="G192" s="7">
        <v>2</v>
      </c>
      <c r="H192" s="62">
        <f t="shared" si="148"/>
        <v>2</v>
      </c>
      <c r="I192" s="37">
        <f t="shared" si="149"/>
        <v>5</v>
      </c>
      <c r="J192" s="35">
        <v>45637</v>
      </c>
      <c r="L192" s="6"/>
      <c r="M192" s="27"/>
      <c r="N192" s="21"/>
      <c r="O192" s="53">
        <f t="shared" si="162"/>
        <v>0</v>
      </c>
      <c r="P192" s="32"/>
      <c r="Q192" s="8"/>
      <c r="R192" s="62">
        <f t="shared" si="163"/>
        <v>0</v>
      </c>
      <c r="S192" s="37">
        <f t="shared" si="164"/>
        <v>0</v>
      </c>
    </row>
    <row r="193" spans="2:20" x14ac:dyDescent="0.15">
      <c r="B193" s="6" t="s">
        <v>3</v>
      </c>
      <c r="C193" s="24">
        <v>-5</v>
      </c>
      <c r="D193" s="18">
        <v>-15</v>
      </c>
      <c r="E193" s="53">
        <f t="shared" si="147"/>
        <v>-20</v>
      </c>
      <c r="F193" s="30">
        <v>-5</v>
      </c>
      <c r="G193" s="7">
        <v>-10</v>
      </c>
      <c r="H193" s="62">
        <f t="shared" si="148"/>
        <v>-15</v>
      </c>
      <c r="I193" s="37">
        <f t="shared" si="149"/>
        <v>-35</v>
      </c>
      <c r="J193" s="35">
        <v>45638</v>
      </c>
      <c r="L193" s="6"/>
      <c r="M193" s="27"/>
      <c r="N193" s="21"/>
      <c r="O193" s="53">
        <f t="shared" si="162"/>
        <v>0</v>
      </c>
      <c r="P193" s="32"/>
      <c r="Q193" s="8"/>
      <c r="R193" s="62">
        <f t="shared" si="163"/>
        <v>0</v>
      </c>
      <c r="S193" s="37">
        <f t="shared" si="164"/>
        <v>0</v>
      </c>
    </row>
    <row r="194" spans="2:20" x14ac:dyDescent="0.15">
      <c r="B194" s="6" t="s">
        <v>23</v>
      </c>
      <c r="C194" s="24"/>
      <c r="D194" s="18">
        <v>2</v>
      </c>
      <c r="E194" s="53">
        <f t="shared" si="147"/>
        <v>2</v>
      </c>
      <c r="F194" s="30"/>
      <c r="G194" s="7">
        <v>1</v>
      </c>
      <c r="H194" s="62">
        <f t="shared" si="148"/>
        <v>1</v>
      </c>
      <c r="I194" s="37">
        <f t="shared" si="149"/>
        <v>3</v>
      </c>
      <c r="J194" s="35">
        <v>45638</v>
      </c>
      <c r="L194" s="6"/>
      <c r="M194" s="27"/>
      <c r="N194" s="21"/>
      <c r="O194" s="53">
        <f t="shared" si="162"/>
        <v>0</v>
      </c>
      <c r="P194" s="32"/>
      <c r="Q194" s="8"/>
      <c r="R194" s="62">
        <f t="shared" si="163"/>
        <v>0</v>
      </c>
      <c r="S194" s="37">
        <f t="shared" si="164"/>
        <v>0</v>
      </c>
    </row>
    <row r="195" spans="2:20" x14ac:dyDescent="0.15">
      <c r="B195" s="6" t="s">
        <v>23</v>
      </c>
      <c r="C195" s="24">
        <v>3</v>
      </c>
      <c r="D195" s="18"/>
      <c r="E195" s="53">
        <f t="shared" si="147"/>
        <v>3</v>
      </c>
      <c r="F195" s="30"/>
      <c r="G195" s="7"/>
      <c r="H195" s="62">
        <f t="shared" si="148"/>
        <v>0</v>
      </c>
      <c r="I195" s="37">
        <f t="shared" si="149"/>
        <v>3</v>
      </c>
      <c r="J195" s="35">
        <v>45639</v>
      </c>
      <c r="L195" s="6" t="s">
        <v>100</v>
      </c>
      <c r="M195" s="24"/>
      <c r="N195" s="18"/>
      <c r="O195" s="53">
        <f t="shared" si="162"/>
        <v>0</v>
      </c>
      <c r="P195" s="30"/>
      <c r="Q195" s="7"/>
      <c r="R195" s="62">
        <f t="shared" si="163"/>
        <v>0</v>
      </c>
      <c r="S195" s="37">
        <f t="shared" si="164"/>
        <v>0</v>
      </c>
      <c r="T195" t="s">
        <v>103</v>
      </c>
    </row>
    <row r="196" spans="2:20" ht="14.25" thickBot="1" x14ac:dyDescent="0.2">
      <c r="B196" s="6" t="s">
        <v>23</v>
      </c>
      <c r="C196" s="28">
        <v>3</v>
      </c>
      <c r="D196" s="19">
        <v>2</v>
      </c>
      <c r="E196" s="54">
        <f t="shared" si="147"/>
        <v>5</v>
      </c>
      <c r="F196" s="31">
        <v>1</v>
      </c>
      <c r="G196" s="5">
        <v>3</v>
      </c>
      <c r="H196" s="63">
        <f t="shared" si="148"/>
        <v>4</v>
      </c>
      <c r="I196" s="38">
        <f t="shared" si="149"/>
        <v>9</v>
      </c>
      <c r="J196" s="35">
        <v>45642</v>
      </c>
      <c r="L196" s="6" t="s">
        <v>99</v>
      </c>
      <c r="M196" s="24"/>
      <c r="N196" s="18"/>
      <c r="O196" s="53">
        <f t="shared" si="162"/>
        <v>0</v>
      </c>
      <c r="P196" s="24"/>
      <c r="Q196" s="18"/>
      <c r="R196" s="62">
        <f t="shared" si="163"/>
        <v>0</v>
      </c>
      <c r="S196" s="37">
        <f t="shared" si="164"/>
        <v>0</v>
      </c>
      <c r="T196" t="s">
        <v>97</v>
      </c>
    </row>
    <row r="197" spans="2:20" ht="14.25" thickBot="1" x14ac:dyDescent="0.2">
      <c r="B197" s="4" t="s">
        <v>1</v>
      </c>
      <c r="C197" s="26">
        <f>SUM(C172:C196)</f>
        <v>20</v>
      </c>
      <c r="D197" s="20">
        <f>SUM(D172:D196)</f>
        <v>21</v>
      </c>
      <c r="E197" s="55">
        <f t="shared" si="147"/>
        <v>41</v>
      </c>
      <c r="F197" s="26">
        <f>SUM(F172:F196)</f>
        <v>1</v>
      </c>
      <c r="G197" s="20">
        <f>SUM(G172:G196)</f>
        <v>5</v>
      </c>
      <c r="H197" s="64">
        <f t="shared" si="148"/>
        <v>6</v>
      </c>
      <c r="I197" s="39">
        <f t="shared" si="149"/>
        <v>47</v>
      </c>
      <c r="L197" s="4" t="s">
        <v>1</v>
      </c>
      <c r="M197" s="26">
        <f>SUM(M172:M196)</f>
        <v>296</v>
      </c>
      <c r="N197" s="20">
        <f t="shared" ref="N197" si="165">SUM(N172:N196)</f>
        <v>290</v>
      </c>
      <c r="O197" s="55">
        <f t="shared" ref="O197" si="166">SUM(O172:O196)</f>
        <v>586</v>
      </c>
      <c r="P197" s="26">
        <f t="shared" ref="P197" si="167">SUM(P172:P196)</f>
        <v>230</v>
      </c>
      <c r="Q197" s="20">
        <f t="shared" ref="Q197" si="168">SUM(Q172:Q196)</f>
        <v>205</v>
      </c>
      <c r="R197" s="64">
        <f t="shared" ref="R197" si="169">SUM(R172:R196)</f>
        <v>435</v>
      </c>
      <c r="S197" s="39">
        <f t="shared" ref="S197" si="170">SUM(S172:S196)</f>
        <v>1021</v>
      </c>
    </row>
    <row r="198" spans="2:20" ht="14.25" thickBot="1" x14ac:dyDescent="0.2">
      <c r="B198" s="3" t="s">
        <v>0</v>
      </c>
      <c r="C198" s="29">
        <f>+C171-C197</f>
        <v>14</v>
      </c>
      <c r="D198" s="2">
        <f>+D171-D197</f>
        <v>18</v>
      </c>
      <c r="E198" s="56">
        <f t="shared" si="147"/>
        <v>32</v>
      </c>
      <c r="F198" s="29">
        <f>+F171-F197</f>
        <v>21</v>
      </c>
      <c r="G198" s="2">
        <f>+G171-G197</f>
        <v>18</v>
      </c>
      <c r="H198" s="65">
        <f t="shared" si="148"/>
        <v>39</v>
      </c>
      <c r="I198" s="41">
        <f t="shared" si="149"/>
        <v>71</v>
      </c>
      <c r="L198" s="3" t="s">
        <v>0</v>
      </c>
      <c r="M198" s="29">
        <f>+M171-M197</f>
        <v>90</v>
      </c>
      <c r="N198" s="2">
        <f t="shared" ref="N198" si="171">+N171-N197</f>
        <v>205</v>
      </c>
      <c r="O198" s="56">
        <f t="shared" ref="O198" si="172">+O171-O197</f>
        <v>295</v>
      </c>
      <c r="P198" s="29">
        <f t="shared" ref="P198" si="173">+P171-P197</f>
        <v>94</v>
      </c>
      <c r="Q198" s="2">
        <f t="shared" ref="Q198" si="174">+Q171-Q197</f>
        <v>217</v>
      </c>
      <c r="R198" s="65">
        <f t="shared" ref="R198" si="175">+R171-R197</f>
        <v>311</v>
      </c>
      <c r="S198" s="41">
        <f t="shared" ref="S198" si="176">+S171-S197</f>
        <v>606</v>
      </c>
    </row>
    <row r="200" spans="2:20" x14ac:dyDescent="0.15">
      <c r="L200" s="99"/>
      <c r="M200" s="99"/>
      <c r="N200" s="99"/>
      <c r="O200" s="99"/>
      <c r="P200" s="99"/>
      <c r="Q200" s="99"/>
    </row>
    <row r="201" spans="2:20" ht="18.75" x14ac:dyDescent="0.2">
      <c r="B201" s="16" t="s">
        <v>28</v>
      </c>
      <c r="C201" s="15"/>
      <c r="D201" s="15"/>
      <c r="E201" s="15"/>
      <c r="F201" s="15"/>
      <c r="G201" s="15"/>
      <c r="H201" s="15"/>
      <c r="I201" s="15"/>
      <c r="L201" s="69" t="s">
        <v>29</v>
      </c>
      <c r="M201" s="70"/>
      <c r="N201" s="70"/>
      <c r="O201" s="70"/>
      <c r="P201" s="70"/>
      <c r="Q201" s="70"/>
      <c r="R201" s="70"/>
      <c r="S201" s="70"/>
    </row>
    <row r="202" spans="2:20" ht="15" thickBot="1" x14ac:dyDescent="0.2">
      <c r="B202" s="75" t="s">
        <v>26</v>
      </c>
      <c r="C202" s="15"/>
      <c r="D202" s="15"/>
      <c r="E202" s="15"/>
      <c r="F202" s="15"/>
      <c r="G202" s="15"/>
      <c r="H202" s="15"/>
      <c r="I202" s="15"/>
      <c r="L202" s="76" t="s">
        <v>25</v>
      </c>
      <c r="M202" s="70"/>
      <c r="N202" s="70"/>
      <c r="O202" s="70"/>
      <c r="P202" s="70"/>
      <c r="Q202" s="70"/>
      <c r="R202" s="70"/>
      <c r="S202" s="70"/>
    </row>
    <row r="203" spans="2:20" ht="14.25" thickBot="1" x14ac:dyDescent="0.2">
      <c r="B203" s="14"/>
      <c r="C203" s="117" t="s">
        <v>8</v>
      </c>
      <c r="D203" s="118"/>
      <c r="E203" s="119"/>
      <c r="F203" s="120" t="s">
        <v>10</v>
      </c>
      <c r="G203" s="121"/>
      <c r="H203" s="121"/>
      <c r="I203" s="115" t="s">
        <v>9</v>
      </c>
      <c r="L203" s="14"/>
      <c r="M203" s="117" t="s">
        <v>8</v>
      </c>
      <c r="N203" s="118"/>
      <c r="O203" s="119"/>
      <c r="P203" s="120" t="s">
        <v>10</v>
      </c>
      <c r="Q203" s="121"/>
      <c r="R203" s="121"/>
      <c r="S203" s="115" t="s">
        <v>9</v>
      </c>
    </row>
    <row r="204" spans="2:20" ht="14.25" thickBot="1" x14ac:dyDescent="0.2">
      <c r="B204" s="13"/>
      <c r="C204" s="22" t="s">
        <v>6</v>
      </c>
      <c r="D204" s="12" t="s">
        <v>5</v>
      </c>
      <c r="E204" s="48" t="s">
        <v>4</v>
      </c>
      <c r="F204" s="22" t="s">
        <v>6</v>
      </c>
      <c r="G204" s="12" t="s">
        <v>5</v>
      </c>
      <c r="H204" s="57" t="s">
        <v>4</v>
      </c>
      <c r="I204" s="116"/>
      <c r="K204" s="1"/>
      <c r="L204" s="13"/>
      <c r="M204" s="22" t="s">
        <v>6</v>
      </c>
      <c r="N204" s="12" t="s">
        <v>5</v>
      </c>
      <c r="O204" s="48" t="s">
        <v>4</v>
      </c>
      <c r="P204" s="22" t="s">
        <v>6</v>
      </c>
      <c r="Q204" s="12" t="s">
        <v>5</v>
      </c>
      <c r="R204" s="57" t="s">
        <v>4</v>
      </c>
      <c r="S204" s="116"/>
    </row>
    <row r="205" spans="2:20" x14ac:dyDescent="0.15">
      <c r="B205" s="45" t="s">
        <v>0</v>
      </c>
      <c r="C205" s="46">
        <f>C198</f>
        <v>14</v>
      </c>
      <c r="D205" s="47">
        <f t="shared" ref="D205:H205" si="177">D198</f>
        <v>18</v>
      </c>
      <c r="E205" s="66">
        <f t="shared" si="177"/>
        <v>32</v>
      </c>
      <c r="F205" s="46">
        <f t="shared" si="177"/>
        <v>21</v>
      </c>
      <c r="G205" s="47">
        <f t="shared" si="177"/>
        <v>18</v>
      </c>
      <c r="H205" s="67">
        <f t="shared" si="177"/>
        <v>39</v>
      </c>
      <c r="I205" s="40">
        <f>E205+H205</f>
        <v>71</v>
      </c>
      <c r="J205" s="35"/>
      <c r="L205" s="45" t="s">
        <v>0</v>
      </c>
      <c r="M205" s="46">
        <f>M198</f>
        <v>90</v>
      </c>
      <c r="N205" s="47">
        <f t="shared" ref="N205:S205" si="178">N198</f>
        <v>205</v>
      </c>
      <c r="O205" s="66">
        <f t="shared" si="178"/>
        <v>295</v>
      </c>
      <c r="P205" s="46">
        <f t="shared" si="178"/>
        <v>94</v>
      </c>
      <c r="Q205" s="47">
        <f t="shared" si="178"/>
        <v>217</v>
      </c>
      <c r="R205" s="67">
        <f t="shared" si="178"/>
        <v>311</v>
      </c>
      <c r="S205" s="40">
        <f t="shared" si="178"/>
        <v>606</v>
      </c>
    </row>
    <row r="206" spans="2:20" x14ac:dyDescent="0.15">
      <c r="B206" s="11" t="s">
        <v>3</v>
      </c>
      <c r="C206" s="24">
        <v>15</v>
      </c>
      <c r="D206" s="18">
        <v>10</v>
      </c>
      <c r="E206" s="50">
        <f t="shared" ref="E206:E210" si="179">SUM(C206:D206)</f>
        <v>25</v>
      </c>
      <c r="F206" s="30">
        <v>5</v>
      </c>
      <c r="G206" s="7">
        <v>5</v>
      </c>
      <c r="H206" s="59">
        <f t="shared" ref="H206:H210" si="180">SUM(F206:G206)</f>
        <v>10</v>
      </c>
      <c r="I206" s="37">
        <f t="shared" ref="I206:I210" si="181">E206+H206</f>
        <v>35</v>
      </c>
      <c r="J206" s="98">
        <v>45652</v>
      </c>
      <c r="L206" s="11" t="s">
        <v>3</v>
      </c>
      <c r="M206" s="24"/>
      <c r="N206" s="18"/>
      <c r="O206" s="50">
        <f t="shared" ref="O206:O229" si="182">SUM(M206:N206)</f>
        <v>0</v>
      </c>
      <c r="P206" s="30"/>
      <c r="Q206" s="7"/>
      <c r="R206" s="59">
        <f t="shared" ref="R206:R229" si="183">SUM(P206:Q206)</f>
        <v>0</v>
      </c>
      <c r="S206" s="37">
        <f t="shared" ref="S206:S229" si="184">O206+R206</f>
        <v>0</v>
      </c>
    </row>
    <row r="207" spans="2:20" x14ac:dyDescent="0.15">
      <c r="B207" s="11" t="s">
        <v>3</v>
      </c>
      <c r="C207" s="24"/>
      <c r="D207" s="18"/>
      <c r="E207" s="50">
        <f t="shared" si="179"/>
        <v>0</v>
      </c>
      <c r="F207" s="30"/>
      <c r="G207" s="7"/>
      <c r="H207" s="59">
        <f t="shared" si="180"/>
        <v>0</v>
      </c>
      <c r="I207" s="37">
        <f t="shared" si="181"/>
        <v>0</v>
      </c>
      <c r="J207"/>
      <c r="L207" s="11" t="s">
        <v>3</v>
      </c>
      <c r="M207" s="24"/>
      <c r="N207" s="18"/>
      <c r="O207" s="50">
        <f t="shared" si="182"/>
        <v>0</v>
      </c>
      <c r="P207" s="30"/>
      <c r="Q207" s="7"/>
      <c r="R207" s="59">
        <f t="shared" si="183"/>
        <v>0</v>
      </c>
      <c r="S207" s="37">
        <f t="shared" si="184"/>
        <v>0</v>
      </c>
    </row>
    <row r="208" spans="2:20" x14ac:dyDescent="0.15">
      <c r="B208" s="11" t="s">
        <v>3</v>
      </c>
      <c r="C208" s="24"/>
      <c r="D208" s="18"/>
      <c r="E208" s="50">
        <f t="shared" si="179"/>
        <v>0</v>
      </c>
      <c r="F208" s="30"/>
      <c r="G208" s="7"/>
      <c r="H208" s="59">
        <f t="shared" si="180"/>
        <v>0</v>
      </c>
      <c r="I208" s="37">
        <f t="shared" si="181"/>
        <v>0</v>
      </c>
      <c r="J208"/>
      <c r="L208" s="11" t="s">
        <v>3</v>
      </c>
      <c r="M208" s="24"/>
      <c r="N208" s="18"/>
      <c r="O208" s="50">
        <f t="shared" si="182"/>
        <v>0</v>
      </c>
      <c r="P208" s="30"/>
      <c r="Q208" s="7"/>
      <c r="R208" s="59">
        <f t="shared" si="183"/>
        <v>0</v>
      </c>
      <c r="S208" s="37">
        <f t="shared" si="184"/>
        <v>0</v>
      </c>
    </row>
    <row r="209" spans="2:19" x14ac:dyDescent="0.15">
      <c r="B209" s="11" t="s">
        <v>3</v>
      </c>
      <c r="C209" s="24"/>
      <c r="D209" s="18"/>
      <c r="E209" s="50">
        <f t="shared" si="179"/>
        <v>0</v>
      </c>
      <c r="F209" s="30"/>
      <c r="G209" s="7"/>
      <c r="H209" s="59">
        <f t="shared" si="180"/>
        <v>0</v>
      </c>
      <c r="I209" s="37">
        <f t="shared" si="181"/>
        <v>0</v>
      </c>
      <c r="J209"/>
      <c r="L209" s="11" t="s">
        <v>3</v>
      </c>
      <c r="M209" s="24"/>
      <c r="N209" s="18"/>
      <c r="O209" s="50">
        <f t="shared" si="182"/>
        <v>0</v>
      </c>
      <c r="P209" s="30"/>
      <c r="Q209" s="7"/>
      <c r="R209" s="59">
        <f t="shared" si="183"/>
        <v>0</v>
      </c>
      <c r="S209" s="37">
        <f t="shared" si="184"/>
        <v>0</v>
      </c>
    </row>
    <row r="210" spans="2:19" ht="14.25" thickBot="1" x14ac:dyDescent="0.2">
      <c r="B210" s="10" t="s">
        <v>3</v>
      </c>
      <c r="C210" s="25"/>
      <c r="D210" s="19"/>
      <c r="E210" s="51">
        <f t="shared" si="179"/>
        <v>0</v>
      </c>
      <c r="F210" s="31"/>
      <c r="G210" s="5"/>
      <c r="H210" s="60">
        <f t="shared" si="180"/>
        <v>0</v>
      </c>
      <c r="I210" s="38">
        <f t="shared" si="181"/>
        <v>0</v>
      </c>
      <c r="J210"/>
      <c r="L210" s="10" t="s">
        <v>3</v>
      </c>
      <c r="M210" s="25"/>
      <c r="N210" s="19"/>
      <c r="O210" s="51">
        <f t="shared" si="182"/>
        <v>0</v>
      </c>
      <c r="P210" s="31"/>
      <c r="Q210" s="5"/>
      <c r="R210" s="60">
        <f t="shared" si="183"/>
        <v>0</v>
      </c>
      <c r="S210" s="38">
        <f t="shared" si="184"/>
        <v>0</v>
      </c>
    </row>
    <row r="211" spans="2:19" ht="14.25" thickBot="1" x14ac:dyDescent="0.2">
      <c r="B211" s="42" t="s">
        <v>2</v>
      </c>
      <c r="C211" s="43">
        <f>SUM(C205:C210)</f>
        <v>29</v>
      </c>
      <c r="D211" s="44">
        <f>SUM(D205:D210)</f>
        <v>28</v>
      </c>
      <c r="E211" s="52">
        <f t="shared" ref="E211:E238" si="185">SUM(C211:D211)</f>
        <v>57</v>
      </c>
      <c r="F211" s="43">
        <f>SUM(F205:F210)</f>
        <v>26</v>
      </c>
      <c r="G211" s="44">
        <f>SUM(G205:G210)</f>
        <v>23</v>
      </c>
      <c r="H211" s="61">
        <f t="shared" ref="H211:H238" si="186">SUM(F211:G211)</f>
        <v>49</v>
      </c>
      <c r="I211" s="41">
        <f t="shared" ref="I211:I238" si="187">E211+H211</f>
        <v>106</v>
      </c>
      <c r="L211" s="42" t="s">
        <v>2</v>
      </c>
      <c r="M211" s="43">
        <f>SUM(M205:M210)</f>
        <v>90</v>
      </c>
      <c r="N211" s="44">
        <f t="shared" ref="N211" si="188">SUM(N205:N210)</f>
        <v>205</v>
      </c>
      <c r="O211" s="104">
        <f t="shared" ref="O211" si="189">SUM(O205:O210)</f>
        <v>295</v>
      </c>
      <c r="P211" s="43">
        <f t="shared" ref="P211" si="190">SUM(P205:P210)</f>
        <v>94</v>
      </c>
      <c r="Q211" s="44">
        <f t="shared" ref="Q211" si="191">SUM(Q205:Q210)</f>
        <v>217</v>
      </c>
      <c r="R211" s="105">
        <f t="shared" ref="R211" si="192">SUM(R205:R210)</f>
        <v>311</v>
      </c>
      <c r="S211" s="41">
        <f t="shared" ref="S211" si="193">SUM(S205:S210)</f>
        <v>606</v>
      </c>
    </row>
    <row r="212" spans="2:19" x14ac:dyDescent="0.15">
      <c r="B212" s="6" t="s">
        <v>23</v>
      </c>
      <c r="C212" s="27"/>
      <c r="D212" s="21">
        <v>2</v>
      </c>
      <c r="E212" s="53">
        <f t="shared" si="185"/>
        <v>2</v>
      </c>
      <c r="F212" s="32">
        <v>1</v>
      </c>
      <c r="G212" s="8"/>
      <c r="H212" s="62">
        <f t="shared" si="186"/>
        <v>1</v>
      </c>
      <c r="I212" s="37">
        <f t="shared" si="187"/>
        <v>3</v>
      </c>
      <c r="J212" s="36">
        <v>45643</v>
      </c>
      <c r="L212" s="6"/>
      <c r="M212" s="27"/>
      <c r="N212" s="21"/>
      <c r="O212" s="53">
        <f t="shared" si="182"/>
        <v>0</v>
      </c>
      <c r="P212" s="32"/>
      <c r="Q212" s="8"/>
      <c r="R212" s="62">
        <f t="shared" si="183"/>
        <v>0</v>
      </c>
      <c r="S212" s="37">
        <f t="shared" si="184"/>
        <v>0</v>
      </c>
    </row>
    <row r="213" spans="2:19" x14ac:dyDescent="0.15">
      <c r="B213" s="6" t="s">
        <v>47</v>
      </c>
      <c r="C213" s="24"/>
      <c r="D213" s="18"/>
      <c r="E213" s="53">
        <f t="shared" ref="E213:E228" si="194">SUM(C213:D213)</f>
        <v>0</v>
      </c>
      <c r="F213" s="30"/>
      <c r="G213" s="7">
        <v>1</v>
      </c>
      <c r="H213" s="62">
        <f t="shared" ref="H213:H228" si="195">SUM(F213:G213)</f>
        <v>1</v>
      </c>
      <c r="I213" s="37">
        <f t="shared" ref="I213:I228" si="196">E213+H213</f>
        <v>1</v>
      </c>
      <c r="J213" s="35">
        <v>45645</v>
      </c>
      <c r="L213" s="6"/>
      <c r="M213" s="27"/>
      <c r="N213" s="21"/>
      <c r="O213" s="53">
        <f t="shared" ref="O213:O228" si="197">SUM(M213:N213)</f>
        <v>0</v>
      </c>
      <c r="P213" s="32"/>
      <c r="Q213" s="8"/>
      <c r="R213" s="62">
        <f t="shared" ref="R213:R228" si="198">SUM(P213:Q213)</f>
        <v>0</v>
      </c>
      <c r="S213" s="37">
        <f t="shared" ref="S213:S228" si="199">O213+R213</f>
        <v>0</v>
      </c>
    </row>
    <row r="214" spans="2:19" x14ac:dyDescent="0.15">
      <c r="B214" s="6" t="s">
        <v>23</v>
      </c>
      <c r="C214" s="27">
        <v>1</v>
      </c>
      <c r="D214" s="21"/>
      <c r="E214" s="53">
        <f t="shared" si="194"/>
        <v>1</v>
      </c>
      <c r="F214" s="32">
        <v>2</v>
      </c>
      <c r="G214" s="8">
        <v>1</v>
      </c>
      <c r="H214" s="62">
        <f t="shared" si="195"/>
        <v>3</v>
      </c>
      <c r="I214" s="37">
        <f t="shared" si="196"/>
        <v>4</v>
      </c>
      <c r="J214" s="36">
        <v>45646</v>
      </c>
      <c r="L214" s="6"/>
      <c r="M214" s="27"/>
      <c r="N214" s="21"/>
      <c r="O214" s="53">
        <f t="shared" si="197"/>
        <v>0</v>
      </c>
      <c r="P214" s="32"/>
      <c r="Q214" s="8"/>
      <c r="R214" s="62">
        <f t="shared" si="198"/>
        <v>0</v>
      </c>
      <c r="S214" s="37">
        <f t="shared" si="199"/>
        <v>0</v>
      </c>
    </row>
    <row r="215" spans="2:19" x14ac:dyDescent="0.15">
      <c r="B215" s="6" t="s">
        <v>23</v>
      </c>
      <c r="C215" s="27">
        <v>1</v>
      </c>
      <c r="D215" s="21">
        <v>1</v>
      </c>
      <c r="E215" s="53">
        <f t="shared" si="194"/>
        <v>2</v>
      </c>
      <c r="F215" s="32"/>
      <c r="G215" s="8"/>
      <c r="H215" s="62">
        <f t="shared" si="195"/>
        <v>0</v>
      </c>
      <c r="I215" s="37">
        <f t="shared" si="196"/>
        <v>2</v>
      </c>
      <c r="J215" s="36">
        <v>45647</v>
      </c>
      <c r="L215" s="6"/>
      <c r="M215" s="27"/>
      <c r="N215" s="21"/>
      <c r="O215" s="53">
        <f t="shared" si="197"/>
        <v>0</v>
      </c>
      <c r="P215" s="32"/>
      <c r="Q215" s="8"/>
      <c r="R215" s="62">
        <f t="shared" si="198"/>
        <v>0</v>
      </c>
      <c r="S215" s="37">
        <f t="shared" si="199"/>
        <v>0</v>
      </c>
    </row>
    <row r="216" spans="2:19" x14ac:dyDescent="0.15">
      <c r="B216" s="6" t="s">
        <v>23</v>
      </c>
      <c r="C216" s="27">
        <v>2</v>
      </c>
      <c r="D216" s="21">
        <f>1+1</f>
        <v>2</v>
      </c>
      <c r="E216" s="53">
        <f t="shared" si="194"/>
        <v>4</v>
      </c>
      <c r="F216" s="32">
        <v>1</v>
      </c>
      <c r="G216" s="8">
        <v>2</v>
      </c>
      <c r="H216" s="62">
        <f t="shared" si="195"/>
        <v>3</v>
      </c>
      <c r="I216" s="37">
        <f t="shared" si="196"/>
        <v>7</v>
      </c>
      <c r="J216" s="36">
        <v>45649</v>
      </c>
      <c r="L216" s="6"/>
      <c r="M216" s="27"/>
      <c r="N216" s="21"/>
      <c r="O216" s="53">
        <f t="shared" si="197"/>
        <v>0</v>
      </c>
      <c r="P216" s="32"/>
      <c r="Q216" s="8"/>
      <c r="R216" s="62">
        <f t="shared" si="198"/>
        <v>0</v>
      </c>
      <c r="S216" s="37">
        <f t="shared" si="199"/>
        <v>0</v>
      </c>
    </row>
    <row r="217" spans="2:19" x14ac:dyDescent="0.15">
      <c r="B217" s="6" t="s">
        <v>23</v>
      </c>
      <c r="C217" s="27">
        <v>2</v>
      </c>
      <c r="D217" s="21"/>
      <c r="E217" s="53">
        <f t="shared" si="194"/>
        <v>2</v>
      </c>
      <c r="F217" s="32"/>
      <c r="G217" s="8">
        <v>1</v>
      </c>
      <c r="H217" s="62">
        <f t="shared" si="195"/>
        <v>1</v>
      </c>
      <c r="I217" s="37">
        <f t="shared" si="196"/>
        <v>3</v>
      </c>
      <c r="J217" s="36">
        <v>45650</v>
      </c>
      <c r="L217" s="6"/>
      <c r="M217" s="27"/>
      <c r="N217" s="21"/>
      <c r="O217" s="53">
        <f t="shared" si="197"/>
        <v>0</v>
      </c>
      <c r="P217" s="32"/>
      <c r="Q217" s="8"/>
      <c r="R217" s="62">
        <f t="shared" si="198"/>
        <v>0</v>
      </c>
      <c r="S217" s="37">
        <f t="shared" si="199"/>
        <v>0</v>
      </c>
    </row>
    <row r="218" spans="2:19" x14ac:dyDescent="0.15">
      <c r="B218" s="6" t="s">
        <v>23</v>
      </c>
      <c r="C218" s="27"/>
      <c r="D218" s="21">
        <f>1+3</f>
        <v>4</v>
      </c>
      <c r="E218" s="53">
        <f t="shared" si="194"/>
        <v>4</v>
      </c>
      <c r="F218" s="32"/>
      <c r="G218" s="8">
        <v>1</v>
      </c>
      <c r="H218" s="62">
        <f t="shared" si="195"/>
        <v>1</v>
      </c>
      <c r="I218" s="37">
        <f t="shared" si="196"/>
        <v>5</v>
      </c>
      <c r="J218" s="36">
        <v>45652</v>
      </c>
      <c r="L218" s="6"/>
      <c r="M218" s="27"/>
      <c r="N218" s="21"/>
      <c r="O218" s="53">
        <f t="shared" si="197"/>
        <v>0</v>
      </c>
      <c r="P218" s="32"/>
      <c r="Q218" s="8"/>
      <c r="R218" s="62">
        <f t="shared" si="198"/>
        <v>0</v>
      </c>
      <c r="S218" s="37">
        <f t="shared" si="199"/>
        <v>0</v>
      </c>
    </row>
    <row r="219" spans="2:19" x14ac:dyDescent="0.15">
      <c r="B219" s="6" t="s">
        <v>23</v>
      </c>
      <c r="C219" s="27"/>
      <c r="D219" s="21">
        <v>1</v>
      </c>
      <c r="E219" s="53">
        <f t="shared" si="194"/>
        <v>1</v>
      </c>
      <c r="F219" s="32"/>
      <c r="G219" s="8">
        <v>2</v>
      </c>
      <c r="H219" s="62">
        <f t="shared" si="195"/>
        <v>2</v>
      </c>
      <c r="I219" s="37">
        <f t="shared" si="196"/>
        <v>3</v>
      </c>
      <c r="J219" s="36">
        <v>45653</v>
      </c>
      <c r="L219" s="6"/>
      <c r="M219" s="27"/>
      <c r="N219" s="21"/>
      <c r="O219" s="53">
        <f t="shared" si="197"/>
        <v>0</v>
      </c>
      <c r="P219" s="32"/>
      <c r="Q219" s="8"/>
      <c r="R219" s="62">
        <f t="shared" si="198"/>
        <v>0</v>
      </c>
      <c r="S219" s="37">
        <f t="shared" si="199"/>
        <v>0</v>
      </c>
    </row>
    <row r="220" spans="2:19" x14ac:dyDescent="0.15">
      <c r="B220" s="6" t="s">
        <v>23</v>
      </c>
      <c r="C220" s="27"/>
      <c r="D220" s="21">
        <v>1</v>
      </c>
      <c r="E220" s="53">
        <f t="shared" si="194"/>
        <v>1</v>
      </c>
      <c r="F220" s="32">
        <v>1</v>
      </c>
      <c r="G220" s="8">
        <v>1</v>
      </c>
      <c r="H220" s="62">
        <f t="shared" si="195"/>
        <v>2</v>
      </c>
      <c r="I220" s="37">
        <f t="shared" si="196"/>
        <v>3</v>
      </c>
      <c r="J220" s="36">
        <v>45663</v>
      </c>
      <c r="L220" s="6"/>
      <c r="M220" s="27"/>
      <c r="N220" s="21"/>
      <c r="O220" s="53">
        <f t="shared" si="197"/>
        <v>0</v>
      </c>
      <c r="P220" s="32"/>
      <c r="Q220" s="8"/>
      <c r="R220" s="62">
        <f t="shared" si="198"/>
        <v>0</v>
      </c>
      <c r="S220" s="37">
        <f t="shared" si="199"/>
        <v>0</v>
      </c>
    </row>
    <row r="221" spans="2:19" x14ac:dyDescent="0.15">
      <c r="B221" s="6" t="s">
        <v>47</v>
      </c>
      <c r="C221" s="24"/>
      <c r="D221" s="18"/>
      <c r="E221" s="53">
        <f t="shared" si="194"/>
        <v>0</v>
      </c>
      <c r="F221" s="30">
        <v>1</v>
      </c>
      <c r="G221" s="7"/>
      <c r="H221" s="62">
        <f t="shared" si="195"/>
        <v>1</v>
      </c>
      <c r="I221" s="37">
        <f t="shared" si="196"/>
        <v>1</v>
      </c>
      <c r="J221" s="35">
        <v>45665</v>
      </c>
      <c r="L221" s="6"/>
      <c r="M221" s="27"/>
      <c r="N221" s="21"/>
      <c r="O221" s="53">
        <f t="shared" si="197"/>
        <v>0</v>
      </c>
      <c r="P221" s="32"/>
      <c r="Q221" s="8"/>
      <c r="R221" s="62">
        <f t="shared" si="198"/>
        <v>0</v>
      </c>
      <c r="S221" s="37">
        <f t="shared" si="199"/>
        <v>0</v>
      </c>
    </row>
    <row r="222" spans="2:19" x14ac:dyDescent="0.15">
      <c r="B222" s="6" t="s">
        <v>23</v>
      </c>
      <c r="C222" s="27"/>
      <c r="D222" s="21">
        <v>2</v>
      </c>
      <c r="E222" s="53">
        <f t="shared" si="194"/>
        <v>2</v>
      </c>
      <c r="F222" s="32"/>
      <c r="G222" s="8"/>
      <c r="H222" s="62">
        <f t="shared" si="195"/>
        <v>0</v>
      </c>
      <c r="I222" s="37">
        <f t="shared" si="196"/>
        <v>2</v>
      </c>
      <c r="J222" s="36">
        <v>45664</v>
      </c>
      <c r="L222" s="6"/>
      <c r="M222" s="27"/>
      <c r="N222" s="21"/>
      <c r="O222" s="53">
        <f t="shared" si="197"/>
        <v>0</v>
      </c>
      <c r="P222" s="32"/>
      <c r="Q222" s="8"/>
      <c r="R222" s="62">
        <f t="shared" si="198"/>
        <v>0</v>
      </c>
      <c r="S222" s="37">
        <f t="shared" si="199"/>
        <v>0</v>
      </c>
    </row>
    <row r="223" spans="2:19" x14ac:dyDescent="0.15">
      <c r="B223" s="6" t="s">
        <v>23</v>
      </c>
      <c r="C223" s="27">
        <f>1+2</f>
        <v>3</v>
      </c>
      <c r="D223" s="21">
        <v>1</v>
      </c>
      <c r="E223" s="53">
        <f t="shared" si="194"/>
        <v>4</v>
      </c>
      <c r="F223" s="32">
        <v>1</v>
      </c>
      <c r="G223" s="8">
        <f>1+1</f>
        <v>2</v>
      </c>
      <c r="H223" s="62">
        <f t="shared" si="195"/>
        <v>3</v>
      </c>
      <c r="I223" s="37">
        <f t="shared" si="196"/>
        <v>7</v>
      </c>
      <c r="J223" s="36">
        <v>45671</v>
      </c>
      <c r="L223" s="6"/>
      <c r="M223" s="27"/>
      <c r="N223" s="21"/>
      <c r="O223" s="53">
        <f t="shared" si="197"/>
        <v>0</v>
      </c>
      <c r="P223" s="32"/>
      <c r="Q223" s="8"/>
      <c r="R223" s="62">
        <f t="shared" si="198"/>
        <v>0</v>
      </c>
      <c r="S223" s="37">
        <f t="shared" si="199"/>
        <v>0</v>
      </c>
    </row>
    <row r="224" spans="2:19" x14ac:dyDescent="0.15">
      <c r="B224" s="6" t="s">
        <v>23</v>
      </c>
      <c r="C224" s="27">
        <v>1</v>
      </c>
      <c r="D224" s="21">
        <v>1</v>
      </c>
      <c r="E224" s="53">
        <f t="shared" si="194"/>
        <v>2</v>
      </c>
      <c r="F224" s="32"/>
      <c r="G224" s="8"/>
      <c r="H224" s="62">
        <f t="shared" si="195"/>
        <v>0</v>
      </c>
      <c r="I224" s="37">
        <f t="shared" si="196"/>
        <v>2</v>
      </c>
      <c r="J224" s="36">
        <v>45672</v>
      </c>
      <c r="L224" s="6"/>
      <c r="M224" s="27"/>
      <c r="N224" s="21"/>
      <c r="O224" s="53">
        <f t="shared" si="197"/>
        <v>0</v>
      </c>
      <c r="P224" s="32"/>
      <c r="Q224" s="8"/>
      <c r="R224" s="62">
        <f t="shared" si="198"/>
        <v>0</v>
      </c>
      <c r="S224" s="37">
        <f t="shared" si="199"/>
        <v>0</v>
      </c>
    </row>
    <row r="225" spans="2:19" x14ac:dyDescent="0.15">
      <c r="B225" s="6" t="s">
        <v>23</v>
      </c>
      <c r="C225" s="27">
        <v>1</v>
      </c>
      <c r="D225" s="21"/>
      <c r="E225" s="53">
        <f t="shared" si="194"/>
        <v>1</v>
      </c>
      <c r="F225" s="32"/>
      <c r="G225" s="8"/>
      <c r="H225" s="62">
        <f t="shared" si="195"/>
        <v>0</v>
      </c>
      <c r="I225" s="37">
        <f t="shared" si="196"/>
        <v>1</v>
      </c>
      <c r="J225" s="36">
        <v>45674</v>
      </c>
      <c r="L225" s="6"/>
      <c r="M225" s="27"/>
      <c r="N225" s="21"/>
      <c r="O225" s="53">
        <f t="shared" si="197"/>
        <v>0</v>
      </c>
      <c r="P225" s="32"/>
      <c r="Q225" s="8"/>
      <c r="R225" s="62">
        <f t="shared" si="198"/>
        <v>0</v>
      </c>
      <c r="S225" s="37">
        <f t="shared" si="199"/>
        <v>0</v>
      </c>
    </row>
    <row r="226" spans="2:19" x14ac:dyDescent="0.15">
      <c r="B226" s="6" t="s">
        <v>23</v>
      </c>
      <c r="C226" s="27">
        <v>1</v>
      </c>
      <c r="D226" s="21">
        <v>1</v>
      </c>
      <c r="E226" s="53">
        <f t="shared" si="194"/>
        <v>2</v>
      </c>
      <c r="F226" s="32"/>
      <c r="G226" s="8"/>
      <c r="H226" s="62">
        <f t="shared" si="195"/>
        <v>0</v>
      </c>
      <c r="I226" s="37">
        <f t="shared" si="196"/>
        <v>2</v>
      </c>
      <c r="J226" s="36">
        <v>45677</v>
      </c>
      <c r="L226" s="6"/>
      <c r="M226" s="27"/>
      <c r="N226" s="21"/>
      <c r="O226" s="53">
        <f t="shared" si="197"/>
        <v>0</v>
      </c>
      <c r="P226" s="32"/>
      <c r="Q226" s="8"/>
      <c r="R226" s="62">
        <f t="shared" si="198"/>
        <v>0</v>
      </c>
      <c r="S226" s="37">
        <f t="shared" si="199"/>
        <v>0</v>
      </c>
    </row>
    <row r="227" spans="2:19" x14ac:dyDescent="0.15">
      <c r="B227" s="6" t="s">
        <v>114</v>
      </c>
      <c r="C227" s="24">
        <v>1</v>
      </c>
      <c r="D227" s="18"/>
      <c r="E227" s="53">
        <f t="shared" si="194"/>
        <v>1</v>
      </c>
      <c r="F227" s="30">
        <v>1</v>
      </c>
      <c r="G227" s="7"/>
      <c r="H227" s="62">
        <f t="shared" si="195"/>
        <v>1</v>
      </c>
      <c r="I227" s="37">
        <f t="shared" si="196"/>
        <v>2</v>
      </c>
      <c r="J227" s="35">
        <v>45680</v>
      </c>
      <c r="L227" s="6"/>
      <c r="M227" s="27"/>
      <c r="N227" s="21"/>
      <c r="O227" s="53">
        <f t="shared" si="197"/>
        <v>0</v>
      </c>
      <c r="P227" s="32"/>
      <c r="Q227" s="8"/>
      <c r="R227" s="62">
        <f t="shared" si="198"/>
        <v>0</v>
      </c>
      <c r="S227" s="37">
        <f t="shared" si="199"/>
        <v>0</v>
      </c>
    </row>
    <row r="228" spans="2:19" x14ac:dyDescent="0.15">
      <c r="B228" s="6" t="s">
        <v>117</v>
      </c>
      <c r="C228" s="27"/>
      <c r="D228" s="21">
        <v>1</v>
      </c>
      <c r="E228" s="53">
        <f t="shared" si="194"/>
        <v>1</v>
      </c>
      <c r="F228" s="32">
        <v>1</v>
      </c>
      <c r="G228" s="8"/>
      <c r="H228" s="62">
        <f t="shared" si="195"/>
        <v>1</v>
      </c>
      <c r="I228" s="37">
        <f t="shared" si="196"/>
        <v>2</v>
      </c>
      <c r="J228" s="36">
        <v>45684</v>
      </c>
      <c r="L228" s="6"/>
      <c r="M228" s="27"/>
      <c r="N228" s="21"/>
      <c r="O228" s="53">
        <f t="shared" si="197"/>
        <v>0</v>
      </c>
      <c r="P228" s="32"/>
      <c r="Q228" s="8"/>
      <c r="R228" s="62">
        <f t="shared" si="198"/>
        <v>0</v>
      </c>
      <c r="S228" s="37">
        <f t="shared" si="199"/>
        <v>0</v>
      </c>
    </row>
    <row r="229" spans="2:19" x14ac:dyDescent="0.15">
      <c r="B229" s="6" t="s">
        <v>118</v>
      </c>
      <c r="C229" s="27">
        <v>1</v>
      </c>
      <c r="D229" s="21"/>
      <c r="E229" s="53">
        <f t="shared" si="185"/>
        <v>1</v>
      </c>
      <c r="F229" s="32">
        <v>1</v>
      </c>
      <c r="G229" s="8"/>
      <c r="H229" s="62">
        <f t="shared" si="186"/>
        <v>1</v>
      </c>
      <c r="I229" s="37">
        <f t="shared" si="187"/>
        <v>2</v>
      </c>
      <c r="J229" s="36">
        <v>45681</v>
      </c>
      <c r="L229" s="6"/>
      <c r="M229" s="27"/>
      <c r="N229" s="21"/>
      <c r="O229" s="53">
        <f t="shared" si="182"/>
        <v>0</v>
      </c>
      <c r="P229" s="32"/>
      <c r="Q229" s="8"/>
      <c r="R229" s="62">
        <f t="shared" si="183"/>
        <v>0</v>
      </c>
      <c r="S229" s="37">
        <f t="shared" si="184"/>
        <v>0</v>
      </c>
    </row>
    <row r="230" spans="2:19" x14ac:dyDescent="0.15">
      <c r="B230" s="6" t="s">
        <v>114</v>
      </c>
      <c r="C230" s="24"/>
      <c r="D230" s="18"/>
      <c r="E230" s="53">
        <f t="shared" ref="E230:E236" si="200">SUM(C230:D230)</f>
        <v>0</v>
      </c>
      <c r="F230" s="30"/>
      <c r="G230" s="7">
        <v>1</v>
      </c>
      <c r="H230" s="62">
        <f t="shared" ref="H230:H236" si="201">SUM(F230:G230)</f>
        <v>1</v>
      </c>
      <c r="I230" s="37">
        <f t="shared" ref="I230:I236" si="202">E230+H230</f>
        <v>1</v>
      </c>
      <c r="J230" s="35">
        <v>45685</v>
      </c>
      <c r="L230" s="6"/>
      <c r="M230" s="27"/>
      <c r="N230" s="21"/>
      <c r="O230" s="53">
        <f t="shared" ref="O230:O236" si="203">SUM(M230:N230)</f>
        <v>0</v>
      </c>
      <c r="P230" s="32"/>
      <c r="Q230" s="8"/>
      <c r="R230" s="62">
        <f t="shared" ref="R230:R236" si="204">SUM(P230:Q230)</f>
        <v>0</v>
      </c>
      <c r="S230" s="37">
        <f t="shared" ref="S230:S236" si="205">O230+R230</f>
        <v>0</v>
      </c>
    </row>
    <row r="231" spans="2:19" x14ac:dyDescent="0.15">
      <c r="B231" s="6" t="s">
        <v>23</v>
      </c>
      <c r="C231" s="24">
        <v>-1</v>
      </c>
      <c r="D231" s="18">
        <f>2+1</f>
        <v>3</v>
      </c>
      <c r="E231" s="53">
        <f t="shared" si="200"/>
        <v>2</v>
      </c>
      <c r="F231" s="30">
        <v>1</v>
      </c>
      <c r="G231" s="7"/>
      <c r="H231" s="62">
        <f t="shared" si="201"/>
        <v>1</v>
      </c>
      <c r="I231" s="37">
        <f t="shared" si="202"/>
        <v>3</v>
      </c>
      <c r="J231" s="35">
        <v>45684</v>
      </c>
      <c r="L231" s="6"/>
      <c r="M231" s="27"/>
      <c r="N231" s="21"/>
      <c r="O231" s="53">
        <f t="shared" si="203"/>
        <v>0</v>
      </c>
      <c r="P231" s="32"/>
      <c r="Q231" s="8"/>
      <c r="R231" s="62">
        <f t="shared" si="204"/>
        <v>0</v>
      </c>
      <c r="S231" s="37">
        <f t="shared" si="205"/>
        <v>0</v>
      </c>
    </row>
    <row r="232" spans="2:19" x14ac:dyDescent="0.15">
      <c r="B232" s="6" t="s">
        <v>23</v>
      </c>
      <c r="C232" s="24">
        <v>1</v>
      </c>
      <c r="D232" s="18"/>
      <c r="E232" s="53">
        <f t="shared" si="200"/>
        <v>1</v>
      </c>
      <c r="F232" s="30">
        <v>1</v>
      </c>
      <c r="G232" s="7"/>
      <c r="H232" s="62">
        <f t="shared" si="201"/>
        <v>1</v>
      </c>
      <c r="I232" s="37">
        <f t="shared" si="202"/>
        <v>2</v>
      </c>
      <c r="J232" s="35">
        <v>45686</v>
      </c>
      <c r="L232" s="6"/>
      <c r="M232" s="27"/>
      <c r="N232" s="21"/>
      <c r="O232" s="53">
        <f t="shared" si="203"/>
        <v>0</v>
      </c>
      <c r="P232" s="32"/>
      <c r="Q232" s="8"/>
      <c r="R232" s="62">
        <f t="shared" si="204"/>
        <v>0</v>
      </c>
      <c r="S232" s="37">
        <f t="shared" si="205"/>
        <v>0</v>
      </c>
    </row>
    <row r="233" spans="2:19" x14ac:dyDescent="0.15">
      <c r="B233" s="6" t="s">
        <v>23</v>
      </c>
      <c r="C233" s="27">
        <v>1</v>
      </c>
      <c r="D233" s="21"/>
      <c r="E233" s="53">
        <f t="shared" si="200"/>
        <v>1</v>
      </c>
      <c r="F233" s="32"/>
      <c r="G233" s="8"/>
      <c r="H233" s="62">
        <f t="shared" si="201"/>
        <v>0</v>
      </c>
      <c r="I233" s="37">
        <f t="shared" si="202"/>
        <v>1</v>
      </c>
      <c r="J233" s="36">
        <v>45687</v>
      </c>
      <c r="L233" s="6"/>
      <c r="M233" s="27"/>
      <c r="N233" s="21"/>
      <c r="O233" s="53">
        <f t="shared" si="203"/>
        <v>0</v>
      </c>
      <c r="P233" s="32"/>
      <c r="Q233" s="8"/>
      <c r="R233" s="62">
        <f t="shared" si="204"/>
        <v>0</v>
      </c>
      <c r="S233" s="37">
        <f t="shared" si="205"/>
        <v>0</v>
      </c>
    </row>
    <row r="234" spans="2:19" x14ac:dyDescent="0.15">
      <c r="B234" s="6" t="s">
        <v>23</v>
      </c>
      <c r="C234" s="27"/>
      <c r="D234" s="21"/>
      <c r="E234" s="53">
        <f t="shared" si="200"/>
        <v>0</v>
      </c>
      <c r="F234" s="32">
        <v>1</v>
      </c>
      <c r="G234" s="8">
        <v>2</v>
      </c>
      <c r="H234" s="62">
        <f t="shared" si="201"/>
        <v>3</v>
      </c>
      <c r="I234" s="37">
        <f t="shared" si="202"/>
        <v>3</v>
      </c>
      <c r="J234" s="36">
        <v>45688</v>
      </c>
      <c r="L234" s="6"/>
      <c r="M234" s="27"/>
      <c r="N234" s="21"/>
      <c r="O234" s="53">
        <f t="shared" si="203"/>
        <v>0</v>
      </c>
      <c r="P234" s="32"/>
      <c r="Q234" s="8"/>
      <c r="R234" s="62">
        <f t="shared" si="204"/>
        <v>0</v>
      </c>
      <c r="S234" s="37">
        <f t="shared" si="205"/>
        <v>0</v>
      </c>
    </row>
    <row r="235" spans="2:19" x14ac:dyDescent="0.15">
      <c r="B235" s="6" t="s">
        <v>23</v>
      </c>
      <c r="C235" s="27">
        <v>1</v>
      </c>
      <c r="D235" s="21"/>
      <c r="E235" s="53">
        <f t="shared" si="200"/>
        <v>1</v>
      </c>
      <c r="F235" s="32"/>
      <c r="G235" s="8"/>
      <c r="H235" s="62">
        <f t="shared" si="201"/>
        <v>0</v>
      </c>
      <c r="I235" s="37">
        <f t="shared" si="202"/>
        <v>1</v>
      </c>
      <c r="J235" s="36">
        <v>45689</v>
      </c>
      <c r="L235" s="6"/>
      <c r="M235" s="27"/>
      <c r="N235" s="21"/>
      <c r="O235" s="53">
        <f t="shared" si="203"/>
        <v>0</v>
      </c>
      <c r="P235" s="32"/>
      <c r="Q235" s="8"/>
      <c r="R235" s="62">
        <f t="shared" si="204"/>
        <v>0</v>
      </c>
      <c r="S235" s="37">
        <f t="shared" si="205"/>
        <v>0</v>
      </c>
    </row>
    <row r="236" spans="2:19" ht="14.25" thickBot="1" x14ac:dyDescent="0.2">
      <c r="B236" s="6" t="s">
        <v>23</v>
      </c>
      <c r="C236" s="27">
        <v>1</v>
      </c>
      <c r="D236" s="21">
        <v>1</v>
      </c>
      <c r="E236" s="53">
        <f t="shared" si="200"/>
        <v>2</v>
      </c>
      <c r="F236" s="32"/>
      <c r="G236" s="8"/>
      <c r="H236" s="62">
        <f t="shared" si="201"/>
        <v>0</v>
      </c>
      <c r="I236" s="37">
        <f t="shared" si="202"/>
        <v>2</v>
      </c>
      <c r="J236" s="36">
        <v>45693</v>
      </c>
      <c r="L236" s="6"/>
      <c r="M236" s="27"/>
      <c r="N236" s="21"/>
      <c r="O236" s="53">
        <f t="shared" si="203"/>
        <v>0</v>
      </c>
      <c r="P236" s="32"/>
      <c r="Q236" s="8"/>
      <c r="R236" s="62">
        <f t="shared" si="204"/>
        <v>0</v>
      </c>
      <c r="S236" s="37">
        <f t="shared" si="205"/>
        <v>0</v>
      </c>
    </row>
    <row r="237" spans="2:19" ht="14.25" thickBot="1" x14ac:dyDescent="0.2">
      <c r="B237" s="4" t="s">
        <v>1</v>
      </c>
      <c r="C237" s="26">
        <f>SUM(C212:C236)</f>
        <v>17</v>
      </c>
      <c r="D237" s="20">
        <f>SUM(D212:D236)</f>
        <v>21</v>
      </c>
      <c r="E237" s="55">
        <f t="shared" si="185"/>
        <v>38</v>
      </c>
      <c r="F237" s="26">
        <f>SUM(F212:F236)</f>
        <v>13</v>
      </c>
      <c r="G237" s="20">
        <f>SUM(G212:G236)</f>
        <v>14</v>
      </c>
      <c r="H237" s="64">
        <f t="shared" si="186"/>
        <v>27</v>
      </c>
      <c r="I237" s="39">
        <f t="shared" si="187"/>
        <v>65</v>
      </c>
      <c r="L237" s="4" t="s">
        <v>1</v>
      </c>
      <c r="M237" s="26">
        <f>SUM(M212:M236)</f>
        <v>0</v>
      </c>
      <c r="N237" s="20">
        <f t="shared" ref="N237" si="206">SUM(N212:N236)</f>
        <v>0</v>
      </c>
      <c r="O237" s="55">
        <f t="shared" ref="O237" si="207">SUM(O212:O236)</f>
        <v>0</v>
      </c>
      <c r="P237" s="26">
        <f t="shared" ref="P237" si="208">SUM(P212:P236)</f>
        <v>0</v>
      </c>
      <c r="Q237" s="20">
        <f t="shared" ref="Q237" si="209">SUM(Q212:Q236)</f>
        <v>0</v>
      </c>
      <c r="R237" s="64">
        <f t="shared" ref="R237" si="210">SUM(R212:R236)</f>
        <v>0</v>
      </c>
      <c r="S237" s="39">
        <f t="shared" ref="S237" si="211">SUM(S212:S236)</f>
        <v>0</v>
      </c>
    </row>
    <row r="238" spans="2:19" ht="14.25" thickBot="1" x14ac:dyDescent="0.2">
      <c r="B238" s="3" t="s">
        <v>0</v>
      </c>
      <c r="C238" s="29">
        <f>+C211-C237</f>
        <v>12</v>
      </c>
      <c r="D238" s="2">
        <f>+D211-D237</f>
        <v>7</v>
      </c>
      <c r="E238" s="56">
        <f t="shared" si="185"/>
        <v>19</v>
      </c>
      <c r="F238" s="29">
        <f>+F211-F237</f>
        <v>13</v>
      </c>
      <c r="G238" s="2">
        <f>+G211-G237</f>
        <v>9</v>
      </c>
      <c r="H238" s="65">
        <f t="shared" si="186"/>
        <v>22</v>
      </c>
      <c r="I238" s="41">
        <f t="shared" si="187"/>
        <v>41</v>
      </c>
      <c r="L238" s="3" t="s">
        <v>0</v>
      </c>
      <c r="M238" s="29">
        <f>+M211-M237</f>
        <v>90</v>
      </c>
      <c r="N238" s="2">
        <f t="shared" ref="N238" si="212">+N211-N237</f>
        <v>205</v>
      </c>
      <c r="O238" s="56">
        <f t="shared" ref="O238" si="213">+O211-O237</f>
        <v>295</v>
      </c>
      <c r="P238" s="29">
        <f t="shared" ref="P238" si="214">+P211-P237</f>
        <v>94</v>
      </c>
      <c r="Q238" s="2">
        <f t="shared" ref="Q238" si="215">+Q211-Q237</f>
        <v>217</v>
      </c>
      <c r="R238" s="65">
        <f t="shared" ref="R238" si="216">+R211-R237</f>
        <v>311</v>
      </c>
      <c r="S238" s="41">
        <f t="shared" ref="S238" si="217">+S211-S237</f>
        <v>606</v>
      </c>
    </row>
    <row r="241" spans="2:20" ht="18.75" x14ac:dyDescent="0.2">
      <c r="B241" s="16" t="s">
        <v>28</v>
      </c>
      <c r="C241" s="15"/>
      <c r="D241" s="15"/>
      <c r="E241" s="15"/>
      <c r="F241" s="15"/>
      <c r="G241" s="15"/>
      <c r="H241" s="15"/>
      <c r="I241" s="15"/>
      <c r="L241" s="69" t="s">
        <v>29</v>
      </c>
      <c r="M241" s="70"/>
      <c r="N241" s="70"/>
      <c r="O241" s="70"/>
      <c r="P241" s="70"/>
      <c r="Q241" s="70"/>
      <c r="R241" s="70"/>
      <c r="S241" s="70"/>
    </row>
    <row r="242" spans="2:20" ht="15" thickBot="1" x14ac:dyDescent="0.2">
      <c r="B242" s="75" t="s">
        <v>26</v>
      </c>
      <c r="C242" s="15"/>
      <c r="D242" s="15"/>
      <c r="E242" s="15"/>
      <c r="F242" s="15"/>
      <c r="G242" s="15"/>
      <c r="H242" s="15"/>
      <c r="I242" s="15"/>
      <c r="L242" s="76" t="s">
        <v>25</v>
      </c>
      <c r="M242" s="70"/>
      <c r="N242" s="70"/>
      <c r="O242" s="70"/>
      <c r="P242" s="70"/>
      <c r="Q242" s="70"/>
      <c r="R242" s="70"/>
      <c r="S242" s="70"/>
    </row>
    <row r="243" spans="2:20" ht="14.25" thickBot="1" x14ac:dyDescent="0.2">
      <c r="B243" s="14"/>
      <c r="C243" s="117" t="s">
        <v>8</v>
      </c>
      <c r="D243" s="118"/>
      <c r="E243" s="119"/>
      <c r="F243" s="120" t="s">
        <v>10</v>
      </c>
      <c r="G243" s="121"/>
      <c r="H243" s="121"/>
      <c r="I243" s="115" t="s">
        <v>9</v>
      </c>
      <c r="L243" s="14"/>
      <c r="M243" s="117" t="s">
        <v>8</v>
      </c>
      <c r="N243" s="118"/>
      <c r="O243" s="119"/>
      <c r="P243" s="120" t="s">
        <v>10</v>
      </c>
      <c r="Q243" s="121"/>
      <c r="R243" s="121"/>
      <c r="S243" s="115" t="s">
        <v>9</v>
      </c>
    </row>
    <row r="244" spans="2:20" ht="14.25" thickBot="1" x14ac:dyDescent="0.2">
      <c r="B244" s="13"/>
      <c r="C244" s="22" t="s">
        <v>6</v>
      </c>
      <c r="D244" s="12" t="s">
        <v>5</v>
      </c>
      <c r="E244" s="48" t="s">
        <v>4</v>
      </c>
      <c r="F244" s="22" t="s">
        <v>6</v>
      </c>
      <c r="G244" s="12" t="s">
        <v>5</v>
      </c>
      <c r="H244" s="57" t="s">
        <v>4</v>
      </c>
      <c r="I244" s="116"/>
      <c r="L244" s="13"/>
      <c r="M244" s="22" t="s">
        <v>6</v>
      </c>
      <c r="N244" s="12" t="s">
        <v>5</v>
      </c>
      <c r="O244" s="48" t="s">
        <v>4</v>
      </c>
      <c r="P244" s="22" t="s">
        <v>6</v>
      </c>
      <c r="Q244" s="12" t="s">
        <v>5</v>
      </c>
      <c r="R244" s="57" t="s">
        <v>4</v>
      </c>
      <c r="S244" s="116"/>
    </row>
    <row r="245" spans="2:20" x14ac:dyDescent="0.15">
      <c r="B245" s="45" t="s">
        <v>0</v>
      </c>
      <c r="C245" s="46">
        <f>C238</f>
        <v>12</v>
      </c>
      <c r="D245" s="47">
        <f t="shared" ref="D245:H245" si="218">D238</f>
        <v>7</v>
      </c>
      <c r="E245" s="66">
        <f t="shared" si="218"/>
        <v>19</v>
      </c>
      <c r="F245" s="46">
        <f t="shared" si="218"/>
        <v>13</v>
      </c>
      <c r="G245" s="47">
        <f t="shared" si="218"/>
        <v>9</v>
      </c>
      <c r="H245" s="67">
        <f t="shared" si="218"/>
        <v>22</v>
      </c>
      <c r="I245" s="40">
        <f>E245+H245</f>
        <v>41</v>
      </c>
      <c r="L245" s="45" t="s">
        <v>0</v>
      </c>
      <c r="M245" s="46">
        <f>M238</f>
        <v>90</v>
      </c>
      <c r="N245" s="47">
        <f t="shared" ref="N245:S245" si="219">N238</f>
        <v>205</v>
      </c>
      <c r="O245" s="66">
        <f t="shared" si="219"/>
        <v>295</v>
      </c>
      <c r="P245" s="46">
        <f t="shared" si="219"/>
        <v>94</v>
      </c>
      <c r="Q245" s="47">
        <f t="shared" si="219"/>
        <v>217</v>
      </c>
      <c r="R245" s="67">
        <f t="shared" si="219"/>
        <v>311</v>
      </c>
      <c r="S245" s="40">
        <f t="shared" si="219"/>
        <v>606</v>
      </c>
    </row>
    <row r="246" spans="2:20" x14ac:dyDescent="0.15">
      <c r="B246" s="11" t="s">
        <v>3</v>
      </c>
      <c r="C246" s="24"/>
      <c r="D246" s="18">
        <v>10</v>
      </c>
      <c r="E246" s="50">
        <f t="shared" ref="E246:E278" si="220">SUM(C246:D246)</f>
        <v>10</v>
      </c>
      <c r="F246" s="30"/>
      <c r="G246" s="7">
        <v>5</v>
      </c>
      <c r="H246" s="59">
        <f t="shared" ref="H246:H278" si="221">SUM(F246:G246)</f>
        <v>5</v>
      </c>
      <c r="I246" s="37">
        <f t="shared" ref="I246:I278" si="222">E246+H246</f>
        <v>15</v>
      </c>
      <c r="J246" s="35">
        <v>45700</v>
      </c>
      <c r="L246" s="11" t="s">
        <v>3</v>
      </c>
      <c r="M246" s="24"/>
      <c r="N246" s="18"/>
      <c r="O246" s="50">
        <f t="shared" ref="O246:O276" si="223">SUM(M246:N246)</f>
        <v>0</v>
      </c>
      <c r="P246" s="30"/>
      <c r="Q246" s="7"/>
      <c r="R246" s="59">
        <f t="shared" ref="R246:R276" si="224">SUM(P246:Q246)</f>
        <v>0</v>
      </c>
      <c r="S246" s="37">
        <f t="shared" ref="S246:S276" si="225">O246+R246</f>
        <v>0</v>
      </c>
    </row>
    <row r="247" spans="2:20" x14ac:dyDescent="0.15">
      <c r="B247" s="11" t="s">
        <v>3</v>
      </c>
      <c r="C247" s="24">
        <v>10</v>
      </c>
      <c r="D247" s="18"/>
      <c r="E247" s="50">
        <f t="shared" si="220"/>
        <v>10</v>
      </c>
      <c r="F247" s="30"/>
      <c r="G247" s="7"/>
      <c r="H247" s="59">
        <f t="shared" si="221"/>
        <v>0</v>
      </c>
      <c r="I247" s="37">
        <f t="shared" si="222"/>
        <v>10</v>
      </c>
      <c r="J247" s="35">
        <v>45707</v>
      </c>
      <c r="L247" s="11" t="s">
        <v>115</v>
      </c>
      <c r="M247" s="24">
        <v>23</v>
      </c>
      <c r="N247" s="18">
        <v>5</v>
      </c>
      <c r="O247" s="50">
        <f t="shared" ref="O247" si="226">SUM(M247:N247)</f>
        <v>28</v>
      </c>
      <c r="P247" s="24">
        <v>34</v>
      </c>
      <c r="Q247" s="18">
        <v>25</v>
      </c>
      <c r="R247" s="59">
        <f t="shared" ref="R247" si="227">SUM(P247:Q247)</f>
        <v>59</v>
      </c>
      <c r="S247" s="90">
        <f t="shared" ref="S247" si="228">O247+R247</f>
        <v>87</v>
      </c>
      <c r="T247" s="98">
        <v>45702</v>
      </c>
    </row>
    <row r="248" spans="2:20" x14ac:dyDescent="0.15">
      <c r="B248" s="6" t="s">
        <v>119</v>
      </c>
      <c r="C248" s="24"/>
      <c r="D248" s="18">
        <v>1</v>
      </c>
      <c r="E248" s="53">
        <f t="shared" si="220"/>
        <v>1</v>
      </c>
      <c r="F248" s="30">
        <v>1</v>
      </c>
      <c r="G248" s="7"/>
      <c r="H248" s="62">
        <f t="shared" si="221"/>
        <v>1</v>
      </c>
      <c r="I248" s="37">
        <f t="shared" si="222"/>
        <v>2</v>
      </c>
      <c r="J248" s="35">
        <v>45708</v>
      </c>
      <c r="L248" s="11" t="s">
        <v>116</v>
      </c>
      <c r="M248" s="30">
        <v>43</v>
      </c>
      <c r="N248" s="7">
        <v>32</v>
      </c>
      <c r="O248" s="73">
        <f t="shared" si="223"/>
        <v>75</v>
      </c>
      <c r="P248" s="30">
        <v>35</v>
      </c>
      <c r="Q248" s="7">
        <v>28</v>
      </c>
      <c r="R248" s="74">
        <f t="shared" si="224"/>
        <v>63</v>
      </c>
      <c r="S248" s="37">
        <f t="shared" si="225"/>
        <v>138</v>
      </c>
      <c r="T248" s="98">
        <v>45702</v>
      </c>
    </row>
    <row r="249" spans="2:20" x14ac:dyDescent="0.15">
      <c r="B249" s="11" t="s">
        <v>3</v>
      </c>
      <c r="C249" s="24"/>
      <c r="D249" s="18">
        <v>5</v>
      </c>
      <c r="E249" s="50">
        <f t="shared" si="220"/>
        <v>5</v>
      </c>
      <c r="F249" s="30"/>
      <c r="G249" s="7"/>
      <c r="H249" s="59">
        <f t="shared" si="221"/>
        <v>0</v>
      </c>
      <c r="I249" s="37">
        <f t="shared" si="222"/>
        <v>5</v>
      </c>
      <c r="J249" s="35">
        <v>45727</v>
      </c>
      <c r="L249" s="11" t="s">
        <v>3</v>
      </c>
      <c r="M249" s="24"/>
      <c r="N249" s="18"/>
      <c r="O249" s="50">
        <f t="shared" si="223"/>
        <v>0</v>
      </c>
      <c r="P249" s="30"/>
      <c r="Q249" s="7"/>
      <c r="R249" s="59">
        <f t="shared" si="224"/>
        <v>0</v>
      </c>
      <c r="S249" s="37">
        <f t="shared" si="225"/>
        <v>0</v>
      </c>
    </row>
    <row r="250" spans="2:20" ht="14.25" thickBot="1" x14ac:dyDescent="0.2">
      <c r="B250" s="10" t="s">
        <v>3</v>
      </c>
      <c r="C250" s="25"/>
      <c r="D250" s="19"/>
      <c r="E250" s="51">
        <f t="shared" si="220"/>
        <v>0</v>
      </c>
      <c r="F250" s="31"/>
      <c r="G250" s="5"/>
      <c r="H250" s="60">
        <f t="shared" si="221"/>
        <v>0</v>
      </c>
      <c r="I250" s="38">
        <f t="shared" si="222"/>
        <v>0</v>
      </c>
      <c r="L250" s="101" t="s">
        <v>3</v>
      </c>
      <c r="M250" s="28"/>
      <c r="N250" s="94"/>
      <c r="O250" s="51">
        <f t="shared" ref="O250" si="229">SUM(M250:N250)</f>
        <v>0</v>
      </c>
      <c r="P250" s="28"/>
      <c r="Q250" s="94"/>
      <c r="R250" s="60">
        <f t="shared" ref="R250" si="230">SUM(P250:Q250)</f>
        <v>0</v>
      </c>
      <c r="S250" s="97">
        <f t="shared" ref="S250" si="231">O250+R250</f>
        <v>0</v>
      </c>
    </row>
    <row r="251" spans="2:20" ht="14.25" thickBot="1" x14ac:dyDescent="0.2">
      <c r="B251" s="42" t="s">
        <v>2</v>
      </c>
      <c r="C251" s="43">
        <f>SUM(C245:C250)</f>
        <v>22</v>
      </c>
      <c r="D251" s="44">
        <f>SUM(D245:D250)</f>
        <v>23</v>
      </c>
      <c r="E251" s="52">
        <f t="shared" si="220"/>
        <v>45</v>
      </c>
      <c r="F251" s="43">
        <f>SUM(F245:F250)</f>
        <v>14</v>
      </c>
      <c r="G251" s="44">
        <f>SUM(G245:G250)</f>
        <v>14</v>
      </c>
      <c r="H251" s="61">
        <f t="shared" si="221"/>
        <v>28</v>
      </c>
      <c r="I251" s="41">
        <f t="shared" si="222"/>
        <v>73</v>
      </c>
      <c r="L251" s="42" t="s">
        <v>2</v>
      </c>
      <c r="M251" s="43">
        <f>SUM(M245:M250)</f>
        <v>156</v>
      </c>
      <c r="N251" s="44">
        <f t="shared" ref="N251" si="232">SUM(N245:N250)</f>
        <v>242</v>
      </c>
      <c r="O251" s="104">
        <f t="shared" ref="O251" si="233">SUM(O245:O250)</f>
        <v>398</v>
      </c>
      <c r="P251" s="43">
        <f t="shared" ref="P251" si="234">SUM(P245:P250)</f>
        <v>163</v>
      </c>
      <c r="Q251" s="44">
        <f t="shared" ref="Q251" si="235">SUM(Q245:Q250)</f>
        <v>270</v>
      </c>
      <c r="R251" s="105">
        <f t="shared" ref="R251" si="236">SUM(R245:R250)</f>
        <v>433</v>
      </c>
      <c r="S251" s="41">
        <f t="shared" ref="S251" si="237">SUM(S245:S250)</f>
        <v>831</v>
      </c>
    </row>
    <row r="252" spans="2:20" x14ac:dyDescent="0.15">
      <c r="B252" s="6" t="s">
        <v>23</v>
      </c>
      <c r="C252" s="27">
        <v>1</v>
      </c>
      <c r="D252" s="21">
        <v>2</v>
      </c>
      <c r="E252" s="53">
        <f t="shared" ref="E252:E266" si="238">SUM(C252:D252)</f>
        <v>3</v>
      </c>
      <c r="F252" s="32"/>
      <c r="G252" s="8"/>
      <c r="H252" s="62">
        <f t="shared" ref="H252:H266" si="239">SUM(F252:G252)</f>
        <v>0</v>
      </c>
      <c r="I252" s="37">
        <f t="shared" ref="I252:I266" si="240">E252+H252</f>
        <v>3</v>
      </c>
      <c r="J252" s="35">
        <v>45694</v>
      </c>
      <c r="L252" s="33" t="s">
        <v>21</v>
      </c>
      <c r="M252" s="24"/>
      <c r="N252" s="18">
        <v>10</v>
      </c>
      <c r="O252" s="53">
        <f t="shared" si="223"/>
        <v>10</v>
      </c>
      <c r="P252" s="30"/>
      <c r="Q252" s="7">
        <v>5</v>
      </c>
      <c r="R252" s="62">
        <f t="shared" si="224"/>
        <v>5</v>
      </c>
      <c r="S252" s="37">
        <f t="shared" si="225"/>
        <v>15</v>
      </c>
      <c r="T252" s="98">
        <v>45700</v>
      </c>
    </row>
    <row r="253" spans="2:20" x14ac:dyDescent="0.15">
      <c r="B253" s="6" t="s">
        <v>114</v>
      </c>
      <c r="C253" s="24"/>
      <c r="D253" s="18"/>
      <c r="E253" s="53">
        <f t="shared" si="238"/>
        <v>0</v>
      </c>
      <c r="F253" s="30"/>
      <c r="G253" s="7">
        <v>1</v>
      </c>
      <c r="H253" s="62">
        <f t="shared" si="239"/>
        <v>1</v>
      </c>
      <c r="I253" s="37">
        <f t="shared" si="240"/>
        <v>1</v>
      </c>
      <c r="J253" s="35">
        <v>45700</v>
      </c>
      <c r="L253" s="33" t="s">
        <v>21</v>
      </c>
      <c r="M253" s="24">
        <v>10</v>
      </c>
      <c r="N253" s="18"/>
      <c r="O253" s="53">
        <f t="shared" si="223"/>
        <v>10</v>
      </c>
      <c r="P253" s="30"/>
      <c r="Q253" s="7"/>
      <c r="R253" s="62">
        <f t="shared" si="224"/>
        <v>0</v>
      </c>
      <c r="S253" s="37">
        <f t="shared" si="225"/>
        <v>10</v>
      </c>
      <c r="T253" s="98">
        <v>45707</v>
      </c>
    </row>
    <row r="254" spans="2:20" x14ac:dyDescent="0.15">
      <c r="B254" s="6" t="s">
        <v>23</v>
      </c>
      <c r="C254" s="24">
        <v>1</v>
      </c>
      <c r="D254" s="18">
        <f>1+2</f>
        <v>3</v>
      </c>
      <c r="E254" s="53">
        <f t="shared" si="238"/>
        <v>4</v>
      </c>
      <c r="F254" s="30"/>
      <c r="G254" s="7"/>
      <c r="H254" s="62">
        <f t="shared" si="239"/>
        <v>0</v>
      </c>
      <c r="I254" s="37">
        <f t="shared" si="240"/>
        <v>4</v>
      </c>
      <c r="J254" s="35">
        <v>45698</v>
      </c>
      <c r="L254" s="33" t="s">
        <v>21</v>
      </c>
      <c r="M254" s="24"/>
      <c r="N254" s="18">
        <v>5</v>
      </c>
      <c r="O254" s="53">
        <f t="shared" si="223"/>
        <v>5</v>
      </c>
      <c r="P254" s="30"/>
      <c r="Q254" s="7"/>
      <c r="R254" s="62">
        <f t="shared" si="224"/>
        <v>0</v>
      </c>
      <c r="S254" s="37">
        <f t="shared" si="225"/>
        <v>5</v>
      </c>
      <c r="T254" s="98">
        <v>45727</v>
      </c>
    </row>
    <row r="255" spans="2:20" x14ac:dyDescent="0.15">
      <c r="B255" s="6" t="s">
        <v>114</v>
      </c>
      <c r="C255" s="24">
        <v>1</v>
      </c>
      <c r="D255" s="18"/>
      <c r="E255" s="53">
        <f t="shared" si="238"/>
        <v>1</v>
      </c>
      <c r="F255" s="30"/>
      <c r="G255" s="7"/>
      <c r="H255" s="62">
        <f t="shared" si="239"/>
        <v>0</v>
      </c>
      <c r="I255" s="37">
        <f t="shared" si="240"/>
        <v>1</v>
      </c>
      <c r="J255" s="35">
        <v>45701</v>
      </c>
      <c r="L255" s="6"/>
      <c r="M255" s="24"/>
      <c r="N255" s="18"/>
      <c r="O255" s="53">
        <f t="shared" si="223"/>
        <v>0</v>
      </c>
      <c r="P255" s="30"/>
      <c r="Q255" s="7"/>
      <c r="R255" s="62">
        <f t="shared" si="224"/>
        <v>0</v>
      </c>
      <c r="S255" s="37">
        <f t="shared" si="225"/>
        <v>0</v>
      </c>
      <c r="T255" s="98"/>
    </row>
    <row r="256" spans="2:20" x14ac:dyDescent="0.15">
      <c r="B256" s="6" t="s">
        <v>23</v>
      </c>
      <c r="C256" s="24"/>
      <c r="D256" s="18"/>
      <c r="E256" s="53">
        <f t="shared" si="238"/>
        <v>0</v>
      </c>
      <c r="F256" s="30"/>
      <c r="G256" s="7">
        <v>1</v>
      </c>
      <c r="H256" s="62">
        <f t="shared" si="239"/>
        <v>1</v>
      </c>
      <c r="I256" s="37">
        <f t="shared" si="240"/>
        <v>1</v>
      </c>
      <c r="J256" s="35">
        <v>45700</v>
      </c>
      <c r="L256" s="6"/>
      <c r="M256" s="27"/>
      <c r="N256" s="21"/>
      <c r="O256" s="53">
        <f t="shared" si="223"/>
        <v>0</v>
      </c>
      <c r="P256" s="32"/>
      <c r="Q256" s="8"/>
      <c r="R256" s="62">
        <f t="shared" si="224"/>
        <v>0</v>
      </c>
      <c r="S256" s="37">
        <f t="shared" si="225"/>
        <v>0</v>
      </c>
      <c r="T256" s="98"/>
    </row>
    <row r="257" spans="2:20" x14ac:dyDescent="0.15">
      <c r="B257" s="6" t="s">
        <v>23</v>
      </c>
      <c r="C257" s="24">
        <v>1</v>
      </c>
      <c r="D257" s="18"/>
      <c r="E257" s="53">
        <f t="shared" si="238"/>
        <v>1</v>
      </c>
      <c r="F257" s="30"/>
      <c r="G257" s="7">
        <v>1</v>
      </c>
      <c r="H257" s="62">
        <f t="shared" si="239"/>
        <v>1</v>
      </c>
      <c r="I257" s="37">
        <f t="shared" si="240"/>
        <v>2</v>
      </c>
      <c r="J257" s="35">
        <v>45701</v>
      </c>
      <c r="L257" s="6"/>
      <c r="M257" s="27"/>
      <c r="N257" s="21"/>
      <c r="O257" s="53">
        <f t="shared" si="223"/>
        <v>0</v>
      </c>
      <c r="P257" s="32"/>
      <c r="Q257" s="8"/>
      <c r="R257" s="62">
        <f t="shared" si="224"/>
        <v>0</v>
      </c>
      <c r="S257" s="37">
        <f t="shared" si="225"/>
        <v>0</v>
      </c>
      <c r="T257" s="98"/>
    </row>
    <row r="258" spans="2:20" x14ac:dyDescent="0.15">
      <c r="B258" s="6" t="s">
        <v>23</v>
      </c>
      <c r="C258" s="24"/>
      <c r="D258" s="18">
        <v>1</v>
      </c>
      <c r="E258" s="53">
        <f t="shared" si="238"/>
        <v>1</v>
      </c>
      <c r="F258" s="30"/>
      <c r="G258" s="7"/>
      <c r="H258" s="62">
        <f t="shared" si="239"/>
        <v>0</v>
      </c>
      <c r="I258" s="37">
        <f t="shared" si="240"/>
        <v>1</v>
      </c>
      <c r="J258" s="35">
        <v>45702</v>
      </c>
      <c r="L258" s="6"/>
      <c r="M258" s="27"/>
      <c r="N258" s="21"/>
      <c r="O258" s="53">
        <f t="shared" si="223"/>
        <v>0</v>
      </c>
      <c r="P258" s="32"/>
      <c r="Q258" s="8"/>
      <c r="R258" s="62">
        <f t="shared" si="224"/>
        <v>0</v>
      </c>
      <c r="S258" s="37">
        <f t="shared" si="225"/>
        <v>0</v>
      </c>
      <c r="T258" s="98"/>
    </row>
    <row r="259" spans="2:20" x14ac:dyDescent="0.15">
      <c r="B259" s="6" t="s">
        <v>23</v>
      </c>
      <c r="C259" s="24">
        <v>1</v>
      </c>
      <c r="D259" s="18"/>
      <c r="E259" s="53">
        <f t="shared" si="238"/>
        <v>1</v>
      </c>
      <c r="F259" s="30"/>
      <c r="G259" s="7">
        <v>1</v>
      </c>
      <c r="H259" s="62">
        <f t="shared" si="239"/>
        <v>1</v>
      </c>
      <c r="I259" s="37">
        <f t="shared" si="240"/>
        <v>2</v>
      </c>
      <c r="J259" s="35">
        <v>45703</v>
      </c>
      <c r="L259" s="6"/>
      <c r="M259" s="27"/>
      <c r="N259" s="21"/>
      <c r="O259" s="53">
        <f t="shared" si="223"/>
        <v>0</v>
      </c>
      <c r="P259" s="32"/>
      <c r="Q259" s="8"/>
      <c r="R259" s="62">
        <f t="shared" si="224"/>
        <v>0</v>
      </c>
      <c r="S259" s="37">
        <f t="shared" si="225"/>
        <v>0</v>
      </c>
      <c r="T259" s="98"/>
    </row>
    <row r="260" spans="2:20" x14ac:dyDescent="0.15">
      <c r="B260" s="6" t="s">
        <v>23</v>
      </c>
      <c r="C260" s="27"/>
      <c r="D260" s="21"/>
      <c r="E260" s="53">
        <f t="shared" si="238"/>
        <v>0</v>
      </c>
      <c r="F260" s="32">
        <v>1</v>
      </c>
      <c r="G260" s="8"/>
      <c r="H260" s="62">
        <f t="shared" si="239"/>
        <v>1</v>
      </c>
      <c r="I260" s="37">
        <f t="shared" si="240"/>
        <v>1</v>
      </c>
      <c r="J260" s="35">
        <v>45705</v>
      </c>
      <c r="L260" s="6"/>
      <c r="M260" s="27"/>
      <c r="N260" s="21"/>
      <c r="O260" s="53">
        <f t="shared" si="223"/>
        <v>0</v>
      </c>
      <c r="P260" s="32"/>
      <c r="Q260" s="8"/>
      <c r="R260" s="62">
        <f t="shared" si="224"/>
        <v>0</v>
      </c>
      <c r="S260" s="37">
        <f t="shared" si="225"/>
        <v>0</v>
      </c>
      <c r="T260" s="98"/>
    </row>
    <row r="261" spans="2:20" x14ac:dyDescent="0.15">
      <c r="B261" s="6" t="s">
        <v>23</v>
      </c>
      <c r="C261" s="27">
        <v>5</v>
      </c>
      <c r="D261" s="21"/>
      <c r="E261" s="53">
        <f t="shared" si="238"/>
        <v>5</v>
      </c>
      <c r="F261" s="32"/>
      <c r="G261" s="8"/>
      <c r="H261" s="62">
        <f t="shared" si="239"/>
        <v>0</v>
      </c>
      <c r="I261" s="37">
        <f t="shared" si="240"/>
        <v>5</v>
      </c>
      <c r="J261" s="35">
        <v>45706</v>
      </c>
      <c r="L261" s="6"/>
      <c r="M261" s="27"/>
      <c r="N261" s="21"/>
      <c r="O261" s="53">
        <f t="shared" si="223"/>
        <v>0</v>
      </c>
      <c r="P261" s="32"/>
      <c r="Q261" s="8"/>
      <c r="R261" s="62">
        <f t="shared" si="224"/>
        <v>0</v>
      </c>
      <c r="S261" s="37">
        <f t="shared" si="225"/>
        <v>0</v>
      </c>
      <c r="T261" s="98"/>
    </row>
    <row r="262" spans="2:20" x14ac:dyDescent="0.15">
      <c r="B262" s="6" t="s">
        <v>23</v>
      </c>
      <c r="C262" s="27">
        <f>1+1</f>
        <v>2</v>
      </c>
      <c r="D262" s="21"/>
      <c r="E262" s="53">
        <f t="shared" si="238"/>
        <v>2</v>
      </c>
      <c r="F262" s="32">
        <v>1</v>
      </c>
      <c r="G262" s="8"/>
      <c r="H262" s="62">
        <f t="shared" si="239"/>
        <v>1</v>
      </c>
      <c r="I262" s="37">
        <f t="shared" si="240"/>
        <v>3</v>
      </c>
      <c r="J262" s="35">
        <v>45707</v>
      </c>
      <c r="L262" s="6"/>
      <c r="M262" s="27"/>
      <c r="N262" s="21"/>
      <c r="O262" s="53">
        <f t="shared" si="223"/>
        <v>0</v>
      </c>
      <c r="P262" s="32"/>
      <c r="Q262" s="8"/>
      <c r="R262" s="62">
        <f t="shared" si="224"/>
        <v>0</v>
      </c>
      <c r="S262" s="37">
        <f t="shared" si="225"/>
        <v>0</v>
      </c>
      <c r="T262" s="98"/>
    </row>
    <row r="263" spans="2:20" x14ac:dyDescent="0.15">
      <c r="B263" s="6" t="s">
        <v>114</v>
      </c>
      <c r="C263" s="24"/>
      <c r="D263" s="18">
        <v>2</v>
      </c>
      <c r="E263" s="53">
        <f t="shared" si="238"/>
        <v>2</v>
      </c>
      <c r="F263" s="30"/>
      <c r="G263" s="7"/>
      <c r="H263" s="62">
        <f t="shared" si="239"/>
        <v>0</v>
      </c>
      <c r="I263" s="37">
        <f t="shared" si="240"/>
        <v>2</v>
      </c>
      <c r="J263" s="35">
        <v>45710</v>
      </c>
      <c r="L263" s="6"/>
      <c r="M263" s="27"/>
      <c r="N263" s="21"/>
      <c r="O263" s="53">
        <f t="shared" si="223"/>
        <v>0</v>
      </c>
      <c r="P263" s="32"/>
      <c r="Q263" s="8"/>
      <c r="R263" s="62">
        <f t="shared" si="224"/>
        <v>0</v>
      </c>
      <c r="S263" s="37">
        <f t="shared" si="225"/>
        <v>0</v>
      </c>
      <c r="T263" s="98"/>
    </row>
    <row r="264" spans="2:20" x14ac:dyDescent="0.15">
      <c r="B264" s="6" t="s">
        <v>23</v>
      </c>
      <c r="C264" s="24">
        <v>1</v>
      </c>
      <c r="D264" s="18"/>
      <c r="E264" s="53">
        <f t="shared" si="238"/>
        <v>1</v>
      </c>
      <c r="F264" s="30"/>
      <c r="G264" s="7"/>
      <c r="H264" s="62">
        <f t="shared" si="239"/>
        <v>0</v>
      </c>
      <c r="I264" s="37">
        <f t="shared" si="240"/>
        <v>1</v>
      </c>
      <c r="J264" s="35">
        <v>45709</v>
      </c>
      <c r="L264" s="6"/>
      <c r="M264" s="27"/>
      <c r="N264" s="21"/>
      <c r="O264" s="53">
        <f t="shared" si="223"/>
        <v>0</v>
      </c>
      <c r="P264" s="32"/>
      <c r="Q264" s="8"/>
      <c r="R264" s="62">
        <f t="shared" si="224"/>
        <v>0</v>
      </c>
      <c r="S264" s="37">
        <f t="shared" si="225"/>
        <v>0</v>
      </c>
      <c r="T264" s="98"/>
    </row>
    <row r="265" spans="2:20" x14ac:dyDescent="0.15">
      <c r="B265" s="6" t="s">
        <v>114</v>
      </c>
      <c r="C265" s="24"/>
      <c r="D265" s="18"/>
      <c r="E265" s="53">
        <f t="shared" si="238"/>
        <v>0</v>
      </c>
      <c r="F265" s="30"/>
      <c r="G265" s="7">
        <v>2</v>
      </c>
      <c r="H265" s="62">
        <f t="shared" si="239"/>
        <v>2</v>
      </c>
      <c r="I265" s="37">
        <f t="shared" si="240"/>
        <v>2</v>
      </c>
      <c r="J265" s="35">
        <v>45714</v>
      </c>
      <c r="L265" s="6"/>
      <c r="M265" s="27"/>
      <c r="N265" s="21"/>
      <c r="O265" s="53">
        <f t="shared" si="223"/>
        <v>0</v>
      </c>
      <c r="P265" s="32"/>
      <c r="Q265" s="8"/>
      <c r="R265" s="62">
        <f t="shared" si="224"/>
        <v>0</v>
      </c>
      <c r="S265" s="37">
        <f t="shared" si="225"/>
        <v>0</v>
      </c>
      <c r="T265" s="98"/>
    </row>
    <row r="266" spans="2:20" x14ac:dyDescent="0.15">
      <c r="B266" s="6" t="s">
        <v>23</v>
      </c>
      <c r="C266" s="24"/>
      <c r="D266" s="18">
        <v>2</v>
      </c>
      <c r="E266" s="53">
        <f t="shared" si="238"/>
        <v>2</v>
      </c>
      <c r="F266" s="30"/>
      <c r="G266" s="7"/>
      <c r="H266" s="62">
        <f t="shared" si="239"/>
        <v>0</v>
      </c>
      <c r="I266" s="37">
        <f t="shared" si="240"/>
        <v>2</v>
      </c>
      <c r="J266" s="35">
        <v>45713</v>
      </c>
      <c r="L266" s="6"/>
      <c r="M266" s="27"/>
      <c r="N266" s="21"/>
      <c r="O266" s="53">
        <f t="shared" si="223"/>
        <v>0</v>
      </c>
      <c r="P266" s="32"/>
      <c r="Q266" s="8"/>
      <c r="R266" s="62">
        <f t="shared" si="224"/>
        <v>0</v>
      </c>
      <c r="S266" s="37">
        <f t="shared" si="225"/>
        <v>0</v>
      </c>
      <c r="T266" s="98"/>
    </row>
    <row r="267" spans="2:20" x14ac:dyDescent="0.15">
      <c r="B267" s="6" t="s">
        <v>23</v>
      </c>
      <c r="C267" s="27"/>
      <c r="D267" s="21"/>
      <c r="E267" s="53">
        <f t="shared" si="220"/>
        <v>0</v>
      </c>
      <c r="F267" s="32">
        <v>1</v>
      </c>
      <c r="G267" s="8"/>
      <c r="H267" s="62">
        <f t="shared" si="221"/>
        <v>1</v>
      </c>
      <c r="I267" s="37">
        <f t="shared" si="222"/>
        <v>1</v>
      </c>
      <c r="J267" s="35">
        <v>45714</v>
      </c>
      <c r="L267" s="6"/>
      <c r="M267" s="27"/>
      <c r="N267" s="21"/>
      <c r="O267" s="53">
        <f t="shared" si="223"/>
        <v>0</v>
      </c>
      <c r="P267" s="32"/>
      <c r="Q267" s="8"/>
      <c r="R267" s="62">
        <f t="shared" si="224"/>
        <v>0</v>
      </c>
      <c r="S267" s="37">
        <f t="shared" si="225"/>
        <v>0</v>
      </c>
      <c r="T267" s="98"/>
    </row>
    <row r="268" spans="2:20" x14ac:dyDescent="0.15">
      <c r="B268" s="6" t="s">
        <v>23</v>
      </c>
      <c r="C268" s="27"/>
      <c r="D268" s="21">
        <v>1</v>
      </c>
      <c r="E268" s="53">
        <f t="shared" si="220"/>
        <v>1</v>
      </c>
      <c r="F268" s="32"/>
      <c r="G268" s="8"/>
      <c r="H268" s="62">
        <f t="shared" si="221"/>
        <v>0</v>
      </c>
      <c r="I268" s="37">
        <f t="shared" si="222"/>
        <v>1</v>
      </c>
      <c r="J268" s="35">
        <v>45715</v>
      </c>
      <c r="L268" s="6"/>
      <c r="M268" s="27"/>
      <c r="N268" s="21"/>
      <c r="O268" s="53">
        <f t="shared" si="223"/>
        <v>0</v>
      </c>
      <c r="P268" s="32"/>
      <c r="Q268" s="8"/>
      <c r="R268" s="62">
        <f t="shared" si="224"/>
        <v>0</v>
      </c>
      <c r="S268" s="37">
        <f t="shared" si="225"/>
        <v>0</v>
      </c>
      <c r="T268" s="98"/>
    </row>
    <row r="269" spans="2:20" x14ac:dyDescent="0.15">
      <c r="B269" s="6" t="s">
        <v>23</v>
      </c>
      <c r="C269" s="27"/>
      <c r="D269" s="21">
        <v>3</v>
      </c>
      <c r="E269" s="53">
        <f t="shared" si="220"/>
        <v>3</v>
      </c>
      <c r="F269" s="32"/>
      <c r="G269" s="8"/>
      <c r="H269" s="62">
        <f t="shared" si="221"/>
        <v>0</v>
      </c>
      <c r="I269" s="37">
        <f t="shared" si="222"/>
        <v>3</v>
      </c>
      <c r="J269" s="35">
        <v>45716</v>
      </c>
      <c r="L269" s="6"/>
      <c r="M269" s="27"/>
      <c r="N269" s="21"/>
      <c r="O269" s="53">
        <f t="shared" si="223"/>
        <v>0</v>
      </c>
      <c r="P269" s="32"/>
      <c r="Q269" s="8"/>
      <c r="R269" s="62">
        <f t="shared" si="224"/>
        <v>0</v>
      </c>
      <c r="S269" s="37">
        <f t="shared" si="225"/>
        <v>0</v>
      </c>
      <c r="T269" s="98"/>
    </row>
    <row r="270" spans="2:20" x14ac:dyDescent="0.15">
      <c r="B270" s="6" t="s">
        <v>23</v>
      </c>
      <c r="C270" s="27"/>
      <c r="D270" s="21">
        <v>1</v>
      </c>
      <c r="E270" s="53">
        <f t="shared" si="220"/>
        <v>1</v>
      </c>
      <c r="F270" s="32"/>
      <c r="G270" s="8"/>
      <c r="H270" s="62">
        <f t="shared" si="221"/>
        <v>0</v>
      </c>
      <c r="I270" s="37">
        <f t="shared" si="222"/>
        <v>1</v>
      </c>
      <c r="J270" s="35">
        <v>45719</v>
      </c>
      <c r="L270" s="6"/>
      <c r="M270" s="27"/>
      <c r="N270" s="21"/>
      <c r="O270" s="53">
        <f t="shared" si="223"/>
        <v>0</v>
      </c>
      <c r="P270" s="32"/>
      <c r="Q270" s="8"/>
      <c r="R270" s="62">
        <f t="shared" si="224"/>
        <v>0</v>
      </c>
      <c r="S270" s="37">
        <f t="shared" si="225"/>
        <v>0</v>
      </c>
      <c r="T270" s="98"/>
    </row>
    <row r="271" spans="2:20" x14ac:dyDescent="0.15">
      <c r="B271" s="6" t="s">
        <v>23</v>
      </c>
      <c r="C271" s="27"/>
      <c r="D271" s="21"/>
      <c r="E271" s="53">
        <f t="shared" si="220"/>
        <v>0</v>
      </c>
      <c r="F271" s="32"/>
      <c r="G271" s="8">
        <v>1</v>
      </c>
      <c r="H271" s="62">
        <f t="shared" si="221"/>
        <v>1</v>
      </c>
      <c r="I271" s="37">
        <f t="shared" si="222"/>
        <v>1</v>
      </c>
      <c r="J271" s="35">
        <v>45720</v>
      </c>
      <c r="L271" s="6"/>
      <c r="M271" s="27"/>
      <c r="N271" s="21"/>
      <c r="O271" s="53">
        <f t="shared" si="223"/>
        <v>0</v>
      </c>
      <c r="P271" s="32"/>
      <c r="Q271" s="8"/>
      <c r="R271" s="62">
        <f t="shared" si="224"/>
        <v>0</v>
      </c>
      <c r="S271" s="37">
        <f t="shared" si="225"/>
        <v>0</v>
      </c>
      <c r="T271" s="98"/>
    </row>
    <row r="272" spans="2:20" x14ac:dyDescent="0.15">
      <c r="B272" s="6" t="s">
        <v>23</v>
      </c>
      <c r="C272" s="27"/>
      <c r="D272" s="21"/>
      <c r="E272" s="53">
        <f t="shared" si="220"/>
        <v>0</v>
      </c>
      <c r="F272" s="32">
        <v>2</v>
      </c>
      <c r="G272" s="8">
        <v>1</v>
      </c>
      <c r="H272" s="62">
        <f t="shared" si="221"/>
        <v>3</v>
      </c>
      <c r="I272" s="37">
        <f t="shared" si="222"/>
        <v>3</v>
      </c>
      <c r="J272" s="35">
        <v>45721</v>
      </c>
      <c r="L272" s="6"/>
      <c r="M272" s="27"/>
      <c r="N272" s="21"/>
      <c r="O272" s="53">
        <f t="shared" si="223"/>
        <v>0</v>
      </c>
      <c r="P272" s="32"/>
      <c r="Q272" s="8"/>
      <c r="R272" s="62">
        <f t="shared" si="224"/>
        <v>0</v>
      </c>
      <c r="S272" s="37">
        <f t="shared" si="225"/>
        <v>0</v>
      </c>
      <c r="T272" s="98"/>
    </row>
    <row r="273" spans="2:20" x14ac:dyDescent="0.15">
      <c r="B273" s="6" t="s">
        <v>23</v>
      </c>
      <c r="C273" s="27">
        <v>1</v>
      </c>
      <c r="D273" s="21"/>
      <c r="E273" s="53">
        <f t="shared" si="220"/>
        <v>1</v>
      </c>
      <c r="F273" s="32"/>
      <c r="G273" s="8"/>
      <c r="H273" s="62">
        <f t="shared" si="221"/>
        <v>0</v>
      </c>
      <c r="I273" s="37">
        <f t="shared" si="222"/>
        <v>1</v>
      </c>
      <c r="J273" s="35">
        <v>45722</v>
      </c>
      <c r="L273" s="6"/>
      <c r="M273" s="27"/>
      <c r="N273" s="21"/>
      <c r="O273" s="53">
        <f t="shared" si="223"/>
        <v>0</v>
      </c>
      <c r="P273" s="32"/>
      <c r="Q273" s="8"/>
      <c r="R273" s="62">
        <f t="shared" si="224"/>
        <v>0</v>
      </c>
      <c r="S273" s="37">
        <f t="shared" si="225"/>
        <v>0</v>
      </c>
      <c r="T273" s="98"/>
    </row>
    <row r="274" spans="2:20" x14ac:dyDescent="0.15">
      <c r="B274" s="6" t="s">
        <v>23</v>
      </c>
      <c r="C274" s="27"/>
      <c r="D274" s="21">
        <v>2</v>
      </c>
      <c r="E274" s="53">
        <f t="shared" si="220"/>
        <v>2</v>
      </c>
      <c r="F274" s="32"/>
      <c r="G274" s="8"/>
      <c r="H274" s="62">
        <f t="shared" si="221"/>
        <v>0</v>
      </c>
      <c r="I274" s="37">
        <f t="shared" si="222"/>
        <v>2</v>
      </c>
      <c r="J274" s="35">
        <v>45726</v>
      </c>
      <c r="L274" s="6"/>
      <c r="M274" s="27"/>
      <c r="N274" s="21"/>
      <c r="O274" s="53">
        <f t="shared" si="223"/>
        <v>0</v>
      </c>
      <c r="P274" s="32"/>
      <c r="Q274" s="8"/>
      <c r="R274" s="62">
        <f t="shared" si="224"/>
        <v>0</v>
      </c>
      <c r="S274" s="37">
        <f t="shared" si="225"/>
        <v>0</v>
      </c>
      <c r="T274" s="98"/>
    </row>
    <row r="275" spans="2:20" x14ac:dyDescent="0.15">
      <c r="B275" s="6" t="s">
        <v>23</v>
      </c>
      <c r="C275" s="27"/>
      <c r="D275" s="21">
        <v>1</v>
      </c>
      <c r="E275" s="53">
        <f t="shared" si="220"/>
        <v>1</v>
      </c>
      <c r="F275" s="32"/>
      <c r="G275" s="8">
        <v>1</v>
      </c>
      <c r="H275" s="62">
        <f t="shared" si="221"/>
        <v>1</v>
      </c>
      <c r="I275" s="37">
        <f t="shared" si="222"/>
        <v>2</v>
      </c>
      <c r="J275" s="35">
        <v>45727</v>
      </c>
      <c r="L275" s="6"/>
      <c r="M275" s="27"/>
      <c r="N275" s="21"/>
      <c r="O275" s="53">
        <f t="shared" si="223"/>
        <v>0</v>
      </c>
      <c r="P275" s="32"/>
      <c r="Q275" s="8"/>
      <c r="R275" s="62">
        <f t="shared" si="224"/>
        <v>0</v>
      </c>
      <c r="S275" s="37">
        <f t="shared" si="225"/>
        <v>0</v>
      </c>
      <c r="T275" s="98"/>
    </row>
    <row r="276" spans="2:20" ht="14.25" thickBot="1" x14ac:dyDescent="0.2">
      <c r="B276" s="6" t="s">
        <v>23</v>
      </c>
      <c r="C276" s="27"/>
      <c r="D276" s="21"/>
      <c r="E276" s="53">
        <f t="shared" si="220"/>
        <v>0</v>
      </c>
      <c r="F276" s="32">
        <v>1</v>
      </c>
      <c r="G276" s="8"/>
      <c r="H276" s="62">
        <f t="shared" si="221"/>
        <v>1</v>
      </c>
      <c r="I276" s="37">
        <f t="shared" si="222"/>
        <v>1</v>
      </c>
      <c r="J276" s="35">
        <v>45729</v>
      </c>
      <c r="L276" s="6"/>
      <c r="M276" s="27"/>
      <c r="N276" s="21"/>
      <c r="O276" s="53">
        <f t="shared" si="223"/>
        <v>0</v>
      </c>
      <c r="P276" s="32"/>
      <c r="Q276" s="8"/>
      <c r="R276" s="62">
        <f t="shared" si="224"/>
        <v>0</v>
      </c>
      <c r="S276" s="37">
        <f t="shared" si="225"/>
        <v>0</v>
      </c>
      <c r="T276" s="98"/>
    </row>
    <row r="277" spans="2:20" ht="14.25" thickBot="1" x14ac:dyDescent="0.2">
      <c r="B277" s="4" t="s">
        <v>1</v>
      </c>
      <c r="C277" s="26">
        <f>SUM(C252:C276)</f>
        <v>14</v>
      </c>
      <c r="D277" s="20">
        <f>SUM(D252:D276)</f>
        <v>18</v>
      </c>
      <c r="E277" s="55">
        <f t="shared" si="220"/>
        <v>32</v>
      </c>
      <c r="F277" s="26">
        <f>SUM(F252:F276)</f>
        <v>6</v>
      </c>
      <c r="G277" s="20">
        <f>SUM(G252:G276)</f>
        <v>9</v>
      </c>
      <c r="H277" s="64">
        <f t="shared" si="221"/>
        <v>15</v>
      </c>
      <c r="I277" s="39">
        <f t="shared" si="222"/>
        <v>47</v>
      </c>
      <c r="L277" s="4" t="s">
        <v>1</v>
      </c>
      <c r="M277" s="26">
        <f>SUM(M252:M276)</f>
        <v>10</v>
      </c>
      <c r="N277" s="20">
        <f t="shared" ref="N277" si="241">SUM(N252:N276)</f>
        <v>15</v>
      </c>
      <c r="O277" s="55">
        <f t="shared" ref="O277" si="242">SUM(O252:O276)</f>
        <v>25</v>
      </c>
      <c r="P277" s="26">
        <f t="shared" ref="P277" si="243">SUM(P252:P276)</f>
        <v>0</v>
      </c>
      <c r="Q277" s="20">
        <f t="shared" ref="Q277" si="244">SUM(Q252:Q276)</f>
        <v>5</v>
      </c>
      <c r="R277" s="64">
        <f t="shared" ref="R277" si="245">SUM(R252:R276)</f>
        <v>5</v>
      </c>
      <c r="S277" s="39">
        <f t="shared" ref="S277" si="246">SUM(S252:S276)</f>
        <v>30</v>
      </c>
    </row>
    <row r="278" spans="2:20" ht="14.25" thickBot="1" x14ac:dyDescent="0.2">
      <c r="B278" s="3" t="s">
        <v>0</v>
      </c>
      <c r="C278" s="29">
        <f>+C251-C277</f>
        <v>8</v>
      </c>
      <c r="D278" s="2">
        <f>+D251-D277</f>
        <v>5</v>
      </c>
      <c r="E278" s="56">
        <f t="shared" si="220"/>
        <v>13</v>
      </c>
      <c r="F278" s="29">
        <f>+F251-F277</f>
        <v>8</v>
      </c>
      <c r="G278" s="2">
        <f>+G251-G277</f>
        <v>5</v>
      </c>
      <c r="H278" s="65">
        <f t="shared" si="221"/>
        <v>13</v>
      </c>
      <c r="I278" s="41">
        <f t="shared" si="222"/>
        <v>26</v>
      </c>
      <c r="L278" s="3" t="s">
        <v>0</v>
      </c>
      <c r="M278" s="29">
        <f>+M251-M277</f>
        <v>146</v>
      </c>
      <c r="N278" s="2">
        <f t="shared" ref="N278" si="247">+N251-N277</f>
        <v>227</v>
      </c>
      <c r="O278" s="56">
        <f t="shared" ref="O278" si="248">+O251-O277</f>
        <v>373</v>
      </c>
      <c r="P278" s="29">
        <f t="shared" ref="P278" si="249">+P251-P277</f>
        <v>163</v>
      </c>
      <c r="Q278" s="2">
        <f t="shared" ref="Q278" si="250">+Q251-Q277</f>
        <v>265</v>
      </c>
      <c r="R278" s="65">
        <f t="shared" ref="R278" si="251">+R251-R277</f>
        <v>428</v>
      </c>
      <c r="S278" s="41">
        <f t="shared" ref="S278" si="252">+S251-S277</f>
        <v>801</v>
      </c>
    </row>
    <row r="281" spans="2:20" ht="18.75" x14ac:dyDescent="0.2">
      <c r="B281" s="16" t="s">
        <v>28</v>
      </c>
      <c r="C281" s="15"/>
      <c r="D281" s="15"/>
      <c r="E281" s="15"/>
      <c r="F281" s="15"/>
      <c r="G281" s="15"/>
      <c r="H281" s="15"/>
      <c r="I281" s="15"/>
      <c r="L281" s="69" t="s">
        <v>29</v>
      </c>
      <c r="M281" s="70"/>
      <c r="N281" s="70"/>
      <c r="O281" s="70"/>
      <c r="P281" s="70"/>
      <c r="Q281" s="70"/>
      <c r="R281" s="70"/>
      <c r="S281" s="70"/>
    </row>
    <row r="282" spans="2:20" ht="15" thickBot="1" x14ac:dyDescent="0.2">
      <c r="B282" s="75" t="s">
        <v>26</v>
      </c>
      <c r="C282" s="15"/>
      <c r="D282" s="15"/>
      <c r="E282" s="15"/>
      <c r="F282" s="15"/>
      <c r="G282" s="15"/>
      <c r="H282" s="15"/>
      <c r="I282" s="15"/>
      <c r="L282" s="76" t="s">
        <v>25</v>
      </c>
      <c r="M282" s="70"/>
      <c r="N282" s="70"/>
      <c r="O282" s="70"/>
      <c r="P282" s="70"/>
      <c r="Q282" s="70"/>
      <c r="R282" s="70"/>
      <c r="S282" s="70"/>
    </row>
    <row r="283" spans="2:20" ht="14.25" thickBot="1" x14ac:dyDescent="0.2">
      <c r="B283" s="14"/>
      <c r="C283" s="117" t="s">
        <v>8</v>
      </c>
      <c r="D283" s="118"/>
      <c r="E283" s="119"/>
      <c r="F283" s="120" t="s">
        <v>10</v>
      </c>
      <c r="G283" s="121"/>
      <c r="H283" s="121"/>
      <c r="I283" s="115" t="s">
        <v>9</v>
      </c>
      <c r="L283" s="14"/>
      <c r="M283" s="117" t="s">
        <v>8</v>
      </c>
      <c r="N283" s="118"/>
      <c r="O283" s="119"/>
      <c r="P283" s="120" t="s">
        <v>10</v>
      </c>
      <c r="Q283" s="121"/>
      <c r="R283" s="121"/>
      <c r="S283" s="115" t="s">
        <v>9</v>
      </c>
    </row>
    <row r="284" spans="2:20" ht="14.25" thickBot="1" x14ac:dyDescent="0.2">
      <c r="B284" s="13"/>
      <c r="C284" s="22" t="s">
        <v>6</v>
      </c>
      <c r="D284" s="12" t="s">
        <v>5</v>
      </c>
      <c r="E284" s="48" t="s">
        <v>4</v>
      </c>
      <c r="F284" s="22" t="s">
        <v>6</v>
      </c>
      <c r="G284" s="12" t="s">
        <v>5</v>
      </c>
      <c r="H284" s="57" t="s">
        <v>4</v>
      </c>
      <c r="I284" s="116"/>
      <c r="L284" s="13"/>
      <c r="M284" s="22" t="s">
        <v>6</v>
      </c>
      <c r="N284" s="12" t="s">
        <v>5</v>
      </c>
      <c r="O284" s="48" t="s">
        <v>4</v>
      </c>
      <c r="P284" s="22" t="s">
        <v>6</v>
      </c>
      <c r="Q284" s="12" t="s">
        <v>5</v>
      </c>
      <c r="R284" s="57" t="s">
        <v>4</v>
      </c>
      <c r="S284" s="116"/>
    </row>
    <row r="285" spans="2:20" x14ac:dyDescent="0.15">
      <c r="B285" s="45" t="s">
        <v>0</v>
      </c>
      <c r="C285" s="46">
        <f>C278</f>
        <v>8</v>
      </c>
      <c r="D285" s="47">
        <f t="shared" ref="D285:H285" si="253">D278</f>
        <v>5</v>
      </c>
      <c r="E285" s="66">
        <f t="shared" si="253"/>
        <v>13</v>
      </c>
      <c r="F285" s="46">
        <f t="shared" si="253"/>
        <v>8</v>
      </c>
      <c r="G285" s="47">
        <f t="shared" si="253"/>
        <v>5</v>
      </c>
      <c r="H285" s="67">
        <f t="shared" si="253"/>
        <v>13</v>
      </c>
      <c r="I285" s="40">
        <f>E285+H285</f>
        <v>26</v>
      </c>
      <c r="L285" s="45" t="s">
        <v>0</v>
      </c>
      <c r="M285" s="46">
        <f>M278</f>
        <v>146</v>
      </c>
      <c r="N285" s="47">
        <f t="shared" ref="N285:S285" si="254">N278</f>
        <v>227</v>
      </c>
      <c r="O285" s="66">
        <f t="shared" si="254"/>
        <v>373</v>
      </c>
      <c r="P285" s="46">
        <f t="shared" si="254"/>
        <v>163</v>
      </c>
      <c r="Q285" s="47">
        <f t="shared" si="254"/>
        <v>265</v>
      </c>
      <c r="R285" s="67">
        <f t="shared" si="254"/>
        <v>428</v>
      </c>
      <c r="S285" s="40">
        <f t="shared" si="254"/>
        <v>801</v>
      </c>
    </row>
    <row r="286" spans="2:20" x14ac:dyDescent="0.15">
      <c r="B286" s="11" t="s">
        <v>120</v>
      </c>
      <c r="C286" s="24">
        <v>3</v>
      </c>
      <c r="D286" s="18">
        <v>6</v>
      </c>
      <c r="E286" s="50">
        <f t="shared" ref="E286:E318" si="255">SUM(C286:D286)</f>
        <v>9</v>
      </c>
      <c r="F286" s="30">
        <v>6</v>
      </c>
      <c r="G286" s="7">
        <v>2</v>
      </c>
      <c r="H286" s="59">
        <f t="shared" ref="H286:H318" si="256">SUM(F286:G286)</f>
        <v>8</v>
      </c>
      <c r="I286" s="37">
        <f t="shared" ref="I286:I318" si="257">E286+H286</f>
        <v>17</v>
      </c>
      <c r="J286" s="35">
        <v>45763</v>
      </c>
      <c r="L286" s="11" t="s">
        <v>3</v>
      </c>
      <c r="M286" s="24">
        <v>3</v>
      </c>
      <c r="N286" s="18">
        <v>6</v>
      </c>
      <c r="O286" s="50">
        <f t="shared" ref="O286" si="258">SUM(M286:N286)</f>
        <v>9</v>
      </c>
      <c r="P286" s="30">
        <v>6</v>
      </c>
      <c r="Q286" s="7">
        <v>2</v>
      </c>
      <c r="R286" s="59">
        <f t="shared" ref="R286" si="259">SUM(P286:Q286)</f>
        <v>8</v>
      </c>
      <c r="S286" s="37">
        <f t="shared" ref="S286" si="260">O286+R286</f>
        <v>17</v>
      </c>
      <c r="T286" s="98">
        <v>45766</v>
      </c>
    </row>
    <row r="287" spans="2:20" x14ac:dyDescent="0.15">
      <c r="B287" s="11" t="s">
        <v>3</v>
      </c>
      <c r="C287" s="24"/>
      <c r="D287" s="18">
        <v>5</v>
      </c>
      <c r="E287" s="50">
        <f t="shared" si="255"/>
        <v>5</v>
      </c>
      <c r="F287" s="30"/>
      <c r="G287" s="7"/>
      <c r="H287" s="59">
        <f t="shared" si="256"/>
        <v>0</v>
      </c>
      <c r="I287" s="37">
        <f t="shared" si="257"/>
        <v>5</v>
      </c>
      <c r="J287" s="35">
        <v>45777</v>
      </c>
      <c r="L287" s="11" t="s">
        <v>3</v>
      </c>
      <c r="M287" s="24"/>
      <c r="N287" s="18"/>
      <c r="O287" s="50">
        <f t="shared" ref="O287:O288" si="261">SUM(M287:N287)</f>
        <v>0</v>
      </c>
      <c r="P287" s="30"/>
      <c r="Q287" s="7"/>
      <c r="R287" s="59">
        <f t="shared" ref="R287:R288" si="262">SUM(P287:Q287)</f>
        <v>0</v>
      </c>
      <c r="S287" s="37">
        <f t="shared" ref="S287:S288" si="263">O287+R287</f>
        <v>0</v>
      </c>
    </row>
    <row r="288" spans="2:20" x14ac:dyDescent="0.15">
      <c r="B288" s="11" t="s">
        <v>3</v>
      </c>
      <c r="C288" s="24"/>
      <c r="D288" s="18"/>
      <c r="E288" s="53">
        <f t="shared" si="255"/>
        <v>0</v>
      </c>
      <c r="F288" s="30"/>
      <c r="G288" s="7">
        <v>5</v>
      </c>
      <c r="H288" s="62">
        <f t="shared" si="256"/>
        <v>5</v>
      </c>
      <c r="I288" s="37">
        <f t="shared" si="257"/>
        <v>5</v>
      </c>
      <c r="J288" s="35">
        <v>45791</v>
      </c>
      <c r="L288" s="11" t="s">
        <v>3</v>
      </c>
      <c r="M288" s="24"/>
      <c r="N288" s="18"/>
      <c r="O288" s="50">
        <f t="shared" si="261"/>
        <v>0</v>
      </c>
      <c r="P288" s="30"/>
      <c r="Q288" s="7"/>
      <c r="R288" s="59">
        <f t="shared" si="262"/>
        <v>0</v>
      </c>
      <c r="S288" s="37">
        <f t="shared" si="263"/>
        <v>0</v>
      </c>
    </row>
    <row r="289" spans="2:20" x14ac:dyDescent="0.15">
      <c r="B289" s="11" t="s">
        <v>3</v>
      </c>
      <c r="C289" s="24">
        <v>3</v>
      </c>
      <c r="D289" s="18">
        <v>3</v>
      </c>
      <c r="E289" s="50">
        <f t="shared" si="255"/>
        <v>6</v>
      </c>
      <c r="F289" s="30"/>
      <c r="G289" s="7"/>
      <c r="H289" s="59">
        <f t="shared" si="256"/>
        <v>0</v>
      </c>
      <c r="I289" s="37">
        <f t="shared" si="257"/>
        <v>6</v>
      </c>
      <c r="J289" s="35">
        <v>45796</v>
      </c>
      <c r="L289" s="11" t="s">
        <v>3</v>
      </c>
      <c r="M289" s="24"/>
      <c r="N289" s="18"/>
      <c r="O289" s="50">
        <f t="shared" ref="O289:O314" si="264">SUM(M289:N289)</f>
        <v>0</v>
      </c>
      <c r="P289" s="30"/>
      <c r="Q289" s="7"/>
      <c r="R289" s="59">
        <f t="shared" ref="R289:R314" si="265">SUM(P289:Q289)</f>
        <v>0</v>
      </c>
      <c r="S289" s="37">
        <f t="shared" ref="S289:S314" si="266">O289+R289</f>
        <v>0</v>
      </c>
    </row>
    <row r="290" spans="2:20" ht="14.25" thickBot="1" x14ac:dyDescent="0.2">
      <c r="B290" s="93" t="s">
        <v>124</v>
      </c>
      <c r="C290" s="28">
        <v>1</v>
      </c>
      <c r="D290" s="94"/>
      <c r="E290" s="95">
        <f t="shared" si="255"/>
        <v>1</v>
      </c>
      <c r="F290" s="28">
        <v>1</v>
      </c>
      <c r="G290" s="94">
        <v>1</v>
      </c>
      <c r="H290" s="96">
        <f t="shared" si="256"/>
        <v>2</v>
      </c>
      <c r="I290" s="97">
        <f t="shared" si="257"/>
        <v>3</v>
      </c>
      <c r="J290" s="35">
        <v>45843</v>
      </c>
      <c r="L290" s="101" t="s">
        <v>3</v>
      </c>
      <c r="M290" s="28"/>
      <c r="N290" s="94"/>
      <c r="O290" s="51">
        <f t="shared" si="264"/>
        <v>0</v>
      </c>
      <c r="P290" s="28"/>
      <c r="Q290" s="94"/>
      <c r="R290" s="60">
        <f t="shared" si="265"/>
        <v>0</v>
      </c>
      <c r="S290" s="97">
        <f t="shared" si="266"/>
        <v>0</v>
      </c>
    </row>
    <row r="291" spans="2:20" ht="14.25" thickBot="1" x14ac:dyDescent="0.2">
      <c r="B291" s="3" t="s">
        <v>2</v>
      </c>
      <c r="C291" s="29">
        <f>SUM(C285:C290)</f>
        <v>15</v>
      </c>
      <c r="D291" s="2">
        <f>SUM(D285:D290)</f>
        <v>19</v>
      </c>
      <c r="E291" s="52">
        <f t="shared" si="255"/>
        <v>34</v>
      </c>
      <c r="F291" s="29">
        <f>SUM(F285:F290)</f>
        <v>15</v>
      </c>
      <c r="G291" s="2">
        <f>SUM(G285:G290)</f>
        <v>13</v>
      </c>
      <c r="H291" s="61">
        <f t="shared" si="256"/>
        <v>28</v>
      </c>
      <c r="I291" s="92">
        <f t="shared" si="257"/>
        <v>62</v>
      </c>
      <c r="L291" s="42" t="s">
        <v>2</v>
      </c>
      <c r="M291" s="43">
        <f>SUM(M285:M290)</f>
        <v>149</v>
      </c>
      <c r="N291" s="44">
        <f t="shared" ref="N291" si="267">SUM(N285:N290)</f>
        <v>233</v>
      </c>
      <c r="O291" s="104">
        <f t="shared" ref="O291" si="268">SUM(O285:O290)</f>
        <v>382</v>
      </c>
      <c r="P291" s="43">
        <f t="shared" ref="P291" si="269">SUM(P285:P290)</f>
        <v>169</v>
      </c>
      <c r="Q291" s="44">
        <f t="shared" ref="Q291" si="270">SUM(Q285:Q290)</f>
        <v>267</v>
      </c>
      <c r="R291" s="105">
        <f t="shared" ref="R291" si="271">SUM(R285:R290)</f>
        <v>436</v>
      </c>
      <c r="S291" s="41">
        <f t="shared" ref="S291" si="272">SUM(S285:S290)</f>
        <v>818</v>
      </c>
    </row>
    <row r="292" spans="2:20" x14ac:dyDescent="0.15">
      <c r="B292" s="6" t="s">
        <v>23</v>
      </c>
      <c r="C292" s="27"/>
      <c r="D292" s="21"/>
      <c r="E292" s="53">
        <f t="shared" ref="E292:E314" si="273">SUM(C292:D292)</f>
        <v>0</v>
      </c>
      <c r="F292" s="32"/>
      <c r="G292" s="8">
        <v>1</v>
      </c>
      <c r="H292" s="62">
        <f t="shared" ref="H292:H314" si="274">SUM(F292:G292)</f>
        <v>1</v>
      </c>
      <c r="I292" s="37">
        <f t="shared" ref="I292:I314" si="275">E292+H292</f>
        <v>1</v>
      </c>
      <c r="J292" s="35">
        <v>45735</v>
      </c>
      <c r="L292" s="6" t="s">
        <v>123</v>
      </c>
      <c r="M292" s="24"/>
      <c r="N292" s="18">
        <v>5</v>
      </c>
      <c r="O292" s="53">
        <f t="shared" ref="O292:O295" si="276">SUM(M292:N292)</f>
        <v>5</v>
      </c>
      <c r="P292" s="30"/>
      <c r="Q292" s="7"/>
      <c r="R292" s="62">
        <f t="shared" ref="R292:R295" si="277">SUM(P292:Q292)</f>
        <v>0</v>
      </c>
      <c r="S292" s="37">
        <f t="shared" ref="S292:S295" si="278">O292+R292</f>
        <v>5</v>
      </c>
      <c r="T292" s="98">
        <v>45777</v>
      </c>
    </row>
    <row r="293" spans="2:20" x14ac:dyDescent="0.15">
      <c r="B293" s="6" t="s">
        <v>23</v>
      </c>
      <c r="C293" s="27"/>
      <c r="D293" s="21">
        <v>1</v>
      </c>
      <c r="E293" s="53">
        <f t="shared" si="273"/>
        <v>1</v>
      </c>
      <c r="F293" s="32"/>
      <c r="G293" s="8"/>
      <c r="H293" s="62">
        <f t="shared" si="274"/>
        <v>0</v>
      </c>
      <c r="I293" s="37">
        <f t="shared" si="275"/>
        <v>1</v>
      </c>
      <c r="J293" s="35">
        <v>45737</v>
      </c>
      <c r="L293" s="6" t="s">
        <v>21</v>
      </c>
      <c r="M293" s="24"/>
      <c r="N293" s="18"/>
      <c r="O293" s="53">
        <f t="shared" si="276"/>
        <v>0</v>
      </c>
      <c r="P293" s="30"/>
      <c r="Q293" s="7">
        <v>5</v>
      </c>
      <c r="R293" s="62">
        <f t="shared" si="277"/>
        <v>5</v>
      </c>
      <c r="S293" s="37">
        <f t="shared" si="278"/>
        <v>5</v>
      </c>
      <c r="T293" s="98">
        <v>45791</v>
      </c>
    </row>
    <row r="294" spans="2:20" x14ac:dyDescent="0.15">
      <c r="B294" s="6" t="s">
        <v>23</v>
      </c>
      <c r="C294" s="27"/>
      <c r="D294" s="21">
        <v>1</v>
      </c>
      <c r="E294" s="53">
        <f t="shared" si="273"/>
        <v>1</v>
      </c>
      <c r="F294" s="32"/>
      <c r="G294" s="8">
        <v>1</v>
      </c>
      <c r="H294" s="62">
        <f t="shared" si="274"/>
        <v>1</v>
      </c>
      <c r="I294" s="37">
        <f t="shared" si="275"/>
        <v>2</v>
      </c>
      <c r="J294" s="35">
        <v>45740</v>
      </c>
      <c r="L294" s="6" t="s">
        <v>21</v>
      </c>
      <c r="M294" s="24">
        <v>3</v>
      </c>
      <c r="N294" s="18">
        <v>3</v>
      </c>
      <c r="O294" s="53">
        <f t="shared" si="276"/>
        <v>6</v>
      </c>
      <c r="P294" s="30"/>
      <c r="Q294" s="7"/>
      <c r="R294" s="62">
        <f t="shared" si="277"/>
        <v>0</v>
      </c>
      <c r="S294" s="37">
        <f t="shared" si="278"/>
        <v>6</v>
      </c>
      <c r="T294" s="98">
        <v>45796</v>
      </c>
    </row>
    <row r="295" spans="2:20" x14ac:dyDescent="0.15">
      <c r="B295" s="6" t="s">
        <v>23</v>
      </c>
      <c r="C295" s="27">
        <v>1</v>
      </c>
      <c r="D295" s="21"/>
      <c r="E295" s="53">
        <f t="shared" si="273"/>
        <v>1</v>
      </c>
      <c r="F295" s="32"/>
      <c r="G295" s="8"/>
      <c r="H295" s="62">
        <f t="shared" si="274"/>
        <v>0</v>
      </c>
      <c r="I295" s="37">
        <f t="shared" si="275"/>
        <v>1</v>
      </c>
      <c r="J295" s="35">
        <v>45749</v>
      </c>
      <c r="L295" s="6" t="s">
        <v>21</v>
      </c>
      <c r="M295" s="24"/>
      <c r="N295" s="18">
        <v>3</v>
      </c>
      <c r="O295" s="53">
        <f t="shared" si="276"/>
        <v>3</v>
      </c>
      <c r="P295" s="30"/>
      <c r="Q295" s="7">
        <v>3</v>
      </c>
      <c r="R295" s="62">
        <f t="shared" si="277"/>
        <v>3</v>
      </c>
      <c r="S295" s="37">
        <f t="shared" si="278"/>
        <v>6</v>
      </c>
      <c r="T295" s="98">
        <v>45926</v>
      </c>
    </row>
    <row r="296" spans="2:20" x14ac:dyDescent="0.15">
      <c r="B296" s="6" t="s">
        <v>23</v>
      </c>
      <c r="C296" s="27"/>
      <c r="D296" s="21">
        <v>1</v>
      </c>
      <c r="E296" s="53">
        <f t="shared" si="273"/>
        <v>1</v>
      </c>
      <c r="F296" s="32"/>
      <c r="G296" s="8"/>
      <c r="H296" s="62">
        <f t="shared" si="274"/>
        <v>0</v>
      </c>
      <c r="I296" s="37">
        <f t="shared" si="275"/>
        <v>1</v>
      </c>
      <c r="J296" s="35">
        <v>45754</v>
      </c>
      <c r="L296" s="6"/>
      <c r="M296" s="24"/>
      <c r="N296" s="18"/>
      <c r="O296" s="53">
        <f t="shared" si="264"/>
        <v>0</v>
      </c>
      <c r="P296" s="30"/>
      <c r="Q296" s="7"/>
      <c r="R296" s="62">
        <f t="shared" si="265"/>
        <v>0</v>
      </c>
      <c r="S296" s="37">
        <f t="shared" si="266"/>
        <v>0</v>
      </c>
    </row>
    <row r="297" spans="2:20" x14ac:dyDescent="0.15">
      <c r="B297" s="6" t="s">
        <v>121</v>
      </c>
      <c r="C297" s="27">
        <v>3</v>
      </c>
      <c r="D297" s="21">
        <v>6</v>
      </c>
      <c r="E297" s="53">
        <f t="shared" si="273"/>
        <v>9</v>
      </c>
      <c r="F297" s="32">
        <v>6</v>
      </c>
      <c r="G297" s="8">
        <v>2</v>
      </c>
      <c r="H297" s="62">
        <f t="shared" si="274"/>
        <v>8</v>
      </c>
      <c r="I297" s="37">
        <f t="shared" si="275"/>
        <v>17</v>
      </c>
      <c r="J297" s="35">
        <v>45766</v>
      </c>
      <c r="L297" s="6"/>
      <c r="M297" s="24"/>
      <c r="N297" s="18"/>
      <c r="O297" s="53">
        <f t="shared" si="264"/>
        <v>0</v>
      </c>
      <c r="P297" s="30"/>
      <c r="Q297" s="7"/>
      <c r="R297" s="62">
        <f t="shared" si="265"/>
        <v>0</v>
      </c>
      <c r="S297" s="37">
        <f t="shared" si="266"/>
        <v>0</v>
      </c>
    </row>
    <row r="298" spans="2:20" x14ac:dyDescent="0.15">
      <c r="B298" s="6" t="s">
        <v>23</v>
      </c>
      <c r="C298" s="27">
        <v>3</v>
      </c>
      <c r="D298" s="21"/>
      <c r="E298" s="53">
        <f t="shared" si="273"/>
        <v>3</v>
      </c>
      <c r="F298" s="32"/>
      <c r="G298" s="8"/>
      <c r="H298" s="62">
        <f t="shared" si="274"/>
        <v>0</v>
      </c>
      <c r="I298" s="37">
        <f t="shared" si="275"/>
        <v>3</v>
      </c>
      <c r="J298" s="35">
        <v>45771</v>
      </c>
      <c r="L298" s="6"/>
      <c r="M298" s="24"/>
      <c r="N298" s="18"/>
      <c r="O298" s="53">
        <f t="shared" si="264"/>
        <v>0</v>
      </c>
      <c r="P298" s="30"/>
      <c r="Q298" s="7"/>
      <c r="R298" s="62">
        <f t="shared" si="265"/>
        <v>0</v>
      </c>
      <c r="S298" s="37">
        <f t="shared" si="266"/>
        <v>0</v>
      </c>
    </row>
    <row r="299" spans="2:20" x14ac:dyDescent="0.15">
      <c r="B299" s="6" t="s">
        <v>122</v>
      </c>
      <c r="C299" s="24"/>
      <c r="D299" s="18">
        <v>1</v>
      </c>
      <c r="E299" s="53">
        <f t="shared" si="273"/>
        <v>1</v>
      </c>
      <c r="F299" s="30"/>
      <c r="G299" s="7"/>
      <c r="H299" s="62">
        <f t="shared" si="274"/>
        <v>0</v>
      </c>
      <c r="I299" s="37">
        <f t="shared" si="275"/>
        <v>1</v>
      </c>
      <c r="J299" s="35">
        <v>45773</v>
      </c>
      <c r="L299" s="6"/>
      <c r="M299" s="24"/>
      <c r="N299" s="18"/>
      <c r="O299" s="53">
        <f t="shared" si="264"/>
        <v>0</v>
      </c>
      <c r="P299" s="30"/>
      <c r="Q299" s="7"/>
      <c r="R299" s="62">
        <f t="shared" si="265"/>
        <v>0</v>
      </c>
      <c r="S299" s="37">
        <f t="shared" si="266"/>
        <v>0</v>
      </c>
    </row>
    <row r="300" spans="2:20" x14ac:dyDescent="0.15">
      <c r="B300" s="6" t="s">
        <v>23</v>
      </c>
      <c r="C300" s="27"/>
      <c r="D300" s="21">
        <v>1</v>
      </c>
      <c r="E300" s="53">
        <f t="shared" si="273"/>
        <v>1</v>
      </c>
      <c r="F300" s="32"/>
      <c r="G300" s="8"/>
      <c r="H300" s="62">
        <f t="shared" si="274"/>
        <v>0</v>
      </c>
      <c r="I300" s="37">
        <f t="shared" si="275"/>
        <v>1</v>
      </c>
      <c r="J300" s="35">
        <v>45775</v>
      </c>
      <c r="L300" s="6"/>
      <c r="M300" s="27"/>
      <c r="N300" s="21"/>
      <c r="O300" s="53">
        <f t="shared" si="264"/>
        <v>0</v>
      </c>
      <c r="P300" s="32"/>
      <c r="Q300" s="8"/>
      <c r="R300" s="62">
        <f t="shared" si="265"/>
        <v>0</v>
      </c>
      <c r="S300" s="37">
        <f t="shared" si="266"/>
        <v>0</v>
      </c>
    </row>
    <row r="301" spans="2:20" x14ac:dyDescent="0.15">
      <c r="B301" s="6" t="s">
        <v>114</v>
      </c>
      <c r="C301" s="24"/>
      <c r="D301" s="18"/>
      <c r="E301" s="53">
        <f t="shared" si="273"/>
        <v>0</v>
      </c>
      <c r="F301" s="30"/>
      <c r="G301" s="7">
        <v>2</v>
      </c>
      <c r="H301" s="62">
        <f t="shared" si="274"/>
        <v>2</v>
      </c>
      <c r="I301" s="37">
        <f t="shared" si="275"/>
        <v>2</v>
      </c>
      <c r="J301" s="35">
        <v>45779</v>
      </c>
      <c r="L301" s="6"/>
      <c r="M301" s="27"/>
      <c r="N301" s="21"/>
      <c r="O301" s="53">
        <f t="shared" si="264"/>
        <v>0</v>
      </c>
      <c r="P301" s="32"/>
      <c r="Q301" s="8"/>
      <c r="R301" s="62">
        <f t="shared" si="265"/>
        <v>0</v>
      </c>
      <c r="S301" s="37">
        <f t="shared" si="266"/>
        <v>0</v>
      </c>
    </row>
    <row r="302" spans="2:20" x14ac:dyDescent="0.15">
      <c r="B302" s="6" t="s">
        <v>23</v>
      </c>
      <c r="C302" s="27"/>
      <c r="D302" s="21">
        <v>1</v>
      </c>
      <c r="E302" s="53">
        <f t="shared" si="273"/>
        <v>1</v>
      </c>
      <c r="F302" s="32"/>
      <c r="G302" s="8"/>
      <c r="H302" s="62">
        <f t="shared" si="274"/>
        <v>0</v>
      </c>
      <c r="I302" s="37">
        <f t="shared" si="275"/>
        <v>1</v>
      </c>
      <c r="J302" s="35">
        <v>45789</v>
      </c>
      <c r="L302" s="6"/>
      <c r="M302" s="27"/>
      <c r="N302" s="21"/>
      <c r="O302" s="53">
        <f t="shared" si="264"/>
        <v>0</v>
      </c>
      <c r="P302" s="32"/>
      <c r="Q302" s="8"/>
      <c r="R302" s="62">
        <f t="shared" si="265"/>
        <v>0</v>
      </c>
      <c r="S302" s="37">
        <f t="shared" si="266"/>
        <v>0</v>
      </c>
    </row>
    <row r="303" spans="2:20" x14ac:dyDescent="0.15">
      <c r="B303" s="6" t="s">
        <v>114</v>
      </c>
      <c r="C303" s="24"/>
      <c r="D303" s="18"/>
      <c r="E303" s="53">
        <f t="shared" si="273"/>
        <v>0</v>
      </c>
      <c r="F303" s="30"/>
      <c r="G303" s="7">
        <v>1</v>
      </c>
      <c r="H303" s="62">
        <f t="shared" si="274"/>
        <v>1</v>
      </c>
      <c r="I303" s="37">
        <f t="shared" si="275"/>
        <v>1</v>
      </c>
      <c r="J303" s="35">
        <v>45790</v>
      </c>
      <c r="L303" s="6"/>
      <c r="M303" s="27"/>
      <c r="N303" s="21"/>
      <c r="O303" s="53">
        <f t="shared" si="264"/>
        <v>0</v>
      </c>
      <c r="P303" s="32"/>
      <c r="Q303" s="8"/>
      <c r="R303" s="62">
        <f t="shared" si="265"/>
        <v>0</v>
      </c>
      <c r="S303" s="37">
        <f t="shared" si="266"/>
        <v>0</v>
      </c>
    </row>
    <row r="304" spans="2:20" x14ac:dyDescent="0.15">
      <c r="B304" s="6" t="s">
        <v>23</v>
      </c>
      <c r="C304" s="24">
        <v>1</v>
      </c>
      <c r="D304" s="18">
        <v>1</v>
      </c>
      <c r="E304" s="53">
        <f t="shared" si="273"/>
        <v>2</v>
      </c>
      <c r="F304" s="30"/>
      <c r="G304" s="7"/>
      <c r="H304" s="62">
        <f t="shared" si="274"/>
        <v>0</v>
      </c>
      <c r="I304" s="37">
        <f t="shared" si="275"/>
        <v>2</v>
      </c>
      <c r="J304" s="35">
        <v>45792</v>
      </c>
      <c r="L304" s="6"/>
      <c r="M304" s="27"/>
      <c r="N304" s="21"/>
      <c r="O304" s="53">
        <f t="shared" si="264"/>
        <v>0</v>
      </c>
      <c r="P304" s="32"/>
      <c r="Q304" s="8"/>
      <c r="R304" s="62">
        <f t="shared" si="265"/>
        <v>0</v>
      </c>
      <c r="S304" s="37">
        <f t="shared" si="266"/>
        <v>0</v>
      </c>
    </row>
    <row r="305" spans="2:22" x14ac:dyDescent="0.15">
      <c r="B305" s="6" t="s">
        <v>23</v>
      </c>
      <c r="C305" s="24">
        <v>1</v>
      </c>
      <c r="D305" s="18"/>
      <c r="E305" s="53">
        <f t="shared" si="273"/>
        <v>1</v>
      </c>
      <c r="F305" s="30"/>
      <c r="G305" s="7"/>
      <c r="H305" s="62">
        <f t="shared" si="274"/>
        <v>0</v>
      </c>
      <c r="I305" s="37">
        <f t="shared" si="275"/>
        <v>1</v>
      </c>
      <c r="J305" s="35">
        <v>45793</v>
      </c>
      <c r="L305" s="6"/>
      <c r="M305" s="27"/>
      <c r="N305" s="21"/>
      <c r="O305" s="53">
        <f t="shared" si="264"/>
        <v>0</v>
      </c>
      <c r="P305" s="32"/>
      <c r="Q305" s="8"/>
      <c r="R305" s="62">
        <f t="shared" si="265"/>
        <v>0</v>
      </c>
      <c r="S305" s="37">
        <f t="shared" si="266"/>
        <v>0</v>
      </c>
    </row>
    <row r="306" spans="2:22" x14ac:dyDescent="0.15">
      <c r="B306" s="6" t="s">
        <v>114</v>
      </c>
      <c r="C306" s="24"/>
      <c r="D306" s="18">
        <v>1</v>
      </c>
      <c r="E306" s="53">
        <f t="shared" si="273"/>
        <v>1</v>
      </c>
      <c r="F306" s="30"/>
      <c r="G306" s="7"/>
      <c r="H306" s="62">
        <f t="shared" si="274"/>
        <v>0</v>
      </c>
      <c r="I306" s="37">
        <f t="shared" si="275"/>
        <v>1</v>
      </c>
      <c r="J306" s="35">
        <v>45799</v>
      </c>
      <c r="L306" s="6"/>
      <c r="M306" s="27"/>
      <c r="N306" s="21"/>
      <c r="O306" s="53">
        <f t="shared" si="264"/>
        <v>0</v>
      </c>
      <c r="P306" s="32"/>
      <c r="Q306" s="8"/>
      <c r="R306" s="62">
        <f t="shared" si="265"/>
        <v>0</v>
      </c>
      <c r="S306" s="37">
        <f t="shared" si="266"/>
        <v>0</v>
      </c>
    </row>
    <row r="307" spans="2:22" x14ac:dyDescent="0.15">
      <c r="B307" s="6" t="s">
        <v>23</v>
      </c>
      <c r="C307" s="24"/>
      <c r="D307" s="18"/>
      <c r="E307" s="53">
        <f t="shared" si="273"/>
        <v>0</v>
      </c>
      <c r="F307" s="30"/>
      <c r="G307" s="7">
        <v>1</v>
      </c>
      <c r="H307" s="62">
        <f t="shared" si="274"/>
        <v>1</v>
      </c>
      <c r="I307" s="37">
        <f t="shared" si="275"/>
        <v>1</v>
      </c>
      <c r="J307" s="35">
        <v>45805</v>
      </c>
      <c r="L307" s="6"/>
      <c r="M307" s="27"/>
      <c r="N307" s="21"/>
      <c r="O307" s="53">
        <f t="shared" si="264"/>
        <v>0</v>
      </c>
      <c r="P307" s="32"/>
      <c r="Q307" s="8"/>
      <c r="R307" s="62">
        <f t="shared" si="265"/>
        <v>0</v>
      </c>
      <c r="S307" s="37">
        <f t="shared" si="266"/>
        <v>0</v>
      </c>
    </row>
    <row r="308" spans="2:22" x14ac:dyDescent="0.15">
      <c r="B308" s="6" t="s">
        <v>23</v>
      </c>
      <c r="C308" s="24"/>
      <c r="D308" s="18">
        <v>1</v>
      </c>
      <c r="E308" s="53">
        <f t="shared" si="273"/>
        <v>1</v>
      </c>
      <c r="F308" s="30"/>
      <c r="G308" s="7"/>
      <c r="H308" s="62">
        <f t="shared" si="274"/>
        <v>0</v>
      </c>
      <c r="I308" s="37">
        <f t="shared" si="275"/>
        <v>1</v>
      </c>
      <c r="J308" s="35">
        <v>45862</v>
      </c>
      <c r="L308" s="6"/>
      <c r="M308" s="27"/>
      <c r="N308" s="21"/>
      <c r="O308" s="53">
        <f t="shared" si="264"/>
        <v>0</v>
      </c>
      <c r="P308" s="32"/>
      <c r="Q308" s="8"/>
      <c r="R308" s="62">
        <f t="shared" si="265"/>
        <v>0</v>
      </c>
      <c r="S308" s="37">
        <f t="shared" si="266"/>
        <v>0</v>
      </c>
    </row>
    <row r="309" spans="2:22" x14ac:dyDescent="0.15">
      <c r="B309" s="6" t="s">
        <v>126</v>
      </c>
      <c r="C309" s="24">
        <v>-1</v>
      </c>
      <c r="D309" s="18">
        <v>0</v>
      </c>
      <c r="E309" s="53">
        <f t="shared" si="273"/>
        <v>-1</v>
      </c>
      <c r="F309" s="30">
        <v>0</v>
      </c>
      <c r="G309" s="7">
        <v>0</v>
      </c>
      <c r="H309" s="62">
        <f t="shared" si="274"/>
        <v>0</v>
      </c>
      <c r="I309" s="37">
        <f t="shared" si="275"/>
        <v>-1</v>
      </c>
      <c r="J309" s="35">
        <v>45878</v>
      </c>
      <c r="L309" s="6"/>
      <c r="M309" s="27"/>
      <c r="N309" s="21"/>
      <c r="O309" s="53">
        <f t="shared" si="264"/>
        <v>0</v>
      </c>
      <c r="P309" s="32"/>
      <c r="Q309" s="8"/>
      <c r="R309" s="62">
        <f t="shared" si="265"/>
        <v>0</v>
      </c>
      <c r="S309" s="37">
        <f t="shared" si="266"/>
        <v>0</v>
      </c>
    </row>
    <row r="310" spans="2:22" x14ac:dyDescent="0.15">
      <c r="B310" s="6" t="s">
        <v>23</v>
      </c>
      <c r="C310" s="24"/>
      <c r="D310" s="18"/>
      <c r="E310" s="53">
        <f t="shared" si="273"/>
        <v>0</v>
      </c>
      <c r="F310" s="30"/>
      <c r="G310" s="7">
        <v>2</v>
      </c>
      <c r="H310" s="62">
        <f t="shared" si="274"/>
        <v>2</v>
      </c>
      <c r="I310" s="37">
        <f t="shared" si="275"/>
        <v>2</v>
      </c>
      <c r="J310" s="35">
        <v>45887</v>
      </c>
      <c r="L310" s="6"/>
      <c r="M310" s="27"/>
      <c r="N310" s="21"/>
      <c r="O310" s="53">
        <f t="shared" si="264"/>
        <v>0</v>
      </c>
      <c r="P310" s="32"/>
      <c r="Q310" s="8"/>
      <c r="R310" s="62">
        <f t="shared" si="265"/>
        <v>0</v>
      </c>
      <c r="S310" s="37">
        <f t="shared" si="266"/>
        <v>0</v>
      </c>
    </row>
    <row r="311" spans="2:22" x14ac:dyDescent="0.15">
      <c r="B311" s="6" t="s">
        <v>23</v>
      </c>
      <c r="C311" s="24">
        <v>1</v>
      </c>
      <c r="D311" s="18"/>
      <c r="E311" s="53">
        <f t="shared" si="273"/>
        <v>1</v>
      </c>
      <c r="F311" s="30">
        <v>1</v>
      </c>
      <c r="G311" s="7"/>
      <c r="H311" s="62">
        <f t="shared" si="274"/>
        <v>1</v>
      </c>
      <c r="I311" s="37">
        <f t="shared" si="275"/>
        <v>2</v>
      </c>
      <c r="J311" s="35">
        <v>45922</v>
      </c>
      <c r="L311" s="6"/>
      <c r="M311" s="27"/>
      <c r="N311" s="21"/>
      <c r="O311" s="53">
        <f t="shared" si="264"/>
        <v>0</v>
      </c>
      <c r="P311" s="32"/>
      <c r="Q311" s="8"/>
      <c r="R311" s="62">
        <f t="shared" si="265"/>
        <v>0</v>
      </c>
      <c r="S311" s="37">
        <f t="shared" si="266"/>
        <v>0</v>
      </c>
    </row>
    <row r="312" spans="2:22" x14ac:dyDescent="0.15">
      <c r="B312" s="6" t="s">
        <v>23</v>
      </c>
      <c r="C312" s="24"/>
      <c r="D312" s="18">
        <v>1</v>
      </c>
      <c r="E312" s="53">
        <f t="shared" si="273"/>
        <v>1</v>
      </c>
      <c r="F312" s="30"/>
      <c r="G312" s="7">
        <v>1</v>
      </c>
      <c r="H312" s="62">
        <f t="shared" si="274"/>
        <v>1</v>
      </c>
      <c r="I312" s="37">
        <f t="shared" si="275"/>
        <v>2</v>
      </c>
      <c r="J312" s="35">
        <v>45924</v>
      </c>
      <c r="L312" s="6"/>
      <c r="M312" s="27"/>
      <c r="N312" s="21"/>
      <c r="O312" s="53">
        <f t="shared" si="264"/>
        <v>0</v>
      </c>
      <c r="P312" s="32"/>
      <c r="Q312" s="8"/>
      <c r="R312" s="62">
        <f t="shared" si="265"/>
        <v>0</v>
      </c>
      <c r="S312" s="37">
        <f t="shared" si="266"/>
        <v>0</v>
      </c>
    </row>
    <row r="313" spans="2:22" x14ac:dyDescent="0.15">
      <c r="B313" s="6" t="s">
        <v>127</v>
      </c>
      <c r="C313" s="24"/>
      <c r="D313" s="18">
        <v>-3</v>
      </c>
      <c r="E313" s="53">
        <f t="shared" si="273"/>
        <v>-3</v>
      </c>
      <c r="F313" s="30"/>
      <c r="G313" s="7">
        <v>-3</v>
      </c>
      <c r="H313" s="62">
        <f t="shared" si="274"/>
        <v>-3</v>
      </c>
      <c r="I313" s="37">
        <f t="shared" si="275"/>
        <v>-6</v>
      </c>
      <c r="J313" s="35">
        <v>45926</v>
      </c>
      <c r="L313" s="6"/>
      <c r="M313" s="27"/>
      <c r="N313" s="21"/>
      <c r="O313" s="53">
        <f t="shared" si="264"/>
        <v>0</v>
      </c>
      <c r="P313" s="32"/>
      <c r="Q313" s="8"/>
      <c r="R313" s="62">
        <f t="shared" si="265"/>
        <v>0</v>
      </c>
      <c r="S313" s="37">
        <f t="shared" si="266"/>
        <v>0</v>
      </c>
    </row>
    <row r="314" spans="2:22" x14ac:dyDescent="0.15">
      <c r="B314" s="6" t="s">
        <v>23</v>
      </c>
      <c r="C314" s="24"/>
      <c r="D314" s="18"/>
      <c r="E314" s="53">
        <f t="shared" si="273"/>
        <v>0</v>
      </c>
      <c r="F314" s="30"/>
      <c r="G314" s="7">
        <v>1</v>
      </c>
      <c r="H314" s="62">
        <f t="shared" si="274"/>
        <v>1</v>
      </c>
      <c r="I314" s="37">
        <f t="shared" si="275"/>
        <v>1</v>
      </c>
      <c r="J314" s="35">
        <v>45931</v>
      </c>
      <c r="L314" s="6"/>
      <c r="M314" s="27"/>
      <c r="N314" s="21"/>
      <c r="O314" s="53">
        <f t="shared" si="264"/>
        <v>0</v>
      </c>
      <c r="P314" s="32"/>
      <c r="Q314" s="8"/>
      <c r="R314" s="62">
        <f t="shared" si="265"/>
        <v>0</v>
      </c>
      <c r="S314" s="37">
        <f t="shared" si="266"/>
        <v>0</v>
      </c>
    </row>
    <row r="315" spans="2:22" x14ac:dyDescent="0.15">
      <c r="B315" s="6" t="s">
        <v>23</v>
      </c>
      <c r="C315" s="27"/>
      <c r="D315" s="21">
        <v>1</v>
      </c>
      <c r="E315" s="53">
        <f t="shared" si="255"/>
        <v>1</v>
      </c>
      <c r="F315" s="32"/>
      <c r="G315" s="8"/>
      <c r="H315" s="62">
        <f t="shared" si="256"/>
        <v>0</v>
      </c>
      <c r="I315" s="37">
        <f t="shared" si="257"/>
        <v>1</v>
      </c>
      <c r="J315" s="35">
        <v>45932</v>
      </c>
      <c r="L315" s="6"/>
      <c r="M315" s="27"/>
      <c r="N315" s="21"/>
      <c r="O315" s="53">
        <f t="shared" ref="O315:O316" si="279">SUM(M315:N315)</f>
        <v>0</v>
      </c>
      <c r="P315" s="32"/>
      <c r="Q315" s="8"/>
      <c r="R315" s="62">
        <f t="shared" ref="R315:R316" si="280">SUM(P315:Q315)</f>
        <v>0</v>
      </c>
      <c r="S315" s="37">
        <f t="shared" ref="S315:S316" si="281">O315+R315</f>
        <v>0</v>
      </c>
    </row>
    <row r="316" spans="2:22" ht="14.25" thickBot="1" x14ac:dyDescent="0.2">
      <c r="B316" s="6" t="s">
        <v>23</v>
      </c>
      <c r="C316" s="27">
        <v>1</v>
      </c>
      <c r="D316" s="21"/>
      <c r="E316" s="53">
        <f t="shared" si="255"/>
        <v>1</v>
      </c>
      <c r="F316" s="32"/>
      <c r="G316" s="8"/>
      <c r="H316" s="62">
        <f t="shared" si="256"/>
        <v>0</v>
      </c>
      <c r="I316" s="37">
        <f t="shared" si="257"/>
        <v>1</v>
      </c>
      <c r="J316" s="35">
        <v>45936</v>
      </c>
      <c r="L316" s="6"/>
      <c r="M316" s="27"/>
      <c r="N316" s="21"/>
      <c r="O316" s="53">
        <f t="shared" si="279"/>
        <v>0</v>
      </c>
      <c r="P316" s="32"/>
      <c r="Q316" s="8"/>
      <c r="R316" s="62">
        <f t="shared" si="280"/>
        <v>0</v>
      </c>
      <c r="S316" s="37">
        <f t="shared" si="281"/>
        <v>0</v>
      </c>
    </row>
    <row r="317" spans="2:22" ht="14.25" thickBot="1" x14ac:dyDescent="0.2">
      <c r="B317" s="4" t="s">
        <v>1</v>
      </c>
      <c r="C317" s="26">
        <f>SUM(C292:C316)</f>
        <v>10</v>
      </c>
      <c r="D317" s="20">
        <f>SUM(D292:D316)</f>
        <v>14</v>
      </c>
      <c r="E317" s="55">
        <f t="shared" si="255"/>
        <v>24</v>
      </c>
      <c r="F317" s="26">
        <f>SUM(F292:F316)</f>
        <v>7</v>
      </c>
      <c r="G317" s="20">
        <f>SUM(G292:G316)</f>
        <v>9</v>
      </c>
      <c r="H317" s="64">
        <f t="shared" si="256"/>
        <v>16</v>
      </c>
      <c r="I317" s="39">
        <f t="shared" si="257"/>
        <v>40</v>
      </c>
      <c r="L317" s="4" t="s">
        <v>1</v>
      </c>
      <c r="M317" s="26">
        <f>SUM(M292:M316)</f>
        <v>3</v>
      </c>
      <c r="N317" s="20">
        <f t="shared" ref="N317:S317" si="282">SUM(N292:N316)</f>
        <v>11</v>
      </c>
      <c r="O317" s="55">
        <f t="shared" si="282"/>
        <v>14</v>
      </c>
      <c r="P317" s="26">
        <f t="shared" si="282"/>
        <v>0</v>
      </c>
      <c r="Q317" s="20">
        <f t="shared" si="282"/>
        <v>8</v>
      </c>
      <c r="R317" s="64">
        <f t="shared" si="282"/>
        <v>8</v>
      </c>
      <c r="S317" s="39">
        <f t="shared" si="282"/>
        <v>22</v>
      </c>
    </row>
    <row r="318" spans="2:22" ht="14.25" thickBot="1" x14ac:dyDescent="0.2">
      <c r="B318" s="3" t="s">
        <v>0</v>
      </c>
      <c r="C318" s="29">
        <f>+C291-C317</f>
        <v>5</v>
      </c>
      <c r="D318" s="2">
        <f>+D291-D317</f>
        <v>5</v>
      </c>
      <c r="E318" s="56">
        <f t="shared" si="255"/>
        <v>10</v>
      </c>
      <c r="F318" s="29">
        <f>+F291-F317</f>
        <v>8</v>
      </c>
      <c r="G318" s="2">
        <f>+G291-G317</f>
        <v>4</v>
      </c>
      <c r="H318" s="65">
        <f t="shared" si="256"/>
        <v>12</v>
      </c>
      <c r="I318" s="41">
        <f t="shared" si="257"/>
        <v>22</v>
      </c>
      <c r="L318" s="3" t="s">
        <v>0</v>
      </c>
      <c r="M318" s="29">
        <f>+M291-M317</f>
        <v>146</v>
      </c>
      <c r="N318" s="2">
        <f t="shared" ref="N318:S318" si="283">+N291-N317</f>
        <v>222</v>
      </c>
      <c r="O318" s="56">
        <f t="shared" si="283"/>
        <v>368</v>
      </c>
      <c r="P318" s="29">
        <f t="shared" si="283"/>
        <v>169</v>
      </c>
      <c r="Q318" s="2">
        <f t="shared" si="283"/>
        <v>259</v>
      </c>
      <c r="R318" s="65">
        <f t="shared" si="283"/>
        <v>428</v>
      </c>
      <c r="S318" s="41">
        <f t="shared" si="283"/>
        <v>796</v>
      </c>
      <c r="V318" t="s">
        <v>125</v>
      </c>
    </row>
    <row r="321" spans="2:20" ht="18.75" x14ac:dyDescent="0.2">
      <c r="B321" s="16" t="s">
        <v>28</v>
      </c>
      <c r="C321" s="15"/>
      <c r="D321" s="15"/>
      <c r="E321" s="15"/>
      <c r="F321" s="15"/>
      <c r="G321" s="15"/>
      <c r="H321" s="15"/>
      <c r="I321" s="15"/>
      <c r="L321" s="69" t="s">
        <v>29</v>
      </c>
      <c r="M321" s="70"/>
      <c r="N321" s="70"/>
      <c r="O321" s="70"/>
      <c r="P321" s="70"/>
      <c r="Q321" s="70"/>
      <c r="R321" s="70"/>
      <c r="S321" s="70"/>
    </row>
    <row r="322" spans="2:20" ht="15" thickBot="1" x14ac:dyDescent="0.2">
      <c r="B322" s="75" t="s">
        <v>26</v>
      </c>
      <c r="C322" s="15"/>
      <c r="D322" s="15"/>
      <c r="E322" s="15"/>
      <c r="F322" s="15"/>
      <c r="G322" s="15"/>
      <c r="H322" s="15"/>
      <c r="I322" s="15"/>
      <c r="L322" s="76" t="s">
        <v>25</v>
      </c>
      <c r="M322" s="70"/>
      <c r="N322" s="70"/>
      <c r="O322" s="70"/>
      <c r="P322" s="70"/>
      <c r="Q322" s="70"/>
      <c r="R322" s="70"/>
      <c r="S322" s="70"/>
    </row>
    <row r="323" spans="2:20" ht="14.25" thickBot="1" x14ac:dyDescent="0.2">
      <c r="B323" s="14"/>
      <c r="C323" s="117" t="s">
        <v>8</v>
      </c>
      <c r="D323" s="118"/>
      <c r="E323" s="119"/>
      <c r="F323" s="120" t="s">
        <v>10</v>
      </c>
      <c r="G323" s="121"/>
      <c r="H323" s="121"/>
      <c r="I323" s="115" t="s">
        <v>9</v>
      </c>
      <c r="L323" s="14"/>
      <c r="M323" s="117" t="s">
        <v>8</v>
      </c>
      <c r="N323" s="118"/>
      <c r="O323" s="119"/>
      <c r="P323" s="120" t="s">
        <v>10</v>
      </c>
      <c r="Q323" s="121"/>
      <c r="R323" s="121"/>
      <c r="S323" s="115" t="s">
        <v>9</v>
      </c>
    </row>
    <row r="324" spans="2:20" ht="14.25" thickBot="1" x14ac:dyDescent="0.2">
      <c r="B324" s="13"/>
      <c r="C324" s="22" t="s">
        <v>6</v>
      </c>
      <c r="D324" s="12" t="s">
        <v>5</v>
      </c>
      <c r="E324" s="48" t="s">
        <v>4</v>
      </c>
      <c r="F324" s="22" t="s">
        <v>6</v>
      </c>
      <c r="G324" s="12" t="s">
        <v>5</v>
      </c>
      <c r="H324" s="57" t="s">
        <v>4</v>
      </c>
      <c r="I324" s="116"/>
      <c r="L324" s="13"/>
      <c r="M324" s="22" t="s">
        <v>6</v>
      </c>
      <c r="N324" s="12" t="s">
        <v>5</v>
      </c>
      <c r="O324" s="48" t="s">
        <v>4</v>
      </c>
      <c r="P324" s="22" t="s">
        <v>6</v>
      </c>
      <c r="Q324" s="12" t="s">
        <v>5</v>
      </c>
      <c r="R324" s="57" t="s">
        <v>4</v>
      </c>
      <c r="S324" s="116"/>
    </row>
    <row r="325" spans="2:20" x14ac:dyDescent="0.15">
      <c r="B325" s="45" t="s">
        <v>0</v>
      </c>
      <c r="C325" s="46">
        <f>C318</f>
        <v>5</v>
      </c>
      <c r="D325" s="47">
        <f t="shared" ref="D325:H325" si="284">D318</f>
        <v>5</v>
      </c>
      <c r="E325" s="66">
        <f t="shared" si="284"/>
        <v>10</v>
      </c>
      <c r="F325" s="46">
        <f t="shared" si="284"/>
        <v>8</v>
      </c>
      <c r="G325" s="47">
        <f t="shared" si="284"/>
        <v>4</v>
      </c>
      <c r="H325" s="67">
        <f t="shared" si="284"/>
        <v>12</v>
      </c>
      <c r="I325" s="40">
        <f>E325+H325</f>
        <v>22</v>
      </c>
      <c r="L325" s="45" t="s">
        <v>0</v>
      </c>
      <c r="M325" s="46">
        <f>M318</f>
        <v>146</v>
      </c>
      <c r="N325" s="47">
        <f t="shared" ref="N325:S325" si="285">N318</f>
        <v>222</v>
      </c>
      <c r="O325" s="66">
        <f t="shared" si="285"/>
        <v>368</v>
      </c>
      <c r="P325" s="46">
        <f t="shared" si="285"/>
        <v>169</v>
      </c>
      <c r="Q325" s="47">
        <f t="shared" si="285"/>
        <v>259</v>
      </c>
      <c r="R325" s="67">
        <f t="shared" si="285"/>
        <v>428</v>
      </c>
      <c r="S325" s="40">
        <f t="shared" si="285"/>
        <v>796</v>
      </c>
    </row>
    <row r="326" spans="2:20" x14ac:dyDescent="0.15">
      <c r="B326" s="106" t="s">
        <v>3</v>
      </c>
      <c r="C326" s="78">
        <v>5</v>
      </c>
      <c r="D326" s="79"/>
      <c r="E326" s="107">
        <f t="shared" ref="E326:E330" si="286">SUM(C326:D326)</f>
        <v>5</v>
      </c>
      <c r="F326" s="81"/>
      <c r="G326" s="82"/>
      <c r="H326" s="108">
        <f t="shared" ref="H326:H330" si="287">SUM(F326:G326)</f>
        <v>0</v>
      </c>
      <c r="I326" s="84">
        <f t="shared" ref="I326:I330" si="288">E326+H326</f>
        <v>5</v>
      </c>
      <c r="J326" s="109">
        <v>45945</v>
      </c>
      <c r="L326" s="11" t="s">
        <v>3</v>
      </c>
      <c r="M326" s="24"/>
      <c r="N326" s="18"/>
      <c r="O326" s="50">
        <f t="shared" ref="O326" si="289">SUM(M326:N326)</f>
        <v>0</v>
      </c>
      <c r="P326" s="30"/>
      <c r="Q326" s="7"/>
      <c r="R326" s="59">
        <f t="shared" ref="R326" si="290">SUM(P326:Q326)</f>
        <v>0</v>
      </c>
      <c r="S326" s="37">
        <f t="shared" ref="S326" si="291">O326+R326</f>
        <v>0</v>
      </c>
    </row>
    <row r="327" spans="2:20" x14ac:dyDescent="0.15">
      <c r="B327" s="11" t="s">
        <v>3</v>
      </c>
      <c r="C327" s="24"/>
      <c r="D327" s="18">
        <v>5</v>
      </c>
      <c r="E327" s="50">
        <f t="shared" si="286"/>
        <v>5</v>
      </c>
      <c r="F327" s="30"/>
      <c r="G327" s="7">
        <v>5</v>
      </c>
      <c r="H327" s="59">
        <f t="shared" si="287"/>
        <v>5</v>
      </c>
      <c r="I327" s="37">
        <f t="shared" si="288"/>
        <v>10</v>
      </c>
      <c r="J327" s="98">
        <v>45948</v>
      </c>
      <c r="L327" s="11" t="s">
        <v>3</v>
      </c>
      <c r="M327" s="24"/>
      <c r="N327" s="18"/>
      <c r="O327" s="50">
        <f t="shared" ref="O327:O330" si="292">SUM(M327:N327)</f>
        <v>0</v>
      </c>
      <c r="P327" s="30"/>
      <c r="Q327" s="7"/>
      <c r="R327" s="59">
        <f t="shared" ref="R327:R330" si="293">SUM(P327:Q327)</f>
        <v>0</v>
      </c>
      <c r="S327" s="37">
        <f t="shared" ref="S327:S330" si="294">O327+R327</f>
        <v>0</v>
      </c>
    </row>
    <row r="328" spans="2:20" x14ac:dyDescent="0.15">
      <c r="B328" s="106" t="s">
        <v>3</v>
      </c>
      <c r="C328" s="78">
        <v>5</v>
      </c>
      <c r="D328" s="79"/>
      <c r="E328" s="107">
        <f t="shared" si="286"/>
        <v>5</v>
      </c>
      <c r="F328" s="81">
        <v>5</v>
      </c>
      <c r="G328" s="82"/>
      <c r="H328" s="108">
        <f t="shared" si="287"/>
        <v>5</v>
      </c>
      <c r="I328" s="84">
        <f t="shared" si="288"/>
        <v>10</v>
      </c>
      <c r="J328" s="109">
        <v>45959</v>
      </c>
      <c r="L328" s="11" t="s">
        <v>3</v>
      </c>
      <c r="M328" s="24"/>
      <c r="N328" s="18"/>
      <c r="O328" s="50">
        <f t="shared" si="292"/>
        <v>0</v>
      </c>
      <c r="P328" s="30"/>
      <c r="Q328" s="7"/>
      <c r="R328" s="59">
        <f t="shared" si="293"/>
        <v>0</v>
      </c>
      <c r="S328" s="37">
        <f t="shared" si="294"/>
        <v>0</v>
      </c>
    </row>
    <row r="329" spans="2:20" x14ac:dyDescent="0.15">
      <c r="B329" s="11" t="s">
        <v>3</v>
      </c>
      <c r="C329" s="24"/>
      <c r="D329" s="18">
        <v>5</v>
      </c>
      <c r="E329" s="50">
        <f t="shared" si="286"/>
        <v>5</v>
      </c>
      <c r="F329" s="30">
        <v>5</v>
      </c>
      <c r="G329" s="7">
        <v>5</v>
      </c>
      <c r="H329" s="59">
        <f t="shared" si="287"/>
        <v>10</v>
      </c>
      <c r="I329" s="37">
        <f t="shared" si="288"/>
        <v>15</v>
      </c>
      <c r="J329" s="98">
        <v>45962</v>
      </c>
      <c r="L329" s="11" t="s">
        <v>3</v>
      </c>
      <c r="M329" s="24"/>
      <c r="N329" s="18"/>
      <c r="O329" s="50">
        <f t="shared" si="292"/>
        <v>0</v>
      </c>
      <c r="P329" s="30"/>
      <c r="Q329" s="7"/>
      <c r="R329" s="59">
        <f t="shared" si="293"/>
        <v>0</v>
      </c>
      <c r="S329" s="37">
        <f t="shared" si="294"/>
        <v>0</v>
      </c>
    </row>
    <row r="330" spans="2:20" ht="14.25" thickBot="1" x14ac:dyDescent="0.2">
      <c r="B330" s="101" t="s">
        <v>3</v>
      </c>
      <c r="C330" s="28">
        <v>8</v>
      </c>
      <c r="D330" s="94">
        <v>8</v>
      </c>
      <c r="E330" s="51">
        <f t="shared" si="286"/>
        <v>16</v>
      </c>
      <c r="F330" s="28"/>
      <c r="G330" s="94"/>
      <c r="H330" s="60">
        <f t="shared" si="287"/>
        <v>0</v>
      </c>
      <c r="I330" s="97">
        <f t="shared" si="288"/>
        <v>16</v>
      </c>
      <c r="J330" s="98">
        <v>45968</v>
      </c>
      <c r="L330" s="101" t="s">
        <v>3</v>
      </c>
      <c r="M330" s="28"/>
      <c r="N330" s="94"/>
      <c r="O330" s="51">
        <f t="shared" si="292"/>
        <v>0</v>
      </c>
      <c r="P330" s="28"/>
      <c r="Q330" s="94"/>
      <c r="R330" s="60">
        <f t="shared" si="293"/>
        <v>0</v>
      </c>
      <c r="S330" s="97">
        <f t="shared" si="294"/>
        <v>0</v>
      </c>
    </row>
    <row r="331" spans="2:20" ht="14.25" thickBot="1" x14ac:dyDescent="0.2">
      <c r="B331" s="3" t="s">
        <v>2</v>
      </c>
      <c r="C331" s="29">
        <f>SUM(C325:C330)</f>
        <v>23</v>
      </c>
      <c r="D331" s="2">
        <f>SUM(D325:D330)</f>
        <v>23</v>
      </c>
      <c r="E331" s="52">
        <f t="shared" ref="E331:E358" si="295">SUM(C331:D331)</f>
        <v>46</v>
      </c>
      <c r="F331" s="29">
        <f>SUM(F325:F330)</f>
        <v>18</v>
      </c>
      <c r="G331" s="2">
        <f>SUM(G325:G330)</f>
        <v>14</v>
      </c>
      <c r="H331" s="61">
        <f t="shared" ref="H331:H358" si="296">SUM(F331:G331)</f>
        <v>32</v>
      </c>
      <c r="I331" s="92">
        <f t="shared" ref="I331:I358" si="297">E331+H331</f>
        <v>78</v>
      </c>
      <c r="L331" s="42" t="s">
        <v>2</v>
      </c>
      <c r="M331" s="43">
        <f>SUM(M325:M330)</f>
        <v>146</v>
      </c>
      <c r="N331" s="44">
        <f t="shared" ref="N331:S331" si="298">SUM(N325:N330)</f>
        <v>222</v>
      </c>
      <c r="O331" s="104">
        <f t="shared" si="298"/>
        <v>368</v>
      </c>
      <c r="P331" s="43">
        <f t="shared" si="298"/>
        <v>169</v>
      </c>
      <c r="Q331" s="44">
        <f t="shared" si="298"/>
        <v>259</v>
      </c>
      <c r="R331" s="105">
        <f t="shared" si="298"/>
        <v>428</v>
      </c>
      <c r="S331" s="41">
        <f t="shared" si="298"/>
        <v>796</v>
      </c>
    </row>
    <row r="332" spans="2:20" x14ac:dyDescent="0.15">
      <c r="B332" s="6" t="s">
        <v>23</v>
      </c>
      <c r="C332" s="27">
        <v>2</v>
      </c>
      <c r="D332" s="21"/>
      <c r="E332" s="53">
        <f t="shared" ref="E332:E350" si="299">SUM(C332:D332)</f>
        <v>2</v>
      </c>
      <c r="F332" s="32"/>
      <c r="G332" s="8"/>
      <c r="H332" s="62">
        <f t="shared" ref="H332:H350" si="300">SUM(F332:G332)</f>
        <v>0</v>
      </c>
      <c r="I332" s="37">
        <f t="shared" ref="I332:I350" si="301">E332+H332</f>
        <v>2</v>
      </c>
      <c r="J332" s="35">
        <v>45939</v>
      </c>
      <c r="L332" s="86" t="s">
        <v>129</v>
      </c>
      <c r="M332" s="78">
        <v>5</v>
      </c>
      <c r="N332" s="79"/>
      <c r="O332" s="80">
        <f t="shared" ref="O332:O334" si="302">SUM(M332:N332)</f>
        <v>5</v>
      </c>
      <c r="P332" s="81"/>
      <c r="Q332" s="82"/>
      <c r="R332" s="83">
        <f t="shared" ref="R332:R334" si="303">SUM(P332:Q332)</f>
        <v>0</v>
      </c>
      <c r="S332" s="84">
        <f t="shared" ref="S332:S334" si="304">O332+R332</f>
        <v>5</v>
      </c>
      <c r="T332" s="109">
        <v>45945</v>
      </c>
    </row>
    <row r="333" spans="2:20" x14ac:dyDescent="0.15">
      <c r="B333" s="6" t="s">
        <v>128</v>
      </c>
      <c r="C333" s="24"/>
      <c r="D333" s="18">
        <v>1</v>
      </c>
      <c r="E333" s="53">
        <f t="shared" si="299"/>
        <v>1</v>
      </c>
      <c r="F333" s="30"/>
      <c r="G333" s="7"/>
      <c r="H333" s="62">
        <f t="shared" si="300"/>
        <v>0</v>
      </c>
      <c r="I333" s="37">
        <f t="shared" si="301"/>
        <v>1</v>
      </c>
      <c r="J333" s="35">
        <v>45945</v>
      </c>
      <c r="L333" s="6" t="s">
        <v>21</v>
      </c>
      <c r="M333" s="24"/>
      <c r="N333" s="18">
        <v>5</v>
      </c>
      <c r="O333" s="53">
        <f t="shared" si="302"/>
        <v>5</v>
      </c>
      <c r="P333" s="30"/>
      <c r="Q333" s="7">
        <v>5</v>
      </c>
      <c r="R333" s="62">
        <f t="shared" si="303"/>
        <v>5</v>
      </c>
      <c r="S333" s="37">
        <f t="shared" si="304"/>
        <v>10</v>
      </c>
      <c r="T333" s="98">
        <v>45948</v>
      </c>
    </row>
    <row r="334" spans="2:20" x14ac:dyDescent="0.15">
      <c r="B334" s="6" t="s">
        <v>23</v>
      </c>
      <c r="C334" s="27"/>
      <c r="D334" s="21"/>
      <c r="E334" s="53">
        <f t="shared" si="299"/>
        <v>0</v>
      </c>
      <c r="F334" s="32">
        <v>2</v>
      </c>
      <c r="G334" s="8"/>
      <c r="H334" s="62">
        <f t="shared" si="300"/>
        <v>2</v>
      </c>
      <c r="I334" s="37">
        <f t="shared" si="301"/>
        <v>2</v>
      </c>
      <c r="J334" s="35">
        <v>45944</v>
      </c>
      <c r="L334" s="86" t="s">
        <v>21</v>
      </c>
      <c r="M334" s="78">
        <v>5</v>
      </c>
      <c r="N334" s="79"/>
      <c r="O334" s="80">
        <f t="shared" si="302"/>
        <v>5</v>
      </c>
      <c r="P334" s="81">
        <v>5</v>
      </c>
      <c r="Q334" s="82"/>
      <c r="R334" s="83">
        <f t="shared" si="303"/>
        <v>5</v>
      </c>
      <c r="S334" s="84">
        <f t="shared" si="304"/>
        <v>10</v>
      </c>
      <c r="T334" s="109">
        <v>45959</v>
      </c>
    </row>
    <row r="335" spans="2:20" x14ac:dyDescent="0.15">
      <c r="B335" s="6" t="s">
        <v>23</v>
      </c>
      <c r="C335" s="27">
        <v>1</v>
      </c>
      <c r="D335" s="21"/>
      <c r="E335" s="53">
        <f t="shared" si="299"/>
        <v>1</v>
      </c>
      <c r="F335" s="32"/>
      <c r="G335" s="8"/>
      <c r="H335" s="62">
        <f t="shared" si="300"/>
        <v>0</v>
      </c>
      <c r="I335" s="37">
        <f t="shared" si="301"/>
        <v>1</v>
      </c>
      <c r="J335" s="35">
        <v>45945</v>
      </c>
      <c r="L335" s="6" t="s">
        <v>21</v>
      </c>
      <c r="M335" s="24"/>
      <c r="N335" s="18">
        <v>5</v>
      </c>
      <c r="O335" s="53">
        <f t="shared" ref="O335:O354" si="305">SUM(M335:N335)</f>
        <v>5</v>
      </c>
      <c r="P335" s="30">
        <v>5</v>
      </c>
      <c r="Q335" s="7">
        <v>5</v>
      </c>
      <c r="R335" s="62">
        <f t="shared" ref="R335:R354" si="306">SUM(P335:Q335)</f>
        <v>10</v>
      </c>
      <c r="S335" s="37">
        <f t="shared" ref="S335:S354" si="307">O335+R335</f>
        <v>15</v>
      </c>
      <c r="T335" s="98">
        <v>45962</v>
      </c>
    </row>
    <row r="336" spans="2:20" x14ac:dyDescent="0.15">
      <c r="B336" s="6" t="s">
        <v>23</v>
      </c>
      <c r="C336" s="27"/>
      <c r="D336" s="21">
        <v>1</v>
      </c>
      <c r="E336" s="53">
        <f t="shared" si="299"/>
        <v>1</v>
      </c>
      <c r="F336" s="32"/>
      <c r="G336" s="8">
        <v>2</v>
      </c>
      <c r="H336" s="62">
        <f t="shared" si="300"/>
        <v>2</v>
      </c>
      <c r="I336" s="37">
        <f t="shared" si="301"/>
        <v>3</v>
      </c>
      <c r="J336" s="35">
        <v>45947</v>
      </c>
      <c r="L336" s="6" t="s">
        <v>21</v>
      </c>
      <c r="M336" s="24">
        <v>8</v>
      </c>
      <c r="N336" s="18">
        <v>8</v>
      </c>
      <c r="O336" s="53">
        <f t="shared" si="305"/>
        <v>16</v>
      </c>
      <c r="P336" s="30"/>
      <c r="Q336" s="7"/>
      <c r="R336" s="62">
        <f t="shared" si="306"/>
        <v>0</v>
      </c>
      <c r="S336" s="37">
        <f t="shared" si="307"/>
        <v>16</v>
      </c>
      <c r="T336" s="98">
        <v>45968</v>
      </c>
    </row>
    <row r="337" spans="2:20" x14ac:dyDescent="0.15">
      <c r="B337" s="6" t="s">
        <v>23</v>
      </c>
      <c r="C337" s="27">
        <v>1</v>
      </c>
      <c r="D337" s="21"/>
      <c r="E337" s="53">
        <f t="shared" si="299"/>
        <v>1</v>
      </c>
      <c r="F337" s="32">
        <v>1</v>
      </c>
      <c r="G337" s="8"/>
      <c r="H337" s="62">
        <f t="shared" si="300"/>
        <v>1</v>
      </c>
      <c r="I337" s="37">
        <f t="shared" si="301"/>
        <v>2</v>
      </c>
      <c r="J337" s="35">
        <v>45950</v>
      </c>
      <c r="L337" s="6" t="s">
        <v>21</v>
      </c>
      <c r="M337" s="24">
        <v>5</v>
      </c>
      <c r="N337" s="18">
        <v>5</v>
      </c>
      <c r="O337" s="53">
        <f t="shared" si="305"/>
        <v>10</v>
      </c>
      <c r="P337" s="30">
        <v>5</v>
      </c>
      <c r="Q337" s="7">
        <v>5</v>
      </c>
      <c r="R337" s="62">
        <f t="shared" si="306"/>
        <v>10</v>
      </c>
      <c r="S337" s="37">
        <f t="shared" si="307"/>
        <v>20</v>
      </c>
      <c r="T337" s="98">
        <v>45971</v>
      </c>
    </row>
    <row r="338" spans="2:20" x14ac:dyDescent="0.15">
      <c r="B338" s="6" t="s">
        <v>23</v>
      </c>
      <c r="C338" s="27"/>
      <c r="D338" s="21"/>
      <c r="E338" s="53">
        <f t="shared" si="299"/>
        <v>0</v>
      </c>
      <c r="F338" s="32">
        <v>1</v>
      </c>
      <c r="G338" s="8"/>
      <c r="H338" s="62">
        <f t="shared" si="300"/>
        <v>1</v>
      </c>
      <c r="I338" s="37">
        <f t="shared" si="301"/>
        <v>1</v>
      </c>
      <c r="J338" s="35">
        <v>45951</v>
      </c>
      <c r="L338" s="6"/>
      <c r="M338" s="24"/>
      <c r="N338" s="18"/>
      <c r="O338" s="53">
        <f t="shared" si="305"/>
        <v>0</v>
      </c>
      <c r="P338" s="30"/>
      <c r="Q338" s="7"/>
      <c r="R338" s="62">
        <f t="shared" si="306"/>
        <v>0</v>
      </c>
      <c r="S338" s="37">
        <f t="shared" si="307"/>
        <v>0</v>
      </c>
    </row>
    <row r="339" spans="2:20" x14ac:dyDescent="0.15">
      <c r="B339" s="6" t="s">
        <v>23</v>
      </c>
      <c r="C339" s="27">
        <v>2</v>
      </c>
      <c r="D339" s="21"/>
      <c r="E339" s="53">
        <f t="shared" si="299"/>
        <v>2</v>
      </c>
      <c r="F339" s="32"/>
      <c r="G339" s="8"/>
      <c r="H339" s="62">
        <f t="shared" si="300"/>
        <v>0</v>
      </c>
      <c r="I339" s="37">
        <f t="shared" si="301"/>
        <v>2</v>
      </c>
      <c r="J339" s="35">
        <v>45954</v>
      </c>
      <c r="L339" s="6"/>
      <c r="M339" s="24"/>
      <c r="N339" s="18"/>
      <c r="O339" s="53">
        <f t="shared" si="305"/>
        <v>0</v>
      </c>
      <c r="P339" s="30"/>
      <c r="Q339" s="7"/>
      <c r="R339" s="62">
        <f t="shared" si="306"/>
        <v>0</v>
      </c>
      <c r="S339" s="37">
        <f t="shared" si="307"/>
        <v>0</v>
      </c>
    </row>
    <row r="340" spans="2:20" x14ac:dyDescent="0.15">
      <c r="B340" s="6" t="s">
        <v>114</v>
      </c>
      <c r="C340" s="24"/>
      <c r="D340" s="18"/>
      <c r="E340" s="53">
        <f t="shared" si="299"/>
        <v>0</v>
      </c>
      <c r="F340" s="30"/>
      <c r="G340" s="7">
        <v>1</v>
      </c>
      <c r="H340" s="62">
        <f t="shared" si="300"/>
        <v>1</v>
      </c>
      <c r="I340" s="37">
        <f t="shared" si="301"/>
        <v>1</v>
      </c>
      <c r="J340" s="35">
        <v>45958</v>
      </c>
      <c r="L340" s="6"/>
      <c r="M340" s="27"/>
      <c r="N340" s="21"/>
      <c r="O340" s="53">
        <f t="shared" si="305"/>
        <v>0</v>
      </c>
      <c r="P340" s="32"/>
      <c r="Q340" s="8"/>
      <c r="R340" s="62">
        <f t="shared" si="306"/>
        <v>0</v>
      </c>
      <c r="S340" s="37">
        <f t="shared" si="307"/>
        <v>0</v>
      </c>
    </row>
    <row r="341" spans="2:20" x14ac:dyDescent="0.15">
      <c r="B341" s="6" t="s">
        <v>23</v>
      </c>
      <c r="C341" s="27">
        <v>1</v>
      </c>
      <c r="D341" s="21">
        <v>2</v>
      </c>
      <c r="E341" s="53">
        <f t="shared" si="299"/>
        <v>3</v>
      </c>
      <c r="F341" s="32">
        <v>1</v>
      </c>
      <c r="G341" s="8"/>
      <c r="H341" s="62">
        <f t="shared" si="300"/>
        <v>1</v>
      </c>
      <c r="I341" s="37">
        <f t="shared" si="301"/>
        <v>4</v>
      </c>
      <c r="J341" s="35">
        <v>45957</v>
      </c>
      <c r="L341" s="6"/>
      <c r="M341" s="27"/>
      <c r="N341" s="21"/>
      <c r="O341" s="53">
        <f t="shared" si="305"/>
        <v>0</v>
      </c>
      <c r="P341" s="32"/>
      <c r="Q341" s="8"/>
      <c r="R341" s="62">
        <f t="shared" si="306"/>
        <v>0</v>
      </c>
      <c r="S341" s="37">
        <f t="shared" si="307"/>
        <v>0</v>
      </c>
    </row>
    <row r="342" spans="2:20" x14ac:dyDescent="0.15">
      <c r="B342" s="6" t="s">
        <v>23</v>
      </c>
      <c r="C342" s="27">
        <v>1</v>
      </c>
      <c r="D342" s="21"/>
      <c r="E342" s="53">
        <f t="shared" si="299"/>
        <v>1</v>
      </c>
      <c r="F342" s="32">
        <v>1</v>
      </c>
      <c r="G342" s="8"/>
      <c r="H342" s="62">
        <f t="shared" si="300"/>
        <v>1</v>
      </c>
      <c r="I342" s="37">
        <f t="shared" si="301"/>
        <v>2</v>
      </c>
      <c r="J342" s="35">
        <v>45958</v>
      </c>
      <c r="L342" s="6"/>
      <c r="M342" s="27"/>
      <c r="N342" s="21"/>
      <c r="O342" s="53">
        <f t="shared" si="305"/>
        <v>0</v>
      </c>
      <c r="P342" s="32"/>
      <c r="Q342" s="8"/>
      <c r="R342" s="62">
        <f t="shared" si="306"/>
        <v>0</v>
      </c>
      <c r="S342" s="37">
        <f t="shared" si="307"/>
        <v>0</v>
      </c>
    </row>
    <row r="343" spans="2:20" x14ac:dyDescent="0.15">
      <c r="B343" s="6" t="s">
        <v>23</v>
      </c>
      <c r="C343" s="27"/>
      <c r="D343" s="21"/>
      <c r="E343" s="53">
        <f t="shared" si="299"/>
        <v>0</v>
      </c>
      <c r="F343" s="32">
        <v>2</v>
      </c>
      <c r="G343" s="8"/>
      <c r="H343" s="62">
        <f t="shared" si="300"/>
        <v>2</v>
      </c>
      <c r="I343" s="37">
        <f t="shared" si="301"/>
        <v>2</v>
      </c>
      <c r="J343" s="35">
        <v>45959</v>
      </c>
      <c r="L343" s="6"/>
      <c r="M343" s="27"/>
      <c r="N343" s="21"/>
      <c r="O343" s="53">
        <f t="shared" si="305"/>
        <v>0</v>
      </c>
      <c r="P343" s="32"/>
      <c r="Q343" s="8"/>
      <c r="R343" s="62">
        <f t="shared" si="306"/>
        <v>0</v>
      </c>
      <c r="S343" s="37">
        <f t="shared" si="307"/>
        <v>0</v>
      </c>
    </row>
    <row r="344" spans="2:20" x14ac:dyDescent="0.15">
      <c r="B344" s="6" t="s">
        <v>23</v>
      </c>
      <c r="C344" s="27"/>
      <c r="D344" s="21">
        <v>2</v>
      </c>
      <c r="E344" s="53">
        <f t="shared" si="299"/>
        <v>2</v>
      </c>
      <c r="F344" s="32"/>
      <c r="G344" s="8">
        <v>1</v>
      </c>
      <c r="H344" s="62">
        <f t="shared" si="300"/>
        <v>1</v>
      </c>
      <c r="I344" s="37">
        <f t="shared" si="301"/>
        <v>3</v>
      </c>
      <c r="J344" s="35">
        <v>45960</v>
      </c>
      <c r="L344" s="6"/>
      <c r="M344" s="27"/>
      <c r="N344" s="21"/>
      <c r="O344" s="53">
        <f t="shared" si="305"/>
        <v>0</v>
      </c>
      <c r="P344" s="32"/>
      <c r="Q344" s="8"/>
      <c r="R344" s="62">
        <f t="shared" si="306"/>
        <v>0</v>
      </c>
      <c r="S344" s="37">
        <f t="shared" si="307"/>
        <v>0</v>
      </c>
    </row>
    <row r="345" spans="2:20" x14ac:dyDescent="0.15">
      <c r="B345" s="6" t="s">
        <v>23</v>
      </c>
      <c r="C345" s="27">
        <v>1</v>
      </c>
      <c r="D345" s="21">
        <v>1</v>
      </c>
      <c r="E345" s="53">
        <f t="shared" si="299"/>
        <v>2</v>
      </c>
      <c r="F345" s="32">
        <v>1</v>
      </c>
      <c r="G345" s="8">
        <v>2</v>
      </c>
      <c r="H345" s="62">
        <f t="shared" si="300"/>
        <v>3</v>
      </c>
      <c r="I345" s="37">
        <f t="shared" si="301"/>
        <v>5</v>
      </c>
      <c r="J345" s="35">
        <v>45961</v>
      </c>
      <c r="L345" s="6"/>
      <c r="M345" s="27"/>
      <c r="N345" s="21"/>
      <c r="O345" s="53">
        <f t="shared" si="305"/>
        <v>0</v>
      </c>
      <c r="P345" s="32"/>
      <c r="Q345" s="8"/>
      <c r="R345" s="62">
        <f t="shared" si="306"/>
        <v>0</v>
      </c>
      <c r="S345" s="37">
        <f t="shared" si="307"/>
        <v>0</v>
      </c>
    </row>
    <row r="346" spans="2:20" x14ac:dyDescent="0.15">
      <c r="B346" s="6" t="s">
        <v>23</v>
      </c>
      <c r="C346" s="27">
        <v>2</v>
      </c>
      <c r="D346" s="21">
        <v>4</v>
      </c>
      <c r="E346" s="53">
        <f t="shared" si="299"/>
        <v>6</v>
      </c>
      <c r="F346" s="32">
        <v>1</v>
      </c>
      <c r="G346" s="8"/>
      <c r="H346" s="62">
        <f t="shared" si="300"/>
        <v>1</v>
      </c>
      <c r="I346" s="37">
        <f t="shared" si="301"/>
        <v>7</v>
      </c>
      <c r="J346" s="35">
        <v>45965</v>
      </c>
      <c r="L346" s="6"/>
      <c r="M346" s="27"/>
      <c r="N346" s="21"/>
      <c r="O346" s="53">
        <f t="shared" si="305"/>
        <v>0</v>
      </c>
      <c r="P346" s="32"/>
      <c r="Q346" s="8"/>
      <c r="R346" s="62">
        <f t="shared" si="306"/>
        <v>0</v>
      </c>
      <c r="S346" s="37">
        <f t="shared" si="307"/>
        <v>0</v>
      </c>
    </row>
    <row r="347" spans="2:20" x14ac:dyDescent="0.15">
      <c r="B347" s="6" t="s">
        <v>23</v>
      </c>
      <c r="C347" s="27">
        <v>1</v>
      </c>
      <c r="D347" s="21">
        <v>2</v>
      </c>
      <c r="E347" s="53">
        <f t="shared" si="299"/>
        <v>3</v>
      </c>
      <c r="F347" s="32"/>
      <c r="G347" s="8">
        <v>1</v>
      </c>
      <c r="H347" s="62">
        <f t="shared" si="300"/>
        <v>1</v>
      </c>
      <c r="I347" s="37">
        <f t="shared" si="301"/>
        <v>4</v>
      </c>
      <c r="J347" s="35">
        <v>45966</v>
      </c>
      <c r="L347" s="6"/>
      <c r="M347" s="27"/>
      <c r="N347" s="21"/>
      <c r="O347" s="53">
        <f t="shared" si="305"/>
        <v>0</v>
      </c>
      <c r="P347" s="32"/>
      <c r="Q347" s="8"/>
      <c r="R347" s="62">
        <f t="shared" si="306"/>
        <v>0</v>
      </c>
      <c r="S347" s="37">
        <f t="shared" si="307"/>
        <v>0</v>
      </c>
    </row>
    <row r="348" spans="2:20" x14ac:dyDescent="0.15">
      <c r="B348" s="6" t="s">
        <v>23</v>
      </c>
      <c r="C348" s="27">
        <v>3</v>
      </c>
      <c r="D348" s="21">
        <v>2</v>
      </c>
      <c r="E348" s="53">
        <f t="shared" si="299"/>
        <v>5</v>
      </c>
      <c r="F348" s="32"/>
      <c r="G348" s="8"/>
      <c r="H348" s="62">
        <f t="shared" si="300"/>
        <v>0</v>
      </c>
      <c r="I348" s="37">
        <f t="shared" si="301"/>
        <v>5</v>
      </c>
      <c r="J348" s="35">
        <v>45967</v>
      </c>
      <c r="L348" s="6"/>
      <c r="M348" s="27"/>
      <c r="N348" s="21"/>
      <c r="O348" s="53">
        <f t="shared" si="305"/>
        <v>0</v>
      </c>
      <c r="P348" s="32"/>
      <c r="Q348" s="8"/>
      <c r="R348" s="62">
        <f t="shared" si="306"/>
        <v>0</v>
      </c>
      <c r="S348" s="37">
        <f t="shared" si="307"/>
        <v>0</v>
      </c>
    </row>
    <row r="349" spans="2:20" x14ac:dyDescent="0.15">
      <c r="B349" s="6" t="s">
        <v>114</v>
      </c>
      <c r="C349" s="24"/>
      <c r="D349" s="18">
        <v>1</v>
      </c>
      <c r="E349" s="53">
        <f t="shared" si="299"/>
        <v>1</v>
      </c>
      <c r="F349" s="30"/>
      <c r="G349" s="7">
        <v>1</v>
      </c>
      <c r="H349" s="62">
        <f t="shared" si="300"/>
        <v>1</v>
      </c>
      <c r="I349" s="37">
        <f t="shared" si="301"/>
        <v>2</v>
      </c>
      <c r="J349" s="35">
        <v>45972</v>
      </c>
      <c r="L349" s="6"/>
      <c r="M349" s="27"/>
      <c r="N349" s="21"/>
      <c r="O349" s="53">
        <f t="shared" si="305"/>
        <v>0</v>
      </c>
      <c r="P349" s="32"/>
      <c r="Q349" s="8"/>
      <c r="R349" s="62">
        <f t="shared" si="306"/>
        <v>0</v>
      </c>
      <c r="S349" s="37">
        <f t="shared" si="307"/>
        <v>0</v>
      </c>
    </row>
    <row r="350" spans="2:20" x14ac:dyDescent="0.15">
      <c r="B350" s="6" t="s">
        <v>23</v>
      </c>
      <c r="C350" s="24">
        <v>1</v>
      </c>
      <c r="D350" s="18">
        <v>1</v>
      </c>
      <c r="E350" s="53">
        <f t="shared" si="299"/>
        <v>2</v>
      </c>
      <c r="F350" s="30">
        <v>2</v>
      </c>
      <c r="G350" s="7">
        <v>1</v>
      </c>
      <c r="H350" s="62">
        <f t="shared" si="300"/>
        <v>3</v>
      </c>
      <c r="I350" s="37">
        <f t="shared" si="301"/>
        <v>5</v>
      </c>
      <c r="J350" s="35">
        <v>45968</v>
      </c>
      <c r="L350" s="6"/>
      <c r="M350" s="27"/>
      <c r="N350" s="21"/>
      <c r="O350" s="53">
        <f t="shared" si="305"/>
        <v>0</v>
      </c>
      <c r="P350" s="32"/>
      <c r="Q350" s="8"/>
      <c r="R350" s="62">
        <f t="shared" si="306"/>
        <v>0</v>
      </c>
      <c r="S350" s="37">
        <f t="shared" si="307"/>
        <v>0</v>
      </c>
    </row>
    <row r="351" spans="2:20" x14ac:dyDescent="0.15">
      <c r="B351" s="6" t="s">
        <v>131</v>
      </c>
      <c r="C351" s="24">
        <v>-5</v>
      </c>
      <c r="D351" s="18">
        <v>-5</v>
      </c>
      <c r="E351" s="53">
        <f t="shared" si="295"/>
        <v>-10</v>
      </c>
      <c r="F351" s="30">
        <v>-5</v>
      </c>
      <c r="G351" s="7">
        <v>-5</v>
      </c>
      <c r="H351" s="62">
        <f t="shared" si="296"/>
        <v>-10</v>
      </c>
      <c r="I351" s="37">
        <f t="shared" si="297"/>
        <v>-20</v>
      </c>
      <c r="J351" s="35">
        <v>45971</v>
      </c>
      <c r="L351" s="6"/>
      <c r="M351" s="27"/>
      <c r="N351" s="21"/>
      <c r="O351" s="53">
        <f t="shared" si="305"/>
        <v>0</v>
      </c>
      <c r="P351" s="32"/>
      <c r="Q351" s="8"/>
      <c r="R351" s="62">
        <f t="shared" si="306"/>
        <v>0</v>
      </c>
      <c r="S351" s="37">
        <f t="shared" si="307"/>
        <v>0</v>
      </c>
    </row>
    <row r="352" spans="2:20" x14ac:dyDescent="0.15">
      <c r="B352" s="6" t="s">
        <v>23</v>
      </c>
      <c r="C352" s="27">
        <v>1</v>
      </c>
      <c r="D352" s="21">
        <v>1</v>
      </c>
      <c r="E352" s="53">
        <f t="shared" si="295"/>
        <v>2</v>
      </c>
      <c r="F352" s="32">
        <v>4</v>
      </c>
      <c r="G352" s="8">
        <v>2</v>
      </c>
      <c r="H352" s="62">
        <f t="shared" si="296"/>
        <v>6</v>
      </c>
      <c r="I352" s="37">
        <f t="shared" si="297"/>
        <v>8</v>
      </c>
      <c r="J352" s="35">
        <v>45971</v>
      </c>
      <c r="L352" s="6"/>
      <c r="M352" s="27"/>
      <c r="N352" s="21"/>
      <c r="O352" s="53">
        <f t="shared" si="305"/>
        <v>0</v>
      </c>
      <c r="P352" s="32"/>
      <c r="Q352" s="8"/>
      <c r="R352" s="62">
        <f t="shared" si="306"/>
        <v>0</v>
      </c>
      <c r="S352" s="37">
        <f t="shared" si="307"/>
        <v>0</v>
      </c>
    </row>
    <row r="353" spans="2:19" x14ac:dyDescent="0.15">
      <c r="B353" s="6" t="s">
        <v>132</v>
      </c>
      <c r="C353" s="27"/>
      <c r="D353" s="21">
        <v>-1</v>
      </c>
      <c r="E353" s="53">
        <f t="shared" si="295"/>
        <v>-1</v>
      </c>
      <c r="F353" s="32"/>
      <c r="G353" s="8"/>
      <c r="H353" s="62">
        <f t="shared" si="296"/>
        <v>0</v>
      </c>
      <c r="I353" s="37">
        <f t="shared" si="297"/>
        <v>-1</v>
      </c>
      <c r="J353" s="35">
        <v>45971</v>
      </c>
      <c r="L353" s="6"/>
      <c r="M353" s="27"/>
      <c r="N353" s="21"/>
      <c r="O353" s="53">
        <f t="shared" si="305"/>
        <v>0</v>
      </c>
      <c r="P353" s="32"/>
      <c r="Q353" s="8"/>
      <c r="R353" s="62">
        <f t="shared" si="306"/>
        <v>0</v>
      </c>
      <c r="S353" s="37">
        <f t="shared" si="307"/>
        <v>0</v>
      </c>
    </row>
    <row r="354" spans="2:19" x14ac:dyDescent="0.15">
      <c r="B354" s="6" t="s">
        <v>23</v>
      </c>
      <c r="C354" s="27"/>
      <c r="D354" s="21"/>
      <c r="E354" s="53">
        <f t="shared" si="295"/>
        <v>0</v>
      </c>
      <c r="F354" s="32">
        <v>1</v>
      </c>
      <c r="G354" s="8"/>
      <c r="H354" s="62">
        <f t="shared" si="296"/>
        <v>1</v>
      </c>
      <c r="I354" s="37">
        <f t="shared" si="297"/>
        <v>1</v>
      </c>
      <c r="J354" s="35">
        <v>45972</v>
      </c>
      <c r="L354" s="6"/>
      <c r="M354" s="27"/>
      <c r="N354" s="21"/>
      <c r="O354" s="53">
        <f t="shared" si="305"/>
        <v>0</v>
      </c>
      <c r="P354" s="32"/>
      <c r="Q354" s="8"/>
      <c r="R354" s="62">
        <f t="shared" si="306"/>
        <v>0</v>
      </c>
      <c r="S354" s="37">
        <f t="shared" si="307"/>
        <v>0</v>
      </c>
    </row>
    <row r="355" spans="2:19" x14ac:dyDescent="0.15">
      <c r="B355" s="6" t="s">
        <v>23</v>
      </c>
      <c r="C355" s="27">
        <v>3</v>
      </c>
      <c r="D355" s="21"/>
      <c r="E355" s="53">
        <f t="shared" si="295"/>
        <v>3</v>
      </c>
      <c r="F355" s="32"/>
      <c r="G355" s="8"/>
      <c r="H355" s="62">
        <f t="shared" si="296"/>
        <v>0</v>
      </c>
      <c r="I355" s="37">
        <f t="shared" si="297"/>
        <v>3</v>
      </c>
      <c r="J355" s="35">
        <v>45973</v>
      </c>
      <c r="L355" s="6"/>
      <c r="M355" s="27"/>
      <c r="N355" s="21"/>
      <c r="O355" s="53">
        <f t="shared" ref="O355:O356" si="308">SUM(M355:N355)</f>
        <v>0</v>
      </c>
      <c r="P355" s="32"/>
      <c r="Q355" s="8"/>
      <c r="R355" s="62">
        <f t="shared" ref="R355:R356" si="309">SUM(P355:Q355)</f>
        <v>0</v>
      </c>
      <c r="S355" s="37">
        <f t="shared" ref="S355:S356" si="310">O355+R355</f>
        <v>0</v>
      </c>
    </row>
    <row r="356" spans="2:19" ht="14.25" thickBot="1" x14ac:dyDescent="0.2">
      <c r="B356" s="6" t="s">
        <v>23</v>
      </c>
      <c r="C356" s="27"/>
      <c r="D356" s="21">
        <v>4</v>
      </c>
      <c r="E356" s="53">
        <f t="shared" si="295"/>
        <v>4</v>
      </c>
      <c r="F356" s="32"/>
      <c r="G356" s="8">
        <v>1</v>
      </c>
      <c r="H356" s="62">
        <f t="shared" si="296"/>
        <v>1</v>
      </c>
      <c r="I356" s="37">
        <f t="shared" si="297"/>
        <v>5</v>
      </c>
      <c r="J356" s="35">
        <v>45974</v>
      </c>
      <c r="L356" s="6"/>
      <c r="M356" s="27"/>
      <c r="N356" s="21"/>
      <c r="O356" s="53">
        <f t="shared" si="308"/>
        <v>0</v>
      </c>
      <c r="P356" s="32"/>
      <c r="Q356" s="8"/>
      <c r="R356" s="62">
        <f t="shared" si="309"/>
        <v>0</v>
      </c>
      <c r="S356" s="37">
        <f t="shared" si="310"/>
        <v>0</v>
      </c>
    </row>
    <row r="357" spans="2:19" ht="14.25" thickBot="1" x14ac:dyDescent="0.2">
      <c r="B357" s="4" t="s">
        <v>1</v>
      </c>
      <c r="C357" s="26">
        <f>SUM(C332:C356)</f>
        <v>15</v>
      </c>
      <c r="D357" s="20">
        <f>SUM(D332:D356)</f>
        <v>16</v>
      </c>
      <c r="E357" s="55">
        <f t="shared" si="295"/>
        <v>31</v>
      </c>
      <c r="F357" s="26">
        <f>SUM(F332:F356)</f>
        <v>12</v>
      </c>
      <c r="G357" s="20">
        <f>SUM(G332:G356)</f>
        <v>7</v>
      </c>
      <c r="H357" s="64">
        <f t="shared" si="296"/>
        <v>19</v>
      </c>
      <c r="I357" s="39">
        <f t="shared" si="297"/>
        <v>50</v>
      </c>
      <c r="L357" s="4" t="s">
        <v>1</v>
      </c>
      <c r="M357" s="26">
        <f>SUM(M332:M356)</f>
        <v>23</v>
      </c>
      <c r="N357" s="20">
        <f t="shared" ref="N357:S357" si="311">SUM(N332:N356)</f>
        <v>23</v>
      </c>
      <c r="O357" s="55">
        <f t="shared" si="311"/>
        <v>46</v>
      </c>
      <c r="P357" s="26">
        <f t="shared" si="311"/>
        <v>15</v>
      </c>
      <c r="Q357" s="20">
        <f t="shared" si="311"/>
        <v>15</v>
      </c>
      <c r="R357" s="64">
        <f t="shared" si="311"/>
        <v>30</v>
      </c>
      <c r="S357" s="39">
        <f t="shared" si="311"/>
        <v>76</v>
      </c>
    </row>
    <row r="358" spans="2:19" ht="14.25" thickBot="1" x14ac:dyDescent="0.2">
      <c r="B358" s="3" t="s">
        <v>0</v>
      </c>
      <c r="C358" s="29">
        <f>+C331-C357</f>
        <v>8</v>
      </c>
      <c r="D358" s="2">
        <f>+D331-D357</f>
        <v>7</v>
      </c>
      <c r="E358" s="56">
        <f t="shared" si="295"/>
        <v>15</v>
      </c>
      <c r="F358" s="29">
        <f>+F331-F357</f>
        <v>6</v>
      </c>
      <c r="G358" s="2">
        <f>+G331-G357</f>
        <v>7</v>
      </c>
      <c r="H358" s="65">
        <f t="shared" si="296"/>
        <v>13</v>
      </c>
      <c r="I358" s="41">
        <f t="shared" si="297"/>
        <v>28</v>
      </c>
      <c r="L358" s="3" t="s">
        <v>0</v>
      </c>
      <c r="M358" s="29">
        <f>+M331-M357</f>
        <v>123</v>
      </c>
      <c r="N358" s="2">
        <f t="shared" ref="N358:S358" si="312">+N331-N357</f>
        <v>199</v>
      </c>
      <c r="O358" s="56">
        <f t="shared" si="312"/>
        <v>322</v>
      </c>
      <c r="P358" s="29">
        <f t="shared" si="312"/>
        <v>154</v>
      </c>
      <c r="Q358" s="2">
        <f t="shared" si="312"/>
        <v>244</v>
      </c>
      <c r="R358" s="65">
        <f t="shared" si="312"/>
        <v>398</v>
      </c>
      <c r="S358" s="41">
        <f t="shared" si="312"/>
        <v>720</v>
      </c>
    </row>
    <row r="361" spans="2:19" ht="18.75" x14ac:dyDescent="0.2">
      <c r="B361" s="16" t="s">
        <v>28</v>
      </c>
      <c r="C361" s="15"/>
      <c r="D361" s="15"/>
      <c r="E361" s="15"/>
      <c r="F361" s="15"/>
      <c r="G361" s="15"/>
      <c r="H361" s="15"/>
      <c r="I361" s="15"/>
      <c r="L361" s="69" t="s">
        <v>29</v>
      </c>
      <c r="M361" s="70"/>
      <c r="N361" s="70"/>
      <c r="O361" s="70"/>
      <c r="P361" s="70"/>
      <c r="Q361" s="70"/>
      <c r="R361" s="70"/>
      <c r="S361" s="70"/>
    </row>
    <row r="362" spans="2:19" ht="15" thickBot="1" x14ac:dyDescent="0.2">
      <c r="B362" s="75" t="s">
        <v>26</v>
      </c>
      <c r="C362" s="15"/>
      <c r="D362" s="15"/>
      <c r="E362" s="15"/>
      <c r="F362" s="15"/>
      <c r="G362" s="15"/>
      <c r="H362" s="15"/>
      <c r="I362" s="15"/>
      <c r="L362" s="76" t="s">
        <v>25</v>
      </c>
      <c r="M362" s="70"/>
      <c r="N362" s="70"/>
      <c r="O362" s="70"/>
      <c r="P362" s="70"/>
      <c r="Q362" s="70"/>
      <c r="R362" s="70"/>
      <c r="S362" s="70"/>
    </row>
    <row r="363" spans="2:19" ht="14.25" thickBot="1" x14ac:dyDescent="0.2">
      <c r="B363" s="14"/>
      <c r="C363" s="117" t="s">
        <v>8</v>
      </c>
      <c r="D363" s="118"/>
      <c r="E363" s="119"/>
      <c r="F363" s="120" t="s">
        <v>10</v>
      </c>
      <c r="G363" s="121"/>
      <c r="H363" s="121"/>
      <c r="I363" s="115" t="s">
        <v>9</v>
      </c>
      <c r="L363" s="14"/>
      <c r="M363" s="117" t="s">
        <v>8</v>
      </c>
      <c r="N363" s="118"/>
      <c r="O363" s="119"/>
      <c r="P363" s="120" t="s">
        <v>10</v>
      </c>
      <c r="Q363" s="121"/>
      <c r="R363" s="121"/>
      <c r="S363" s="115" t="s">
        <v>9</v>
      </c>
    </row>
    <row r="364" spans="2:19" ht="14.25" thickBot="1" x14ac:dyDescent="0.2">
      <c r="B364" s="13"/>
      <c r="C364" s="22" t="s">
        <v>6</v>
      </c>
      <c r="D364" s="12" t="s">
        <v>5</v>
      </c>
      <c r="E364" s="48" t="s">
        <v>4</v>
      </c>
      <c r="F364" s="22" t="s">
        <v>6</v>
      </c>
      <c r="G364" s="12" t="s">
        <v>5</v>
      </c>
      <c r="H364" s="57" t="s">
        <v>4</v>
      </c>
      <c r="I364" s="116"/>
      <c r="L364" s="13"/>
      <c r="M364" s="22" t="s">
        <v>6</v>
      </c>
      <c r="N364" s="12" t="s">
        <v>5</v>
      </c>
      <c r="O364" s="48" t="s">
        <v>4</v>
      </c>
      <c r="P364" s="22" t="s">
        <v>6</v>
      </c>
      <c r="Q364" s="12" t="s">
        <v>5</v>
      </c>
      <c r="R364" s="57" t="s">
        <v>4</v>
      </c>
      <c r="S364" s="116"/>
    </row>
    <row r="365" spans="2:19" x14ac:dyDescent="0.15">
      <c r="B365" s="45" t="s">
        <v>0</v>
      </c>
      <c r="C365" s="46">
        <f>C358</f>
        <v>8</v>
      </c>
      <c r="D365" s="47">
        <f t="shared" ref="D365:H365" si="313">D358</f>
        <v>7</v>
      </c>
      <c r="E365" s="66">
        <f t="shared" si="313"/>
        <v>15</v>
      </c>
      <c r="F365" s="46">
        <f t="shared" si="313"/>
        <v>6</v>
      </c>
      <c r="G365" s="47">
        <f t="shared" si="313"/>
        <v>7</v>
      </c>
      <c r="H365" s="67">
        <f t="shared" si="313"/>
        <v>13</v>
      </c>
      <c r="I365" s="40">
        <f>E365+H365</f>
        <v>28</v>
      </c>
      <c r="L365" s="45" t="s">
        <v>0</v>
      </c>
      <c r="M365" s="46">
        <f>M358</f>
        <v>123</v>
      </c>
      <c r="N365" s="47">
        <f t="shared" ref="N365:S365" si="314">N358</f>
        <v>199</v>
      </c>
      <c r="O365" s="66">
        <f t="shared" si="314"/>
        <v>322</v>
      </c>
      <c r="P365" s="46">
        <f t="shared" si="314"/>
        <v>154</v>
      </c>
      <c r="Q365" s="47">
        <f t="shared" si="314"/>
        <v>244</v>
      </c>
      <c r="R365" s="67">
        <f t="shared" si="314"/>
        <v>398</v>
      </c>
      <c r="S365" s="40">
        <f t="shared" si="314"/>
        <v>720</v>
      </c>
    </row>
    <row r="366" spans="2:19" x14ac:dyDescent="0.15">
      <c r="B366" s="11" t="s">
        <v>3</v>
      </c>
      <c r="C366" s="24"/>
      <c r="D366" s="18">
        <v>5</v>
      </c>
      <c r="E366" s="50">
        <f t="shared" ref="E366:E398" si="315">SUM(C366:D366)</f>
        <v>5</v>
      </c>
      <c r="F366" s="30"/>
      <c r="G366" s="7"/>
      <c r="H366" s="59">
        <f t="shared" ref="H366:H398" si="316">SUM(F366:G366)</f>
        <v>0</v>
      </c>
      <c r="I366" s="37">
        <f t="shared" ref="I366:I398" si="317">E366+H366</f>
        <v>5</v>
      </c>
      <c r="J366" s="98">
        <v>45979</v>
      </c>
      <c r="L366" s="11" t="s">
        <v>3</v>
      </c>
      <c r="M366" s="24"/>
      <c r="N366" s="18"/>
      <c r="O366" s="50">
        <f t="shared" ref="O366:O370" si="318">SUM(M366:N366)</f>
        <v>0</v>
      </c>
      <c r="P366" s="30"/>
      <c r="Q366" s="7"/>
      <c r="R366" s="59">
        <f t="shared" ref="R366:R370" si="319">SUM(P366:Q366)</f>
        <v>0</v>
      </c>
      <c r="S366" s="37">
        <f t="shared" ref="S366:S370" si="320">O366+R366</f>
        <v>0</v>
      </c>
    </row>
    <row r="367" spans="2:19" x14ac:dyDescent="0.15">
      <c r="B367" s="106" t="s">
        <v>3</v>
      </c>
      <c r="C367" s="78">
        <v>3</v>
      </c>
      <c r="D367" s="79">
        <v>5</v>
      </c>
      <c r="E367" s="107">
        <f t="shared" si="315"/>
        <v>8</v>
      </c>
      <c r="F367" s="81">
        <v>3</v>
      </c>
      <c r="G367" s="82"/>
      <c r="H367" s="108">
        <f t="shared" si="316"/>
        <v>3</v>
      </c>
      <c r="I367" s="84">
        <f t="shared" si="317"/>
        <v>11</v>
      </c>
      <c r="J367" s="109">
        <v>45980</v>
      </c>
      <c r="K367" s="110"/>
      <c r="L367" s="11" t="s">
        <v>3</v>
      </c>
      <c r="M367" s="24"/>
      <c r="N367" s="18"/>
      <c r="O367" s="50">
        <f t="shared" si="318"/>
        <v>0</v>
      </c>
      <c r="P367" s="30"/>
      <c r="Q367" s="7"/>
      <c r="R367" s="59">
        <f t="shared" si="319"/>
        <v>0</v>
      </c>
      <c r="S367" s="37">
        <f t="shared" si="320"/>
        <v>0</v>
      </c>
    </row>
    <row r="368" spans="2:19" x14ac:dyDescent="0.15">
      <c r="B368" s="11" t="s">
        <v>3</v>
      </c>
      <c r="C368" s="24"/>
      <c r="D368" s="18">
        <v>9</v>
      </c>
      <c r="E368" s="50">
        <f t="shared" si="315"/>
        <v>9</v>
      </c>
      <c r="F368" s="30"/>
      <c r="G368" s="7"/>
      <c r="H368" s="59">
        <f t="shared" si="316"/>
        <v>0</v>
      </c>
      <c r="I368" s="37">
        <f t="shared" si="317"/>
        <v>9</v>
      </c>
      <c r="J368" s="98">
        <v>45987</v>
      </c>
      <c r="L368" s="11" t="s">
        <v>3</v>
      </c>
      <c r="M368" s="24"/>
      <c r="N368" s="18"/>
      <c r="O368" s="50">
        <f t="shared" si="318"/>
        <v>0</v>
      </c>
      <c r="P368" s="30"/>
      <c r="Q368" s="7"/>
      <c r="R368" s="59">
        <f t="shared" si="319"/>
        <v>0</v>
      </c>
      <c r="S368" s="37">
        <f t="shared" si="320"/>
        <v>0</v>
      </c>
    </row>
    <row r="369" spans="2:20" x14ac:dyDescent="0.15">
      <c r="B369" s="11" t="s">
        <v>3</v>
      </c>
      <c r="C369" s="24"/>
      <c r="D369" s="18"/>
      <c r="E369" s="50">
        <f t="shared" si="315"/>
        <v>0</v>
      </c>
      <c r="F369" s="30">
        <v>11</v>
      </c>
      <c r="G369" s="7">
        <v>10</v>
      </c>
      <c r="H369" s="59">
        <f t="shared" si="316"/>
        <v>21</v>
      </c>
      <c r="I369" s="37">
        <f t="shared" si="317"/>
        <v>21</v>
      </c>
      <c r="J369" s="98">
        <v>45988</v>
      </c>
      <c r="L369" s="11" t="s">
        <v>3</v>
      </c>
      <c r="M369" s="24"/>
      <c r="N369" s="18"/>
      <c r="O369" s="50">
        <f t="shared" si="318"/>
        <v>0</v>
      </c>
      <c r="P369" s="30"/>
      <c r="Q369" s="7"/>
      <c r="R369" s="59">
        <f t="shared" si="319"/>
        <v>0</v>
      </c>
      <c r="S369" s="37">
        <f t="shared" si="320"/>
        <v>0</v>
      </c>
    </row>
    <row r="370" spans="2:20" ht="14.25" thickBot="1" x14ac:dyDescent="0.2">
      <c r="B370" s="101" t="s">
        <v>96</v>
      </c>
      <c r="C370" s="28"/>
      <c r="D370" s="94">
        <v>1</v>
      </c>
      <c r="E370" s="51">
        <f t="shared" si="315"/>
        <v>1</v>
      </c>
      <c r="F370" s="28"/>
      <c r="G370" s="94"/>
      <c r="H370" s="60">
        <f t="shared" si="316"/>
        <v>0</v>
      </c>
      <c r="I370" s="97">
        <f t="shared" si="317"/>
        <v>1</v>
      </c>
      <c r="J370" s="98">
        <v>45992</v>
      </c>
      <c r="L370" s="101" t="s">
        <v>3</v>
      </c>
      <c r="M370" s="28"/>
      <c r="N370" s="94"/>
      <c r="O370" s="51">
        <f t="shared" si="318"/>
        <v>0</v>
      </c>
      <c r="P370" s="28"/>
      <c r="Q370" s="94"/>
      <c r="R370" s="60">
        <f t="shared" si="319"/>
        <v>0</v>
      </c>
      <c r="S370" s="97">
        <f t="shared" si="320"/>
        <v>0</v>
      </c>
    </row>
    <row r="371" spans="2:20" ht="14.25" thickBot="1" x14ac:dyDescent="0.2">
      <c r="B371" s="3" t="s">
        <v>2</v>
      </c>
      <c r="C371" s="29">
        <f>SUM(C365:C370)</f>
        <v>11</v>
      </c>
      <c r="D371" s="2">
        <f>SUM(D365:D370)</f>
        <v>27</v>
      </c>
      <c r="E371" s="52">
        <f t="shared" si="315"/>
        <v>38</v>
      </c>
      <c r="F371" s="29">
        <f>SUM(F365:F370)</f>
        <v>20</v>
      </c>
      <c r="G371" s="2">
        <f>SUM(G365:G370)</f>
        <v>17</v>
      </c>
      <c r="H371" s="61">
        <f t="shared" si="316"/>
        <v>37</v>
      </c>
      <c r="I371" s="92">
        <f t="shared" si="317"/>
        <v>75</v>
      </c>
      <c r="L371" s="42" t="s">
        <v>2</v>
      </c>
      <c r="M371" s="43">
        <f>SUM(M365:M370)</f>
        <v>123</v>
      </c>
      <c r="N371" s="44">
        <f t="shared" ref="N371:S371" si="321">SUM(N365:N370)</f>
        <v>199</v>
      </c>
      <c r="O371" s="104">
        <f t="shared" si="321"/>
        <v>322</v>
      </c>
      <c r="P371" s="43">
        <f t="shared" si="321"/>
        <v>154</v>
      </c>
      <c r="Q371" s="44">
        <f t="shared" si="321"/>
        <v>244</v>
      </c>
      <c r="R371" s="105">
        <f t="shared" si="321"/>
        <v>398</v>
      </c>
      <c r="S371" s="41">
        <f t="shared" si="321"/>
        <v>720</v>
      </c>
    </row>
    <row r="372" spans="2:20" x14ac:dyDescent="0.15">
      <c r="B372" s="6" t="s">
        <v>23</v>
      </c>
      <c r="C372" s="27"/>
      <c r="D372" s="21">
        <v>5</v>
      </c>
      <c r="E372" s="53">
        <f t="shared" si="315"/>
        <v>5</v>
      </c>
      <c r="F372" s="32"/>
      <c r="G372" s="8"/>
      <c r="H372" s="62">
        <f t="shared" si="316"/>
        <v>0</v>
      </c>
      <c r="I372" s="37">
        <f t="shared" si="317"/>
        <v>5</v>
      </c>
      <c r="J372" s="35">
        <v>45978</v>
      </c>
      <c r="L372" s="6" t="s">
        <v>133</v>
      </c>
      <c r="M372" s="24"/>
      <c r="N372" s="18">
        <v>5</v>
      </c>
      <c r="O372" s="53">
        <f t="shared" ref="O372:O378" si="322">SUM(M372:N372)</f>
        <v>5</v>
      </c>
      <c r="P372" s="30"/>
      <c r="Q372" s="7"/>
      <c r="R372" s="62">
        <f t="shared" ref="R372:R378" si="323">SUM(P372:Q372)</f>
        <v>0</v>
      </c>
      <c r="S372" s="37">
        <f t="shared" ref="S372:S378" si="324">O372+R372</f>
        <v>5</v>
      </c>
      <c r="T372" s="98">
        <v>45979</v>
      </c>
    </row>
    <row r="373" spans="2:20" x14ac:dyDescent="0.15">
      <c r="B373" s="6" t="s">
        <v>23</v>
      </c>
      <c r="C373" s="24">
        <v>1</v>
      </c>
      <c r="D373" s="18">
        <v>1</v>
      </c>
      <c r="E373" s="53">
        <f t="shared" si="315"/>
        <v>2</v>
      </c>
      <c r="F373" s="30">
        <v>2</v>
      </c>
      <c r="G373" s="7"/>
      <c r="H373" s="62">
        <f t="shared" si="316"/>
        <v>2</v>
      </c>
      <c r="I373" s="37">
        <f t="shared" si="317"/>
        <v>4</v>
      </c>
      <c r="J373" s="35">
        <v>45979</v>
      </c>
      <c r="L373" s="86" t="s">
        <v>21</v>
      </c>
      <c r="M373" s="78">
        <v>3</v>
      </c>
      <c r="N373" s="79">
        <v>5</v>
      </c>
      <c r="O373" s="80">
        <f t="shared" si="322"/>
        <v>8</v>
      </c>
      <c r="P373" s="81">
        <v>3</v>
      </c>
      <c r="Q373" s="82"/>
      <c r="R373" s="83">
        <f t="shared" si="323"/>
        <v>3</v>
      </c>
      <c r="S373" s="84">
        <f t="shared" si="324"/>
        <v>11</v>
      </c>
      <c r="T373" s="109">
        <v>45980</v>
      </c>
    </row>
    <row r="374" spans="2:20" x14ac:dyDescent="0.15">
      <c r="B374" s="6" t="s">
        <v>23</v>
      </c>
      <c r="C374" s="27">
        <v>1</v>
      </c>
      <c r="D374" s="21"/>
      <c r="E374" s="53">
        <f t="shared" si="315"/>
        <v>1</v>
      </c>
      <c r="F374" s="32">
        <v>1</v>
      </c>
      <c r="G374" s="8"/>
      <c r="H374" s="62">
        <f t="shared" si="316"/>
        <v>1</v>
      </c>
      <c r="I374" s="37">
        <f t="shared" si="317"/>
        <v>2</v>
      </c>
      <c r="J374" s="35">
        <v>45980</v>
      </c>
      <c r="L374" s="6" t="s">
        <v>21</v>
      </c>
      <c r="M374" s="24"/>
      <c r="N374" s="18">
        <v>9</v>
      </c>
      <c r="O374" s="53">
        <f t="shared" si="322"/>
        <v>9</v>
      </c>
      <c r="P374" s="30"/>
      <c r="Q374" s="7"/>
      <c r="R374" s="62">
        <f t="shared" si="323"/>
        <v>0</v>
      </c>
      <c r="S374" s="37">
        <f t="shared" si="324"/>
        <v>9</v>
      </c>
      <c r="T374" s="98">
        <v>45987</v>
      </c>
    </row>
    <row r="375" spans="2:20" x14ac:dyDescent="0.15">
      <c r="B375" s="6" t="s">
        <v>23</v>
      </c>
      <c r="C375" s="27"/>
      <c r="D375" s="21">
        <v>2</v>
      </c>
      <c r="E375" s="53">
        <f t="shared" si="315"/>
        <v>2</v>
      </c>
      <c r="F375" s="32"/>
      <c r="G375" s="8"/>
      <c r="H375" s="62">
        <f t="shared" si="316"/>
        <v>0</v>
      </c>
      <c r="I375" s="37">
        <f t="shared" si="317"/>
        <v>2</v>
      </c>
      <c r="J375" s="35">
        <v>45981</v>
      </c>
      <c r="L375" s="6" t="s">
        <v>21</v>
      </c>
      <c r="M375" s="24"/>
      <c r="N375" s="18"/>
      <c r="O375" s="53">
        <f t="shared" si="322"/>
        <v>0</v>
      </c>
      <c r="P375" s="30">
        <v>11</v>
      </c>
      <c r="Q375" s="7">
        <v>10</v>
      </c>
      <c r="R375" s="62">
        <f t="shared" si="323"/>
        <v>21</v>
      </c>
      <c r="S375" s="37">
        <f t="shared" si="324"/>
        <v>21</v>
      </c>
      <c r="T375" s="98">
        <v>45988</v>
      </c>
    </row>
    <row r="376" spans="2:20" x14ac:dyDescent="0.15">
      <c r="B376" s="6" t="s">
        <v>23</v>
      </c>
      <c r="C376" s="27">
        <f>1+1+1</f>
        <v>3</v>
      </c>
      <c r="D376" s="21">
        <v>1</v>
      </c>
      <c r="E376" s="53">
        <f t="shared" si="315"/>
        <v>4</v>
      </c>
      <c r="F376" s="32"/>
      <c r="G376" s="8"/>
      <c r="H376" s="62">
        <f t="shared" si="316"/>
        <v>0</v>
      </c>
      <c r="I376" s="37">
        <f t="shared" si="317"/>
        <v>4</v>
      </c>
      <c r="J376" s="35">
        <v>45982</v>
      </c>
      <c r="L376" s="86" t="s">
        <v>21</v>
      </c>
      <c r="M376" s="78"/>
      <c r="N376" s="79"/>
      <c r="O376" s="80">
        <f t="shared" si="322"/>
        <v>0</v>
      </c>
      <c r="P376" s="81"/>
      <c r="Q376" s="82">
        <v>10</v>
      </c>
      <c r="R376" s="83">
        <f t="shared" si="323"/>
        <v>10</v>
      </c>
      <c r="S376" s="84">
        <f t="shared" si="324"/>
        <v>10</v>
      </c>
      <c r="T376" s="109">
        <v>46000</v>
      </c>
    </row>
    <row r="377" spans="2:20" x14ac:dyDescent="0.15">
      <c r="B377" s="6" t="s">
        <v>23</v>
      </c>
      <c r="C377" s="27">
        <v>6</v>
      </c>
      <c r="D377" s="21">
        <v>9</v>
      </c>
      <c r="E377" s="53">
        <f t="shared" si="315"/>
        <v>15</v>
      </c>
      <c r="F377" s="32">
        <v>3</v>
      </c>
      <c r="G377" s="8">
        <v>3</v>
      </c>
      <c r="H377" s="62">
        <f t="shared" si="316"/>
        <v>6</v>
      </c>
      <c r="I377" s="37">
        <f t="shared" si="317"/>
        <v>21</v>
      </c>
      <c r="J377" s="35">
        <v>45986</v>
      </c>
      <c r="L377" s="6" t="s">
        <v>138</v>
      </c>
      <c r="M377" s="24">
        <v>100</v>
      </c>
      <c r="N377" s="18">
        <v>150</v>
      </c>
      <c r="O377" s="53">
        <f t="shared" si="322"/>
        <v>250</v>
      </c>
      <c r="P377" s="30">
        <v>112</v>
      </c>
      <c r="Q377" s="7">
        <v>160</v>
      </c>
      <c r="R377" s="62">
        <f t="shared" si="323"/>
        <v>272</v>
      </c>
      <c r="S377" s="37">
        <f t="shared" si="324"/>
        <v>522</v>
      </c>
      <c r="T377" s="98">
        <v>46009</v>
      </c>
    </row>
    <row r="378" spans="2:20" x14ac:dyDescent="0.15">
      <c r="B378" s="6" t="s">
        <v>23</v>
      </c>
      <c r="C378" s="27"/>
      <c r="D378" s="21">
        <v>3</v>
      </c>
      <c r="E378" s="53">
        <f t="shared" si="315"/>
        <v>3</v>
      </c>
      <c r="F378" s="32">
        <v>1</v>
      </c>
      <c r="G378" s="8">
        <v>1</v>
      </c>
      <c r="H378" s="62">
        <f t="shared" si="316"/>
        <v>2</v>
      </c>
      <c r="I378" s="37">
        <f t="shared" si="317"/>
        <v>5</v>
      </c>
      <c r="J378" s="35">
        <v>45987</v>
      </c>
      <c r="L378" s="6" t="s">
        <v>114</v>
      </c>
      <c r="M378" s="24"/>
      <c r="N378" s="18"/>
      <c r="O378" s="53">
        <f t="shared" si="322"/>
        <v>0</v>
      </c>
      <c r="P378" s="30"/>
      <c r="Q378" s="7">
        <v>5</v>
      </c>
      <c r="R378" s="62">
        <f t="shared" si="323"/>
        <v>5</v>
      </c>
      <c r="S378" s="37">
        <f t="shared" si="324"/>
        <v>5</v>
      </c>
      <c r="T378" s="111">
        <v>46007</v>
      </c>
    </row>
    <row r="379" spans="2:20" x14ac:dyDescent="0.15">
      <c r="B379" s="6" t="s">
        <v>23</v>
      </c>
      <c r="C379" s="24"/>
      <c r="D379" s="18">
        <v>2</v>
      </c>
      <c r="E379" s="53">
        <f t="shared" si="315"/>
        <v>2</v>
      </c>
      <c r="F379" s="30">
        <v>1</v>
      </c>
      <c r="G379" s="7">
        <v>1</v>
      </c>
      <c r="H379" s="62">
        <f t="shared" si="316"/>
        <v>2</v>
      </c>
      <c r="I379" s="37">
        <f t="shared" si="317"/>
        <v>4</v>
      </c>
      <c r="J379" s="35">
        <v>45988</v>
      </c>
      <c r="L379" s="86" t="s">
        <v>137</v>
      </c>
      <c r="M379" s="78"/>
      <c r="N379" s="79"/>
      <c r="O379" s="80">
        <f t="shared" ref="O379:O396" si="325">SUM(M379:N379)</f>
        <v>0</v>
      </c>
      <c r="P379" s="81"/>
      <c r="Q379" s="82">
        <v>19</v>
      </c>
      <c r="R379" s="83">
        <f t="shared" ref="R379:R396" si="326">SUM(P379:Q379)</f>
        <v>19</v>
      </c>
      <c r="S379" s="84">
        <f t="shared" ref="S379:S396" si="327">O379+R379</f>
        <v>19</v>
      </c>
      <c r="T379" s="109">
        <v>46008</v>
      </c>
    </row>
    <row r="380" spans="2:20" x14ac:dyDescent="0.15">
      <c r="B380" s="6" t="s">
        <v>134</v>
      </c>
      <c r="C380" s="24"/>
      <c r="D380" s="18"/>
      <c r="E380" s="53">
        <f t="shared" si="315"/>
        <v>0</v>
      </c>
      <c r="F380" s="30"/>
      <c r="G380" s="7">
        <v>1</v>
      </c>
      <c r="H380" s="62">
        <f t="shared" si="316"/>
        <v>1</v>
      </c>
      <c r="I380" s="37">
        <f t="shared" si="317"/>
        <v>1</v>
      </c>
      <c r="J380" s="35">
        <v>45993</v>
      </c>
      <c r="L380" s="6"/>
      <c r="M380" s="27"/>
      <c r="N380" s="21"/>
      <c r="O380" s="53">
        <f t="shared" si="325"/>
        <v>0</v>
      </c>
      <c r="P380" s="32"/>
      <c r="Q380" s="8"/>
      <c r="R380" s="62">
        <f t="shared" si="326"/>
        <v>0</v>
      </c>
      <c r="S380" s="37">
        <f t="shared" si="327"/>
        <v>0</v>
      </c>
    </row>
    <row r="381" spans="2:20" x14ac:dyDescent="0.15">
      <c r="B381" s="6" t="s">
        <v>23</v>
      </c>
      <c r="C381" s="27"/>
      <c r="D381" s="21">
        <v>3</v>
      </c>
      <c r="E381" s="53">
        <f t="shared" si="315"/>
        <v>3</v>
      </c>
      <c r="F381" s="32">
        <v>1</v>
      </c>
      <c r="G381" s="8">
        <v>1</v>
      </c>
      <c r="H381" s="62">
        <f t="shared" si="316"/>
        <v>2</v>
      </c>
      <c r="I381" s="37">
        <f t="shared" si="317"/>
        <v>5</v>
      </c>
      <c r="J381" s="35">
        <v>45992</v>
      </c>
      <c r="L381" s="6"/>
      <c r="M381" s="27"/>
      <c r="N381" s="21"/>
      <c r="O381" s="53">
        <f t="shared" si="325"/>
        <v>0</v>
      </c>
      <c r="P381" s="32"/>
      <c r="Q381" s="8"/>
      <c r="R381" s="62">
        <f t="shared" si="326"/>
        <v>0</v>
      </c>
      <c r="S381" s="37">
        <f t="shared" si="327"/>
        <v>0</v>
      </c>
    </row>
    <row r="382" spans="2:20" x14ac:dyDescent="0.15">
      <c r="B382" s="6" t="s">
        <v>135</v>
      </c>
      <c r="C382" s="27">
        <v>-1</v>
      </c>
      <c r="D382" s="21"/>
      <c r="E382" s="53">
        <f t="shared" si="315"/>
        <v>-1</v>
      </c>
      <c r="F382" s="32">
        <v>-1</v>
      </c>
      <c r="G382" s="8"/>
      <c r="H382" s="62">
        <f t="shared" si="316"/>
        <v>-1</v>
      </c>
      <c r="I382" s="37">
        <f t="shared" si="317"/>
        <v>-2</v>
      </c>
      <c r="J382" s="35">
        <v>45992</v>
      </c>
      <c r="L382" s="6"/>
      <c r="M382" s="27"/>
      <c r="N382" s="21"/>
      <c r="O382" s="53">
        <f t="shared" si="325"/>
        <v>0</v>
      </c>
      <c r="P382" s="32"/>
      <c r="Q382" s="8"/>
      <c r="R382" s="62">
        <f t="shared" si="326"/>
        <v>0</v>
      </c>
      <c r="S382" s="37">
        <f t="shared" si="327"/>
        <v>0</v>
      </c>
    </row>
    <row r="383" spans="2:20" x14ac:dyDescent="0.15">
      <c r="B383" s="6" t="s">
        <v>23</v>
      </c>
      <c r="C383" s="27">
        <v>1</v>
      </c>
      <c r="D383" s="21"/>
      <c r="E383" s="53">
        <f t="shared" si="315"/>
        <v>1</v>
      </c>
      <c r="F383" s="32"/>
      <c r="G383" s="8"/>
      <c r="H383" s="62">
        <f t="shared" si="316"/>
        <v>0</v>
      </c>
      <c r="I383" s="37">
        <f t="shared" si="317"/>
        <v>1</v>
      </c>
      <c r="J383" s="35">
        <v>45993</v>
      </c>
      <c r="L383" s="6"/>
      <c r="M383" s="27"/>
      <c r="N383" s="21"/>
      <c r="O383" s="53">
        <f t="shared" si="325"/>
        <v>0</v>
      </c>
      <c r="P383" s="32"/>
      <c r="Q383" s="8"/>
      <c r="R383" s="62">
        <f t="shared" si="326"/>
        <v>0</v>
      </c>
      <c r="S383" s="37">
        <f t="shared" si="327"/>
        <v>0</v>
      </c>
    </row>
    <row r="384" spans="2:20" x14ac:dyDescent="0.15">
      <c r="B384" s="6" t="s">
        <v>23</v>
      </c>
      <c r="C384" s="27"/>
      <c r="D384" s="21"/>
      <c r="E384" s="53">
        <f t="shared" si="315"/>
        <v>0</v>
      </c>
      <c r="F384" s="32">
        <v>1</v>
      </c>
      <c r="G384" s="8"/>
      <c r="H384" s="62">
        <f t="shared" si="316"/>
        <v>1</v>
      </c>
      <c r="I384" s="37">
        <f t="shared" si="317"/>
        <v>1</v>
      </c>
      <c r="J384" s="35">
        <v>45994</v>
      </c>
      <c r="L384" s="6"/>
      <c r="M384" s="27"/>
      <c r="N384" s="21"/>
      <c r="O384" s="53">
        <f t="shared" si="325"/>
        <v>0</v>
      </c>
      <c r="P384" s="32"/>
      <c r="Q384" s="8"/>
      <c r="R384" s="62">
        <f t="shared" si="326"/>
        <v>0</v>
      </c>
      <c r="S384" s="37">
        <f t="shared" si="327"/>
        <v>0</v>
      </c>
    </row>
    <row r="385" spans="2:20" x14ac:dyDescent="0.15">
      <c r="B385" s="6" t="s">
        <v>23</v>
      </c>
      <c r="C385" s="27"/>
      <c r="D385" s="21"/>
      <c r="E385" s="53">
        <f t="shared" si="315"/>
        <v>0</v>
      </c>
      <c r="F385" s="32">
        <v>1</v>
      </c>
      <c r="G385" s="8"/>
      <c r="H385" s="62">
        <f t="shared" si="316"/>
        <v>1</v>
      </c>
      <c r="I385" s="37">
        <f t="shared" si="317"/>
        <v>1</v>
      </c>
      <c r="J385" s="35">
        <v>45995</v>
      </c>
      <c r="L385" s="6"/>
      <c r="M385" s="27"/>
      <c r="N385" s="21"/>
      <c r="O385" s="53">
        <f t="shared" si="325"/>
        <v>0</v>
      </c>
      <c r="P385" s="32"/>
      <c r="Q385" s="8"/>
      <c r="R385" s="62">
        <f t="shared" si="326"/>
        <v>0</v>
      </c>
      <c r="S385" s="37">
        <f t="shared" si="327"/>
        <v>0</v>
      </c>
    </row>
    <row r="386" spans="2:20" x14ac:dyDescent="0.15">
      <c r="B386" s="6" t="s">
        <v>23</v>
      </c>
      <c r="C386" s="27"/>
      <c r="D386" s="21">
        <v>1</v>
      </c>
      <c r="E386" s="53">
        <f t="shared" si="315"/>
        <v>1</v>
      </c>
      <c r="F386" s="32">
        <v>1</v>
      </c>
      <c r="G386" s="8">
        <v>1</v>
      </c>
      <c r="H386" s="62">
        <f t="shared" si="316"/>
        <v>2</v>
      </c>
      <c r="I386" s="37">
        <f t="shared" si="317"/>
        <v>3</v>
      </c>
      <c r="J386" s="35">
        <v>45996</v>
      </c>
      <c r="L386" s="6"/>
      <c r="M386" s="27"/>
      <c r="N386" s="21"/>
      <c r="O386" s="53">
        <f t="shared" si="325"/>
        <v>0</v>
      </c>
      <c r="P386" s="32"/>
      <c r="Q386" s="8"/>
      <c r="R386" s="62">
        <f t="shared" si="326"/>
        <v>0</v>
      </c>
      <c r="S386" s="37">
        <f t="shared" si="327"/>
        <v>0</v>
      </c>
    </row>
    <row r="387" spans="2:20" x14ac:dyDescent="0.15">
      <c r="B387" s="6" t="s">
        <v>23</v>
      </c>
      <c r="C387" s="27"/>
      <c r="D387" s="21"/>
      <c r="E387" s="53">
        <f t="shared" si="315"/>
        <v>0</v>
      </c>
      <c r="F387" s="32"/>
      <c r="G387" s="8">
        <v>3</v>
      </c>
      <c r="H387" s="62">
        <f t="shared" si="316"/>
        <v>3</v>
      </c>
      <c r="I387" s="37">
        <f t="shared" si="317"/>
        <v>3</v>
      </c>
      <c r="J387" s="35">
        <v>45997</v>
      </c>
      <c r="L387" s="6"/>
      <c r="M387" s="27"/>
      <c r="N387" s="21"/>
      <c r="O387" s="53">
        <f t="shared" si="325"/>
        <v>0</v>
      </c>
      <c r="P387" s="32"/>
      <c r="Q387" s="8"/>
      <c r="R387" s="62">
        <f t="shared" si="326"/>
        <v>0</v>
      </c>
      <c r="S387" s="37">
        <f t="shared" si="327"/>
        <v>0</v>
      </c>
    </row>
    <row r="388" spans="2:20" x14ac:dyDescent="0.15">
      <c r="B388" s="6" t="s">
        <v>23</v>
      </c>
      <c r="C388" s="27"/>
      <c r="D388" s="21"/>
      <c r="E388" s="53">
        <f t="shared" si="315"/>
        <v>0</v>
      </c>
      <c r="F388" s="32"/>
      <c r="G388" s="8">
        <v>2</v>
      </c>
      <c r="H388" s="62">
        <f t="shared" si="316"/>
        <v>2</v>
      </c>
      <c r="I388" s="37">
        <f t="shared" si="317"/>
        <v>2</v>
      </c>
      <c r="J388" s="35">
        <v>45999</v>
      </c>
      <c r="L388" s="6"/>
      <c r="M388" s="27"/>
      <c r="N388" s="21"/>
      <c r="O388" s="53">
        <f t="shared" si="325"/>
        <v>0</v>
      </c>
      <c r="P388" s="32"/>
      <c r="Q388" s="8"/>
      <c r="R388" s="62">
        <f t="shared" si="326"/>
        <v>0</v>
      </c>
      <c r="S388" s="37">
        <f t="shared" si="327"/>
        <v>0</v>
      </c>
    </row>
    <row r="389" spans="2:20" x14ac:dyDescent="0.15">
      <c r="B389" s="86" t="s">
        <v>136</v>
      </c>
      <c r="C389" s="78"/>
      <c r="D389" s="79"/>
      <c r="E389" s="80">
        <f t="shared" si="315"/>
        <v>0</v>
      </c>
      <c r="F389" s="81"/>
      <c r="G389" s="82">
        <v>-10</v>
      </c>
      <c r="H389" s="83">
        <f t="shared" si="316"/>
        <v>-10</v>
      </c>
      <c r="I389" s="84">
        <f t="shared" si="317"/>
        <v>-10</v>
      </c>
      <c r="J389" s="85">
        <v>46000</v>
      </c>
      <c r="K389" s="110"/>
      <c r="L389" s="6"/>
      <c r="M389" s="27"/>
      <c r="N389" s="21"/>
      <c r="O389" s="53">
        <f t="shared" si="325"/>
        <v>0</v>
      </c>
      <c r="P389" s="32"/>
      <c r="Q389" s="8"/>
      <c r="R389" s="62">
        <f t="shared" si="326"/>
        <v>0</v>
      </c>
      <c r="S389" s="37">
        <f t="shared" si="327"/>
        <v>0</v>
      </c>
    </row>
    <row r="390" spans="2:20" x14ac:dyDescent="0.15">
      <c r="B390" s="6" t="s">
        <v>23</v>
      </c>
      <c r="C390" s="24"/>
      <c r="D390" s="18"/>
      <c r="E390" s="53">
        <f t="shared" si="315"/>
        <v>0</v>
      </c>
      <c r="F390" s="30">
        <v>1</v>
      </c>
      <c r="G390" s="7">
        <v>2</v>
      </c>
      <c r="H390" s="62">
        <f t="shared" si="316"/>
        <v>3</v>
      </c>
      <c r="I390" s="37">
        <f t="shared" si="317"/>
        <v>3</v>
      </c>
      <c r="J390" s="35">
        <v>46000</v>
      </c>
      <c r="L390" s="6"/>
      <c r="M390" s="27"/>
      <c r="N390" s="21"/>
      <c r="O390" s="53">
        <f t="shared" si="325"/>
        <v>0</v>
      </c>
      <c r="P390" s="32"/>
      <c r="Q390" s="8"/>
      <c r="R390" s="62">
        <f t="shared" si="326"/>
        <v>0</v>
      </c>
      <c r="S390" s="37">
        <f t="shared" si="327"/>
        <v>0</v>
      </c>
    </row>
    <row r="391" spans="2:20" x14ac:dyDescent="0.15">
      <c r="B391" s="6" t="s">
        <v>23</v>
      </c>
      <c r="C391" s="24"/>
      <c r="D391" s="18"/>
      <c r="E391" s="53">
        <f t="shared" si="315"/>
        <v>0</v>
      </c>
      <c r="F391" s="30"/>
      <c r="G391" s="7">
        <v>1</v>
      </c>
      <c r="H391" s="62">
        <f t="shared" si="316"/>
        <v>1</v>
      </c>
      <c r="I391" s="37">
        <f t="shared" si="317"/>
        <v>1</v>
      </c>
      <c r="J391" s="35">
        <v>46001</v>
      </c>
      <c r="L391" s="6"/>
      <c r="M391" s="27"/>
      <c r="N391" s="21"/>
      <c r="O391" s="53">
        <f t="shared" si="325"/>
        <v>0</v>
      </c>
      <c r="P391" s="32"/>
      <c r="Q391" s="8"/>
      <c r="R391" s="62">
        <f t="shared" si="326"/>
        <v>0</v>
      </c>
      <c r="S391" s="37">
        <f t="shared" si="327"/>
        <v>0</v>
      </c>
    </row>
    <row r="392" spans="2:20" x14ac:dyDescent="0.15">
      <c r="B392" s="6" t="s">
        <v>23</v>
      </c>
      <c r="C392" s="27"/>
      <c r="D392" s="21"/>
      <c r="E392" s="53">
        <f t="shared" si="315"/>
        <v>0</v>
      </c>
      <c r="F392" s="32">
        <v>2</v>
      </c>
      <c r="G392" s="8">
        <v>5</v>
      </c>
      <c r="H392" s="62">
        <f t="shared" si="316"/>
        <v>7</v>
      </c>
      <c r="I392" s="37">
        <f t="shared" si="317"/>
        <v>7</v>
      </c>
      <c r="J392" s="35">
        <v>46002</v>
      </c>
      <c r="L392" s="6"/>
      <c r="M392" s="27"/>
      <c r="N392" s="21"/>
      <c r="O392" s="53">
        <f t="shared" si="325"/>
        <v>0</v>
      </c>
      <c r="P392" s="32"/>
      <c r="Q392" s="8"/>
      <c r="R392" s="62">
        <f t="shared" si="326"/>
        <v>0</v>
      </c>
      <c r="S392" s="37">
        <f t="shared" si="327"/>
        <v>0</v>
      </c>
    </row>
    <row r="393" spans="2:20" x14ac:dyDescent="0.15">
      <c r="B393" s="6" t="s">
        <v>23</v>
      </c>
      <c r="C393" s="27"/>
      <c r="D393" s="21"/>
      <c r="E393" s="53">
        <f t="shared" si="315"/>
        <v>0</v>
      </c>
      <c r="F393" s="32">
        <v>1</v>
      </c>
      <c r="G393" s="8">
        <f>1+1</f>
        <v>2</v>
      </c>
      <c r="H393" s="62">
        <f t="shared" si="316"/>
        <v>3</v>
      </c>
      <c r="I393" s="37">
        <f t="shared" si="317"/>
        <v>3</v>
      </c>
      <c r="J393" s="35">
        <v>46003</v>
      </c>
      <c r="L393" s="6"/>
      <c r="M393" s="27"/>
      <c r="N393" s="21"/>
      <c r="O393" s="53">
        <f t="shared" si="325"/>
        <v>0</v>
      </c>
      <c r="P393" s="32"/>
      <c r="Q393" s="8"/>
      <c r="R393" s="62">
        <f t="shared" si="326"/>
        <v>0</v>
      </c>
      <c r="S393" s="37">
        <f t="shared" si="327"/>
        <v>0</v>
      </c>
    </row>
    <row r="394" spans="2:20" x14ac:dyDescent="0.15">
      <c r="B394" s="6" t="s">
        <v>132</v>
      </c>
      <c r="C394" s="24"/>
      <c r="D394" s="18">
        <v>-1</v>
      </c>
      <c r="E394" s="53">
        <f t="shared" si="315"/>
        <v>-1</v>
      </c>
      <c r="F394" s="30"/>
      <c r="G394" s="7"/>
      <c r="H394" s="62">
        <f t="shared" si="316"/>
        <v>0</v>
      </c>
      <c r="I394" s="37">
        <f t="shared" si="317"/>
        <v>-1</v>
      </c>
      <c r="J394" s="35">
        <v>46003</v>
      </c>
      <c r="L394" s="6"/>
      <c r="M394" s="27"/>
      <c r="N394" s="21"/>
      <c r="O394" s="53">
        <f t="shared" si="325"/>
        <v>0</v>
      </c>
      <c r="P394" s="32"/>
      <c r="Q394" s="8"/>
      <c r="R394" s="62">
        <f t="shared" si="326"/>
        <v>0</v>
      </c>
      <c r="S394" s="37">
        <f t="shared" si="327"/>
        <v>0</v>
      </c>
    </row>
    <row r="395" spans="2:20" x14ac:dyDescent="0.15">
      <c r="B395" s="6" t="s">
        <v>23</v>
      </c>
      <c r="C395" s="24"/>
      <c r="D395" s="18">
        <v>1</v>
      </c>
      <c r="E395" s="53">
        <f t="shared" si="315"/>
        <v>1</v>
      </c>
      <c r="F395" s="30">
        <v>3</v>
      </c>
      <c r="G395" s="7">
        <v>4</v>
      </c>
      <c r="H395" s="62">
        <f t="shared" si="316"/>
        <v>7</v>
      </c>
      <c r="I395" s="37">
        <f t="shared" si="317"/>
        <v>8</v>
      </c>
      <c r="J395" s="35">
        <v>46006</v>
      </c>
      <c r="L395" s="6"/>
      <c r="M395" s="27"/>
      <c r="N395" s="21"/>
      <c r="O395" s="53">
        <f t="shared" ref="O395" si="328">SUM(M395:N395)</f>
        <v>0</v>
      </c>
      <c r="P395" s="32"/>
      <c r="Q395" s="8"/>
      <c r="R395" s="62">
        <f t="shared" ref="R395" si="329">SUM(P395:Q395)</f>
        <v>0</v>
      </c>
      <c r="S395" s="37">
        <f t="shared" ref="S395" si="330">O395+R395</f>
        <v>0</v>
      </c>
    </row>
    <row r="396" spans="2:20" ht="14.25" thickBot="1" x14ac:dyDescent="0.2">
      <c r="B396" s="6" t="s">
        <v>23</v>
      </c>
      <c r="C396" s="27"/>
      <c r="D396" s="21"/>
      <c r="E396" s="53">
        <f t="shared" si="315"/>
        <v>0</v>
      </c>
      <c r="F396" s="32">
        <v>1</v>
      </c>
      <c r="G396" s="8"/>
      <c r="H396" s="62">
        <f t="shared" si="316"/>
        <v>1</v>
      </c>
      <c r="I396" s="37">
        <f t="shared" si="317"/>
        <v>1</v>
      </c>
      <c r="J396" s="35">
        <v>46008</v>
      </c>
      <c r="L396" s="6" t="s">
        <v>139</v>
      </c>
      <c r="M396" s="24"/>
      <c r="N396" s="18"/>
      <c r="O396" s="53">
        <f t="shared" si="325"/>
        <v>0</v>
      </c>
      <c r="P396" s="30"/>
      <c r="Q396" s="7"/>
      <c r="R396" s="62">
        <f t="shared" si="326"/>
        <v>0</v>
      </c>
      <c r="S396" s="37">
        <f t="shared" si="327"/>
        <v>0</v>
      </c>
      <c r="T396" t="s">
        <v>130</v>
      </c>
    </row>
    <row r="397" spans="2:20" ht="14.25" thickBot="1" x14ac:dyDescent="0.2">
      <c r="B397" s="4" t="s">
        <v>1</v>
      </c>
      <c r="C397" s="26">
        <f>SUM(C372:C396)</f>
        <v>11</v>
      </c>
      <c r="D397" s="20">
        <f>SUM(D372:D396)</f>
        <v>27</v>
      </c>
      <c r="E397" s="55">
        <f t="shared" si="315"/>
        <v>38</v>
      </c>
      <c r="F397" s="26">
        <f>SUM(F372:F396)</f>
        <v>19</v>
      </c>
      <c r="G397" s="20">
        <f>SUM(G372:G396)</f>
        <v>17</v>
      </c>
      <c r="H397" s="64">
        <f t="shared" si="316"/>
        <v>36</v>
      </c>
      <c r="I397" s="39">
        <f t="shared" si="317"/>
        <v>74</v>
      </c>
      <c r="L397" s="4" t="s">
        <v>1</v>
      </c>
      <c r="M397" s="26">
        <f>SUM(M372:M396)</f>
        <v>103</v>
      </c>
      <c r="N397" s="20">
        <f t="shared" ref="N397:S397" si="331">SUM(N372:N396)</f>
        <v>169</v>
      </c>
      <c r="O397" s="55">
        <f t="shared" si="331"/>
        <v>272</v>
      </c>
      <c r="P397" s="26">
        <f t="shared" si="331"/>
        <v>126</v>
      </c>
      <c r="Q397" s="20">
        <f t="shared" si="331"/>
        <v>204</v>
      </c>
      <c r="R397" s="64">
        <f t="shared" si="331"/>
        <v>330</v>
      </c>
      <c r="S397" s="39">
        <f t="shared" si="331"/>
        <v>602</v>
      </c>
    </row>
    <row r="398" spans="2:20" ht="14.25" thickBot="1" x14ac:dyDescent="0.2">
      <c r="B398" s="3" t="s">
        <v>0</v>
      </c>
      <c r="C398" s="29">
        <f>+C371-C397</f>
        <v>0</v>
      </c>
      <c r="D398" s="2">
        <f>+D371-D397</f>
        <v>0</v>
      </c>
      <c r="E398" s="56">
        <f t="shared" si="315"/>
        <v>0</v>
      </c>
      <c r="F398" s="29">
        <f>+F371-F397</f>
        <v>1</v>
      </c>
      <c r="G398" s="2">
        <f>+G371-G397</f>
        <v>0</v>
      </c>
      <c r="H398" s="65">
        <f t="shared" si="316"/>
        <v>1</v>
      </c>
      <c r="I398" s="41">
        <f t="shared" si="317"/>
        <v>1</v>
      </c>
      <c r="L398" s="3" t="s">
        <v>0</v>
      </c>
      <c r="M398" s="29">
        <f>+M371-M397</f>
        <v>20</v>
      </c>
      <c r="N398" s="2">
        <f t="shared" ref="N398:S398" si="332">+N371-N397</f>
        <v>30</v>
      </c>
      <c r="O398" s="56">
        <f t="shared" si="332"/>
        <v>50</v>
      </c>
      <c r="P398" s="29">
        <f t="shared" si="332"/>
        <v>28</v>
      </c>
      <c r="Q398" s="2">
        <f t="shared" si="332"/>
        <v>40</v>
      </c>
      <c r="R398" s="65">
        <f t="shared" si="332"/>
        <v>68</v>
      </c>
      <c r="S398" s="41">
        <f t="shared" si="332"/>
        <v>118</v>
      </c>
    </row>
    <row r="401" spans="2:20" ht="18.75" x14ac:dyDescent="0.2">
      <c r="B401" s="16" t="s">
        <v>28</v>
      </c>
      <c r="C401" s="15"/>
      <c r="D401" s="15"/>
      <c r="E401" s="15"/>
      <c r="F401" s="15"/>
      <c r="G401" s="15"/>
      <c r="H401" s="15"/>
      <c r="I401" s="15"/>
      <c r="L401" s="69" t="s">
        <v>29</v>
      </c>
      <c r="M401" s="70"/>
      <c r="N401" s="70"/>
      <c r="O401" s="70"/>
      <c r="P401" s="70"/>
      <c r="Q401" s="70"/>
      <c r="R401" s="70"/>
      <c r="S401" s="70"/>
    </row>
    <row r="402" spans="2:20" ht="15" thickBot="1" x14ac:dyDescent="0.2">
      <c r="B402" s="75" t="s">
        <v>26</v>
      </c>
      <c r="C402" s="15"/>
      <c r="D402" s="15"/>
      <c r="E402" s="15"/>
      <c r="F402" s="15"/>
      <c r="G402" s="15"/>
      <c r="H402" s="15"/>
      <c r="I402" s="15"/>
      <c r="L402" s="76" t="s">
        <v>25</v>
      </c>
      <c r="M402" s="70"/>
      <c r="N402" s="70"/>
      <c r="O402" s="70"/>
      <c r="P402" s="70"/>
      <c r="Q402" s="70"/>
      <c r="R402" s="70"/>
      <c r="S402" s="70"/>
    </row>
    <row r="403" spans="2:20" ht="14.25" thickBot="1" x14ac:dyDescent="0.2">
      <c r="B403" s="14"/>
      <c r="C403" s="117" t="s">
        <v>8</v>
      </c>
      <c r="D403" s="118"/>
      <c r="E403" s="119"/>
      <c r="F403" s="120" t="s">
        <v>10</v>
      </c>
      <c r="G403" s="121"/>
      <c r="H403" s="121"/>
      <c r="I403" s="115" t="s">
        <v>9</v>
      </c>
      <c r="L403" s="14"/>
      <c r="M403" s="117" t="s">
        <v>8</v>
      </c>
      <c r="N403" s="118"/>
      <c r="O403" s="119"/>
      <c r="P403" s="120" t="s">
        <v>10</v>
      </c>
      <c r="Q403" s="121"/>
      <c r="R403" s="121"/>
      <c r="S403" s="115" t="s">
        <v>9</v>
      </c>
    </row>
    <row r="404" spans="2:20" ht="14.25" thickBot="1" x14ac:dyDescent="0.2">
      <c r="B404" s="13"/>
      <c r="C404" s="22" t="s">
        <v>6</v>
      </c>
      <c r="D404" s="12" t="s">
        <v>5</v>
      </c>
      <c r="E404" s="48" t="s">
        <v>4</v>
      </c>
      <c r="F404" s="22" t="s">
        <v>6</v>
      </c>
      <c r="G404" s="12" t="s">
        <v>5</v>
      </c>
      <c r="H404" s="57" t="s">
        <v>4</v>
      </c>
      <c r="I404" s="116"/>
      <c r="L404" s="13"/>
      <c r="M404" s="22" t="s">
        <v>6</v>
      </c>
      <c r="N404" s="12" t="s">
        <v>5</v>
      </c>
      <c r="O404" s="48" t="s">
        <v>4</v>
      </c>
      <c r="P404" s="22" t="s">
        <v>6</v>
      </c>
      <c r="Q404" s="12" t="s">
        <v>5</v>
      </c>
      <c r="R404" s="57" t="s">
        <v>4</v>
      </c>
      <c r="S404" s="116"/>
    </row>
    <row r="405" spans="2:20" x14ac:dyDescent="0.15">
      <c r="B405" s="45" t="s">
        <v>0</v>
      </c>
      <c r="C405" s="46">
        <f>C398</f>
        <v>0</v>
      </c>
      <c r="D405" s="47">
        <f t="shared" ref="D405:H405" si="333">D398</f>
        <v>0</v>
      </c>
      <c r="E405" s="66">
        <f t="shared" si="333"/>
        <v>0</v>
      </c>
      <c r="F405" s="46">
        <f t="shared" si="333"/>
        <v>1</v>
      </c>
      <c r="G405" s="47">
        <f t="shared" si="333"/>
        <v>0</v>
      </c>
      <c r="H405" s="67">
        <f t="shared" si="333"/>
        <v>1</v>
      </c>
      <c r="I405" s="40">
        <f>E405+H405</f>
        <v>1</v>
      </c>
      <c r="L405" s="45" t="s">
        <v>0</v>
      </c>
      <c r="M405" s="46">
        <f>M398</f>
        <v>20</v>
      </c>
      <c r="N405" s="47">
        <f t="shared" ref="N405:S405" si="334">N398</f>
        <v>30</v>
      </c>
      <c r="O405" s="66">
        <f t="shared" si="334"/>
        <v>50</v>
      </c>
      <c r="P405" s="46">
        <f t="shared" si="334"/>
        <v>28</v>
      </c>
      <c r="Q405" s="47">
        <f t="shared" si="334"/>
        <v>40</v>
      </c>
      <c r="R405" s="67">
        <f t="shared" si="334"/>
        <v>68</v>
      </c>
      <c r="S405" s="40">
        <f t="shared" si="334"/>
        <v>118</v>
      </c>
    </row>
    <row r="406" spans="2:20" x14ac:dyDescent="0.15">
      <c r="B406" s="106" t="s">
        <v>3</v>
      </c>
      <c r="C406" s="78"/>
      <c r="D406" s="79"/>
      <c r="E406" s="107">
        <f t="shared" ref="E406:E438" si="335">SUM(C406:D406)</f>
        <v>0</v>
      </c>
      <c r="F406" s="81"/>
      <c r="G406" s="82">
        <v>19</v>
      </c>
      <c r="H406" s="108">
        <f t="shared" ref="H406:H438" si="336">SUM(F406:G406)</f>
        <v>19</v>
      </c>
      <c r="I406" s="84">
        <f t="shared" ref="I406:I438" si="337">E406+H406</f>
        <v>19</v>
      </c>
      <c r="J406" s="109">
        <v>46008</v>
      </c>
      <c r="L406" s="11" t="s">
        <v>3</v>
      </c>
      <c r="M406" s="24"/>
      <c r="N406" s="18"/>
      <c r="O406" s="50">
        <f t="shared" ref="O406:O410" si="338">SUM(M406:N406)</f>
        <v>0</v>
      </c>
      <c r="P406" s="30"/>
      <c r="Q406" s="7"/>
      <c r="R406" s="59">
        <f t="shared" ref="R406:R410" si="339">SUM(P406:Q406)</f>
        <v>0</v>
      </c>
      <c r="S406" s="37">
        <f t="shared" ref="S406:S410" si="340">O406+R406</f>
        <v>0</v>
      </c>
    </row>
    <row r="407" spans="2:20" x14ac:dyDescent="0.15">
      <c r="B407" s="106" t="s">
        <v>3</v>
      </c>
      <c r="C407" s="78">
        <v>10</v>
      </c>
      <c r="D407" s="79">
        <v>10</v>
      </c>
      <c r="E407" s="107">
        <f t="shared" si="335"/>
        <v>20</v>
      </c>
      <c r="F407" s="81">
        <v>10</v>
      </c>
      <c r="G407" s="82">
        <v>10</v>
      </c>
      <c r="H407" s="108">
        <f t="shared" si="336"/>
        <v>20</v>
      </c>
      <c r="I407" s="84">
        <f t="shared" si="337"/>
        <v>40</v>
      </c>
      <c r="J407" s="109">
        <v>46028</v>
      </c>
      <c r="K407" s="110"/>
      <c r="L407" s="11" t="s">
        <v>141</v>
      </c>
      <c r="M407" s="24">
        <v>45</v>
      </c>
      <c r="N407" s="18">
        <v>84</v>
      </c>
      <c r="O407" s="50">
        <f t="shared" si="338"/>
        <v>129</v>
      </c>
      <c r="P407" s="30">
        <v>67</v>
      </c>
      <c r="Q407" s="7">
        <v>116</v>
      </c>
      <c r="R407" s="59">
        <f t="shared" si="339"/>
        <v>183</v>
      </c>
      <c r="S407" s="37">
        <f t="shared" si="340"/>
        <v>312</v>
      </c>
      <c r="T407" s="98">
        <v>46039</v>
      </c>
    </row>
    <row r="408" spans="2:20" x14ac:dyDescent="0.15">
      <c r="B408" s="106" t="s">
        <v>3</v>
      </c>
      <c r="C408" s="78">
        <v>5</v>
      </c>
      <c r="D408" s="79"/>
      <c r="E408" s="107">
        <f t="shared" si="335"/>
        <v>5</v>
      </c>
      <c r="F408" s="81"/>
      <c r="G408" s="82"/>
      <c r="H408" s="108">
        <f t="shared" si="336"/>
        <v>0</v>
      </c>
      <c r="I408" s="84">
        <f t="shared" si="337"/>
        <v>5</v>
      </c>
      <c r="J408" s="109">
        <v>46029</v>
      </c>
      <c r="L408" s="11" t="s">
        <v>3</v>
      </c>
      <c r="M408" s="24"/>
      <c r="N408" s="18"/>
      <c r="O408" s="50">
        <f t="shared" si="338"/>
        <v>0</v>
      </c>
      <c r="P408" s="30"/>
      <c r="Q408" s="7"/>
      <c r="R408" s="59">
        <f t="shared" si="339"/>
        <v>0</v>
      </c>
      <c r="S408" s="37">
        <f t="shared" si="340"/>
        <v>0</v>
      </c>
    </row>
    <row r="409" spans="2:20" x14ac:dyDescent="0.15">
      <c r="B409" s="11" t="s">
        <v>3</v>
      </c>
      <c r="C409" s="24">
        <v>5</v>
      </c>
      <c r="D409" s="18"/>
      <c r="E409" s="50">
        <f t="shared" si="335"/>
        <v>5</v>
      </c>
      <c r="F409" s="30"/>
      <c r="G409" s="7"/>
      <c r="H409" s="59">
        <f t="shared" si="336"/>
        <v>0</v>
      </c>
      <c r="I409" s="37">
        <f t="shared" si="337"/>
        <v>5</v>
      </c>
      <c r="J409" s="98">
        <v>46031</v>
      </c>
      <c r="L409" s="11" t="s">
        <v>3</v>
      </c>
      <c r="M409" s="24"/>
      <c r="N409" s="18"/>
      <c r="O409" s="50">
        <f t="shared" si="338"/>
        <v>0</v>
      </c>
      <c r="P409" s="30"/>
      <c r="Q409" s="7"/>
      <c r="R409" s="59">
        <f t="shared" si="339"/>
        <v>0</v>
      </c>
      <c r="S409" s="37">
        <f t="shared" si="340"/>
        <v>0</v>
      </c>
    </row>
    <row r="410" spans="2:20" ht="14.25" thickBot="1" x14ac:dyDescent="0.2">
      <c r="B410" s="101" t="s">
        <v>3</v>
      </c>
      <c r="C410" s="28"/>
      <c r="D410" s="94">
        <v>5</v>
      </c>
      <c r="E410" s="51">
        <f t="shared" ref="E410" si="341">SUM(C410:D410)</f>
        <v>5</v>
      </c>
      <c r="F410" s="28">
        <v>5</v>
      </c>
      <c r="G410" s="94"/>
      <c r="H410" s="60">
        <f t="shared" ref="H410" si="342">SUM(F410:G410)</f>
        <v>5</v>
      </c>
      <c r="I410" s="97">
        <f t="shared" ref="I410" si="343">E410+H410</f>
        <v>10</v>
      </c>
      <c r="J410" s="98">
        <v>46032</v>
      </c>
      <c r="L410" s="101" t="s">
        <v>3</v>
      </c>
      <c r="M410" s="28"/>
      <c r="N410" s="94"/>
      <c r="O410" s="51">
        <f t="shared" si="338"/>
        <v>0</v>
      </c>
      <c r="P410" s="28"/>
      <c r="Q410" s="94"/>
      <c r="R410" s="60">
        <f t="shared" si="339"/>
        <v>0</v>
      </c>
      <c r="S410" s="97">
        <f t="shared" si="340"/>
        <v>0</v>
      </c>
    </row>
    <row r="411" spans="2:20" ht="14.25" thickBot="1" x14ac:dyDescent="0.2">
      <c r="B411" s="3" t="s">
        <v>2</v>
      </c>
      <c r="C411" s="29">
        <f>SUM(C405:C410)</f>
        <v>20</v>
      </c>
      <c r="D411" s="2">
        <f>SUM(D405:D410)</f>
        <v>15</v>
      </c>
      <c r="E411" s="52">
        <f t="shared" si="335"/>
        <v>35</v>
      </c>
      <c r="F411" s="29">
        <f>SUM(F405:F410)</f>
        <v>16</v>
      </c>
      <c r="G411" s="2">
        <f>SUM(G405:G410)</f>
        <v>29</v>
      </c>
      <c r="H411" s="61">
        <f t="shared" si="336"/>
        <v>45</v>
      </c>
      <c r="I411" s="92">
        <f t="shared" si="337"/>
        <v>80</v>
      </c>
      <c r="L411" s="42" t="s">
        <v>2</v>
      </c>
      <c r="M411" s="43">
        <f>SUM(M405:M410)</f>
        <v>65</v>
      </c>
      <c r="N411" s="44">
        <f t="shared" ref="N411:S411" si="344">SUM(N405:N410)</f>
        <v>114</v>
      </c>
      <c r="O411" s="104">
        <f t="shared" si="344"/>
        <v>179</v>
      </c>
      <c r="P411" s="43">
        <f t="shared" si="344"/>
        <v>95</v>
      </c>
      <c r="Q411" s="44">
        <f t="shared" si="344"/>
        <v>156</v>
      </c>
      <c r="R411" s="105">
        <f t="shared" si="344"/>
        <v>251</v>
      </c>
      <c r="S411" s="41">
        <f t="shared" si="344"/>
        <v>430</v>
      </c>
    </row>
    <row r="412" spans="2:20" x14ac:dyDescent="0.15">
      <c r="B412" s="6" t="s">
        <v>23</v>
      </c>
      <c r="C412" s="27"/>
      <c r="D412" s="21"/>
      <c r="E412" s="53">
        <f t="shared" si="335"/>
        <v>0</v>
      </c>
      <c r="F412" s="32">
        <v>1</v>
      </c>
      <c r="G412" s="8"/>
      <c r="H412" s="62">
        <f t="shared" si="336"/>
        <v>1</v>
      </c>
      <c r="I412" s="37">
        <f t="shared" si="337"/>
        <v>1</v>
      </c>
      <c r="J412" s="35">
        <v>46010</v>
      </c>
      <c r="L412" s="86" t="s">
        <v>140</v>
      </c>
      <c r="M412" s="78">
        <v>10</v>
      </c>
      <c r="N412" s="79">
        <v>10</v>
      </c>
      <c r="O412" s="80">
        <f t="shared" ref="O412:O434" si="345">SUM(M412:N412)</f>
        <v>20</v>
      </c>
      <c r="P412" s="81">
        <v>10</v>
      </c>
      <c r="Q412" s="82">
        <v>10</v>
      </c>
      <c r="R412" s="83">
        <f t="shared" ref="R412:R434" si="346">SUM(P412:Q412)</f>
        <v>20</v>
      </c>
      <c r="S412" s="84">
        <f t="shared" ref="S412:S434" si="347">O412+R412</f>
        <v>40</v>
      </c>
      <c r="T412" s="109">
        <v>46028</v>
      </c>
    </row>
    <row r="413" spans="2:20" x14ac:dyDescent="0.15">
      <c r="B413" s="6" t="s">
        <v>23</v>
      </c>
      <c r="C413" s="24"/>
      <c r="D413" s="18"/>
      <c r="E413" s="53">
        <f t="shared" si="335"/>
        <v>0</v>
      </c>
      <c r="F413" s="30"/>
      <c r="G413" s="7">
        <v>2</v>
      </c>
      <c r="H413" s="62">
        <f t="shared" si="336"/>
        <v>2</v>
      </c>
      <c r="I413" s="37">
        <f t="shared" si="337"/>
        <v>2</v>
      </c>
      <c r="J413" s="35">
        <v>46013</v>
      </c>
      <c r="L413" s="86" t="s">
        <v>137</v>
      </c>
      <c r="M413" s="78">
        <v>5</v>
      </c>
      <c r="N413" s="79"/>
      <c r="O413" s="80">
        <f t="shared" ref="O413:O433" si="348">SUM(M413:N413)</f>
        <v>5</v>
      </c>
      <c r="P413" s="81"/>
      <c r="Q413" s="82"/>
      <c r="R413" s="83">
        <f t="shared" ref="R413:R433" si="349">SUM(P413:Q413)</f>
        <v>0</v>
      </c>
      <c r="S413" s="84">
        <f t="shared" ref="S413:S433" si="350">O413+R413</f>
        <v>5</v>
      </c>
      <c r="T413" s="109">
        <v>46029</v>
      </c>
    </row>
    <row r="414" spans="2:20" x14ac:dyDescent="0.15">
      <c r="B414" s="6" t="s">
        <v>23</v>
      </c>
      <c r="C414" s="27"/>
      <c r="D414" s="21"/>
      <c r="E414" s="53">
        <f t="shared" si="335"/>
        <v>0</v>
      </c>
      <c r="F414" s="32"/>
      <c r="G414" s="8">
        <f>2+2</f>
        <v>4</v>
      </c>
      <c r="H414" s="62">
        <f t="shared" si="336"/>
        <v>4</v>
      </c>
      <c r="I414" s="37">
        <f t="shared" si="337"/>
        <v>4</v>
      </c>
      <c r="J414" s="35">
        <v>46017</v>
      </c>
      <c r="L414" s="6" t="s">
        <v>137</v>
      </c>
      <c r="M414" s="24">
        <v>5</v>
      </c>
      <c r="N414" s="18"/>
      <c r="O414" s="53">
        <f t="shared" si="348"/>
        <v>5</v>
      </c>
      <c r="P414" s="30"/>
      <c r="Q414" s="7"/>
      <c r="R414" s="62">
        <f t="shared" si="349"/>
        <v>0</v>
      </c>
      <c r="S414" s="37">
        <f t="shared" si="350"/>
        <v>5</v>
      </c>
      <c r="T414" s="98">
        <v>46031</v>
      </c>
    </row>
    <row r="415" spans="2:20" x14ac:dyDescent="0.15">
      <c r="B415" s="6" t="s">
        <v>23</v>
      </c>
      <c r="C415" s="27"/>
      <c r="D415" s="21"/>
      <c r="E415" s="53">
        <f t="shared" si="335"/>
        <v>0</v>
      </c>
      <c r="F415" s="32"/>
      <c r="G415" s="8">
        <v>4</v>
      </c>
      <c r="H415" s="62">
        <f t="shared" si="336"/>
        <v>4</v>
      </c>
      <c r="I415" s="37">
        <f t="shared" si="337"/>
        <v>4</v>
      </c>
      <c r="J415" s="35">
        <v>46027</v>
      </c>
      <c r="L415" s="6" t="s">
        <v>137</v>
      </c>
      <c r="M415" s="24"/>
      <c r="N415" s="18">
        <v>5</v>
      </c>
      <c r="O415" s="53">
        <f t="shared" si="348"/>
        <v>5</v>
      </c>
      <c r="P415" s="30">
        <v>5</v>
      </c>
      <c r="Q415" s="7"/>
      <c r="R415" s="62">
        <f t="shared" si="349"/>
        <v>5</v>
      </c>
      <c r="S415" s="37">
        <f t="shared" si="350"/>
        <v>10</v>
      </c>
      <c r="T415" s="98">
        <v>46032</v>
      </c>
    </row>
    <row r="416" spans="2:20" x14ac:dyDescent="0.15">
      <c r="B416" s="6" t="s">
        <v>23</v>
      </c>
      <c r="C416" s="27">
        <v>7</v>
      </c>
      <c r="D416" s="21">
        <v>3</v>
      </c>
      <c r="E416" s="53">
        <f t="shared" si="335"/>
        <v>10</v>
      </c>
      <c r="F416" s="32">
        <v>2</v>
      </c>
      <c r="G416" s="8"/>
      <c r="H416" s="62">
        <f t="shared" si="336"/>
        <v>2</v>
      </c>
      <c r="I416" s="37">
        <f t="shared" si="337"/>
        <v>12</v>
      </c>
      <c r="J416" s="35">
        <v>46028</v>
      </c>
      <c r="L416" s="6" t="s">
        <v>137</v>
      </c>
      <c r="M416" s="24">
        <v>10</v>
      </c>
      <c r="N416" s="18">
        <v>5</v>
      </c>
      <c r="O416" s="53">
        <f t="shared" si="348"/>
        <v>15</v>
      </c>
      <c r="P416" s="30"/>
      <c r="Q416" s="7"/>
      <c r="R416" s="62">
        <f t="shared" si="349"/>
        <v>0</v>
      </c>
      <c r="S416" s="37">
        <f t="shared" si="350"/>
        <v>15</v>
      </c>
      <c r="T416" s="98">
        <v>46039</v>
      </c>
    </row>
    <row r="417" spans="2:20" x14ac:dyDescent="0.15">
      <c r="B417" s="6" t="s">
        <v>23</v>
      </c>
      <c r="C417" s="27"/>
      <c r="D417" s="21">
        <v>1</v>
      </c>
      <c r="E417" s="53">
        <f t="shared" si="335"/>
        <v>1</v>
      </c>
      <c r="F417" s="32"/>
      <c r="G417" s="8"/>
      <c r="H417" s="62">
        <f t="shared" si="336"/>
        <v>0</v>
      </c>
      <c r="I417" s="37">
        <f t="shared" si="337"/>
        <v>1</v>
      </c>
      <c r="J417" s="35">
        <v>46029</v>
      </c>
      <c r="L417" s="86" t="s">
        <v>137</v>
      </c>
      <c r="M417" s="78">
        <v>5</v>
      </c>
      <c r="N417" s="79">
        <v>10</v>
      </c>
      <c r="O417" s="80">
        <f t="shared" si="348"/>
        <v>15</v>
      </c>
      <c r="P417" s="81"/>
      <c r="Q417" s="82"/>
      <c r="R417" s="83">
        <f t="shared" si="349"/>
        <v>0</v>
      </c>
      <c r="S417" s="84">
        <f t="shared" si="350"/>
        <v>15</v>
      </c>
      <c r="T417" s="109">
        <v>46051</v>
      </c>
    </row>
    <row r="418" spans="2:20" x14ac:dyDescent="0.15">
      <c r="B418" s="6" t="s">
        <v>23</v>
      </c>
      <c r="C418" s="27">
        <v>3</v>
      </c>
      <c r="D418" s="21">
        <v>1</v>
      </c>
      <c r="E418" s="53">
        <f t="shared" si="335"/>
        <v>4</v>
      </c>
      <c r="F418" s="32"/>
      <c r="G418" s="8"/>
      <c r="H418" s="62">
        <f t="shared" si="336"/>
        <v>0</v>
      </c>
      <c r="I418" s="37">
        <f t="shared" si="337"/>
        <v>4</v>
      </c>
      <c r="J418" s="35">
        <v>46030</v>
      </c>
      <c r="L418" s="6"/>
      <c r="M418" s="27"/>
      <c r="N418" s="21"/>
      <c r="O418" s="53">
        <f t="shared" si="348"/>
        <v>0</v>
      </c>
      <c r="P418" s="32"/>
      <c r="Q418" s="8"/>
      <c r="R418" s="62">
        <f t="shared" si="349"/>
        <v>0</v>
      </c>
      <c r="S418" s="37">
        <f t="shared" si="350"/>
        <v>0</v>
      </c>
    </row>
    <row r="419" spans="2:20" x14ac:dyDescent="0.15">
      <c r="B419" s="6" t="s">
        <v>23</v>
      </c>
      <c r="C419" s="24"/>
      <c r="D419" s="18"/>
      <c r="E419" s="53">
        <f t="shared" si="335"/>
        <v>0</v>
      </c>
      <c r="F419" s="30">
        <v>1</v>
      </c>
      <c r="G419" s="7"/>
      <c r="H419" s="62">
        <f t="shared" si="336"/>
        <v>1</v>
      </c>
      <c r="I419" s="37">
        <f t="shared" si="337"/>
        <v>1</v>
      </c>
      <c r="J419" s="35">
        <v>46032</v>
      </c>
      <c r="L419" s="6"/>
      <c r="M419" s="27"/>
      <c r="N419" s="21"/>
      <c r="O419" s="53">
        <f t="shared" si="348"/>
        <v>0</v>
      </c>
      <c r="P419" s="32"/>
      <c r="Q419" s="8"/>
      <c r="R419" s="62">
        <f t="shared" si="349"/>
        <v>0</v>
      </c>
      <c r="S419" s="37">
        <f t="shared" si="350"/>
        <v>0</v>
      </c>
    </row>
    <row r="420" spans="2:20" x14ac:dyDescent="0.15">
      <c r="B420" s="6" t="s">
        <v>23</v>
      </c>
      <c r="C420" s="24">
        <v>3</v>
      </c>
      <c r="D420" s="18">
        <v>1</v>
      </c>
      <c r="E420" s="53">
        <f t="shared" si="335"/>
        <v>4</v>
      </c>
      <c r="F420" s="30"/>
      <c r="G420" s="7">
        <v>2</v>
      </c>
      <c r="H420" s="62">
        <f t="shared" si="336"/>
        <v>2</v>
      </c>
      <c r="I420" s="37">
        <f t="shared" si="337"/>
        <v>6</v>
      </c>
      <c r="J420" s="35">
        <v>46035</v>
      </c>
      <c r="L420" s="6"/>
      <c r="M420" s="27"/>
      <c r="N420" s="21"/>
      <c r="O420" s="53">
        <f t="shared" si="348"/>
        <v>0</v>
      </c>
      <c r="P420" s="32"/>
      <c r="Q420" s="8"/>
      <c r="R420" s="62">
        <f t="shared" si="349"/>
        <v>0</v>
      </c>
      <c r="S420" s="37">
        <f t="shared" si="350"/>
        <v>0</v>
      </c>
    </row>
    <row r="421" spans="2:20" x14ac:dyDescent="0.15">
      <c r="B421" s="6" t="s">
        <v>23</v>
      </c>
      <c r="C421" s="24">
        <v>2</v>
      </c>
      <c r="D421" s="18">
        <v>1</v>
      </c>
      <c r="E421" s="53">
        <f t="shared" si="335"/>
        <v>3</v>
      </c>
      <c r="F421" s="30">
        <v>1</v>
      </c>
      <c r="G421" s="7"/>
      <c r="H421" s="62">
        <f t="shared" si="336"/>
        <v>1</v>
      </c>
      <c r="I421" s="37">
        <f t="shared" si="337"/>
        <v>4</v>
      </c>
      <c r="J421" s="35">
        <v>46037</v>
      </c>
      <c r="L421" s="6"/>
      <c r="M421" s="27"/>
      <c r="N421" s="21"/>
      <c r="O421" s="53">
        <f t="shared" si="348"/>
        <v>0</v>
      </c>
      <c r="P421" s="32"/>
      <c r="Q421" s="8"/>
      <c r="R421" s="62">
        <f t="shared" si="349"/>
        <v>0</v>
      </c>
      <c r="S421" s="37">
        <f t="shared" si="350"/>
        <v>0</v>
      </c>
    </row>
    <row r="422" spans="2:20" x14ac:dyDescent="0.15">
      <c r="B422" s="6" t="s">
        <v>142</v>
      </c>
      <c r="C422" s="24">
        <v>-10</v>
      </c>
      <c r="D422" s="18">
        <v>-5</v>
      </c>
      <c r="E422" s="53">
        <f t="shared" si="335"/>
        <v>-15</v>
      </c>
      <c r="F422" s="30"/>
      <c r="G422" s="7"/>
      <c r="H422" s="62">
        <f t="shared" si="336"/>
        <v>0</v>
      </c>
      <c r="I422" s="37">
        <f t="shared" si="337"/>
        <v>-15</v>
      </c>
      <c r="J422" s="35">
        <v>46039</v>
      </c>
      <c r="L422" s="6"/>
      <c r="M422" s="27"/>
      <c r="N422" s="21"/>
      <c r="O422" s="53">
        <f t="shared" si="348"/>
        <v>0</v>
      </c>
      <c r="P422" s="32"/>
      <c r="Q422" s="8"/>
      <c r="R422" s="62">
        <f t="shared" si="349"/>
        <v>0</v>
      </c>
      <c r="S422" s="37">
        <f t="shared" si="350"/>
        <v>0</v>
      </c>
    </row>
    <row r="423" spans="2:20" x14ac:dyDescent="0.15">
      <c r="B423" s="6" t="s">
        <v>23</v>
      </c>
      <c r="C423" s="27">
        <v>2</v>
      </c>
      <c r="D423" s="21"/>
      <c r="E423" s="53">
        <f t="shared" si="335"/>
        <v>2</v>
      </c>
      <c r="F423" s="32"/>
      <c r="G423" s="8">
        <v>2</v>
      </c>
      <c r="H423" s="62">
        <f t="shared" si="336"/>
        <v>2</v>
      </c>
      <c r="I423" s="37">
        <f t="shared" si="337"/>
        <v>4</v>
      </c>
      <c r="J423" s="35">
        <v>46038</v>
      </c>
      <c r="L423" s="6"/>
      <c r="M423" s="27"/>
      <c r="N423" s="21"/>
      <c r="O423" s="53">
        <f t="shared" si="348"/>
        <v>0</v>
      </c>
      <c r="P423" s="32"/>
      <c r="Q423" s="8"/>
      <c r="R423" s="62">
        <f t="shared" si="349"/>
        <v>0</v>
      </c>
      <c r="S423" s="37">
        <f t="shared" si="350"/>
        <v>0</v>
      </c>
    </row>
    <row r="424" spans="2:20" x14ac:dyDescent="0.15">
      <c r="B424" s="6" t="s">
        <v>23</v>
      </c>
      <c r="C424" s="27">
        <v>1</v>
      </c>
      <c r="D424" s="21">
        <v>1</v>
      </c>
      <c r="E424" s="53">
        <f t="shared" si="335"/>
        <v>2</v>
      </c>
      <c r="F424" s="32"/>
      <c r="G424" s="8"/>
      <c r="H424" s="62">
        <f t="shared" si="336"/>
        <v>0</v>
      </c>
      <c r="I424" s="37">
        <f t="shared" si="337"/>
        <v>2</v>
      </c>
      <c r="J424" s="35">
        <v>46041</v>
      </c>
      <c r="L424" s="6"/>
      <c r="M424" s="27"/>
      <c r="N424" s="21"/>
      <c r="O424" s="53">
        <f t="shared" si="348"/>
        <v>0</v>
      </c>
      <c r="P424" s="32"/>
      <c r="Q424" s="8"/>
      <c r="R424" s="62">
        <f t="shared" si="349"/>
        <v>0</v>
      </c>
      <c r="S424" s="37">
        <f t="shared" si="350"/>
        <v>0</v>
      </c>
    </row>
    <row r="425" spans="2:20" x14ac:dyDescent="0.15">
      <c r="B425" s="6" t="s">
        <v>23</v>
      </c>
      <c r="C425" s="27">
        <v>1</v>
      </c>
      <c r="D425" s="21"/>
      <c r="E425" s="53">
        <f t="shared" si="335"/>
        <v>1</v>
      </c>
      <c r="F425" s="32">
        <v>1</v>
      </c>
      <c r="G425" s="8"/>
      <c r="H425" s="62">
        <f t="shared" si="336"/>
        <v>1</v>
      </c>
      <c r="I425" s="37">
        <f t="shared" si="337"/>
        <v>2</v>
      </c>
      <c r="J425" s="35">
        <v>46042</v>
      </c>
      <c r="L425" s="6"/>
      <c r="M425" s="27"/>
      <c r="N425" s="21"/>
      <c r="O425" s="53">
        <f t="shared" si="348"/>
        <v>0</v>
      </c>
      <c r="P425" s="32"/>
      <c r="Q425" s="8"/>
      <c r="R425" s="62">
        <f t="shared" si="349"/>
        <v>0</v>
      </c>
      <c r="S425" s="37">
        <f t="shared" si="350"/>
        <v>0</v>
      </c>
    </row>
    <row r="426" spans="2:20" x14ac:dyDescent="0.15">
      <c r="B426" s="6" t="s">
        <v>23</v>
      </c>
      <c r="C426" s="27"/>
      <c r="D426" s="21">
        <v>1</v>
      </c>
      <c r="E426" s="53">
        <f t="shared" si="335"/>
        <v>1</v>
      </c>
      <c r="F426" s="32"/>
      <c r="G426" s="8"/>
      <c r="H426" s="62">
        <f t="shared" si="336"/>
        <v>0</v>
      </c>
      <c r="I426" s="37">
        <f t="shared" si="337"/>
        <v>1</v>
      </c>
      <c r="J426" s="35">
        <v>46043</v>
      </c>
      <c r="L426" s="6"/>
      <c r="M426" s="27"/>
      <c r="N426" s="21"/>
      <c r="O426" s="53">
        <f t="shared" si="348"/>
        <v>0</v>
      </c>
      <c r="P426" s="32"/>
      <c r="Q426" s="8"/>
      <c r="R426" s="62">
        <f t="shared" si="349"/>
        <v>0</v>
      </c>
      <c r="S426" s="37">
        <f t="shared" si="350"/>
        <v>0</v>
      </c>
    </row>
    <row r="427" spans="2:20" x14ac:dyDescent="0.15">
      <c r="B427" s="6" t="s">
        <v>23</v>
      </c>
      <c r="C427" s="27">
        <v>2</v>
      </c>
      <c r="D427" s="21"/>
      <c r="E427" s="53">
        <f t="shared" si="335"/>
        <v>2</v>
      </c>
      <c r="F427" s="32">
        <v>3</v>
      </c>
      <c r="G427" s="8"/>
      <c r="H427" s="62">
        <f t="shared" si="336"/>
        <v>3</v>
      </c>
      <c r="I427" s="37">
        <f t="shared" si="337"/>
        <v>5</v>
      </c>
      <c r="J427" s="35">
        <v>46045</v>
      </c>
      <c r="L427" s="6"/>
      <c r="M427" s="27"/>
      <c r="N427" s="21"/>
      <c r="O427" s="53">
        <f t="shared" si="348"/>
        <v>0</v>
      </c>
      <c r="P427" s="32"/>
      <c r="Q427" s="8"/>
      <c r="R427" s="62">
        <f t="shared" si="349"/>
        <v>0</v>
      </c>
      <c r="S427" s="37">
        <f t="shared" si="350"/>
        <v>0</v>
      </c>
    </row>
    <row r="428" spans="2:20" x14ac:dyDescent="0.15">
      <c r="B428" s="6" t="s">
        <v>143</v>
      </c>
      <c r="C428" s="24"/>
      <c r="D428" s="18">
        <v>1</v>
      </c>
      <c r="E428" s="53">
        <f t="shared" si="335"/>
        <v>1</v>
      </c>
      <c r="F428" s="30"/>
      <c r="G428" s="7">
        <v>1</v>
      </c>
      <c r="H428" s="62">
        <f t="shared" si="336"/>
        <v>1</v>
      </c>
      <c r="I428" s="37">
        <f t="shared" si="337"/>
        <v>2</v>
      </c>
      <c r="J428" s="35">
        <v>46049</v>
      </c>
      <c r="L428" s="6"/>
      <c r="M428" s="27"/>
      <c r="N428" s="21"/>
      <c r="O428" s="53">
        <f t="shared" si="348"/>
        <v>0</v>
      </c>
      <c r="P428" s="32"/>
      <c r="Q428" s="8"/>
      <c r="R428" s="62">
        <f t="shared" si="349"/>
        <v>0</v>
      </c>
      <c r="S428" s="37">
        <f t="shared" si="350"/>
        <v>0</v>
      </c>
    </row>
    <row r="429" spans="2:20" x14ac:dyDescent="0.15">
      <c r="B429" s="6" t="s">
        <v>23</v>
      </c>
      <c r="C429" s="24"/>
      <c r="D429" s="18"/>
      <c r="E429" s="53">
        <f t="shared" si="335"/>
        <v>0</v>
      </c>
      <c r="F429" s="30"/>
      <c r="G429" s="7">
        <v>1</v>
      </c>
      <c r="H429" s="62">
        <f t="shared" si="336"/>
        <v>1</v>
      </c>
      <c r="I429" s="37">
        <f t="shared" si="337"/>
        <v>1</v>
      </c>
      <c r="J429" s="35">
        <v>46048</v>
      </c>
      <c r="L429" s="6"/>
      <c r="M429" s="27"/>
      <c r="N429" s="21"/>
      <c r="O429" s="53">
        <f t="shared" si="348"/>
        <v>0</v>
      </c>
      <c r="P429" s="32"/>
      <c r="Q429" s="8"/>
      <c r="R429" s="62">
        <f t="shared" si="349"/>
        <v>0</v>
      </c>
      <c r="S429" s="37">
        <f t="shared" si="350"/>
        <v>0</v>
      </c>
    </row>
    <row r="430" spans="2:20" x14ac:dyDescent="0.15">
      <c r="B430" s="6" t="s">
        <v>114</v>
      </c>
      <c r="C430" s="24">
        <v>1</v>
      </c>
      <c r="D430" s="18"/>
      <c r="E430" s="53">
        <f t="shared" si="335"/>
        <v>1</v>
      </c>
      <c r="F430" s="30"/>
      <c r="G430" s="7"/>
      <c r="H430" s="62">
        <f t="shared" si="336"/>
        <v>0</v>
      </c>
      <c r="I430" s="37">
        <f t="shared" si="337"/>
        <v>1</v>
      </c>
      <c r="J430" s="35">
        <v>46050</v>
      </c>
      <c r="L430" s="6"/>
      <c r="M430" s="27"/>
      <c r="N430" s="21"/>
      <c r="O430" s="53">
        <f t="shared" si="348"/>
        <v>0</v>
      </c>
      <c r="P430" s="32"/>
      <c r="Q430" s="8"/>
      <c r="R430" s="62">
        <f t="shared" si="349"/>
        <v>0</v>
      </c>
      <c r="S430" s="37">
        <f t="shared" si="350"/>
        <v>0</v>
      </c>
    </row>
    <row r="431" spans="2:20" x14ac:dyDescent="0.15">
      <c r="B431" s="6" t="s">
        <v>114</v>
      </c>
      <c r="C431" s="24">
        <v>1</v>
      </c>
      <c r="D431" s="18"/>
      <c r="E431" s="53">
        <f t="shared" si="335"/>
        <v>1</v>
      </c>
      <c r="F431" s="30"/>
      <c r="G431" s="7"/>
      <c r="H431" s="62">
        <f t="shared" si="336"/>
        <v>0</v>
      </c>
      <c r="I431" s="37">
        <f t="shared" si="337"/>
        <v>1</v>
      </c>
      <c r="J431" s="35">
        <v>46051</v>
      </c>
      <c r="L431" s="6"/>
      <c r="M431" s="27"/>
      <c r="N431" s="21"/>
      <c r="O431" s="53">
        <f t="shared" si="348"/>
        <v>0</v>
      </c>
      <c r="P431" s="32"/>
      <c r="Q431" s="8"/>
      <c r="R431" s="62">
        <f t="shared" si="349"/>
        <v>0</v>
      </c>
      <c r="S431" s="37">
        <f t="shared" si="350"/>
        <v>0</v>
      </c>
    </row>
    <row r="432" spans="2:20" x14ac:dyDescent="0.15">
      <c r="B432" s="6" t="s">
        <v>23</v>
      </c>
      <c r="C432" s="27">
        <v>2</v>
      </c>
      <c r="D432" s="21">
        <v>10</v>
      </c>
      <c r="E432" s="53">
        <f t="shared" si="335"/>
        <v>12</v>
      </c>
      <c r="F432" s="32"/>
      <c r="G432" s="8">
        <v>2</v>
      </c>
      <c r="H432" s="62">
        <f t="shared" si="336"/>
        <v>2</v>
      </c>
      <c r="I432" s="37">
        <f t="shared" si="337"/>
        <v>14</v>
      </c>
      <c r="J432" s="35">
        <v>46050</v>
      </c>
      <c r="L432" s="6"/>
      <c r="M432" s="27"/>
      <c r="N432" s="21"/>
      <c r="O432" s="53">
        <f t="shared" si="348"/>
        <v>0</v>
      </c>
      <c r="P432" s="32"/>
      <c r="Q432" s="8"/>
      <c r="R432" s="62">
        <f t="shared" si="349"/>
        <v>0</v>
      </c>
      <c r="S432" s="37">
        <f t="shared" si="350"/>
        <v>0</v>
      </c>
    </row>
    <row r="433" spans="2:19" x14ac:dyDescent="0.15">
      <c r="B433" s="86" t="s">
        <v>3</v>
      </c>
      <c r="C433" s="78">
        <v>-5</v>
      </c>
      <c r="D433" s="79">
        <v>-10</v>
      </c>
      <c r="E433" s="80">
        <f t="shared" si="335"/>
        <v>-15</v>
      </c>
      <c r="F433" s="81"/>
      <c r="G433" s="82"/>
      <c r="H433" s="83">
        <f t="shared" si="336"/>
        <v>0</v>
      </c>
      <c r="I433" s="84">
        <f t="shared" si="337"/>
        <v>-15</v>
      </c>
      <c r="J433" s="85">
        <v>46051</v>
      </c>
      <c r="L433" s="6"/>
      <c r="M433" s="27"/>
      <c r="N433" s="21"/>
      <c r="O433" s="53">
        <f t="shared" si="348"/>
        <v>0</v>
      </c>
      <c r="P433" s="32"/>
      <c r="Q433" s="8"/>
      <c r="R433" s="62">
        <f t="shared" si="349"/>
        <v>0</v>
      </c>
      <c r="S433" s="37">
        <f t="shared" si="350"/>
        <v>0</v>
      </c>
    </row>
    <row r="434" spans="2:19" x14ac:dyDescent="0.15">
      <c r="B434" s="6" t="s">
        <v>23</v>
      </c>
      <c r="C434" s="27">
        <v>2</v>
      </c>
      <c r="D434" s="21"/>
      <c r="E434" s="53">
        <f t="shared" si="335"/>
        <v>2</v>
      </c>
      <c r="F434" s="32">
        <v>1</v>
      </c>
      <c r="G434" s="8"/>
      <c r="H434" s="62">
        <f t="shared" si="336"/>
        <v>1</v>
      </c>
      <c r="I434" s="37">
        <f t="shared" si="337"/>
        <v>3</v>
      </c>
      <c r="J434" s="35">
        <v>46051</v>
      </c>
      <c r="L434" s="6"/>
      <c r="M434" s="27"/>
      <c r="N434" s="21"/>
      <c r="O434" s="53">
        <f t="shared" si="345"/>
        <v>0</v>
      </c>
      <c r="P434" s="32"/>
      <c r="Q434" s="8"/>
      <c r="R434" s="62">
        <f t="shared" si="346"/>
        <v>0</v>
      </c>
      <c r="S434" s="37">
        <f t="shared" si="347"/>
        <v>0</v>
      </c>
    </row>
    <row r="435" spans="2:19" x14ac:dyDescent="0.15">
      <c r="B435" s="6" t="s">
        <v>23</v>
      </c>
      <c r="C435" s="27">
        <v>1</v>
      </c>
      <c r="D435" s="21">
        <v>2</v>
      </c>
      <c r="E435" s="53">
        <f t="shared" si="335"/>
        <v>3</v>
      </c>
      <c r="F435" s="32">
        <v>1</v>
      </c>
      <c r="G435" s="8"/>
      <c r="H435" s="62">
        <f t="shared" si="336"/>
        <v>1</v>
      </c>
      <c r="I435" s="37">
        <f t="shared" si="337"/>
        <v>4</v>
      </c>
      <c r="J435" s="35">
        <v>46052</v>
      </c>
      <c r="L435" s="6"/>
      <c r="M435" s="27"/>
      <c r="N435" s="21"/>
      <c r="O435" s="53">
        <f t="shared" ref="O435" si="351">SUM(M435:N435)</f>
        <v>0</v>
      </c>
      <c r="P435" s="32"/>
      <c r="Q435" s="8"/>
      <c r="R435" s="62">
        <f t="shared" ref="R435" si="352">SUM(P435:Q435)</f>
        <v>0</v>
      </c>
      <c r="S435" s="37">
        <f t="shared" ref="S435" si="353">O435+R435</f>
        <v>0</v>
      </c>
    </row>
    <row r="436" spans="2:19" ht="14.25" thickBot="1" x14ac:dyDescent="0.2">
      <c r="B436" s="6" t="s">
        <v>23</v>
      </c>
      <c r="C436" s="27">
        <v>1</v>
      </c>
      <c r="D436" s="21">
        <v>1</v>
      </c>
      <c r="E436" s="53">
        <f t="shared" si="335"/>
        <v>2</v>
      </c>
      <c r="F436" s="32"/>
      <c r="G436" s="8"/>
      <c r="H436" s="62">
        <f t="shared" si="336"/>
        <v>0</v>
      </c>
      <c r="I436" s="37">
        <f t="shared" si="337"/>
        <v>2</v>
      </c>
      <c r="J436" s="35">
        <v>46053</v>
      </c>
      <c r="L436" s="6"/>
      <c r="M436" s="27"/>
      <c r="N436" s="21"/>
      <c r="O436" s="53">
        <f t="shared" ref="O436" si="354">SUM(M436:N436)</f>
        <v>0</v>
      </c>
      <c r="P436" s="32"/>
      <c r="Q436" s="8"/>
      <c r="R436" s="62">
        <f t="shared" ref="R436" si="355">SUM(P436:Q436)</f>
        <v>0</v>
      </c>
      <c r="S436" s="37">
        <f t="shared" ref="S436" si="356">O436+R436</f>
        <v>0</v>
      </c>
    </row>
    <row r="437" spans="2:19" ht="14.25" thickBot="1" x14ac:dyDescent="0.2">
      <c r="B437" s="4" t="s">
        <v>1</v>
      </c>
      <c r="C437" s="26">
        <f>SUM(C412:C436)</f>
        <v>14</v>
      </c>
      <c r="D437" s="20">
        <f>SUM(D412:D436)</f>
        <v>8</v>
      </c>
      <c r="E437" s="55">
        <f t="shared" si="335"/>
        <v>22</v>
      </c>
      <c r="F437" s="26">
        <f>SUM(F412:F436)</f>
        <v>11</v>
      </c>
      <c r="G437" s="20">
        <f>SUM(G412:G436)</f>
        <v>18</v>
      </c>
      <c r="H437" s="64">
        <f t="shared" si="336"/>
        <v>29</v>
      </c>
      <c r="I437" s="39">
        <f t="shared" si="337"/>
        <v>51</v>
      </c>
      <c r="L437" s="4" t="s">
        <v>1</v>
      </c>
      <c r="M437" s="26">
        <f>SUM(M412:M436)</f>
        <v>35</v>
      </c>
      <c r="N437" s="20">
        <f t="shared" ref="N437:S437" si="357">SUM(N412:N436)</f>
        <v>30</v>
      </c>
      <c r="O437" s="55">
        <f t="shared" si="357"/>
        <v>65</v>
      </c>
      <c r="P437" s="26">
        <f t="shared" si="357"/>
        <v>15</v>
      </c>
      <c r="Q437" s="20">
        <f t="shared" si="357"/>
        <v>10</v>
      </c>
      <c r="R437" s="64">
        <f t="shared" si="357"/>
        <v>25</v>
      </c>
      <c r="S437" s="39">
        <f t="shared" si="357"/>
        <v>90</v>
      </c>
    </row>
    <row r="438" spans="2:19" ht="14.25" thickBot="1" x14ac:dyDescent="0.2">
      <c r="B438" s="3" t="s">
        <v>0</v>
      </c>
      <c r="C438" s="29">
        <f>+C411-C437</f>
        <v>6</v>
      </c>
      <c r="D438" s="2">
        <f>+D411-D437</f>
        <v>7</v>
      </c>
      <c r="E438" s="56">
        <f t="shared" si="335"/>
        <v>13</v>
      </c>
      <c r="F438" s="29">
        <f>+F411-F437</f>
        <v>5</v>
      </c>
      <c r="G438" s="2">
        <f>+G411-G437</f>
        <v>11</v>
      </c>
      <c r="H438" s="65">
        <f t="shared" si="336"/>
        <v>16</v>
      </c>
      <c r="I438" s="41">
        <f t="shared" si="337"/>
        <v>29</v>
      </c>
      <c r="L438" s="3" t="s">
        <v>0</v>
      </c>
      <c r="M438" s="29">
        <f>+M411-M437</f>
        <v>30</v>
      </c>
      <c r="N438" s="2">
        <f t="shared" ref="N438:S438" si="358">+N411-N437</f>
        <v>84</v>
      </c>
      <c r="O438" s="56">
        <f t="shared" si="358"/>
        <v>114</v>
      </c>
      <c r="P438" s="29">
        <f t="shared" si="358"/>
        <v>80</v>
      </c>
      <c r="Q438" s="2">
        <f t="shared" si="358"/>
        <v>146</v>
      </c>
      <c r="R438" s="65">
        <f t="shared" si="358"/>
        <v>226</v>
      </c>
      <c r="S438" s="41">
        <f t="shared" si="358"/>
        <v>340</v>
      </c>
    </row>
    <row r="441" spans="2:19" ht="18.75" x14ac:dyDescent="0.2">
      <c r="B441" s="16" t="s">
        <v>28</v>
      </c>
      <c r="C441" s="15"/>
      <c r="D441" s="15"/>
      <c r="E441" s="15"/>
      <c r="F441" s="15"/>
      <c r="G441" s="15"/>
      <c r="H441" s="15"/>
      <c r="I441" s="15"/>
      <c r="L441" s="69" t="s">
        <v>29</v>
      </c>
      <c r="M441" s="70"/>
      <c r="N441" s="70"/>
      <c r="O441" s="70"/>
      <c r="P441" s="70"/>
      <c r="Q441" s="70"/>
      <c r="R441" s="70"/>
      <c r="S441" s="70"/>
    </row>
    <row r="442" spans="2:19" ht="15" thickBot="1" x14ac:dyDescent="0.2">
      <c r="B442" s="75" t="s">
        <v>26</v>
      </c>
      <c r="C442" s="15"/>
      <c r="D442" s="15"/>
      <c r="E442" s="15"/>
      <c r="F442" s="15"/>
      <c r="G442" s="15"/>
      <c r="H442" s="15"/>
      <c r="I442" s="15"/>
      <c r="L442" s="76" t="s">
        <v>25</v>
      </c>
      <c r="M442" s="70"/>
      <c r="N442" s="70"/>
      <c r="O442" s="70"/>
      <c r="P442" s="70"/>
      <c r="Q442" s="70"/>
      <c r="R442" s="70"/>
      <c r="S442" s="70"/>
    </row>
    <row r="443" spans="2:19" ht="14.25" thickBot="1" x14ac:dyDescent="0.2">
      <c r="B443" s="14"/>
      <c r="C443" s="117" t="s">
        <v>8</v>
      </c>
      <c r="D443" s="118"/>
      <c r="E443" s="119"/>
      <c r="F443" s="120" t="s">
        <v>10</v>
      </c>
      <c r="G443" s="121"/>
      <c r="H443" s="121"/>
      <c r="I443" s="115" t="s">
        <v>9</v>
      </c>
      <c r="L443" s="14"/>
      <c r="M443" s="117" t="s">
        <v>8</v>
      </c>
      <c r="N443" s="118"/>
      <c r="O443" s="119"/>
      <c r="P443" s="120" t="s">
        <v>10</v>
      </c>
      <c r="Q443" s="121"/>
      <c r="R443" s="121"/>
      <c r="S443" s="115" t="s">
        <v>9</v>
      </c>
    </row>
    <row r="444" spans="2:19" ht="14.25" thickBot="1" x14ac:dyDescent="0.2">
      <c r="B444" s="13"/>
      <c r="C444" s="22" t="s">
        <v>6</v>
      </c>
      <c r="D444" s="12" t="s">
        <v>5</v>
      </c>
      <c r="E444" s="48" t="s">
        <v>4</v>
      </c>
      <c r="F444" s="22" t="s">
        <v>6</v>
      </c>
      <c r="G444" s="12" t="s">
        <v>5</v>
      </c>
      <c r="H444" s="57" t="s">
        <v>4</v>
      </c>
      <c r="I444" s="116"/>
      <c r="L444" s="13"/>
      <c r="M444" s="22" t="s">
        <v>6</v>
      </c>
      <c r="N444" s="12" t="s">
        <v>5</v>
      </c>
      <c r="O444" s="48" t="s">
        <v>4</v>
      </c>
      <c r="P444" s="22" t="s">
        <v>6</v>
      </c>
      <c r="Q444" s="12" t="s">
        <v>5</v>
      </c>
      <c r="R444" s="57" t="s">
        <v>4</v>
      </c>
      <c r="S444" s="116"/>
    </row>
    <row r="445" spans="2:19" x14ac:dyDescent="0.15">
      <c r="B445" s="45" t="s">
        <v>0</v>
      </c>
      <c r="C445" s="46">
        <f>C438</f>
        <v>6</v>
      </c>
      <c r="D445" s="47">
        <f t="shared" ref="D445:H445" si="359">D438</f>
        <v>7</v>
      </c>
      <c r="E445" s="66">
        <f t="shared" si="359"/>
        <v>13</v>
      </c>
      <c r="F445" s="46">
        <f t="shared" si="359"/>
        <v>5</v>
      </c>
      <c r="G445" s="47">
        <f t="shared" si="359"/>
        <v>11</v>
      </c>
      <c r="H445" s="67">
        <f t="shared" si="359"/>
        <v>16</v>
      </c>
      <c r="I445" s="40">
        <f>E445+H445</f>
        <v>29</v>
      </c>
      <c r="L445" s="45" t="s">
        <v>0</v>
      </c>
      <c r="M445" s="46">
        <f>M438</f>
        <v>30</v>
      </c>
      <c r="N445" s="47">
        <f t="shared" ref="N445:S445" si="360">N438</f>
        <v>84</v>
      </c>
      <c r="O445" s="66">
        <f t="shared" si="360"/>
        <v>114</v>
      </c>
      <c r="P445" s="46">
        <f t="shared" si="360"/>
        <v>80</v>
      </c>
      <c r="Q445" s="47">
        <f t="shared" si="360"/>
        <v>146</v>
      </c>
      <c r="R445" s="67">
        <f t="shared" si="360"/>
        <v>226</v>
      </c>
      <c r="S445" s="40">
        <f t="shared" si="360"/>
        <v>340</v>
      </c>
    </row>
    <row r="446" spans="2:19" x14ac:dyDescent="0.15">
      <c r="B446" s="106" t="s">
        <v>3</v>
      </c>
      <c r="C446" s="78">
        <v>5</v>
      </c>
      <c r="D446" s="79">
        <v>5</v>
      </c>
      <c r="E446" s="107">
        <f t="shared" ref="E446:E478" si="361">SUM(C446:D446)</f>
        <v>10</v>
      </c>
      <c r="F446" s="81">
        <v>5</v>
      </c>
      <c r="G446" s="82"/>
      <c r="H446" s="108">
        <f t="shared" ref="H446:H478" si="362">SUM(F446:G446)</f>
        <v>5</v>
      </c>
      <c r="I446" s="84">
        <f t="shared" ref="I446:I478" si="363">E446+H446</f>
        <v>15</v>
      </c>
      <c r="J446" s="109">
        <v>46053</v>
      </c>
      <c r="L446" s="11" t="s">
        <v>3</v>
      </c>
      <c r="M446" s="24"/>
      <c r="N446" s="18"/>
      <c r="O446" s="50">
        <f t="shared" ref="O446:O450" si="364">SUM(M446:N446)</f>
        <v>0</v>
      </c>
      <c r="P446" s="30"/>
      <c r="Q446" s="7"/>
      <c r="R446" s="59">
        <f t="shared" ref="R446:R450" si="365">SUM(P446:Q446)</f>
        <v>0</v>
      </c>
      <c r="S446" s="37">
        <f t="shared" ref="S446:S450" si="366">O446+R446</f>
        <v>0</v>
      </c>
    </row>
    <row r="447" spans="2:19" x14ac:dyDescent="0.15">
      <c r="B447" s="11" t="s">
        <v>3</v>
      </c>
      <c r="C447" s="24"/>
      <c r="D447" s="18"/>
      <c r="E447" s="50">
        <f t="shared" si="361"/>
        <v>0</v>
      </c>
      <c r="F447" s="30">
        <v>5</v>
      </c>
      <c r="G447" s="7"/>
      <c r="H447" s="59">
        <f t="shared" si="362"/>
        <v>5</v>
      </c>
      <c r="I447" s="37">
        <f t="shared" si="363"/>
        <v>5</v>
      </c>
      <c r="J447" s="98">
        <v>46059</v>
      </c>
      <c r="K447" s="110"/>
      <c r="L447" s="11" t="s">
        <v>3</v>
      </c>
      <c r="M447" s="24"/>
      <c r="N447" s="18"/>
      <c r="O447" s="50">
        <f t="shared" si="364"/>
        <v>0</v>
      </c>
      <c r="P447" s="30"/>
      <c r="Q447" s="7"/>
      <c r="R447" s="59">
        <f t="shared" si="365"/>
        <v>0</v>
      </c>
      <c r="S447" s="37">
        <f t="shared" si="366"/>
        <v>0</v>
      </c>
    </row>
    <row r="448" spans="2:19" x14ac:dyDescent="0.15">
      <c r="B448" s="11" t="s">
        <v>3</v>
      </c>
      <c r="C448" s="24">
        <v>5</v>
      </c>
      <c r="D448" s="18"/>
      <c r="E448" s="50">
        <f t="shared" si="361"/>
        <v>5</v>
      </c>
      <c r="F448" s="30"/>
      <c r="G448" s="7"/>
      <c r="H448" s="59">
        <f t="shared" si="362"/>
        <v>0</v>
      </c>
      <c r="I448" s="37">
        <f t="shared" si="363"/>
        <v>5</v>
      </c>
      <c r="J448" s="98">
        <v>46063</v>
      </c>
      <c r="L448" s="11" t="s">
        <v>3</v>
      </c>
      <c r="M448" s="24"/>
      <c r="N448" s="18"/>
      <c r="O448" s="50">
        <f t="shared" si="364"/>
        <v>0</v>
      </c>
      <c r="P448" s="30"/>
      <c r="Q448" s="7"/>
      <c r="R448" s="59">
        <f t="shared" si="365"/>
        <v>0</v>
      </c>
      <c r="S448" s="37">
        <f t="shared" si="366"/>
        <v>0</v>
      </c>
    </row>
    <row r="449" spans="2:20" x14ac:dyDescent="0.15">
      <c r="B449" s="11" t="s">
        <v>3</v>
      </c>
      <c r="C449" s="24">
        <v>10</v>
      </c>
      <c r="D449" s="18">
        <v>10</v>
      </c>
      <c r="E449" s="50">
        <f t="shared" si="361"/>
        <v>20</v>
      </c>
      <c r="F449" s="30">
        <v>3</v>
      </c>
      <c r="G449" s="7">
        <v>5</v>
      </c>
      <c r="H449" s="59">
        <f t="shared" si="362"/>
        <v>8</v>
      </c>
      <c r="I449" s="37">
        <f t="shared" si="363"/>
        <v>28</v>
      </c>
      <c r="J449" s="98">
        <v>46066</v>
      </c>
      <c r="L449" s="11" t="s">
        <v>3</v>
      </c>
      <c r="M449" s="24"/>
      <c r="N449" s="18"/>
      <c r="O449" s="50">
        <f t="shared" si="364"/>
        <v>0</v>
      </c>
      <c r="P449" s="30"/>
      <c r="Q449" s="7"/>
      <c r="R449" s="59">
        <f t="shared" si="365"/>
        <v>0</v>
      </c>
      <c r="S449" s="37">
        <f t="shared" si="366"/>
        <v>0</v>
      </c>
    </row>
    <row r="450" spans="2:20" ht="14.25" thickBot="1" x14ac:dyDescent="0.2">
      <c r="B450" s="101" t="s">
        <v>96</v>
      </c>
      <c r="C450" s="28">
        <v>0</v>
      </c>
      <c r="D450" s="94">
        <v>0</v>
      </c>
      <c r="E450" s="51">
        <f t="shared" si="361"/>
        <v>0</v>
      </c>
      <c r="F450" s="28">
        <v>0</v>
      </c>
      <c r="G450" s="94">
        <v>0</v>
      </c>
      <c r="H450" s="60">
        <f t="shared" si="362"/>
        <v>0</v>
      </c>
      <c r="I450" s="97">
        <f t="shared" si="363"/>
        <v>0</v>
      </c>
      <c r="J450" s="98">
        <v>46071</v>
      </c>
      <c r="L450" s="101" t="s">
        <v>3</v>
      </c>
      <c r="M450" s="28"/>
      <c r="N450" s="94"/>
      <c r="O450" s="51">
        <f t="shared" si="364"/>
        <v>0</v>
      </c>
      <c r="P450" s="28"/>
      <c r="Q450" s="94"/>
      <c r="R450" s="60">
        <f t="shared" si="365"/>
        <v>0</v>
      </c>
      <c r="S450" s="97">
        <f t="shared" si="366"/>
        <v>0</v>
      </c>
    </row>
    <row r="451" spans="2:20" ht="14.25" thickBot="1" x14ac:dyDescent="0.2">
      <c r="B451" s="3" t="s">
        <v>2</v>
      </c>
      <c r="C451" s="29">
        <f>SUM(C445:C450)</f>
        <v>26</v>
      </c>
      <c r="D451" s="2">
        <f>SUM(D445:D450)</f>
        <v>22</v>
      </c>
      <c r="E451" s="52">
        <f t="shared" si="361"/>
        <v>48</v>
      </c>
      <c r="F451" s="29">
        <f>SUM(F445:F450)</f>
        <v>18</v>
      </c>
      <c r="G451" s="2">
        <f>SUM(G445:G450)</f>
        <v>16</v>
      </c>
      <c r="H451" s="61">
        <f t="shared" si="362"/>
        <v>34</v>
      </c>
      <c r="I451" s="92">
        <f t="shared" si="363"/>
        <v>82</v>
      </c>
      <c r="L451" s="42" t="s">
        <v>2</v>
      </c>
      <c r="M451" s="43">
        <f>SUM(M445:M450)</f>
        <v>30</v>
      </c>
      <c r="N451" s="44">
        <f t="shared" ref="N451:S451" si="367">SUM(N445:N450)</f>
        <v>84</v>
      </c>
      <c r="O451" s="104">
        <f t="shared" si="367"/>
        <v>114</v>
      </c>
      <c r="P451" s="43">
        <f t="shared" si="367"/>
        <v>80</v>
      </c>
      <c r="Q451" s="44">
        <f t="shared" si="367"/>
        <v>146</v>
      </c>
      <c r="R451" s="105">
        <f t="shared" si="367"/>
        <v>226</v>
      </c>
      <c r="S451" s="41">
        <f t="shared" si="367"/>
        <v>340</v>
      </c>
    </row>
    <row r="452" spans="2:20" x14ac:dyDescent="0.15">
      <c r="B452" s="6" t="s">
        <v>23</v>
      </c>
      <c r="C452" s="27">
        <v>1</v>
      </c>
      <c r="D452" s="21"/>
      <c r="E452" s="53">
        <f t="shared" si="361"/>
        <v>1</v>
      </c>
      <c r="F452" s="32">
        <v>2</v>
      </c>
      <c r="G452" s="8">
        <v>2</v>
      </c>
      <c r="H452" s="62">
        <f t="shared" si="362"/>
        <v>4</v>
      </c>
      <c r="I452" s="37">
        <f t="shared" si="363"/>
        <v>5</v>
      </c>
      <c r="J452" s="35">
        <v>46055</v>
      </c>
      <c r="L452" s="6" t="s">
        <v>144</v>
      </c>
      <c r="M452" s="27">
        <v>5</v>
      </c>
      <c r="N452" s="21">
        <v>5</v>
      </c>
      <c r="O452" s="53">
        <f t="shared" ref="O452:O458" si="368">SUM(M452:N452)</f>
        <v>10</v>
      </c>
      <c r="P452" s="32">
        <v>5</v>
      </c>
      <c r="Q452" s="8"/>
      <c r="R452" s="62">
        <f t="shared" ref="R452:R458" si="369">SUM(P452:Q452)</f>
        <v>5</v>
      </c>
      <c r="S452" s="37">
        <f t="shared" ref="S452:S458" si="370">O452+R452</f>
        <v>15</v>
      </c>
      <c r="T452" s="98">
        <v>46053</v>
      </c>
    </row>
    <row r="453" spans="2:20" x14ac:dyDescent="0.15">
      <c r="B453" s="6" t="s">
        <v>23</v>
      </c>
      <c r="C453" s="24">
        <v>2</v>
      </c>
      <c r="D453" s="18">
        <v>1</v>
      </c>
      <c r="E453" s="53">
        <f t="shared" si="361"/>
        <v>3</v>
      </c>
      <c r="F453" s="30">
        <v>2</v>
      </c>
      <c r="G453" s="7">
        <v>1</v>
      </c>
      <c r="H453" s="62">
        <f t="shared" si="362"/>
        <v>3</v>
      </c>
      <c r="I453" s="37">
        <f t="shared" si="363"/>
        <v>6</v>
      </c>
      <c r="J453" s="35">
        <v>46056</v>
      </c>
      <c r="L453" s="6" t="s">
        <v>137</v>
      </c>
      <c r="M453" s="24"/>
      <c r="N453" s="18"/>
      <c r="O453" s="53">
        <f t="shared" si="368"/>
        <v>0</v>
      </c>
      <c r="P453" s="30">
        <v>5</v>
      </c>
      <c r="Q453" s="7"/>
      <c r="R453" s="62">
        <f t="shared" si="369"/>
        <v>5</v>
      </c>
      <c r="S453" s="37">
        <f t="shared" si="370"/>
        <v>5</v>
      </c>
      <c r="T453" s="98">
        <v>46059</v>
      </c>
    </row>
    <row r="454" spans="2:20" x14ac:dyDescent="0.15">
      <c r="B454" s="6" t="s">
        <v>23</v>
      </c>
      <c r="C454" s="27">
        <v>1</v>
      </c>
      <c r="D454" s="21"/>
      <c r="E454" s="53">
        <f t="shared" si="361"/>
        <v>1</v>
      </c>
      <c r="F454" s="32">
        <v>2</v>
      </c>
      <c r="G454" s="8"/>
      <c r="H454" s="62">
        <f t="shared" si="362"/>
        <v>2</v>
      </c>
      <c r="I454" s="37">
        <f t="shared" si="363"/>
        <v>3</v>
      </c>
      <c r="J454" s="35">
        <v>46058</v>
      </c>
      <c r="L454" s="6" t="s">
        <v>137</v>
      </c>
      <c r="M454" s="24">
        <v>5</v>
      </c>
      <c r="N454" s="18"/>
      <c r="O454" s="53">
        <f t="shared" si="368"/>
        <v>5</v>
      </c>
      <c r="P454" s="30"/>
      <c r="Q454" s="7"/>
      <c r="R454" s="62">
        <f t="shared" si="369"/>
        <v>0</v>
      </c>
      <c r="S454" s="37">
        <f t="shared" si="370"/>
        <v>5</v>
      </c>
      <c r="T454" s="98">
        <v>46063</v>
      </c>
    </row>
    <row r="455" spans="2:20" x14ac:dyDescent="0.15">
      <c r="B455" s="6" t="s">
        <v>145</v>
      </c>
      <c r="C455" s="24"/>
      <c r="D455" s="18"/>
      <c r="E455" s="53">
        <f t="shared" si="361"/>
        <v>0</v>
      </c>
      <c r="F455" s="30"/>
      <c r="G455" s="7">
        <v>2</v>
      </c>
      <c r="H455" s="62">
        <f t="shared" si="362"/>
        <v>2</v>
      </c>
      <c r="I455" s="37">
        <f t="shared" si="363"/>
        <v>2</v>
      </c>
      <c r="J455" s="35">
        <v>46060</v>
      </c>
      <c r="L455" s="6" t="s">
        <v>137</v>
      </c>
      <c r="M455" s="24">
        <v>10</v>
      </c>
      <c r="N455" s="18">
        <v>10</v>
      </c>
      <c r="O455" s="53">
        <f t="shared" si="368"/>
        <v>20</v>
      </c>
      <c r="P455" s="30">
        <v>3</v>
      </c>
      <c r="Q455" s="7">
        <v>5</v>
      </c>
      <c r="R455" s="62">
        <f t="shared" si="369"/>
        <v>8</v>
      </c>
      <c r="S455" s="37">
        <f t="shared" si="370"/>
        <v>28</v>
      </c>
      <c r="T455" s="98">
        <v>46066</v>
      </c>
    </row>
    <row r="456" spans="2:20" x14ac:dyDescent="0.15">
      <c r="B456" s="6" t="s">
        <v>23</v>
      </c>
      <c r="C456" s="24">
        <v>2</v>
      </c>
      <c r="D456" s="18">
        <v>1</v>
      </c>
      <c r="E456" s="53">
        <f t="shared" si="361"/>
        <v>3</v>
      </c>
      <c r="F456" s="30"/>
      <c r="G456" s="7"/>
      <c r="H456" s="62">
        <f t="shared" si="362"/>
        <v>0</v>
      </c>
      <c r="I456" s="37">
        <f t="shared" si="363"/>
        <v>3</v>
      </c>
      <c r="J456" s="35">
        <v>46059</v>
      </c>
      <c r="L456" s="6" t="s">
        <v>137</v>
      </c>
      <c r="M456" s="24"/>
      <c r="N456" s="18">
        <v>5</v>
      </c>
      <c r="O456" s="53">
        <f t="shared" si="368"/>
        <v>5</v>
      </c>
      <c r="P456" s="30"/>
      <c r="Q456" s="7"/>
      <c r="R456" s="62">
        <f t="shared" si="369"/>
        <v>0</v>
      </c>
      <c r="S456" s="37">
        <f t="shared" si="370"/>
        <v>5</v>
      </c>
      <c r="T456" s="98">
        <v>46073</v>
      </c>
    </row>
    <row r="457" spans="2:20" x14ac:dyDescent="0.15">
      <c r="B457" s="6" t="s">
        <v>23</v>
      </c>
      <c r="C457" s="27">
        <v>4</v>
      </c>
      <c r="D457" s="21">
        <v>3</v>
      </c>
      <c r="E457" s="53">
        <f t="shared" si="361"/>
        <v>7</v>
      </c>
      <c r="F457" s="32">
        <v>1</v>
      </c>
      <c r="G457" s="8">
        <v>2</v>
      </c>
      <c r="H457" s="62">
        <f t="shared" si="362"/>
        <v>3</v>
      </c>
      <c r="I457" s="37">
        <f t="shared" si="363"/>
        <v>10</v>
      </c>
      <c r="J457" s="35">
        <v>46062</v>
      </c>
      <c r="L457" s="6" t="s">
        <v>137</v>
      </c>
      <c r="M457" s="24">
        <v>10</v>
      </c>
      <c r="N457" s="18"/>
      <c r="O457" s="53">
        <f t="shared" si="368"/>
        <v>10</v>
      </c>
      <c r="P457" s="30"/>
      <c r="Q457" s="7"/>
      <c r="R457" s="62">
        <f t="shared" si="369"/>
        <v>0</v>
      </c>
      <c r="S457" s="37">
        <f t="shared" si="370"/>
        <v>10</v>
      </c>
      <c r="T457" s="98">
        <v>46074</v>
      </c>
    </row>
    <row r="458" spans="2:20" x14ac:dyDescent="0.15">
      <c r="B458" s="6" t="s">
        <v>23</v>
      </c>
      <c r="C458" s="27">
        <v>1</v>
      </c>
      <c r="D458" s="21">
        <v>2</v>
      </c>
      <c r="E458" s="53">
        <f t="shared" si="361"/>
        <v>3</v>
      </c>
      <c r="F458" s="32">
        <v>1</v>
      </c>
      <c r="G458" s="8"/>
      <c r="H458" s="62">
        <f t="shared" si="362"/>
        <v>1</v>
      </c>
      <c r="I458" s="37">
        <f t="shared" si="363"/>
        <v>4</v>
      </c>
      <c r="J458" s="35">
        <v>46063</v>
      </c>
      <c r="L458" s="6" t="s">
        <v>137</v>
      </c>
      <c r="M458" s="24"/>
      <c r="N458" s="18"/>
      <c r="O458" s="53">
        <f t="shared" si="368"/>
        <v>0</v>
      </c>
      <c r="P458" s="30">
        <v>5</v>
      </c>
      <c r="Q458" s="7"/>
      <c r="R458" s="62">
        <f t="shared" si="369"/>
        <v>5</v>
      </c>
      <c r="S458" s="37">
        <f t="shared" si="370"/>
        <v>5</v>
      </c>
      <c r="T458" s="98">
        <v>46083</v>
      </c>
    </row>
    <row r="459" spans="2:20" x14ac:dyDescent="0.15">
      <c r="B459" s="6" t="s">
        <v>23</v>
      </c>
      <c r="C459" s="24">
        <v>2</v>
      </c>
      <c r="D459" s="18">
        <v>4</v>
      </c>
      <c r="E459" s="53">
        <f t="shared" si="361"/>
        <v>6</v>
      </c>
      <c r="F459" s="30"/>
      <c r="G459" s="7"/>
      <c r="H459" s="62">
        <f t="shared" si="362"/>
        <v>0</v>
      </c>
      <c r="I459" s="37">
        <f t="shared" si="363"/>
        <v>6</v>
      </c>
      <c r="J459" s="35">
        <v>46065</v>
      </c>
      <c r="L459" s="86" t="s">
        <v>137</v>
      </c>
      <c r="M459" s="78"/>
      <c r="N459" s="79">
        <v>5</v>
      </c>
      <c r="O459" s="80">
        <f t="shared" ref="O459:O476" si="371">SUM(M459:N459)</f>
        <v>5</v>
      </c>
      <c r="P459" s="81"/>
      <c r="Q459" s="82">
        <v>5</v>
      </c>
      <c r="R459" s="83">
        <f t="shared" ref="R459:R476" si="372">SUM(P459:Q459)</f>
        <v>5</v>
      </c>
      <c r="S459" s="84">
        <f t="shared" ref="S459:S476" si="373">O459+R459</f>
        <v>10</v>
      </c>
      <c r="T459" s="109">
        <v>46106</v>
      </c>
    </row>
    <row r="460" spans="2:20" x14ac:dyDescent="0.15">
      <c r="B460" s="6" t="s">
        <v>114</v>
      </c>
      <c r="C460" s="24"/>
      <c r="D460" s="18">
        <v>1</v>
      </c>
      <c r="E460" s="53">
        <f t="shared" si="361"/>
        <v>1</v>
      </c>
      <c r="F460" s="30"/>
      <c r="G460" s="7"/>
      <c r="H460" s="62">
        <f t="shared" si="362"/>
        <v>0</v>
      </c>
      <c r="I460" s="37">
        <f t="shared" si="363"/>
        <v>1</v>
      </c>
      <c r="J460" s="35">
        <v>46067</v>
      </c>
      <c r="L460" s="6"/>
      <c r="M460" s="27"/>
      <c r="N460" s="21"/>
      <c r="O460" s="53">
        <f t="shared" si="371"/>
        <v>0</v>
      </c>
      <c r="P460" s="32"/>
      <c r="Q460" s="8"/>
      <c r="R460" s="62">
        <f t="shared" si="372"/>
        <v>0</v>
      </c>
      <c r="S460" s="37">
        <f t="shared" si="373"/>
        <v>0</v>
      </c>
    </row>
    <row r="461" spans="2:20" x14ac:dyDescent="0.15">
      <c r="B461" s="6" t="s">
        <v>23</v>
      </c>
      <c r="C461" s="24"/>
      <c r="D461" s="18">
        <v>1</v>
      </c>
      <c r="E461" s="53">
        <f t="shared" si="361"/>
        <v>1</v>
      </c>
      <c r="F461" s="30"/>
      <c r="G461" s="7"/>
      <c r="H461" s="62">
        <f t="shared" si="362"/>
        <v>0</v>
      </c>
      <c r="I461" s="37">
        <f t="shared" si="363"/>
        <v>1</v>
      </c>
      <c r="J461" s="35">
        <v>46066</v>
      </c>
      <c r="L461" s="6"/>
      <c r="M461" s="27"/>
      <c r="N461" s="21"/>
      <c r="O461" s="53">
        <f t="shared" si="371"/>
        <v>0</v>
      </c>
      <c r="P461" s="32"/>
      <c r="Q461" s="8"/>
      <c r="R461" s="62">
        <f t="shared" si="372"/>
        <v>0</v>
      </c>
      <c r="S461" s="37">
        <f t="shared" si="373"/>
        <v>0</v>
      </c>
    </row>
    <row r="462" spans="2:20" x14ac:dyDescent="0.15">
      <c r="B462" s="6" t="s">
        <v>23</v>
      </c>
      <c r="C462" s="24">
        <v>1</v>
      </c>
      <c r="D462" s="18">
        <v>2</v>
      </c>
      <c r="E462" s="53">
        <f t="shared" si="361"/>
        <v>3</v>
      </c>
      <c r="F462" s="30"/>
      <c r="G462" s="7"/>
      <c r="H462" s="62">
        <f t="shared" si="362"/>
        <v>0</v>
      </c>
      <c r="I462" s="37">
        <f t="shared" si="363"/>
        <v>3</v>
      </c>
      <c r="J462" s="35">
        <v>46069</v>
      </c>
      <c r="L462" s="6"/>
      <c r="M462" s="27"/>
      <c r="N462" s="21"/>
      <c r="O462" s="53">
        <f t="shared" si="371"/>
        <v>0</v>
      </c>
      <c r="P462" s="32"/>
      <c r="Q462" s="8"/>
      <c r="R462" s="62">
        <f t="shared" si="372"/>
        <v>0</v>
      </c>
      <c r="S462" s="37">
        <f t="shared" si="373"/>
        <v>0</v>
      </c>
    </row>
    <row r="463" spans="2:20" x14ac:dyDescent="0.15">
      <c r="B463" s="6" t="s">
        <v>114</v>
      </c>
      <c r="C463" s="24"/>
      <c r="D463" s="18"/>
      <c r="E463" s="53">
        <f t="shared" si="361"/>
        <v>0</v>
      </c>
      <c r="F463" s="30">
        <v>2</v>
      </c>
      <c r="G463" s="7"/>
      <c r="H463" s="62">
        <f t="shared" si="362"/>
        <v>2</v>
      </c>
      <c r="I463" s="37">
        <f t="shared" si="363"/>
        <v>2</v>
      </c>
      <c r="J463" s="35">
        <v>46070</v>
      </c>
      <c r="L463" s="6"/>
      <c r="M463" s="27"/>
      <c r="N463" s="21"/>
      <c r="O463" s="53">
        <f t="shared" si="371"/>
        <v>0</v>
      </c>
      <c r="P463" s="32"/>
      <c r="Q463" s="8"/>
      <c r="R463" s="62">
        <f t="shared" si="372"/>
        <v>0</v>
      </c>
      <c r="S463" s="37">
        <f t="shared" si="373"/>
        <v>0</v>
      </c>
    </row>
    <row r="464" spans="2:20" x14ac:dyDescent="0.15">
      <c r="B464" s="6" t="s">
        <v>23</v>
      </c>
      <c r="C464" s="24"/>
      <c r="D464" s="18">
        <v>2</v>
      </c>
      <c r="E464" s="53">
        <f t="shared" si="361"/>
        <v>2</v>
      </c>
      <c r="F464" s="30"/>
      <c r="G464" s="7"/>
      <c r="H464" s="62">
        <f t="shared" si="362"/>
        <v>0</v>
      </c>
      <c r="I464" s="37">
        <f t="shared" si="363"/>
        <v>2</v>
      </c>
      <c r="J464" s="35">
        <v>46070</v>
      </c>
      <c r="L464" s="6"/>
      <c r="M464" s="27"/>
      <c r="N464" s="21"/>
      <c r="O464" s="53">
        <f t="shared" si="371"/>
        <v>0</v>
      </c>
      <c r="P464" s="32"/>
      <c r="Q464" s="8"/>
      <c r="R464" s="62">
        <f t="shared" si="372"/>
        <v>0</v>
      </c>
      <c r="S464" s="37">
        <f t="shared" si="373"/>
        <v>0</v>
      </c>
    </row>
    <row r="465" spans="2:20" x14ac:dyDescent="0.15">
      <c r="B465" s="6" t="s">
        <v>23</v>
      </c>
      <c r="C465" s="24">
        <v>1</v>
      </c>
      <c r="D465" s="18"/>
      <c r="E465" s="53">
        <f t="shared" si="361"/>
        <v>1</v>
      </c>
      <c r="F465" s="30">
        <v>1</v>
      </c>
      <c r="G465" s="7"/>
      <c r="H465" s="62">
        <f t="shared" si="362"/>
        <v>1</v>
      </c>
      <c r="I465" s="37">
        <f t="shared" si="363"/>
        <v>2</v>
      </c>
      <c r="J465" s="35">
        <v>46072</v>
      </c>
      <c r="L465" s="6"/>
      <c r="M465" s="27"/>
      <c r="N465" s="21"/>
      <c r="O465" s="53">
        <f t="shared" si="371"/>
        <v>0</v>
      </c>
      <c r="P465" s="32"/>
      <c r="Q465" s="8"/>
      <c r="R465" s="62">
        <f t="shared" si="372"/>
        <v>0</v>
      </c>
      <c r="S465" s="37">
        <f t="shared" si="373"/>
        <v>0</v>
      </c>
    </row>
    <row r="466" spans="2:20" x14ac:dyDescent="0.15">
      <c r="B466" s="6" t="s">
        <v>3</v>
      </c>
      <c r="C466" s="24"/>
      <c r="D466" s="18">
        <v>-5</v>
      </c>
      <c r="E466" s="53">
        <f t="shared" si="361"/>
        <v>-5</v>
      </c>
      <c r="F466" s="30"/>
      <c r="G466" s="7"/>
      <c r="H466" s="62">
        <f t="shared" si="362"/>
        <v>0</v>
      </c>
      <c r="I466" s="37">
        <f t="shared" si="363"/>
        <v>-5</v>
      </c>
      <c r="J466" s="35">
        <v>46073</v>
      </c>
      <c r="L466" s="6"/>
      <c r="M466" s="27"/>
      <c r="N466" s="21"/>
      <c r="O466" s="53">
        <f t="shared" si="371"/>
        <v>0</v>
      </c>
      <c r="P466" s="32"/>
      <c r="Q466" s="8"/>
      <c r="R466" s="62">
        <f t="shared" si="372"/>
        <v>0</v>
      </c>
      <c r="S466" s="37">
        <f t="shared" si="373"/>
        <v>0</v>
      </c>
    </row>
    <row r="467" spans="2:20" x14ac:dyDescent="0.15">
      <c r="B467" s="6" t="s">
        <v>23</v>
      </c>
      <c r="C467" s="78"/>
      <c r="D467" s="79">
        <v>1</v>
      </c>
      <c r="E467" s="80">
        <f t="shared" si="361"/>
        <v>1</v>
      </c>
      <c r="F467" s="81">
        <v>2</v>
      </c>
      <c r="G467" s="82"/>
      <c r="H467" s="83">
        <f t="shared" si="362"/>
        <v>2</v>
      </c>
      <c r="I467" s="84">
        <f t="shared" si="363"/>
        <v>3</v>
      </c>
      <c r="J467" s="85">
        <v>46073</v>
      </c>
      <c r="L467" s="6"/>
      <c r="M467" s="27"/>
      <c r="N467" s="21"/>
      <c r="O467" s="53">
        <f t="shared" si="371"/>
        <v>0</v>
      </c>
      <c r="P467" s="32"/>
      <c r="Q467" s="8"/>
      <c r="R467" s="62">
        <f t="shared" si="372"/>
        <v>0</v>
      </c>
      <c r="S467" s="37">
        <f t="shared" si="373"/>
        <v>0</v>
      </c>
    </row>
    <row r="468" spans="2:20" x14ac:dyDescent="0.15">
      <c r="B468" s="6" t="s">
        <v>3</v>
      </c>
      <c r="C468" s="24">
        <v>-10</v>
      </c>
      <c r="D468" s="18"/>
      <c r="E468" s="53">
        <f t="shared" si="361"/>
        <v>-10</v>
      </c>
      <c r="F468" s="30"/>
      <c r="G468" s="7"/>
      <c r="H468" s="62">
        <f t="shared" si="362"/>
        <v>0</v>
      </c>
      <c r="I468" s="37">
        <f t="shared" si="363"/>
        <v>-10</v>
      </c>
      <c r="J468" s="35">
        <v>46074</v>
      </c>
      <c r="L468" s="6"/>
      <c r="M468" s="27"/>
      <c r="N468" s="21"/>
      <c r="O468" s="53">
        <f t="shared" si="371"/>
        <v>0</v>
      </c>
      <c r="P468" s="32"/>
      <c r="Q468" s="8"/>
      <c r="R468" s="62">
        <f t="shared" si="372"/>
        <v>0</v>
      </c>
      <c r="S468" s="37">
        <f t="shared" si="373"/>
        <v>0</v>
      </c>
    </row>
    <row r="469" spans="2:20" x14ac:dyDescent="0.15">
      <c r="B469" s="6" t="s">
        <v>114</v>
      </c>
      <c r="C469" s="24"/>
      <c r="D469" s="18"/>
      <c r="E469" s="53">
        <f t="shared" si="361"/>
        <v>0</v>
      </c>
      <c r="F469" s="30">
        <v>1</v>
      </c>
      <c r="G469" s="7"/>
      <c r="H469" s="62">
        <f t="shared" si="362"/>
        <v>1</v>
      </c>
      <c r="I469" s="37">
        <f t="shared" si="363"/>
        <v>1</v>
      </c>
      <c r="J469" s="35">
        <v>46078</v>
      </c>
      <c r="L469" s="6"/>
      <c r="M469" s="27"/>
      <c r="N469" s="21"/>
      <c r="O469" s="53">
        <f t="shared" si="371"/>
        <v>0</v>
      </c>
      <c r="P469" s="32"/>
      <c r="Q469" s="8"/>
      <c r="R469" s="62">
        <f t="shared" si="372"/>
        <v>0</v>
      </c>
      <c r="S469" s="37">
        <f t="shared" si="373"/>
        <v>0</v>
      </c>
    </row>
    <row r="470" spans="2:20" x14ac:dyDescent="0.15">
      <c r="B470" s="6" t="s">
        <v>23</v>
      </c>
      <c r="C470" s="24">
        <v>2</v>
      </c>
      <c r="D470" s="18"/>
      <c r="E470" s="53">
        <f t="shared" si="361"/>
        <v>2</v>
      </c>
      <c r="F470" s="30"/>
      <c r="G470" s="7">
        <v>2</v>
      </c>
      <c r="H470" s="62">
        <f t="shared" si="362"/>
        <v>2</v>
      </c>
      <c r="I470" s="37">
        <f t="shared" si="363"/>
        <v>4</v>
      </c>
      <c r="J470" s="35">
        <v>46077</v>
      </c>
      <c r="L470" s="6"/>
      <c r="M470" s="27"/>
      <c r="N470" s="21"/>
      <c r="O470" s="53">
        <f t="shared" si="371"/>
        <v>0</v>
      </c>
      <c r="P470" s="32"/>
      <c r="Q470" s="8"/>
      <c r="R470" s="62">
        <f t="shared" si="372"/>
        <v>0</v>
      </c>
      <c r="S470" s="37">
        <f t="shared" si="373"/>
        <v>0</v>
      </c>
    </row>
    <row r="471" spans="2:20" x14ac:dyDescent="0.15">
      <c r="B471" s="6" t="s">
        <v>23</v>
      </c>
      <c r="C471" s="24">
        <v>2</v>
      </c>
      <c r="D471" s="18"/>
      <c r="E471" s="53">
        <f t="shared" si="361"/>
        <v>2</v>
      </c>
      <c r="F471" s="30">
        <v>1</v>
      </c>
      <c r="G471" s="7"/>
      <c r="H471" s="62">
        <f t="shared" si="362"/>
        <v>1</v>
      </c>
      <c r="I471" s="37">
        <f t="shared" si="363"/>
        <v>3</v>
      </c>
      <c r="J471" s="35">
        <v>46079</v>
      </c>
      <c r="L471" s="6"/>
      <c r="M471" s="27"/>
      <c r="N471" s="21"/>
      <c r="O471" s="53">
        <f t="shared" si="371"/>
        <v>0</v>
      </c>
      <c r="P471" s="32"/>
      <c r="Q471" s="8"/>
      <c r="R471" s="62">
        <f t="shared" si="372"/>
        <v>0</v>
      </c>
      <c r="S471" s="37">
        <f t="shared" si="373"/>
        <v>0</v>
      </c>
    </row>
    <row r="472" spans="2:20" x14ac:dyDescent="0.15">
      <c r="B472" s="6" t="s">
        <v>3</v>
      </c>
      <c r="C472" s="24"/>
      <c r="D472" s="18"/>
      <c r="E472" s="53">
        <f t="shared" si="361"/>
        <v>0</v>
      </c>
      <c r="F472" s="30">
        <v>-5</v>
      </c>
      <c r="G472" s="7"/>
      <c r="H472" s="62">
        <f t="shared" si="362"/>
        <v>-5</v>
      </c>
      <c r="I472" s="37">
        <f t="shared" si="363"/>
        <v>-5</v>
      </c>
      <c r="J472" s="35">
        <v>46083</v>
      </c>
      <c r="L472" s="6"/>
      <c r="M472" s="27"/>
      <c r="N472" s="21"/>
      <c r="O472" s="53">
        <f t="shared" si="371"/>
        <v>0</v>
      </c>
      <c r="P472" s="32"/>
      <c r="Q472" s="8"/>
      <c r="R472" s="62">
        <f t="shared" si="372"/>
        <v>0</v>
      </c>
      <c r="S472" s="37">
        <f t="shared" si="373"/>
        <v>0</v>
      </c>
    </row>
    <row r="473" spans="2:20" x14ac:dyDescent="0.15">
      <c r="B473" s="6" t="s">
        <v>23</v>
      </c>
      <c r="C473" s="24">
        <v>1</v>
      </c>
      <c r="D473" s="18"/>
      <c r="E473" s="53">
        <f t="shared" si="361"/>
        <v>1</v>
      </c>
      <c r="F473" s="30"/>
      <c r="G473" s="7"/>
      <c r="H473" s="62">
        <f t="shared" si="362"/>
        <v>0</v>
      </c>
      <c r="I473" s="37">
        <f t="shared" si="363"/>
        <v>1</v>
      </c>
      <c r="J473" s="35">
        <v>46083</v>
      </c>
      <c r="L473" s="6"/>
      <c r="M473" s="27"/>
      <c r="N473" s="21"/>
      <c r="O473" s="53">
        <f t="shared" si="371"/>
        <v>0</v>
      </c>
      <c r="P473" s="32"/>
      <c r="Q473" s="8"/>
      <c r="R473" s="62">
        <f t="shared" si="372"/>
        <v>0</v>
      </c>
      <c r="S473" s="37">
        <f t="shared" si="373"/>
        <v>0</v>
      </c>
    </row>
    <row r="474" spans="2:20" x14ac:dyDescent="0.15">
      <c r="B474" s="6" t="s">
        <v>114</v>
      </c>
      <c r="C474" s="24">
        <v>1</v>
      </c>
      <c r="D474" s="18"/>
      <c r="E474" s="53">
        <f t="shared" si="361"/>
        <v>1</v>
      </c>
      <c r="F474" s="30"/>
      <c r="G474" s="7"/>
      <c r="H474" s="62">
        <f t="shared" si="362"/>
        <v>0</v>
      </c>
      <c r="I474" s="37">
        <f t="shared" si="363"/>
        <v>1</v>
      </c>
      <c r="J474" s="35">
        <v>46088</v>
      </c>
      <c r="L474" s="6"/>
      <c r="M474" s="27"/>
      <c r="N474" s="21"/>
      <c r="O474" s="53">
        <f t="shared" si="371"/>
        <v>0</v>
      </c>
      <c r="P474" s="32"/>
      <c r="Q474" s="8"/>
      <c r="R474" s="62">
        <f t="shared" si="372"/>
        <v>0</v>
      </c>
      <c r="S474" s="37">
        <f t="shared" si="373"/>
        <v>0</v>
      </c>
    </row>
    <row r="475" spans="2:20" x14ac:dyDescent="0.15">
      <c r="B475" s="6" t="s">
        <v>114</v>
      </c>
      <c r="C475" s="24"/>
      <c r="D475" s="18">
        <v>2</v>
      </c>
      <c r="E475" s="53">
        <f t="shared" si="361"/>
        <v>2</v>
      </c>
      <c r="F475" s="30"/>
      <c r="G475" s="7">
        <v>2</v>
      </c>
      <c r="H475" s="62">
        <f t="shared" si="362"/>
        <v>2</v>
      </c>
      <c r="I475" s="37">
        <f t="shared" si="363"/>
        <v>4</v>
      </c>
      <c r="J475" s="35">
        <v>46091</v>
      </c>
      <c r="L475" s="6"/>
      <c r="M475" s="27"/>
      <c r="N475" s="21"/>
      <c r="O475" s="53">
        <f t="shared" si="371"/>
        <v>0</v>
      </c>
      <c r="P475" s="32"/>
      <c r="Q475" s="8"/>
      <c r="R475" s="62">
        <f t="shared" si="372"/>
        <v>0</v>
      </c>
      <c r="S475" s="37">
        <f t="shared" si="373"/>
        <v>0</v>
      </c>
    </row>
    <row r="476" spans="2:20" ht="14.25" thickBot="1" x14ac:dyDescent="0.2">
      <c r="B476" s="6" t="s">
        <v>23</v>
      </c>
      <c r="C476" s="27">
        <v>3</v>
      </c>
      <c r="D476" s="21">
        <v>2</v>
      </c>
      <c r="E476" s="53">
        <f t="shared" si="361"/>
        <v>5</v>
      </c>
      <c r="F476" s="32"/>
      <c r="G476" s="8"/>
      <c r="H476" s="62">
        <f t="shared" si="362"/>
        <v>0</v>
      </c>
      <c r="I476" s="37">
        <f t="shared" si="363"/>
        <v>5</v>
      </c>
      <c r="J476" s="35">
        <v>46090</v>
      </c>
      <c r="L476" s="6"/>
      <c r="M476" s="27"/>
      <c r="N476" s="21"/>
      <c r="O476" s="53">
        <f t="shared" si="371"/>
        <v>0</v>
      </c>
      <c r="P476" s="32"/>
      <c r="Q476" s="8"/>
      <c r="R476" s="62">
        <f t="shared" si="372"/>
        <v>0</v>
      </c>
      <c r="S476" s="37">
        <f t="shared" si="373"/>
        <v>0</v>
      </c>
    </row>
    <row r="477" spans="2:20" ht="14.25" thickBot="1" x14ac:dyDescent="0.2">
      <c r="B477" s="4" t="s">
        <v>1</v>
      </c>
      <c r="C477" s="26">
        <f>SUM(C452:C476)</f>
        <v>14</v>
      </c>
      <c r="D477" s="20">
        <f>SUM(D452:D476)</f>
        <v>17</v>
      </c>
      <c r="E477" s="55">
        <f t="shared" si="361"/>
        <v>31</v>
      </c>
      <c r="F477" s="26">
        <f>SUM(F452:F476)</f>
        <v>10</v>
      </c>
      <c r="G477" s="20">
        <f>SUM(G452:G476)</f>
        <v>11</v>
      </c>
      <c r="H477" s="64">
        <f t="shared" si="362"/>
        <v>21</v>
      </c>
      <c r="I477" s="39">
        <f t="shared" si="363"/>
        <v>52</v>
      </c>
      <c r="L477" s="4" t="s">
        <v>1</v>
      </c>
      <c r="M477" s="112">
        <f>SUM(M452:M476)</f>
        <v>30</v>
      </c>
      <c r="N477" s="20">
        <f t="shared" ref="N477:S477" si="374">SUM(N452:N476)</f>
        <v>25</v>
      </c>
      <c r="O477" s="55">
        <f t="shared" si="374"/>
        <v>55</v>
      </c>
      <c r="P477" s="26">
        <f t="shared" si="374"/>
        <v>18</v>
      </c>
      <c r="Q477" s="20">
        <f t="shared" si="374"/>
        <v>10</v>
      </c>
      <c r="R477" s="64">
        <f t="shared" si="374"/>
        <v>28</v>
      </c>
      <c r="S477" s="39">
        <f t="shared" si="374"/>
        <v>83</v>
      </c>
    </row>
    <row r="478" spans="2:20" ht="14.25" thickBot="1" x14ac:dyDescent="0.2">
      <c r="B478" s="3" t="s">
        <v>0</v>
      </c>
      <c r="C478" s="29">
        <f>+C451-C477</f>
        <v>12</v>
      </c>
      <c r="D478" s="2">
        <f>+D451-D477</f>
        <v>5</v>
      </c>
      <c r="E478" s="56">
        <f t="shared" si="361"/>
        <v>17</v>
      </c>
      <c r="F478" s="29">
        <f>+F451-F477</f>
        <v>8</v>
      </c>
      <c r="G478" s="2">
        <f>+G451-G477</f>
        <v>5</v>
      </c>
      <c r="H478" s="65">
        <f t="shared" si="362"/>
        <v>13</v>
      </c>
      <c r="I478" s="41">
        <f t="shared" si="363"/>
        <v>30</v>
      </c>
      <c r="L478" s="3" t="s">
        <v>0</v>
      </c>
      <c r="M478" s="113">
        <f>+M451-M477</f>
        <v>0</v>
      </c>
      <c r="N478" s="2">
        <f t="shared" ref="N478:S478" si="375">+N451-N477</f>
        <v>59</v>
      </c>
      <c r="O478" s="56">
        <f t="shared" si="375"/>
        <v>59</v>
      </c>
      <c r="P478" s="29">
        <f t="shared" si="375"/>
        <v>62</v>
      </c>
      <c r="Q478" s="2">
        <f t="shared" si="375"/>
        <v>136</v>
      </c>
      <c r="R478" s="65">
        <f t="shared" si="375"/>
        <v>198</v>
      </c>
      <c r="S478" s="41">
        <f t="shared" si="375"/>
        <v>257</v>
      </c>
      <c r="T478" s="114" t="s">
        <v>146</v>
      </c>
    </row>
    <row r="481" spans="2:20" ht="18.75" x14ac:dyDescent="0.2">
      <c r="B481" s="16" t="s">
        <v>28</v>
      </c>
      <c r="C481" s="15"/>
      <c r="D481" s="15"/>
      <c r="E481" s="15"/>
      <c r="F481" s="15"/>
      <c r="G481" s="15"/>
      <c r="H481" s="15"/>
      <c r="I481" s="15"/>
      <c r="L481" s="69" t="s">
        <v>29</v>
      </c>
      <c r="M481" s="70"/>
      <c r="N481" s="70"/>
      <c r="O481" s="70"/>
      <c r="P481" s="70"/>
      <c r="Q481" s="70"/>
      <c r="R481" s="70"/>
      <c r="S481" s="70"/>
    </row>
    <row r="482" spans="2:20" ht="15" thickBot="1" x14ac:dyDescent="0.2">
      <c r="B482" s="75" t="s">
        <v>26</v>
      </c>
      <c r="C482" s="15"/>
      <c r="D482" s="15"/>
      <c r="E482" s="15"/>
      <c r="F482" s="15"/>
      <c r="G482" s="15"/>
      <c r="H482" s="15"/>
      <c r="I482" s="15"/>
      <c r="L482" s="76" t="s">
        <v>25</v>
      </c>
      <c r="M482" s="70"/>
      <c r="N482" s="70"/>
      <c r="O482" s="70"/>
      <c r="P482" s="70"/>
      <c r="Q482" s="70"/>
      <c r="R482" s="70"/>
      <c r="S482" s="70"/>
    </row>
    <row r="483" spans="2:20" ht="14.25" thickBot="1" x14ac:dyDescent="0.2">
      <c r="B483" s="14"/>
      <c r="C483" s="117" t="s">
        <v>8</v>
      </c>
      <c r="D483" s="118"/>
      <c r="E483" s="119"/>
      <c r="F483" s="120" t="s">
        <v>10</v>
      </c>
      <c r="G483" s="121"/>
      <c r="H483" s="121"/>
      <c r="I483" s="115" t="s">
        <v>9</v>
      </c>
      <c r="L483" s="14"/>
      <c r="M483" s="117" t="s">
        <v>8</v>
      </c>
      <c r="N483" s="118"/>
      <c r="O483" s="119"/>
      <c r="P483" s="120" t="s">
        <v>10</v>
      </c>
      <c r="Q483" s="121"/>
      <c r="R483" s="121"/>
      <c r="S483" s="115" t="s">
        <v>9</v>
      </c>
    </row>
    <row r="484" spans="2:20" ht="14.25" thickBot="1" x14ac:dyDescent="0.2">
      <c r="B484" s="13"/>
      <c r="C484" s="22" t="s">
        <v>6</v>
      </c>
      <c r="D484" s="12" t="s">
        <v>5</v>
      </c>
      <c r="E484" s="48" t="s">
        <v>4</v>
      </c>
      <c r="F484" s="22" t="s">
        <v>6</v>
      </c>
      <c r="G484" s="12" t="s">
        <v>5</v>
      </c>
      <c r="H484" s="57" t="s">
        <v>4</v>
      </c>
      <c r="I484" s="116"/>
      <c r="L484" s="13"/>
      <c r="M484" s="22" t="s">
        <v>6</v>
      </c>
      <c r="N484" s="12" t="s">
        <v>5</v>
      </c>
      <c r="O484" s="48" t="s">
        <v>4</v>
      </c>
      <c r="P484" s="22" t="s">
        <v>6</v>
      </c>
      <c r="Q484" s="12" t="s">
        <v>5</v>
      </c>
      <c r="R484" s="57" t="s">
        <v>4</v>
      </c>
      <c r="S484" s="116"/>
    </row>
    <row r="485" spans="2:20" x14ac:dyDescent="0.15">
      <c r="B485" s="45" t="s">
        <v>0</v>
      </c>
      <c r="C485" s="46">
        <f>C478</f>
        <v>12</v>
      </c>
      <c r="D485" s="47">
        <f t="shared" ref="D485:H485" si="376">D478</f>
        <v>5</v>
      </c>
      <c r="E485" s="66">
        <f t="shared" si="376"/>
        <v>17</v>
      </c>
      <c r="F485" s="46">
        <f t="shared" si="376"/>
        <v>8</v>
      </c>
      <c r="G485" s="47">
        <f t="shared" si="376"/>
        <v>5</v>
      </c>
      <c r="H485" s="67">
        <f t="shared" si="376"/>
        <v>13</v>
      </c>
      <c r="I485" s="40">
        <f>E485+H485</f>
        <v>30</v>
      </c>
      <c r="L485" s="45" t="s">
        <v>0</v>
      </c>
      <c r="M485" s="46">
        <f>M478</f>
        <v>0</v>
      </c>
      <c r="N485" s="47">
        <f t="shared" ref="N485:S485" si="377">N478</f>
        <v>59</v>
      </c>
      <c r="O485" s="66">
        <f t="shared" si="377"/>
        <v>59</v>
      </c>
      <c r="P485" s="46">
        <f t="shared" si="377"/>
        <v>62</v>
      </c>
      <c r="Q485" s="47">
        <f t="shared" si="377"/>
        <v>136</v>
      </c>
      <c r="R485" s="67">
        <f t="shared" si="377"/>
        <v>198</v>
      </c>
      <c r="S485" s="40">
        <f t="shared" si="377"/>
        <v>257</v>
      </c>
    </row>
    <row r="486" spans="2:20" x14ac:dyDescent="0.15">
      <c r="B486" s="106" t="s">
        <v>3</v>
      </c>
      <c r="C486" s="78"/>
      <c r="D486" s="79">
        <v>5</v>
      </c>
      <c r="E486" s="107">
        <f t="shared" ref="E486:E518" si="378">SUM(C486:D486)</f>
        <v>5</v>
      </c>
      <c r="F486" s="81"/>
      <c r="G486" s="82">
        <v>5</v>
      </c>
      <c r="H486" s="108">
        <f t="shared" ref="H486:H518" si="379">SUM(F486:G486)</f>
        <v>5</v>
      </c>
      <c r="I486" s="84">
        <f t="shared" ref="I486:I518" si="380">E486+H486</f>
        <v>10</v>
      </c>
      <c r="J486" s="109">
        <v>46106</v>
      </c>
      <c r="K486" s="110"/>
      <c r="L486" s="11" t="s">
        <v>149</v>
      </c>
      <c r="M486" s="24">
        <v>6</v>
      </c>
      <c r="N486" s="18">
        <v>4</v>
      </c>
      <c r="O486" s="50">
        <f t="shared" ref="O486:O490" si="381">SUM(M486:N486)</f>
        <v>10</v>
      </c>
      <c r="P486" s="30">
        <v>2</v>
      </c>
      <c r="Q486" s="7">
        <v>2</v>
      </c>
      <c r="R486" s="59">
        <f t="shared" ref="R486:R490" si="382">SUM(P486:Q486)</f>
        <v>4</v>
      </c>
      <c r="S486" s="37">
        <f t="shared" ref="S486:S490" si="383">O486+R486</f>
        <v>14</v>
      </c>
      <c r="T486" s="98">
        <v>46158</v>
      </c>
    </row>
    <row r="487" spans="2:20" x14ac:dyDescent="0.15">
      <c r="B487" s="11" t="s">
        <v>141</v>
      </c>
      <c r="C487" s="24">
        <v>6</v>
      </c>
      <c r="D487" s="18">
        <v>4</v>
      </c>
      <c r="E487" s="50">
        <f t="shared" si="378"/>
        <v>10</v>
      </c>
      <c r="F487" s="30">
        <v>2</v>
      </c>
      <c r="G487" s="7">
        <v>2</v>
      </c>
      <c r="H487" s="59">
        <f t="shared" si="379"/>
        <v>4</v>
      </c>
      <c r="I487" s="37">
        <f t="shared" si="380"/>
        <v>14</v>
      </c>
      <c r="J487" s="98">
        <v>46155</v>
      </c>
      <c r="K487" s="110"/>
      <c r="L487" s="11" t="s">
        <v>3</v>
      </c>
      <c r="M487" s="24"/>
      <c r="N487" s="18"/>
      <c r="O487" s="50">
        <f t="shared" si="381"/>
        <v>0</v>
      </c>
      <c r="P487" s="30"/>
      <c r="Q487" s="7"/>
      <c r="R487" s="59">
        <f t="shared" si="382"/>
        <v>0</v>
      </c>
      <c r="S487" s="37">
        <f t="shared" si="383"/>
        <v>0</v>
      </c>
    </row>
    <row r="488" spans="2:20" x14ac:dyDescent="0.15">
      <c r="B488" s="11" t="s">
        <v>3</v>
      </c>
      <c r="C488" s="24"/>
      <c r="D488" s="18"/>
      <c r="E488" s="50">
        <f t="shared" si="378"/>
        <v>0</v>
      </c>
      <c r="F488" s="30"/>
      <c r="G488" s="7"/>
      <c r="H488" s="59">
        <f t="shared" si="379"/>
        <v>0</v>
      </c>
      <c r="I488" s="37">
        <f t="shared" si="380"/>
        <v>0</v>
      </c>
      <c r="J488" s="98"/>
      <c r="L488" s="11" t="s">
        <v>3</v>
      </c>
      <c r="M488" s="24"/>
      <c r="N488" s="18"/>
      <c r="O488" s="50">
        <f t="shared" si="381"/>
        <v>0</v>
      </c>
      <c r="P488" s="30"/>
      <c r="Q488" s="7"/>
      <c r="R488" s="59">
        <f t="shared" si="382"/>
        <v>0</v>
      </c>
      <c r="S488" s="37">
        <f t="shared" si="383"/>
        <v>0</v>
      </c>
    </row>
    <row r="489" spans="2:20" x14ac:dyDescent="0.15">
      <c r="B489" s="11" t="s">
        <v>3</v>
      </c>
      <c r="C489" s="24"/>
      <c r="D489" s="18"/>
      <c r="E489" s="50">
        <f t="shared" si="378"/>
        <v>0</v>
      </c>
      <c r="F489" s="30"/>
      <c r="G489" s="7"/>
      <c r="H489" s="59">
        <f t="shared" si="379"/>
        <v>0</v>
      </c>
      <c r="I489" s="37">
        <f t="shared" si="380"/>
        <v>0</v>
      </c>
      <c r="J489" s="98"/>
      <c r="L489" s="11" t="s">
        <v>3</v>
      </c>
      <c r="M489" s="24"/>
      <c r="N489" s="18"/>
      <c r="O489" s="50">
        <f t="shared" si="381"/>
        <v>0</v>
      </c>
      <c r="P489" s="30"/>
      <c r="Q489" s="7"/>
      <c r="R489" s="59">
        <f t="shared" si="382"/>
        <v>0</v>
      </c>
      <c r="S489" s="37">
        <f t="shared" si="383"/>
        <v>0</v>
      </c>
    </row>
    <row r="490" spans="2:20" ht="14.25" thickBot="1" x14ac:dyDescent="0.2">
      <c r="B490" s="11" t="s">
        <v>3</v>
      </c>
      <c r="C490" s="28"/>
      <c r="D490" s="94"/>
      <c r="E490" s="51">
        <f t="shared" si="378"/>
        <v>0</v>
      </c>
      <c r="F490" s="28"/>
      <c r="G490" s="94"/>
      <c r="H490" s="60">
        <f t="shared" si="379"/>
        <v>0</v>
      </c>
      <c r="I490" s="97">
        <f t="shared" si="380"/>
        <v>0</v>
      </c>
      <c r="J490" s="98"/>
      <c r="L490" s="101" t="s">
        <v>3</v>
      </c>
      <c r="M490" s="28"/>
      <c r="N490" s="94"/>
      <c r="O490" s="51">
        <f t="shared" si="381"/>
        <v>0</v>
      </c>
      <c r="P490" s="28"/>
      <c r="Q490" s="94"/>
      <c r="R490" s="60">
        <f t="shared" si="382"/>
        <v>0</v>
      </c>
      <c r="S490" s="97">
        <f t="shared" si="383"/>
        <v>0</v>
      </c>
    </row>
    <row r="491" spans="2:20" ht="14.25" thickBot="1" x14ac:dyDescent="0.2">
      <c r="B491" s="3" t="s">
        <v>2</v>
      </c>
      <c r="C491" s="29">
        <f>SUM(C485:C490)</f>
        <v>18</v>
      </c>
      <c r="D491" s="2">
        <f>SUM(D485:D490)</f>
        <v>14</v>
      </c>
      <c r="E491" s="52">
        <f t="shared" si="378"/>
        <v>32</v>
      </c>
      <c r="F491" s="29">
        <f>SUM(F485:F490)</f>
        <v>10</v>
      </c>
      <c r="G491" s="2">
        <f>SUM(G485:G490)</f>
        <v>12</v>
      </c>
      <c r="H491" s="61">
        <f t="shared" si="379"/>
        <v>22</v>
      </c>
      <c r="I491" s="92">
        <f t="shared" si="380"/>
        <v>54</v>
      </c>
      <c r="L491" s="42" t="s">
        <v>2</v>
      </c>
      <c r="M491" s="43">
        <f>SUM(M485:M490)</f>
        <v>6</v>
      </c>
      <c r="N491" s="44">
        <f t="shared" ref="N491:S491" si="384">SUM(N485:N490)</f>
        <v>63</v>
      </c>
      <c r="O491" s="104">
        <f t="shared" si="384"/>
        <v>69</v>
      </c>
      <c r="P491" s="43">
        <f t="shared" si="384"/>
        <v>64</v>
      </c>
      <c r="Q491" s="44">
        <f t="shared" si="384"/>
        <v>138</v>
      </c>
      <c r="R491" s="105">
        <f t="shared" si="384"/>
        <v>202</v>
      </c>
      <c r="S491" s="41">
        <f t="shared" si="384"/>
        <v>271</v>
      </c>
    </row>
    <row r="492" spans="2:20" x14ac:dyDescent="0.15">
      <c r="B492" s="6" t="s">
        <v>23</v>
      </c>
      <c r="C492" s="24">
        <v>1</v>
      </c>
      <c r="D492" s="18"/>
      <c r="E492" s="53">
        <f t="shared" ref="E492:E514" si="385">SUM(C492:D492)</f>
        <v>1</v>
      </c>
      <c r="F492" s="30"/>
      <c r="G492" s="7"/>
      <c r="H492" s="62">
        <f t="shared" ref="H492:H514" si="386">SUM(F492:G492)</f>
        <v>0</v>
      </c>
      <c r="I492" s="37">
        <f t="shared" ref="I492:I514" si="387">E492+H492</f>
        <v>1</v>
      </c>
      <c r="J492" s="35">
        <v>46091</v>
      </c>
      <c r="L492" s="6"/>
      <c r="M492" s="27"/>
      <c r="N492" s="21"/>
      <c r="O492" s="53">
        <f t="shared" ref="O492:O498" si="388">SUM(M492:N492)</f>
        <v>0</v>
      </c>
      <c r="P492" s="32"/>
      <c r="Q492" s="8"/>
      <c r="R492" s="62">
        <f t="shared" ref="R492:R498" si="389">SUM(P492:Q492)</f>
        <v>0</v>
      </c>
      <c r="S492" s="37">
        <f t="shared" ref="S492:S498" si="390">O492+R492</f>
        <v>0</v>
      </c>
    </row>
    <row r="493" spans="2:20" x14ac:dyDescent="0.15">
      <c r="B493" s="6" t="s">
        <v>23</v>
      </c>
      <c r="C493" s="24"/>
      <c r="D493" s="18"/>
      <c r="E493" s="53">
        <f t="shared" si="385"/>
        <v>0</v>
      </c>
      <c r="F493" s="30"/>
      <c r="G493" s="7">
        <v>1</v>
      </c>
      <c r="H493" s="62">
        <f t="shared" si="386"/>
        <v>1</v>
      </c>
      <c r="I493" s="37">
        <f t="shared" si="387"/>
        <v>1</v>
      </c>
      <c r="J493" s="35">
        <v>46093</v>
      </c>
      <c r="L493" s="6"/>
      <c r="M493" s="27"/>
      <c r="N493" s="21"/>
      <c r="O493" s="53">
        <f t="shared" si="388"/>
        <v>0</v>
      </c>
      <c r="P493" s="32"/>
      <c r="Q493" s="8"/>
      <c r="R493" s="62">
        <f t="shared" si="389"/>
        <v>0</v>
      </c>
      <c r="S493" s="37">
        <f t="shared" si="390"/>
        <v>0</v>
      </c>
    </row>
    <row r="494" spans="2:20" x14ac:dyDescent="0.15">
      <c r="B494" s="6" t="s">
        <v>23</v>
      </c>
      <c r="C494" s="24"/>
      <c r="D494" s="18">
        <v>1</v>
      </c>
      <c r="E494" s="53">
        <f t="shared" si="385"/>
        <v>1</v>
      </c>
      <c r="F494" s="30"/>
      <c r="G494" s="7"/>
      <c r="H494" s="62">
        <f t="shared" si="386"/>
        <v>0</v>
      </c>
      <c r="I494" s="37">
        <f t="shared" si="387"/>
        <v>1</v>
      </c>
      <c r="J494" s="35">
        <v>46097</v>
      </c>
      <c r="L494" s="6"/>
      <c r="M494" s="27"/>
      <c r="N494" s="21"/>
      <c r="O494" s="53">
        <f t="shared" si="388"/>
        <v>0</v>
      </c>
      <c r="P494" s="32"/>
      <c r="Q494" s="8"/>
      <c r="R494" s="62">
        <f t="shared" si="389"/>
        <v>0</v>
      </c>
      <c r="S494" s="37">
        <f t="shared" si="390"/>
        <v>0</v>
      </c>
    </row>
    <row r="495" spans="2:20" x14ac:dyDescent="0.15">
      <c r="B495" s="6" t="s">
        <v>23</v>
      </c>
      <c r="C495" s="24"/>
      <c r="D495" s="18"/>
      <c r="E495" s="53">
        <f t="shared" si="385"/>
        <v>0</v>
      </c>
      <c r="F495" s="30"/>
      <c r="G495" s="7">
        <v>1</v>
      </c>
      <c r="H495" s="62">
        <f t="shared" si="386"/>
        <v>1</v>
      </c>
      <c r="I495" s="37">
        <f t="shared" si="387"/>
        <v>1</v>
      </c>
      <c r="J495" s="35">
        <v>46099</v>
      </c>
      <c r="L495" s="6"/>
      <c r="M495" s="27"/>
      <c r="N495" s="21"/>
      <c r="O495" s="53">
        <f t="shared" si="388"/>
        <v>0</v>
      </c>
      <c r="P495" s="32"/>
      <c r="Q495" s="8"/>
      <c r="R495" s="62">
        <f t="shared" si="389"/>
        <v>0</v>
      </c>
      <c r="S495" s="37">
        <f t="shared" si="390"/>
        <v>0</v>
      </c>
    </row>
    <row r="496" spans="2:20" x14ac:dyDescent="0.15">
      <c r="B496" s="6" t="s">
        <v>23</v>
      </c>
      <c r="C496" s="24"/>
      <c r="D496" s="18">
        <v>1</v>
      </c>
      <c r="E496" s="53">
        <f t="shared" si="385"/>
        <v>1</v>
      </c>
      <c r="F496" s="30">
        <v>1</v>
      </c>
      <c r="G496" s="7"/>
      <c r="H496" s="62">
        <f t="shared" si="386"/>
        <v>1</v>
      </c>
      <c r="I496" s="37">
        <f t="shared" si="387"/>
        <v>2</v>
      </c>
      <c r="J496" s="35">
        <v>46104</v>
      </c>
      <c r="L496" s="6"/>
      <c r="M496" s="27"/>
      <c r="N496" s="21"/>
      <c r="O496" s="53">
        <f t="shared" si="388"/>
        <v>0</v>
      </c>
      <c r="P496" s="32"/>
      <c r="Q496" s="8"/>
      <c r="R496" s="62">
        <f t="shared" si="389"/>
        <v>0</v>
      </c>
      <c r="S496" s="37">
        <f t="shared" si="390"/>
        <v>0</v>
      </c>
    </row>
    <row r="497" spans="2:19" x14ac:dyDescent="0.15">
      <c r="B497" s="6" t="s">
        <v>23</v>
      </c>
      <c r="C497" s="24"/>
      <c r="D497" s="18">
        <v>1</v>
      </c>
      <c r="E497" s="53">
        <f t="shared" si="385"/>
        <v>1</v>
      </c>
      <c r="F497" s="30"/>
      <c r="G497" s="7">
        <v>1</v>
      </c>
      <c r="H497" s="62">
        <f t="shared" si="386"/>
        <v>1</v>
      </c>
      <c r="I497" s="37">
        <f t="shared" si="387"/>
        <v>2</v>
      </c>
      <c r="J497" s="35">
        <v>46105</v>
      </c>
      <c r="L497" s="6"/>
      <c r="M497" s="27"/>
      <c r="N497" s="21"/>
      <c r="O497" s="53">
        <f t="shared" si="388"/>
        <v>0</v>
      </c>
      <c r="P497" s="32"/>
      <c r="Q497" s="8"/>
      <c r="R497" s="62">
        <f t="shared" si="389"/>
        <v>0</v>
      </c>
      <c r="S497" s="37">
        <f t="shared" si="390"/>
        <v>0</v>
      </c>
    </row>
    <row r="498" spans="2:19" x14ac:dyDescent="0.15">
      <c r="B498" s="6" t="s">
        <v>23</v>
      </c>
      <c r="C498" s="24"/>
      <c r="D498" s="18">
        <v>2</v>
      </c>
      <c r="E498" s="53">
        <f t="shared" si="385"/>
        <v>2</v>
      </c>
      <c r="F498" s="30"/>
      <c r="G498" s="7"/>
      <c r="H498" s="62">
        <f t="shared" si="386"/>
        <v>0</v>
      </c>
      <c r="I498" s="37">
        <f t="shared" si="387"/>
        <v>2</v>
      </c>
      <c r="J498" s="35">
        <v>46111</v>
      </c>
      <c r="L498" s="6"/>
      <c r="M498" s="27"/>
      <c r="N498" s="21"/>
      <c r="O498" s="53">
        <f t="shared" si="388"/>
        <v>0</v>
      </c>
      <c r="P498" s="32"/>
      <c r="Q498" s="8"/>
      <c r="R498" s="62">
        <f t="shared" si="389"/>
        <v>0</v>
      </c>
      <c r="S498" s="37">
        <f t="shared" si="390"/>
        <v>0</v>
      </c>
    </row>
    <row r="499" spans="2:19" x14ac:dyDescent="0.15">
      <c r="B499" s="6" t="s">
        <v>23</v>
      </c>
      <c r="C499" s="24"/>
      <c r="D499" s="18">
        <v>2</v>
      </c>
      <c r="E499" s="53">
        <f t="shared" si="385"/>
        <v>2</v>
      </c>
      <c r="F499" s="30"/>
      <c r="G499" s="7"/>
      <c r="H499" s="62">
        <f t="shared" si="386"/>
        <v>0</v>
      </c>
      <c r="I499" s="37">
        <f t="shared" si="387"/>
        <v>2</v>
      </c>
      <c r="J499" s="35">
        <v>46114</v>
      </c>
      <c r="L499" s="6"/>
      <c r="M499" s="27"/>
      <c r="N499" s="21"/>
      <c r="O499" s="53">
        <f t="shared" ref="O499:O516" si="391">SUM(M499:N499)</f>
        <v>0</v>
      </c>
      <c r="P499" s="32"/>
      <c r="Q499" s="8"/>
      <c r="R499" s="62">
        <f t="shared" ref="R499:R516" si="392">SUM(P499:Q499)</f>
        <v>0</v>
      </c>
      <c r="S499" s="37">
        <f t="shared" ref="S499:S516" si="393">O499+R499</f>
        <v>0</v>
      </c>
    </row>
    <row r="500" spans="2:19" x14ac:dyDescent="0.15">
      <c r="B500" s="6" t="s">
        <v>147</v>
      </c>
      <c r="C500" s="24"/>
      <c r="D500" s="18"/>
      <c r="E500" s="53">
        <f t="shared" si="385"/>
        <v>0</v>
      </c>
      <c r="F500" s="30">
        <v>1</v>
      </c>
      <c r="G500" s="7"/>
      <c r="H500" s="62">
        <f t="shared" si="386"/>
        <v>1</v>
      </c>
      <c r="I500" s="37">
        <f t="shared" si="387"/>
        <v>1</v>
      </c>
      <c r="J500" s="35">
        <v>46141</v>
      </c>
      <c r="L500" s="6"/>
      <c r="M500" s="27"/>
      <c r="N500" s="21"/>
      <c r="O500" s="53">
        <f t="shared" si="391"/>
        <v>0</v>
      </c>
      <c r="P500" s="32"/>
      <c r="Q500" s="8"/>
      <c r="R500" s="62">
        <f t="shared" si="392"/>
        <v>0</v>
      </c>
      <c r="S500" s="37">
        <f t="shared" si="393"/>
        <v>0</v>
      </c>
    </row>
    <row r="501" spans="2:19" x14ac:dyDescent="0.15">
      <c r="B501" s="6" t="s">
        <v>148</v>
      </c>
      <c r="C501" s="24">
        <v>6</v>
      </c>
      <c r="D501" s="18">
        <v>4</v>
      </c>
      <c r="E501" s="53">
        <f t="shared" si="385"/>
        <v>10</v>
      </c>
      <c r="F501" s="30">
        <v>2</v>
      </c>
      <c r="G501" s="7">
        <v>2</v>
      </c>
      <c r="H501" s="62">
        <f t="shared" si="386"/>
        <v>4</v>
      </c>
      <c r="I501" s="37">
        <f t="shared" si="387"/>
        <v>14</v>
      </c>
      <c r="J501" s="35">
        <v>46158</v>
      </c>
      <c r="L501" s="6"/>
      <c r="M501" s="27"/>
      <c r="N501" s="21"/>
      <c r="O501" s="53">
        <f t="shared" si="391"/>
        <v>0</v>
      </c>
      <c r="P501" s="32"/>
      <c r="Q501" s="8"/>
      <c r="R501" s="62">
        <f t="shared" si="392"/>
        <v>0</v>
      </c>
      <c r="S501" s="37">
        <f t="shared" si="393"/>
        <v>0</v>
      </c>
    </row>
    <row r="502" spans="2:19" x14ac:dyDescent="0.15">
      <c r="B502" s="6"/>
      <c r="C502" s="24"/>
      <c r="D502" s="18"/>
      <c r="E502" s="53">
        <f t="shared" si="385"/>
        <v>0</v>
      </c>
      <c r="F502" s="30"/>
      <c r="G502" s="7"/>
      <c r="H502" s="62">
        <f t="shared" si="386"/>
        <v>0</v>
      </c>
      <c r="I502" s="37">
        <f t="shared" si="387"/>
        <v>0</v>
      </c>
      <c r="J502" s="35"/>
      <c r="L502" s="6"/>
      <c r="M502" s="27"/>
      <c r="N502" s="21"/>
      <c r="O502" s="53">
        <f t="shared" si="391"/>
        <v>0</v>
      </c>
      <c r="P502" s="32"/>
      <c r="Q502" s="8"/>
      <c r="R502" s="62">
        <f t="shared" si="392"/>
        <v>0</v>
      </c>
      <c r="S502" s="37">
        <f t="shared" si="393"/>
        <v>0</v>
      </c>
    </row>
    <row r="503" spans="2:19" x14ac:dyDescent="0.15">
      <c r="B503" s="6"/>
      <c r="C503" s="24"/>
      <c r="D503" s="18"/>
      <c r="E503" s="53">
        <f t="shared" si="385"/>
        <v>0</v>
      </c>
      <c r="F503" s="30"/>
      <c r="G503" s="7"/>
      <c r="H503" s="62">
        <f t="shared" si="386"/>
        <v>0</v>
      </c>
      <c r="I503" s="37">
        <f t="shared" si="387"/>
        <v>0</v>
      </c>
      <c r="J503" s="35"/>
      <c r="L503" s="6"/>
      <c r="M503" s="27"/>
      <c r="N503" s="21"/>
      <c r="O503" s="53">
        <f t="shared" si="391"/>
        <v>0</v>
      </c>
      <c r="P503" s="32"/>
      <c r="Q503" s="8"/>
      <c r="R503" s="62">
        <f t="shared" si="392"/>
        <v>0</v>
      </c>
      <c r="S503" s="37">
        <f t="shared" si="393"/>
        <v>0</v>
      </c>
    </row>
    <row r="504" spans="2:19" x14ac:dyDescent="0.15">
      <c r="B504" s="6"/>
      <c r="C504" s="24"/>
      <c r="D504" s="18"/>
      <c r="E504" s="53">
        <f t="shared" si="385"/>
        <v>0</v>
      </c>
      <c r="F504" s="30"/>
      <c r="G504" s="7"/>
      <c r="H504" s="62">
        <f t="shared" si="386"/>
        <v>0</v>
      </c>
      <c r="I504" s="37">
        <f t="shared" si="387"/>
        <v>0</v>
      </c>
      <c r="J504" s="35"/>
      <c r="L504" s="6"/>
      <c r="M504" s="27"/>
      <c r="N504" s="21"/>
      <c r="O504" s="53">
        <f t="shared" si="391"/>
        <v>0</v>
      </c>
      <c r="P504" s="32"/>
      <c r="Q504" s="8"/>
      <c r="R504" s="62">
        <f t="shared" si="392"/>
        <v>0</v>
      </c>
      <c r="S504" s="37">
        <f t="shared" si="393"/>
        <v>0</v>
      </c>
    </row>
    <row r="505" spans="2:19" x14ac:dyDescent="0.15">
      <c r="B505" s="6"/>
      <c r="C505" s="24"/>
      <c r="D505" s="18"/>
      <c r="E505" s="53">
        <f t="shared" si="385"/>
        <v>0</v>
      </c>
      <c r="F505" s="30"/>
      <c r="G505" s="7"/>
      <c r="H505" s="62">
        <f t="shared" si="386"/>
        <v>0</v>
      </c>
      <c r="I505" s="37">
        <f t="shared" si="387"/>
        <v>0</v>
      </c>
      <c r="J505" s="35"/>
      <c r="L505" s="6"/>
      <c r="M505" s="27"/>
      <c r="N505" s="21"/>
      <c r="O505" s="53">
        <f t="shared" si="391"/>
        <v>0</v>
      </c>
      <c r="P505" s="32"/>
      <c r="Q505" s="8"/>
      <c r="R505" s="62">
        <f t="shared" si="392"/>
        <v>0</v>
      </c>
      <c r="S505" s="37">
        <f t="shared" si="393"/>
        <v>0</v>
      </c>
    </row>
    <row r="506" spans="2:19" x14ac:dyDescent="0.15">
      <c r="B506" s="6"/>
      <c r="C506" s="24"/>
      <c r="D506" s="18"/>
      <c r="E506" s="53">
        <f t="shared" si="385"/>
        <v>0</v>
      </c>
      <c r="F506" s="30"/>
      <c r="G506" s="7"/>
      <c r="H506" s="62">
        <f t="shared" si="386"/>
        <v>0</v>
      </c>
      <c r="I506" s="37">
        <f t="shared" si="387"/>
        <v>0</v>
      </c>
      <c r="J506" s="35"/>
      <c r="L506" s="6"/>
      <c r="M506" s="27"/>
      <c r="N506" s="21"/>
      <c r="O506" s="53">
        <f t="shared" si="391"/>
        <v>0</v>
      </c>
      <c r="P506" s="32"/>
      <c r="Q506" s="8"/>
      <c r="R506" s="62">
        <f t="shared" si="392"/>
        <v>0</v>
      </c>
      <c r="S506" s="37">
        <f t="shared" si="393"/>
        <v>0</v>
      </c>
    </row>
    <row r="507" spans="2:19" x14ac:dyDescent="0.15">
      <c r="B507" s="6"/>
      <c r="C507" s="24"/>
      <c r="D507" s="18"/>
      <c r="E507" s="53">
        <f t="shared" si="385"/>
        <v>0</v>
      </c>
      <c r="F507" s="30"/>
      <c r="G507" s="7"/>
      <c r="H507" s="62">
        <f t="shared" si="386"/>
        <v>0</v>
      </c>
      <c r="I507" s="37">
        <f t="shared" si="387"/>
        <v>0</v>
      </c>
      <c r="J507" s="85"/>
      <c r="L507" s="6"/>
      <c r="M507" s="27"/>
      <c r="N507" s="21"/>
      <c r="O507" s="53">
        <f t="shared" si="391"/>
        <v>0</v>
      </c>
      <c r="P507" s="32"/>
      <c r="Q507" s="8"/>
      <c r="R507" s="62">
        <f t="shared" si="392"/>
        <v>0</v>
      </c>
      <c r="S507" s="37">
        <f t="shared" si="393"/>
        <v>0</v>
      </c>
    </row>
    <row r="508" spans="2:19" x14ac:dyDescent="0.15">
      <c r="B508" s="6"/>
      <c r="C508" s="24"/>
      <c r="D508" s="18"/>
      <c r="E508" s="53">
        <f t="shared" si="385"/>
        <v>0</v>
      </c>
      <c r="F508" s="30"/>
      <c r="G508" s="7"/>
      <c r="H508" s="62">
        <f t="shared" si="386"/>
        <v>0</v>
      </c>
      <c r="I508" s="37">
        <f t="shared" si="387"/>
        <v>0</v>
      </c>
      <c r="J508" s="35"/>
      <c r="L508" s="6"/>
      <c r="M508" s="27"/>
      <c r="N508" s="21"/>
      <c r="O508" s="53">
        <f t="shared" si="391"/>
        <v>0</v>
      </c>
      <c r="P508" s="32"/>
      <c r="Q508" s="8"/>
      <c r="R508" s="62">
        <f t="shared" si="392"/>
        <v>0</v>
      </c>
      <c r="S508" s="37">
        <f t="shared" si="393"/>
        <v>0</v>
      </c>
    </row>
    <row r="509" spans="2:19" x14ac:dyDescent="0.15">
      <c r="B509" s="6"/>
      <c r="C509" s="24"/>
      <c r="D509" s="18"/>
      <c r="E509" s="53">
        <f t="shared" si="385"/>
        <v>0</v>
      </c>
      <c r="F509" s="30"/>
      <c r="G509" s="7"/>
      <c r="H509" s="62">
        <f t="shared" si="386"/>
        <v>0</v>
      </c>
      <c r="I509" s="37">
        <f t="shared" si="387"/>
        <v>0</v>
      </c>
      <c r="J509" s="35"/>
      <c r="L509" s="6"/>
      <c r="M509" s="27"/>
      <c r="N509" s="21"/>
      <c r="O509" s="53">
        <f t="shared" si="391"/>
        <v>0</v>
      </c>
      <c r="P509" s="32"/>
      <c r="Q509" s="8"/>
      <c r="R509" s="62">
        <f t="shared" si="392"/>
        <v>0</v>
      </c>
      <c r="S509" s="37">
        <f t="shared" si="393"/>
        <v>0</v>
      </c>
    </row>
    <row r="510" spans="2:19" x14ac:dyDescent="0.15">
      <c r="B510" s="6"/>
      <c r="C510" s="24"/>
      <c r="D510" s="18"/>
      <c r="E510" s="53">
        <f t="shared" si="385"/>
        <v>0</v>
      </c>
      <c r="F510" s="30"/>
      <c r="G510" s="7"/>
      <c r="H510" s="62">
        <f t="shared" si="386"/>
        <v>0</v>
      </c>
      <c r="I510" s="37">
        <f t="shared" si="387"/>
        <v>0</v>
      </c>
      <c r="J510" s="35"/>
      <c r="L510" s="6"/>
      <c r="M510" s="27"/>
      <c r="N510" s="21"/>
      <c r="O510" s="53">
        <f t="shared" si="391"/>
        <v>0</v>
      </c>
      <c r="P510" s="32"/>
      <c r="Q510" s="8"/>
      <c r="R510" s="62">
        <f t="shared" si="392"/>
        <v>0</v>
      </c>
      <c r="S510" s="37">
        <f t="shared" si="393"/>
        <v>0</v>
      </c>
    </row>
    <row r="511" spans="2:19" x14ac:dyDescent="0.15">
      <c r="B511" s="6"/>
      <c r="C511" s="24"/>
      <c r="D511" s="18"/>
      <c r="E511" s="53">
        <f t="shared" si="385"/>
        <v>0</v>
      </c>
      <c r="F511" s="30"/>
      <c r="G511" s="7"/>
      <c r="H511" s="62">
        <f t="shared" si="386"/>
        <v>0</v>
      </c>
      <c r="I511" s="37">
        <f t="shared" si="387"/>
        <v>0</v>
      </c>
      <c r="J511" s="35"/>
      <c r="L511" s="6"/>
      <c r="M511" s="27"/>
      <c r="N511" s="21"/>
      <c r="O511" s="53">
        <f t="shared" si="391"/>
        <v>0</v>
      </c>
      <c r="P511" s="32"/>
      <c r="Q511" s="8"/>
      <c r="R511" s="62">
        <f t="shared" si="392"/>
        <v>0</v>
      </c>
      <c r="S511" s="37">
        <f t="shared" si="393"/>
        <v>0</v>
      </c>
    </row>
    <row r="512" spans="2:19" x14ac:dyDescent="0.15">
      <c r="B512" s="6"/>
      <c r="C512" s="24"/>
      <c r="D512" s="18"/>
      <c r="E512" s="53">
        <f t="shared" si="385"/>
        <v>0</v>
      </c>
      <c r="F512" s="30"/>
      <c r="G512" s="7"/>
      <c r="H512" s="62">
        <f t="shared" si="386"/>
        <v>0</v>
      </c>
      <c r="I512" s="37">
        <f t="shared" si="387"/>
        <v>0</v>
      </c>
      <c r="J512" s="35"/>
      <c r="L512" s="6"/>
      <c r="M512" s="27"/>
      <c r="N512" s="21"/>
      <c r="O512" s="53">
        <f t="shared" si="391"/>
        <v>0</v>
      </c>
      <c r="P512" s="32"/>
      <c r="Q512" s="8"/>
      <c r="R512" s="62">
        <f t="shared" si="392"/>
        <v>0</v>
      </c>
      <c r="S512" s="37">
        <f t="shared" si="393"/>
        <v>0</v>
      </c>
    </row>
    <row r="513" spans="2:19" x14ac:dyDescent="0.15">
      <c r="B513" s="6"/>
      <c r="C513" s="24"/>
      <c r="D513" s="18"/>
      <c r="E513" s="53">
        <f t="shared" si="385"/>
        <v>0</v>
      </c>
      <c r="F513" s="30"/>
      <c r="G513" s="7"/>
      <c r="H513" s="62">
        <f t="shared" si="386"/>
        <v>0</v>
      </c>
      <c r="I513" s="37">
        <f t="shared" si="387"/>
        <v>0</v>
      </c>
      <c r="J513" s="35"/>
      <c r="L513" s="6"/>
      <c r="M513" s="27"/>
      <c r="N513" s="21"/>
      <c r="O513" s="53">
        <f t="shared" si="391"/>
        <v>0</v>
      </c>
      <c r="P513" s="32"/>
      <c r="Q513" s="8"/>
      <c r="R513" s="62">
        <f t="shared" si="392"/>
        <v>0</v>
      </c>
      <c r="S513" s="37">
        <f t="shared" si="393"/>
        <v>0</v>
      </c>
    </row>
    <row r="514" spans="2:19" x14ac:dyDescent="0.15">
      <c r="B514" s="6"/>
      <c r="C514" s="24"/>
      <c r="D514" s="18"/>
      <c r="E514" s="53">
        <f t="shared" si="385"/>
        <v>0</v>
      </c>
      <c r="F514" s="30"/>
      <c r="G514" s="7"/>
      <c r="H514" s="62">
        <f t="shared" si="386"/>
        <v>0</v>
      </c>
      <c r="I514" s="37">
        <f t="shared" si="387"/>
        <v>0</v>
      </c>
      <c r="J514" s="35"/>
      <c r="L514" s="6"/>
      <c r="M514" s="27"/>
      <c r="N514" s="21"/>
      <c r="O514" s="53">
        <f t="shared" si="391"/>
        <v>0</v>
      </c>
      <c r="P514" s="32"/>
      <c r="Q514" s="8"/>
      <c r="R514" s="62">
        <f t="shared" si="392"/>
        <v>0</v>
      </c>
      <c r="S514" s="37">
        <f t="shared" si="393"/>
        <v>0</v>
      </c>
    </row>
    <row r="515" spans="2:19" x14ac:dyDescent="0.15">
      <c r="B515" s="6"/>
      <c r="C515" s="24"/>
      <c r="D515" s="18"/>
      <c r="E515" s="53">
        <f t="shared" si="378"/>
        <v>0</v>
      </c>
      <c r="F515" s="30"/>
      <c r="G515" s="7"/>
      <c r="H515" s="62">
        <f t="shared" si="379"/>
        <v>0</v>
      </c>
      <c r="I515" s="37">
        <f t="shared" si="380"/>
        <v>0</v>
      </c>
      <c r="J515" s="35"/>
      <c r="L515" s="6"/>
      <c r="M515" s="27"/>
      <c r="N515" s="21"/>
      <c r="O515" s="53">
        <f t="shared" si="391"/>
        <v>0</v>
      </c>
      <c r="P515" s="32"/>
      <c r="Q515" s="8"/>
      <c r="R515" s="62">
        <f t="shared" si="392"/>
        <v>0</v>
      </c>
      <c r="S515" s="37">
        <f t="shared" si="393"/>
        <v>0</v>
      </c>
    </row>
    <row r="516" spans="2:19" ht="14.25" thickBot="1" x14ac:dyDescent="0.2">
      <c r="B516" s="6"/>
      <c r="C516" s="27"/>
      <c r="D516" s="21"/>
      <c r="E516" s="53">
        <f t="shared" si="378"/>
        <v>0</v>
      </c>
      <c r="F516" s="32"/>
      <c r="G516" s="8"/>
      <c r="H516" s="62">
        <f t="shared" si="379"/>
        <v>0</v>
      </c>
      <c r="I516" s="37">
        <f t="shared" si="380"/>
        <v>0</v>
      </c>
      <c r="L516" s="6"/>
      <c r="M516" s="27"/>
      <c r="N516" s="21"/>
      <c r="O516" s="53">
        <f t="shared" si="391"/>
        <v>0</v>
      </c>
      <c r="P516" s="32"/>
      <c r="Q516" s="8"/>
      <c r="R516" s="62">
        <f t="shared" si="392"/>
        <v>0</v>
      </c>
      <c r="S516" s="37">
        <f t="shared" si="393"/>
        <v>0</v>
      </c>
    </row>
    <row r="517" spans="2:19" ht="14.25" thickBot="1" x14ac:dyDescent="0.2">
      <c r="B517" s="4" t="s">
        <v>1</v>
      </c>
      <c r="C517" s="26">
        <f>SUM(C492:C516)</f>
        <v>7</v>
      </c>
      <c r="D517" s="20">
        <f>SUM(D492:D516)</f>
        <v>11</v>
      </c>
      <c r="E517" s="55">
        <f t="shared" si="378"/>
        <v>18</v>
      </c>
      <c r="F517" s="26">
        <f>SUM(F492:F516)</f>
        <v>4</v>
      </c>
      <c r="G517" s="20">
        <f>SUM(G492:G516)</f>
        <v>5</v>
      </c>
      <c r="H517" s="64">
        <f t="shared" si="379"/>
        <v>9</v>
      </c>
      <c r="I517" s="39">
        <f t="shared" si="380"/>
        <v>27</v>
      </c>
      <c r="L517" s="4" t="s">
        <v>1</v>
      </c>
      <c r="M517" s="112">
        <f>SUM(M492:M516)</f>
        <v>0</v>
      </c>
      <c r="N517" s="20">
        <f t="shared" ref="N517:S517" si="394">SUM(N492:N516)</f>
        <v>0</v>
      </c>
      <c r="O517" s="55">
        <f t="shared" si="394"/>
        <v>0</v>
      </c>
      <c r="P517" s="26">
        <f t="shared" si="394"/>
        <v>0</v>
      </c>
      <c r="Q517" s="20">
        <f t="shared" si="394"/>
        <v>0</v>
      </c>
      <c r="R517" s="64">
        <f t="shared" si="394"/>
        <v>0</v>
      </c>
      <c r="S517" s="39">
        <f t="shared" si="394"/>
        <v>0</v>
      </c>
    </row>
    <row r="518" spans="2:19" ht="14.25" thickBot="1" x14ac:dyDescent="0.2">
      <c r="B518" s="3" t="s">
        <v>0</v>
      </c>
      <c r="C518" s="29">
        <f>+C491-C517</f>
        <v>11</v>
      </c>
      <c r="D518" s="2">
        <f>+D491-D517</f>
        <v>3</v>
      </c>
      <c r="E518" s="56">
        <f t="shared" si="378"/>
        <v>14</v>
      </c>
      <c r="F518" s="29">
        <f>+F491-F517</f>
        <v>6</v>
      </c>
      <c r="G518" s="2">
        <f>+G491-G517</f>
        <v>7</v>
      </c>
      <c r="H518" s="65">
        <f t="shared" si="379"/>
        <v>13</v>
      </c>
      <c r="I518" s="41">
        <f t="shared" si="380"/>
        <v>27</v>
      </c>
      <c r="L518" s="3" t="s">
        <v>0</v>
      </c>
      <c r="M518" s="113">
        <f>+M491-M517</f>
        <v>6</v>
      </c>
      <c r="N518" s="2">
        <f t="shared" ref="N518:S518" si="395">+N491-N517</f>
        <v>63</v>
      </c>
      <c r="O518" s="56">
        <f t="shared" si="395"/>
        <v>69</v>
      </c>
      <c r="P518" s="29">
        <f t="shared" si="395"/>
        <v>64</v>
      </c>
      <c r="Q518" s="2">
        <f t="shared" si="395"/>
        <v>138</v>
      </c>
      <c r="R518" s="65">
        <f t="shared" si="395"/>
        <v>202</v>
      </c>
      <c r="S518" s="41">
        <f t="shared" si="395"/>
        <v>271</v>
      </c>
    </row>
  </sheetData>
  <mergeCells count="78">
    <mergeCell ref="S403:S404"/>
    <mergeCell ref="C403:E403"/>
    <mergeCell ref="F403:H403"/>
    <mergeCell ref="I403:I404"/>
    <mergeCell ref="M403:O403"/>
    <mergeCell ref="P403:R403"/>
    <mergeCell ref="S323:S324"/>
    <mergeCell ref="C323:E323"/>
    <mergeCell ref="F323:H323"/>
    <mergeCell ref="I323:I324"/>
    <mergeCell ref="M323:O323"/>
    <mergeCell ref="P323:R323"/>
    <mergeCell ref="S283:S284"/>
    <mergeCell ref="C283:E283"/>
    <mergeCell ref="F283:H283"/>
    <mergeCell ref="I283:I284"/>
    <mergeCell ref="M283:O283"/>
    <mergeCell ref="P283:R283"/>
    <mergeCell ref="M243:O243"/>
    <mergeCell ref="P243:R243"/>
    <mergeCell ref="S243:S244"/>
    <mergeCell ref="C243:E243"/>
    <mergeCell ref="F243:H243"/>
    <mergeCell ref="I243:I244"/>
    <mergeCell ref="S163:S164"/>
    <mergeCell ref="C163:E163"/>
    <mergeCell ref="F163:H163"/>
    <mergeCell ref="I163:I164"/>
    <mergeCell ref="M163:O163"/>
    <mergeCell ref="P163:R163"/>
    <mergeCell ref="S83:S84"/>
    <mergeCell ref="C123:E123"/>
    <mergeCell ref="F123:H123"/>
    <mergeCell ref="I123:I124"/>
    <mergeCell ref="M123:O123"/>
    <mergeCell ref="P123:R123"/>
    <mergeCell ref="S123:S124"/>
    <mergeCell ref="C83:E83"/>
    <mergeCell ref="F83:H83"/>
    <mergeCell ref="I83:I84"/>
    <mergeCell ref="M83:O83"/>
    <mergeCell ref="P83:R83"/>
    <mergeCell ref="I3:I4"/>
    <mergeCell ref="I43:I44"/>
    <mergeCell ref="C3:E3"/>
    <mergeCell ref="F3:H3"/>
    <mergeCell ref="C43:E43"/>
    <mergeCell ref="F43:H43"/>
    <mergeCell ref="M3:O3"/>
    <mergeCell ref="P3:R3"/>
    <mergeCell ref="S3:S4"/>
    <mergeCell ref="M43:O43"/>
    <mergeCell ref="P43:R43"/>
    <mergeCell ref="S43:S44"/>
    <mergeCell ref="S203:S204"/>
    <mergeCell ref="C203:E203"/>
    <mergeCell ref="F203:H203"/>
    <mergeCell ref="I203:I204"/>
    <mergeCell ref="M203:O203"/>
    <mergeCell ref="P203:R203"/>
    <mergeCell ref="S363:S364"/>
    <mergeCell ref="C363:E363"/>
    <mergeCell ref="F363:H363"/>
    <mergeCell ref="I363:I364"/>
    <mergeCell ref="M363:O363"/>
    <mergeCell ref="P363:R363"/>
    <mergeCell ref="S443:S444"/>
    <mergeCell ref="C443:E443"/>
    <mergeCell ref="F443:H443"/>
    <mergeCell ref="I443:I444"/>
    <mergeCell ref="M443:O443"/>
    <mergeCell ref="P443:R443"/>
    <mergeCell ref="S483:S484"/>
    <mergeCell ref="C483:E483"/>
    <mergeCell ref="F483:H483"/>
    <mergeCell ref="I483:I484"/>
    <mergeCell ref="M483:O483"/>
    <mergeCell ref="P483:R483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2023-04-17T08:28:36Z</dcterms:created>
  <dcterms:modified xsi:type="dcterms:W3CDTF">2026-05-15T10:11:52Z</dcterms:modified>
</cp:coreProperties>
</file>