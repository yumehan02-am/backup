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芳仲繊維\"/>
    </mc:Choice>
  </mc:AlternateContent>
  <xr:revisionPtr revIDLastSave="0" documentId="13_ncr:1_{96021B80-B779-4ED8-9B0B-20393B13FA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ﾁｭｰﾙﾚｷﾞﾝ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73" i="1" l="1"/>
  <c r="R873" i="1"/>
  <c r="S873" i="1" s="1"/>
  <c r="O874" i="1"/>
  <c r="R874" i="1"/>
  <c r="S874" i="1"/>
  <c r="O875" i="1"/>
  <c r="R875" i="1"/>
  <c r="S875" i="1" s="1"/>
  <c r="R876" i="1"/>
  <c r="O876" i="1"/>
  <c r="S876" i="1" s="1"/>
  <c r="R916" i="1"/>
  <c r="O916" i="1"/>
  <c r="S916" i="1" s="1"/>
  <c r="R915" i="1"/>
  <c r="O915" i="1"/>
  <c r="R914" i="1"/>
  <c r="O914" i="1"/>
  <c r="S914" i="1" s="1"/>
  <c r="H873" i="1"/>
  <c r="E873" i="1"/>
  <c r="E892" i="1"/>
  <c r="H892" i="1"/>
  <c r="E893" i="1"/>
  <c r="H893" i="1"/>
  <c r="E894" i="1"/>
  <c r="H894" i="1"/>
  <c r="E895" i="1"/>
  <c r="H895" i="1"/>
  <c r="I895" i="1"/>
  <c r="E896" i="1"/>
  <c r="H896" i="1"/>
  <c r="I896" i="1" s="1"/>
  <c r="E897" i="1"/>
  <c r="H897" i="1"/>
  <c r="I897" i="1" s="1"/>
  <c r="E898" i="1"/>
  <c r="H898" i="1"/>
  <c r="I898" i="1" s="1"/>
  <c r="E899" i="1"/>
  <c r="H899" i="1"/>
  <c r="I899" i="1" s="1"/>
  <c r="E900" i="1"/>
  <c r="H900" i="1"/>
  <c r="I900" i="1" s="1"/>
  <c r="E901" i="1"/>
  <c r="H901" i="1"/>
  <c r="I901" i="1"/>
  <c r="E902" i="1"/>
  <c r="H902" i="1"/>
  <c r="E903" i="1"/>
  <c r="H903" i="1"/>
  <c r="I903" i="1"/>
  <c r="E904" i="1"/>
  <c r="H904" i="1"/>
  <c r="I904" i="1" s="1"/>
  <c r="E905" i="1"/>
  <c r="H905" i="1"/>
  <c r="I905" i="1"/>
  <c r="E906" i="1"/>
  <c r="H906" i="1"/>
  <c r="I906" i="1" s="1"/>
  <c r="E907" i="1"/>
  <c r="H907" i="1"/>
  <c r="I907" i="1"/>
  <c r="E908" i="1"/>
  <c r="H908" i="1"/>
  <c r="I908" i="1" s="1"/>
  <c r="E909" i="1"/>
  <c r="H909" i="1"/>
  <c r="I909" i="1"/>
  <c r="E910" i="1"/>
  <c r="H910" i="1"/>
  <c r="I910" i="1" s="1"/>
  <c r="E911" i="1"/>
  <c r="H911" i="1"/>
  <c r="I911" i="1"/>
  <c r="E912" i="1"/>
  <c r="H912" i="1"/>
  <c r="I912" i="1" s="1"/>
  <c r="O913" i="1"/>
  <c r="R913" i="1"/>
  <c r="S913" i="1" s="1"/>
  <c r="O892" i="1"/>
  <c r="R892" i="1"/>
  <c r="S892" i="1" s="1"/>
  <c r="O893" i="1"/>
  <c r="R893" i="1"/>
  <c r="S893" i="1" s="1"/>
  <c r="O894" i="1"/>
  <c r="R894" i="1"/>
  <c r="S894" i="1" s="1"/>
  <c r="O895" i="1"/>
  <c r="R895" i="1"/>
  <c r="S895" i="1"/>
  <c r="O896" i="1"/>
  <c r="R896" i="1"/>
  <c r="O897" i="1"/>
  <c r="R897" i="1"/>
  <c r="S897" i="1"/>
  <c r="O898" i="1"/>
  <c r="R898" i="1"/>
  <c r="S898" i="1" s="1"/>
  <c r="Q917" i="1"/>
  <c r="P917" i="1"/>
  <c r="N917" i="1"/>
  <c r="M917" i="1"/>
  <c r="G917" i="1"/>
  <c r="F917" i="1"/>
  <c r="D917" i="1"/>
  <c r="C917" i="1"/>
  <c r="I916" i="1"/>
  <c r="H916" i="1"/>
  <c r="E916" i="1"/>
  <c r="I915" i="1"/>
  <c r="H915" i="1"/>
  <c r="E915" i="1"/>
  <c r="I914" i="1"/>
  <c r="H914" i="1"/>
  <c r="E914" i="1"/>
  <c r="I913" i="1"/>
  <c r="H913" i="1"/>
  <c r="E913" i="1"/>
  <c r="S912" i="1"/>
  <c r="R912" i="1"/>
  <c r="O912" i="1"/>
  <c r="S911" i="1"/>
  <c r="R911" i="1"/>
  <c r="O911" i="1"/>
  <c r="S910" i="1"/>
  <c r="R910" i="1"/>
  <c r="O910" i="1"/>
  <c r="S909" i="1"/>
  <c r="R909" i="1"/>
  <c r="O909" i="1"/>
  <c r="S908" i="1"/>
  <c r="R908" i="1"/>
  <c r="O908" i="1"/>
  <c r="S907" i="1"/>
  <c r="R907" i="1"/>
  <c r="O907" i="1"/>
  <c r="S906" i="1"/>
  <c r="R906" i="1"/>
  <c r="O906" i="1"/>
  <c r="S905" i="1"/>
  <c r="R905" i="1"/>
  <c r="O905" i="1"/>
  <c r="S904" i="1"/>
  <c r="R904" i="1"/>
  <c r="O904" i="1"/>
  <c r="S903" i="1"/>
  <c r="R903" i="1"/>
  <c r="O903" i="1"/>
  <c r="S902" i="1"/>
  <c r="R902" i="1"/>
  <c r="O902" i="1"/>
  <c r="S901" i="1"/>
  <c r="R901" i="1"/>
  <c r="O901" i="1"/>
  <c r="S900" i="1"/>
  <c r="R900" i="1"/>
  <c r="O900" i="1"/>
  <c r="R899" i="1"/>
  <c r="O899" i="1"/>
  <c r="R890" i="1"/>
  <c r="S890" i="1" s="1"/>
  <c r="O890" i="1"/>
  <c r="H890" i="1"/>
  <c r="E890" i="1"/>
  <c r="I890" i="1" s="1"/>
  <c r="R889" i="1"/>
  <c r="S889" i="1" s="1"/>
  <c r="O889" i="1"/>
  <c r="H889" i="1"/>
  <c r="E889" i="1"/>
  <c r="R888" i="1"/>
  <c r="S888" i="1" s="1"/>
  <c r="O888" i="1"/>
  <c r="H888" i="1"/>
  <c r="E888" i="1"/>
  <c r="R887" i="1"/>
  <c r="S887" i="1" s="1"/>
  <c r="O887" i="1"/>
  <c r="H887" i="1"/>
  <c r="E887" i="1"/>
  <c r="R886" i="1"/>
  <c r="S886" i="1" s="1"/>
  <c r="O886" i="1"/>
  <c r="H886" i="1"/>
  <c r="E886" i="1"/>
  <c r="O819" i="1"/>
  <c r="R819" i="1"/>
  <c r="S819" i="1" s="1"/>
  <c r="S852" i="1"/>
  <c r="R852" i="1"/>
  <c r="O852" i="1"/>
  <c r="E768" i="1"/>
  <c r="H768" i="1"/>
  <c r="I768" i="1" s="1"/>
  <c r="O773" i="1"/>
  <c r="R773" i="1"/>
  <c r="S773" i="1" s="1"/>
  <c r="O774" i="1"/>
  <c r="R774" i="1"/>
  <c r="S774" i="1" s="1"/>
  <c r="R812" i="1"/>
  <c r="O812" i="1"/>
  <c r="S812" i="1" s="1"/>
  <c r="O734" i="1"/>
  <c r="R734" i="1"/>
  <c r="S734" i="1" s="1"/>
  <c r="R772" i="1"/>
  <c r="O772" i="1"/>
  <c r="S772" i="1" s="1"/>
  <c r="O795" i="1"/>
  <c r="S795" i="1" s="1"/>
  <c r="R795" i="1"/>
  <c r="O796" i="1"/>
  <c r="S796" i="1" s="1"/>
  <c r="R796" i="1"/>
  <c r="R836" i="1"/>
  <c r="O836" i="1"/>
  <c r="O835" i="1"/>
  <c r="R835" i="1"/>
  <c r="S835" i="1"/>
  <c r="Q877" i="1"/>
  <c r="P877" i="1"/>
  <c r="N877" i="1"/>
  <c r="M877" i="1"/>
  <c r="G877" i="1"/>
  <c r="F877" i="1"/>
  <c r="D877" i="1"/>
  <c r="C877" i="1"/>
  <c r="H876" i="1"/>
  <c r="E876" i="1"/>
  <c r="I876" i="1" s="1"/>
  <c r="H875" i="1"/>
  <c r="E875" i="1"/>
  <c r="I875" i="1" s="1"/>
  <c r="H874" i="1"/>
  <c r="E874" i="1"/>
  <c r="R872" i="1"/>
  <c r="S872" i="1" s="1"/>
  <c r="O872" i="1"/>
  <c r="H872" i="1"/>
  <c r="E872" i="1"/>
  <c r="I872" i="1" s="1"/>
  <c r="R871" i="1"/>
  <c r="O871" i="1"/>
  <c r="S871" i="1" s="1"/>
  <c r="H871" i="1"/>
  <c r="E871" i="1"/>
  <c r="I871" i="1" s="1"/>
  <c r="R870" i="1"/>
  <c r="S870" i="1" s="1"/>
  <c r="O870" i="1"/>
  <c r="H870" i="1"/>
  <c r="E870" i="1"/>
  <c r="I870" i="1" s="1"/>
  <c r="R869" i="1"/>
  <c r="O869" i="1"/>
  <c r="S869" i="1" s="1"/>
  <c r="H869" i="1"/>
  <c r="E869" i="1"/>
  <c r="R868" i="1"/>
  <c r="S868" i="1" s="1"/>
  <c r="O868" i="1"/>
  <c r="H868" i="1"/>
  <c r="E868" i="1"/>
  <c r="R867" i="1"/>
  <c r="O867" i="1"/>
  <c r="S867" i="1" s="1"/>
  <c r="H867" i="1"/>
  <c r="E867" i="1"/>
  <c r="I867" i="1" s="1"/>
  <c r="R866" i="1"/>
  <c r="S866" i="1" s="1"/>
  <c r="O866" i="1"/>
  <c r="H866" i="1"/>
  <c r="E866" i="1"/>
  <c r="I866" i="1" s="1"/>
  <c r="R865" i="1"/>
  <c r="O865" i="1"/>
  <c r="S865" i="1" s="1"/>
  <c r="H865" i="1"/>
  <c r="E865" i="1"/>
  <c r="I865" i="1" s="1"/>
  <c r="R864" i="1"/>
  <c r="S864" i="1" s="1"/>
  <c r="O864" i="1"/>
  <c r="H864" i="1"/>
  <c r="E864" i="1"/>
  <c r="I864" i="1" s="1"/>
  <c r="R863" i="1"/>
  <c r="O863" i="1"/>
  <c r="S863" i="1" s="1"/>
  <c r="H863" i="1"/>
  <c r="E863" i="1"/>
  <c r="I863" i="1" s="1"/>
  <c r="R862" i="1"/>
  <c r="S862" i="1" s="1"/>
  <c r="O862" i="1"/>
  <c r="H862" i="1"/>
  <c r="I862" i="1" s="1"/>
  <c r="E862" i="1"/>
  <c r="R861" i="1"/>
  <c r="O861" i="1"/>
  <c r="S861" i="1" s="1"/>
  <c r="H861" i="1"/>
  <c r="E861" i="1"/>
  <c r="R860" i="1"/>
  <c r="S860" i="1" s="1"/>
  <c r="O860" i="1"/>
  <c r="H860" i="1"/>
  <c r="E860" i="1"/>
  <c r="R859" i="1"/>
  <c r="O859" i="1"/>
  <c r="S859" i="1" s="1"/>
  <c r="H859" i="1"/>
  <c r="E859" i="1"/>
  <c r="I859" i="1" s="1"/>
  <c r="R858" i="1"/>
  <c r="S858" i="1" s="1"/>
  <c r="O858" i="1"/>
  <c r="H858" i="1"/>
  <c r="E858" i="1"/>
  <c r="I858" i="1" s="1"/>
  <c r="R857" i="1"/>
  <c r="O857" i="1"/>
  <c r="S857" i="1" s="1"/>
  <c r="H857" i="1"/>
  <c r="E857" i="1"/>
  <c r="I857" i="1" s="1"/>
  <c r="R856" i="1"/>
  <c r="O856" i="1"/>
  <c r="H856" i="1"/>
  <c r="E856" i="1"/>
  <c r="I856" i="1" s="1"/>
  <c r="R855" i="1"/>
  <c r="O855" i="1"/>
  <c r="H855" i="1"/>
  <c r="E855" i="1"/>
  <c r="I855" i="1" s="1"/>
  <c r="R854" i="1"/>
  <c r="O854" i="1"/>
  <c r="H854" i="1"/>
  <c r="E854" i="1"/>
  <c r="R853" i="1"/>
  <c r="O853" i="1"/>
  <c r="S853" i="1" s="1"/>
  <c r="H853" i="1"/>
  <c r="E853" i="1"/>
  <c r="I853" i="1" s="1"/>
  <c r="H852" i="1"/>
  <c r="I852" i="1" s="1"/>
  <c r="E852" i="1"/>
  <c r="R850" i="1"/>
  <c r="S850" i="1" s="1"/>
  <c r="O850" i="1"/>
  <c r="H850" i="1"/>
  <c r="E850" i="1"/>
  <c r="I850" i="1" s="1"/>
  <c r="R849" i="1"/>
  <c r="O849" i="1"/>
  <c r="S849" i="1" s="1"/>
  <c r="H849" i="1"/>
  <c r="E849" i="1"/>
  <c r="I849" i="1" s="1"/>
  <c r="R848" i="1"/>
  <c r="S848" i="1" s="1"/>
  <c r="O848" i="1"/>
  <c r="H848" i="1"/>
  <c r="I848" i="1" s="1"/>
  <c r="E848" i="1"/>
  <c r="R847" i="1"/>
  <c r="O847" i="1"/>
  <c r="S847" i="1" s="1"/>
  <c r="H847" i="1"/>
  <c r="E847" i="1"/>
  <c r="I847" i="1" s="1"/>
  <c r="R846" i="1"/>
  <c r="S846" i="1" s="1"/>
  <c r="O846" i="1"/>
  <c r="H846" i="1"/>
  <c r="I846" i="1" s="1"/>
  <c r="E846" i="1"/>
  <c r="Q837" i="1"/>
  <c r="P837" i="1"/>
  <c r="N837" i="1"/>
  <c r="M837" i="1"/>
  <c r="G837" i="1"/>
  <c r="F837" i="1"/>
  <c r="D837" i="1"/>
  <c r="C837" i="1"/>
  <c r="I836" i="1"/>
  <c r="H836" i="1"/>
  <c r="E836" i="1"/>
  <c r="H835" i="1"/>
  <c r="E835" i="1"/>
  <c r="I835" i="1" s="1"/>
  <c r="R834" i="1"/>
  <c r="S834" i="1" s="1"/>
  <c r="O834" i="1"/>
  <c r="I834" i="1"/>
  <c r="H834" i="1"/>
  <c r="E834" i="1"/>
  <c r="R833" i="1"/>
  <c r="O833" i="1"/>
  <c r="S833" i="1" s="1"/>
  <c r="H833" i="1"/>
  <c r="E833" i="1"/>
  <c r="I833" i="1" s="1"/>
  <c r="S832" i="1"/>
  <c r="R832" i="1"/>
  <c r="O832" i="1"/>
  <c r="H832" i="1"/>
  <c r="E832" i="1"/>
  <c r="I832" i="1" s="1"/>
  <c r="R831" i="1"/>
  <c r="O831" i="1"/>
  <c r="S831" i="1" s="1"/>
  <c r="H831" i="1"/>
  <c r="E831" i="1"/>
  <c r="I831" i="1" s="1"/>
  <c r="S830" i="1"/>
  <c r="R830" i="1"/>
  <c r="O830" i="1"/>
  <c r="H830" i="1"/>
  <c r="I830" i="1" s="1"/>
  <c r="E830" i="1"/>
  <c r="R829" i="1"/>
  <c r="O829" i="1"/>
  <c r="S829" i="1" s="1"/>
  <c r="H829" i="1"/>
  <c r="E829" i="1"/>
  <c r="I829" i="1" s="1"/>
  <c r="S828" i="1"/>
  <c r="R828" i="1"/>
  <c r="O828" i="1"/>
  <c r="I828" i="1"/>
  <c r="H828" i="1"/>
  <c r="E828" i="1"/>
  <c r="R827" i="1"/>
  <c r="O827" i="1"/>
  <c r="S827" i="1" s="1"/>
  <c r="H827" i="1"/>
  <c r="E827" i="1"/>
  <c r="I827" i="1" s="1"/>
  <c r="S826" i="1"/>
  <c r="R826" i="1"/>
  <c r="O826" i="1"/>
  <c r="H826" i="1"/>
  <c r="E826" i="1"/>
  <c r="I826" i="1" s="1"/>
  <c r="R825" i="1"/>
  <c r="O825" i="1"/>
  <c r="S825" i="1" s="1"/>
  <c r="H825" i="1"/>
  <c r="E825" i="1"/>
  <c r="I825" i="1" s="1"/>
  <c r="S824" i="1"/>
  <c r="R824" i="1"/>
  <c r="O824" i="1"/>
  <c r="I824" i="1"/>
  <c r="H824" i="1"/>
  <c r="E824" i="1"/>
  <c r="R823" i="1"/>
  <c r="O823" i="1"/>
  <c r="S823" i="1" s="1"/>
  <c r="H823" i="1"/>
  <c r="E823" i="1"/>
  <c r="I823" i="1" s="1"/>
  <c r="S822" i="1"/>
  <c r="R822" i="1"/>
  <c r="O822" i="1"/>
  <c r="H822" i="1"/>
  <c r="E822" i="1"/>
  <c r="I822" i="1" s="1"/>
  <c r="R821" i="1"/>
  <c r="O821" i="1"/>
  <c r="S821" i="1" s="1"/>
  <c r="H821" i="1"/>
  <c r="E821" i="1"/>
  <c r="I821" i="1" s="1"/>
  <c r="S820" i="1"/>
  <c r="R820" i="1"/>
  <c r="O820" i="1"/>
  <c r="H820" i="1"/>
  <c r="E820" i="1"/>
  <c r="I820" i="1" s="1"/>
  <c r="H819" i="1"/>
  <c r="E819" i="1"/>
  <c r="R818" i="1"/>
  <c r="S818" i="1" s="1"/>
  <c r="O818" i="1"/>
  <c r="H818" i="1"/>
  <c r="E818" i="1"/>
  <c r="R817" i="1"/>
  <c r="O817" i="1"/>
  <c r="S817" i="1" s="1"/>
  <c r="H817" i="1"/>
  <c r="E817" i="1"/>
  <c r="I817" i="1" s="1"/>
  <c r="S816" i="1"/>
  <c r="R816" i="1"/>
  <c r="O816" i="1"/>
  <c r="H816" i="1"/>
  <c r="E816" i="1"/>
  <c r="I816" i="1" s="1"/>
  <c r="R815" i="1"/>
  <c r="O815" i="1"/>
  <c r="S815" i="1" s="1"/>
  <c r="H815" i="1"/>
  <c r="E815" i="1"/>
  <c r="I815" i="1" s="1"/>
  <c r="R814" i="1"/>
  <c r="O814" i="1"/>
  <c r="S814" i="1" s="1"/>
  <c r="H814" i="1"/>
  <c r="E814" i="1"/>
  <c r="I814" i="1" s="1"/>
  <c r="R813" i="1"/>
  <c r="O813" i="1"/>
  <c r="H813" i="1"/>
  <c r="E813" i="1"/>
  <c r="I813" i="1" s="1"/>
  <c r="H812" i="1"/>
  <c r="E812" i="1"/>
  <c r="I812" i="1" s="1"/>
  <c r="S810" i="1"/>
  <c r="R810" i="1"/>
  <c r="O810" i="1"/>
  <c r="H810" i="1"/>
  <c r="E810" i="1"/>
  <c r="I810" i="1" s="1"/>
  <c r="R809" i="1"/>
  <c r="O809" i="1"/>
  <c r="S809" i="1" s="1"/>
  <c r="H809" i="1"/>
  <c r="E809" i="1"/>
  <c r="I809" i="1" s="1"/>
  <c r="S808" i="1"/>
  <c r="R808" i="1"/>
  <c r="O808" i="1"/>
  <c r="H808" i="1"/>
  <c r="E808" i="1"/>
  <c r="I808" i="1" s="1"/>
  <c r="R807" i="1"/>
  <c r="O807" i="1"/>
  <c r="H807" i="1"/>
  <c r="E807" i="1"/>
  <c r="I807" i="1" s="1"/>
  <c r="S806" i="1"/>
  <c r="R806" i="1"/>
  <c r="O806" i="1"/>
  <c r="H806" i="1"/>
  <c r="E806" i="1"/>
  <c r="I806" i="1" s="1"/>
  <c r="Q797" i="1"/>
  <c r="P797" i="1"/>
  <c r="N797" i="1"/>
  <c r="M797" i="1"/>
  <c r="G797" i="1"/>
  <c r="F797" i="1"/>
  <c r="D797" i="1"/>
  <c r="C797" i="1"/>
  <c r="E797" i="1" s="1"/>
  <c r="H796" i="1"/>
  <c r="E796" i="1"/>
  <c r="I796" i="1" s="1"/>
  <c r="H795" i="1"/>
  <c r="E795" i="1"/>
  <c r="I795" i="1" s="1"/>
  <c r="R794" i="1"/>
  <c r="O794" i="1"/>
  <c r="S794" i="1" s="1"/>
  <c r="H794" i="1"/>
  <c r="E794" i="1"/>
  <c r="I794" i="1" s="1"/>
  <c r="R793" i="1"/>
  <c r="O793" i="1"/>
  <c r="S793" i="1" s="1"/>
  <c r="H793" i="1"/>
  <c r="E793" i="1"/>
  <c r="I793" i="1" s="1"/>
  <c r="R792" i="1"/>
  <c r="O792" i="1"/>
  <c r="S792" i="1" s="1"/>
  <c r="H792" i="1"/>
  <c r="E792" i="1"/>
  <c r="I792" i="1" s="1"/>
  <c r="R791" i="1"/>
  <c r="O791" i="1"/>
  <c r="S791" i="1" s="1"/>
  <c r="H791" i="1"/>
  <c r="E791" i="1"/>
  <c r="I791" i="1" s="1"/>
  <c r="R790" i="1"/>
  <c r="O790" i="1"/>
  <c r="S790" i="1" s="1"/>
  <c r="H790" i="1"/>
  <c r="E790" i="1"/>
  <c r="I790" i="1" s="1"/>
  <c r="R789" i="1"/>
  <c r="O789" i="1"/>
  <c r="S789" i="1" s="1"/>
  <c r="H789" i="1"/>
  <c r="E789" i="1"/>
  <c r="I789" i="1" s="1"/>
  <c r="R788" i="1"/>
  <c r="O788" i="1"/>
  <c r="S788" i="1" s="1"/>
  <c r="H788" i="1"/>
  <c r="E788" i="1"/>
  <c r="I788" i="1" s="1"/>
  <c r="R787" i="1"/>
  <c r="O787" i="1"/>
  <c r="S787" i="1" s="1"/>
  <c r="H787" i="1"/>
  <c r="E787" i="1"/>
  <c r="I787" i="1" s="1"/>
  <c r="R786" i="1"/>
  <c r="O786" i="1"/>
  <c r="S786" i="1" s="1"/>
  <c r="H786" i="1"/>
  <c r="E786" i="1"/>
  <c r="I786" i="1" s="1"/>
  <c r="R785" i="1"/>
  <c r="O785" i="1"/>
  <c r="S785" i="1" s="1"/>
  <c r="H785" i="1"/>
  <c r="E785" i="1"/>
  <c r="I785" i="1" s="1"/>
  <c r="R784" i="1"/>
  <c r="O784" i="1"/>
  <c r="S784" i="1" s="1"/>
  <c r="H784" i="1"/>
  <c r="E784" i="1"/>
  <c r="I784" i="1" s="1"/>
  <c r="R783" i="1"/>
  <c r="O783" i="1"/>
  <c r="S783" i="1" s="1"/>
  <c r="H783" i="1"/>
  <c r="E783" i="1"/>
  <c r="I783" i="1" s="1"/>
  <c r="R782" i="1"/>
  <c r="O782" i="1"/>
  <c r="S782" i="1" s="1"/>
  <c r="H782" i="1"/>
  <c r="E782" i="1"/>
  <c r="I782" i="1" s="1"/>
  <c r="R781" i="1"/>
  <c r="O781" i="1"/>
  <c r="S781" i="1" s="1"/>
  <c r="H781" i="1"/>
  <c r="E781" i="1"/>
  <c r="I781" i="1" s="1"/>
  <c r="R780" i="1"/>
  <c r="O780" i="1"/>
  <c r="S780" i="1" s="1"/>
  <c r="H780" i="1"/>
  <c r="E780" i="1"/>
  <c r="I780" i="1" s="1"/>
  <c r="R779" i="1"/>
  <c r="O779" i="1"/>
  <c r="S779" i="1" s="1"/>
  <c r="H779" i="1"/>
  <c r="E779" i="1"/>
  <c r="I779" i="1" s="1"/>
  <c r="R778" i="1"/>
  <c r="O778" i="1"/>
  <c r="S778" i="1" s="1"/>
  <c r="H778" i="1"/>
  <c r="E778" i="1"/>
  <c r="I778" i="1" s="1"/>
  <c r="R777" i="1"/>
  <c r="O777" i="1"/>
  <c r="S777" i="1" s="1"/>
  <c r="H777" i="1"/>
  <c r="E777" i="1"/>
  <c r="I777" i="1" s="1"/>
  <c r="R776" i="1"/>
  <c r="O776" i="1"/>
  <c r="S776" i="1" s="1"/>
  <c r="H776" i="1"/>
  <c r="E776" i="1"/>
  <c r="I776" i="1" s="1"/>
  <c r="R775" i="1"/>
  <c r="O775" i="1"/>
  <c r="S775" i="1" s="1"/>
  <c r="H775" i="1"/>
  <c r="E775" i="1"/>
  <c r="I775" i="1" s="1"/>
  <c r="H774" i="1"/>
  <c r="E774" i="1"/>
  <c r="H773" i="1"/>
  <c r="E773" i="1"/>
  <c r="H772" i="1"/>
  <c r="E772" i="1"/>
  <c r="I772" i="1" s="1"/>
  <c r="R770" i="1"/>
  <c r="O770" i="1"/>
  <c r="S770" i="1" s="1"/>
  <c r="H770" i="1"/>
  <c r="E770" i="1"/>
  <c r="I770" i="1" s="1"/>
  <c r="R769" i="1"/>
  <c r="O769" i="1"/>
  <c r="S769" i="1" s="1"/>
  <c r="H769" i="1"/>
  <c r="E769" i="1"/>
  <c r="R768" i="1"/>
  <c r="O768" i="1"/>
  <c r="S768" i="1" s="1"/>
  <c r="R767" i="1"/>
  <c r="O767" i="1"/>
  <c r="S767" i="1" s="1"/>
  <c r="H767" i="1"/>
  <c r="E767" i="1"/>
  <c r="R766" i="1"/>
  <c r="O766" i="1"/>
  <c r="S766" i="1" s="1"/>
  <c r="H766" i="1"/>
  <c r="E766" i="1"/>
  <c r="I766" i="1" s="1"/>
  <c r="R694" i="1"/>
  <c r="O694" i="1"/>
  <c r="S694" i="1" s="1"/>
  <c r="G711" i="1"/>
  <c r="R693" i="1"/>
  <c r="O693" i="1"/>
  <c r="S693" i="1" s="1"/>
  <c r="O715" i="1"/>
  <c r="S715" i="1" s="1"/>
  <c r="R715" i="1"/>
  <c r="O716" i="1"/>
  <c r="O717" i="1" s="1"/>
  <c r="R716" i="1"/>
  <c r="S716" i="1"/>
  <c r="O755" i="1"/>
  <c r="R755" i="1"/>
  <c r="S755" i="1" s="1"/>
  <c r="H730" i="1"/>
  <c r="E730" i="1"/>
  <c r="I730" i="1" s="1"/>
  <c r="H729" i="1"/>
  <c r="E729" i="1"/>
  <c r="I729" i="1" s="1"/>
  <c r="H728" i="1"/>
  <c r="E728" i="1"/>
  <c r="I728" i="1" s="1"/>
  <c r="H727" i="1"/>
  <c r="E727" i="1"/>
  <c r="I727" i="1" s="1"/>
  <c r="H726" i="1"/>
  <c r="E726" i="1"/>
  <c r="I726" i="1" s="1"/>
  <c r="O732" i="1"/>
  <c r="R732" i="1"/>
  <c r="E732" i="1"/>
  <c r="H732" i="1"/>
  <c r="I732" i="1"/>
  <c r="E733" i="1"/>
  <c r="H733" i="1"/>
  <c r="I733" i="1"/>
  <c r="E734" i="1"/>
  <c r="H734" i="1"/>
  <c r="E735" i="1"/>
  <c r="H735" i="1"/>
  <c r="I735" i="1"/>
  <c r="E736" i="1"/>
  <c r="H736" i="1"/>
  <c r="I736" i="1"/>
  <c r="E737" i="1"/>
  <c r="H737" i="1"/>
  <c r="I737" i="1"/>
  <c r="E738" i="1"/>
  <c r="H738" i="1"/>
  <c r="I738" i="1"/>
  <c r="E739" i="1"/>
  <c r="H739" i="1"/>
  <c r="I739" i="1"/>
  <c r="E740" i="1"/>
  <c r="H740" i="1"/>
  <c r="I740" i="1"/>
  <c r="E741" i="1"/>
  <c r="H741" i="1"/>
  <c r="I741" i="1"/>
  <c r="E742" i="1"/>
  <c r="H742" i="1"/>
  <c r="I742" i="1"/>
  <c r="E743" i="1"/>
  <c r="H743" i="1"/>
  <c r="I743" i="1"/>
  <c r="Q757" i="1"/>
  <c r="P757" i="1"/>
  <c r="N757" i="1"/>
  <c r="M757" i="1"/>
  <c r="F757" i="1"/>
  <c r="C757" i="1"/>
  <c r="R756" i="1"/>
  <c r="O756" i="1"/>
  <c r="S756" i="1" s="1"/>
  <c r="H756" i="1"/>
  <c r="E756" i="1"/>
  <c r="I756" i="1" s="1"/>
  <c r="H755" i="1"/>
  <c r="E755" i="1"/>
  <c r="R754" i="1"/>
  <c r="O754" i="1"/>
  <c r="S754" i="1" s="1"/>
  <c r="H754" i="1"/>
  <c r="E754" i="1"/>
  <c r="I754" i="1" s="1"/>
  <c r="R753" i="1"/>
  <c r="O753" i="1"/>
  <c r="S753" i="1" s="1"/>
  <c r="H753" i="1"/>
  <c r="E753" i="1"/>
  <c r="R752" i="1"/>
  <c r="O752" i="1"/>
  <c r="S752" i="1" s="1"/>
  <c r="H752" i="1"/>
  <c r="E752" i="1"/>
  <c r="I752" i="1" s="1"/>
  <c r="R751" i="1"/>
  <c r="O751" i="1"/>
  <c r="S751" i="1" s="1"/>
  <c r="H751" i="1"/>
  <c r="E751" i="1"/>
  <c r="R750" i="1"/>
  <c r="O750" i="1"/>
  <c r="S750" i="1" s="1"/>
  <c r="H750" i="1"/>
  <c r="E750" i="1"/>
  <c r="I750" i="1" s="1"/>
  <c r="R749" i="1"/>
  <c r="O749" i="1"/>
  <c r="S749" i="1" s="1"/>
  <c r="H749" i="1"/>
  <c r="E749" i="1"/>
  <c r="I749" i="1" s="1"/>
  <c r="R748" i="1"/>
  <c r="O748" i="1"/>
  <c r="S748" i="1" s="1"/>
  <c r="H748" i="1"/>
  <c r="E748" i="1"/>
  <c r="I748" i="1" s="1"/>
  <c r="R747" i="1"/>
  <c r="O747" i="1"/>
  <c r="S747" i="1" s="1"/>
  <c r="H747" i="1"/>
  <c r="E747" i="1"/>
  <c r="R746" i="1"/>
  <c r="O746" i="1"/>
  <c r="S746" i="1" s="1"/>
  <c r="H746" i="1"/>
  <c r="E746" i="1"/>
  <c r="I746" i="1" s="1"/>
  <c r="R745" i="1"/>
  <c r="O745" i="1"/>
  <c r="S745" i="1" s="1"/>
  <c r="H745" i="1"/>
  <c r="E745" i="1"/>
  <c r="I745" i="1" s="1"/>
  <c r="R744" i="1"/>
  <c r="O744" i="1"/>
  <c r="S744" i="1" s="1"/>
  <c r="H744" i="1"/>
  <c r="E744" i="1"/>
  <c r="I744" i="1" s="1"/>
  <c r="R743" i="1"/>
  <c r="O743" i="1"/>
  <c r="S743" i="1" s="1"/>
  <c r="R742" i="1"/>
  <c r="O742" i="1"/>
  <c r="S742" i="1" s="1"/>
  <c r="R741" i="1"/>
  <c r="O741" i="1"/>
  <c r="S741" i="1" s="1"/>
  <c r="R740" i="1"/>
  <c r="O740" i="1"/>
  <c r="S740" i="1" s="1"/>
  <c r="R739" i="1"/>
  <c r="O739" i="1"/>
  <c r="S739" i="1" s="1"/>
  <c r="S738" i="1"/>
  <c r="R738" i="1"/>
  <c r="O738" i="1"/>
  <c r="S737" i="1"/>
  <c r="R737" i="1"/>
  <c r="O737" i="1"/>
  <c r="S736" i="1"/>
  <c r="R736" i="1"/>
  <c r="O736" i="1"/>
  <c r="S735" i="1"/>
  <c r="R735" i="1"/>
  <c r="O735" i="1"/>
  <c r="D757" i="1"/>
  <c r="R733" i="1"/>
  <c r="O733" i="1"/>
  <c r="S733" i="1" s="1"/>
  <c r="G757" i="1"/>
  <c r="R730" i="1"/>
  <c r="O730" i="1"/>
  <c r="S730" i="1" s="1"/>
  <c r="R729" i="1"/>
  <c r="O729" i="1"/>
  <c r="S729" i="1" s="1"/>
  <c r="R728" i="1"/>
  <c r="O728" i="1"/>
  <c r="S728" i="1" s="1"/>
  <c r="R727" i="1"/>
  <c r="O727" i="1"/>
  <c r="S727" i="1" s="1"/>
  <c r="R726" i="1"/>
  <c r="O726" i="1"/>
  <c r="S726" i="1" s="1"/>
  <c r="S565" i="1"/>
  <c r="R565" i="1"/>
  <c r="R571" i="1" s="1"/>
  <c r="Q565" i="1"/>
  <c r="Q571" i="1" s="1"/>
  <c r="Q598" i="1" s="1"/>
  <c r="Q605" i="1" s="1"/>
  <c r="P565" i="1"/>
  <c r="O565" i="1"/>
  <c r="N565" i="1"/>
  <c r="N571" i="1" s="1"/>
  <c r="M565" i="1"/>
  <c r="S571" i="1"/>
  <c r="P571" i="1"/>
  <c r="P598" i="1" s="1"/>
  <c r="P605" i="1" s="1"/>
  <c r="O571" i="1"/>
  <c r="M571" i="1"/>
  <c r="M598" i="1" s="1"/>
  <c r="M605" i="1" s="1"/>
  <c r="S597" i="1"/>
  <c r="R597" i="1"/>
  <c r="Q597" i="1"/>
  <c r="P597" i="1"/>
  <c r="O597" i="1"/>
  <c r="N597" i="1"/>
  <c r="M597" i="1"/>
  <c r="S637" i="1"/>
  <c r="R637" i="1"/>
  <c r="Q637" i="1"/>
  <c r="P637" i="1"/>
  <c r="O637" i="1"/>
  <c r="N637" i="1"/>
  <c r="M637" i="1"/>
  <c r="S677" i="1"/>
  <c r="R677" i="1"/>
  <c r="Q677" i="1"/>
  <c r="P677" i="1"/>
  <c r="O677" i="1"/>
  <c r="N677" i="1"/>
  <c r="M677" i="1"/>
  <c r="N717" i="1"/>
  <c r="P717" i="1"/>
  <c r="Q717" i="1"/>
  <c r="M717" i="1"/>
  <c r="S558" i="1"/>
  <c r="R558" i="1"/>
  <c r="Q558" i="1"/>
  <c r="P558" i="1"/>
  <c r="O558" i="1"/>
  <c r="N558" i="1"/>
  <c r="M558" i="1"/>
  <c r="G699" i="1"/>
  <c r="R692" i="1"/>
  <c r="O692" i="1"/>
  <c r="S692" i="1" s="1"/>
  <c r="D694" i="1"/>
  <c r="G693" i="1"/>
  <c r="H693" i="1" s="1"/>
  <c r="G676" i="1"/>
  <c r="G675" i="1"/>
  <c r="S653" i="1"/>
  <c r="R653" i="1"/>
  <c r="O653" i="1"/>
  <c r="O675" i="1"/>
  <c r="S675" i="1" s="1"/>
  <c r="R675" i="1"/>
  <c r="O676" i="1"/>
  <c r="S676" i="1" s="1"/>
  <c r="R676" i="1"/>
  <c r="E692" i="1"/>
  <c r="I692" i="1" s="1"/>
  <c r="H692" i="1"/>
  <c r="E693" i="1"/>
  <c r="E694" i="1"/>
  <c r="H694" i="1"/>
  <c r="E695" i="1"/>
  <c r="H695" i="1"/>
  <c r="I695" i="1"/>
  <c r="E696" i="1"/>
  <c r="I696" i="1" s="1"/>
  <c r="H696" i="1"/>
  <c r="E697" i="1"/>
  <c r="I697" i="1" s="1"/>
  <c r="H697" i="1"/>
  <c r="E698" i="1"/>
  <c r="H698" i="1"/>
  <c r="I698" i="1" s="1"/>
  <c r="E699" i="1"/>
  <c r="H699" i="1"/>
  <c r="I699" i="1" s="1"/>
  <c r="E700" i="1"/>
  <c r="H700" i="1"/>
  <c r="E701" i="1"/>
  <c r="H701" i="1"/>
  <c r="E702" i="1"/>
  <c r="H702" i="1"/>
  <c r="E703" i="1"/>
  <c r="H703" i="1"/>
  <c r="I703" i="1"/>
  <c r="E704" i="1"/>
  <c r="I704" i="1" s="1"/>
  <c r="H704" i="1"/>
  <c r="E705" i="1"/>
  <c r="I705" i="1" s="1"/>
  <c r="H705" i="1"/>
  <c r="E706" i="1"/>
  <c r="H706" i="1"/>
  <c r="I706" i="1" s="1"/>
  <c r="E707" i="1"/>
  <c r="H707" i="1"/>
  <c r="I707" i="1" s="1"/>
  <c r="E708" i="1"/>
  <c r="I708" i="1" s="1"/>
  <c r="H708" i="1"/>
  <c r="E709" i="1"/>
  <c r="H709" i="1"/>
  <c r="E710" i="1"/>
  <c r="H710" i="1"/>
  <c r="I710" i="1" s="1"/>
  <c r="E711" i="1"/>
  <c r="H711" i="1"/>
  <c r="I711" i="1"/>
  <c r="E712" i="1"/>
  <c r="I712" i="1" s="1"/>
  <c r="H712" i="1"/>
  <c r="E713" i="1"/>
  <c r="I713" i="1" s="1"/>
  <c r="H713" i="1"/>
  <c r="E686" i="1"/>
  <c r="H686" i="1"/>
  <c r="E687" i="1"/>
  <c r="H687" i="1"/>
  <c r="E688" i="1"/>
  <c r="I688" i="1" s="1"/>
  <c r="H688" i="1"/>
  <c r="E689" i="1"/>
  <c r="H689" i="1"/>
  <c r="C717" i="1"/>
  <c r="H716" i="1"/>
  <c r="E716" i="1"/>
  <c r="H715" i="1"/>
  <c r="E715" i="1"/>
  <c r="I715" i="1" s="1"/>
  <c r="S714" i="1"/>
  <c r="R714" i="1"/>
  <c r="O714" i="1"/>
  <c r="H714" i="1"/>
  <c r="E714" i="1"/>
  <c r="I714" i="1" s="1"/>
  <c r="R713" i="1"/>
  <c r="O713" i="1"/>
  <c r="S713" i="1" s="1"/>
  <c r="S712" i="1"/>
  <c r="R712" i="1"/>
  <c r="O712" i="1"/>
  <c r="S711" i="1"/>
  <c r="R711" i="1"/>
  <c r="O711" i="1"/>
  <c r="R710" i="1"/>
  <c r="O710" i="1"/>
  <c r="S710" i="1" s="1"/>
  <c r="S709" i="1"/>
  <c r="R709" i="1"/>
  <c r="O709" i="1"/>
  <c r="R708" i="1"/>
  <c r="O708" i="1"/>
  <c r="S708" i="1" s="1"/>
  <c r="S707" i="1"/>
  <c r="R707" i="1"/>
  <c r="O707" i="1"/>
  <c r="R706" i="1"/>
  <c r="O706" i="1"/>
  <c r="S706" i="1" s="1"/>
  <c r="F717" i="1"/>
  <c r="R705" i="1"/>
  <c r="O705" i="1"/>
  <c r="S705" i="1" s="1"/>
  <c r="R704" i="1"/>
  <c r="S704" i="1" s="1"/>
  <c r="O704" i="1"/>
  <c r="R703" i="1"/>
  <c r="O703" i="1"/>
  <c r="S703" i="1" s="1"/>
  <c r="R702" i="1"/>
  <c r="S702" i="1" s="1"/>
  <c r="O702" i="1"/>
  <c r="R701" i="1"/>
  <c r="O701" i="1"/>
  <c r="S701" i="1" s="1"/>
  <c r="R700" i="1"/>
  <c r="O700" i="1"/>
  <c r="S700" i="1" s="1"/>
  <c r="S699" i="1"/>
  <c r="R699" i="1"/>
  <c r="O699" i="1"/>
  <c r="R698" i="1"/>
  <c r="S698" i="1" s="1"/>
  <c r="O698" i="1"/>
  <c r="R697" i="1"/>
  <c r="O697" i="1"/>
  <c r="S697" i="1" s="1"/>
  <c r="R696" i="1"/>
  <c r="S696" i="1" s="1"/>
  <c r="O696" i="1"/>
  <c r="R695" i="1"/>
  <c r="O695" i="1"/>
  <c r="S695" i="1" s="1"/>
  <c r="D717" i="1"/>
  <c r="R690" i="1"/>
  <c r="O690" i="1"/>
  <c r="S690" i="1" s="1"/>
  <c r="H690" i="1"/>
  <c r="E690" i="1"/>
  <c r="R689" i="1"/>
  <c r="S689" i="1" s="1"/>
  <c r="O689" i="1"/>
  <c r="R688" i="1"/>
  <c r="O688" i="1"/>
  <c r="S688" i="1" s="1"/>
  <c r="R687" i="1"/>
  <c r="S687" i="1" s="1"/>
  <c r="O687" i="1"/>
  <c r="R686" i="1"/>
  <c r="O686" i="1"/>
  <c r="S686" i="1" s="1"/>
  <c r="F685" i="1"/>
  <c r="F691" i="1" s="1"/>
  <c r="C685" i="1"/>
  <c r="C691" i="1" s="1"/>
  <c r="G672" i="1"/>
  <c r="D672" i="1"/>
  <c r="E672" i="1" s="1"/>
  <c r="R652" i="1"/>
  <c r="O652" i="1"/>
  <c r="S652" i="1" s="1"/>
  <c r="G666" i="1"/>
  <c r="F666" i="1"/>
  <c r="H666" i="1" s="1"/>
  <c r="D666" i="1"/>
  <c r="E666" i="1" s="1"/>
  <c r="D662" i="1"/>
  <c r="G661" i="1"/>
  <c r="D661" i="1"/>
  <c r="R627" i="1"/>
  <c r="O627" i="1"/>
  <c r="S627" i="1" s="1"/>
  <c r="D659" i="1"/>
  <c r="G654" i="1"/>
  <c r="D654" i="1"/>
  <c r="R626" i="1"/>
  <c r="O626" i="1"/>
  <c r="S626" i="1" s="1"/>
  <c r="H675" i="1"/>
  <c r="E675" i="1"/>
  <c r="H674" i="1"/>
  <c r="E674" i="1"/>
  <c r="H673" i="1"/>
  <c r="E673" i="1"/>
  <c r="I673" i="1" s="1"/>
  <c r="H672" i="1"/>
  <c r="H671" i="1"/>
  <c r="E671" i="1"/>
  <c r="H670" i="1"/>
  <c r="E670" i="1"/>
  <c r="H669" i="1"/>
  <c r="E669" i="1"/>
  <c r="H668" i="1"/>
  <c r="E668" i="1"/>
  <c r="H667" i="1"/>
  <c r="E667" i="1"/>
  <c r="H665" i="1"/>
  <c r="E665" i="1"/>
  <c r="I665" i="1" s="1"/>
  <c r="H664" i="1"/>
  <c r="E664" i="1"/>
  <c r="I664" i="1" s="1"/>
  <c r="H663" i="1"/>
  <c r="E663" i="1"/>
  <c r="I663" i="1" s="1"/>
  <c r="H662" i="1"/>
  <c r="E662" i="1"/>
  <c r="I662" i="1" s="1"/>
  <c r="H661" i="1"/>
  <c r="E661" i="1"/>
  <c r="H660" i="1"/>
  <c r="E660" i="1"/>
  <c r="H659" i="1"/>
  <c r="E659" i="1"/>
  <c r="I659" i="1" s="1"/>
  <c r="H658" i="1"/>
  <c r="E658" i="1"/>
  <c r="H657" i="1"/>
  <c r="E657" i="1"/>
  <c r="I657" i="1" s="1"/>
  <c r="H656" i="1"/>
  <c r="E656" i="1"/>
  <c r="H655" i="1"/>
  <c r="E655" i="1"/>
  <c r="H654" i="1"/>
  <c r="E654" i="1"/>
  <c r="H653" i="1"/>
  <c r="E653" i="1"/>
  <c r="I653" i="1" s="1"/>
  <c r="H652" i="1"/>
  <c r="E652" i="1"/>
  <c r="I652" i="1" s="1"/>
  <c r="H650" i="1"/>
  <c r="E650" i="1"/>
  <c r="H649" i="1"/>
  <c r="E649" i="1"/>
  <c r="I649" i="1" s="1"/>
  <c r="I648" i="1"/>
  <c r="H648" i="1"/>
  <c r="E648" i="1"/>
  <c r="H647" i="1"/>
  <c r="E647" i="1"/>
  <c r="H646" i="1"/>
  <c r="I646" i="1" s="1"/>
  <c r="E646" i="1"/>
  <c r="O646" i="1"/>
  <c r="R646" i="1"/>
  <c r="S646" i="1" s="1"/>
  <c r="O647" i="1"/>
  <c r="R647" i="1"/>
  <c r="S647" i="1"/>
  <c r="O654" i="1"/>
  <c r="S654" i="1" s="1"/>
  <c r="R654" i="1"/>
  <c r="O655" i="1"/>
  <c r="R655" i="1"/>
  <c r="S655" i="1"/>
  <c r="O656" i="1"/>
  <c r="S656" i="1" s="1"/>
  <c r="R656" i="1"/>
  <c r="O657" i="1"/>
  <c r="R657" i="1"/>
  <c r="S657" i="1"/>
  <c r="O658" i="1"/>
  <c r="S658" i="1" s="1"/>
  <c r="R658" i="1"/>
  <c r="O659" i="1"/>
  <c r="R659" i="1"/>
  <c r="S659" i="1"/>
  <c r="O660" i="1"/>
  <c r="S660" i="1" s="1"/>
  <c r="R660" i="1"/>
  <c r="O661" i="1"/>
  <c r="R661" i="1"/>
  <c r="S661" i="1"/>
  <c r="O662" i="1"/>
  <c r="S662" i="1" s="1"/>
  <c r="R662" i="1"/>
  <c r="O663" i="1"/>
  <c r="R663" i="1"/>
  <c r="S663" i="1"/>
  <c r="F677" i="1"/>
  <c r="H676" i="1"/>
  <c r="I676" i="1" s="1"/>
  <c r="E676" i="1"/>
  <c r="R674" i="1"/>
  <c r="O674" i="1"/>
  <c r="S674" i="1" s="1"/>
  <c r="R673" i="1"/>
  <c r="O673" i="1"/>
  <c r="S673" i="1" s="1"/>
  <c r="R672" i="1"/>
  <c r="O672" i="1"/>
  <c r="S672" i="1" s="1"/>
  <c r="R671" i="1"/>
  <c r="O671" i="1"/>
  <c r="S671" i="1" s="1"/>
  <c r="R670" i="1"/>
  <c r="O670" i="1"/>
  <c r="S670" i="1" s="1"/>
  <c r="R669" i="1"/>
  <c r="S669" i="1" s="1"/>
  <c r="O669" i="1"/>
  <c r="S668" i="1"/>
  <c r="R668" i="1"/>
  <c r="O668" i="1"/>
  <c r="S667" i="1"/>
  <c r="R667" i="1"/>
  <c r="O667" i="1"/>
  <c r="S666" i="1"/>
  <c r="R666" i="1"/>
  <c r="O666" i="1"/>
  <c r="R665" i="1"/>
  <c r="O665" i="1"/>
  <c r="S665" i="1" s="1"/>
  <c r="R664" i="1"/>
  <c r="O664" i="1"/>
  <c r="S664" i="1" s="1"/>
  <c r="C677" i="1"/>
  <c r="D651" i="1"/>
  <c r="R650" i="1"/>
  <c r="O650" i="1"/>
  <c r="S650" i="1" s="1"/>
  <c r="R649" i="1"/>
  <c r="O649" i="1"/>
  <c r="S649" i="1" s="1"/>
  <c r="R648" i="1"/>
  <c r="O648" i="1"/>
  <c r="S648" i="1" s="1"/>
  <c r="F645" i="1"/>
  <c r="F651" i="1" s="1"/>
  <c r="D645" i="1"/>
  <c r="G633" i="1"/>
  <c r="H633" i="1" s="1"/>
  <c r="C633" i="1"/>
  <c r="R621" i="1"/>
  <c r="O621" i="1"/>
  <c r="S621" i="1" s="1"/>
  <c r="D630" i="1"/>
  <c r="E630" i="1" s="1"/>
  <c r="D629" i="1"/>
  <c r="E629" i="1" s="1"/>
  <c r="G626" i="1"/>
  <c r="D626" i="1"/>
  <c r="C626" i="1"/>
  <c r="R616" i="1"/>
  <c r="O616" i="1"/>
  <c r="S616" i="1" s="1"/>
  <c r="G623" i="1"/>
  <c r="G637" i="1" s="1"/>
  <c r="D623" i="1"/>
  <c r="G622" i="1"/>
  <c r="D622" i="1"/>
  <c r="E622" i="1"/>
  <c r="S615" i="1"/>
  <c r="R615" i="1"/>
  <c r="O615" i="1"/>
  <c r="D621" i="1"/>
  <c r="E621" i="1" s="1"/>
  <c r="I621" i="1" s="1"/>
  <c r="G621" i="1"/>
  <c r="D620" i="1"/>
  <c r="G620" i="1"/>
  <c r="O580" i="1"/>
  <c r="S580" i="1" s="1"/>
  <c r="R580" i="1"/>
  <c r="O581" i="1"/>
  <c r="S581" i="1" s="1"/>
  <c r="R581" i="1"/>
  <c r="O582" i="1"/>
  <c r="R582" i="1"/>
  <c r="S582" i="1" s="1"/>
  <c r="R614" i="1"/>
  <c r="O614" i="1"/>
  <c r="S614" i="1" s="1"/>
  <c r="S613" i="1"/>
  <c r="R613" i="1"/>
  <c r="O613" i="1"/>
  <c r="R612" i="1"/>
  <c r="O612" i="1"/>
  <c r="S612" i="1" s="1"/>
  <c r="C620" i="1"/>
  <c r="F620" i="1"/>
  <c r="F637" i="1" s="1"/>
  <c r="G618" i="1"/>
  <c r="D618" i="1"/>
  <c r="E618" i="1" s="1"/>
  <c r="D617" i="1"/>
  <c r="C617" i="1"/>
  <c r="G617" i="1"/>
  <c r="C591" i="1"/>
  <c r="E591" i="1" s="1"/>
  <c r="I591" i="1" s="1"/>
  <c r="F590" i="1"/>
  <c r="H590" i="1" s="1"/>
  <c r="G584" i="1"/>
  <c r="E584" i="1"/>
  <c r="E585" i="1"/>
  <c r="E586" i="1"/>
  <c r="D581" i="1"/>
  <c r="O635" i="1"/>
  <c r="S635" i="1" s="1"/>
  <c r="R635" i="1"/>
  <c r="R636" i="1"/>
  <c r="O636" i="1"/>
  <c r="R579" i="1"/>
  <c r="O579" i="1"/>
  <c r="S579" i="1" s="1"/>
  <c r="R572" i="1"/>
  <c r="O572" i="1"/>
  <c r="O569" i="1"/>
  <c r="R569" i="1"/>
  <c r="S569" i="1" s="1"/>
  <c r="O609" i="1"/>
  <c r="R609" i="1"/>
  <c r="S609" i="1" s="1"/>
  <c r="R607" i="1"/>
  <c r="O607" i="1"/>
  <c r="S607" i="1" s="1"/>
  <c r="H636" i="1"/>
  <c r="E636" i="1"/>
  <c r="H635" i="1"/>
  <c r="E635" i="1"/>
  <c r="R634" i="1"/>
  <c r="O634" i="1"/>
  <c r="S634" i="1" s="1"/>
  <c r="H634" i="1"/>
  <c r="E634" i="1"/>
  <c r="I634" i="1" s="1"/>
  <c r="R633" i="1"/>
  <c r="O633" i="1"/>
  <c r="S633" i="1" s="1"/>
  <c r="E633" i="1"/>
  <c r="R632" i="1"/>
  <c r="O632" i="1"/>
  <c r="S632" i="1" s="1"/>
  <c r="H632" i="1"/>
  <c r="E632" i="1"/>
  <c r="I632" i="1" s="1"/>
  <c r="R631" i="1"/>
  <c r="O631" i="1"/>
  <c r="S631" i="1" s="1"/>
  <c r="H631" i="1"/>
  <c r="E631" i="1"/>
  <c r="I631" i="1" s="1"/>
  <c r="R630" i="1"/>
  <c r="O630" i="1"/>
  <c r="S630" i="1" s="1"/>
  <c r="H630" i="1"/>
  <c r="R629" i="1"/>
  <c r="O629" i="1"/>
  <c r="S629" i="1" s="1"/>
  <c r="H629" i="1"/>
  <c r="R628" i="1"/>
  <c r="O628" i="1"/>
  <c r="S628" i="1" s="1"/>
  <c r="H628" i="1"/>
  <c r="E628" i="1"/>
  <c r="H627" i="1"/>
  <c r="E627" i="1"/>
  <c r="I627" i="1" s="1"/>
  <c r="H626" i="1"/>
  <c r="E626" i="1"/>
  <c r="R625" i="1"/>
  <c r="O625" i="1"/>
  <c r="S625" i="1" s="1"/>
  <c r="H625" i="1"/>
  <c r="E625" i="1"/>
  <c r="I625" i="1" s="1"/>
  <c r="R624" i="1"/>
  <c r="O624" i="1"/>
  <c r="S624" i="1" s="1"/>
  <c r="H624" i="1"/>
  <c r="E624" i="1"/>
  <c r="I624" i="1" s="1"/>
  <c r="R623" i="1"/>
  <c r="O623" i="1"/>
  <c r="S623" i="1" s="1"/>
  <c r="H623" i="1"/>
  <c r="E623" i="1"/>
  <c r="R622" i="1"/>
  <c r="O622" i="1"/>
  <c r="S622" i="1" s="1"/>
  <c r="H622" i="1"/>
  <c r="H621" i="1"/>
  <c r="R620" i="1"/>
  <c r="O620" i="1"/>
  <c r="H620" i="1"/>
  <c r="R619" i="1"/>
  <c r="O619" i="1"/>
  <c r="S619" i="1" s="1"/>
  <c r="H619" i="1"/>
  <c r="E619" i="1"/>
  <c r="I619" i="1" s="1"/>
  <c r="R618" i="1"/>
  <c r="O618" i="1"/>
  <c r="S618" i="1" s="1"/>
  <c r="H618" i="1"/>
  <c r="R617" i="1"/>
  <c r="O617" i="1"/>
  <c r="H617" i="1"/>
  <c r="H616" i="1"/>
  <c r="E616" i="1"/>
  <c r="H615" i="1"/>
  <c r="E615" i="1"/>
  <c r="I615" i="1" s="1"/>
  <c r="H614" i="1"/>
  <c r="E614" i="1"/>
  <c r="I614" i="1" s="1"/>
  <c r="H613" i="1"/>
  <c r="E613" i="1"/>
  <c r="H612" i="1"/>
  <c r="E612" i="1"/>
  <c r="I612" i="1" s="1"/>
  <c r="R610" i="1"/>
  <c r="O610" i="1"/>
  <c r="H610" i="1"/>
  <c r="E610" i="1"/>
  <c r="H609" i="1"/>
  <c r="E609" i="1"/>
  <c r="R608" i="1"/>
  <c r="O608" i="1"/>
  <c r="H608" i="1"/>
  <c r="E608" i="1"/>
  <c r="I608" i="1" s="1"/>
  <c r="H607" i="1"/>
  <c r="E607" i="1"/>
  <c r="R606" i="1"/>
  <c r="O606" i="1"/>
  <c r="H606" i="1"/>
  <c r="E606" i="1"/>
  <c r="I606" i="1" s="1"/>
  <c r="G522" i="1"/>
  <c r="H522" i="1"/>
  <c r="F522" i="1"/>
  <c r="D522" i="1"/>
  <c r="E522" i="1"/>
  <c r="C522" i="1"/>
  <c r="H521" i="1"/>
  <c r="G521" i="1"/>
  <c r="F521" i="1"/>
  <c r="E521" i="1"/>
  <c r="D521" i="1"/>
  <c r="C521" i="1"/>
  <c r="G559" i="1"/>
  <c r="C559" i="1"/>
  <c r="H199" i="1"/>
  <c r="E199" i="1"/>
  <c r="G199" i="1"/>
  <c r="F199" i="1"/>
  <c r="D199" i="1"/>
  <c r="C199" i="1"/>
  <c r="E572" i="1"/>
  <c r="I572" i="1" s="1"/>
  <c r="H572" i="1"/>
  <c r="E573" i="1"/>
  <c r="H573" i="1"/>
  <c r="E574" i="1"/>
  <c r="H574" i="1"/>
  <c r="E575" i="1"/>
  <c r="H575" i="1"/>
  <c r="I575" i="1"/>
  <c r="E576" i="1"/>
  <c r="I576" i="1" s="1"/>
  <c r="H576" i="1"/>
  <c r="E577" i="1"/>
  <c r="I577" i="1" s="1"/>
  <c r="H577" i="1"/>
  <c r="E578" i="1"/>
  <c r="H578" i="1"/>
  <c r="I578" i="1" s="1"/>
  <c r="E579" i="1"/>
  <c r="I579" i="1" s="1"/>
  <c r="H579" i="1"/>
  <c r="E580" i="1"/>
  <c r="H580" i="1"/>
  <c r="I580" i="1" s="1"/>
  <c r="E581" i="1"/>
  <c r="H581" i="1"/>
  <c r="E582" i="1"/>
  <c r="I582" i="1" s="1"/>
  <c r="H582" i="1"/>
  <c r="E583" i="1"/>
  <c r="H583" i="1"/>
  <c r="I583" i="1" s="1"/>
  <c r="H584" i="1"/>
  <c r="I584" i="1" s="1"/>
  <c r="G597" i="1"/>
  <c r="D597" i="1"/>
  <c r="C597" i="1"/>
  <c r="H596" i="1"/>
  <c r="E596" i="1"/>
  <c r="H595" i="1"/>
  <c r="E595" i="1"/>
  <c r="H594" i="1"/>
  <c r="E594" i="1"/>
  <c r="H593" i="1"/>
  <c r="E593" i="1"/>
  <c r="H592" i="1"/>
  <c r="E592" i="1"/>
  <c r="H591" i="1"/>
  <c r="E590" i="1"/>
  <c r="I589" i="1"/>
  <c r="H589" i="1"/>
  <c r="E589" i="1"/>
  <c r="H588" i="1"/>
  <c r="I588" i="1" s="1"/>
  <c r="E588" i="1"/>
  <c r="H587" i="1"/>
  <c r="E587" i="1"/>
  <c r="I587" i="1" s="1"/>
  <c r="H586" i="1"/>
  <c r="I586" i="1"/>
  <c r="I585" i="1"/>
  <c r="H585" i="1"/>
  <c r="G571" i="1"/>
  <c r="H570" i="1"/>
  <c r="E570" i="1"/>
  <c r="H569" i="1"/>
  <c r="E569" i="1"/>
  <c r="H568" i="1"/>
  <c r="E568" i="1"/>
  <c r="H567" i="1"/>
  <c r="E567" i="1"/>
  <c r="H566" i="1"/>
  <c r="E566" i="1"/>
  <c r="G565" i="1"/>
  <c r="R596" i="1"/>
  <c r="O596" i="1"/>
  <c r="S596" i="1" s="1"/>
  <c r="S595" i="1"/>
  <c r="R595" i="1"/>
  <c r="O595" i="1"/>
  <c r="R594" i="1"/>
  <c r="S594" i="1" s="1"/>
  <c r="O594" i="1"/>
  <c r="R593" i="1"/>
  <c r="O593" i="1"/>
  <c r="S593" i="1" s="1"/>
  <c r="R592" i="1"/>
  <c r="O592" i="1"/>
  <c r="S592" i="1" s="1"/>
  <c r="S591" i="1"/>
  <c r="R591" i="1"/>
  <c r="O591" i="1"/>
  <c r="R590" i="1"/>
  <c r="S590" i="1" s="1"/>
  <c r="O590" i="1"/>
  <c r="R589" i="1"/>
  <c r="O589" i="1"/>
  <c r="S589" i="1" s="1"/>
  <c r="R588" i="1"/>
  <c r="O588" i="1"/>
  <c r="S588" i="1" s="1"/>
  <c r="S587" i="1"/>
  <c r="R587" i="1"/>
  <c r="O587" i="1"/>
  <c r="R586" i="1"/>
  <c r="S586" i="1" s="1"/>
  <c r="O586" i="1"/>
  <c r="R585" i="1"/>
  <c r="O585" i="1"/>
  <c r="S585" i="1" s="1"/>
  <c r="R584" i="1"/>
  <c r="O584" i="1"/>
  <c r="S584" i="1" s="1"/>
  <c r="S583" i="1"/>
  <c r="R583" i="1"/>
  <c r="O583" i="1"/>
  <c r="R578" i="1"/>
  <c r="S578" i="1" s="1"/>
  <c r="O578" i="1"/>
  <c r="R577" i="1"/>
  <c r="O577" i="1"/>
  <c r="R576" i="1"/>
  <c r="O576" i="1"/>
  <c r="R575" i="1"/>
  <c r="O575" i="1"/>
  <c r="R574" i="1"/>
  <c r="O574" i="1"/>
  <c r="R573" i="1"/>
  <c r="O573" i="1"/>
  <c r="S573" i="1" s="1"/>
  <c r="R570" i="1"/>
  <c r="S570" i="1" s="1"/>
  <c r="O570" i="1"/>
  <c r="R568" i="1"/>
  <c r="O568" i="1"/>
  <c r="S568" i="1" s="1"/>
  <c r="R567" i="1"/>
  <c r="O567" i="1"/>
  <c r="R566" i="1"/>
  <c r="S566" i="1" s="1"/>
  <c r="O566" i="1"/>
  <c r="R532" i="1"/>
  <c r="O532" i="1"/>
  <c r="S532" i="1" s="1"/>
  <c r="O526" i="1"/>
  <c r="R526" i="1"/>
  <c r="S526" i="1"/>
  <c r="H529" i="1"/>
  <c r="E529" i="1"/>
  <c r="I529" i="1" s="1"/>
  <c r="D504" i="1"/>
  <c r="D517" i="1" s="1"/>
  <c r="H530" i="1"/>
  <c r="E530" i="1"/>
  <c r="H528" i="1"/>
  <c r="E528" i="1"/>
  <c r="H527" i="1"/>
  <c r="E527" i="1"/>
  <c r="I527" i="1" s="1"/>
  <c r="H526" i="1"/>
  <c r="E526" i="1"/>
  <c r="I526" i="1" s="1"/>
  <c r="E532" i="1"/>
  <c r="H532" i="1"/>
  <c r="I532" i="1"/>
  <c r="E533" i="1"/>
  <c r="H533" i="1"/>
  <c r="I533" i="1"/>
  <c r="O533" i="1"/>
  <c r="R533" i="1"/>
  <c r="S533" i="1"/>
  <c r="E534" i="1"/>
  <c r="H534" i="1"/>
  <c r="I534" i="1"/>
  <c r="O534" i="1"/>
  <c r="R534" i="1"/>
  <c r="S534" i="1"/>
  <c r="E535" i="1"/>
  <c r="I535" i="1" s="1"/>
  <c r="H535" i="1"/>
  <c r="O535" i="1"/>
  <c r="R535" i="1"/>
  <c r="S535" i="1"/>
  <c r="E536" i="1"/>
  <c r="H536" i="1"/>
  <c r="I536" i="1"/>
  <c r="O536" i="1"/>
  <c r="R536" i="1"/>
  <c r="S536" i="1"/>
  <c r="E537" i="1"/>
  <c r="H537" i="1"/>
  <c r="I537" i="1"/>
  <c r="O537" i="1"/>
  <c r="R537" i="1"/>
  <c r="S537" i="1"/>
  <c r="E538" i="1"/>
  <c r="H538" i="1"/>
  <c r="I538" i="1"/>
  <c r="O538" i="1"/>
  <c r="R538" i="1"/>
  <c r="S538" i="1"/>
  <c r="E539" i="1"/>
  <c r="H539" i="1"/>
  <c r="I539" i="1"/>
  <c r="O539" i="1"/>
  <c r="R539" i="1"/>
  <c r="S539" i="1"/>
  <c r="E540" i="1"/>
  <c r="I540" i="1" s="1"/>
  <c r="H540" i="1"/>
  <c r="O540" i="1"/>
  <c r="R540" i="1"/>
  <c r="S540" i="1"/>
  <c r="E541" i="1"/>
  <c r="H541" i="1"/>
  <c r="I541" i="1"/>
  <c r="O541" i="1"/>
  <c r="R541" i="1"/>
  <c r="S541" i="1"/>
  <c r="E542" i="1"/>
  <c r="H542" i="1"/>
  <c r="O542" i="1"/>
  <c r="R542" i="1"/>
  <c r="S542" i="1"/>
  <c r="E543" i="1"/>
  <c r="I543" i="1" s="1"/>
  <c r="H543" i="1"/>
  <c r="O543" i="1"/>
  <c r="R543" i="1"/>
  <c r="S543" i="1"/>
  <c r="E544" i="1"/>
  <c r="I544" i="1" s="1"/>
  <c r="H544" i="1"/>
  <c r="O544" i="1"/>
  <c r="R544" i="1"/>
  <c r="S544" i="1"/>
  <c r="E545" i="1"/>
  <c r="H545" i="1"/>
  <c r="I545" i="1"/>
  <c r="O545" i="1"/>
  <c r="R545" i="1"/>
  <c r="S545" i="1"/>
  <c r="Q557" i="1"/>
  <c r="P557" i="1"/>
  <c r="N557" i="1"/>
  <c r="M557" i="1"/>
  <c r="G557" i="1"/>
  <c r="F557" i="1"/>
  <c r="F559" i="1" s="1"/>
  <c r="D557" i="1"/>
  <c r="D559" i="1" s="1"/>
  <c r="R556" i="1"/>
  <c r="O556" i="1"/>
  <c r="S556" i="1" s="1"/>
  <c r="H556" i="1"/>
  <c r="I556" i="1" s="1"/>
  <c r="E556" i="1"/>
  <c r="R555" i="1"/>
  <c r="O555" i="1"/>
  <c r="S555" i="1" s="1"/>
  <c r="H555" i="1"/>
  <c r="E555" i="1"/>
  <c r="I555" i="1" s="1"/>
  <c r="R554" i="1"/>
  <c r="O554" i="1"/>
  <c r="S554" i="1" s="1"/>
  <c r="H554" i="1"/>
  <c r="E554" i="1"/>
  <c r="I554" i="1" s="1"/>
  <c r="R553" i="1"/>
  <c r="O553" i="1"/>
  <c r="S553" i="1" s="1"/>
  <c r="H553" i="1"/>
  <c r="E553" i="1"/>
  <c r="I553" i="1" s="1"/>
  <c r="R552" i="1"/>
  <c r="O552" i="1"/>
  <c r="S552" i="1" s="1"/>
  <c r="H552" i="1"/>
  <c r="E552" i="1"/>
  <c r="I552" i="1" s="1"/>
  <c r="R551" i="1"/>
  <c r="O551" i="1"/>
  <c r="S551" i="1" s="1"/>
  <c r="H551" i="1"/>
  <c r="E551" i="1"/>
  <c r="I551" i="1" s="1"/>
  <c r="R550" i="1"/>
  <c r="O550" i="1"/>
  <c r="S550" i="1" s="1"/>
  <c r="H550" i="1"/>
  <c r="E550" i="1"/>
  <c r="I550" i="1" s="1"/>
  <c r="R549" i="1"/>
  <c r="O549" i="1"/>
  <c r="S549" i="1" s="1"/>
  <c r="H549" i="1"/>
  <c r="E549" i="1"/>
  <c r="I549" i="1" s="1"/>
  <c r="R548" i="1"/>
  <c r="O548" i="1"/>
  <c r="S548" i="1" s="1"/>
  <c r="H548" i="1"/>
  <c r="E548" i="1"/>
  <c r="I548" i="1" s="1"/>
  <c r="R547" i="1"/>
  <c r="O547" i="1"/>
  <c r="S547" i="1" s="1"/>
  <c r="H547" i="1"/>
  <c r="E547" i="1"/>
  <c r="I547" i="1" s="1"/>
  <c r="R546" i="1"/>
  <c r="O546" i="1"/>
  <c r="S546" i="1" s="1"/>
  <c r="H546" i="1"/>
  <c r="E546" i="1"/>
  <c r="I546" i="1" s="1"/>
  <c r="C557" i="1"/>
  <c r="P531" i="1"/>
  <c r="M531" i="1"/>
  <c r="R530" i="1"/>
  <c r="O530" i="1"/>
  <c r="S530" i="1" s="1"/>
  <c r="R529" i="1"/>
  <c r="O529" i="1"/>
  <c r="S529" i="1" s="1"/>
  <c r="R528" i="1"/>
  <c r="O528" i="1"/>
  <c r="S528" i="1" s="1"/>
  <c r="R527" i="1"/>
  <c r="O527" i="1"/>
  <c r="S527" i="1" s="1"/>
  <c r="R525" i="1"/>
  <c r="Q525" i="1"/>
  <c r="Q531" i="1" s="1"/>
  <c r="P525" i="1"/>
  <c r="O525" i="1"/>
  <c r="S525" i="1" s="1"/>
  <c r="N525" i="1"/>
  <c r="N531" i="1" s="1"/>
  <c r="M525" i="1"/>
  <c r="R493" i="1"/>
  <c r="O493" i="1"/>
  <c r="S493" i="1" s="1"/>
  <c r="R454" i="1"/>
  <c r="O454" i="1"/>
  <c r="S454" i="1" s="1"/>
  <c r="C493" i="1"/>
  <c r="E493" i="1" s="1"/>
  <c r="E492" i="1"/>
  <c r="O516" i="1"/>
  <c r="R516" i="1"/>
  <c r="S516" i="1" s="1"/>
  <c r="O486" i="1"/>
  <c r="R486" i="1"/>
  <c r="S486" i="1" s="1"/>
  <c r="O487" i="1"/>
  <c r="S487" i="1" s="1"/>
  <c r="R487" i="1"/>
  <c r="O488" i="1"/>
  <c r="R488" i="1"/>
  <c r="O492" i="1"/>
  <c r="R492" i="1"/>
  <c r="H492" i="1"/>
  <c r="I492" i="1" s="1"/>
  <c r="H493" i="1"/>
  <c r="E494" i="1"/>
  <c r="H494" i="1"/>
  <c r="I494" i="1" s="1"/>
  <c r="E495" i="1"/>
  <c r="H495" i="1"/>
  <c r="I495" i="1"/>
  <c r="E496" i="1"/>
  <c r="H496" i="1"/>
  <c r="I496" i="1" s="1"/>
  <c r="E497" i="1"/>
  <c r="H497" i="1"/>
  <c r="I497" i="1"/>
  <c r="E498" i="1"/>
  <c r="H498" i="1"/>
  <c r="I498" i="1" s="1"/>
  <c r="E499" i="1"/>
  <c r="H499" i="1"/>
  <c r="I499" i="1" s="1"/>
  <c r="E500" i="1"/>
  <c r="H500" i="1"/>
  <c r="I500" i="1" s="1"/>
  <c r="E501" i="1"/>
  <c r="H501" i="1"/>
  <c r="I501" i="1"/>
  <c r="E502" i="1"/>
  <c r="H502" i="1"/>
  <c r="I502" i="1" s="1"/>
  <c r="E503" i="1"/>
  <c r="H503" i="1"/>
  <c r="I503" i="1" s="1"/>
  <c r="Q517" i="1"/>
  <c r="P517" i="1"/>
  <c r="N517" i="1"/>
  <c r="M517" i="1"/>
  <c r="F517" i="1"/>
  <c r="H516" i="1"/>
  <c r="E516" i="1"/>
  <c r="I516" i="1" s="1"/>
  <c r="R515" i="1"/>
  <c r="O515" i="1"/>
  <c r="S515" i="1" s="1"/>
  <c r="H515" i="1"/>
  <c r="E515" i="1"/>
  <c r="I515" i="1" s="1"/>
  <c r="R514" i="1"/>
  <c r="O514" i="1"/>
  <c r="S514" i="1" s="1"/>
  <c r="H514" i="1"/>
  <c r="E514" i="1"/>
  <c r="I514" i="1" s="1"/>
  <c r="R513" i="1"/>
  <c r="O513" i="1"/>
  <c r="S513" i="1" s="1"/>
  <c r="H513" i="1"/>
  <c r="E513" i="1"/>
  <c r="I513" i="1" s="1"/>
  <c r="R512" i="1"/>
  <c r="O512" i="1"/>
  <c r="S512" i="1" s="1"/>
  <c r="H512" i="1"/>
  <c r="E512" i="1"/>
  <c r="R511" i="1"/>
  <c r="O511" i="1"/>
  <c r="S511" i="1" s="1"/>
  <c r="H511" i="1"/>
  <c r="E511" i="1"/>
  <c r="R510" i="1"/>
  <c r="O510" i="1"/>
  <c r="S510" i="1" s="1"/>
  <c r="H510" i="1"/>
  <c r="E510" i="1"/>
  <c r="R509" i="1"/>
  <c r="O509" i="1"/>
  <c r="S509" i="1" s="1"/>
  <c r="H509" i="1"/>
  <c r="E509" i="1"/>
  <c r="I509" i="1" s="1"/>
  <c r="R508" i="1"/>
  <c r="O508" i="1"/>
  <c r="S508" i="1" s="1"/>
  <c r="H508" i="1"/>
  <c r="E508" i="1"/>
  <c r="R507" i="1"/>
  <c r="O507" i="1"/>
  <c r="S507" i="1" s="1"/>
  <c r="H507" i="1"/>
  <c r="E507" i="1"/>
  <c r="I507" i="1" s="1"/>
  <c r="R506" i="1"/>
  <c r="O506" i="1"/>
  <c r="S506" i="1" s="1"/>
  <c r="H506" i="1"/>
  <c r="E506" i="1"/>
  <c r="R505" i="1"/>
  <c r="O505" i="1"/>
  <c r="S505" i="1" s="1"/>
  <c r="H505" i="1"/>
  <c r="E505" i="1"/>
  <c r="I505" i="1" s="1"/>
  <c r="R504" i="1"/>
  <c r="O504" i="1"/>
  <c r="S504" i="1" s="1"/>
  <c r="H504" i="1"/>
  <c r="E504" i="1"/>
  <c r="I504" i="1" s="1"/>
  <c r="R503" i="1"/>
  <c r="O503" i="1"/>
  <c r="S503" i="1" s="1"/>
  <c r="R502" i="1"/>
  <c r="O502" i="1"/>
  <c r="S502" i="1" s="1"/>
  <c r="R501" i="1"/>
  <c r="O501" i="1"/>
  <c r="S501" i="1" s="1"/>
  <c r="R500" i="1"/>
  <c r="O500" i="1"/>
  <c r="S500" i="1" s="1"/>
  <c r="R499" i="1"/>
  <c r="O499" i="1"/>
  <c r="S499" i="1" s="1"/>
  <c r="R498" i="1"/>
  <c r="O498" i="1"/>
  <c r="S498" i="1" s="1"/>
  <c r="R497" i="1"/>
  <c r="O497" i="1"/>
  <c r="S497" i="1" s="1"/>
  <c r="R496" i="1"/>
  <c r="O496" i="1"/>
  <c r="S496" i="1" s="1"/>
  <c r="R495" i="1"/>
  <c r="O495" i="1"/>
  <c r="S495" i="1" s="1"/>
  <c r="R494" i="1"/>
  <c r="O494" i="1"/>
  <c r="S494" i="1" s="1"/>
  <c r="R490" i="1"/>
  <c r="O490" i="1"/>
  <c r="S490" i="1" s="1"/>
  <c r="H490" i="1"/>
  <c r="E490" i="1"/>
  <c r="R489" i="1"/>
  <c r="O489" i="1"/>
  <c r="S489" i="1" s="1"/>
  <c r="H489" i="1"/>
  <c r="E489" i="1"/>
  <c r="I489" i="1" s="1"/>
  <c r="H488" i="1"/>
  <c r="E488" i="1"/>
  <c r="I488" i="1" s="1"/>
  <c r="H487" i="1"/>
  <c r="E487" i="1"/>
  <c r="I487" i="1" s="1"/>
  <c r="H486" i="1"/>
  <c r="E486" i="1"/>
  <c r="I486" i="1" s="1"/>
  <c r="H485" i="1"/>
  <c r="G485" i="1"/>
  <c r="G491" i="1" s="1"/>
  <c r="F485" i="1"/>
  <c r="F491" i="1" s="1"/>
  <c r="E485" i="1"/>
  <c r="I485" i="1" s="1"/>
  <c r="D485" i="1"/>
  <c r="D491" i="1" s="1"/>
  <c r="C485" i="1"/>
  <c r="C491" i="1" s="1"/>
  <c r="E472" i="1"/>
  <c r="H472" i="1"/>
  <c r="I472" i="1" s="1"/>
  <c r="H458" i="1"/>
  <c r="E458" i="1"/>
  <c r="I458" i="1" s="1"/>
  <c r="E457" i="1"/>
  <c r="H457" i="1"/>
  <c r="I457" i="1" s="1"/>
  <c r="O449" i="1"/>
  <c r="R449" i="1"/>
  <c r="S449" i="1"/>
  <c r="R448" i="1"/>
  <c r="O448" i="1"/>
  <c r="S448" i="1" s="1"/>
  <c r="O450" i="1"/>
  <c r="R450" i="1"/>
  <c r="S450" i="1"/>
  <c r="D455" i="1"/>
  <c r="G455" i="1"/>
  <c r="C455" i="1"/>
  <c r="E434" i="1"/>
  <c r="H434" i="1"/>
  <c r="I434" i="1" s="1"/>
  <c r="E452" i="1"/>
  <c r="M477" i="1"/>
  <c r="E436" i="1"/>
  <c r="H436" i="1"/>
  <c r="I436" i="1" s="1"/>
  <c r="E449" i="1"/>
  <c r="I449" i="1" s="1"/>
  <c r="H449" i="1"/>
  <c r="E450" i="1"/>
  <c r="H450" i="1"/>
  <c r="I450" i="1"/>
  <c r="H448" i="1"/>
  <c r="E448" i="1"/>
  <c r="I448" i="1" s="1"/>
  <c r="H447" i="1"/>
  <c r="E447" i="1"/>
  <c r="I447" i="1" s="1"/>
  <c r="H446" i="1"/>
  <c r="E446" i="1"/>
  <c r="H452" i="1"/>
  <c r="I452" i="1" s="1"/>
  <c r="E453" i="1"/>
  <c r="H453" i="1"/>
  <c r="I453" i="1"/>
  <c r="E454" i="1"/>
  <c r="H454" i="1"/>
  <c r="E455" i="1"/>
  <c r="H455" i="1"/>
  <c r="E456" i="1"/>
  <c r="H456" i="1"/>
  <c r="E459" i="1"/>
  <c r="H459" i="1"/>
  <c r="I459" i="1" s="1"/>
  <c r="E460" i="1"/>
  <c r="H460" i="1"/>
  <c r="E461" i="1"/>
  <c r="H461" i="1"/>
  <c r="I461" i="1"/>
  <c r="E462" i="1"/>
  <c r="I462" i="1" s="1"/>
  <c r="H462" i="1"/>
  <c r="E463" i="1"/>
  <c r="H463" i="1"/>
  <c r="I463" i="1"/>
  <c r="E464" i="1"/>
  <c r="I464" i="1" s="1"/>
  <c r="H464" i="1"/>
  <c r="E465" i="1"/>
  <c r="H465" i="1"/>
  <c r="I465" i="1"/>
  <c r="E466" i="1"/>
  <c r="I466" i="1" s="1"/>
  <c r="H466" i="1"/>
  <c r="E467" i="1"/>
  <c r="H467" i="1"/>
  <c r="I467" i="1"/>
  <c r="E468" i="1"/>
  <c r="I468" i="1" s="1"/>
  <c r="H468" i="1"/>
  <c r="E469" i="1"/>
  <c r="H469" i="1"/>
  <c r="I469" i="1"/>
  <c r="E470" i="1"/>
  <c r="I470" i="1" s="1"/>
  <c r="H470" i="1"/>
  <c r="E471" i="1"/>
  <c r="H471" i="1"/>
  <c r="I471" i="1"/>
  <c r="E473" i="1"/>
  <c r="H473" i="1"/>
  <c r="I473" i="1"/>
  <c r="O434" i="1"/>
  <c r="R434" i="1"/>
  <c r="S434" i="1"/>
  <c r="O435" i="1"/>
  <c r="S435" i="1" s="1"/>
  <c r="R435" i="1"/>
  <c r="O436" i="1"/>
  <c r="R436" i="1"/>
  <c r="S436" i="1"/>
  <c r="O409" i="1"/>
  <c r="R409" i="1"/>
  <c r="S409" i="1"/>
  <c r="O410" i="1"/>
  <c r="R410" i="1"/>
  <c r="S410" i="1" s="1"/>
  <c r="O452" i="1"/>
  <c r="S452" i="1" s="1"/>
  <c r="R452" i="1"/>
  <c r="O453" i="1"/>
  <c r="R453" i="1"/>
  <c r="S453" i="1" s="1"/>
  <c r="O455" i="1"/>
  <c r="R455" i="1"/>
  <c r="S455" i="1"/>
  <c r="O456" i="1"/>
  <c r="R456" i="1"/>
  <c r="S456" i="1"/>
  <c r="O457" i="1"/>
  <c r="R457" i="1"/>
  <c r="S457" i="1"/>
  <c r="O458" i="1"/>
  <c r="R458" i="1"/>
  <c r="S458" i="1"/>
  <c r="O459" i="1"/>
  <c r="R459" i="1"/>
  <c r="S459" i="1"/>
  <c r="O460" i="1"/>
  <c r="R460" i="1"/>
  <c r="S460" i="1"/>
  <c r="O461" i="1"/>
  <c r="R461" i="1"/>
  <c r="S461" i="1"/>
  <c r="O462" i="1"/>
  <c r="R462" i="1"/>
  <c r="S462" i="1"/>
  <c r="O463" i="1"/>
  <c r="R463" i="1"/>
  <c r="S463" i="1"/>
  <c r="O464" i="1"/>
  <c r="R464" i="1"/>
  <c r="S464" i="1"/>
  <c r="O465" i="1"/>
  <c r="R465" i="1"/>
  <c r="S465" i="1"/>
  <c r="O466" i="1"/>
  <c r="R466" i="1"/>
  <c r="S466" i="1"/>
  <c r="P477" i="1"/>
  <c r="G477" i="1"/>
  <c r="F477" i="1"/>
  <c r="C477" i="1"/>
  <c r="R476" i="1"/>
  <c r="Q477" i="1"/>
  <c r="N477" i="1"/>
  <c r="H476" i="1"/>
  <c r="E476" i="1"/>
  <c r="R475" i="1"/>
  <c r="O475" i="1"/>
  <c r="S475" i="1" s="1"/>
  <c r="I475" i="1"/>
  <c r="H475" i="1"/>
  <c r="E475" i="1"/>
  <c r="R474" i="1"/>
  <c r="O474" i="1"/>
  <c r="S474" i="1" s="1"/>
  <c r="I474" i="1"/>
  <c r="H474" i="1"/>
  <c r="E474" i="1"/>
  <c r="R473" i="1"/>
  <c r="O473" i="1"/>
  <c r="S473" i="1" s="1"/>
  <c r="R472" i="1"/>
  <c r="O472" i="1"/>
  <c r="S472" i="1" s="1"/>
  <c r="R471" i="1"/>
  <c r="O471" i="1"/>
  <c r="S471" i="1" s="1"/>
  <c r="R470" i="1"/>
  <c r="O470" i="1"/>
  <c r="S470" i="1" s="1"/>
  <c r="R469" i="1"/>
  <c r="O469" i="1"/>
  <c r="S469" i="1" s="1"/>
  <c r="R468" i="1"/>
  <c r="O468" i="1"/>
  <c r="S468" i="1" s="1"/>
  <c r="R467" i="1"/>
  <c r="O467" i="1"/>
  <c r="S467" i="1" s="1"/>
  <c r="R447" i="1"/>
  <c r="O447" i="1"/>
  <c r="R446" i="1"/>
  <c r="O446" i="1"/>
  <c r="S446" i="1" s="1"/>
  <c r="R419" i="1"/>
  <c r="O419" i="1"/>
  <c r="S419" i="1" s="1"/>
  <c r="P437" i="1"/>
  <c r="R417" i="1"/>
  <c r="O417" i="1"/>
  <c r="S417" i="1" s="1"/>
  <c r="R414" i="1"/>
  <c r="O414" i="1"/>
  <c r="S414" i="1" s="1"/>
  <c r="R413" i="1"/>
  <c r="O413" i="1"/>
  <c r="S413" i="1" s="1"/>
  <c r="O395" i="1"/>
  <c r="R395" i="1"/>
  <c r="S395" i="1" s="1"/>
  <c r="R396" i="1"/>
  <c r="O396" i="1"/>
  <c r="S396" i="1" s="1"/>
  <c r="R373" i="1"/>
  <c r="O373" i="1"/>
  <c r="S373" i="1" s="1"/>
  <c r="H410" i="1"/>
  <c r="E410" i="1"/>
  <c r="H409" i="1"/>
  <c r="E409" i="1"/>
  <c r="H408" i="1"/>
  <c r="E408" i="1"/>
  <c r="H407" i="1"/>
  <c r="E407" i="1"/>
  <c r="I407" i="1" s="1"/>
  <c r="H406" i="1"/>
  <c r="E406" i="1"/>
  <c r="O408" i="1"/>
  <c r="R408" i="1"/>
  <c r="S408" i="1"/>
  <c r="O431" i="1"/>
  <c r="R431" i="1"/>
  <c r="S431" i="1"/>
  <c r="O432" i="1"/>
  <c r="S432" i="1" s="1"/>
  <c r="R432" i="1"/>
  <c r="O433" i="1"/>
  <c r="R433" i="1"/>
  <c r="S433" i="1"/>
  <c r="O412" i="1"/>
  <c r="S412" i="1" s="1"/>
  <c r="R412" i="1"/>
  <c r="O415" i="1"/>
  <c r="S415" i="1" s="1"/>
  <c r="R415" i="1"/>
  <c r="E412" i="1"/>
  <c r="H412" i="1"/>
  <c r="I412" i="1"/>
  <c r="E413" i="1"/>
  <c r="I413" i="1" s="1"/>
  <c r="H413" i="1"/>
  <c r="E414" i="1"/>
  <c r="H414" i="1"/>
  <c r="I414" i="1" s="1"/>
  <c r="E415" i="1"/>
  <c r="I415" i="1" s="1"/>
  <c r="H415" i="1"/>
  <c r="E416" i="1"/>
  <c r="H416" i="1"/>
  <c r="E417" i="1"/>
  <c r="I417" i="1" s="1"/>
  <c r="H417" i="1"/>
  <c r="E418" i="1"/>
  <c r="H418" i="1"/>
  <c r="I418" i="1"/>
  <c r="E419" i="1"/>
  <c r="H419" i="1"/>
  <c r="I419" i="1" s="1"/>
  <c r="E420" i="1"/>
  <c r="H420" i="1"/>
  <c r="I420" i="1"/>
  <c r="E421" i="1"/>
  <c r="H421" i="1"/>
  <c r="I421" i="1"/>
  <c r="E422" i="1"/>
  <c r="I422" i="1" s="1"/>
  <c r="H422" i="1"/>
  <c r="E423" i="1"/>
  <c r="I423" i="1" s="1"/>
  <c r="H423" i="1"/>
  <c r="E424" i="1"/>
  <c r="H424" i="1"/>
  <c r="I424" i="1"/>
  <c r="E428" i="1"/>
  <c r="H428" i="1"/>
  <c r="E429" i="1"/>
  <c r="H429" i="1"/>
  <c r="E430" i="1"/>
  <c r="I430" i="1" s="1"/>
  <c r="H430" i="1"/>
  <c r="E431" i="1"/>
  <c r="H431" i="1"/>
  <c r="I431" i="1"/>
  <c r="E432" i="1"/>
  <c r="I432" i="1" s="1"/>
  <c r="H432" i="1"/>
  <c r="E433" i="1"/>
  <c r="H433" i="1"/>
  <c r="E435" i="1"/>
  <c r="H435" i="1"/>
  <c r="I435" i="1"/>
  <c r="H427" i="1"/>
  <c r="E427" i="1"/>
  <c r="H426" i="1"/>
  <c r="I426" i="1" s="1"/>
  <c r="E426" i="1"/>
  <c r="H425" i="1"/>
  <c r="E425" i="1"/>
  <c r="I425" i="1" s="1"/>
  <c r="Q437" i="1"/>
  <c r="N437" i="1"/>
  <c r="M437" i="1"/>
  <c r="G437" i="1"/>
  <c r="F437" i="1"/>
  <c r="R430" i="1"/>
  <c r="S430" i="1" s="1"/>
  <c r="O430" i="1"/>
  <c r="R429" i="1"/>
  <c r="S429" i="1" s="1"/>
  <c r="O429" i="1"/>
  <c r="R428" i="1"/>
  <c r="S428" i="1" s="1"/>
  <c r="O428" i="1"/>
  <c r="R427" i="1"/>
  <c r="S427" i="1" s="1"/>
  <c r="O427" i="1"/>
  <c r="R426" i="1"/>
  <c r="S426" i="1" s="1"/>
  <c r="O426" i="1"/>
  <c r="R425" i="1"/>
  <c r="S425" i="1" s="1"/>
  <c r="O425" i="1"/>
  <c r="R424" i="1"/>
  <c r="S424" i="1" s="1"/>
  <c r="O424" i="1"/>
  <c r="S423" i="1"/>
  <c r="R423" i="1"/>
  <c r="O423" i="1"/>
  <c r="S422" i="1"/>
  <c r="R422" i="1"/>
  <c r="O422" i="1"/>
  <c r="R421" i="1"/>
  <c r="S421" i="1" s="1"/>
  <c r="O421" i="1"/>
  <c r="R420" i="1"/>
  <c r="S420" i="1" s="1"/>
  <c r="O420" i="1"/>
  <c r="R418" i="1"/>
  <c r="O418" i="1"/>
  <c r="S418" i="1" s="1"/>
  <c r="R416" i="1"/>
  <c r="O416" i="1"/>
  <c r="S416" i="1" s="1"/>
  <c r="C437" i="1"/>
  <c r="S407" i="1"/>
  <c r="R407" i="1"/>
  <c r="O407" i="1"/>
  <c r="S406" i="1"/>
  <c r="R406" i="1"/>
  <c r="O406" i="1"/>
  <c r="G405" i="1"/>
  <c r="G411" i="1" s="1"/>
  <c r="E393" i="1"/>
  <c r="R338" i="1"/>
  <c r="O338" i="1"/>
  <c r="D384" i="1"/>
  <c r="R337" i="1"/>
  <c r="O337" i="1"/>
  <c r="S337" i="1" s="1"/>
  <c r="D379" i="1"/>
  <c r="S336" i="1"/>
  <c r="R336" i="1"/>
  <c r="O336" i="1"/>
  <c r="D375" i="1"/>
  <c r="E375" i="1" s="1"/>
  <c r="I375" i="1" s="1"/>
  <c r="R335" i="1"/>
  <c r="O335" i="1"/>
  <c r="S335" i="1" s="1"/>
  <c r="C375" i="1"/>
  <c r="D373" i="1"/>
  <c r="E373" i="1" s="1"/>
  <c r="I373" i="1" s="1"/>
  <c r="S334" i="1"/>
  <c r="R334" i="1"/>
  <c r="O334" i="1"/>
  <c r="D356" i="1"/>
  <c r="R333" i="1"/>
  <c r="O333" i="1"/>
  <c r="S333" i="1" s="1"/>
  <c r="O329" i="1"/>
  <c r="R329" i="1"/>
  <c r="S329" i="1"/>
  <c r="O355" i="1"/>
  <c r="R355" i="1"/>
  <c r="S355" i="1" s="1"/>
  <c r="O356" i="1"/>
  <c r="R356" i="1"/>
  <c r="S356" i="1"/>
  <c r="O368" i="1"/>
  <c r="R368" i="1"/>
  <c r="S368" i="1" s="1"/>
  <c r="O372" i="1"/>
  <c r="R372" i="1"/>
  <c r="S372" i="1" s="1"/>
  <c r="E372" i="1"/>
  <c r="H372" i="1"/>
  <c r="H373" i="1"/>
  <c r="E374" i="1"/>
  <c r="H374" i="1"/>
  <c r="I374" i="1" s="1"/>
  <c r="H375" i="1"/>
  <c r="E376" i="1"/>
  <c r="H376" i="1"/>
  <c r="I376" i="1" s="1"/>
  <c r="E377" i="1"/>
  <c r="H377" i="1"/>
  <c r="E378" i="1"/>
  <c r="H378" i="1"/>
  <c r="I378" i="1" s="1"/>
  <c r="E379" i="1"/>
  <c r="I379" i="1" s="1"/>
  <c r="H379" i="1"/>
  <c r="E380" i="1"/>
  <c r="H380" i="1"/>
  <c r="I380" i="1" s="1"/>
  <c r="E381" i="1"/>
  <c r="H381" i="1"/>
  <c r="I381" i="1"/>
  <c r="E382" i="1"/>
  <c r="H382" i="1"/>
  <c r="I382" i="1" s="1"/>
  <c r="E383" i="1"/>
  <c r="H383" i="1"/>
  <c r="I383" i="1" s="1"/>
  <c r="E384" i="1"/>
  <c r="H384" i="1"/>
  <c r="E385" i="1"/>
  <c r="I385" i="1" s="1"/>
  <c r="H385" i="1"/>
  <c r="E386" i="1"/>
  <c r="H386" i="1"/>
  <c r="E387" i="1"/>
  <c r="I387" i="1" s="1"/>
  <c r="H387" i="1"/>
  <c r="E388" i="1"/>
  <c r="H388" i="1"/>
  <c r="I388" i="1" s="1"/>
  <c r="E389" i="1"/>
  <c r="H389" i="1"/>
  <c r="E390" i="1"/>
  <c r="H390" i="1"/>
  <c r="E391" i="1"/>
  <c r="I391" i="1" s="1"/>
  <c r="H391" i="1"/>
  <c r="E392" i="1"/>
  <c r="H392" i="1"/>
  <c r="H393" i="1"/>
  <c r="I393" i="1" s="1"/>
  <c r="E394" i="1"/>
  <c r="H394" i="1"/>
  <c r="Q397" i="1"/>
  <c r="P397" i="1"/>
  <c r="N397" i="1"/>
  <c r="M397" i="1"/>
  <c r="F397" i="1"/>
  <c r="C397" i="1"/>
  <c r="H396" i="1"/>
  <c r="E396" i="1"/>
  <c r="I396" i="1" s="1"/>
  <c r="H395" i="1"/>
  <c r="E395" i="1"/>
  <c r="I395" i="1" s="1"/>
  <c r="R394" i="1"/>
  <c r="O394" i="1"/>
  <c r="S394" i="1" s="1"/>
  <c r="R393" i="1"/>
  <c r="O393" i="1"/>
  <c r="S393" i="1" s="1"/>
  <c r="R392" i="1"/>
  <c r="O392" i="1"/>
  <c r="S392" i="1" s="1"/>
  <c r="R391" i="1"/>
  <c r="O391" i="1"/>
  <c r="S391" i="1" s="1"/>
  <c r="R390" i="1"/>
  <c r="O390" i="1"/>
  <c r="S390" i="1" s="1"/>
  <c r="R389" i="1"/>
  <c r="O389" i="1"/>
  <c r="S389" i="1" s="1"/>
  <c r="R388" i="1"/>
  <c r="O388" i="1"/>
  <c r="S388" i="1" s="1"/>
  <c r="R387" i="1"/>
  <c r="O387" i="1"/>
  <c r="S387" i="1" s="1"/>
  <c r="R386" i="1"/>
  <c r="O386" i="1"/>
  <c r="S386" i="1" s="1"/>
  <c r="R385" i="1"/>
  <c r="O385" i="1"/>
  <c r="S385" i="1" s="1"/>
  <c r="R384" i="1"/>
  <c r="O384" i="1"/>
  <c r="S384" i="1" s="1"/>
  <c r="R383" i="1"/>
  <c r="O383" i="1"/>
  <c r="S383" i="1" s="1"/>
  <c r="R382" i="1"/>
  <c r="O382" i="1"/>
  <c r="S382" i="1" s="1"/>
  <c r="R381" i="1"/>
  <c r="O381" i="1"/>
  <c r="S381" i="1" s="1"/>
  <c r="R380" i="1"/>
  <c r="O380" i="1"/>
  <c r="S380" i="1" s="1"/>
  <c r="R379" i="1"/>
  <c r="O379" i="1"/>
  <c r="S379" i="1" s="1"/>
  <c r="D397" i="1"/>
  <c r="R378" i="1"/>
  <c r="O378" i="1"/>
  <c r="S378" i="1" s="1"/>
  <c r="R377" i="1"/>
  <c r="O377" i="1"/>
  <c r="S377" i="1" s="1"/>
  <c r="R376" i="1"/>
  <c r="O376" i="1"/>
  <c r="S376" i="1" s="1"/>
  <c r="R375" i="1"/>
  <c r="O375" i="1"/>
  <c r="S375" i="1" s="1"/>
  <c r="R374" i="1"/>
  <c r="O374" i="1"/>
  <c r="R370" i="1"/>
  <c r="O370" i="1"/>
  <c r="S370" i="1" s="1"/>
  <c r="H370" i="1"/>
  <c r="E370" i="1"/>
  <c r="R369" i="1"/>
  <c r="O369" i="1"/>
  <c r="S369" i="1" s="1"/>
  <c r="H369" i="1"/>
  <c r="E369" i="1"/>
  <c r="H368" i="1"/>
  <c r="E368" i="1"/>
  <c r="R367" i="1"/>
  <c r="O367" i="1"/>
  <c r="S367" i="1" s="1"/>
  <c r="H367" i="1"/>
  <c r="E367" i="1"/>
  <c r="R366" i="1"/>
  <c r="O366" i="1"/>
  <c r="S366" i="1" s="1"/>
  <c r="H366" i="1"/>
  <c r="E366" i="1"/>
  <c r="H365" i="1"/>
  <c r="G365" i="1"/>
  <c r="G371" i="1" s="1"/>
  <c r="F365" i="1"/>
  <c r="F371" i="1" s="1"/>
  <c r="R299" i="1"/>
  <c r="O299" i="1"/>
  <c r="S299" i="1" s="1"/>
  <c r="G344" i="1"/>
  <c r="D344" i="1"/>
  <c r="R298" i="1"/>
  <c r="O298" i="1"/>
  <c r="S298" i="1" s="1"/>
  <c r="G341" i="1"/>
  <c r="R297" i="1"/>
  <c r="O297" i="1"/>
  <c r="S297" i="1" s="1"/>
  <c r="D339" i="1"/>
  <c r="O327" i="1"/>
  <c r="R327" i="1"/>
  <c r="S327" i="1" s="1"/>
  <c r="C333" i="1"/>
  <c r="R296" i="1"/>
  <c r="O296" i="1"/>
  <c r="S296" i="1" s="1"/>
  <c r="O314" i="1"/>
  <c r="R314" i="1"/>
  <c r="S314" i="1"/>
  <c r="O315" i="1"/>
  <c r="S315" i="1" s="1"/>
  <c r="R315" i="1"/>
  <c r="O316" i="1"/>
  <c r="R316" i="1"/>
  <c r="S316" i="1"/>
  <c r="O326" i="1"/>
  <c r="R326" i="1"/>
  <c r="S326" i="1"/>
  <c r="O332" i="1"/>
  <c r="R332" i="1"/>
  <c r="S332" i="1" s="1"/>
  <c r="E332" i="1"/>
  <c r="H332" i="1"/>
  <c r="E333" i="1"/>
  <c r="I333" i="1" s="1"/>
  <c r="H333" i="1"/>
  <c r="E334" i="1"/>
  <c r="H334" i="1"/>
  <c r="E335" i="1"/>
  <c r="I335" i="1" s="1"/>
  <c r="H335" i="1"/>
  <c r="E336" i="1"/>
  <c r="H336" i="1"/>
  <c r="E337" i="1"/>
  <c r="H337" i="1"/>
  <c r="I337" i="1" s="1"/>
  <c r="E338" i="1"/>
  <c r="H338" i="1"/>
  <c r="I338" i="1" s="1"/>
  <c r="E339" i="1"/>
  <c r="I339" i="1" s="1"/>
  <c r="H339" i="1"/>
  <c r="E340" i="1"/>
  <c r="H340" i="1"/>
  <c r="E341" i="1"/>
  <c r="H341" i="1"/>
  <c r="E342" i="1"/>
  <c r="H342" i="1"/>
  <c r="E343" i="1"/>
  <c r="H343" i="1"/>
  <c r="I343" i="1" s="1"/>
  <c r="E344" i="1"/>
  <c r="H344" i="1"/>
  <c r="E345" i="1"/>
  <c r="H345" i="1"/>
  <c r="E346" i="1"/>
  <c r="H346" i="1"/>
  <c r="I346" i="1" s="1"/>
  <c r="E347" i="1"/>
  <c r="H347" i="1"/>
  <c r="I347" i="1"/>
  <c r="E348" i="1"/>
  <c r="H348" i="1"/>
  <c r="E349" i="1"/>
  <c r="H349" i="1"/>
  <c r="I349" i="1"/>
  <c r="E350" i="1"/>
  <c r="H350" i="1"/>
  <c r="I350" i="1" s="1"/>
  <c r="E351" i="1"/>
  <c r="H351" i="1"/>
  <c r="I351" i="1" s="1"/>
  <c r="E352" i="1"/>
  <c r="H352" i="1"/>
  <c r="I352" i="1" s="1"/>
  <c r="E353" i="1"/>
  <c r="H353" i="1"/>
  <c r="I353" i="1" s="1"/>
  <c r="E354" i="1"/>
  <c r="H354" i="1"/>
  <c r="Q357" i="1"/>
  <c r="P357" i="1"/>
  <c r="N357" i="1"/>
  <c r="M357" i="1"/>
  <c r="G357" i="1"/>
  <c r="F357" i="1"/>
  <c r="C357" i="1"/>
  <c r="H356" i="1"/>
  <c r="E356" i="1"/>
  <c r="I356" i="1" s="1"/>
  <c r="H355" i="1"/>
  <c r="E355" i="1"/>
  <c r="I355" i="1" s="1"/>
  <c r="R354" i="1"/>
  <c r="O354" i="1"/>
  <c r="S354" i="1" s="1"/>
  <c r="R353" i="1"/>
  <c r="O353" i="1"/>
  <c r="S353" i="1" s="1"/>
  <c r="R352" i="1"/>
  <c r="O352" i="1"/>
  <c r="S352" i="1" s="1"/>
  <c r="R351" i="1"/>
  <c r="O351" i="1"/>
  <c r="S351" i="1" s="1"/>
  <c r="D357" i="1"/>
  <c r="S350" i="1"/>
  <c r="R350" i="1"/>
  <c r="O350" i="1"/>
  <c r="S349" i="1"/>
  <c r="R349" i="1"/>
  <c r="O349" i="1"/>
  <c r="S348" i="1"/>
  <c r="R348" i="1"/>
  <c r="O348" i="1"/>
  <c r="S347" i="1"/>
  <c r="R347" i="1"/>
  <c r="O347" i="1"/>
  <c r="S346" i="1"/>
  <c r="R346" i="1"/>
  <c r="O346" i="1"/>
  <c r="S345" i="1"/>
  <c r="R345" i="1"/>
  <c r="O345" i="1"/>
  <c r="S344" i="1"/>
  <c r="R344" i="1"/>
  <c r="O344" i="1"/>
  <c r="S343" i="1"/>
  <c r="R343" i="1"/>
  <c r="O343" i="1"/>
  <c r="S342" i="1"/>
  <c r="R342" i="1"/>
  <c r="O342" i="1"/>
  <c r="S341" i="1"/>
  <c r="R341" i="1"/>
  <c r="O341" i="1"/>
  <c r="S340" i="1"/>
  <c r="R340" i="1"/>
  <c r="O340" i="1"/>
  <c r="S339" i="1"/>
  <c r="R339" i="1"/>
  <c r="O339" i="1"/>
  <c r="R330" i="1"/>
  <c r="O330" i="1"/>
  <c r="S330" i="1" s="1"/>
  <c r="H330" i="1"/>
  <c r="E330" i="1"/>
  <c r="H329" i="1"/>
  <c r="E329" i="1"/>
  <c r="R328" i="1"/>
  <c r="O328" i="1"/>
  <c r="H328" i="1"/>
  <c r="E328" i="1"/>
  <c r="I328" i="1" s="1"/>
  <c r="H327" i="1"/>
  <c r="E327" i="1"/>
  <c r="H326" i="1"/>
  <c r="E326" i="1"/>
  <c r="F325" i="1"/>
  <c r="F331" i="1" s="1"/>
  <c r="E325" i="1"/>
  <c r="D325" i="1"/>
  <c r="D331" i="1" s="1"/>
  <c r="C325" i="1"/>
  <c r="C331" i="1" s="1"/>
  <c r="S295" i="1"/>
  <c r="R295" i="1"/>
  <c r="O295" i="1"/>
  <c r="D311" i="1"/>
  <c r="R294" i="1"/>
  <c r="O294" i="1"/>
  <c r="S294" i="1" s="1"/>
  <c r="R293" i="1"/>
  <c r="O293" i="1"/>
  <c r="S293" i="1" s="1"/>
  <c r="R256" i="1"/>
  <c r="O256" i="1"/>
  <c r="S256" i="1" s="1"/>
  <c r="R255" i="1"/>
  <c r="O255" i="1"/>
  <c r="S255" i="1" s="1"/>
  <c r="G293" i="1"/>
  <c r="O292" i="1"/>
  <c r="R292" i="1"/>
  <c r="E292" i="1"/>
  <c r="H292" i="1"/>
  <c r="E293" i="1"/>
  <c r="H293" i="1"/>
  <c r="I293" i="1"/>
  <c r="E294" i="1"/>
  <c r="H294" i="1"/>
  <c r="I294" i="1" s="1"/>
  <c r="E295" i="1"/>
  <c r="I295" i="1" s="1"/>
  <c r="H295" i="1"/>
  <c r="E296" i="1"/>
  <c r="H296" i="1"/>
  <c r="I296" i="1" s="1"/>
  <c r="E297" i="1"/>
  <c r="H297" i="1"/>
  <c r="I297" i="1"/>
  <c r="E298" i="1"/>
  <c r="H298" i="1"/>
  <c r="E299" i="1"/>
  <c r="H299" i="1"/>
  <c r="I299" i="1"/>
  <c r="E300" i="1"/>
  <c r="H300" i="1"/>
  <c r="E301" i="1"/>
  <c r="H301" i="1"/>
  <c r="I301" i="1"/>
  <c r="E302" i="1"/>
  <c r="H302" i="1"/>
  <c r="E303" i="1"/>
  <c r="H303" i="1"/>
  <c r="I303" i="1"/>
  <c r="E304" i="1"/>
  <c r="H304" i="1"/>
  <c r="I304" i="1" s="1"/>
  <c r="E305" i="1"/>
  <c r="H305" i="1"/>
  <c r="E306" i="1"/>
  <c r="H306" i="1"/>
  <c r="I306" i="1" s="1"/>
  <c r="E307" i="1"/>
  <c r="H307" i="1"/>
  <c r="I307" i="1"/>
  <c r="E308" i="1"/>
  <c r="H308" i="1"/>
  <c r="I308" i="1" s="1"/>
  <c r="E309" i="1"/>
  <c r="H309" i="1"/>
  <c r="I309" i="1"/>
  <c r="E310" i="1"/>
  <c r="H310" i="1"/>
  <c r="I310" i="1" s="1"/>
  <c r="E311" i="1"/>
  <c r="H311" i="1"/>
  <c r="E312" i="1"/>
  <c r="H312" i="1"/>
  <c r="E313" i="1"/>
  <c r="H313" i="1"/>
  <c r="I313" i="1"/>
  <c r="E314" i="1"/>
  <c r="H314" i="1"/>
  <c r="I314" i="1" s="1"/>
  <c r="Q317" i="1"/>
  <c r="P317" i="1"/>
  <c r="N317" i="1"/>
  <c r="M317" i="1"/>
  <c r="G317" i="1"/>
  <c r="D317" i="1"/>
  <c r="C317" i="1"/>
  <c r="H316" i="1"/>
  <c r="E316" i="1"/>
  <c r="I316" i="1" s="1"/>
  <c r="H315" i="1"/>
  <c r="E315" i="1"/>
  <c r="I315" i="1" s="1"/>
  <c r="R313" i="1"/>
  <c r="O313" i="1"/>
  <c r="S313" i="1" s="1"/>
  <c r="R312" i="1"/>
  <c r="O312" i="1"/>
  <c r="S312" i="1" s="1"/>
  <c r="R311" i="1"/>
  <c r="O311" i="1"/>
  <c r="S311" i="1" s="1"/>
  <c r="R310" i="1"/>
  <c r="O310" i="1"/>
  <c r="S310" i="1" s="1"/>
  <c r="R309" i="1"/>
  <c r="O309" i="1"/>
  <c r="S309" i="1" s="1"/>
  <c r="R308" i="1"/>
  <c r="O308" i="1"/>
  <c r="S308" i="1" s="1"/>
  <c r="R307" i="1"/>
  <c r="O307" i="1"/>
  <c r="S307" i="1" s="1"/>
  <c r="R306" i="1"/>
  <c r="O306" i="1"/>
  <c r="S306" i="1" s="1"/>
  <c r="F317" i="1"/>
  <c r="R305" i="1"/>
  <c r="O305" i="1"/>
  <c r="S305" i="1" s="1"/>
  <c r="R304" i="1"/>
  <c r="O304" i="1"/>
  <c r="S304" i="1" s="1"/>
  <c r="R303" i="1"/>
  <c r="O303" i="1"/>
  <c r="S303" i="1" s="1"/>
  <c r="R302" i="1"/>
  <c r="O302" i="1"/>
  <c r="S302" i="1" s="1"/>
  <c r="R301" i="1"/>
  <c r="O301" i="1"/>
  <c r="S301" i="1" s="1"/>
  <c r="R300" i="1"/>
  <c r="O300" i="1"/>
  <c r="S300" i="1" s="1"/>
  <c r="D291" i="1"/>
  <c r="R290" i="1"/>
  <c r="O290" i="1"/>
  <c r="S290" i="1" s="1"/>
  <c r="H290" i="1"/>
  <c r="E290" i="1"/>
  <c r="R289" i="1"/>
  <c r="O289" i="1"/>
  <c r="S289" i="1" s="1"/>
  <c r="H289" i="1"/>
  <c r="E289" i="1"/>
  <c r="I289" i="1" s="1"/>
  <c r="R288" i="1"/>
  <c r="O288" i="1"/>
  <c r="S288" i="1" s="1"/>
  <c r="H288" i="1"/>
  <c r="E288" i="1"/>
  <c r="R287" i="1"/>
  <c r="O287" i="1"/>
  <c r="S287" i="1" s="1"/>
  <c r="H287" i="1"/>
  <c r="E287" i="1"/>
  <c r="R286" i="1"/>
  <c r="O286" i="1"/>
  <c r="H286" i="1"/>
  <c r="E286" i="1"/>
  <c r="D285" i="1"/>
  <c r="R254" i="1"/>
  <c r="O254" i="1"/>
  <c r="S254" i="1" s="1"/>
  <c r="F266" i="1"/>
  <c r="H266" i="1" s="1"/>
  <c r="R253" i="1"/>
  <c r="O253" i="1"/>
  <c r="S253" i="1" s="1"/>
  <c r="S218" i="1"/>
  <c r="R218" i="1"/>
  <c r="O218" i="1"/>
  <c r="R217" i="1"/>
  <c r="O217" i="1"/>
  <c r="S217" i="1" s="1"/>
  <c r="O235" i="1"/>
  <c r="R235" i="1"/>
  <c r="S235" i="1" s="1"/>
  <c r="R236" i="1"/>
  <c r="O236" i="1"/>
  <c r="S236" i="1" s="1"/>
  <c r="R276" i="1"/>
  <c r="O276" i="1"/>
  <c r="O265" i="1"/>
  <c r="R265" i="1"/>
  <c r="S265" i="1"/>
  <c r="O266" i="1"/>
  <c r="S266" i="1" s="1"/>
  <c r="R266" i="1"/>
  <c r="O267" i="1"/>
  <c r="R267" i="1"/>
  <c r="S267" i="1"/>
  <c r="O268" i="1"/>
  <c r="S268" i="1" s="1"/>
  <c r="R268" i="1"/>
  <c r="O269" i="1"/>
  <c r="R269" i="1"/>
  <c r="S269" i="1"/>
  <c r="O270" i="1"/>
  <c r="S270" i="1" s="1"/>
  <c r="R270" i="1"/>
  <c r="O271" i="1"/>
  <c r="R271" i="1"/>
  <c r="S271" i="1"/>
  <c r="O272" i="1"/>
  <c r="S272" i="1" s="1"/>
  <c r="R272" i="1"/>
  <c r="O273" i="1"/>
  <c r="R273" i="1"/>
  <c r="S273" i="1"/>
  <c r="O274" i="1"/>
  <c r="S274" i="1" s="1"/>
  <c r="R274" i="1"/>
  <c r="O275" i="1"/>
  <c r="R275" i="1"/>
  <c r="S275" i="1"/>
  <c r="O248" i="1"/>
  <c r="R248" i="1"/>
  <c r="S248" i="1"/>
  <c r="O252" i="1"/>
  <c r="R252" i="1"/>
  <c r="S252" i="1"/>
  <c r="O257" i="1"/>
  <c r="R257" i="1"/>
  <c r="S257" i="1"/>
  <c r="O258" i="1"/>
  <c r="R258" i="1"/>
  <c r="S258" i="1"/>
  <c r="O259" i="1"/>
  <c r="R259" i="1"/>
  <c r="S259" i="1"/>
  <c r="E252" i="1"/>
  <c r="I252" i="1" s="1"/>
  <c r="H252" i="1"/>
  <c r="E253" i="1"/>
  <c r="H253" i="1"/>
  <c r="I253" i="1"/>
  <c r="E254" i="1"/>
  <c r="I254" i="1" s="1"/>
  <c r="H254" i="1"/>
  <c r="E255" i="1"/>
  <c r="H255" i="1"/>
  <c r="I255" i="1" s="1"/>
  <c r="E256" i="1"/>
  <c r="I256" i="1" s="1"/>
  <c r="H256" i="1"/>
  <c r="E257" i="1"/>
  <c r="H257" i="1"/>
  <c r="I257" i="1"/>
  <c r="E258" i="1"/>
  <c r="H258" i="1"/>
  <c r="E259" i="1"/>
  <c r="H259" i="1"/>
  <c r="I259" i="1"/>
  <c r="E260" i="1"/>
  <c r="H260" i="1"/>
  <c r="E261" i="1"/>
  <c r="H261" i="1"/>
  <c r="I261" i="1"/>
  <c r="E262" i="1"/>
  <c r="H262" i="1"/>
  <c r="E263" i="1"/>
  <c r="H263" i="1"/>
  <c r="I263" i="1"/>
  <c r="E264" i="1"/>
  <c r="I264" i="1" s="1"/>
  <c r="H264" i="1"/>
  <c r="E265" i="1"/>
  <c r="H265" i="1"/>
  <c r="I265" i="1"/>
  <c r="E266" i="1"/>
  <c r="E267" i="1"/>
  <c r="H267" i="1"/>
  <c r="E268" i="1"/>
  <c r="H268" i="1"/>
  <c r="E269" i="1"/>
  <c r="H269" i="1"/>
  <c r="I269" i="1" s="1"/>
  <c r="E270" i="1"/>
  <c r="H270" i="1"/>
  <c r="E271" i="1"/>
  <c r="H271" i="1"/>
  <c r="I271" i="1"/>
  <c r="E272" i="1"/>
  <c r="I272" i="1" s="1"/>
  <c r="H272" i="1"/>
  <c r="E273" i="1"/>
  <c r="H273" i="1"/>
  <c r="I273" i="1"/>
  <c r="E274" i="1"/>
  <c r="I274" i="1" s="1"/>
  <c r="H274" i="1"/>
  <c r="Q277" i="1"/>
  <c r="P277" i="1"/>
  <c r="N277" i="1"/>
  <c r="M277" i="1"/>
  <c r="G277" i="1"/>
  <c r="D277" i="1"/>
  <c r="C277" i="1"/>
  <c r="H276" i="1"/>
  <c r="E276" i="1"/>
  <c r="I276" i="1" s="1"/>
  <c r="H275" i="1"/>
  <c r="E275" i="1"/>
  <c r="I275" i="1" s="1"/>
  <c r="R264" i="1"/>
  <c r="S264" i="1" s="1"/>
  <c r="O264" i="1"/>
  <c r="R263" i="1"/>
  <c r="S263" i="1" s="1"/>
  <c r="O263" i="1"/>
  <c r="R262" i="1"/>
  <c r="S262" i="1" s="1"/>
  <c r="O262" i="1"/>
  <c r="R261" i="1"/>
  <c r="S261" i="1" s="1"/>
  <c r="O261" i="1"/>
  <c r="R260" i="1"/>
  <c r="S260" i="1" s="1"/>
  <c r="O260" i="1"/>
  <c r="R250" i="1"/>
  <c r="S250" i="1" s="1"/>
  <c r="O250" i="1"/>
  <c r="H250" i="1"/>
  <c r="E250" i="1"/>
  <c r="I250" i="1" s="1"/>
  <c r="R249" i="1"/>
  <c r="S249" i="1" s="1"/>
  <c r="O249" i="1"/>
  <c r="H249" i="1"/>
  <c r="E249" i="1"/>
  <c r="H248" i="1"/>
  <c r="E248" i="1"/>
  <c r="I248" i="1" s="1"/>
  <c r="R247" i="1"/>
  <c r="S247" i="1" s="1"/>
  <c r="O247" i="1"/>
  <c r="H247" i="1"/>
  <c r="E247" i="1"/>
  <c r="R246" i="1"/>
  <c r="S246" i="1" s="1"/>
  <c r="O246" i="1"/>
  <c r="H246" i="1"/>
  <c r="E246" i="1"/>
  <c r="I246" i="1" s="1"/>
  <c r="R216" i="1"/>
  <c r="O216" i="1"/>
  <c r="S216" i="1" s="1"/>
  <c r="R215" i="1"/>
  <c r="O215" i="1"/>
  <c r="S215" i="1" s="1"/>
  <c r="S214" i="1"/>
  <c r="R214" i="1"/>
  <c r="O214" i="1"/>
  <c r="R213" i="1"/>
  <c r="O213" i="1"/>
  <c r="S213" i="1" s="1"/>
  <c r="R212" i="1"/>
  <c r="O212" i="1"/>
  <c r="S212" i="1" s="1"/>
  <c r="M197" i="1"/>
  <c r="R181" i="1"/>
  <c r="O181" i="1"/>
  <c r="R180" i="1"/>
  <c r="O180" i="1"/>
  <c r="G174" i="1"/>
  <c r="H174" i="1" s="1"/>
  <c r="D154" i="1"/>
  <c r="Q237" i="1"/>
  <c r="P237" i="1"/>
  <c r="N237" i="1"/>
  <c r="M237" i="1"/>
  <c r="G237" i="1"/>
  <c r="F237" i="1"/>
  <c r="D237" i="1"/>
  <c r="C237" i="1"/>
  <c r="H236" i="1"/>
  <c r="E236" i="1"/>
  <c r="H235" i="1"/>
  <c r="E235" i="1"/>
  <c r="R234" i="1"/>
  <c r="O234" i="1"/>
  <c r="H234" i="1"/>
  <c r="E234" i="1"/>
  <c r="R233" i="1"/>
  <c r="O233" i="1"/>
  <c r="H233" i="1"/>
  <c r="E233" i="1"/>
  <c r="R232" i="1"/>
  <c r="O232" i="1"/>
  <c r="H232" i="1"/>
  <c r="E232" i="1"/>
  <c r="R231" i="1"/>
  <c r="O231" i="1"/>
  <c r="H231" i="1"/>
  <c r="E231" i="1"/>
  <c r="R230" i="1"/>
  <c r="O230" i="1"/>
  <c r="H230" i="1"/>
  <c r="E230" i="1"/>
  <c r="R229" i="1"/>
  <c r="O229" i="1"/>
  <c r="H229" i="1"/>
  <c r="E229" i="1"/>
  <c r="R228" i="1"/>
  <c r="O228" i="1"/>
  <c r="H228" i="1"/>
  <c r="E228" i="1"/>
  <c r="R227" i="1"/>
  <c r="O227" i="1"/>
  <c r="H227" i="1"/>
  <c r="E227" i="1"/>
  <c r="R226" i="1"/>
  <c r="O226" i="1"/>
  <c r="H226" i="1"/>
  <c r="E226" i="1"/>
  <c r="R225" i="1"/>
  <c r="O225" i="1"/>
  <c r="H225" i="1"/>
  <c r="E225" i="1"/>
  <c r="R224" i="1"/>
  <c r="O224" i="1"/>
  <c r="H224" i="1"/>
  <c r="E224" i="1"/>
  <c r="R223" i="1"/>
  <c r="O223" i="1"/>
  <c r="H223" i="1"/>
  <c r="E223" i="1"/>
  <c r="R222" i="1"/>
  <c r="O222" i="1"/>
  <c r="H222" i="1"/>
  <c r="E222" i="1"/>
  <c r="R221" i="1"/>
  <c r="O221" i="1"/>
  <c r="H221" i="1"/>
  <c r="E221" i="1"/>
  <c r="R220" i="1"/>
  <c r="O220" i="1"/>
  <c r="H220" i="1"/>
  <c r="E220" i="1"/>
  <c r="R219" i="1"/>
  <c r="O219" i="1"/>
  <c r="H219" i="1"/>
  <c r="E219" i="1"/>
  <c r="H218" i="1"/>
  <c r="E218" i="1"/>
  <c r="H217" i="1"/>
  <c r="E217" i="1"/>
  <c r="H216" i="1"/>
  <c r="E216" i="1"/>
  <c r="H215" i="1"/>
  <c r="E215" i="1"/>
  <c r="H214" i="1"/>
  <c r="E214" i="1"/>
  <c r="H213" i="1"/>
  <c r="E213" i="1"/>
  <c r="H212" i="1"/>
  <c r="E212" i="1"/>
  <c r="R210" i="1"/>
  <c r="O210" i="1"/>
  <c r="H210" i="1"/>
  <c r="E210" i="1"/>
  <c r="R209" i="1"/>
  <c r="O209" i="1"/>
  <c r="H209" i="1"/>
  <c r="E209" i="1"/>
  <c r="R208" i="1"/>
  <c r="O208" i="1"/>
  <c r="H208" i="1"/>
  <c r="E208" i="1"/>
  <c r="R207" i="1"/>
  <c r="O207" i="1"/>
  <c r="H207" i="1"/>
  <c r="E207" i="1"/>
  <c r="R206" i="1"/>
  <c r="O206" i="1"/>
  <c r="H206" i="1"/>
  <c r="E206" i="1"/>
  <c r="O172" i="1"/>
  <c r="R172" i="1"/>
  <c r="O173" i="1"/>
  <c r="R173" i="1"/>
  <c r="O174" i="1"/>
  <c r="R174" i="1"/>
  <c r="O175" i="1"/>
  <c r="R175" i="1"/>
  <c r="O176" i="1"/>
  <c r="R176" i="1"/>
  <c r="O177" i="1"/>
  <c r="R177" i="1"/>
  <c r="O178" i="1"/>
  <c r="R178" i="1"/>
  <c r="O179" i="1"/>
  <c r="R179" i="1"/>
  <c r="O182" i="1"/>
  <c r="R182" i="1"/>
  <c r="O183" i="1"/>
  <c r="R183" i="1"/>
  <c r="O184" i="1"/>
  <c r="R184" i="1"/>
  <c r="O185" i="1"/>
  <c r="R185" i="1"/>
  <c r="O186" i="1"/>
  <c r="R186" i="1"/>
  <c r="O187" i="1"/>
  <c r="R187" i="1"/>
  <c r="O188" i="1"/>
  <c r="R188" i="1"/>
  <c r="O189" i="1"/>
  <c r="R189" i="1"/>
  <c r="E172" i="1"/>
  <c r="H172" i="1"/>
  <c r="E173" i="1"/>
  <c r="H173" i="1"/>
  <c r="E174" i="1"/>
  <c r="E175" i="1"/>
  <c r="H175" i="1"/>
  <c r="E176" i="1"/>
  <c r="H176" i="1"/>
  <c r="E177" i="1"/>
  <c r="H177" i="1"/>
  <c r="E178" i="1"/>
  <c r="H178" i="1"/>
  <c r="E179" i="1"/>
  <c r="H179" i="1"/>
  <c r="E180" i="1"/>
  <c r="H180" i="1"/>
  <c r="E181" i="1"/>
  <c r="H181" i="1"/>
  <c r="E182" i="1"/>
  <c r="H182" i="1"/>
  <c r="E183" i="1"/>
  <c r="H183" i="1"/>
  <c r="E184" i="1"/>
  <c r="H184" i="1"/>
  <c r="E185" i="1"/>
  <c r="H185" i="1"/>
  <c r="E186" i="1"/>
  <c r="H186" i="1"/>
  <c r="E187" i="1"/>
  <c r="H187" i="1"/>
  <c r="E188" i="1"/>
  <c r="H188" i="1"/>
  <c r="E189" i="1"/>
  <c r="H189" i="1"/>
  <c r="E190" i="1"/>
  <c r="H190" i="1"/>
  <c r="E191" i="1"/>
  <c r="H191" i="1"/>
  <c r="E192" i="1"/>
  <c r="H192" i="1"/>
  <c r="E193" i="1"/>
  <c r="H193" i="1"/>
  <c r="E169" i="1"/>
  <c r="H169" i="1"/>
  <c r="Q197" i="1"/>
  <c r="P197" i="1"/>
  <c r="N197" i="1"/>
  <c r="F197" i="1"/>
  <c r="D197" i="1"/>
  <c r="R196" i="1"/>
  <c r="O196" i="1"/>
  <c r="H196" i="1"/>
  <c r="E196" i="1"/>
  <c r="R195" i="1"/>
  <c r="O195" i="1"/>
  <c r="H195" i="1"/>
  <c r="E195" i="1"/>
  <c r="R194" i="1"/>
  <c r="O194" i="1"/>
  <c r="H194" i="1"/>
  <c r="E194" i="1"/>
  <c r="R193" i="1"/>
  <c r="O193" i="1"/>
  <c r="R192" i="1"/>
  <c r="O192" i="1"/>
  <c r="R191" i="1"/>
  <c r="O191" i="1"/>
  <c r="C197" i="1"/>
  <c r="R190" i="1"/>
  <c r="O190" i="1"/>
  <c r="R170" i="1"/>
  <c r="O170" i="1"/>
  <c r="H170" i="1"/>
  <c r="E170" i="1"/>
  <c r="R169" i="1"/>
  <c r="O169" i="1"/>
  <c r="R168" i="1"/>
  <c r="O168" i="1"/>
  <c r="H168" i="1"/>
  <c r="E168" i="1"/>
  <c r="R167" i="1"/>
  <c r="O167" i="1"/>
  <c r="H167" i="1"/>
  <c r="E167" i="1"/>
  <c r="R166" i="1"/>
  <c r="O166" i="1"/>
  <c r="H166" i="1"/>
  <c r="E166" i="1"/>
  <c r="S899" i="1" l="1"/>
  <c r="I902" i="1"/>
  <c r="S896" i="1"/>
  <c r="S917" i="1" s="1"/>
  <c r="O917" i="1"/>
  <c r="E917" i="1"/>
  <c r="I894" i="1"/>
  <c r="I893" i="1"/>
  <c r="I892" i="1"/>
  <c r="S915" i="1"/>
  <c r="I874" i="1"/>
  <c r="I873" i="1"/>
  <c r="I886" i="1"/>
  <c r="I887" i="1"/>
  <c r="I888" i="1"/>
  <c r="I889" i="1"/>
  <c r="H917" i="1"/>
  <c r="R917" i="1"/>
  <c r="I869" i="1"/>
  <c r="I868" i="1"/>
  <c r="I861" i="1"/>
  <c r="I860" i="1"/>
  <c r="S856" i="1"/>
  <c r="E877" i="1"/>
  <c r="I854" i="1"/>
  <c r="S855" i="1"/>
  <c r="S854" i="1"/>
  <c r="O877" i="1"/>
  <c r="R877" i="1"/>
  <c r="S836" i="1"/>
  <c r="I819" i="1"/>
  <c r="I818" i="1"/>
  <c r="H837" i="1"/>
  <c r="E837" i="1"/>
  <c r="S813" i="1"/>
  <c r="S837" i="1" s="1"/>
  <c r="S797" i="1"/>
  <c r="R797" i="1"/>
  <c r="I774" i="1"/>
  <c r="I773" i="1"/>
  <c r="H797" i="1"/>
  <c r="I797" i="1" s="1"/>
  <c r="S807" i="1"/>
  <c r="O797" i="1"/>
  <c r="R837" i="1"/>
  <c r="O837" i="1"/>
  <c r="H877" i="1"/>
  <c r="S877" i="1"/>
  <c r="I755" i="1"/>
  <c r="O757" i="1"/>
  <c r="I767" i="1"/>
  <c r="I769" i="1"/>
  <c r="I753" i="1"/>
  <c r="I751" i="1"/>
  <c r="I747" i="1"/>
  <c r="R757" i="1"/>
  <c r="I734" i="1"/>
  <c r="E757" i="1"/>
  <c r="H757" i="1"/>
  <c r="I716" i="1"/>
  <c r="I690" i="1"/>
  <c r="I709" i="1"/>
  <c r="S717" i="1"/>
  <c r="R717" i="1"/>
  <c r="I689" i="1"/>
  <c r="I702" i="1"/>
  <c r="S732" i="1"/>
  <c r="S757" i="1" s="1"/>
  <c r="N598" i="1"/>
  <c r="I701" i="1"/>
  <c r="I700" i="1"/>
  <c r="I687" i="1"/>
  <c r="I694" i="1"/>
  <c r="I693" i="1"/>
  <c r="I686" i="1"/>
  <c r="I675" i="1"/>
  <c r="I650" i="1"/>
  <c r="I674" i="1"/>
  <c r="F718" i="1"/>
  <c r="F725" i="1" s="1"/>
  <c r="F731" i="1" s="1"/>
  <c r="F758" i="1" s="1"/>
  <c r="F765" i="1" s="1"/>
  <c r="F771" i="1" s="1"/>
  <c r="F798" i="1" s="1"/>
  <c r="F805" i="1" s="1"/>
  <c r="F811" i="1" s="1"/>
  <c r="F838" i="1" s="1"/>
  <c r="F845" i="1" s="1"/>
  <c r="F851" i="1" s="1"/>
  <c r="F878" i="1" s="1"/>
  <c r="F885" i="1" s="1"/>
  <c r="F891" i="1" s="1"/>
  <c r="F918" i="1" s="1"/>
  <c r="C718" i="1"/>
  <c r="C725" i="1" s="1"/>
  <c r="C731" i="1" s="1"/>
  <c r="E717" i="1"/>
  <c r="G717" i="1"/>
  <c r="I672" i="1"/>
  <c r="I671" i="1"/>
  <c r="I670" i="1"/>
  <c r="I669" i="1"/>
  <c r="I668" i="1"/>
  <c r="I667" i="1"/>
  <c r="I666" i="1"/>
  <c r="D677" i="1"/>
  <c r="D678" i="1" s="1"/>
  <c r="D685" i="1" s="1"/>
  <c r="D691" i="1" s="1"/>
  <c r="D718" i="1" s="1"/>
  <c r="D725" i="1" s="1"/>
  <c r="D731" i="1" s="1"/>
  <c r="D758" i="1" s="1"/>
  <c r="D765" i="1" s="1"/>
  <c r="D771" i="1" s="1"/>
  <c r="D798" i="1" s="1"/>
  <c r="D805" i="1" s="1"/>
  <c r="D811" i="1" s="1"/>
  <c r="D838" i="1" s="1"/>
  <c r="D845" i="1" s="1"/>
  <c r="D851" i="1" s="1"/>
  <c r="D878" i="1" s="1"/>
  <c r="D885" i="1" s="1"/>
  <c r="D891" i="1" s="1"/>
  <c r="D918" i="1" s="1"/>
  <c r="I661" i="1"/>
  <c r="I660" i="1"/>
  <c r="I647" i="1"/>
  <c r="I658" i="1"/>
  <c r="I656" i="1"/>
  <c r="I655" i="1"/>
  <c r="I654" i="1"/>
  <c r="I636" i="1"/>
  <c r="I635" i="1"/>
  <c r="F678" i="1"/>
  <c r="G677" i="1"/>
  <c r="H677" i="1" s="1"/>
  <c r="I633" i="1"/>
  <c r="I610" i="1"/>
  <c r="I630" i="1"/>
  <c r="S620" i="1"/>
  <c r="I629" i="1"/>
  <c r="I628" i="1"/>
  <c r="I626" i="1"/>
  <c r="S636" i="1"/>
  <c r="S617" i="1"/>
  <c r="I609" i="1"/>
  <c r="I623" i="1"/>
  <c r="I622" i="1"/>
  <c r="I607" i="1"/>
  <c r="E620" i="1"/>
  <c r="I620" i="1" s="1"/>
  <c r="I618" i="1"/>
  <c r="D637" i="1"/>
  <c r="E617" i="1"/>
  <c r="C637" i="1"/>
  <c r="I617" i="1"/>
  <c r="H637" i="1"/>
  <c r="I616" i="1"/>
  <c r="I613" i="1"/>
  <c r="I596" i="1"/>
  <c r="I595" i="1"/>
  <c r="I594" i="1"/>
  <c r="I593" i="1"/>
  <c r="I592" i="1"/>
  <c r="F597" i="1"/>
  <c r="H597" i="1" s="1"/>
  <c r="I590" i="1"/>
  <c r="I581" i="1"/>
  <c r="I568" i="1"/>
  <c r="S572" i="1"/>
  <c r="S577" i="1"/>
  <c r="G598" i="1"/>
  <c r="G605" i="1" s="1"/>
  <c r="G611" i="1" s="1"/>
  <c r="G638" i="1" s="1"/>
  <c r="G645" i="1" s="1"/>
  <c r="G651" i="1" s="1"/>
  <c r="H651" i="1" s="1"/>
  <c r="S576" i="1"/>
  <c r="S575" i="1"/>
  <c r="S574" i="1"/>
  <c r="I574" i="1"/>
  <c r="I573" i="1"/>
  <c r="E597" i="1"/>
  <c r="S606" i="1"/>
  <c r="S608" i="1"/>
  <c r="S610" i="1"/>
  <c r="Q611" i="1"/>
  <c r="S567" i="1"/>
  <c r="I567" i="1"/>
  <c r="I569" i="1"/>
  <c r="I566" i="1"/>
  <c r="I570" i="1"/>
  <c r="R598" i="1"/>
  <c r="R605" i="1" s="1"/>
  <c r="P611" i="1"/>
  <c r="O598" i="1"/>
  <c r="O605" i="1" s="1"/>
  <c r="M611" i="1"/>
  <c r="R557" i="1"/>
  <c r="I530" i="1"/>
  <c r="I542" i="1"/>
  <c r="I528" i="1"/>
  <c r="H557" i="1"/>
  <c r="H559" i="1" s="1"/>
  <c r="E557" i="1"/>
  <c r="E559" i="1" s="1"/>
  <c r="I512" i="1"/>
  <c r="I511" i="1"/>
  <c r="I510" i="1"/>
  <c r="I508" i="1"/>
  <c r="I506" i="1"/>
  <c r="O557" i="1"/>
  <c r="R531" i="1"/>
  <c r="O531" i="1"/>
  <c r="I490" i="1"/>
  <c r="S492" i="1"/>
  <c r="S488" i="1"/>
  <c r="I493" i="1"/>
  <c r="O517" i="1"/>
  <c r="R517" i="1"/>
  <c r="D518" i="1"/>
  <c r="D525" i="1" s="1"/>
  <c r="D531" i="1" s="1"/>
  <c r="D558" i="1" s="1"/>
  <c r="D565" i="1" s="1"/>
  <c r="D571" i="1" s="1"/>
  <c r="D598" i="1" s="1"/>
  <c r="D605" i="1" s="1"/>
  <c r="D611" i="1" s="1"/>
  <c r="E491" i="1"/>
  <c r="F518" i="1"/>
  <c r="F525" i="1" s="1"/>
  <c r="F531" i="1" s="1"/>
  <c r="H491" i="1"/>
  <c r="C517" i="1"/>
  <c r="E517" i="1" s="1"/>
  <c r="G517" i="1"/>
  <c r="G518" i="1" s="1"/>
  <c r="G525" i="1" s="1"/>
  <c r="G531" i="1" s="1"/>
  <c r="G558" i="1" s="1"/>
  <c r="I460" i="1"/>
  <c r="D477" i="1"/>
  <c r="E477" i="1" s="1"/>
  <c r="I455" i="1"/>
  <c r="I456" i="1"/>
  <c r="I454" i="1"/>
  <c r="S447" i="1"/>
  <c r="O477" i="1"/>
  <c r="I476" i="1"/>
  <c r="I446" i="1"/>
  <c r="H477" i="1"/>
  <c r="R477" i="1"/>
  <c r="O476" i="1"/>
  <c r="S476" i="1" s="1"/>
  <c r="I433" i="1"/>
  <c r="I429" i="1"/>
  <c r="I428" i="1"/>
  <c r="I427" i="1"/>
  <c r="I410" i="1"/>
  <c r="I409" i="1"/>
  <c r="I408" i="1"/>
  <c r="I416" i="1"/>
  <c r="I406" i="1"/>
  <c r="R397" i="1"/>
  <c r="R437" i="1"/>
  <c r="O437" i="1"/>
  <c r="H437" i="1"/>
  <c r="G438" i="1"/>
  <c r="G445" i="1" s="1"/>
  <c r="G451" i="1" s="1"/>
  <c r="G478" i="1" s="1"/>
  <c r="D437" i="1"/>
  <c r="E437" i="1" s="1"/>
  <c r="I394" i="1"/>
  <c r="I392" i="1"/>
  <c r="I390" i="1"/>
  <c r="O397" i="1"/>
  <c r="S338" i="1"/>
  <c r="I389" i="1"/>
  <c r="I386" i="1"/>
  <c r="I384" i="1"/>
  <c r="I377" i="1"/>
  <c r="I372" i="1"/>
  <c r="I367" i="1"/>
  <c r="I369" i="1"/>
  <c r="F398" i="1"/>
  <c r="F405" i="1" s="1"/>
  <c r="F411" i="1" s="1"/>
  <c r="H411" i="1" s="1"/>
  <c r="H371" i="1"/>
  <c r="E397" i="1"/>
  <c r="I366" i="1"/>
  <c r="I368" i="1"/>
  <c r="I370" i="1"/>
  <c r="S374" i="1"/>
  <c r="G397" i="1"/>
  <c r="G398" i="1" s="1"/>
  <c r="I354" i="1"/>
  <c r="I348" i="1"/>
  <c r="I330" i="1"/>
  <c r="I329" i="1"/>
  <c r="I344" i="1"/>
  <c r="I345" i="1"/>
  <c r="I342" i="1"/>
  <c r="I341" i="1"/>
  <c r="I340" i="1"/>
  <c r="I327" i="1"/>
  <c r="I336" i="1"/>
  <c r="S328" i="1"/>
  <c r="R357" i="1"/>
  <c r="I334" i="1"/>
  <c r="E357" i="1"/>
  <c r="D358" i="1"/>
  <c r="D365" i="1" s="1"/>
  <c r="D371" i="1" s="1"/>
  <c r="D398" i="1" s="1"/>
  <c r="D405" i="1" s="1"/>
  <c r="D411" i="1" s="1"/>
  <c r="I332" i="1"/>
  <c r="I326" i="1"/>
  <c r="O357" i="1"/>
  <c r="H357" i="1"/>
  <c r="F358" i="1"/>
  <c r="C358" i="1"/>
  <c r="C365" i="1" s="1"/>
  <c r="C371" i="1" s="1"/>
  <c r="C398" i="1" s="1"/>
  <c r="C405" i="1" s="1"/>
  <c r="C411" i="1" s="1"/>
  <c r="E411" i="1" s="1"/>
  <c r="E331" i="1"/>
  <c r="I312" i="1"/>
  <c r="I311" i="1"/>
  <c r="I305" i="1"/>
  <c r="I302" i="1"/>
  <c r="I300" i="1"/>
  <c r="I287" i="1"/>
  <c r="I298" i="1"/>
  <c r="D318" i="1"/>
  <c r="S286" i="1"/>
  <c r="S292" i="1"/>
  <c r="E317" i="1"/>
  <c r="S276" i="1"/>
  <c r="I292" i="1"/>
  <c r="O317" i="1"/>
  <c r="R317" i="1"/>
  <c r="H317" i="1"/>
  <c r="I286" i="1"/>
  <c r="I288" i="1"/>
  <c r="I290" i="1"/>
  <c r="I270" i="1"/>
  <c r="I268" i="1"/>
  <c r="F277" i="1"/>
  <c r="H277" i="1" s="1"/>
  <c r="I266" i="1"/>
  <c r="I267" i="1"/>
  <c r="R277" i="1"/>
  <c r="I249" i="1"/>
  <c r="I262" i="1"/>
  <c r="I260" i="1"/>
  <c r="I258" i="1"/>
  <c r="I247" i="1"/>
  <c r="E277" i="1"/>
  <c r="O277" i="1"/>
  <c r="S277" i="1" s="1"/>
  <c r="S180" i="1"/>
  <c r="S181" i="1"/>
  <c r="S207" i="1"/>
  <c r="I222" i="1"/>
  <c r="S223" i="1"/>
  <c r="I225" i="1"/>
  <c r="S229" i="1"/>
  <c r="S193" i="1"/>
  <c r="I228" i="1"/>
  <c r="I195" i="1"/>
  <c r="G197" i="1"/>
  <c r="H197" i="1" s="1"/>
  <c r="S178" i="1"/>
  <c r="S172" i="1"/>
  <c r="S208" i="1"/>
  <c r="I217" i="1"/>
  <c r="I184" i="1"/>
  <c r="I181" i="1"/>
  <c r="I172" i="1"/>
  <c r="S187" i="1"/>
  <c r="I229" i="1"/>
  <c r="S230" i="1"/>
  <c r="S233" i="1"/>
  <c r="I235" i="1"/>
  <c r="I175" i="1"/>
  <c r="S191" i="1"/>
  <c r="S195" i="1"/>
  <c r="S221" i="1"/>
  <c r="I169" i="1"/>
  <c r="I188" i="1"/>
  <c r="S232" i="1"/>
  <c r="O197" i="1"/>
  <c r="I190" i="1"/>
  <c r="S222" i="1"/>
  <c r="S234" i="1"/>
  <c r="R237" i="1"/>
  <c r="S174" i="1"/>
  <c r="S227" i="1"/>
  <c r="S188" i="1"/>
  <c r="S177" i="1"/>
  <c r="S166" i="1"/>
  <c r="I168" i="1"/>
  <c r="I170" i="1"/>
  <c r="S196" i="1"/>
  <c r="S220" i="1"/>
  <c r="S176" i="1"/>
  <c r="I208" i="1"/>
  <c r="S219" i="1"/>
  <c r="S182" i="1"/>
  <c r="R197" i="1"/>
  <c r="I192" i="1"/>
  <c r="I186" i="1"/>
  <c r="I183" i="1"/>
  <c r="I180" i="1"/>
  <c r="I174" i="1"/>
  <c r="H237" i="1"/>
  <c r="I193" i="1"/>
  <c r="I176" i="1"/>
  <c r="S226" i="1"/>
  <c r="I194" i="1"/>
  <c r="I178" i="1"/>
  <c r="S210" i="1"/>
  <c r="I213" i="1"/>
  <c r="S225" i="1"/>
  <c r="I231" i="1"/>
  <c r="I187" i="1"/>
  <c r="S186" i="1"/>
  <c r="I166" i="1"/>
  <c r="S167" i="1"/>
  <c r="S169" i="1"/>
  <c r="S190" i="1"/>
  <c r="S192" i="1"/>
  <c r="I216" i="1"/>
  <c r="I223" i="1"/>
  <c r="S228" i="1"/>
  <c r="I234" i="1"/>
  <c r="I182" i="1"/>
  <c r="S189" i="1"/>
  <c r="S175" i="1"/>
  <c r="S194" i="1"/>
  <c r="S184" i="1"/>
  <c r="I219" i="1"/>
  <c r="S224" i="1"/>
  <c r="S231" i="1"/>
  <c r="E237" i="1"/>
  <c r="S183" i="1"/>
  <c r="I209" i="1"/>
  <c r="I189" i="1"/>
  <c r="I167" i="1"/>
  <c r="S168" i="1"/>
  <c r="I191" i="1"/>
  <c r="I179" i="1"/>
  <c r="S185" i="1"/>
  <c r="S173" i="1"/>
  <c r="S206" i="1"/>
  <c r="S209" i="1"/>
  <c r="I215" i="1"/>
  <c r="I221" i="1"/>
  <c r="I227" i="1"/>
  <c r="I233" i="1"/>
  <c r="I177" i="1"/>
  <c r="I206" i="1"/>
  <c r="S170" i="1"/>
  <c r="E197" i="1"/>
  <c r="I214" i="1"/>
  <c r="I220" i="1"/>
  <c r="I226" i="1"/>
  <c r="I232" i="1"/>
  <c r="O237" i="1"/>
  <c r="I196" i="1"/>
  <c r="I185" i="1"/>
  <c r="I173" i="1"/>
  <c r="S179" i="1"/>
  <c r="I207" i="1"/>
  <c r="I210" i="1"/>
  <c r="I212" i="1"/>
  <c r="I218" i="1"/>
  <c r="I224" i="1"/>
  <c r="I230" i="1"/>
  <c r="I236" i="1"/>
  <c r="C151" i="1"/>
  <c r="R141" i="1"/>
  <c r="O141" i="1"/>
  <c r="R135" i="1"/>
  <c r="O135" i="1"/>
  <c r="R100" i="1"/>
  <c r="O100" i="1"/>
  <c r="R98" i="1"/>
  <c r="O98" i="1"/>
  <c r="R96" i="1"/>
  <c r="O96" i="1"/>
  <c r="D97" i="1"/>
  <c r="C97" i="1"/>
  <c r="O76" i="1"/>
  <c r="R76" i="1"/>
  <c r="R116" i="1"/>
  <c r="O116" i="1"/>
  <c r="I917" i="1" l="1"/>
  <c r="I877" i="1"/>
  <c r="I837" i="1"/>
  <c r="I757" i="1"/>
  <c r="E731" i="1"/>
  <c r="C758" i="1"/>
  <c r="N605" i="1"/>
  <c r="N611" i="1" s="1"/>
  <c r="N638" i="1" s="1"/>
  <c r="N645" i="1" s="1"/>
  <c r="Q638" i="1"/>
  <c r="Q645" i="1" s="1"/>
  <c r="M638" i="1"/>
  <c r="P638" i="1"/>
  <c r="E691" i="1"/>
  <c r="E718" i="1"/>
  <c r="E725" i="1" s="1"/>
  <c r="H717" i="1"/>
  <c r="I717" i="1" s="1"/>
  <c r="E677" i="1"/>
  <c r="I677" i="1" s="1"/>
  <c r="G678" i="1"/>
  <c r="D638" i="1"/>
  <c r="E637" i="1"/>
  <c r="I637" i="1" s="1"/>
  <c r="I597" i="1"/>
  <c r="S598" i="1"/>
  <c r="S605" i="1" s="1"/>
  <c r="O611" i="1"/>
  <c r="O638" i="1" s="1"/>
  <c r="R611" i="1"/>
  <c r="R638" i="1" s="1"/>
  <c r="S557" i="1"/>
  <c r="S531" i="1"/>
  <c r="I557" i="1"/>
  <c r="H531" i="1"/>
  <c r="F558" i="1"/>
  <c r="S517" i="1"/>
  <c r="C518" i="1"/>
  <c r="H517" i="1"/>
  <c r="I517" i="1" s="1"/>
  <c r="H518" i="1"/>
  <c r="H525" i="1" s="1"/>
  <c r="I491" i="1"/>
  <c r="I477" i="1"/>
  <c r="S477" i="1"/>
  <c r="I437" i="1"/>
  <c r="S437" i="1"/>
  <c r="C438" i="1"/>
  <c r="C445" i="1" s="1"/>
  <c r="C451" i="1" s="1"/>
  <c r="S397" i="1"/>
  <c r="F438" i="1"/>
  <c r="D438" i="1"/>
  <c r="D445" i="1" s="1"/>
  <c r="D451" i="1" s="1"/>
  <c r="D478" i="1" s="1"/>
  <c r="I411" i="1"/>
  <c r="E371" i="1"/>
  <c r="I371" i="1" s="1"/>
  <c r="E398" i="1"/>
  <c r="E405" i="1" s="1"/>
  <c r="H397" i="1"/>
  <c r="I397" i="1" s="1"/>
  <c r="H398" i="1"/>
  <c r="H405" i="1" s="1"/>
  <c r="S357" i="1"/>
  <c r="E358" i="1"/>
  <c r="E365" i="1" s="1"/>
  <c r="I365" i="1" s="1"/>
  <c r="I357" i="1"/>
  <c r="I317" i="1"/>
  <c r="S317" i="1"/>
  <c r="I277" i="1"/>
  <c r="I237" i="1"/>
  <c r="S237" i="1"/>
  <c r="S197" i="1"/>
  <c r="I197" i="1"/>
  <c r="S141" i="1"/>
  <c r="S135" i="1"/>
  <c r="S100" i="1"/>
  <c r="S96" i="1"/>
  <c r="S98" i="1"/>
  <c r="S76" i="1"/>
  <c r="S116" i="1"/>
  <c r="G93" i="1"/>
  <c r="D93" i="1"/>
  <c r="G76" i="1"/>
  <c r="D68" i="1"/>
  <c r="C68" i="1"/>
  <c r="G68" i="1"/>
  <c r="G67" i="1"/>
  <c r="F67" i="1"/>
  <c r="D67" i="1"/>
  <c r="C67" i="1"/>
  <c r="O53" i="1"/>
  <c r="R53" i="1"/>
  <c r="H65" i="1"/>
  <c r="E65" i="1"/>
  <c r="E758" i="1" l="1"/>
  <c r="E765" i="1" s="1"/>
  <c r="C765" i="1"/>
  <c r="C771" i="1" s="1"/>
  <c r="R645" i="1"/>
  <c r="R651" i="1" s="1"/>
  <c r="R678" i="1" s="1"/>
  <c r="P645" i="1"/>
  <c r="P651" i="1" s="1"/>
  <c r="P678" i="1" s="1"/>
  <c r="P685" i="1" s="1"/>
  <c r="O645" i="1"/>
  <c r="O651" i="1" s="1"/>
  <c r="O678" i="1" s="1"/>
  <c r="M645" i="1"/>
  <c r="M651" i="1" s="1"/>
  <c r="M678" i="1" s="1"/>
  <c r="M685" i="1" s="1"/>
  <c r="Q651" i="1"/>
  <c r="Q678" i="1" s="1"/>
  <c r="N651" i="1"/>
  <c r="N678" i="1" s="1"/>
  <c r="H678" i="1"/>
  <c r="H685" i="1" s="1"/>
  <c r="G685" i="1"/>
  <c r="G691" i="1" s="1"/>
  <c r="S611" i="1"/>
  <c r="S638" i="1" s="1"/>
  <c r="S645" i="1" s="1"/>
  <c r="S651" i="1" s="1"/>
  <c r="H558" i="1"/>
  <c r="H565" i="1" s="1"/>
  <c r="F565" i="1"/>
  <c r="F571" i="1" s="1"/>
  <c r="N599" i="1"/>
  <c r="O599" i="1"/>
  <c r="M599" i="1"/>
  <c r="Q599" i="1"/>
  <c r="R599" i="1"/>
  <c r="P599" i="1"/>
  <c r="E518" i="1"/>
  <c r="E525" i="1" s="1"/>
  <c r="I525" i="1" s="1"/>
  <c r="C525" i="1"/>
  <c r="C531" i="1" s="1"/>
  <c r="H438" i="1"/>
  <c r="H445" i="1" s="1"/>
  <c r="F445" i="1"/>
  <c r="F451" i="1" s="1"/>
  <c r="E451" i="1"/>
  <c r="C478" i="1"/>
  <c r="E478" i="1" s="1"/>
  <c r="E438" i="1"/>
  <c r="I405" i="1"/>
  <c r="I398" i="1"/>
  <c r="S53" i="1"/>
  <c r="I65" i="1"/>
  <c r="O156" i="1"/>
  <c r="R156" i="1"/>
  <c r="O127" i="1"/>
  <c r="R127" i="1"/>
  <c r="O89" i="1"/>
  <c r="R89" i="1"/>
  <c r="R87" i="1"/>
  <c r="O87" i="1"/>
  <c r="O129" i="1"/>
  <c r="R129" i="1"/>
  <c r="O49" i="1"/>
  <c r="R49" i="1"/>
  <c r="R88" i="1"/>
  <c r="O88" i="1"/>
  <c r="R48" i="1"/>
  <c r="O48" i="1"/>
  <c r="R47" i="1"/>
  <c r="O47" i="1"/>
  <c r="E156" i="1"/>
  <c r="H156" i="1"/>
  <c r="E127" i="1"/>
  <c r="H127" i="1"/>
  <c r="E128" i="1"/>
  <c r="H128" i="1"/>
  <c r="E129" i="1"/>
  <c r="H129" i="1"/>
  <c r="E87" i="1"/>
  <c r="H87" i="1"/>
  <c r="H47" i="1"/>
  <c r="E47" i="1"/>
  <c r="O52" i="1"/>
  <c r="R52" i="1"/>
  <c r="O54" i="1"/>
  <c r="R54" i="1"/>
  <c r="O55" i="1"/>
  <c r="R55" i="1"/>
  <c r="O56" i="1"/>
  <c r="R56" i="1"/>
  <c r="O57" i="1"/>
  <c r="R57" i="1"/>
  <c r="O5" i="1"/>
  <c r="R5" i="1"/>
  <c r="O6" i="1"/>
  <c r="R6" i="1"/>
  <c r="O7" i="1"/>
  <c r="R7" i="1"/>
  <c r="Q157" i="1"/>
  <c r="P157" i="1"/>
  <c r="N157" i="1"/>
  <c r="M157" i="1"/>
  <c r="R155" i="1"/>
  <c r="O155" i="1"/>
  <c r="R154" i="1"/>
  <c r="O154" i="1"/>
  <c r="R153" i="1"/>
  <c r="O153" i="1"/>
  <c r="R152" i="1"/>
  <c r="O152" i="1"/>
  <c r="R151" i="1"/>
  <c r="O151" i="1"/>
  <c r="R150" i="1"/>
  <c r="O150" i="1"/>
  <c r="R149" i="1"/>
  <c r="O149" i="1"/>
  <c r="R148" i="1"/>
  <c r="O148" i="1"/>
  <c r="R147" i="1"/>
  <c r="O147" i="1"/>
  <c r="R146" i="1"/>
  <c r="O146" i="1"/>
  <c r="R145" i="1"/>
  <c r="O145" i="1"/>
  <c r="R144" i="1"/>
  <c r="O144" i="1"/>
  <c r="R143" i="1"/>
  <c r="O143" i="1"/>
  <c r="R142" i="1"/>
  <c r="O142" i="1"/>
  <c r="R140" i="1"/>
  <c r="O140" i="1"/>
  <c r="R139" i="1"/>
  <c r="O139" i="1"/>
  <c r="R138" i="1"/>
  <c r="O138" i="1"/>
  <c r="R137" i="1"/>
  <c r="O137" i="1"/>
  <c r="R136" i="1"/>
  <c r="O136" i="1"/>
  <c r="R134" i="1"/>
  <c r="O134" i="1"/>
  <c r="R133" i="1"/>
  <c r="O133" i="1"/>
  <c r="R132" i="1"/>
  <c r="O132" i="1"/>
  <c r="R130" i="1"/>
  <c r="O130" i="1"/>
  <c r="R128" i="1"/>
  <c r="O128" i="1"/>
  <c r="R126" i="1"/>
  <c r="O126" i="1"/>
  <c r="Q117" i="1"/>
  <c r="P117" i="1"/>
  <c r="N117" i="1"/>
  <c r="M117" i="1"/>
  <c r="R115" i="1"/>
  <c r="O115" i="1"/>
  <c r="R114" i="1"/>
  <c r="O114" i="1"/>
  <c r="R113" i="1"/>
  <c r="O113" i="1"/>
  <c r="R112" i="1"/>
  <c r="O112" i="1"/>
  <c r="R111" i="1"/>
  <c r="O111" i="1"/>
  <c r="R110" i="1"/>
  <c r="O110" i="1"/>
  <c r="R109" i="1"/>
  <c r="O109" i="1"/>
  <c r="R108" i="1"/>
  <c r="O108" i="1"/>
  <c r="R107" i="1"/>
  <c r="O107" i="1"/>
  <c r="R106" i="1"/>
  <c r="O106" i="1"/>
  <c r="R105" i="1"/>
  <c r="O105" i="1"/>
  <c r="R104" i="1"/>
  <c r="O104" i="1"/>
  <c r="R103" i="1"/>
  <c r="O103" i="1"/>
  <c r="R102" i="1"/>
  <c r="O102" i="1"/>
  <c r="R101" i="1"/>
  <c r="O101" i="1"/>
  <c r="R99" i="1"/>
  <c r="O99" i="1"/>
  <c r="R97" i="1"/>
  <c r="O97" i="1"/>
  <c r="R95" i="1"/>
  <c r="O95" i="1"/>
  <c r="R94" i="1"/>
  <c r="O94" i="1"/>
  <c r="R93" i="1"/>
  <c r="O93" i="1"/>
  <c r="R92" i="1"/>
  <c r="O92" i="1"/>
  <c r="R90" i="1"/>
  <c r="O90" i="1"/>
  <c r="R86" i="1"/>
  <c r="O86" i="1"/>
  <c r="Q77" i="1"/>
  <c r="P77" i="1"/>
  <c r="N77" i="1"/>
  <c r="M77" i="1"/>
  <c r="R75" i="1"/>
  <c r="O75" i="1"/>
  <c r="R74" i="1"/>
  <c r="O74" i="1"/>
  <c r="R73" i="1"/>
  <c r="O73" i="1"/>
  <c r="R72" i="1"/>
  <c r="O72" i="1"/>
  <c r="R71" i="1"/>
  <c r="O71" i="1"/>
  <c r="R70" i="1"/>
  <c r="O70" i="1"/>
  <c r="R69" i="1"/>
  <c r="O69" i="1"/>
  <c r="R68" i="1"/>
  <c r="O68" i="1"/>
  <c r="R67" i="1"/>
  <c r="O67" i="1"/>
  <c r="R66" i="1"/>
  <c r="O66" i="1"/>
  <c r="R65" i="1"/>
  <c r="O65" i="1"/>
  <c r="R64" i="1"/>
  <c r="O64" i="1"/>
  <c r="R63" i="1"/>
  <c r="O63" i="1"/>
  <c r="R62" i="1"/>
  <c r="O62" i="1"/>
  <c r="R61" i="1"/>
  <c r="O61" i="1"/>
  <c r="R60" i="1"/>
  <c r="O60" i="1"/>
  <c r="R59" i="1"/>
  <c r="O59" i="1"/>
  <c r="R58" i="1"/>
  <c r="O58" i="1"/>
  <c r="R50" i="1"/>
  <c r="O50" i="1"/>
  <c r="R46" i="1"/>
  <c r="O46" i="1"/>
  <c r="P37" i="1"/>
  <c r="M37" i="1"/>
  <c r="R36" i="1"/>
  <c r="O36" i="1"/>
  <c r="R35" i="1"/>
  <c r="O35" i="1"/>
  <c r="R34" i="1"/>
  <c r="O34" i="1"/>
  <c r="R33" i="1"/>
  <c r="O33" i="1"/>
  <c r="R32" i="1"/>
  <c r="O32" i="1"/>
  <c r="R31" i="1"/>
  <c r="O31" i="1"/>
  <c r="R30" i="1"/>
  <c r="O30" i="1"/>
  <c r="R29" i="1"/>
  <c r="O29" i="1"/>
  <c r="R28" i="1"/>
  <c r="O28" i="1"/>
  <c r="R27" i="1"/>
  <c r="O27" i="1"/>
  <c r="R26" i="1"/>
  <c r="O26" i="1"/>
  <c r="R25" i="1"/>
  <c r="O25" i="1"/>
  <c r="R24" i="1"/>
  <c r="O24" i="1"/>
  <c r="R23" i="1"/>
  <c r="O23" i="1"/>
  <c r="R22" i="1"/>
  <c r="O22" i="1"/>
  <c r="R21" i="1"/>
  <c r="O21" i="1"/>
  <c r="R20" i="1"/>
  <c r="O20" i="1"/>
  <c r="R19" i="1"/>
  <c r="O19" i="1"/>
  <c r="R18" i="1"/>
  <c r="O18" i="1"/>
  <c r="R17" i="1"/>
  <c r="O17" i="1"/>
  <c r="Q37" i="1"/>
  <c r="O16" i="1"/>
  <c r="R15" i="1"/>
  <c r="O15" i="1"/>
  <c r="R14" i="1"/>
  <c r="O14" i="1"/>
  <c r="R13" i="1"/>
  <c r="O13" i="1"/>
  <c r="R12" i="1"/>
  <c r="O12" i="1"/>
  <c r="Q11" i="1"/>
  <c r="P11" i="1"/>
  <c r="N11" i="1"/>
  <c r="M11" i="1"/>
  <c r="R10" i="1"/>
  <c r="O10" i="1"/>
  <c r="R9" i="1"/>
  <c r="O9" i="1"/>
  <c r="R8" i="1"/>
  <c r="O8" i="1"/>
  <c r="C798" i="1" l="1"/>
  <c r="E771" i="1"/>
  <c r="O685" i="1"/>
  <c r="O691" i="1" s="1"/>
  <c r="R685" i="1"/>
  <c r="R691" i="1" s="1"/>
  <c r="R718" i="1" s="1"/>
  <c r="R725" i="1" s="1"/>
  <c r="R731" i="1" s="1"/>
  <c r="R758" i="1" s="1"/>
  <c r="R765" i="1" s="1"/>
  <c r="R771" i="1" s="1"/>
  <c r="R798" i="1" s="1"/>
  <c r="R805" i="1" s="1"/>
  <c r="R811" i="1" s="1"/>
  <c r="R838" i="1" s="1"/>
  <c r="R845" i="1" s="1"/>
  <c r="R851" i="1" s="1"/>
  <c r="R878" i="1" s="1"/>
  <c r="R885" i="1" s="1"/>
  <c r="R891" i="1" s="1"/>
  <c r="R918" i="1" s="1"/>
  <c r="N685" i="1"/>
  <c r="N691" i="1" s="1"/>
  <c r="N718" i="1" s="1"/>
  <c r="N725" i="1" s="1"/>
  <c r="N731" i="1" s="1"/>
  <c r="N758" i="1" s="1"/>
  <c r="N765" i="1" s="1"/>
  <c r="N771" i="1" s="1"/>
  <c r="N798" i="1" s="1"/>
  <c r="N805" i="1" s="1"/>
  <c r="N811" i="1" s="1"/>
  <c r="N838" i="1" s="1"/>
  <c r="N845" i="1" s="1"/>
  <c r="N851" i="1" s="1"/>
  <c r="N878" i="1" s="1"/>
  <c r="N885" i="1" s="1"/>
  <c r="N891" i="1" s="1"/>
  <c r="N918" i="1" s="1"/>
  <c r="Q685" i="1"/>
  <c r="Q691" i="1" s="1"/>
  <c r="Q718" i="1" s="1"/>
  <c r="Q725" i="1" s="1"/>
  <c r="Q731" i="1" s="1"/>
  <c r="Q758" i="1" s="1"/>
  <c r="Q765" i="1" s="1"/>
  <c r="Q771" i="1" s="1"/>
  <c r="Q798" i="1" s="1"/>
  <c r="Q805" i="1" s="1"/>
  <c r="Q811" i="1" s="1"/>
  <c r="Q838" i="1" s="1"/>
  <c r="Q845" i="1" s="1"/>
  <c r="Q851" i="1" s="1"/>
  <c r="Q878" i="1" s="1"/>
  <c r="Q885" i="1" s="1"/>
  <c r="Q891" i="1" s="1"/>
  <c r="Q918" i="1" s="1"/>
  <c r="M691" i="1"/>
  <c r="M718" i="1" s="1"/>
  <c r="M725" i="1" s="1"/>
  <c r="M731" i="1" s="1"/>
  <c r="M758" i="1" s="1"/>
  <c r="M765" i="1" s="1"/>
  <c r="M771" i="1" s="1"/>
  <c r="M798" i="1" s="1"/>
  <c r="M805" i="1" s="1"/>
  <c r="M811" i="1" s="1"/>
  <c r="M838" i="1" s="1"/>
  <c r="M845" i="1" s="1"/>
  <c r="M851" i="1" s="1"/>
  <c r="M878" i="1" s="1"/>
  <c r="M885" i="1" s="1"/>
  <c r="M891" i="1" s="1"/>
  <c r="M918" i="1" s="1"/>
  <c r="P691" i="1"/>
  <c r="P718" i="1" s="1"/>
  <c r="P725" i="1" s="1"/>
  <c r="P731" i="1" s="1"/>
  <c r="P758" i="1" s="1"/>
  <c r="P765" i="1" s="1"/>
  <c r="P771" i="1" s="1"/>
  <c r="P798" i="1" s="1"/>
  <c r="P805" i="1" s="1"/>
  <c r="P811" i="1" s="1"/>
  <c r="P838" i="1" s="1"/>
  <c r="P845" i="1" s="1"/>
  <c r="P851" i="1" s="1"/>
  <c r="P878" i="1" s="1"/>
  <c r="P885" i="1" s="1"/>
  <c r="P891" i="1" s="1"/>
  <c r="P918" i="1" s="1"/>
  <c r="S678" i="1"/>
  <c r="S685" i="1" s="1"/>
  <c r="S691" i="1" s="1"/>
  <c r="H691" i="1"/>
  <c r="I691" i="1" s="1"/>
  <c r="G718" i="1"/>
  <c r="F598" i="1"/>
  <c r="H571" i="1"/>
  <c r="I518" i="1"/>
  <c r="E531" i="1"/>
  <c r="I531" i="1" s="1"/>
  <c r="C558" i="1"/>
  <c r="I438" i="1"/>
  <c r="E445" i="1"/>
  <c r="I445" i="1" s="1"/>
  <c r="H451" i="1"/>
  <c r="I451" i="1" s="1"/>
  <c r="F478" i="1"/>
  <c r="H478" i="1" s="1"/>
  <c r="I478" i="1" s="1"/>
  <c r="S56" i="1"/>
  <c r="I47" i="1"/>
  <c r="S57" i="1"/>
  <c r="I87" i="1"/>
  <c r="S5" i="1"/>
  <c r="S127" i="1"/>
  <c r="S10" i="1"/>
  <c r="S63" i="1"/>
  <c r="S66" i="1"/>
  <c r="S69" i="1"/>
  <c r="S75" i="1"/>
  <c r="S86" i="1"/>
  <c r="S93" i="1"/>
  <c r="S99" i="1"/>
  <c r="S105" i="1"/>
  <c r="S108" i="1"/>
  <c r="S111" i="1"/>
  <c r="O117" i="1"/>
  <c r="S128" i="1"/>
  <c r="S133" i="1"/>
  <c r="S139" i="1"/>
  <c r="S142" i="1"/>
  <c r="S145" i="1"/>
  <c r="S151" i="1"/>
  <c r="S154" i="1"/>
  <c r="S88" i="1"/>
  <c r="S49" i="1"/>
  <c r="S7" i="1"/>
  <c r="I129" i="1"/>
  <c r="S9" i="1"/>
  <c r="S59" i="1"/>
  <c r="S62" i="1"/>
  <c r="S65" i="1"/>
  <c r="S71" i="1"/>
  <c r="S74" i="1"/>
  <c r="R77" i="1"/>
  <c r="S92" i="1"/>
  <c r="S95" i="1"/>
  <c r="S101" i="1"/>
  <c r="S104" i="1"/>
  <c r="S107" i="1"/>
  <c r="S113" i="1"/>
  <c r="S138" i="1"/>
  <c r="S147" i="1"/>
  <c r="S150" i="1"/>
  <c r="S153" i="1"/>
  <c r="O157" i="1"/>
  <c r="S6" i="1"/>
  <c r="I128" i="1"/>
  <c r="S156" i="1"/>
  <c r="S52" i="1"/>
  <c r="I127" i="1"/>
  <c r="S129" i="1"/>
  <c r="S89" i="1"/>
  <c r="M38" i="1"/>
  <c r="M45" i="1" s="1"/>
  <c r="M51" i="1" s="1"/>
  <c r="S48" i="1"/>
  <c r="S55" i="1"/>
  <c r="I156" i="1"/>
  <c r="S8" i="1"/>
  <c r="S58" i="1"/>
  <c r="S61" i="1"/>
  <c r="S67" i="1"/>
  <c r="S70" i="1"/>
  <c r="S73" i="1"/>
  <c r="O77" i="1"/>
  <c r="S90" i="1"/>
  <c r="S97" i="1"/>
  <c r="S103" i="1"/>
  <c r="S109" i="1"/>
  <c r="S112" i="1"/>
  <c r="S115" i="1"/>
  <c r="S134" i="1"/>
  <c r="S137" i="1"/>
  <c r="S143" i="1"/>
  <c r="S146" i="1"/>
  <c r="S149" i="1"/>
  <c r="S155" i="1"/>
  <c r="P38" i="1"/>
  <c r="P45" i="1" s="1"/>
  <c r="P51" i="1" s="1"/>
  <c r="S54" i="1"/>
  <c r="S47" i="1"/>
  <c r="S87" i="1"/>
  <c r="R157" i="1"/>
  <c r="S12" i="1"/>
  <c r="S13" i="1"/>
  <c r="S14" i="1"/>
  <c r="S15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R37" i="1"/>
  <c r="O11" i="1"/>
  <c r="Q38" i="1"/>
  <c r="Q45" i="1" s="1"/>
  <c r="Q51" i="1" s="1"/>
  <c r="Q78" i="1" s="1"/>
  <c r="Q85" i="1" s="1"/>
  <c r="Q91" i="1" s="1"/>
  <c r="Q118" i="1" s="1"/>
  <c r="Q125" i="1" s="1"/>
  <c r="Q131" i="1" s="1"/>
  <c r="Q158" i="1" s="1"/>
  <c r="Q165" i="1" s="1"/>
  <c r="Q171" i="1" s="1"/>
  <c r="Q198" i="1" s="1"/>
  <c r="Q205" i="1" s="1"/>
  <c r="Q211" i="1" s="1"/>
  <c r="Q238" i="1" s="1"/>
  <c r="Q245" i="1" s="1"/>
  <c r="Q251" i="1" s="1"/>
  <c r="Q278" i="1" s="1"/>
  <c r="Q285" i="1" s="1"/>
  <c r="Q291" i="1" s="1"/>
  <c r="Q318" i="1" s="1"/>
  <c r="Q325" i="1" s="1"/>
  <c r="Q331" i="1" s="1"/>
  <c r="Q358" i="1" s="1"/>
  <c r="Q365" i="1" s="1"/>
  <c r="Q371" i="1" s="1"/>
  <c r="Q398" i="1" s="1"/>
  <c r="Q405" i="1" s="1"/>
  <c r="Q411" i="1" s="1"/>
  <c r="Q438" i="1" s="1"/>
  <c r="Q445" i="1" s="1"/>
  <c r="Q451" i="1" s="1"/>
  <c r="Q478" i="1" s="1"/>
  <c r="Q485" i="1" s="1"/>
  <c r="Q491" i="1" s="1"/>
  <c r="Q518" i="1" s="1"/>
  <c r="N37" i="1"/>
  <c r="N38" i="1" s="1"/>
  <c r="N45" i="1" s="1"/>
  <c r="N51" i="1" s="1"/>
  <c r="N78" i="1" s="1"/>
  <c r="N85" i="1" s="1"/>
  <c r="N91" i="1" s="1"/>
  <c r="N118" i="1" s="1"/>
  <c r="N125" i="1" s="1"/>
  <c r="N131" i="1" s="1"/>
  <c r="N158" i="1" s="1"/>
  <c r="N165" i="1" s="1"/>
  <c r="N171" i="1" s="1"/>
  <c r="N198" i="1" s="1"/>
  <c r="N205" i="1" s="1"/>
  <c r="N211" i="1" s="1"/>
  <c r="N238" i="1" s="1"/>
  <c r="N245" i="1" s="1"/>
  <c r="N251" i="1" s="1"/>
  <c r="N278" i="1" s="1"/>
  <c r="N285" i="1" s="1"/>
  <c r="N291" i="1" s="1"/>
  <c r="N318" i="1" s="1"/>
  <c r="N325" i="1" s="1"/>
  <c r="N331" i="1" s="1"/>
  <c r="N358" i="1" s="1"/>
  <c r="N365" i="1" s="1"/>
  <c r="N371" i="1" s="1"/>
  <c r="N398" i="1" s="1"/>
  <c r="N405" i="1" s="1"/>
  <c r="N411" i="1" s="1"/>
  <c r="N438" i="1" s="1"/>
  <c r="N445" i="1" s="1"/>
  <c r="N451" i="1" s="1"/>
  <c r="N478" i="1" s="1"/>
  <c r="N485" i="1" s="1"/>
  <c r="N491" i="1" s="1"/>
  <c r="N518" i="1" s="1"/>
  <c r="R11" i="1"/>
  <c r="R16" i="1"/>
  <c r="S16" i="1" s="1"/>
  <c r="S46" i="1"/>
  <c r="S50" i="1"/>
  <c r="S60" i="1"/>
  <c r="S64" i="1"/>
  <c r="S68" i="1"/>
  <c r="S72" i="1"/>
  <c r="S94" i="1"/>
  <c r="S102" i="1"/>
  <c r="S106" i="1"/>
  <c r="S110" i="1"/>
  <c r="S114" i="1"/>
  <c r="R117" i="1"/>
  <c r="S126" i="1"/>
  <c r="S130" i="1"/>
  <c r="S132" i="1"/>
  <c r="S136" i="1"/>
  <c r="S140" i="1"/>
  <c r="S144" i="1"/>
  <c r="S148" i="1"/>
  <c r="S152" i="1"/>
  <c r="E86" i="1"/>
  <c r="H86" i="1"/>
  <c r="E88" i="1"/>
  <c r="H88" i="1"/>
  <c r="E89" i="1"/>
  <c r="H89" i="1"/>
  <c r="E90" i="1"/>
  <c r="H90" i="1"/>
  <c r="E92" i="1"/>
  <c r="H92" i="1"/>
  <c r="E93" i="1"/>
  <c r="H93" i="1"/>
  <c r="E94" i="1"/>
  <c r="H94" i="1"/>
  <c r="E95" i="1"/>
  <c r="H95" i="1"/>
  <c r="E96" i="1"/>
  <c r="H96" i="1"/>
  <c r="E97" i="1"/>
  <c r="H97" i="1"/>
  <c r="E98" i="1"/>
  <c r="H98" i="1"/>
  <c r="E99" i="1"/>
  <c r="H99" i="1"/>
  <c r="E100" i="1"/>
  <c r="H100" i="1"/>
  <c r="E101" i="1"/>
  <c r="H101" i="1"/>
  <c r="E102" i="1"/>
  <c r="H102" i="1"/>
  <c r="E103" i="1"/>
  <c r="H103" i="1"/>
  <c r="E104" i="1"/>
  <c r="H104" i="1"/>
  <c r="E105" i="1"/>
  <c r="H105" i="1"/>
  <c r="E106" i="1"/>
  <c r="H106" i="1"/>
  <c r="E107" i="1"/>
  <c r="H107" i="1"/>
  <c r="E108" i="1"/>
  <c r="H108" i="1"/>
  <c r="E109" i="1"/>
  <c r="H109" i="1"/>
  <c r="E110" i="1"/>
  <c r="H110" i="1"/>
  <c r="E111" i="1"/>
  <c r="H111" i="1"/>
  <c r="E112" i="1"/>
  <c r="H112" i="1"/>
  <c r="E113" i="1"/>
  <c r="H113" i="1"/>
  <c r="E114" i="1"/>
  <c r="H114" i="1"/>
  <c r="E115" i="1"/>
  <c r="H115" i="1"/>
  <c r="E116" i="1"/>
  <c r="H116" i="1"/>
  <c r="C117" i="1"/>
  <c r="D117" i="1"/>
  <c r="F117" i="1"/>
  <c r="G117" i="1"/>
  <c r="E126" i="1"/>
  <c r="H126" i="1"/>
  <c r="E130" i="1"/>
  <c r="H130" i="1"/>
  <c r="E132" i="1"/>
  <c r="H132" i="1"/>
  <c r="E133" i="1"/>
  <c r="H133" i="1"/>
  <c r="E134" i="1"/>
  <c r="H134" i="1"/>
  <c r="E135" i="1"/>
  <c r="H135" i="1"/>
  <c r="E136" i="1"/>
  <c r="H136" i="1"/>
  <c r="E137" i="1"/>
  <c r="H137" i="1"/>
  <c r="E138" i="1"/>
  <c r="H138" i="1"/>
  <c r="E139" i="1"/>
  <c r="H139" i="1"/>
  <c r="E140" i="1"/>
  <c r="H140" i="1"/>
  <c r="E141" i="1"/>
  <c r="H141" i="1"/>
  <c r="E142" i="1"/>
  <c r="H142" i="1"/>
  <c r="E143" i="1"/>
  <c r="H143" i="1"/>
  <c r="E144" i="1"/>
  <c r="H144" i="1"/>
  <c r="E145" i="1"/>
  <c r="H145" i="1"/>
  <c r="E146" i="1"/>
  <c r="H146" i="1"/>
  <c r="E147" i="1"/>
  <c r="H147" i="1"/>
  <c r="E148" i="1"/>
  <c r="H148" i="1"/>
  <c r="E149" i="1"/>
  <c r="H149" i="1"/>
  <c r="E150" i="1"/>
  <c r="H150" i="1"/>
  <c r="E151" i="1"/>
  <c r="H151" i="1"/>
  <c r="E152" i="1"/>
  <c r="H152" i="1"/>
  <c r="E153" i="1"/>
  <c r="H153" i="1"/>
  <c r="E154" i="1"/>
  <c r="H154" i="1"/>
  <c r="E155" i="1"/>
  <c r="H155" i="1"/>
  <c r="C157" i="1"/>
  <c r="D157" i="1"/>
  <c r="F157" i="1"/>
  <c r="G157" i="1"/>
  <c r="E48" i="1"/>
  <c r="H48" i="1"/>
  <c r="E49" i="1"/>
  <c r="H49" i="1"/>
  <c r="E798" i="1" l="1"/>
  <c r="E805" i="1" s="1"/>
  <c r="C805" i="1"/>
  <c r="C811" i="1" s="1"/>
  <c r="H718" i="1"/>
  <c r="G725" i="1"/>
  <c r="G731" i="1" s="1"/>
  <c r="S718" i="1"/>
  <c r="S725" i="1" s="1"/>
  <c r="S731" i="1" s="1"/>
  <c r="S758" i="1" s="1"/>
  <c r="S765" i="1" s="1"/>
  <c r="S771" i="1" s="1"/>
  <c r="S798" i="1" s="1"/>
  <c r="S805" i="1" s="1"/>
  <c r="S811" i="1" s="1"/>
  <c r="S838" i="1" s="1"/>
  <c r="S845" i="1" s="1"/>
  <c r="S851" i="1" s="1"/>
  <c r="S878" i="1" s="1"/>
  <c r="S885" i="1" s="1"/>
  <c r="S891" i="1" s="1"/>
  <c r="S918" i="1" s="1"/>
  <c r="O718" i="1"/>
  <c r="O725" i="1" s="1"/>
  <c r="O731" i="1" s="1"/>
  <c r="O758" i="1" s="1"/>
  <c r="O765" i="1" s="1"/>
  <c r="O771" i="1" s="1"/>
  <c r="O798" i="1" s="1"/>
  <c r="O805" i="1" s="1"/>
  <c r="O811" i="1" s="1"/>
  <c r="O838" i="1" s="1"/>
  <c r="O845" i="1" s="1"/>
  <c r="O851" i="1" s="1"/>
  <c r="O878" i="1" s="1"/>
  <c r="O885" i="1" s="1"/>
  <c r="O891" i="1" s="1"/>
  <c r="O918" i="1" s="1"/>
  <c r="H598" i="1"/>
  <c r="H605" i="1" s="1"/>
  <c r="F605" i="1"/>
  <c r="F611" i="1" s="1"/>
  <c r="E558" i="1"/>
  <c r="C565" i="1"/>
  <c r="C571" i="1" s="1"/>
  <c r="S157" i="1"/>
  <c r="I107" i="1"/>
  <c r="I144" i="1"/>
  <c r="I155" i="1"/>
  <c r="S117" i="1"/>
  <c r="I152" i="1"/>
  <c r="I111" i="1"/>
  <c r="I93" i="1"/>
  <c r="E117" i="1"/>
  <c r="I154" i="1"/>
  <c r="S77" i="1"/>
  <c r="I95" i="1"/>
  <c r="I115" i="1"/>
  <c r="I109" i="1"/>
  <c r="I105" i="1"/>
  <c r="I103" i="1"/>
  <c r="I101" i="1"/>
  <c r="I97" i="1"/>
  <c r="I108" i="1"/>
  <c r="I145" i="1"/>
  <c r="I104" i="1"/>
  <c r="I90" i="1"/>
  <c r="I140" i="1"/>
  <c r="I134" i="1"/>
  <c r="I150" i="1"/>
  <c r="I116" i="1"/>
  <c r="I139" i="1"/>
  <c r="I92" i="1"/>
  <c r="I88" i="1"/>
  <c r="I113" i="1"/>
  <c r="I99" i="1"/>
  <c r="I96" i="1"/>
  <c r="I86" i="1"/>
  <c r="I149" i="1"/>
  <c r="I138" i="1"/>
  <c r="I132" i="1"/>
  <c r="H157" i="1"/>
  <c r="M78" i="1"/>
  <c r="O51" i="1"/>
  <c r="O38" i="1"/>
  <c r="R38" i="1"/>
  <c r="R45" i="1" s="1"/>
  <c r="O37" i="1"/>
  <c r="S37" i="1" s="1"/>
  <c r="S11" i="1"/>
  <c r="R51" i="1"/>
  <c r="P78" i="1"/>
  <c r="I148" i="1"/>
  <c r="I142" i="1"/>
  <c r="H117" i="1"/>
  <c r="I106" i="1"/>
  <c r="I94" i="1"/>
  <c r="I110" i="1"/>
  <c r="I98" i="1"/>
  <c r="I136" i="1"/>
  <c r="I112" i="1"/>
  <c r="I100" i="1"/>
  <c r="I151" i="1"/>
  <c r="I146" i="1"/>
  <c r="I143" i="1"/>
  <c r="I135" i="1"/>
  <c r="I126" i="1"/>
  <c r="I114" i="1"/>
  <c r="I102" i="1"/>
  <c r="I89" i="1"/>
  <c r="E157" i="1"/>
  <c r="I147" i="1"/>
  <c r="I133" i="1"/>
  <c r="I130" i="1"/>
  <c r="I137" i="1"/>
  <c r="I153" i="1"/>
  <c r="I141" i="1"/>
  <c r="I48" i="1"/>
  <c r="I49" i="1"/>
  <c r="D29" i="1"/>
  <c r="E29" i="1" s="1"/>
  <c r="F28" i="1"/>
  <c r="F37" i="1" s="1"/>
  <c r="G16" i="1"/>
  <c r="H16" i="1" s="1"/>
  <c r="E5" i="1"/>
  <c r="H5" i="1"/>
  <c r="E6" i="1"/>
  <c r="H6" i="1"/>
  <c r="E7" i="1"/>
  <c r="H7" i="1"/>
  <c r="E8" i="1"/>
  <c r="H8" i="1"/>
  <c r="E9" i="1"/>
  <c r="H9" i="1"/>
  <c r="E10" i="1"/>
  <c r="H10" i="1"/>
  <c r="C11" i="1"/>
  <c r="D11" i="1"/>
  <c r="F11" i="1"/>
  <c r="G11" i="1"/>
  <c r="E12" i="1"/>
  <c r="H12" i="1"/>
  <c r="E13" i="1"/>
  <c r="H13" i="1"/>
  <c r="E14" i="1"/>
  <c r="H14" i="1"/>
  <c r="E15" i="1"/>
  <c r="H15" i="1"/>
  <c r="E16" i="1"/>
  <c r="E17" i="1"/>
  <c r="H17" i="1"/>
  <c r="E18" i="1"/>
  <c r="H18" i="1"/>
  <c r="E19" i="1"/>
  <c r="H19" i="1"/>
  <c r="E20" i="1"/>
  <c r="H20" i="1"/>
  <c r="E21" i="1"/>
  <c r="H21" i="1"/>
  <c r="E22" i="1"/>
  <c r="H22" i="1"/>
  <c r="E23" i="1"/>
  <c r="H23" i="1"/>
  <c r="E24" i="1"/>
  <c r="H24" i="1"/>
  <c r="E25" i="1"/>
  <c r="H25" i="1"/>
  <c r="E26" i="1"/>
  <c r="H26" i="1"/>
  <c r="E27" i="1"/>
  <c r="H27" i="1"/>
  <c r="E28" i="1"/>
  <c r="H29" i="1"/>
  <c r="E30" i="1"/>
  <c r="H30" i="1"/>
  <c r="E31" i="1"/>
  <c r="H31" i="1"/>
  <c r="E32" i="1"/>
  <c r="H32" i="1"/>
  <c r="E33" i="1"/>
  <c r="H33" i="1"/>
  <c r="E34" i="1"/>
  <c r="H34" i="1"/>
  <c r="E35" i="1"/>
  <c r="H35" i="1"/>
  <c r="E36" i="1"/>
  <c r="H36" i="1"/>
  <c r="C37" i="1"/>
  <c r="E46" i="1"/>
  <c r="H46" i="1"/>
  <c r="E50" i="1"/>
  <c r="H50" i="1"/>
  <c r="E52" i="1"/>
  <c r="H52" i="1"/>
  <c r="E53" i="1"/>
  <c r="H53" i="1"/>
  <c r="E54" i="1"/>
  <c r="H54" i="1"/>
  <c r="E55" i="1"/>
  <c r="H55" i="1"/>
  <c r="E56" i="1"/>
  <c r="H56" i="1"/>
  <c r="E57" i="1"/>
  <c r="H57" i="1"/>
  <c r="E58" i="1"/>
  <c r="H58" i="1"/>
  <c r="E59" i="1"/>
  <c r="H59" i="1"/>
  <c r="E60" i="1"/>
  <c r="H60" i="1"/>
  <c r="E61" i="1"/>
  <c r="H61" i="1"/>
  <c r="E62" i="1"/>
  <c r="H62" i="1"/>
  <c r="E63" i="1"/>
  <c r="H63" i="1"/>
  <c r="E64" i="1"/>
  <c r="H64" i="1"/>
  <c r="E66" i="1"/>
  <c r="H66" i="1"/>
  <c r="E67" i="1"/>
  <c r="H67" i="1"/>
  <c r="E68" i="1"/>
  <c r="H68" i="1"/>
  <c r="E69" i="1"/>
  <c r="H69" i="1"/>
  <c r="E70" i="1"/>
  <c r="H70" i="1"/>
  <c r="E71" i="1"/>
  <c r="H71" i="1"/>
  <c r="E72" i="1"/>
  <c r="H72" i="1"/>
  <c r="E73" i="1"/>
  <c r="H73" i="1"/>
  <c r="E74" i="1"/>
  <c r="H74" i="1"/>
  <c r="E75" i="1"/>
  <c r="H75" i="1"/>
  <c r="E76" i="1"/>
  <c r="H76" i="1"/>
  <c r="C77" i="1"/>
  <c r="D77" i="1"/>
  <c r="F77" i="1"/>
  <c r="G77" i="1"/>
  <c r="C838" i="1" l="1"/>
  <c r="E811" i="1"/>
  <c r="I718" i="1"/>
  <c r="H725" i="1"/>
  <c r="I725" i="1" s="1"/>
  <c r="G758" i="1"/>
  <c r="H731" i="1"/>
  <c r="I731" i="1" s="1"/>
  <c r="H611" i="1"/>
  <c r="F638" i="1"/>
  <c r="H638" i="1" s="1"/>
  <c r="H645" i="1" s="1"/>
  <c r="C598" i="1"/>
  <c r="E571" i="1"/>
  <c r="I571" i="1" s="1"/>
  <c r="I558" i="1"/>
  <c r="E565" i="1"/>
  <c r="I565" i="1" s="1"/>
  <c r="I117" i="1"/>
  <c r="I16" i="1"/>
  <c r="I157" i="1"/>
  <c r="P85" i="1"/>
  <c r="P91" i="1" s="1"/>
  <c r="R78" i="1"/>
  <c r="R85" i="1" s="1"/>
  <c r="S51" i="1"/>
  <c r="S38" i="1"/>
  <c r="O45" i="1"/>
  <c r="S45" i="1" s="1"/>
  <c r="O78" i="1"/>
  <c r="M85" i="1"/>
  <c r="M91" i="1" s="1"/>
  <c r="I72" i="1"/>
  <c r="I31" i="1"/>
  <c r="I27" i="1"/>
  <c r="I24" i="1"/>
  <c r="I21" i="1"/>
  <c r="I18" i="1"/>
  <c r="I29" i="1"/>
  <c r="I34" i="1"/>
  <c r="I76" i="1"/>
  <c r="I73" i="1"/>
  <c r="I70" i="1"/>
  <c r="I67" i="1"/>
  <c r="I64" i="1"/>
  <c r="I61" i="1"/>
  <c r="I58" i="1"/>
  <c r="I55" i="1"/>
  <c r="I52" i="1"/>
  <c r="I14" i="1"/>
  <c r="I9" i="1"/>
  <c r="I6" i="1"/>
  <c r="I36" i="1"/>
  <c r="I33" i="1"/>
  <c r="I30" i="1"/>
  <c r="I26" i="1"/>
  <c r="I23" i="1"/>
  <c r="I20" i="1"/>
  <c r="I17" i="1"/>
  <c r="I75" i="1"/>
  <c r="I69" i="1"/>
  <c r="I63" i="1"/>
  <c r="I57" i="1"/>
  <c r="I50" i="1"/>
  <c r="I13" i="1"/>
  <c r="I8" i="1"/>
  <c r="I35" i="1"/>
  <c r="I32" i="1"/>
  <c r="I25" i="1"/>
  <c r="I22" i="1"/>
  <c r="I19" i="1"/>
  <c r="I66" i="1"/>
  <c r="I60" i="1"/>
  <c r="I54" i="1"/>
  <c r="I5" i="1"/>
  <c r="E77" i="1"/>
  <c r="I74" i="1"/>
  <c r="I71" i="1"/>
  <c r="I68" i="1"/>
  <c r="I62" i="1"/>
  <c r="I59" i="1"/>
  <c r="I56" i="1"/>
  <c r="I53" i="1"/>
  <c r="I46" i="1"/>
  <c r="I15" i="1"/>
  <c r="I12" i="1"/>
  <c r="I10" i="1"/>
  <c r="I7" i="1"/>
  <c r="D37" i="1"/>
  <c r="D38" i="1" s="1"/>
  <c r="D45" i="1" s="1"/>
  <c r="D51" i="1" s="1"/>
  <c r="D78" i="1" s="1"/>
  <c r="D85" i="1" s="1"/>
  <c r="D91" i="1" s="1"/>
  <c r="D118" i="1" s="1"/>
  <c r="D125" i="1" s="1"/>
  <c r="D131" i="1" s="1"/>
  <c r="D158" i="1" s="1"/>
  <c r="D165" i="1" s="1"/>
  <c r="D171" i="1" s="1"/>
  <c r="D198" i="1" s="1"/>
  <c r="D205" i="1" s="1"/>
  <c r="D211" i="1" s="1"/>
  <c r="D238" i="1" s="1"/>
  <c r="D245" i="1" s="1"/>
  <c r="D251" i="1" s="1"/>
  <c r="D278" i="1" s="1"/>
  <c r="H28" i="1"/>
  <c r="I28" i="1" s="1"/>
  <c r="H11" i="1"/>
  <c r="H77" i="1"/>
  <c r="G37" i="1"/>
  <c r="H37" i="1" s="1"/>
  <c r="E11" i="1"/>
  <c r="C38" i="1"/>
  <c r="C45" i="1" s="1"/>
  <c r="F38" i="1"/>
  <c r="F45" i="1" s="1"/>
  <c r="F51" i="1" s="1"/>
  <c r="E838" i="1" l="1"/>
  <c r="E845" i="1" s="1"/>
  <c r="C845" i="1"/>
  <c r="C851" i="1" s="1"/>
  <c r="H758" i="1"/>
  <c r="G765" i="1"/>
  <c r="G771" i="1" s="1"/>
  <c r="E598" i="1"/>
  <c r="I598" i="1" s="1"/>
  <c r="C605" i="1"/>
  <c r="C611" i="1" s="1"/>
  <c r="S78" i="1"/>
  <c r="O85" i="1"/>
  <c r="S85" i="1" s="1"/>
  <c r="M118" i="1"/>
  <c r="O91" i="1"/>
  <c r="R91" i="1"/>
  <c r="P118" i="1"/>
  <c r="I11" i="1"/>
  <c r="I77" i="1"/>
  <c r="E37" i="1"/>
  <c r="I37" i="1" s="1"/>
  <c r="E38" i="1"/>
  <c r="G38" i="1"/>
  <c r="G45" i="1" s="1"/>
  <c r="G51" i="1" s="1"/>
  <c r="G78" i="1" s="1"/>
  <c r="G85" i="1" s="1"/>
  <c r="G91" i="1" s="1"/>
  <c r="G118" i="1" s="1"/>
  <c r="G125" i="1" s="1"/>
  <c r="G131" i="1" s="1"/>
  <c r="G158" i="1" s="1"/>
  <c r="G165" i="1" s="1"/>
  <c r="G171" i="1" s="1"/>
  <c r="G198" i="1" s="1"/>
  <c r="G205" i="1" s="1"/>
  <c r="G211" i="1" s="1"/>
  <c r="G238" i="1" s="1"/>
  <c r="G245" i="1" s="1"/>
  <c r="G251" i="1" s="1"/>
  <c r="G278" i="1" s="1"/>
  <c r="G285" i="1" s="1"/>
  <c r="G291" i="1" s="1"/>
  <c r="G318" i="1" s="1"/>
  <c r="G325" i="1" s="1"/>
  <c r="G331" i="1" s="1"/>
  <c r="C51" i="1"/>
  <c r="F78" i="1"/>
  <c r="F85" i="1" s="1"/>
  <c r="F91" i="1" s="1"/>
  <c r="E851" i="1" l="1"/>
  <c r="C878" i="1"/>
  <c r="G798" i="1"/>
  <c r="H771" i="1"/>
  <c r="I771" i="1" s="1"/>
  <c r="I758" i="1"/>
  <c r="H765" i="1"/>
  <c r="I765" i="1" s="1"/>
  <c r="C638" i="1"/>
  <c r="E611" i="1"/>
  <c r="I611" i="1" s="1"/>
  <c r="E605" i="1"/>
  <c r="I605" i="1" s="1"/>
  <c r="G358" i="1"/>
  <c r="H358" i="1" s="1"/>
  <c r="I358" i="1" s="1"/>
  <c r="H331" i="1"/>
  <c r="I331" i="1" s="1"/>
  <c r="S91" i="1"/>
  <c r="P125" i="1"/>
  <c r="P131" i="1" s="1"/>
  <c r="R118" i="1"/>
  <c r="R125" i="1" s="1"/>
  <c r="O118" i="1"/>
  <c r="M125" i="1"/>
  <c r="M131" i="1" s="1"/>
  <c r="F118" i="1"/>
  <c r="H91" i="1"/>
  <c r="E45" i="1"/>
  <c r="H78" i="1"/>
  <c r="H85" i="1" s="1"/>
  <c r="H51" i="1"/>
  <c r="H38" i="1"/>
  <c r="H45" i="1" s="1"/>
  <c r="C78" i="1"/>
  <c r="E51" i="1"/>
  <c r="E878" i="1" l="1"/>
  <c r="E885" i="1" s="1"/>
  <c r="C885" i="1"/>
  <c r="C891" i="1" s="1"/>
  <c r="H798" i="1"/>
  <c r="G805" i="1"/>
  <c r="G811" i="1" s="1"/>
  <c r="E638" i="1"/>
  <c r="C645" i="1"/>
  <c r="C651" i="1" s="1"/>
  <c r="I38" i="1"/>
  <c r="M158" i="1"/>
  <c r="O131" i="1"/>
  <c r="S118" i="1"/>
  <c r="O125" i="1"/>
  <c r="S125" i="1" s="1"/>
  <c r="R131" i="1"/>
  <c r="P158" i="1"/>
  <c r="C85" i="1"/>
  <c r="C91" i="1" s="1"/>
  <c r="H118" i="1"/>
  <c r="H125" i="1" s="1"/>
  <c r="F125" i="1"/>
  <c r="F131" i="1" s="1"/>
  <c r="I51" i="1"/>
  <c r="I45" i="1"/>
  <c r="E78" i="1"/>
  <c r="E85" i="1" s="1"/>
  <c r="I85" i="1" s="1"/>
  <c r="C918" i="1" l="1"/>
  <c r="E918" i="1" s="1"/>
  <c r="E891" i="1"/>
  <c r="G838" i="1"/>
  <c r="H811" i="1"/>
  <c r="I811" i="1" s="1"/>
  <c r="I798" i="1"/>
  <c r="H805" i="1"/>
  <c r="I805" i="1" s="1"/>
  <c r="I638" i="1"/>
  <c r="E645" i="1"/>
  <c r="I645" i="1" s="1"/>
  <c r="E651" i="1"/>
  <c r="I651" i="1" s="1"/>
  <c r="C678" i="1"/>
  <c r="E678" i="1" s="1"/>
  <c r="O158" i="1"/>
  <c r="O165" i="1" s="1"/>
  <c r="M165" i="1"/>
  <c r="M171" i="1" s="1"/>
  <c r="M198" i="1" s="1"/>
  <c r="R158" i="1"/>
  <c r="R165" i="1" s="1"/>
  <c r="P165" i="1"/>
  <c r="P171" i="1" s="1"/>
  <c r="S131" i="1"/>
  <c r="E91" i="1"/>
  <c r="I91" i="1" s="1"/>
  <c r="C118" i="1"/>
  <c r="E118" i="1" s="1"/>
  <c r="F158" i="1"/>
  <c r="H131" i="1"/>
  <c r="I78" i="1"/>
  <c r="G845" i="1" l="1"/>
  <c r="G851" i="1" s="1"/>
  <c r="H838" i="1"/>
  <c r="I678" i="1"/>
  <c r="E685" i="1"/>
  <c r="I685" i="1" s="1"/>
  <c r="S165" i="1"/>
  <c r="H158" i="1"/>
  <c r="H165" i="1" s="1"/>
  <c r="F165" i="1"/>
  <c r="F171" i="1" s="1"/>
  <c r="O171" i="1"/>
  <c r="S158" i="1"/>
  <c r="R171" i="1"/>
  <c r="P198" i="1"/>
  <c r="C125" i="1"/>
  <c r="C131" i="1" s="1"/>
  <c r="C158" i="1" s="1"/>
  <c r="I118" i="1"/>
  <c r="E125" i="1"/>
  <c r="I125" i="1" s="1"/>
  <c r="H845" i="1" l="1"/>
  <c r="I845" i="1" s="1"/>
  <c r="I838" i="1"/>
  <c r="G878" i="1"/>
  <c r="H851" i="1"/>
  <c r="I851" i="1" s="1"/>
  <c r="S171" i="1"/>
  <c r="R198" i="1"/>
  <c r="R205" i="1" s="1"/>
  <c r="P205" i="1"/>
  <c r="P211" i="1" s="1"/>
  <c r="E158" i="1"/>
  <c r="C165" i="1"/>
  <c r="C171" i="1" s="1"/>
  <c r="O198" i="1"/>
  <c r="M205" i="1"/>
  <c r="M211" i="1" s="1"/>
  <c r="F198" i="1"/>
  <c r="H171" i="1"/>
  <c r="E131" i="1"/>
  <c r="I131" i="1" s="1"/>
  <c r="H878" i="1" l="1"/>
  <c r="G885" i="1"/>
  <c r="G891" i="1" s="1"/>
  <c r="M238" i="1"/>
  <c r="O211" i="1"/>
  <c r="S198" i="1"/>
  <c r="O205" i="1"/>
  <c r="S205" i="1" s="1"/>
  <c r="C198" i="1"/>
  <c r="E171" i="1"/>
  <c r="I171" i="1" s="1"/>
  <c r="I158" i="1"/>
  <c r="E165" i="1"/>
  <c r="I165" i="1" s="1"/>
  <c r="R211" i="1"/>
  <c r="P238" i="1"/>
  <c r="H198" i="1"/>
  <c r="H205" i="1" s="1"/>
  <c r="F205" i="1"/>
  <c r="F211" i="1" s="1"/>
  <c r="G918" i="1" l="1"/>
  <c r="H918" i="1" s="1"/>
  <c r="I918" i="1" s="1"/>
  <c r="H891" i="1"/>
  <c r="I891" i="1" s="1"/>
  <c r="I878" i="1"/>
  <c r="H885" i="1"/>
  <c r="I885" i="1" s="1"/>
  <c r="R238" i="1"/>
  <c r="R245" i="1" s="1"/>
  <c r="P245" i="1"/>
  <c r="P251" i="1" s="1"/>
  <c r="O238" i="1"/>
  <c r="O245" i="1" s="1"/>
  <c r="M245" i="1"/>
  <c r="M251" i="1" s="1"/>
  <c r="F238" i="1"/>
  <c r="H211" i="1"/>
  <c r="S211" i="1"/>
  <c r="E198" i="1"/>
  <c r="C205" i="1"/>
  <c r="C211" i="1" s="1"/>
  <c r="S245" i="1" l="1"/>
  <c r="S238" i="1"/>
  <c r="O251" i="1"/>
  <c r="M278" i="1"/>
  <c r="R251" i="1"/>
  <c r="P278" i="1"/>
  <c r="H238" i="1"/>
  <c r="H245" i="1" s="1"/>
  <c r="F245" i="1"/>
  <c r="F251" i="1" s="1"/>
  <c r="E211" i="1"/>
  <c r="I211" i="1" s="1"/>
  <c r="C238" i="1"/>
  <c r="E205" i="1"/>
  <c r="I205" i="1" s="1"/>
  <c r="I198" i="1"/>
  <c r="R278" i="1" l="1"/>
  <c r="R285" i="1" s="1"/>
  <c r="P285" i="1"/>
  <c r="P291" i="1" s="1"/>
  <c r="O278" i="1"/>
  <c r="O285" i="1" s="1"/>
  <c r="M285" i="1"/>
  <c r="M291" i="1" s="1"/>
  <c r="S251" i="1"/>
  <c r="F278" i="1"/>
  <c r="H251" i="1"/>
  <c r="E238" i="1"/>
  <c r="C245" i="1"/>
  <c r="C251" i="1" s="1"/>
  <c r="S278" i="1" l="1"/>
  <c r="S285" i="1"/>
  <c r="R291" i="1"/>
  <c r="P318" i="1"/>
  <c r="M318" i="1"/>
  <c r="O291" i="1"/>
  <c r="H278" i="1"/>
  <c r="H285" i="1" s="1"/>
  <c r="F285" i="1"/>
  <c r="F291" i="1" s="1"/>
  <c r="E251" i="1"/>
  <c r="I251" i="1" s="1"/>
  <c r="C278" i="1"/>
  <c r="I238" i="1"/>
  <c r="E245" i="1"/>
  <c r="I245" i="1" s="1"/>
  <c r="O318" i="1" l="1"/>
  <c r="O325" i="1" s="1"/>
  <c r="M325" i="1"/>
  <c r="M331" i="1" s="1"/>
  <c r="R318" i="1"/>
  <c r="R325" i="1" s="1"/>
  <c r="P325" i="1"/>
  <c r="P331" i="1" s="1"/>
  <c r="S291" i="1"/>
  <c r="H291" i="1"/>
  <c r="F318" i="1"/>
  <c r="H318" i="1" s="1"/>
  <c r="H325" i="1" s="1"/>
  <c r="I325" i="1" s="1"/>
  <c r="E278" i="1"/>
  <c r="C285" i="1"/>
  <c r="C291" i="1" s="1"/>
  <c r="S318" i="1" l="1"/>
  <c r="R331" i="1"/>
  <c r="P358" i="1"/>
  <c r="M358" i="1"/>
  <c r="O331" i="1"/>
  <c r="S325" i="1"/>
  <c r="E291" i="1"/>
  <c r="I291" i="1" s="1"/>
  <c r="C318" i="1"/>
  <c r="E318" i="1" s="1"/>
  <c r="I318" i="1" s="1"/>
  <c r="I278" i="1"/>
  <c r="E285" i="1"/>
  <c r="I285" i="1" s="1"/>
  <c r="R358" i="1" l="1"/>
  <c r="R365" i="1" s="1"/>
  <c r="P365" i="1"/>
  <c r="P371" i="1" s="1"/>
  <c r="O358" i="1"/>
  <c r="O365" i="1" s="1"/>
  <c r="M365" i="1"/>
  <c r="M371" i="1" s="1"/>
  <c r="S331" i="1"/>
  <c r="S365" i="1" l="1"/>
  <c r="S358" i="1"/>
  <c r="M398" i="1"/>
  <c r="O371" i="1"/>
  <c r="P398" i="1"/>
  <c r="R371" i="1"/>
  <c r="R398" i="1" l="1"/>
  <c r="R405" i="1" s="1"/>
  <c r="P405" i="1"/>
  <c r="P411" i="1" s="1"/>
  <c r="O398" i="1"/>
  <c r="O405" i="1" s="1"/>
  <c r="S405" i="1" s="1"/>
  <c r="M405" i="1"/>
  <c r="M411" i="1" s="1"/>
  <c r="S371" i="1"/>
  <c r="S398" i="1" l="1"/>
  <c r="O411" i="1"/>
  <c r="M438" i="1"/>
  <c r="P438" i="1"/>
  <c r="R411" i="1"/>
  <c r="R438" i="1" l="1"/>
  <c r="R445" i="1" s="1"/>
  <c r="P445" i="1"/>
  <c r="P451" i="1" s="1"/>
  <c r="P478" i="1" s="1"/>
  <c r="P485" i="1" s="1"/>
  <c r="P491" i="1" s="1"/>
  <c r="O438" i="1"/>
  <c r="O445" i="1" s="1"/>
  <c r="S445" i="1" s="1"/>
  <c r="M445" i="1"/>
  <c r="M451" i="1" s="1"/>
  <c r="S411" i="1"/>
  <c r="P518" i="1" l="1"/>
  <c r="R518" i="1" s="1"/>
  <c r="R491" i="1"/>
  <c r="S438" i="1"/>
  <c r="R478" i="1"/>
  <c r="R485" i="1" s="1"/>
  <c r="R451" i="1"/>
  <c r="M478" i="1"/>
  <c r="O451" i="1"/>
  <c r="O478" i="1" l="1"/>
  <c r="O485" i="1" s="1"/>
  <c r="S485" i="1" s="1"/>
  <c r="M485" i="1"/>
  <c r="M491" i="1" s="1"/>
  <c r="S451" i="1"/>
  <c r="S478" i="1"/>
  <c r="M518" i="1" l="1"/>
  <c r="O518" i="1" s="1"/>
  <c r="S518" i="1" s="1"/>
  <c r="O491" i="1"/>
  <c r="S491" i="1" s="1"/>
</calcChain>
</file>

<file path=xl/sharedStrings.xml><?xml version="1.0" encoding="utf-8"?>
<sst xmlns="http://schemas.openxmlformats.org/spreadsheetml/2006/main" count="1618" uniqueCount="205">
  <si>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</si>
  <si>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</si>
  <si>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</si>
  <si>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</si>
  <si>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計</t>
    <rPh sb="0" eb="1">
      <t>ケイ</t>
    </rPh>
    <phoneticPr fontId="2"/>
  </si>
  <si>
    <t>L-LL</t>
    <phoneticPr fontId="2"/>
  </si>
  <si>
    <t>M-L</t>
    <phoneticPr fontId="2"/>
  </si>
  <si>
    <t>ネット</t>
    <phoneticPr fontId="2"/>
  </si>
  <si>
    <t>西夢</t>
    <rPh sb="0" eb="2">
      <t>ニシユメ</t>
    </rPh>
    <phoneticPr fontId="2"/>
  </si>
  <si>
    <t>2023/3/13数伝</t>
    <rPh sb="9" eb="11">
      <t>スウデン</t>
    </rPh>
    <phoneticPr fontId="2"/>
  </si>
  <si>
    <t>初回</t>
    <rPh sb="0" eb="2">
      <t>ショカイ</t>
    </rPh>
    <phoneticPr fontId="2"/>
  </si>
  <si>
    <t>ホワイト</t>
    <phoneticPr fontId="2"/>
  </si>
  <si>
    <t>ブラック</t>
    <phoneticPr fontId="2"/>
  </si>
  <si>
    <t>2023/4/18数伝</t>
    <rPh sb="9" eb="11">
      <t>スウデン</t>
    </rPh>
    <phoneticPr fontId="2"/>
  </si>
  <si>
    <t>2023/5/10数伝</t>
    <rPh sb="9" eb="11">
      <t>スウデン</t>
    </rPh>
    <phoneticPr fontId="2"/>
  </si>
  <si>
    <t>牧野</t>
    <rPh sb="0" eb="2">
      <t>マキノ</t>
    </rPh>
    <phoneticPr fontId="2"/>
  </si>
  <si>
    <t>村田</t>
    <rPh sb="0" eb="2">
      <t>ムラタ</t>
    </rPh>
    <phoneticPr fontId="2"/>
  </si>
  <si>
    <t>JODメルシー0624</t>
    <phoneticPr fontId="2"/>
  </si>
  <si>
    <t>6/24～</t>
    <phoneticPr fontId="2"/>
  </si>
  <si>
    <t>合計</t>
    <rPh sb="0" eb="2">
      <t>ゴウケイ</t>
    </rPh>
    <phoneticPr fontId="2"/>
  </si>
  <si>
    <t>2023/6/1数伝</t>
    <rPh sb="8" eb="10">
      <t>スウデン</t>
    </rPh>
    <phoneticPr fontId="2"/>
  </si>
  <si>
    <t>チュールギンス＜夢販在庫＞</t>
    <rPh sb="8" eb="12">
      <t>ユメハンザイコ</t>
    </rPh>
    <phoneticPr fontId="2"/>
  </si>
  <si>
    <t>チュールギンス＜KPORT在庫＞</t>
    <rPh sb="13" eb="15">
      <t>ザイコ</t>
    </rPh>
    <phoneticPr fontId="2"/>
  </si>
  <si>
    <t>【ブラック A2144-01～02 @620】【ホワイトA2144-03～04 @620】</t>
    <phoneticPr fontId="2"/>
  </si>
  <si>
    <t>【ブラック A2144-01～02 @620】【ホワイトA2144-03～04 @620】</t>
    <phoneticPr fontId="2"/>
  </si>
  <si>
    <t>Amazon</t>
    <phoneticPr fontId="2"/>
  </si>
  <si>
    <t>西夢</t>
    <rPh sb="0" eb="1">
      <t>ニシ</t>
    </rPh>
    <rPh sb="1" eb="2">
      <t>ユメ</t>
    </rPh>
    <phoneticPr fontId="2"/>
  </si>
  <si>
    <t>2023/6/1数伝</t>
    <rPh sb="8" eb="9">
      <t>スウ</t>
    </rPh>
    <rPh sb="9" eb="10">
      <t>デン</t>
    </rPh>
    <phoneticPr fontId="2"/>
  </si>
  <si>
    <t>Amazon</t>
    <phoneticPr fontId="2"/>
  </si>
  <si>
    <t>Amazon</t>
    <phoneticPr fontId="2"/>
  </si>
  <si>
    <t>Amazon</t>
    <phoneticPr fontId="2"/>
  </si>
  <si>
    <t>Amazon</t>
    <phoneticPr fontId="2"/>
  </si>
  <si>
    <t>夢販</t>
    <rPh sb="0" eb="2">
      <t>ユメハン</t>
    </rPh>
    <phoneticPr fontId="2"/>
  </si>
  <si>
    <t>JOD①</t>
    <phoneticPr fontId="2"/>
  </si>
  <si>
    <t>JOD②</t>
    <phoneticPr fontId="2"/>
  </si>
  <si>
    <t>JOD③</t>
    <phoneticPr fontId="2"/>
  </si>
  <si>
    <t>2023/7/1済伝</t>
    <rPh sb="8" eb="10">
      <t>スミデン</t>
    </rPh>
    <phoneticPr fontId="2"/>
  </si>
  <si>
    <t>JOD④</t>
    <phoneticPr fontId="2"/>
  </si>
  <si>
    <t>JOD⑤</t>
    <phoneticPr fontId="2"/>
  </si>
  <si>
    <t>Amazon</t>
    <phoneticPr fontId="2"/>
  </si>
  <si>
    <t>JOD⑥</t>
    <phoneticPr fontId="2"/>
  </si>
  <si>
    <t>JOD⑦</t>
    <phoneticPr fontId="2"/>
  </si>
  <si>
    <t>JODアクセス7095</t>
    <phoneticPr fontId="2"/>
  </si>
  <si>
    <t>8/16～</t>
    <phoneticPr fontId="2"/>
  </si>
  <si>
    <t>JOD⑧</t>
    <phoneticPr fontId="2"/>
  </si>
  <si>
    <t>JOD⑨</t>
    <phoneticPr fontId="2"/>
  </si>
  <si>
    <t>Amazon</t>
    <phoneticPr fontId="2"/>
  </si>
  <si>
    <t>JOD⑩</t>
    <phoneticPr fontId="2"/>
  </si>
  <si>
    <t>JOD⑪</t>
    <phoneticPr fontId="2"/>
  </si>
  <si>
    <t>JOD⑫</t>
    <phoneticPr fontId="2"/>
  </si>
  <si>
    <t>JOD⑬</t>
    <phoneticPr fontId="2"/>
  </si>
  <si>
    <t>JOD⑭</t>
    <phoneticPr fontId="2"/>
  </si>
  <si>
    <t>Amazon</t>
    <phoneticPr fontId="2"/>
  </si>
  <si>
    <t>JOD⑮</t>
    <phoneticPr fontId="2"/>
  </si>
  <si>
    <t>JOD⑯</t>
    <phoneticPr fontId="2"/>
  </si>
  <si>
    <t>JOD⑰</t>
    <phoneticPr fontId="2"/>
  </si>
  <si>
    <t>Amazon</t>
    <phoneticPr fontId="2"/>
  </si>
  <si>
    <t>不良</t>
    <rPh sb="0" eb="2">
      <t>フリョウ</t>
    </rPh>
    <phoneticPr fontId="2"/>
  </si>
  <si>
    <t>JOD⑱</t>
    <phoneticPr fontId="2"/>
  </si>
  <si>
    <t>JOD⑲</t>
    <phoneticPr fontId="2"/>
  </si>
  <si>
    <t>JOD⑳</t>
    <phoneticPr fontId="2"/>
  </si>
  <si>
    <t>JOD㉑</t>
    <phoneticPr fontId="2"/>
  </si>
  <si>
    <t>JOD㉒</t>
    <phoneticPr fontId="2"/>
  </si>
  <si>
    <t>Amazon</t>
    <phoneticPr fontId="2"/>
  </si>
  <si>
    <t>JOD㉓</t>
    <phoneticPr fontId="2"/>
  </si>
  <si>
    <t>JOD㉔</t>
    <phoneticPr fontId="2"/>
  </si>
  <si>
    <t>JOD㉕</t>
    <phoneticPr fontId="2"/>
  </si>
  <si>
    <t>JOD㉖</t>
    <phoneticPr fontId="2"/>
  </si>
  <si>
    <t>JOD㉗</t>
    <phoneticPr fontId="2"/>
  </si>
  <si>
    <t>JOD返品</t>
    <rPh sb="3" eb="5">
      <t>ヘンピン</t>
    </rPh>
    <phoneticPr fontId="2"/>
  </si>
  <si>
    <t>JOD㉘</t>
    <phoneticPr fontId="2"/>
  </si>
  <si>
    <t>JOD㉙</t>
    <phoneticPr fontId="2"/>
  </si>
  <si>
    <t>在庫確認</t>
    <rPh sb="0" eb="4">
      <t>ザイコカクニン</t>
    </rPh>
    <phoneticPr fontId="2"/>
  </si>
  <si>
    <t>JOD㉚</t>
    <phoneticPr fontId="2"/>
  </si>
  <si>
    <t>JOD㉛</t>
    <phoneticPr fontId="2"/>
  </si>
  <si>
    <t>JOD㉜</t>
    <phoneticPr fontId="2"/>
  </si>
  <si>
    <t>JOD㉝</t>
    <phoneticPr fontId="2"/>
  </si>
  <si>
    <t>JOD㉞</t>
    <phoneticPr fontId="2"/>
  </si>
  <si>
    <t>JOD㉟</t>
    <phoneticPr fontId="2"/>
  </si>
  <si>
    <t>Amazon</t>
    <phoneticPr fontId="2"/>
  </si>
  <si>
    <t>JOD㊱</t>
    <phoneticPr fontId="2"/>
  </si>
  <si>
    <t>夢販</t>
    <rPh sb="0" eb="2">
      <t>ユメハン</t>
    </rPh>
    <phoneticPr fontId="2"/>
  </si>
  <si>
    <t>JOD㊲</t>
    <phoneticPr fontId="2"/>
  </si>
  <si>
    <t>Amazon</t>
    <phoneticPr fontId="2"/>
  </si>
  <si>
    <t>JOD㊳</t>
    <phoneticPr fontId="2"/>
  </si>
  <si>
    <t>JOD㊴</t>
    <phoneticPr fontId="2"/>
  </si>
  <si>
    <t>Amazon</t>
    <phoneticPr fontId="2"/>
  </si>
  <si>
    <t>JOD㊵</t>
    <phoneticPr fontId="2"/>
  </si>
  <si>
    <t>JOD返品</t>
    <rPh sb="3" eb="5">
      <t>ヘンピン</t>
    </rPh>
    <phoneticPr fontId="2"/>
  </si>
  <si>
    <t>Amazon</t>
    <phoneticPr fontId="2"/>
  </si>
  <si>
    <t>3/25～</t>
    <phoneticPr fontId="2"/>
  </si>
  <si>
    <t>JOD特別版0326</t>
    <rPh sb="3" eb="6">
      <t>トクベツバン</t>
    </rPh>
    <phoneticPr fontId="2"/>
  </si>
  <si>
    <t>JOD特別号9596</t>
    <rPh sb="3" eb="5">
      <t>トクベツ</t>
    </rPh>
    <rPh sb="5" eb="6">
      <t>ゴウ</t>
    </rPh>
    <phoneticPr fontId="2"/>
  </si>
  <si>
    <t>4/20～</t>
    <phoneticPr fontId="2"/>
  </si>
  <si>
    <t>2024/3/15済伝</t>
    <rPh sb="9" eb="10">
      <t>スミ</t>
    </rPh>
    <rPh sb="10" eb="11">
      <t>デン</t>
    </rPh>
    <phoneticPr fontId="2"/>
  </si>
  <si>
    <t>JOD①</t>
    <phoneticPr fontId="2"/>
  </si>
  <si>
    <t>牧野</t>
    <rPh sb="0" eb="2">
      <t>マキノ</t>
    </rPh>
    <phoneticPr fontId="2"/>
  </si>
  <si>
    <t>夢販</t>
    <rPh sb="0" eb="2">
      <t>ユメハン</t>
    </rPh>
    <phoneticPr fontId="2"/>
  </si>
  <si>
    <t>JOD⑲西濃</t>
    <rPh sb="4" eb="6">
      <t>セイノウ</t>
    </rPh>
    <phoneticPr fontId="2"/>
  </si>
  <si>
    <t>2024/5/7数伝</t>
    <rPh sb="8" eb="9">
      <t>スウ</t>
    </rPh>
    <rPh sb="9" eb="10">
      <t>デン</t>
    </rPh>
    <phoneticPr fontId="2"/>
  </si>
  <si>
    <t>千趣会①</t>
    <rPh sb="0" eb="3">
      <t>センシュカイ</t>
    </rPh>
    <phoneticPr fontId="2"/>
  </si>
  <si>
    <t>不良返品</t>
    <rPh sb="0" eb="4">
      <t>フリョウヘンピン</t>
    </rPh>
    <phoneticPr fontId="2"/>
  </si>
  <si>
    <t>追加2-1</t>
    <rPh sb="0" eb="2">
      <t>ツイカ</t>
    </rPh>
    <phoneticPr fontId="2"/>
  </si>
  <si>
    <t>追加2-2</t>
    <rPh sb="0" eb="2">
      <t>ツイカ</t>
    </rPh>
    <phoneticPr fontId="2"/>
  </si>
  <si>
    <t>2024/6/10数伝</t>
    <rPh sb="9" eb="10">
      <t>スウ</t>
    </rPh>
    <rPh sb="10" eb="11">
      <t>デン</t>
    </rPh>
    <phoneticPr fontId="2"/>
  </si>
  <si>
    <t>JODメルシー0725</t>
    <phoneticPr fontId="2"/>
  </si>
  <si>
    <t>7/25～</t>
    <phoneticPr fontId="2"/>
  </si>
  <si>
    <t>Amazon</t>
    <phoneticPr fontId="2"/>
  </si>
  <si>
    <t>Amazon</t>
    <phoneticPr fontId="2"/>
  </si>
  <si>
    <t>JOD返品</t>
    <rPh sb="3" eb="5">
      <t>ヘンピン</t>
    </rPh>
    <phoneticPr fontId="2"/>
  </si>
  <si>
    <t>2024/7/2数伝</t>
    <rPh sb="8" eb="9">
      <t>スウ</t>
    </rPh>
    <rPh sb="9" eb="10">
      <t>デン</t>
    </rPh>
    <phoneticPr fontId="2"/>
  </si>
  <si>
    <t>追加</t>
    <rPh sb="0" eb="2">
      <t>ツイカ</t>
    </rPh>
    <phoneticPr fontId="2"/>
  </si>
  <si>
    <t>千趣会②</t>
    <rPh sb="0" eb="3">
      <t>センシュカイ</t>
    </rPh>
    <phoneticPr fontId="2"/>
  </si>
  <si>
    <t>JOD㊵西濃</t>
    <rPh sb="4" eb="6">
      <t>セイノウ</t>
    </rPh>
    <phoneticPr fontId="2"/>
  </si>
  <si>
    <t>千趣会③</t>
    <rPh sb="0" eb="3">
      <t>センシュカイ</t>
    </rPh>
    <phoneticPr fontId="2"/>
  </si>
  <si>
    <t>JOD㊶</t>
    <phoneticPr fontId="2"/>
  </si>
  <si>
    <t>JOD㊷</t>
    <phoneticPr fontId="2"/>
  </si>
  <si>
    <t>千趣会④</t>
    <rPh sb="0" eb="3">
      <t>センシュカイ</t>
    </rPh>
    <phoneticPr fontId="2"/>
  </si>
  <si>
    <t>JOD㊸</t>
    <phoneticPr fontId="2"/>
  </si>
  <si>
    <t>JOD㊸西濃</t>
    <rPh sb="4" eb="6">
      <t>セイノウ</t>
    </rPh>
    <phoneticPr fontId="2"/>
  </si>
  <si>
    <t>千趣会⑤</t>
    <rPh sb="0" eb="3">
      <t>センシュカイ</t>
    </rPh>
    <phoneticPr fontId="2"/>
  </si>
  <si>
    <t>追加</t>
    <rPh sb="0" eb="2">
      <t>ツイカ</t>
    </rPh>
    <phoneticPr fontId="2"/>
  </si>
  <si>
    <t>JOD㊹</t>
    <phoneticPr fontId="2"/>
  </si>
  <si>
    <t>JOD㊺</t>
    <phoneticPr fontId="2"/>
  </si>
  <si>
    <t>JOD㊻</t>
    <phoneticPr fontId="2"/>
  </si>
  <si>
    <t>JOD㊼</t>
    <phoneticPr fontId="2"/>
  </si>
  <si>
    <t>Amazon返却</t>
    <rPh sb="6" eb="8">
      <t>ヘンキャク</t>
    </rPh>
    <phoneticPr fontId="2"/>
  </si>
  <si>
    <t>JOD残</t>
    <rPh sb="3" eb="4">
      <t>ザン</t>
    </rPh>
    <phoneticPr fontId="2"/>
  </si>
  <si>
    <t>.</t>
    <phoneticPr fontId="2"/>
  </si>
  <si>
    <t>JOD㊽</t>
    <phoneticPr fontId="2"/>
  </si>
  <si>
    <t>追加</t>
    <rPh sb="0" eb="2">
      <t>ツイカ</t>
    </rPh>
    <phoneticPr fontId="2"/>
  </si>
  <si>
    <t>JOD㊾</t>
    <phoneticPr fontId="2"/>
  </si>
  <si>
    <t>JOD返品</t>
    <rPh sb="3" eb="5">
      <t>ヘンピン</t>
    </rPh>
    <phoneticPr fontId="2"/>
  </si>
  <si>
    <t>電話注文品</t>
    <rPh sb="0" eb="5">
      <t>デンワチュウモンヒン</t>
    </rPh>
    <phoneticPr fontId="2"/>
  </si>
  <si>
    <t>2024/8/7数伝</t>
    <rPh sb="8" eb="10">
      <t>スウデン</t>
    </rPh>
    <phoneticPr fontId="2"/>
  </si>
  <si>
    <t>JOD㊿</t>
    <phoneticPr fontId="2"/>
  </si>
  <si>
    <t>JOD51</t>
    <phoneticPr fontId="2"/>
  </si>
  <si>
    <t>千趣会⑥</t>
    <rPh sb="0" eb="3">
      <t>センシュカイ</t>
    </rPh>
    <phoneticPr fontId="2"/>
  </si>
  <si>
    <t>JOD52</t>
    <phoneticPr fontId="2"/>
  </si>
  <si>
    <t>JOD53</t>
    <phoneticPr fontId="2"/>
  </si>
  <si>
    <t>JOD54</t>
  </si>
  <si>
    <t>JOD55</t>
    <phoneticPr fontId="2"/>
  </si>
  <si>
    <t>JOD56</t>
  </si>
  <si>
    <t>JOD返品</t>
    <rPh sb="3" eb="5">
      <t>ヘンピン</t>
    </rPh>
    <phoneticPr fontId="2"/>
  </si>
  <si>
    <t>JOD57</t>
    <phoneticPr fontId="2"/>
  </si>
  <si>
    <t>JOD58</t>
  </si>
  <si>
    <t>JOD59</t>
    <phoneticPr fontId="2"/>
  </si>
  <si>
    <t>JOD60</t>
  </si>
  <si>
    <t>JOD61</t>
  </si>
  <si>
    <t>JOD62</t>
  </si>
  <si>
    <t>JOD63</t>
    <phoneticPr fontId="2"/>
  </si>
  <si>
    <t>JOD64</t>
  </si>
  <si>
    <t>JOD65</t>
  </si>
  <si>
    <t>千趣会返品</t>
    <rPh sb="0" eb="3">
      <t>センシュカイ</t>
    </rPh>
    <rPh sb="3" eb="5">
      <t>ヘンピン</t>
    </rPh>
    <phoneticPr fontId="2"/>
  </si>
  <si>
    <t>JOD66</t>
    <phoneticPr fontId="2"/>
  </si>
  <si>
    <t>JOD67</t>
  </si>
  <si>
    <t>JOD68</t>
  </si>
  <si>
    <t>２０２４年～</t>
    <rPh sb="4" eb="5">
      <t>ネン</t>
    </rPh>
    <phoneticPr fontId="2"/>
  </si>
  <si>
    <t>２０２５年～</t>
    <rPh sb="4" eb="5">
      <t>ネン</t>
    </rPh>
    <phoneticPr fontId="2"/>
  </si>
  <si>
    <t>2024年</t>
    <rPh sb="4" eb="5">
      <t>ネン</t>
    </rPh>
    <phoneticPr fontId="2"/>
  </si>
  <si>
    <t>2023年</t>
    <rPh sb="4" eb="5">
      <t>ネン</t>
    </rPh>
    <phoneticPr fontId="2"/>
  </si>
  <si>
    <t>追加 2-1</t>
    <rPh sb="0" eb="2">
      <t>ツイカ</t>
    </rPh>
    <phoneticPr fontId="2"/>
  </si>
  <si>
    <t>追加 2-2</t>
    <rPh sb="0" eb="2">
      <t>ツイカ</t>
    </rPh>
    <phoneticPr fontId="2"/>
  </si>
  <si>
    <t>JOD特別版0416</t>
    <rPh sb="3" eb="6">
      <t>トクベツバン</t>
    </rPh>
    <phoneticPr fontId="2"/>
  </si>
  <si>
    <t>4/15～</t>
    <phoneticPr fontId="2"/>
  </si>
  <si>
    <t>2025/4/1数伝</t>
    <rPh sb="8" eb="10">
      <t>スウデン</t>
    </rPh>
    <phoneticPr fontId="2"/>
  </si>
  <si>
    <t>JOD特別版0625</t>
    <rPh sb="3" eb="6">
      <t>トクベツバン</t>
    </rPh>
    <phoneticPr fontId="2"/>
  </si>
  <si>
    <t>2025/6/2数伝</t>
    <rPh sb="8" eb="9">
      <t>スウ</t>
    </rPh>
    <rPh sb="9" eb="10">
      <t>デン</t>
    </rPh>
    <phoneticPr fontId="2"/>
  </si>
  <si>
    <t>JOD返品</t>
    <rPh sb="3" eb="5">
      <t>ヘンピン</t>
    </rPh>
    <phoneticPr fontId="2"/>
  </si>
  <si>
    <t>西夢取り置き</t>
    <rPh sb="0" eb="1">
      <t>ニシ</t>
    </rPh>
    <rPh sb="1" eb="2">
      <t>ユメ</t>
    </rPh>
    <rPh sb="2" eb="3">
      <t>ト</t>
    </rPh>
    <rPh sb="4" eb="5">
      <t>オ</t>
    </rPh>
    <phoneticPr fontId="2"/>
  </si>
  <si>
    <t>8/25～</t>
    <phoneticPr fontId="2"/>
  </si>
  <si>
    <t>JOD特別版0826</t>
    <rPh sb="3" eb="6">
      <t>トクベツバン</t>
    </rPh>
    <phoneticPr fontId="2"/>
  </si>
  <si>
    <t>JOD特別版0913</t>
    <rPh sb="3" eb="6">
      <t>トクベツバン</t>
    </rPh>
    <phoneticPr fontId="2"/>
  </si>
  <si>
    <t>9/12～</t>
    <phoneticPr fontId="2"/>
  </si>
  <si>
    <t>西夢</t>
    <rPh sb="0" eb="2">
      <t>ニシユメ</t>
    </rPh>
    <phoneticPr fontId="2"/>
  </si>
  <si>
    <t>JOD返品</t>
    <rPh sb="3" eb="5">
      <t>ヘンピン</t>
    </rPh>
    <phoneticPr fontId="2"/>
  </si>
  <si>
    <t>←ここまで式確認2025/8/28</t>
    <rPh sb="5" eb="8">
      <t>シキカクニン</t>
    </rPh>
    <phoneticPr fontId="2"/>
  </si>
  <si>
    <t>JOD返品</t>
    <rPh sb="3" eb="5">
      <t>ヘンピン</t>
    </rPh>
    <phoneticPr fontId="2"/>
  </si>
  <si>
    <t>夢販</t>
    <rPh sb="0" eb="2">
      <t>ユメハン</t>
    </rPh>
    <phoneticPr fontId="2"/>
  </si>
  <si>
    <t>JOD花粉＆UV0307</t>
    <rPh sb="3" eb="5">
      <t>カフン</t>
    </rPh>
    <phoneticPr fontId="2"/>
  </si>
  <si>
    <t>3/3～</t>
    <phoneticPr fontId="2"/>
  </si>
  <si>
    <t>JODアクセス7016</t>
    <phoneticPr fontId="2"/>
  </si>
  <si>
    <t>4/25～</t>
    <phoneticPr fontId="2"/>
  </si>
  <si>
    <t>→ここまで在庫確認済2/27</t>
    <rPh sb="0" eb="10">
      <t>ヤジルシココマデザイコカクニンスミ</t>
    </rPh>
    <phoneticPr fontId="2"/>
  </si>
  <si>
    <t>JOD</t>
    <phoneticPr fontId="2"/>
  </si>
  <si>
    <t>2026/3/11数伝</t>
    <rPh sb="9" eb="10">
      <t>スウ</t>
    </rPh>
    <rPh sb="10" eb="11">
      <t>デン</t>
    </rPh>
    <phoneticPr fontId="2"/>
  </si>
  <si>
    <t>JOD</t>
    <phoneticPr fontId="2"/>
  </si>
  <si>
    <t>ゆめはん</t>
    <phoneticPr fontId="2"/>
  </si>
  <si>
    <t>ネット</t>
    <phoneticPr fontId="2"/>
  </si>
  <si>
    <t>夢販</t>
    <rPh sb="0" eb="2">
      <t>y</t>
    </rPh>
    <phoneticPr fontId="2"/>
  </si>
  <si>
    <t>JODメルシー0603</t>
    <phoneticPr fontId="2"/>
  </si>
  <si>
    <t>6/3～</t>
    <phoneticPr fontId="2"/>
  </si>
  <si>
    <t>JOD</t>
    <phoneticPr fontId="2"/>
  </si>
  <si>
    <t>JOD靴下特集7480(裏)</t>
    <rPh sb="3" eb="5">
      <t>クツシタ</t>
    </rPh>
    <rPh sb="5" eb="7">
      <t>トクシュウ</t>
    </rPh>
    <rPh sb="12" eb="13">
      <t>ウラ</t>
    </rPh>
    <phoneticPr fontId="2"/>
  </si>
  <si>
    <t>6/9～</t>
    <phoneticPr fontId="2"/>
  </si>
  <si>
    <t>JODアクセス7018</t>
    <phoneticPr fontId="2"/>
  </si>
  <si>
    <t>7/11～</t>
    <phoneticPr fontId="2"/>
  </si>
  <si>
    <t>西夢</t>
    <rPh sb="0" eb="2">
      <t>ニシユメ</t>
    </rPh>
    <phoneticPr fontId="2"/>
  </si>
  <si>
    <t>西夢取り置き</t>
    <rPh sb="0" eb="2">
      <t>ニシユメ</t>
    </rPh>
    <rPh sb="2" eb="3">
      <t>ト</t>
    </rPh>
    <rPh sb="4" eb="5">
      <t>オ</t>
    </rPh>
    <phoneticPr fontId="2"/>
  </si>
  <si>
    <t>西夢</t>
    <rPh sb="0" eb="2">
      <t>ニシユメ</t>
    </rPh>
    <phoneticPr fontId="2"/>
  </si>
  <si>
    <t>JOD</t>
  </si>
  <si>
    <t>ゆめはん</t>
    <phoneticPr fontId="2"/>
  </si>
  <si>
    <t>ネット</t>
    <phoneticPr fontId="2"/>
  </si>
  <si>
    <t>JOD</t>
    <phoneticPr fontId="2"/>
  </si>
  <si>
    <t>ネット返品交換</t>
    <rPh sb="3" eb="7">
      <t>ヘンピンコウカン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</si>
</sst>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b/>
      <sz val="28"/>
      <name val="ＭＳ Ｐゴシック"/>
      <family val="3"/>
      <charset val="128"/>
    </font>
    <font>
      <sz val="2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/>
    <xf numFmtId="56" fontId="0" fillId="0" borderId="7" xfId="0" applyNumberFormat="1" applyBorder="1" applyAlignment="1">
      <alignment horizontal="center"/>
    </xf>
    <xf numFmtId="0" fontId="0" fillId="0" borderId="8" xfId="0" applyBorder="1"/>
    <xf numFmtId="0" fontId="1" fillId="0" borderId="8" xfId="0" applyFont="1" applyBorder="1"/>
    <xf numFmtId="56" fontId="0" fillId="0" borderId="9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3" xfId="0" applyBorder="1"/>
    <xf numFmtId="0" fontId="1" fillId="0" borderId="18" xfId="0" applyFont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6" xfId="0" applyBorder="1"/>
    <xf numFmtId="0" fontId="1" fillId="0" borderId="22" xfId="0" applyFont="1" applyBorder="1"/>
    <xf numFmtId="0" fontId="0" fillId="0" borderId="24" xfId="0" applyBorder="1"/>
    <xf numFmtId="0" fontId="3" fillId="0" borderId="25" xfId="0" applyFont="1" applyBorder="1"/>
    <xf numFmtId="0" fontId="0" fillId="0" borderId="26" xfId="0" applyBorder="1"/>
    <xf numFmtId="0" fontId="0" fillId="0" borderId="27" xfId="0" applyBorder="1"/>
    <xf numFmtId="0" fontId="1" fillId="0" borderId="26" xfId="0" applyFont="1" applyBorder="1"/>
    <xf numFmtId="56" fontId="0" fillId="0" borderId="28" xfId="0" applyNumberFormat="1" applyBorder="1" applyAlignment="1">
      <alignment horizontal="center"/>
    </xf>
    <xf numFmtId="0" fontId="0" fillId="0" borderId="0" xfId="0" applyAlignment="1">
      <alignment horizontal="left"/>
    </xf>
    <xf numFmtId="56" fontId="0" fillId="0" borderId="0" xfId="0" applyNumberFormat="1" applyAlignment="1">
      <alignment horizontal="left"/>
    </xf>
    <xf numFmtId="56" fontId="1" fillId="0" borderId="0" xfId="0" applyNumberFormat="1" applyFont="1" applyAlignment="1">
      <alignment horizontal="left"/>
    </xf>
    <xf numFmtId="0" fontId="0" fillId="4" borderId="28" xfId="0" applyFill="1" applyBorder="1"/>
    <xf numFmtId="0" fontId="0" fillId="4" borderId="36" xfId="0" applyFill="1" applyBorder="1"/>
    <xf numFmtId="0" fontId="0" fillId="4" borderId="3" xfId="0" applyFill="1" applyBorder="1"/>
    <xf numFmtId="0" fontId="3" fillId="4" borderId="28" xfId="0" applyFont="1" applyFill="1" applyBorder="1"/>
    <xf numFmtId="0" fontId="3" fillId="4" borderId="3" xfId="0" applyFont="1" applyFill="1" applyBorder="1"/>
    <xf numFmtId="0" fontId="3" fillId="0" borderId="3" xfId="0" applyFont="1" applyBorder="1" applyAlignment="1">
      <alignment horizontal="center"/>
    </xf>
    <xf numFmtId="0" fontId="3" fillId="0" borderId="16" xfId="0" applyFont="1" applyBorder="1"/>
    <xf numFmtId="0" fontId="3" fillId="0" borderId="13" xfId="0" applyFont="1" applyBorder="1"/>
    <xf numFmtId="56" fontId="3" fillId="0" borderId="9" xfId="0" applyNumberFormat="1" applyFont="1" applyBorder="1" applyAlignment="1">
      <alignment horizontal="center"/>
    </xf>
    <xf numFmtId="0" fontId="3" fillId="0" borderId="21" xfId="0" applyFont="1" applyBorder="1"/>
    <xf numFmtId="0" fontId="3" fillId="0" borderId="17" xfId="0" applyFont="1" applyBorder="1"/>
    <xf numFmtId="0" fontId="0" fillId="0" borderId="2" xfId="0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9" xfId="0" applyFill="1" applyBorder="1"/>
    <xf numFmtId="0" fontId="0" fillId="5" borderId="7" xfId="0" applyFill="1" applyBorder="1"/>
    <xf numFmtId="0" fontId="0" fillId="5" borderId="10" xfId="0" applyFill="1" applyBorder="1"/>
    <xf numFmtId="0" fontId="3" fillId="5" borderId="2" xfId="0" applyFont="1" applyFill="1" applyBorder="1"/>
    <xf numFmtId="0" fontId="0" fillId="5" borderId="8" xfId="0" applyFill="1" applyBorder="1"/>
    <xf numFmtId="0" fontId="0" fillId="5" borderId="5" xfId="0" applyFill="1" applyBorder="1"/>
    <xf numFmtId="0" fontId="0" fillId="5" borderId="3" xfId="0" applyFill="1" applyBorder="1"/>
    <xf numFmtId="0" fontId="3" fillId="5" borderId="1" xfId="0" applyFont="1" applyFill="1" applyBorder="1"/>
    <xf numFmtId="0" fontId="0" fillId="5" borderId="29" xfId="0" applyFill="1" applyBorder="1" applyAlignment="1">
      <alignment horizontal="center"/>
    </xf>
    <xf numFmtId="0" fontId="0" fillId="5" borderId="30" xfId="0" applyFill="1" applyBorder="1"/>
    <xf numFmtId="0" fontId="0" fillId="5" borderId="31" xfId="0" applyFill="1" applyBorder="1"/>
    <xf numFmtId="0" fontId="0" fillId="5" borderId="32" xfId="0" applyFill="1" applyBorder="1"/>
    <xf numFmtId="0" fontId="3" fillId="5" borderId="33" xfId="0" applyFont="1" applyFill="1" applyBorder="1"/>
    <xf numFmtId="0" fontId="0" fillId="5" borderId="34" xfId="0" applyFill="1" applyBorder="1"/>
    <xf numFmtId="0" fontId="0" fillId="5" borderId="0" xfId="0" applyFill="1"/>
    <xf numFmtId="0" fontId="0" fillId="5" borderId="14" xfId="0" applyFill="1" applyBorder="1"/>
    <xf numFmtId="0" fontId="3" fillId="5" borderId="35" xfId="0" applyFont="1" applyFill="1" applyBorder="1"/>
    <xf numFmtId="0" fontId="3" fillId="5" borderId="9" xfId="0" applyFont="1" applyFill="1" applyBorder="1"/>
    <xf numFmtId="0" fontId="3" fillId="5" borderId="30" xfId="0" applyFont="1" applyFill="1" applyBorder="1"/>
    <xf numFmtId="0" fontId="0" fillId="0" borderId="13" xfId="0" applyBorder="1" applyAlignment="1">
      <alignment horizontal="center"/>
    </xf>
    <xf numFmtId="0" fontId="4" fillId="6" borderId="0" xfId="0" applyFont="1" applyFill="1"/>
    <xf numFmtId="0" fontId="0" fillId="6" borderId="0" xfId="0" applyFill="1"/>
    <xf numFmtId="0" fontId="5" fillId="6" borderId="0" xfId="0" applyFont="1" applyFill="1"/>
    <xf numFmtId="0" fontId="0" fillId="5" borderId="28" xfId="0" applyFill="1" applyBorder="1"/>
    <xf numFmtId="0" fontId="0" fillId="5" borderId="37" xfId="0" applyFill="1" applyBorder="1"/>
    <xf numFmtId="0" fontId="0" fillId="0" borderId="16" xfId="0" applyBorder="1" applyAlignment="1">
      <alignment horizontal="center"/>
    </xf>
    <xf numFmtId="0" fontId="0" fillId="5" borderId="13" xfId="0" applyFill="1" applyBorder="1" applyAlignment="1">
      <alignment horizontal="center"/>
    </xf>
    <xf numFmtId="56" fontId="0" fillId="0" borderId="0" xfId="0" applyNumberFormat="1"/>
    <xf numFmtId="0" fontId="0" fillId="0" borderId="36" xfId="0" applyBorder="1" applyAlignment="1">
      <alignment horizontal="center"/>
    </xf>
    <xf numFmtId="0" fontId="0" fillId="5" borderId="2" xfId="0" applyFill="1" applyBorder="1"/>
    <xf numFmtId="0" fontId="0" fillId="5" borderId="33" xfId="0" applyFill="1" applyBorder="1"/>
    <xf numFmtId="0" fontId="0" fillId="4" borderId="7" xfId="0" applyFill="1" applyBorder="1"/>
    <xf numFmtId="0" fontId="3" fillId="5" borderId="3" xfId="0" applyFont="1" applyFill="1" applyBorder="1"/>
    <xf numFmtId="0" fontId="3" fillId="5" borderId="14" xfId="0" applyFont="1" applyFill="1" applyBorder="1"/>
    <xf numFmtId="0" fontId="0" fillId="5" borderId="6" xfId="0" applyFill="1" applyBorder="1"/>
    <xf numFmtId="0" fontId="0" fillId="5" borderId="38" xfId="0" applyFill="1" applyBorder="1"/>
    <xf numFmtId="176" fontId="0" fillId="2" borderId="0" xfId="0" applyNumberFormat="1" applyFill="1"/>
    <xf numFmtId="176" fontId="9" fillId="0" borderId="0" xfId="0" applyNumberFormat="1" applyFont="1"/>
    <xf numFmtId="176" fontId="3" fillId="0" borderId="0" xfId="0" applyNumberFormat="1" applyFont="1"/>
    <xf numFmtId="0" fontId="10" fillId="0" borderId="7" xfId="0" applyFont="1" applyBorder="1" applyAlignment="1">
      <alignment horizontal="center"/>
    </xf>
    <xf numFmtId="0" fontId="10" fillId="0" borderId="22" xfId="0" applyFont="1" applyBorder="1"/>
    <xf numFmtId="0" fontId="10" fillId="0" borderId="18" xfId="0" applyFont="1" applyBorder="1"/>
    <xf numFmtId="0" fontId="10" fillId="5" borderId="7" xfId="0" applyFont="1" applyFill="1" applyBorder="1"/>
    <xf numFmtId="0" fontId="10" fillId="0" borderId="26" xfId="0" applyFont="1" applyBorder="1"/>
    <xf numFmtId="0" fontId="10" fillId="0" borderId="8" xfId="0" applyFont="1" applyBorder="1"/>
    <xf numFmtId="0" fontId="10" fillId="5" borderId="31" xfId="0" applyFont="1" applyFill="1" applyBorder="1"/>
    <xf numFmtId="0" fontId="10" fillId="4" borderId="28" xfId="0" applyFont="1" applyFill="1" applyBorder="1"/>
    <xf numFmtId="56" fontId="10" fillId="0" borderId="0" xfId="0" applyNumberFormat="1" applyFont="1"/>
    <xf numFmtId="56" fontId="10" fillId="0" borderId="7" xfId="0" applyNumberFormat="1" applyFont="1" applyBorder="1" applyAlignment="1">
      <alignment horizontal="center"/>
    </xf>
    <xf numFmtId="0" fontId="10" fillId="5" borderId="8" xfId="0" applyFont="1" applyFill="1" applyBorder="1"/>
    <xf numFmtId="0" fontId="10" fillId="5" borderId="34" xfId="0" applyFont="1" applyFill="1" applyBorder="1"/>
    <xf numFmtId="56" fontId="3" fillId="0" borderId="7" xfId="0" applyNumberFormat="1" applyFont="1" applyBorder="1" applyAlignment="1">
      <alignment horizontal="center"/>
    </xf>
    <xf numFmtId="0" fontId="3" fillId="0" borderId="22" xfId="0" applyFont="1" applyBorder="1"/>
    <xf numFmtId="0" fontId="3" fillId="0" borderId="18" xfId="0" applyFont="1" applyBorder="1"/>
    <xf numFmtId="0" fontId="3" fillId="5" borderId="8" xfId="0" applyFont="1" applyFill="1" applyBorder="1"/>
    <xf numFmtId="0" fontId="3" fillId="0" borderId="26" xfId="0" applyFont="1" applyBorder="1"/>
    <xf numFmtId="0" fontId="3" fillId="0" borderId="8" xfId="0" applyFont="1" applyBorder="1"/>
    <xf numFmtId="0" fontId="3" fillId="5" borderId="34" xfId="0" applyFont="1" applyFill="1" applyBorder="1"/>
    <xf numFmtId="0" fontId="3" fillId="0" borderId="0" xfId="0" applyFont="1"/>
    <xf numFmtId="0" fontId="9" fillId="0" borderId="0" xfId="0" applyFont="1"/>
    <xf numFmtId="0" fontId="10" fillId="0" borderId="0" xfId="0" applyFont="1"/>
    <xf numFmtId="56" fontId="0" fillId="0" borderId="0" xfId="0" applyNumberFormat="1" applyAlignment="1">
      <alignment horizontal="right"/>
    </xf>
    <xf numFmtId="0" fontId="6" fillId="3" borderId="1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8" fillId="7" borderId="0" xfId="0" applyFont="1" applyFill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7" fillId="7" borderId="0" xfId="0" applyFont="1" applyFill="1" applyAlignment="1">
      <alignment horizontal="center"/>
    </xf>
    <xf numFmtId="56" fontId="3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8"/>
  <sheetViews>
    <sheetView tabSelected="1" topLeftCell="A888" zoomScaleNormal="100" zoomScaleSheetLayoutView="95" workbookViewId="0">
      <selection activeCell="T902" sqref="T901:T902"/>
    </sheetView>
  </sheetViews>
  <sheetFormatPr defaultRowHeight="13.5" x14ac:dyDescent="0.15"/>
  <cols>
    <col min="2" max="2" width="22.75" style="1" customWidth="1"/>
    <col min="3" max="9" width="7" customWidth="1"/>
    <col min="10" max="10" width="9.25" style="35" bestFit="1" customWidth="1"/>
    <col min="11" max="11" width="4.875" customWidth="1"/>
    <col min="12" max="12" width="19.5" customWidth="1"/>
    <col min="20" max="20" width="9.25" bestFit="1" customWidth="1"/>
  </cols>
  <sheetData>
    <row r="1" spans="2:20" ht="18.75" x14ac:dyDescent="0.2">
      <c r="B1" s="16" t="s">
        <v>21</v>
      </c>
      <c r="C1" s="15"/>
      <c r="D1" s="15"/>
      <c r="E1" s="15"/>
      <c r="F1" s="15"/>
      <c r="G1" s="15"/>
      <c r="H1" s="15"/>
      <c r="I1" s="15"/>
      <c r="L1" s="71" t="s">
        <v>22</v>
      </c>
      <c r="M1" s="72"/>
      <c r="N1" s="72"/>
      <c r="O1" s="72"/>
      <c r="P1" s="72"/>
      <c r="Q1" s="72"/>
      <c r="R1" s="72"/>
      <c r="S1" s="72"/>
      <c r="T1" s="35"/>
    </row>
    <row r="2" spans="2:20" ht="18" thickBot="1" x14ac:dyDescent="0.25">
      <c r="B2" s="17" t="s">
        <v>24</v>
      </c>
      <c r="C2" s="15"/>
      <c r="D2" s="15"/>
      <c r="E2" s="15"/>
      <c r="F2" s="15"/>
      <c r="G2" s="15"/>
      <c r="H2" s="15"/>
      <c r="I2" s="15"/>
      <c r="L2" s="73" t="s">
        <v>23</v>
      </c>
      <c r="M2" s="72"/>
      <c r="N2" s="72"/>
      <c r="O2" s="72"/>
      <c r="P2" s="72"/>
      <c r="Q2" s="72"/>
      <c r="R2" s="72"/>
      <c r="S2" s="72"/>
      <c r="T2" s="35"/>
    </row>
    <row r="3" spans="2:20" ht="14.25" thickBot="1" x14ac:dyDescent="0.2">
      <c r="B3" s="14"/>
      <c r="C3" s="113" t="s">
        <v>12</v>
      </c>
      <c r="D3" s="114"/>
      <c r="E3" s="115"/>
      <c r="F3" s="116" t="s">
        <v>11</v>
      </c>
      <c r="G3" s="117"/>
      <c r="H3" s="117"/>
      <c r="I3" s="120" t="s">
        <v>19</v>
      </c>
      <c r="L3" s="14"/>
      <c r="M3" s="113" t="s">
        <v>12</v>
      </c>
      <c r="N3" s="114"/>
      <c r="O3" s="115"/>
      <c r="P3" s="116" t="s">
        <v>11</v>
      </c>
      <c r="Q3" s="117"/>
      <c r="R3" s="117"/>
      <c r="S3" s="120" t="s">
        <v>19</v>
      </c>
      <c r="T3" s="35"/>
    </row>
    <row r="4" spans="2:20" s="1" customFormat="1" ht="14.25" thickBot="1" x14ac:dyDescent="0.2">
      <c r="B4" s="13"/>
      <c r="C4" s="23" t="s">
        <v>6</v>
      </c>
      <c r="D4" s="12" t="s">
        <v>5</v>
      </c>
      <c r="E4" s="50" t="s">
        <v>4</v>
      </c>
      <c r="F4" s="23" t="s">
        <v>6</v>
      </c>
      <c r="G4" s="12" t="s">
        <v>5</v>
      </c>
      <c r="H4" s="59" t="s">
        <v>4</v>
      </c>
      <c r="I4" s="121"/>
      <c r="J4" s="35"/>
      <c r="L4" s="4"/>
      <c r="M4" s="76" t="s">
        <v>6</v>
      </c>
      <c r="N4" s="70" t="s">
        <v>5</v>
      </c>
      <c r="O4" s="77" t="s">
        <v>4</v>
      </c>
      <c r="P4" s="76" t="s">
        <v>6</v>
      </c>
      <c r="Q4" s="70" t="s">
        <v>5</v>
      </c>
      <c r="R4" s="77" t="s">
        <v>4</v>
      </c>
      <c r="S4" s="121"/>
      <c r="T4" s="35"/>
    </row>
    <row r="5" spans="2:20" ht="14.25" customHeight="1" x14ac:dyDescent="0.15">
      <c r="B5" s="9" t="s">
        <v>10</v>
      </c>
      <c r="C5" s="24">
        <v>3</v>
      </c>
      <c r="D5" s="18">
        <v>3</v>
      </c>
      <c r="E5" s="51">
        <f t="shared" ref="E5:E38" si="0">SUM(C5:D5)</f>
        <v>6</v>
      </c>
      <c r="F5" s="24">
        <v>0</v>
      </c>
      <c r="G5" s="18">
        <v>0</v>
      </c>
      <c r="H5" s="60">
        <f t="shared" ref="H5:H38" si="1">SUM(F5:G5)</f>
        <v>0</v>
      </c>
      <c r="I5" s="38">
        <f>E5+H5</f>
        <v>6</v>
      </c>
      <c r="J5" s="36" t="s">
        <v>9</v>
      </c>
      <c r="L5" s="34" t="s">
        <v>10</v>
      </c>
      <c r="M5" s="31"/>
      <c r="N5" s="7"/>
      <c r="O5" s="74">
        <f t="shared" ref="O5:O7" si="2">SUM(M5:N5)</f>
        <v>0</v>
      </c>
      <c r="P5" s="31"/>
      <c r="Q5" s="7"/>
      <c r="R5" s="75">
        <f t="shared" ref="R5:R7" si="3">SUM(P5:Q5)</f>
        <v>0</v>
      </c>
      <c r="S5" s="38">
        <f t="shared" ref="S5:S7" si="4">O5+R5</f>
        <v>0</v>
      </c>
      <c r="T5" s="36"/>
    </row>
    <row r="6" spans="2:20" x14ac:dyDescent="0.15">
      <c r="B6" s="11" t="s">
        <v>3</v>
      </c>
      <c r="C6" s="25">
        <v>10</v>
      </c>
      <c r="D6" s="19">
        <v>10</v>
      </c>
      <c r="E6" s="52">
        <f t="shared" si="0"/>
        <v>20</v>
      </c>
      <c r="F6" s="31">
        <v>10</v>
      </c>
      <c r="G6" s="7">
        <v>10</v>
      </c>
      <c r="H6" s="61">
        <f t="shared" si="1"/>
        <v>20</v>
      </c>
      <c r="I6" s="38">
        <f t="shared" ref="I6:I38" si="5">E6+H6</f>
        <v>40</v>
      </c>
      <c r="J6" s="36" t="s">
        <v>13</v>
      </c>
      <c r="L6" s="11" t="s">
        <v>3</v>
      </c>
      <c r="M6" s="25"/>
      <c r="N6" s="19"/>
      <c r="O6" s="52">
        <f t="shared" si="2"/>
        <v>0</v>
      </c>
      <c r="P6" s="31"/>
      <c r="Q6" s="7"/>
      <c r="R6" s="61">
        <f t="shared" si="3"/>
        <v>0</v>
      </c>
      <c r="S6" s="38">
        <f t="shared" si="4"/>
        <v>0</v>
      </c>
      <c r="T6" s="36"/>
    </row>
    <row r="7" spans="2:20" x14ac:dyDescent="0.15">
      <c r="B7" s="11" t="s">
        <v>3</v>
      </c>
      <c r="C7" s="25">
        <v>15</v>
      </c>
      <c r="D7" s="19">
        <v>20</v>
      </c>
      <c r="E7" s="52">
        <f t="shared" si="0"/>
        <v>35</v>
      </c>
      <c r="F7" s="31">
        <v>15</v>
      </c>
      <c r="G7" s="7">
        <v>20</v>
      </c>
      <c r="H7" s="61">
        <f t="shared" si="1"/>
        <v>35</v>
      </c>
      <c r="I7" s="38">
        <f t="shared" si="5"/>
        <v>70</v>
      </c>
      <c r="J7" s="36" t="s">
        <v>14</v>
      </c>
      <c r="L7" s="11" t="s">
        <v>3</v>
      </c>
      <c r="M7" s="25"/>
      <c r="N7" s="19"/>
      <c r="O7" s="52">
        <f t="shared" si="2"/>
        <v>0</v>
      </c>
      <c r="P7" s="31"/>
      <c r="Q7" s="7"/>
      <c r="R7" s="61">
        <f t="shared" si="3"/>
        <v>0</v>
      </c>
      <c r="S7" s="38">
        <f t="shared" si="4"/>
        <v>0</v>
      </c>
      <c r="T7" s="36"/>
    </row>
    <row r="8" spans="2:20" x14ac:dyDescent="0.15">
      <c r="B8" s="11" t="s">
        <v>3</v>
      </c>
      <c r="C8" s="25"/>
      <c r="D8" s="19"/>
      <c r="E8" s="52">
        <f t="shared" si="0"/>
        <v>0</v>
      </c>
      <c r="F8" s="31"/>
      <c r="G8" s="7"/>
      <c r="H8" s="61">
        <f t="shared" si="1"/>
        <v>0</v>
      </c>
      <c r="I8" s="38">
        <f t="shared" si="5"/>
        <v>0</v>
      </c>
      <c r="J8" s="36"/>
      <c r="L8" s="11" t="s">
        <v>3</v>
      </c>
      <c r="M8" s="25"/>
      <c r="N8" s="19"/>
      <c r="O8" s="52">
        <f t="shared" ref="O8:O38" si="6">SUM(M8:N8)</f>
        <v>0</v>
      </c>
      <c r="P8" s="31"/>
      <c r="Q8" s="7"/>
      <c r="R8" s="61">
        <f t="shared" ref="R8:R38" si="7">SUM(P8:Q8)</f>
        <v>0</v>
      </c>
      <c r="S8" s="38">
        <f t="shared" ref="S8:S38" si="8">O8+R8</f>
        <v>0</v>
      </c>
      <c r="T8" s="36"/>
    </row>
    <row r="9" spans="2:20" x14ac:dyDescent="0.15">
      <c r="B9" s="11" t="s">
        <v>3</v>
      </c>
      <c r="C9" s="25"/>
      <c r="D9" s="19"/>
      <c r="E9" s="52">
        <f t="shared" si="0"/>
        <v>0</v>
      </c>
      <c r="F9" s="31"/>
      <c r="G9" s="7"/>
      <c r="H9" s="61">
        <f t="shared" si="1"/>
        <v>0</v>
      </c>
      <c r="I9" s="38">
        <f t="shared" si="5"/>
        <v>0</v>
      </c>
      <c r="J9" s="36"/>
      <c r="L9" s="11" t="s">
        <v>3</v>
      </c>
      <c r="M9" s="25"/>
      <c r="N9" s="19"/>
      <c r="O9" s="52">
        <f t="shared" si="6"/>
        <v>0</v>
      </c>
      <c r="P9" s="31"/>
      <c r="Q9" s="7"/>
      <c r="R9" s="61">
        <f t="shared" si="7"/>
        <v>0</v>
      </c>
      <c r="S9" s="38">
        <f t="shared" si="8"/>
        <v>0</v>
      </c>
      <c r="T9" s="36"/>
    </row>
    <row r="10" spans="2:20" ht="14.25" thickBot="1" x14ac:dyDescent="0.2">
      <c r="B10" s="10" t="s">
        <v>3</v>
      </c>
      <c r="C10" s="26"/>
      <c r="D10" s="20"/>
      <c r="E10" s="53">
        <f t="shared" si="0"/>
        <v>0</v>
      </c>
      <c r="F10" s="32"/>
      <c r="G10" s="5"/>
      <c r="H10" s="62">
        <f t="shared" si="1"/>
        <v>0</v>
      </c>
      <c r="I10" s="39">
        <f t="shared" si="5"/>
        <v>0</v>
      </c>
      <c r="J10" s="36"/>
      <c r="L10" s="10" t="s">
        <v>3</v>
      </c>
      <c r="M10" s="26"/>
      <c r="N10" s="20"/>
      <c r="O10" s="53">
        <f t="shared" si="6"/>
        <v>0</v>
      </c>
      <c r="P10" s="32"/>
      <c r="Q10" s="5"/>
      <c r="R10" s="62">
        <f t="shared" si="7"/>
        <v>0</v>
      </c>
      <c r="S10" s="39">
        <f t="shared" si="8"/>
        <v>0</v>
      </c>
      <c r="T10" s="36"/>
    </row>
    <row r="11" spans="2:20" ht="14.25" thickBot="1" x14ac:dyDescent="0.2">
      <c r="B11" s="43" t="s">
        <v>2</v>
      </c>
      <c r="C11" s="44">
        <f>SUM(C5:C10)</f>
        <v>28</v>
      </c>
      <c r="D11" s="45">
        <f>SUM(D5:D10)</f>
        <v>33</v>
      </c>
      <c r="E11" s="54">
        <f t="shared" si="0"/>
        <v>61</v>
      </c>
      <c r="F11" s="44">
        <f>SUM(F5:F10)</f>
        <v>25</v>
      </c>
      <c r="G11" s="45">
        <f>SUM(G5:G10)</f>
        <v>30</v>
      </c>
      <c r="H11" s="63">
        <f t="shared" si="1"/>
        <v>55</v>
      </c>
      <c r="I11" s="42">
        <f t="shared" si="5"/>
        <v>116</v>
      </c>
      <c r="L11" s="43" t="s">
        <v>2</v>
      </c>
      <c r="M11" s="44">
        <f>SUM(M5:M10)</f>
        <v>0</v>
      </c>
      <c r="N11" s="45">
        <f>SUM(N5:N10)</f>
        <v>0</v>
      </c>
      <c r="O11" s="54">
        <f t="shared" si="6"/>
        <v>0</v>
      </c>
      <c r="P11" s="44">
        <f>SUM(P5:P10)</f>
        <v>0</v>
      </c>
      <c r="Q11" s="45">
        <f>SUM(Q5:Q10)</f>
        <v>0</v>
      </c>
      <c r="R11" s="63">
        <f t="shared" si="7"/>
        <v>0</v>
      </c>
      <c r="S11" s="42">
        <f t="shared" si="8"/>
        <v>0</v>
      </c>
      <c r="T11" s="35"/>
    </row>
    <row r="12" spans="2:20" x14ac:dyDescent="0.15">
      <c r="B12" s="9" t="s">
        <v>8</v>
      </c>
      <c r="C12" s="24">
        <v>1</v>
      </c>
      <c r="D12" s="18"/>
      <c r="E12" s="55">
        <f t="shared" si="0"/>
        <v>1</v>
      </c>
      <c r="F12" s="31"/>
      <c r="G12" s="7"/>
      <c r="H12" s="64">
        <f t="shared" si="1"/>
        <v>0</v>
      </c>
      <c r="I12" s="38">
        <f t="shared" si="5"/>
        <v>1</v>
      </c>
      <c r="J12" s="36">
        <v>45021</v>
      </c>
      <c r="L12" s="9"/>
      <c r="M12" s="24"/>
      <c r="N12" s="18"/>
      <c r="O12" s="55">
        <f t="shared" si="6"/>
        <v>0</v>
      </c>
      <c r="P12" s="31"/>
      <c r="Q12" s="7"/>
      <c r="R12" s="64">
        <f t="shared" si="7"/>
        <v>0</v>
      </c>
      <c r="S12" s="38">
        <f t="shared" si="8"/>
        <v>0</v>
      </c>
      <c r="T12" s="36"/>
    </row>
    <row r="13" spans="2:20" x14ac:dyDescent="0.15">
      <c r="B13" s="6" t="s">
        <v>7</v>
      </c>
      <c r="C13" s="25"/>
      <c r="D13" s="19">
        <v>1</v>
      </c>
      <c r="E13" s="55">
        <f t="shared" si="0"/>
        <v>1</v>
      </c>
      <c r="F13" s="31"/>
      <c r="G13" s="7"/>
      <c r="H13" s="64">
        <f t="shared" si="1"/>
        <v>0</v>
      </c>
      <c r="I13" s="38">
        <f t="shared" si="5"/>
        <v>1</v>
      </c>
      <c r="J13" s="36">
        <v>45026</v>
      </c>
      <c r="L13" s="6"/>
      <c r="M13" s="25"/>
      <c r="N13" s="19"/>
      <c r="O13" s="55">
        <f t="shared" si="6"/>
        <v>0</v>
      </c>
      <c r="P13" s="31"/>
      <c r="Q13" s="7"/>
      <c r="R13" s="64">
        <f t="shared" si="7"/>
        <v>0</v>
      </c>
      <c r="S13" s="38">
        <f t="shared" si="8"/>
        <v>0</v>
      </c>
      <c r="T13" s="36"/>
    </row>
    <row r="14" spans="2:20" x14ac:dyDescent="0.15">
      <c r="B14" s="6" t="s">
        <v>7</v>
      </c>
      <c r="C14" s="25"/>
      <c r="D14" s="19">
        <v>1</v>
      </c>
      <c r="E14" s="55">
        <f t="shared" si="0"/>
        <v>1</v>
      </c>
      <c r="F14" s="31"/>
      <c r="G14" s="7"/>
      <c r="H14" s="64">
        <f t="shared" si="1"/>
        <v>0</v>
      </c>
      <c r="I14" s="38">
        <f t="shared" si="5"/>
        <v>1</v>
      </c>
      <c r="J14" s="36">
        <v>45029</v>
      </c>
      <c r="L14" s="6"/>
      <c r="M14" s="25"/>
      <c r="N14" s="19"/>
      <c r="O14" s="55">
        <f t="shared" si="6"/>
        <v>0</v>
      </c>
      <c r="P14" s="31"/>
      <c r="Q14" s="7"/>
      <c r="R14" s="64">
        <f t="shared" si="7"/>
        <v>0</v>
      </c>
      <c r="S14" s="38">
        <f t="shared" si="8"/>
        <v>0</v>
      </c>
      <c r="T14" s="36"/>
    </row>
    <row r="15" spans="2:20" x14ac:dyDescent="0.15">
      <c r="B15" s="6" t="s">
        <v>7</v>
      </c>
      <c r="C15" s="25"/>
      <c r="D15" s="19">
        <v>1</v>
      </c>
      <c r="E15" s="55">
        <f t="shared" si="0"/>
        <v>1</v>
      </c>
      <c r="F15" s="31">
        <v>1</v>
      </c>
      <c r="G15" s="7">
        <v>1</v>
      </c>
      <c r="H15" s="64">
        <f t="shared" si="1"/>
        <v>2</v>
      </c>
      <c r="I15" s="38">
        <f t="shared" si="5"/>
        <v>3</v>
      </c>
      <c r="J15" s="36">
        <v>45034</v>
      </c>
      <c r="L15" s="6"/>
      <c r="M15" s="25"/>
      <c r="N15" s="19"/>
      <c r="O15" s="55">
        <f t="shared" si="6"/>
        <v>0</v>
      </c>
      <c r="P15" s="31"/>
      <c r="Q15" s="7"/>
      <c r="R15" s="64">
        <f t="shared" si="7"/>
        <v>0</v>
      </c>
      <c r="S15" s="38">
        <f t="shared" si="8"/>
        <v>0</v>
      </c>
      <c r="T15" s="36"/>
    </row>
    <row r="16" spans="2:20" x14ac:dyDescent="0.15">
      <c r="B16" s="6" t="s">
        <v>7</v>
      </c>
      <c r="C16" s="25"/>
      <c r="D16" s="19">
        <v>1</v>
      </c>
      <c r="E16" s="55">
        <f t="shared" si="0"/>
        <v>1</v>
      </c>
      <c r="F16" s="31"/>
      <c r="G16" s="7">
        <f>1+1</f>
        <v>2</v>
      </c>
      <c r="H16" s="64">
        <f t="shared" si="1"/>
        <v>2</v>
      </c>
      <c r="I16" s="38">
        <f t="shared" si="5"/>
        <v>3</v>
      </c>
      <c r="J16" s="36">
        <v>45040</v>
      </c>
      <c r="L16" s="6"/>
      <c r="M16" s="25"/>
      <c r="N16" s="19"/>
      <c r="O16" s="55">
        <f t="shared" si="6"/>
        <v>0</v>
      </c>
      <c r="P16" s="31"/>
      <c r="Q16" s="7"/>
      <c r="R16" s="64">
        <f t="shared" si="7"/>
        <v>0</v>
      </c>
      <c r="S16" s="38">
        <f t="shared" si="8"/>
        <v>0</v>
      </c>
      <c r="T16" s="36"/>
    </row>
    <row r="17" spans="2:20" x14ac:dyDescent="0.15">
      <c r="B17" s="34" t="s">
        <v>8</v>
      </c>
      <c r="C17" s="25">
        <v>1</v>
      </c>
      <c r="D17" s="19">
        <v>1</v>
      </c>
      <c r="E17" s="55">
        <f t="shared" si="0"/>
        <v>2</v>
      </c>
      <c r="F17" s="31"/>
      <c r="G17" s="7"/>
      <c r="H17" s="64">
        <f t="shared" si="1"/>
        <v>0</v>
      </c>
      <c r="I17" s="38">
        <f t="shared" si="5"/>
        <v>2</v>
      </c>
      <c r="J17" s="36">
        <v>45041</v>
      </c>
      <c r="L17" s="34"/>
      <c r="M17" s="25"/>
      <c r="N17" s="19"/>
      <c r="O17" s="55">
        <f t="shared" si="6"/>
        <v>0</v>
      </c>
      <c r="P17" s="31"/>
      <c r="Q17" s="7"/>
      <c r="R17" s="64">
        <f t="shared" si="7"/>
        <v>0</v>
      </c>
      <c r="S17" s="38">
        <f t="shared" si="8"/>
        <v>0</v>
      </c>
      <c r="T17" s="36"/>
    </row>
    <row r="18" spans="2:20" x14ac:dyDescent="0.15">
      <c r="B18" s="6" t="s">
        <v>7</v>
      </c>
      <c r="C18" s="25"/>
      <c r="D18" s="19"/>
      <c r="E18" s="55">
        <f t="shared" si="0"/>
        <v>0</v>
      </c>
      <c r="F18" s="31"/>
      <c r="G18" s="7">
        <v>1</v>
      </c>
      <c r="H18" s="64">
        <f t="shared" si="1"/>
        <v>1</v>
      </c>
      <c r="I18" s="38">
        <f t="shared" si="5"/>
        <v>1</v>
      </c>
      <c r="J18" s="36">
        <v>45042</v>
      </c>
      <c r="L18" s="6"/>
      <c r="M18" s="25"/>
      <c r="N18" s="19"/>
      <c r="O18" s="55">
        <f t="shared" si="6"/>
        <v>0</v>
      </c>
      <c r="P18" s="31"/>
      <c r="Q18" s="7"/>
      <c r="R18" s="64">
        <f t="shared" si="7"/>
        <v>0</v>
      </c>
      <c r="S18" s="38">
        <f t="shared" si="8"/>
        <v>0</v>
      </c>
      <c r="T18" s="36"/>
    </row>
    <row r="19" spans="2:20" x14ac:dyDescent="0.15">
      <c r="B19" s="6" t="s">
        <v>7</v>
      </c>
      <c r="C19" s="25"/>
      <c r="D19" s="19"/>
      <c r="E19" s="55">
        <f t="shared" si="0"/>
        <v>0</v>
      </c>
      <c r="F19" s="31">
        <v>1</v>
      </c>
      <c r="G19" s="7">
        <v>1</v>
      </c>
      <c r="H19" s="64">
        <f t="shared" si="1"/>
        <v>2</v>
      </c>
      <c r="I19" s="38">
        <f t="shared" si="5"/>
        <v>2</v>
      </c>
      <c r="J19" s="36">
        <v>45043</v>
      </c>
      <c r="L19" s="6"/>
      <c r="M19" s="25"/>
      <c r="N19" s="19"/>
      <c r="O19" s="55">
        <f t="shared" si="6"/>
        <v>0</v>
      </c>
      <c r="P19" s="31"/>
      <c r="Q19" s="7"/>
      <c r="R19" s="64">
        <f t="shared" si="7"/>
        <v>0</v>
      </c>
      <c r="S19" s="38">
        <f t="shared" si="8"/>
        <v>0</v>
      </c>
      <c r="T19" s="36"/>
    </row>
    <row r="20" spans="2:20" x14ac:dyDescent="0.15">
      <c r="B20" s="6" t="s">
        <v>7</v>
      </c>
      <c r="C20" s="25">
        <v>1</v>
      </c>
      <c r="D20" s="19"/>
      <c r="E20" s="55">
        <f t="shared" si="0"/>
        <v>1</v>
      </c>
      <c r="F20" s="31">
        <v>1</v>
      </c>
      <c r="G20" s="7"/>
      <c r="H20" s="64">
        <f t="shared" si="1"/>
        <v>1</v>
      </c>
      <c r="I20" s="38">
        <f t="shared" si="5"/>
        <v>2</v>
      </c>
      <c r="J20" s="36">
        <v>45044</v>
      </c>
      <c r="L20" s="6"/>
      <c r="M20" s="25"/>
      <c r="N20" s="19"/>
      <c r="O20" s="55">
        <f t="shared" si="6"/>
        <v>0</v>
      </c>
      <c r="P20" s="31"/>
      <c r="Q20" s="7"/>
      <c r="R20" s="64">
        <f t="shared" si="7"/>
        <v>0</v>
      </c>
      <c r="S20" s="38">
        <f t="shared" si="8"/>
        <v>0</v>
      </c>
      <c r="T20" s="36"/>
    </row>
    <row r="21" spans="2:20" x14ac:dyDescent="0.15">
      <c r="B21" s="34" t="s">
        <v>8</v>
      </c>
      <c r="C21" s="25">
        <v>2</v>
      </c>
      <c r="D21" s="19"/>
      <c r="E21" s="55">
        <f t="shared" si="0"/>
        <v>2</v>
      </c>
      <c r="F21" s="31"/>
      <c r="G21" s="7"/>
      <c r="H21" s="64">
        <f t="shared" si="1"/>
        <v>0</v>
      </c>
      <c r="I21" s="38">
        <f t="shared" si="5"/>
        <v>2</v>
      </c>
      <c r="J21" s="36">
        <v>45048</v>
      </c>
      <c r="L21" s="34"/>
      <c r="M21" s="25"/>
      <c r="N21" s="19"/>
      <c r="O21" s="55">
        <f t="shared" si="6"/>
        <v>0</v>
      </c>
      <c r="P21" s="31"/>
      <c r="Q21" s="7"/>
      <c r="R21" s="64">
        <f t="shared" si="7"/>
        <v>0</v>
      </c>
      <c r="S21" s="38">
        <f t="shared" si="8"/>
        <v>0</v>
      </c>
      <c r="T21" s="36"/>
    </row>
    <row r="22" spans="2:20" x14ac:dyDescent="0.15">
      <c r="B22" s="6" t="s">
        <v>7</v>
      </c>
      <c r="C22" s="28"/>
      <c r="D22" s="22"/>
      <c r="E22" s="55">
        <f t="shared" si="0"/>
        <v>0</v>
      </c>
      <c r="F22" s="33"/>
      <c r="G22" s="8">
        <v>1</v>
      </c>
      <c r="H22" s="64">
        <f t="shared" si="1"/>
        <v>1</v>
      </c>
      <c r="I22" s="38">
        <f t="shared" si="5"/>
        <v>1</v>
      </c>
      <c r="J22" s="37">
        <v>45047</v>
      </c>
      <c r="L22" s="6"/>
      <c r="M22" s="28"/>
      <c r="N22" s="22"/>
      <c r="O22" s="55">
        <f t="shared" si="6"/>
        <v>0</v>
      </c>
      <c r="P22" s="33"/>
      <c r="Q22" s="8"/>
      <c r="R22" s="64">
        <f t="shared" si="7"/>
        <v>0</v>
      </c>
      <c r="S22" s="38">
        <f t="shared" si="8"/>
        <v>0</v>
      </c>
      <c r="T22" s="37"/>
    </row>
    <row r="23" spans="2:20" x14ac:dyDescent="0.15">
      <c r="B23" s="6" t="s">
        <v>7</v>
      </c>
      <c r="C23" s="28"/>
      <c r="D23" s="22">
        <v>1</v>
      </c>
      <c r="E23" s="55">
        <f t="shared" si="0"/>
        <v>1</v>
      </c>
      <c r="F23" s="33"/>
      <c r="G23" s="8">
        <v>1</v>
      </c>
      <c r="H23" s="64">
        <f t="shared" si="1"/>
        <v>1</v>
      </c>
      <c r="I23" s="38">
        <f t="shared" si="5"/>
        <v>2</v>
      </c>
      <c r="J23" s="37">
        <v>45048</v>
      </c>
      <c r="L23" s="6"/>
      <c r="M23" s="28"/>
      <c r="N23" s="22"/>
      <c r="O23" s="55">
        <f t="shared" si="6"/>
        <v>0</v>
      </c>
      <c r="P23" s="33"/>
      <c r="Q23" s="8"/>
      <c r="R23" s="64">
        <f t="shared" si="7"/>
        <v>0</v>
      </c>
      <c r="S23" s="38">
        <f t="shared" si="8"/>
        <v>0</v>
      </c>
      <c r="T23" s="37"/>
    </row>
    <row r="24" spans="2:20" x14ac:dyDescent="0.15">
      <c r="B24" s="6" t="s">
        <v>7</v>
      </c>
      <c r="C24" s="25">
        <v>2</v>
      </c>
      <c r="D24" s="19">
        <v>4</v>
      </c>
      <c r="E24" s="55">
        <f t="shared" si="0"/>
        <v>6</v>
      </c>
      <c r="F24" s="31">
        <v>1</v>
      </c>
      <c r="G24" s="7">
        <v>2</v>
      </c>
      <c r="H24" s="64">
        <f t="shared" si="1"/>
        <v>3</v>
      </c>
      <c r="I24" s="38">
        <f t="shared" si="5"/>
        <v>9</v>
      </c>
      <c r="J24" s="36">
        <v>45054</v>
      </c>
      <c r="L24" s="6"/>
      <c r="M24" s="25"/>
      <c r="N24" s="19"/>
      <c r="O24" s="55">
        <f t="shared" si="6"/>
        <v>0</v>
      </c>
      <c r="P24" s="31"/>
      <c r="Q24" s="7"/>
      <c r="R24" s="64">
        <f t="shared" si="7"/>
        <v>0</v>
      </c>
      <c r="S24" s="38">
        <f t="shared" si="8"/>
        <v>0</v>
      </c>
      <c r="T24" s="36"/>
    </row>
    <row r="25" spans="2:20" x14ac:dyDescent="0.15">
      <c r="B25" s="6" t="s">
        <v>7</v>
      </c>
      <c r="C25" s="28"/>
      <c r="D25" s="22"/>
      <c r="E25" s="55">
        <f t="shared" si="0"/>
        <v>0</v>
      </c>
      <c r="F25" s="33">
        <v>1</v>
      </c>
      <c r="G25" s="8"/>
      <c r="H25" s="64">
        <f t="shared" si="1"/>
        <v>1</v>
      </c>
      <c r="I25" s="38">
        <f t="shared" si="5"/>
        <v>1</v>
      </c>
      <c r="J25" s="37">
        <v>45055</v>
      </c>
      <c r="L25" s="6"/>
      <c r="M25" s="28"/>
      <c r="N25" s="22"/>
      <c r="O25" s="55">
        <f t="shared" si="6"/>
        <v>0</v>
      </c>
      <c r="P25" s="33"/>
      <c r="Q25" s="8"/>
      <c r="R25" s="64">
        <f t="shared" si="7"/>
        <v>0</v>
      </c>
      <c r="S25" s="38">
        <f t="shared" si="8"/>
        <v>0</v>
      </c>
      <c r="T25" s="37"/>
    </row>
    <row r="26" spans="2:20" x14ac:dyDescent="0.15">
      <c r="B26" s="6" t="s">
        <v>7</v>
      </c>
      <c r="C26" s="28">
        <v>1</v>
      </c>
      <c r="D26" s="22">
        <v>1</v>
      </c>
      <c r="E26" s="55">
        <f t="shared" si="0"/>
        <v>2</v>
      </c>
      <c r="F26" s="33">
        <v>1</v>
      </c>
      <c r="G26" s="8"/>
      <c r="H26" s="64">
        <f t="shared" si="1"/>
        <v>1</v>
      </c>
      <c r="I26" s="38">
        <f t="shared" si="5"/>
        <v>3</v>
      </c>
      <c r="J26" s="37">
        <v>45056</v>
      </c>
      <c r="L26" s="6"/>
      <c r="M26" s="28"/>
      <c r="N26" s="22"/>
      <c r="O26" s="55">
        <f t="shared" si="6"/>
        <v>0</v>
      </c>
      <c r="P26" s="33"/>
      <c r="Q26" s="8"/>
      <c r="R26" s="64">
        <f t="shared" si="7"/>
        <v>0</v>
      </c>
      <c r="S26" s="38">
        <f t="shared" si="8"/>
        <v>0</v>
      </c>
      <c r="T26" s="37"/>
    </row>
    <row r="27" spans="2:20" x14ac:dyDescent="0.15">
      <c r="B27" s="6" t="s">
        <v>7</v>
      </c>
      <c r="C27" s="28"/>
      <c r="D27" s="22">
        <v>1</v>
      </c>
      <c r="E27" s="55">
        <f t="shared" si="0"/>
        <v>1</v>
      </c>
      <c r="F27" s="33"/>
      <c r="G27" s="8"/>
      <c r="H27" s="64">
        <f t="shared" si="1"/>
        <v>0</v>
      </c>
      <c r="I27" s="38">
        <f t="shared" si="5"/>
        <v>1</v>
      </c>
      <c r="J27" s="37">
        <v>45057</v>
      </c>
      <c r="L27" s="6"/>
      <c r="M27" s="28"/>
      <c r="N27" s="22"/>
      <c r="O27" s="55">
        <f t="shared" si="6"/>
        <v>0</v>
      </c>
      <c r="P27" s="33"/>
      <c r="Q27" s="8"/>
      <c r="R27" s="64">
        <f t="shared" si="7"/>
        <v>0</v>
      </c>
      <c r="S27" s="38">
        <f t="shared" si="8"/>
        <v>0</v>
      </c>
      <c r="T27" s="37"/>
    </row>
    <row r="28" spans="2:20" x14ac:dyDescent="0.15">
      <c r="B28" s="6" t="s">
        <v>7</v>
      </c>
      <c r="C28" s="28"/>
      <c r="D28" s="22">
        <v>1</v>
      </c>
      <c r="E28" s="55">
        <f t="shared" si="0"/>
        <v>1</v>
      </c>
      <c r="F28" s="33">
        <f>1+1</f>
        <v>2</v>
      </c>
      <c r="G28" s="8"/>
      <c r="H28" s="64">
        <f t="shared" si="1"/>
        <v>2</v>
      </c>
      <c r="I28" s="38">
        <f t="shared" si="5"/>
        <v>3</v>
      </c>
      <c r="J28" s="37">
        <v>45061</v>
      </c>
      <c r="L28" s="6"/>
      <c r="M28" s="28"/>
      <c r="N28" s="22"/>
      <c r="O28" s="55">
        <f t="shared" si="6"/>
        <v>0</v>
      </c>
      <c r="P28" s="33"/>
      <c r="Q28" s="8"/>
      <c r="R28" s="64">
        <f t="shared" si="7"/>
        <v>0</v>
      </c>
      <c r="S28" s="38">
        <f t="shared" si="8"/>
        <v>0</v>
      </c>
      <c r="T28" s="37"/>
    </row>
    <row r="29" spans="2:20" x14ac:dyDescent="0.15">
      <c r="B29" s="6" t="s">
        <v>7</v>
      </c>
      <c r="C29" s="28"/>
      <c r="D29" s="22">
        <f>1+3</f>
        <v>4</v>
      </c>
      <c r="E29" s="55">
        <f t="shared" si="0"/>
        <v>4</v>
      </c>
      <c r="F29" s="33"/>
      <c r="G29" s="8">
        <v>3</v>
      </c>
      <c r="H29" s="64">
        <f t="shared" si="1"/>
        <v>3</v>
      </c>
      <c r="I29" s="38">
        <f t="shared" si="5"/>
        <v>7</v>
      </c>
      <c r="J29" s="37">
        <v>45062</v>
      </c>
      <c r="L29" s="6"/>
      <c r="M29" s="28"/>
      <c r="N29" s="22"/>
      <c r="O29" s="55">
        <f t="shared" si="6"/>
        <v>0</v>
      </c>
      <c r="P29" s="33"/>
      <c r="Q29" s="8"/>
      <c r="R29" s="64">
        <f t="shared" si="7"/>
        <v>0</v>
      </c>
      <c r="S29" s="38">
        <f t="shared" si="8"/>
        <v>0</v>
      </c>
      <c r="T29" s="37"/>
    </row>
    <row r="30" spans="2:20" x14ac:dyDescent="0.15">
      <c r="B30" s="6" t="s">
        <v>15</v>
      </c>
      <c r="C30" s="28"/>
      <c r="D30" s="22">
        <v>1</v>
      </c>
      <c r="E30" s="55">
        <f t="shared" si="0"/>
        <v>1</v>
      </c>
      <c r="F30" s="33"/>
      <c r="G30" s="8"/>
      <c r="H30" s="64">
        <f t="shared" si="1"/>
        <v>0</v>
      </c>
      <c r="I30" s="38">
        <f t="shared" si="5"/>
        <v>1</v>
      </c>
      <c r="J30" s="37">
        <v>45064</v>
      </c>
      <c r="L30" s="6"/>
      <c r="M30" s="28"/>
      <c r="N30" s="22"/>
      <c r="O30" s="55">
        <f t="shared" si="6"/>
        <v>0</v>
      </c>
      <c r="P30" s="33"/>
      <c r="Q30" s="8"/>
      <c r="R30" s="64">
        <f t="shared" si="7"/>
        <v>0</v>
      </c>
      <c r="S30" s="38">
        <f t="shared" si="8"/>
        <v>0</v>
      </c>
      <c r="T30" s="37"/>
    </row>
    <row r="31" spans="2:20" x14ac:dyDescent="0.15">
      <c r="B31" s="6" t="s">
        <v>16</v>
      </c>
      <c r="C31" s="25"/>
      <c r="D31" s="19">
        <v>1</v>
      </c>
      <c r="E31" s="55">
        <f t="shared" si="0"/>
        <v>1</v>
      </c>
      <c r="F31" s="31"/>
      <c r="G31" s="7">
        <v>1</v>
      </c>
      <c r="H31" s="64">
        <f t="shared" si="1"/>
        <v>1</v>
      </c>
      <c r="I31" s="38">
        <f t="shared" si="5"/>
        <v>2</v>
      </c>
      <c r="J31" s="36">
        <v>45064</v>
      </c>
      <c r="L31" s="6"/>
      <c r="M31" s="25"/>
      <c r="N31" s="19"/>
      <c r="O31" s="55">
        <f t="shared" si="6"/>
        <v>0</v>
      </c>
      <c r="P31" s="31"/>
      <c r="Q31" s="7"/>
      <c r="R31" s="64">
        <f t="shared" si="7"/>
        <v>0</v>
      </c>
      <c r="S31" s="38">
        <f t="shared" si="8"/>
        <v>0</v>
      </c>
      <c r="T31" s="36"/>
    </row>
    <row r="32" spans="2:20" x14ac:dyDescent="0.15">
      <c r="B32" s="6" t="s">
        <v>7</v>
      </c>
      <c r="C32" s="25"/>
      <c r="D32" s="19">
        <v>2</v>
      </c>
      <c r="E32" s="55">
        <f t="shared" si="0"/>
        <v>2</v>
      </c>
      <c r="F32" s="31"/>
      <c r="G32" s="7">
        <v>1</v>
      </c>
      <c r="H32" s="64">
        <f t="shared" si="1"/>
        <v>1</v>
      </c>
      <c r="I32" s="38">
        <f t="shared" si="5"/>
        <v>3</v>
      </c>
      <c r="J32" s="36">
        <v>45065</v>
      </c>
      <c r="L32" s="6"/>
      <c r="M32" s="25"/>
      <c r="N32" s="19"/>
      <c r="O32" s="55">
        <f t="shared" si="6"/>
        <v>0</v>
      </c>
      <c r="P32" s="31"/>
      <c r="Q32" s="7"/>
      <c r="R32" s="64">
        <f t="shared" si="7"/>
        <v>0</v>
      </c>
      <c r="S32" s="38">
        <f t="shared" si="8"/>
        <v>0</v>
      </c>
      <c r="T32" s="36"/>
    </row>
    <row r="33" spans="1:20" x14ac:dyDescent="0.15">
      <c r="B33" s="6" t="s">
        <v>7</v>
      </c>
      <c r="C33" s="25"/>
      <c r="D33" s="19"/>
      <c r="E33" s="55">
        <f t="shared" si="0"/>
        <v>0</v>
      </c>
      <c r="F33" s="31"/>
      <c r="G33" s="7">
        <v>1</v>
      </c>
      <c r="H33" s="64">
        <f t="shared" si="1"/>
        <v>1</v>
      </c>
      <c r="I33" s="38">
        <f t="shared" si="5"/>
        <v>1</v>
      </c>
      <c r="J33" s="36">
        <v>45066</v>
      </c>
      <c r="L33" s="6"/>
      <c r="M33" s="25"/>
      <c r="N33" s="19"/>
      <c r="O33" s="55">
        <f t="shared" si="6"/>
        <v>0</v>
      </c>
      <c r="P33" s="31"/>
      <c r="Q33" s="7"/>
      <c r="R33" s="64">
        <f t="shared" si="7"/>
        <v>0</v>
      </c>
      <c r="S33" s="38">
        <f t="shared" si="8"/>
        <v>0</v>
      </c>
      <c r="T33" s="36"/>
    </row>
    <row r="34" spans="1:20" x14ac:dyDescent="0.15">
      <c r="B34" s="6" t="s">
        <v>7</v>
      </c>
      <c r="C34" s="25">
        <v>1</v>
      </c>
      <c r="D34" s="19"/>
      <c r="E34" s="55">
        <f t="shared" si="0"/>
        <v>1</v>
      </c>
      <c r="F34" s="31">
        <v>2</v>
      </c>
      <c r="G34" s="7"/>
      <c r="H34" s="64">
        <f t="shared" si="1"/>
        <v>2</v>
      </c>
      <c r="I34" s="38">
        <f t="shared" si="5"/>
        <v>3</v>
      </c>
      <c r="J34" s="36">
        <v>45068</v>
      </c>
      <c r="L34" s="6"/>
      <c r="M34" s="25"/>
      <c r="N34" s="19"/>
      <c r="O34" s="55">
        <f t="shared" si="6"/>
        <v>0</v>
      </c>
      <c r="P34" s="31"/>
      <c r="Q34" s="7"/>
      <c r="R34" s="64">
        <f t="shared" si="7"/>
        <v>0</v>
      </c>
      <c r="S34" s="38">
        <f t="shared" si="8"/>
        <v>0</v>
      </c>
      <c r="T34" s="36"/>
    </row>
    <row r="35" spans="1:20" x14ac:dyDescent="0.15">
      <c r="B35" s="6" t="s">
        <v>7</v>
      </c>
      <c r="C35" s="25"/>
      <c r="D35" s="19">
        <v>1</v>
      </c>
      <c r="E35" s="55">
        <f t="shared" si="0"/>
        <v>1</v>
      </c>
      <c r="F35" s="31"/>
      <c r="G35" s="7"/>
      <c r="H35" s="64">
        <f t="shared" si="1"/>
        <v>0</v>
      </c>
      <c r="I35" s="38">
        <f t="shared" si="5"/>
        <v>1</v>
      </c>
      <c r="J35" s="36">
        <v>45069</v>
      </c>
      <c r="L35" s="6"/>
      <c r="M35" s="25"/>
      <c r="N35" s="19"/>
      <c r="O35" s="55">
        <f t="shared" si="6"/>
        <v>0</v>
      </c>
      <c r="P35" s="31"/>
      <c r="Q35" s="7"/>
      <c r="R35" s="64">
        <f t="shared" si="7"/>
        <v>0</v>
      </c>
      <c r="S35" s="38">
        <f t="shared" si="8"/>
        <v>0</v>
      </c>
      <c r="T35" s="36"/>
    </row>
    <row r="36" spans="1:20" ht="14.25" thickBot="1" x14ac:dyDescent="0.2">
      <c r="B36" s="6" t="s">
        <v>7</v>
      </c>
      <c r="C36" s="29"/>
      <c r="D36" s="20"/>
      <c r="E36" s="56">
        <f t="shared" si="0"/>
        <v>0</v>
      </c>
      <c r="F36" s="32"/>
      <c r="G36" s="5">
        <v>1</v>
      </c>
      <c r="H36" s="65">
        <f t="shared" si="1"/>
        <v>1</v>
      </c>
      <c r="I36" s="39">
        <f t="shared" si="5"/>
        <v>1</v>
      </c>
      <c r="J36" s="36">
        <v>45070</v>
      </c>
      <c r="L36" s="6"/>
      <c r="M36" s="29"/>
      <c r="N36" s="20"/>
      <c r="O36" s="56">
        <f t="shared" si="6"/>
        <v>0</v>
      </c>
      <c r="P36" s="32"/>
      <c r="Q36" s="5"/>
      <c r="R36" s="65">
        <f t="shared" si="7"/>
        <v>0</v>
      </c>
      <c r="S36" s="39">
        <f t="shared" si="8"/>
        <v>0</v>
      </c>
      <c r="T36" s="36"/>
    </row>
    <row r="37" spans="1:20" ht="14.25" thickBot="1" x14ac:dyDescent="0.2">
      <c r="B37" s="4" t="s">
        <v>1</v>
      </c>
      <c r="C37" s="27">
        <f>SUM(C12:C36)</f>
        <v>9</v>
      </c>
      <c r="D37" s="21">
        <f>SUM(D12:D36)</f>
        <v>22</v>
      </c>
      <c r="E37" s="57">
        <f t="shared" si="0"/>
        <v>31</v>
      </c>
      <c r="F37" s="27">
        <f>SUM(F12:F36)</f>
        <v>10</v>
      </c>
      <c r="G37" s="21">
        <f>SUM(G12:G36)</f>
        <v>16</v>
      </c>
      <c r="H37" s="66">
        <f t="shared" si="1"/>
        <v>26</v>
      </c>
      <c r="I37" s="40">
        <f t="shared" si="5"/>
        <v>57</v>
      </c>
      <c r="L37" s="4" t="s">
        <v>1</v>
      </c>
      <c r="M37" s="27">
        <f>SUM(M12:M36)</f>
        <v>0</v>
      </c>
      <c r="N37" s="21">
        <f>SUM(N12:N36)</f>
        <v>0</v>
      </c>
      <c r="O37" s="57">
        <f t="shared" si="6"/>
        <v>0</v>
      </c>
      <c r="P37" s="27">
        <f>SUM(P12:P36)</f>
        <v>0</v>
      </c>
      <c r="Q37" s="21">
        <f>SUM(Q12:Q36)</f>
        <v>0</v>
      </c>
      <c r="R37" s="66">
        <f t="shared" si="7"/>
        <v>0</v>
      </c>
      <c r="S37" s="40">
        <f t="shared" si="8"/>
        <v>0</v>
      </c>
      <c r="T37" s="35"/>
    </row>
    <row r="38" spans="1:20" ht="14.25" thickBot="1" x14ac:dyDescent="0.2">
      <c r="B38" s="3" t="s">
        <v>0</v>
      </c>
      <c r="C38" s="30">
        <f>+C11-C37</f>
        <v>19</v>
      </c>
      <c r="D38" s="2">
        <f>+D11-D37</f>
        <v>11</v>
      </c>
      <c r="E38" s="58">
        <f t="shared" si="0"/>
        <v>30</v>
      </c>
      <c r="F38" s="30">
        <f>+F11-F37</f>
        <v>15</v>
      </c>
      <c r="G38" s="2">
        <f>+G11-G37</f>
        <v>14</v>
      </c>
      <c r="H38" s="67">
        <f t="shared" si="1"/>
        <v>29</v>
      </c>
      <c r="I38" s="42">
        <f t="shared" si="5"/>
        <v>59</v>
      </c>
      <c r="L38" s="3" t="s">
        <v>0</v>
      </c>
      <c r="M38" s="30">
        <f>+M11-M37</f>
        <v>0</v>
      </c>
      <c r="N38" s="2">
        <f>+N11-N37</f>
        <v>0</v>
      </c>
      <c r="O38" s="58">
        <f t="shared" si="6"/>
        <v>0</v>
      </c>
      <c r="P38" s="30">
        <f>+P11-P37</f>
        <v>0</v>
      </c>
      <c r="Q38" s="2">
        <f>+Q11-Q37</f>
        <v>0</v>
      </c>
      <c r="R38" s="67">
        <f t="shared" si="7"/>
        <v>0</v>
      </c>
      <c r="S38" s="42">
        <f t="shared" si="8"/>
        <v>0</v>
      </c>
      <c r="T38" s="35"/>
    </row>
    <row r="39" spans="1:20" x14ac:dyDescent="0.15">
      <c r="L39" s="1"/>
      <c r="T39" s="35"/>
    </row>
    <row r="40" spans="1:20" x14ac:dyDescent="0.15">
      <c r="B40"/>
      <c r="J40"/>
    </row>
    <row r="41" spans="1:20" ht="18.75" x14ac:dyDescent="0.2">
      <c r="B41" s="16" t="s">
        <v>21</v>
      </c>
      <c r="C41" s="15"/>
      <c r="D41" s="15"/>
      <c r="E41" s="15"/>
      <c r="F41" s="15"/>
      <c r="G41" s="15"/>
      <c r="H41" s="15"/>
      <c r="I41" s="15"/>
      <c r="L41" s="71" t="s">
        <v>22</v>
      </c>
      <c r="M41" s="72"/>
      <c r="N41" s="72"/>
      <c r="O41" s="72"/>
      <c r="P41" s="72"/>
      <c r="Q41" s="72"/>
      <c r="R41" s="72"/>
      <c r="S41" s="72"/>
      <c r="T41" s="35"/>
    </row>
    <row r="42" spans="1:20" ht="18" thickBot="1" x14ac:dyDescent="0.25">
      <c r="B42" s="17" t="s">
        <v>23</v>
      </c>
      <c r="C42" s="15"/>
      <c r="D42" s="15"/>
      <c r="E42" s="15"/>
      <c r="F42" s="15"/>
      <c r="G42" s="15"/>
      <c r="H42" s="15"/>
      <c r="I42" s="15"/>
      <c r="L42" s="73" t="s">
        <v>23</v>
      </c>
      <c r="M42" s="72"/>
      <c r="N42" s="72"/>
      <c r="O42" s="72"/>
      <c r="P42" s="72"/>
      <c r="Q42" s="72"/>
      <c r="R42" s="72"/>
      <c r="S42" s="72"/>
      <c r="T42" s="35"/>
    </row>
    <row r="43" spans="1:20" ht="14.25" thickBot="1" x14ac:dyDescent="0.2">
      <c r="B43" s="14"/>
      <c r="C43" s="113" t="s">
        <v>12</v>
      </c>
      <c r="D43" s="114"/>
      <c r="E43" s="115"/>
      <c r="F43" s="116" t="s">
        <v>11</v>
      </c>
      <c r="G43" s="117"/>
      <c r="H43" s="117"/>
      <c r="I43" s="120" t="s">
        <v>19</v>
      </c>
      <c r="L43" s="14"/>
      <c r="M43" s="113" t="s">
        <v>12</v>
      </c>
      <c r="N43" s="114"/>
      <c r="O43" s="115"/>
      <c r="P43" s="116" t="s">
        <v>11</v>
      </c>
      <c r="Q43" s="117"/>
      <c r="R43" s="117"/>
      <c r="S43" s="120" t="s">
        <v>19</v>
      </c>
      <c r="T43" s="35"/>
    </row>
    <row r="44" spans="1:20" ht="14.25" thickBot="1" x14ac:dyDescent="0.2">
      <c r="A44" s="1"/>
      <c r="B44" s="13"/>
      <c r="C44" s="23" t="s">
        <v>6</v>
      </c>
      <c r="D44" s="12" t="s">
        <v>5</v>
      </c>
      <c r="E44" s="50" t="s">
        <v>4</v>
      </c>
      <c r="F44" s="23" t="s">
        <v>6</v>
      </c>
      <c r="G44" s="12" t="s">
        <v>5</v>
      </c>
      <c r="H44" s="59" t="s">
        <v>4</v>
      </c>
      <c r="I44" s="121"/>
      <c r="K44" s="1"/>
      <c r="L44" s="13"/>
      <c r="M44" s="23" t="s">
        <v>6</v>
      </c>
      <c r="N44" s="12" t="s">
        <v>5</v>
      </c>
      <c r="O44" s="50" t="s">
        <v>4</v>
      </c>
      <c r="P44" s="23" t="s">
        <v>6</v>
      </c>
      <c r="Q44" s="12" t="s">
        <v>5</v>
      </c>
      <c r="R44" s="59" t="s">
        <v>4</v>
      </c>
      <c r="S44" s="121"/>
      <c r="T44" s="35"/>
    </row>
    <row r="45" spans="1:20" x14ac:dyDescent="0.15">
      <c r="B45" s="46" t="s">
        <v>0</v>
      </c>
      <c r="C45" s="47">
        <f>C38</f>
        <v>19</v>
      </c>
      <c r="D45" s="48">
        <f t="shared" ref="D45:H45" si="9">D38</f>
        <v>11</v>
      </c>
      <c r="E45" s="68">
        <f t="shared" si="9"/>
        <v>30</v>
      </c>
      <c r="F45" s="47">
        <f t="shared" si="9"/>
        <v>15</v>
      </c>
      <c r="G45" s="48">
        <f t="shared" si="9"/>
        <v>14</v>
      </c>
      <c r="H45" s="69">
        <f t="shared" si="9"/>
        <v>29</v>
      </c>
      <c r="I45" s="41">
        <f>E45+H45</f>
        <v>59</v>
      </c>
      <c r="J45" s="36"/>
      <c r="L45" s="46" t="s">
        <v>0</v>
      </c>
      <c r="M45" s="47">
        <f>M38</f>
        <v>0</v>
      </c>
      <c r="N45" s="48">
        <f t="shared" ref="N45:R45" si="10">N38</f>
        <v>0</v>
      </c>
      <c r="O45" s="68">
        <f t="shared" si="10"/>
        <v>0</v>
      </c>
      <c r="P45" s="47">
        <f t="shared" si="10"/>
        <v>0</v>
      </c>
      <c r="Q45" s="48">
        <f t="shared" si="10"/>
        <v>0</v>
      </c>
      <c r="R45" s="69">
        <f t="shared" si="10"/>
        <v>0</v>
      </c>
      <c r="S45" s="41">
        <f>O45+R45</f>
        <v>0</v>
      </c>
      <c r="T45" s="36"/>
    </row>
    <row r="46" spans="1:20" x14ac:dyDescent="0.15">
      <c r="B46" s="11" t="s">
        <v>3</v>
      </c>
      <c r="C46" s="25"/>
      <c r="D46" s="19"/>
      <c r="E46" s="52">
        <f t="shared" ref="E46:E78" si="11">SUM(C46:D46)</f>
        <v>0</v>
      </c>
      <c r="F46" s="31"/>
      <c r="G46" s="7"/>
      <c r="H46" s="61">
        <f t="shared" ref="H46:H78" si="12">SUM(F46:G46)</f>
        <v>0</v>
      </c>
      <c r="I46" s="38">
        <f t="shared" ref="I46:I78" si="13">E46+H46</f>
        <v>0</v>
      </c>
      <c r="J46" s="36"/>
      <c r="L46" s="11" t="s">
        <v>3</v>
      </c>
      <c r="M46" s="25"/>
      <c r="N46" s="19"/>
      <c r="O46" s="52">
        <f t="shared" ref="O46:O78" si="14">SUM(M46:N46)</f>
        <v>0</v>
      </c>
      <c r="P46" s="31"/>
      <c r="Q46" s="7"/>
      <c r="R46" s="61">
        <f t="shared" ref="R46:R78" si="15">SUM(P46:Q46)</f>
        <v>0</v>
      </c>
      <c r="S46" s="38">
        <f t="shared" ref="S46:S78" si="16">O46+R46</f>
        <v>0</v>
      </c>
      <c r="T46" s="36"/>
    </row>
    <row r="47" spans="1:20" x14ac:dyDescent="0.15">
      <c r="B47" s="11" t="s">
        <v>3</v>
      </c>
      <c r="C47" s="25">
        <v>40</v>
      </c>
      <c r="D47" s="19">
        <v>60</v>
      </c>
      <c r="E47" s="52">
        <f t="shared" si="11"/>
        <v>100</v>
      </c>
      <c r="F47" s="31">
        <v>40</v>
      </c>
      <c r="G47" s="7">
        <v>60</v>
      </c>
      <c r="H47" s="61">
        <f t="shared" si="12"/>
        <v>100</v>
      </c>
      <c r="I47" s="38">
        <f t="shared" si="13"/>
        <v>200</v>
      </c>
      <c r="J47" s="36" t="s">
        <v>20</v>
      </c>
      <c r="L47" s="11" t="s">
        <v>3</v>
      </c>
      <c r="M47" s="25">
        <v>60</v>
      </c>
      <c r="N47" s="19">
        <v>90</v>
      </c>
      <c r="O47" s="52">
        <f t="shared" si="14"/>
        <v>150</v>
      </c>
      <c r="P47" s="31">
        <v>50</v>
      </c>
      <c r="Q47" s="7">
        <v>60</v>
      </c>
      <c r="R47" s="61">
        <f t="shared" si="15"/>
        <v>110</v>
      </c>
      <c r="S47" s="38">
        <f t="shared" si="16"/>
        <v>260</v>
      </c>
      <c r="T47" s="36" t="s">
        <v>27</v>
      </c>
    </row>
    <row r="48" spans="1:20" x14ac:dyDescent="0.15">
      <c r="B48" s="11" t="s">
        <v>3</v>
      </c>
      <c r="C48" s="25"/>
      <c r="D48" s="19"/>
      <c r="E48" s="52">
        <f t="shared" ref="E48:E49" si="17">SUM(C48:D48)</f>
        <v>0</v>
      </c>
      <c r="F48" s="31"/>
      <c r="G48" s="7"/>
      <c r="H48" s="61">
        <f t="shared" ref="H48:H49" si="18">SUM(F48:G48)</f>
        <v>0</v>
      </c>
      <c r="I48" s="38">
        <f t="shared" si="13"/>
        <v>0</v>
      </c>
      <c r="J48" s="36"/>
      <c r="L48" s="11" t="s">
        <v>3</v>
      </c>
      <c r="M48" s="25"/>
      <c r="N48" s="19"/>
      <c r="O48" s="52">
        <f t="shared" si="14"/>
        <v>0</v>
      </c>
      <c r="P48" s="31"/>
      <c r="Q48" s="7"/>
      <c r="R48" s="61">
        <f t="shared" si="15"/>
        <v>0</v>
      </c>
      <c r="S48" s="38">
        <f t="shared" si="16"/>
        <v>0</v>
      </c>
      <c r="T48" s="36"/>
    </row>
    <row r="49" spans="2:20" x14ac:dyDescent="0.15">
      <c r="B49" s="11" t="s">
        <v>3</v>
      </c>
      <c r="C49" s="25"/>
      <c r="D49" s="19"/>
      <c r="E49" s="52">
        <f t="shared" si="17"/>
        <v>0</v>
      </c>
      <c r="F49" s="31"/>
      <c r="G49" s="7"/>
      <c r="H49" s="61">
        <f t="shared" si="18"/>
        <v>0</v>
      </c>
      <c r="I49" s="38">
        <f t="shared" si="13"/>
        <v>0</v>
      </c>
      <c r="J49" s="36"/>
      <c r="L49" s="11" t="s">
        <v>3</v>
      </c>
      <c r="M49" s="25"/>
      <c r="N49" s="19"/>
      <c r="O49" s="52">
        <f t="shared" ref="O49" si="19">SUM(M49:N49)</f>
        <v>0</v>
      </c>
      <c r="P49" s="31"/>
      <c r="Q49" s="7"/>
      <c r="R49" s="61">
        <f t="shared" ref="R49" si="20">SUM(P49:Q49)</f>
        <v>0</v>
      </c>
      <c r="S49" s="38">
        <f t="shared" ref="S49" si="21">O49+R49</f>
        <v>0</v>
      </c>
      <c r="T49" s="36"/>
    </row>
    <row r="50" spans="2:20" ht="14.25" thickBot="1" x14ac:dyDescent="0.2">
      <c r="B50" s="10" t="s">
        <v>3</v>
      </c>
      <c r="C50" s="26"/>
      <c r="D50" s="20"/>
      <c r="E50" s="53">
        <f t="shared" si="11"/>
        <v>0</v>
      </c>
      <c r="F50" s="32"/>
      <c r="G50" s="5"/>
      <c r="H50" s="62">
        <f t="shared" si="12"/>
        <v>0</v>
      </c>
      <c r="I50" s="39">
        <f t="shared" si="13"/>
        <v>0</v>
      </c>
      <c r="J50" s="36"/>
      <c r="L50" s="10" t="s">
        <v>3</v>
      </c>
      <c r="M50" s="26"/>
      <c r="N50" s="20"/>
      <c r="O50" s="53">
        <f t="shared" si="14"/>
        <v>0</v>
      </c>
      <c r="P50" s="32"/>
      <c r="Q50" s="5"/>
      <c r="R50" s="62">
        <f t="shared" si="15"/>
        <v>0</v>
      </c>
      <c r="S50" s="39">
        <f t="shared" si="16"/>
        <v>0</v>
      </c>
      <c r="T50" s="36"/>
    </row>
    <row r="51" spans="2:20" ht="14.25" thickBot="1" x14ac:dyDescent="0.2">
      <c r="B51" s="43" t="s">
        <v>2</v>
      </c>
      <c r="C51" s="44">
        <f>SUM(C45:C50)</f>
        <v>59</v>
      </c>
      <c r="D51" s="45">
        <f>SUM(D45:D50)</f>
        <v>71</v>
      </c>
      <c r="E51" s="54">
        <f t="shared" si="11"/>
        <v>130</v>
      </c>
      <c r="F51" s="44">
        <f>SUM(F45:F50)</f>
        <v>55</v>
      </c>
      <c r="G51" s="45">
        <f>SUM(G45:G50)</f>
        <v>74</v>
      </c>
      <c r="H51" s="63">
        <f t="shared" si="12"/>
        <v>129</v>
      </c>
      <c r="I51" s="42">
        <f t="shared" si="13"/>
        <v>259</v>
      </c>
      <c r="L51" s="43" t="s">
        <v>2</v>
      </c>
      <c r="M51" s="44">
        <f>SUM(M45:M50)</f>
        <v>60</v>
      </c>
      <c r="N51" s="45">
        <f>SUM(N45:N50)</f>
        <v>90</v>
      </c>
      <c r="O51" s="54">
        <f t="shared" si="14"/>
        <v>150</v>
      </c>
      <c r="P51" s="44">
        <f>SUM(P45:P50)</f>
        <v>50</v>
      </c>
      <c r="Q51" s="45">
        <f>SUM(Q45:Q50)</f>
        <v>60</v>
      </c>
      <c r="R51" s="63">
        <f t="shared" si="15"/>
        <v>110</v>
      </c>
      <c r="S51" s="42">
        <f t="shared" si="16"/>
        <v>260</v>
      </c>
      <c r="T51" s="35"/>
    </row>
    <row r="52" spans="2:20" x14ac:dyDescent="0.15">
      <c r="B52" s="6" t="s">
        <v>7</v>
      </c>
      <c r="C52" s="24">
        <v>1</v>
      </c>
      <c r="D52" s="18"/>
      <c r="E52" s="55">
        <f t="shared" si="11"/>
        <v>1</v>
      </c>
      <c r="F52" s="31"/>
      <c r="G52" s="7">
        <v>1</v>
      </c>
      <c r="H52" s="64">
        <f t="shared" si="12"/>
        <v>1</v>
      </c>
      <c r="I52" s="38">
        <f t="shared" si="13"/>
        <v>2</v>
      </c>
      <c r="J52" s="36">
        <v>45071</v>
      </c>
      <c r="L52" s="6" t="s">
        <v>26</v>
      </c>
      <c r="M52" s="25">
        <v>4</v>
      </c>
      <c r="N52" s="19">
        <v>1</v>
      </c>
      <c r="O52" s="55">
        <f t="shared" si="14"/>
        <v>5</v>
      </c>
      <c r="P52" s="31"/>
      <c r="Q52" s="7"/>
      <c r="R52" s="64">
        <f t="shared" si="15"/>
        <v>0</v>
      </c>
      <c r="S52" s="38">
        <f t="shared" si="16"/>
        <v>5</v>
      </c>
      <c r="T52" s="36">
        <v>45083</v>
      </c>
    </row>
    <row r="53" spans="2:20" x14ac:dyDescent="0.15">
      <c r="B53" s="6" t="s">
        <v>7</v>
      </c>
      <c r="C53" s="25"/>
      <c r="D53" s="19">
        <v>2</v>
      </c>
      <c r="E53" s="55">
        <f t="shared" si="11"/>
        <v>2</v>
      </c>
      <c r="F53" s="31"/>
      <c r="G53" s="7">
        <v>1</v>
      </c>
      <c r="H53" s="64">
        <f t="shared" si="12"/>
        <v>1</v>
      </c>
      <c r="I53" s="38">
        <f t="shared" si="13"/>
        <v>3</v>
      </c>
      <c r="J53" s="36">
        <v>45072</v>
      </c>
      <c r="L53" s="6"/>
      <c r="M53" s="25"/>
      <c r="N53" s="19"/>
      <c r="O53" s="55">
        <f t="shared" si="14"/>
        <v>0</v>
      </c>
      <c r="P53" s="31"/>
      <c r="Q53" s="7"/>
      <c r="R53" s="64">
        <f t="shared" si="15"/>
        <v>0</v>
      </c>
      <c r="S53" s="38">
        <f t="shared" si="16"/>
        <v>0</v>
      </c>
      <c r="T53" s="36"/>
    </row>
    <row r="54" spans="2:20" x14ac:dyDescent="0.15">
      <c r="B54" s="6" t="s">
        <v>7</v>
      </c>
      <c r="C54" s="25">
        <v>1</v>
      </c>
      <c r="D54" s="19">
        <v>1</v>
      </c>
      <c r="E54" s="55">
        <f t="shared" si="11"/>
        <v>2</v>
      </c>
      <c r="F54" s="31"/>
      <c r="G54" s="7">
        <v>2</v>
      </c>
      <c r="H54" s="64">
        <f t="shared" si="12"/>
        <v>2</v>
      </c>
      <c r="I54" s="38">
        <f t="shared" si="13"/>
        <v>4</v>
      </c>
      <c r="J54" s="36">
        <v>45075</v>
      </c>
      <c r="L54" s="6"/>
      <c r="M54" s="25"/>
      <c r="N54" s="19"/>
      <c r="O54" s="55">
        <f t="shared" ref="O54:O57" si="22">SUM(M54:N54)</f>
        <v>0</v>
      </c>
      <c r="P54" s="31"/>
      <c r="Q54" s="7"/>
      <c r="R54" s="64">
        <f t="shared" ref="R54:R57" si="23">SUM(P54:Q54)</f>
        <v>0</v>
      </c>
      <c r="S54" s="38">
        <f t="shared" ref="S54:S57" si="24">O54+R54</f>
        <v>0</v>
      </c>
      <c r="T54" s="36"/>
    </row>
    <row r="55" spans="2:20" x14ac:dyDescent="0.15">
      <c r="B55" s="6" t="s">
        <v>7</v>
      </c>
      <c r="C55" s="25"/>
      <c r="D55" s="19">
        <v>1</v>
      </c>
      <c r="E55" s="55">
        <f t="shared" si="11"/>
        <v>1</v>
      </c>
      <c r="F55" s="31"/>
      <c r="G55" s="7">
        <v>2</v>
      </c>
      <c r="H55" s="64">
        <f t="shared" si="12"/>
        <v>2</v>
      </c>
      <c r="I55" s="38">
        <f t="shared" si="13"/>
        <v>3</v>
      </c>
      <c r="J55" s="36">
        <v>45076</v>
      </c>
      <c r="L55" s="6"/>
      <c r="M55" s="25"/>
      <c r="N55" s="19"/>
      <c r="O55" s="55">
        <f t="shared" si="22"/>
        <v>0</v>
      </c>
      <c r="P55" s="31"/>
      <c r="Q55" s="7"/>
      <c r="R55" s="64">
        <f t="shared" si="23"/>
        <v>0</v>
      </c>
      <c r="S55" s="38">
        <f t="shared" si="24"/>
        <v>0</v>
      </c>
      <c r="T55" s="36"/>
    </row>
    <row r="56" spans="2:20" x14ac:dyDescent="0.15">
      <c r="B56" s="6" t="s">
        <v>7</v>
      </c>
      <c r="C56" s="25">
        <v>1</v>
      </c>
      <c r="D56" s="19"/>
      <c r="E56" s="55">
        <f t="shared" si="11"/>
        <v>1</v>
      </c>
      <c r="F56" s="31"/>
      <c r="G56" s="7"/>
      <c r="H56" s="64">
        <f t="shared" si="12"/>
        <v>0</v>
      </c>
      <c r="I56" s="38">
        <f t="shared" si="13"/>
        <v>1</v>
      </c>
      <c r="J56" s="36">
        <v>45077</v>
      </c>
      <c r="L56" s="6"/>
      <c r="M56" s="25"/>
      <c r="N56" s="19"/>
      <c r="O56" s="55">
        <f t="shared" si="22"/>
        <v>0</v>
      </c>
      <c r="P56" s="31"/>
      <c r="Q56" s="7"/>
      <c r="R56" s="64">
        <f t="shared" si="23"/>
        <v>0</v>
      </c>
      <c r="S56" s="38">
        <f t="shared" si="24"/>
        <v>0</v>
      </c>
      <c r="T56" s="36"/>
    </row>
    <row r="57" spans="2:20" x14ac:dyDescent="0.15">
      <c r="B57" s="6" t="s">
        <v>7</v>
      </c>
      <c r="C57" s="25"/>
      <c r="D57" s="19">
        <v>3</v>
      </c>
      <c r="E57" s="55">
        <f t="shared" si="11"/>
        <v>3</v>
      </c>
      <c r="F57" s="31">
        <v>1</v>
      </c>
      <c r="G57" s="7">
        <v>2</v>
      </c>
      <c r="H57" s="64">
        <f t="shared" si="12"/>
        <v>3</v>
      </c>
      <c r="I57" s="38">
        <f t="shared" si="13"/>
        <v>6</v>
      </c>
      <c r="J57" s="36">
        <v>45078</v>
      </c>
      <c r="L57" s="6"/>
      <c r="M57" s="25"/>
      <c r="N57" s="19"/>
      <c r="O57" s="55">
        <f t="shared" si="22"/>
        <v>0</v>
      </c>
      <c r="P57" s="31"/>
      <c r="Q57" s="7"/>
      <c r="R57" s="64">
        <f t="shared" si="23"/>
        <v>0</v>
      </c>
      <c r="S57" s="38">
        <f t="shared" si="24"/>
        <v>0</v>
      </c>
      <c r="T57" s="36"/>
    </row>
    <row r="58" spans="2:20" x14ac:dyDescent="0.15">
      <c r="B58" s="6" t="s">
        <v>7</v>
      </c>
      <c r="C58" s="25"/>
      <c r="D58" s="19">
        <v>2</v>
      </c>
      <c r="E58" s="55">
        <f t="shared" si="11"/>
        <v>2</v>
      </c>
      <c r="F58" s="31"/>
      <c r="G58" s="7"/>
      <c r="H58" s="64">
        <f t="shared" si="12"/>
        <v>0</v>
      </c>
      <c r="I58" s="38">
        <f t="shared" si="13"/>
        <v>2</v>
      </c>
      <c r="J58" s="36">
        <v>45079</v>
      </c>
      <c r="L58" s="6"/>
      <c r="M58" s="25"/>
      <c r="N58" s="19"/>
      <c r="O58" s="55">
        <f t="shared" si="14"/>
        <v>0</v>
      </c>
      <c r="P58" s="31"/>
      <c r="Q58" s="7"/>
      <c r="R58" s="64">
        <f t="shared" si="15"/>
        <v>0</v>
      </c>
      <c r="S58" s="38">
        <f t="shared" si="16"/>
        <v>0</v>
      </c>
      <c r="T58" s="36"/>
    </row>
    <row r="59" spans="2:20" x14ac:dyDescent="0.15">
      <c r="B59" s="6" t="s">
        <v>25</v>
      </c>
      <c r="C59" s="25">
        <v>3</v>
      </c>
      <c r="D59" s="19">
        <v>3</v>
      </c>
      <c r="E59" s="55">
        <f t="shared" si="11"/>
        <v>6</v>
      </c>
      <c r="F59" s="31">
        <v>3</v>
      </c>
      <c r="G59" s="7">
        <v>3</v>
      </c>
      <c r="H59" s="64">
        <f t="shared" si="12"/>
        <v>6</v>
      </c>
      <c r="I59" s="38">
        <f t="shared" si="13"/>
        <v>12</v>
      </c>
      <c r="J59" s="36">
        <v>45080</v>
      </c>
      <c r="L59" s="6"/>
      <c r="M59" s="25"/>
      <c r="N59" s="19"/>
      <c r="O59" s="55">
        <f t="shared" si="14"/>
        <v>0</v>
      </c>
      <c r="P59" s="31"/>
      <c r="Q59" s="7"/>
      <c r="R59" s="64">
        <f t="shared" si="15"/>
        <v>0</v>
      </c>
      <c r="S59" s="38">
        <f t="shared" si="16"/>
        <v>0</v>
      </c>
      <c r="T59" s="36"/>
    </row>
    <row r="60" spans="2:20" x14ac:dyDescent="0.15">
      <c r="B60" s="6" t="s">
        <v>7</v>
      </c>
      <c r="C60" s="25">
        <v>1</v>
      </c>
      <c r="D60" s="19">
        <v>3</v>
      </c>
      <c r="E60" s="55">
        <f t="shared" si="11"/>
        <v>4</v>
      </c>
      <c r="F60" s="31">
        <v>2</v>
      </c>
      <c r="G60" s="7"/>
      <c r="H60" s="64">
        <f t="shared" si="12"/>
        <v>2</v>
      </c>
      <c r="I60" s="38">
        <f t="shared" si="13"/>
        <v>6</v>
      </c>
      <c r="J60" s="36">
        <v>45080</v>
      </c>
      <c r="L60" s="6"/>
      <c r="M60" s="25"/>
      <c r="N60" s="19"/>
      <c r="O60" s="55">
        <f t="shared" si="14"/>
        <v>0</v>
      </c>
      <c r="P60" s="31"/>
      <c r="Q60" s="7"/>
      <c r="R60" s="64">
        <f t="shared" si="15"/>
        <v>0</v>
      </c>
      <c r="S60" s="38">
        <f t="shared" si="16"/>
        <v>0</v>
      </c>
      <c r="T60" s="36"/>
    </row>
    <row r="61" spans="2:20" x14ac:dyDescent="0.15">
      <c r="B61" s="6" t="s">
        <v>7</v>
      </c>
      <c r="C61" s="25">
        <v>2</v>
      </c>
      <c r="D61" s="19">
        <v>3</v>
      </c>
      <c r="E61" s="55">
        <f t="shared" si="11"/>
        <v>5</v>
      </c>
      <c r="F61" s="31">
        <v>1</v>
      </c>
      <c r="G61" s="7">
        <v>1</v>
      </c>
      <c r="H61" s="64">
        <f t="shared" si="12"/>
        <v>2</v>
      </c>
      <c r="I61" s="38">
        <f t="shared" si="13"/>
        <v>7</v>
      </c>
      <c r="J61" s="36">
        <v>45082</v>
      </c>
      <c r="L61" s="6"/>
      <c r="M61" s="25"/>
      <c r="N61" s="19"/>
      <c r="O61" s="55">
        <f t="shared" si="14"/>
        <v>0</v>
      </c>
      <c r="P61" s="31"/>
      <c r="Q61" s="7"/>
      <c r="R61" s="64">
        <f t="shared" si="15"/>
        <v>0</v>
      </c>
      <c r="S61" s="38">
        <f t="shared" si="16"/>
        <v>0</v>
      </c>
      <c r="T61" s="36"/>
    </row>
    <row r="62" spans="2:20" x14ac:dyDescent="0.15">
      <c r="B62" s="6" t="s">
        <v>7</v>
      </c>
      <c r="C62" s="28"/>
      <c r="D62" s="22"/>
      <c r="E62" s="55">
        <f t="shared" si="11"/>
        <v>0</v>
      </c>
      <c r="F62" s="33">
        <v>1</v>
      </c>
      <c r="G62" s="8"/>
      <c r="H62" s="64">
        <f t="shared" si="12"/>
        <v>1</v>
      </c>
      <c r="I62" s="38">
        <f t="shared" si="13"/>
        <v>1</v>
      </c>
      <c r="J62" s="36">
        <v>45083</v>
      </c>
      <c r="L62" s="6"/>
      <c r="M62" s="28"/>
      <c r="N62" s="22"/>
      <c r="O62" s="55">
        <f t="shared" si="14"/>
        <v>0</v>
      </c>
      <c r="P62" s="33"/>
      <c r="Q62" s="8"/>
      <c r="R62" s="64">
        <f t="shared" si="15"/>
        <v>0</v>
      </c>
      <c r="S62" s="38">
        <f t="shared" si="16"/>
        <v>0</v>
      </c>
      <c r="T62" s="37"/>
    </row>
    <row r="63" spans="2:20" x14ac:dyDescent="0.15">
      <c r="B63" s="6" t="s">
        <v>7</v>
      </c>
      <c r="C63" s="28"/>
      <c r="D63" s="22">
        <v>1</v>
      </c>
      <c r="E63" s="55">
        <f t="shared" si="11"/>
        <v>1</v>
      </c>
      <c r="F63" s="33">
        <v>1</v>
      </c>
      <c r="G63" s="8">
        <v>1</v>
      </c>
      <c r="H63" s="64">
        <f t="shared" si="12"/>
        <v>2</v>
      </c>
      <c r="I63" s="38">
        <f t="shared" si="13"/>
        <v>3</v>
      </c>
      <c r="J63" s="37">
        <v>45084</v>
      </c>
      <c r="L63" s="6"/>
      <c r="M63" s="28"/>
      <c r="N63" s="22"/>
      <c r="O63" s="55">
        <f t="shared" si="14"/>
        <v>0</v>
      </c>
      <c r="P63" s="33"/>
      <c r="Q63" s="8"/>
      <c r="R63" s="64">
        <f t="shared" si="15"/>
        <v>0</v>
      </c>
      <c r="S63" s="38">
        <f t="shared" si="16"/>
        <v>0</v>
      </c>
      <c r="T63" s="37"/>
    </row>
    <row r="64" spans="2:20" x14ac:dyDescent="0.15">
      <c r="B64" s="6" t="s">
        <v>7</v>
      </c>
      <c r="C64" s="25"/>
      <c r="D64" s="19">
        <v>2</v>
      </c>
      <c r="E64" s="55">
        <f t="shared" si="11"/>
        <v>2</v>
      </c>
      <c r="F64" s="31"/>
      <c r="G64" s="7"/>
      <c r="H64" s="64">
        <f t="shared" si="12"/>
        <v>0</v>
      </c>
      <c r="I64" s="38">
        <f t="shared" si="13"/>
        <v>2</v>
      </c>
      <c r="J64" s="36">
        <v>45085</v>
      </c>
      <c r="L64" s="6"/>
      <c r="M64" s="25"/>
      <c r="N64" s="19"/>
      <c r="O64" s="55">
        <f t="shared" si="14"/>
        <v>0</v>
      </c>
      <c r="P64" s="31"/>
      <c r="Q64" s="7"/>
      <c r="R64" s="64">
        <f t="shared" si="15"/>
        <v>0</v>
      </c>
      <c r="S64" s="38">
        <f t="shared" si="16"/>
        <v>0</v>
      </c>
      <c r="T64" s="36"/>
    </row>
    <row r="65" spans="2:20" x14ac:dyDescent="0.15">
      <c r="B65" s="6" t="s">
        <v>26</v>
      </c>
      <c r="C65" s="25">
        <v>2</v>
      </c>
      <c r="D65" s="19">
        <v>1</v>
      </c>
      <c r="E65" s="55">
        <f t="shared" si="11"/>
        <v>3</v>
      </c>
      <c r="F65" s="31"/>
      <c r="G65" s="7"/>
      <c r="H65" s="64">
        <f t="shared" si="12"/>
        <v>0</v>
      </c>
      <c r="I65" s="38">
        <f t="shared" si="13"/>
        <v>3</v>
      </c>
      <c r="J65" s="36">
        <v>45087</v>
      </c>
      <c r="L65" s="6"/>
      <c r="M65" s="28"/>
      <c r="N65" s="22"/>
      <c r="O65" s="55">
        <f t="shared" si="14"/>
        <v>0</v>
      </c>
      <c r="P65" s="33"/>
      <c r="Q65" s="8"/>
      <c r="R65" s="64">
        <f t="shared" si="15"/>
        <v>0</v>
      </c>
      <c r="S65" s="38">
        <f t="shared" si="16"/>
        <v>0</v>
      </c>
      <c r="T65" s="37"/>
    </row>
    <row r="66" spans="2:20" x14ac:dyDescent="0.15">
      <c r="B66" s="6" t="s">
        <v>28</v>
      </c>
      <c r="C66" s="25">
        <v>1</v>
      </c>
      <c r="D66" s="19"/>
      <c r="E66" s="55">
        <f t="shared" si="11"/>
        <v>1</v>
      </c>
      <c r="F66" s="31"/>
      <c r="G66" s="7"/>
      <c r="H66" s="64">
        <f t="shared" si="12"/>
        <v>0</v>
      </c>
      <c r="I66" s="38">
        <f t="shared" si="13"/>
        <v>1</v>
      </c>
      <c r="J66" s="36">
        <v>45086</v>
      </c>
      <c r="L66" s="6"/>
      <c r="M66" s="28"/>
      <c r="N66" s="22"/>
      <c r="O66" s="55">
        <f t="shared" si="14"/>
        <v>0</v>
      </c>
      <c r="P66" s="33"/>
      <c r="Q66" s="8"/>
      <c r="R66" s="64">
        <f t="shared" si="15"/>
        <v>0</v>
      </c>
      <c r="S66" s="38">
        <f t="shared" si="16"/>
        <v>0</v>
      </c>
      <c r="T66" s="37"/>
    </row>
    <row r="67" spans="2:20" x14ac:dyDescent="0.15">
      <c r="B67" s="6" t="s">
        <v>7</v>
      </c>
      <c r="C67" s="28">
        <f>3+2</f>
        <v>5</v>
      </c>
      <c r="D67" s="22">
        <f>5+5</f>
        <v>10</v>
      </c>
      <c r="E67" s="55">
        <f t="shared" si="11"/>
        <v>15</v>
      </c>
      <c r="F67" s="33">
        <f>1+1</f>
        <v>2</v>
      </c>
      <c r="G67" s="8">
        <f>1+2</f>
        <v>3</v>
      </c>
      <c r="H67" s="64">
        <f t="shared" si="12"/>
        <v>5</v>
      </c>
      <c r="I67" s="38">
        <f t="shared" si="13"/>
        <v>20</v>
      </c>
      <c r="J67" s="37">
        <v>45089</v>
      </c>
      <c r="L67" s="6"/>
      <c r="M67" s="28"/>
      <c r="N67" s="22"/>
      <c r="O67" s="55">
        <f t="shared" si="14"/>
        <v>0</v>
      </c>
      <c r="P67" s="33"/>
      <c r="Q67" s="8"/>
      <c r="R67" s="64">
        <f t="shared" si="15"/>
        <v>0</v>
      </c>
      <c r="S67" s="38">
        <f t="shared" si="16"/>
        <v>0</v>
      </c>
      <c r="T67" s="37"/>
    </row>
    <row r="68" spans="2:20" x14ac:dyDescent="0.15">
      <c r="B68" s="6" t="s">
        <v>26</v>
      </c>
      <c r="C68" s="25">
        <f>1+1</f>
        <v>2</v>
      </c>
      <c r="D68" s="19">
        <f>2+1</f>
        <v>3</v>
      </c>
      <c r="E68" s="55">
        <f t="shared" si="11"/>
        <v>5</v>
      </c>
      <c r="F68" s="31">
        <v>1</v>
      </c>
      <c r="G68" s="7">
        <f>1+1</f>
        <v>2</v>
      </c>
      <c r="H68" s="64">
        <f t="shared" si="12"/>
        <v>3</v>
      </c>
      <c r="I68" s="38">
        <f t="shared" si="13"/>
        <v>8</v>
      </c>
      <c r="J68" s="36">
        <v>45091</v>
      </c>
      <c r="L68" s="6"/>
      <c r="M68" s="28"/>
      <c r="N68" s="22"/>
      <c r="O68" s="55">
        <f t="shared" si="14"/>
        <v>0</v>
      </c>
      <c r="P68" s="33"/>
      <c r="Q68" s="8"/>
      <c r="R68" s="64">
        <f t="shared" si="15"/>
        <v>0</v>
      </c>
      <c r="S68" s="38">
        <f t="shared" si="16"/>
        <v>0</v>
      </c>
      <c r="T68" s="37"/>
    </row>
    <row r="69" spans="2:20" x14ac:dyDescent="0.15">
      <c r="B69" s="6" t="s">
        <v>7</v>
      </c>
      <c r="C69" s="28"/>
      <c r="D69" s="22">
        <v>1</v>
      </c>
      <c r="E69" s="55">
        <f t="shared" si="11"/>
        <v>1</v>
      </c>
      <c r="F69" s="33"/>
      <c r="G69" s="8">
        <v>2</v>
      </c>
      <c r="H69" s="64">
        <f t="shared" si="12"/>
        <v>2</v>
      </c>
      <c r="I69" s="38">
        <f t="shared" si="13"/>
        <v>3</v>
      </c>
      <c r="J69" s="37">
        <v>45090</v>
      </c>
      <c r="L69" s="6"/>
      <c r="M69" s="28"/>
      <c r="N69" s="22"/>
      <c r="O69" s="55">
        <f t="shared" si="14"/>
        <v>0</v>
      </c>
      <c r="P69" s="33"/>
      <c r="Q69" s="8"/>
      <c r="R69" s="64">
        <f t="shared" si="15"/>
        <v>0</v>
      </c>
      <c r="S69" s="38">
        <f t="shared" si="16"/>
        <v>0</v>
      </c>
      <c r="T69" s="37"/>
    </row>
    <row r="70" spans="2:20" x14ac:dyDescent="0.15">
      <c r="B70" s="6" t="s">
        <v>29</v>
      </c>
      <c r="C70" s="25">
        <v>3</v>
      </c>
      <c r="D70" s="19">
        <v>5</v>
      </c>
      <c r="E70" s="55">
        <f t="shared" si="11"/>
        <v>8</v>
      </c>
      <c r="F70" s="31"/>
      <c r="G70" s="7">
        <v>5</v>
      </c>
      <c r="H70" s="64">
        <f t="shared" si="12"/>
        <v>5</v>
      </c>
      <c r="I70" s="38">
        <f t="shared" si="13"/>
        <v>13</v>
      </c>
      <c r="J70" s="36">
        <v>45091</v>
      </c>
      <c r="L70" s="6"/>
      <c r="M70" s="28"/>
      <c r="N70" s="22"/>
      <c r="O70" s="55">
        <f t="shared" si="14"/>
        <v>0</v>
      </c>
      <c r="P70" s="33"/>
      <c r="Q70" s="8"/>
      <c r="R70" s="64">
        <f t="shared" si="15"/>
        <v>0</v>
      </c>
      <c r="S70" s="38">
        <f t="shared" si="16"/>
        <v>0</v>
      </c>
      <c r="T70" s="37"/>
    </row>
    <row r="71" spans="2:20" x14ac:dyDescent="0.15">
      <c r="B71" s="6" t="s">
        <v>7</v>
      </c>
      <c r="C71" s="25"/>
      <c r="D71" s="19">
        <v>1</v>
      </c>
      <c r="E71" s="55">
        <f t="shared" si="11"/>
        <v>1</v>
      </c>
      <c r="F71" s="31"/>
      <c r="G71" s="7"/>
      <c r="H71" s="64">
        <f t="shared" si="12"/>
        <v>0</v>
      </c>
      <c r="I71" s="38">
        <f t="shared" si="13"/>
        <v>1</v>
      </c>
      <c r="J71" s="36">
        <v>45091</v>
      </c>
      <c r="L71" s="6"/>
      <c r="M71" s="25"/>
      <c r="N71" s="19"/>
      <c r="O71" s="55">
        <f t="shared" si="14"/>
        <v>0</v>
      </c>
      <c r="P71" s="31"/>
      <c r="Q71" s="7"/>
      <c r="R71" s="64">
        <f t="shared" si="15"/>
        <v>0</v>
      </c>
      <c r="S71" s="38">
        <f t="shared" si="16"/>
        <v>0</v>
      </c>
      <c r="T71" s="36"/>
    </row>
    <row r="72" spans="2:20" x14ac:dyDescent="0.15">
      <c r="B72" s="6" t="s">
        <v>7</v>
      </c>
      <c r="C72" s="25">
        <v>1</v>
      </c>
      <c r="D72" s="19">
        <v>2</v>
      </c>
      <c r="E72" s="55">
        <f t="shared" si="11"/>
        <v>3</v>
      </c>
      <c r="F72" s="31"/>
      <c r="G72" s="7">
        <v>1</v>
      </c>
      <c r="H72" s="64">
        <f t="shared" si="12"/>
        <v>1</v>
      </c>
      <c r="I72" s="38">
        <f t="shared" si="13"/>
        <v>4</v>
      </c>
      <c r="J72" s="36">
        <v>45092</v>
      </c>
      <c r="L72" s="6"/>
      <c r="M72" s="25"/>
      <c r="N72" s="19"/>
      <c r="O72" s="55">
        <f t="shared" si="14"/>
        <v>0</v>
      </c>
      <c r="P72" s="31"/>
      <c r="Q72" s="7"/>
      <c r="R72" s="64">
        <f t="shared" si="15"/>
        <v>0</v>
      </c>
      <c r="S72" s="38">
        <f t="shared" si="16"/>
        <v>0</v>
      </c>
      <c r="T72" s="36"/>
    </row>
    <row r="73" spans="2:20" x14ac:dyDescent="0.15">
      <c r="B73" s="6" t="s">
        <v>7</v>
      </c>
      <c r="C73" s="25">
        <v>1</v>
      </c>
      <c r="D73" s="19"/>
      <c r="E73" s="55">
        <f t="shared" si="11"/>
        <v>1</v>
      </c>
      <c r="F73" s="31"/>
      <c r="G73" s="7"/>
      <c r="H73" s="64">
        <f t="shared" si="12"/>
        <v>0</v>
      </c>
      <c r="I73" s="38">
        <f t="shared" si="13"/>
        <v>1</v>
      </c>
      <c r="J73" s="36">
        <v>45094</v>
      </c>
      <c r="L73" s="6"/>
      <c r="M73" s="25"/>
      <c r="N73" s="19"/>
      <c r="O73" s="55">
        <f t="shared" si="14"/>
        <v>0</v>
      </c>
      <c r="P73" s="31"/>
      <c r="Q73" s="7"/>
      <c r="R73" s="64">
        <f t="shared" si="15"/>
        <v>0</v>
      </c>
      <c r="S73" s="38">
        <f t="shared" si="16"/>
        <v>0</v>
      </c>
      <c r="T73" s="36"/>
    </row>
    <row r="74" spans="2:20" x14ac:dyDescent="0.15">
      <c r="B74" s="6" t="s">
        <v>30</v>
      </c>
      <c r="C74" s="25">
        <v>3</v>
      </c>
      <c r="D74" s="19"/>
      <c r="E74" s="55">
        <f t="shared" si="11"/>
        <v>3</v>
      </c>
      <c r="F74" s="31">
        <v>2</v>
      </c>
      <c r="G74" s="7"/>
      <c r="H74" s="64">
        <f t="shared" si="12"/>
        <v>2</v>
      </c>
      <c r="I74" s="38">
        <f t="shared" si="13"/>
        <v>5</v>
      </c>
      <c r="J74" s="36">
        <v>45097</v>
      </c>
      <c r="L74" s="6"/>
      <c r="M74" s="25"/>
      <c r="N74" s="19"/>
      <c r="O74" s="55">
        <f t="shared" si="14"/>
        <v>0</v>
      </c>
      <c r="P74" s="31"/>
      <c r="Q74" s="7"/>
      <c r="R74" s="64">
        <f t="shared" si="15"/>
        <v>0</v>
      </c>
      <c r="S74" s="38">
        <f t="shared" si="16"/>
        <v>0</v>
      </c>
      <c r="T74" s="36"/>
    </row>
    <row r="75" spans="2:20" x14ac:dyDescent="0.15">
      <c r="B75" s="6" t="s">
        <v>7</v>
      </c>
      <c r="C75" s="25"/>
      <c r="D75" s="19">
        <v>1</v>
      </c>
      <c r="E75" s="55">
        <f t="shared" si="11"/>
        <v>1</v>
      </c>
      <c r="F75" s="31"/>
      <c r="G75" s="7">
        <v>1</v>
      </c>
      <c r="H75" s="64">
        <f t="shared" si="12"/>
        <v>1</v>
      </c>
      <c r="I75" s="38">
        <f t="shared" si="13"/>
        <v>2</v>
      </c>
      <c r="J75" s="36">
        <v>45096</v>
      </c>
      <c r="L75" s="6"/>
      <c r="M75" s="25"/>
      <c r="N75" s="19"/>
      <c r="O75" s="55">
        <f t="shared" si="14"/>
        <v>0</v>
      </c>
      <c r="P75" s="31"/>
      <c r="Q75" s="7"/>
      <c r="R75" s="64">
        <f t="shared" si="15"/>
        <v>0</v>
      </c>
      <c r="S75" s="38">
        <f t="shared" si="16"/>
        <v>0</v>
      </c>
      <c r="T75" s="36"/>
    </row>
    <row r="76" spans="2:20" ht="14.25" thickBot="1" x14ac:dyDescent="0.2">
      <c r="B76" s="6" t="s">
        <v>7</v>
      </c>
      <c r="C76" s="29">
        <v>1</v>
      </c>
      <c r="D76" s="20">
        <v>1</v>
      </c>
      <c r="E76" s="56">
        <f t="shared" si="11"/>
        <v>2</v>
      </c>
      <c r="F76" s="32">
        <v>1</v>
      </c>
      <c r="G76" s="5">
        <f>2+1</f>
        <v>3</v>
      </c>
      <c r="H76" s="65">
        <f t="shared" si="12"/>
        <v>4</v>
      </c>
      <c r="I76" s="39">
        <f t="shared" si="13"/>
        <v>6</v>
      </c>
      <c r="J76" s="36">
        <v>45097</v>
      </c>
      <c r="L76" s="6"/>
      <c r="M76" s="25"/>
      <c r="N76" s="19"/>
      <c r="O76" s="55">
        <f t="shared" ref="O76" si="25">SUM(M76:N76)</f>
        <v>0</v>
      </c>
      <c r="P76" s="31"/>
      <c r="Q76" s="7"/>
      <c r="R76" s="64">
        <f t="shared" ref="R76" si="26">SUM(P76:Q76)</f>
        <v>0</v>
      </c>
      <c r="S76" s="38">
        <f t="shared" ref="S76" si="27">O76+R76</f>
        <v>0</v>
      </c>
      <c r="T76" s="36"/>
    </row>
    <row r="77" spans="2:20" ht="14.25" thickBot="1" x14ac:dyDescent="0.2">
      <c r="B77" s="4" t="s">
        <v>1</v>
      </c>
      <c r="C77" s="27">
        <f>SUM(C52:C76)</f>
        <v>28</v>
      </c>
      <c r="D77" s="21">
        <f>SUM(D52:D76)</f>
        <v>46</v>
      </c>
      <c r="E77" s="57">
        <f t="shared" si="11"/>
        <v>74</v>
      </c>
      <c r="F77" s="27">
        <f>SUM(F52:F76)</f>
        <v>15</v>
      </c>
      <c r="G77" s="21">
        <f>SUM(G52:G76)</f>
        <v>30</v>
      </c>
      <c r="H77" s="66">
        <f t="shared" si="12"/>
        <v>45</v>
      </c>
      <c r="I77" s="40">
        <f t="shared" si="13"/>
        <v>119</v>
      </c>
      <c r="L77" s="4" t="s">
        <v>1</v>
      </c>
      <c r="M77" s="27">
        <f>SUM(M52:M76)</f>
        <v>4</v>
      </c>
      <c r="N77" s="21">
        <f>SUM(N52:N76)</f>
        <v>1</v>
      </c>
      <c r="O77" s="57">
        <f t="shared" si="14"/>
        <v>5</v>
      </c>
      <c r="P77" s="27">
        <f>SUM(P52:P76)</f>
        <v>0</v>
      </c>
      <c r="Q77" s="21">
        <f>SUM(Q52:Q76)</f>
        <v>0</v>
      </c>
      <c r="R77" s="66">
        <f t="shared" si="15"/>
        <v>0</v>
      </c>
      <c r="S77" s="40">
        <f t="shared" si="16"/>
        <v>5</v>
      </c>
      <c r="T77" s="35"/>
    </row>
    <row r="78" spans="2:20" ht="14.25" thickBot="1" x14ac:dyDescent="0.2">
      <c r="B78" s="3" t="s">
        <v>0</v>
      </c>
      <c r="C78" s="30">
        <f>+C51-C77</f>
        <v>31</v>
      </c>
      <c r="D78" s="2">
        <f>+D51-D77</f>
        <v>25</v>
      </c>
      <c r="E78" s="58">
        <f t="shared" si="11"/>
        <v>56</v>
      </c>
      <c r="F78" s="30">
        <f>+F51-F77</f>
        <v>40</v>
      </c>
      <c r="G78" s="2">
        <f>+G51-G77</f>
        <v>44</v>
      </c>
      <c r="H78" s="67">
        <f t="shared" si="12"/>
        <v>84</v>
      </c>
      <c r="I78" s="42">
        <f t="shared" si="13"/>
        <v>140</v>
      </c>
      <c r="L78" s="3" t="s">
        <v>0</v>
      </c>
      <c r="M78" s="30">
        <f>+M51-M77</f>
        <v>56</v>
      </c>
      <c r="N78" s="2">
        <f>+N51-N77</f>
        <v>89</v>
      </c>
      <c r="O78" s="58">
        <f t="shared" si="14"/>
        <v>145</v>
      </c>
      <c r="P78" s="30">
        <f>+P51-P77</f>
        <v>50</v>
      </c>
      <c r="Q78" s="2">
        <f>+Q51-Q77</f>
        <v>60</v>
      </c>
      <c r="R78" s="67">
        <f t="shared" si="15"/>
        <v>110</v>
      </c>
      <c r="S78" s="42">
        <f t="shared" si="16"/>
        <v>255</v>
      </c>
      <c r="T78" s="35"/>
    </row>
    <row r="79" spans="2:20" x14ac:dyDescent="0.15">
      <c r="L79" s="1"/>
      <c r="T79" s="35"/>
    </row>
    <row r="80" spans="2:20" x14ac:dyDescent="0.15">
      <c r="B80"/>
      <c r="J80"/>
    </row>
    <row r="81" spans="1:20" ht="18.75" x14ac:dyDescent="0.2">
      <c r="B81" s="16" t="s">
        <v>21</v>
      </c>
      <c r="C81" s="15"/>
      <c r="D81" s="15"/>
      <c r="E81" s="15"/>
      <c r="F81" s="15"/>
      <c r="G81" s="15"/>
      <c r="H81" s="15"/>
      <c r="I81" s="15"/>
      <c r="L81" s="71" t="s">
        <v>22</v>
      </c>
      <c r="M81" s="72"/>
      <c r="N81" s="72"/>
      <c r="O81" s="72"/>
      <c r="P81" s="72"/>
      <c r="Q81" s="72"/>
      <c r="R81" s="72"/>
      <c r="S81" s="72"/>
      <c r="T81" s="35"/>
    </row>
    <row r="82" spans="1:20" ht="18" thickBot="1" x14ac:dyDescent="0.25">
      <c r="B82" s="17" t="s">
        <v>23</v>
      </c>
      <c r="C82" s="15"/>
      <c r="D82" s="15"/>
      <c r="E82" s="15"/>
      <c r="F82" s="15"/>
      <c r="G82" s="15"/>
      <c r="H82" s="15"/>
      <c r="I82" s="15"/>
      <c r="L82" s="73" t="s">
        <v>23</v>
      </c>
      <c r="M82" s="72"/>
      <c r="N82" s="72"/>
      <c r="O82" s="72"/>
      <c r="P82" s="72"/>
      <c r="Q82" s="72"/>
      <c r="R82" s="72"/>
      <c r="S82" s="72"/>
      <c r="T82" s="35"/>
    </row>
    <row r="83" spans="1:20" ht="14.25" thickBot="1" x14ac:dyDescent="0.2">
      <c r="B83" s="14"/>
      <c r="C83" s="113" t="s">
        <v>12</v>
      </c>
      <c r="D83" s="114"/>
      <c r="E83" s="115"/>
      <c r="F83" s="116" t="s">
        <v>11</v>
      </c>
      <c r="G83" s="117"/>
      <c r="H83" s="118"/>
      <c r="I83" s="120" t="s">
        <v>19</v>
      </c>
      <c r="L83" s="14"/>
      <c r="M83" s="113" t="s">
        <v>12</v>
      </c>
      <c r="N83" s="114"/>
      <c r="O83" s="115"/>
      <c r="P83" s="116" t="s">
        <v>11</v>
      </c>
      <c r="Q83" s="117"/>
      <c r="R83" s="118"/>
      <c r="S83" s="120" t="s">
        <v>19</v>
      </c>
      <c r="T83" s="35"/>
    </row>
    <row r="84" spans="1:20" ht="14.25" thickBot="1" x14ac:dyDescent="0.2">
      <c r="A84" s="1"/>
      <c r="B84" s="13"/>
      <c r="C84" s="23" t="s">
        <v>6</v>
      </c>
      <c r="D84" s="12" t="s">
        <v>5</v>
      </c>
      <c r="E84" s="50" t="s">
        <v>4</v>
      </c>
      <c r="F84" s="23" t="s">
        <v>6</v>
      </c>
      <c r="G84" s="12" t="s">
        <v>5</v>
      </c>
      <c r="H84" s="59" t="s">
        <v>4</v>
      </c>
      <c r="I84" s="121"/>
      <c r="K84" s="1"/>
      <c r="L84" s="13"/>
      <c r="M84" s="23" t="s">
        <v>6</v>
      </c>
      <c r="N84" s="12" t="s">
        <v>5</v>
      </c>
      <c r="O84" s="50" t="s">
        <v>4</v>
      </c>
      <c r="P84" s="23" t="s">
        <v>6</v>
      </c>
      <c r="Q84" s="12" t="s">
        <v>5</v>
      </c>
      <c r="R84" s="59" t="s">
        <v>4</v>
      </c>
      <c r="S84" s="121"/>
      <c r="T84" s="35"/>
    </row>
    <row r="85" spans="1:20" x14ac:dyDescent="0.15">
      <c r="B85" s="46" t="s">
        <v>0</v>
      </c>
      <c r="C85" s="47">
        <f>C78</f>
        <v>31</v>
      </c>
      <c r="D85" s="48">
        <f t="shared" ref="D85:H85" si="28">D78</f>
        <v>25</v>
      </c>
      <c r="E85" s="68">
        <f t="shared" si="28"/>
        <v>56</v>
      </c>
      <c r="F85" s="47">
        <f t="shared" si="28"/>
        <v>40</v>
      </c>
      <c r="G85" s="48">
        <f t="shared" si="28"/>
        <v>44</v>
      </c>
      <c r="H85" s="69">
        <f t="shared" si="28"/>
        <v>84</v>
      </c>
      <c r="I85" s="41">
        <f>E85+H85</f>
        <v>140</v>
      </c>
      <c r="J85" s="36"/>
      <c r="L85" s="46" t="s">
        <v>0</v>
      </c>
      <c r="M85" s="47">
        <f>M78</f>
        <v>56</v>
      </c>
      <c r="N85" s="48">
        <f t="shared" ref="N85:R85" si="29">N78</f>
        <v>89</v>
      </c>
      <c r="O85" s="68">
        <f t="shared" si="29"/>
        <v>145</v>
      </c>
      <c r="P85" s="47">
        <f t="shared" si="29"/>
        <v>50</v>
      </c>
      <c r="Q85" s="48">
        <f t="shared" si="29"/>
        <v>60</v>
      </c>
      <c r="R85" s="69">
        <f t="shared" si="29"/>
        <v>110</v>
      </c>
      <c r="S85" s="41">
        <f>O85+R85</f>
        <v>255</v>
      </c>
      <c r="T85" s="36"/>
    </row>
    <row r="86" spans="1:20" x14ac:dyDescent="0.15">
      <c r="B86" s="11" t="s">
        <v>3</v>
      </c>
      <c r="C86" s="25"/>
      <c r="D86" s="19">
        <v>10</v>
      </c>
      <c r="E86" s="52">
        <f t="shared" ref="E86:E87" si="30">SUM(C86:D86)</f>
        <v>10</v>
      </c>
      <c r="F86" s="31"/>
      <c r="G86" s="7"/>
      <c r="H86" s="61">
        <f t="shared" ref="H86:H87" si="31">SUM(F86:G86)</f>
        <v>0</v>
      </c>
      <c r="I86" s="38">
        <f t="shared" ref="I86:I87" si="32">E86+H86</f>
        <v>10</v>
      </c>
      <c r="J86" s="36">
        <v>45105</v>
      </c>
      <c r="L86" s="11" t="s">
        <v>3</v>
      </c>
      <c r="M86" s="25"/>
      <c r="N86" s="19"/>
      <c r="O86" s="52">
        <f t="shared" ref="O86:O118" si="33">SUM(M86:N86)</f>
        <v>0</v>
      </c>
      <c r="P86" s="31"/>
      <c r="Q86" s="7"/>
      <c r="R86" s="61">
        <f t="shared" ref="R86:R118" si="34">SUM(P86:Q86)</f>
        <v>0</v>
      </c>
      <c r="S86" s="38">
        <f t="shared" ref="S86:S118" si="35">O86+R86</f>
        <v>0</v>
      </c>
      <c r="T86" s="36"/>
    </row>
    <row r="87" spans="1:20" x14ac:dyDescent="0.15">
      <c r="B87" s="11" t="s">
        <v>3</v>
      </c>
      <c r="C87" s="25"/>
      <c r="D87" s="19">
        <v>10</v>
      </c>
      <c r="E87" s="52">
        <f t="shared" si="30"/>
        <v>10</v>
      </c>
      <c r="F87" s="31"/>
      <c r="G87" s="7"/>
      <c r="H87" s="61">
        <f t="shared" si="31"/>
        <v>0</v>
      </c>
      <c r="I87" s="38">
        <f t="shared" si="32"/>
        <v>10</v>
      </c>
      <c r="J87" s="36">
        <v>45112</v>
      </c>
      <c r="L87" s="11" t="s">
        <v>3</v>
      </c>
      <c r="M87" s="25">
        <v>40</v>
      </c>
      <c r="N87" s="19">
        <v>60</v>
      </c>
      <c r="O87" s="52">
        <f t="shared" ref="O87" si="36">SUM(M87:N87)</f>
        <v>100</v>
      </c>
      <c r="P87" s="31">
        <v>30</v>
      </c>
      <c r="Q87" s="7">
        <v>40</v>
      </c>
      <c r="R87" s="61">
        <f t="shared" ref="R87" si="37">SUM(P87:Q87)</f>
        <v>70</v>
      </c>
      <c r="S87" s="38">
        <f t="shared" ref="S87" si="38">O87+R87</f>
        <v>170</v>
      </c>
      <c r="T87" s="36" t="s">
        <v>36</v>
      </c>
    </row>
    <row r="88" spans="1:20" x14ac:dyDescent="0.15">
      <c r="B88" s="11" t="s">
        <v>3</v>
      </c>
      <c r="C88" s="25">
        <v>20</v>
      </c>
      <c r="D88" s="19">
        <v>20</v>
      </c>
      <c r="E88" s="52">
        <f t="shared" ref="E88:E118" si="39">SUM(C88:D88)</f>
        <v>40</v>
      </c>
      <c r="F88" s="31"/>
      <c r="G88" s="7"/>
      <c r="H88" s="61">
        <f t="shared" ref="H88:H118" si="40">SUM(F88:G88)</f>
        <v>0</v>
      </c>
      <c r="I88" s="38">
        <f t="shared" ref="I88:I118" si="41">E88+H88</f>
        <v>40</v>
      </c>
      <c r="J88" s="36">
        <v>45114</v>
      </c>
      <c r="L88" s="11" t="s">
        <v>3</v>
      </c>
      <c r="M88" s="25"/>
      <c r="N88" s="19"/>
      <c r="O88" s="52">
        <f t="shared" si="33"/>
        <v>0</v>
      </c>
      <c r="P88" s="31"/>
      <c r="Q88" s="7"/>
      <c r="R88" s="61">
        <f t="shared" si="34"/>
        <v>0</v>
      </c>
      <c r="S88" s="38">
        <f t="shared" si="35"/>
        <v>0</v>
      </c>
      <c r="T88" s="36"/>
    </row>
    <row r="89" spans="1:20" x14ac:dyDescent="0.15">
      <c r="B89" s="11" t="s">
        <v>3</v>
      </c>
      <c r="C89" s="25"/>
      <c r="D89" s="19">
        <v>20</v>
      </c>
      <c r="E89" s="52">
        <f t="shared" si="39"/>
        <v>20</v>
      </c>
      <c r="F89" s="31"/>
      <c r="G89" s="7">
        <v>10</v>
      </c>
      <c r="H89" s="61">
        <f t="shared" si="40"/>
        <v>10</v>
      </c>
      <c r="I89" s="38">
        <f t="shared" si="41"/>
        <v>30</v>
      </c>
      <c r="J89" s="36">
        <v>45120</v>
      </c>
      <c r="L89" s="11" t="s">
        <v>3</v>
      </c>
      <c r="M89" s="25"/>
      <c r="N89" s="19"/>
      <c r="O89" s="52">
        <f t="shared" ref="O89" si="42">SUM(M89:N89)</f>
        <v>0</v>
      </c>
      <c r="P89" s="31"/>
      <c r="Q89" s="7"/>
      <c r="R89" s="61">
        <f t="shared" ref="R89" si="43">SUM(P89:Q89)</f>
        <v>0</v>
      </c>
      <c r="S89" s="38">
        <f t="shared" ref="S89" si="44">O89+R89</f>
        <v>0</v>
      </c>
      <c r="T89" s="36"/>
    </row>
    <row r="90" spans="1:20" ht="14.25" thickBot="1" x14ac:dyDescent="0.2">
      <c r="B90" s="10" t="s">
        <v>3</v>
      </c>
      <c r="C90" s="26"/>
      <c r="D90" s="20"/>
      <c r="E90" s="53">
        <f t="shared" si="39"/>
        <v>0</v>
      </c>
      <c r="F90" s="32"/>
      <c r="G90" s="5"/>
      <c r="H90" s="62">
        <f t="shared" si="40"/>
        <v>0</v>
      </c>
      <c r="I90" s="39">
        <f t="shared" si="41"/>
        <v>0</v>
      </c>
      <c r="J90" s="36"/>
      <c r="L90" s="10" t="s">
        <v>3</v>
      </c>
      <c r="M90" s="26"/>
      <c r="N90" s="20"/>
      <c r="O90" s="53">
        <f t="shared" si="33"/>
        <v>0</v>
      </c>
      <c r="P90" s="32"/>
      <c r="Q90" s="5"/>
      <c r="R90" s="62">
        <f t="shared" si="34"/>
        <v>0</v>
      </c>
      <c r="S90" s="39">
        <f t="shared" si="35"/>
        <v>0</v>
      </c>
      <c r="T90" s="36"/>
    </row>
    <row r="91" spans="1:20" ht="14.25" thickBot="1" x14ac:dyDescent="0.2">
      <c r="B91" s="43" t="s">
        <v>2</v>
      </c>
      <c r="C91" s="44">
        <f>SUM(C85:C90)</f>
        <v>51</v>
      </c>
      <c r="D91" s="45">
        <f>SUM(D85:D90)</f>
        <v>85</v>
      </c>
      <c r="E91" s="54">
        <f t="shared" si="39"/>
        <v>136</v>
      </c>
      <c r="F91" s="44">
        <f>SUM(F85:F90)</f>
        <v>40</v>
      </c>
      <c r="G91" s="45">
        <f>SUM(G85:G90)</f>
        <v>54</v>
      </c>
      <c r="H91" s="63">
        <f t="shared" si="40"/>
        <v>94</v>
      </c>
      <c r="I91" s="42">
        <f t="shared" si="41"/>
        <v>230</v>
      </c>
      <c r="L91" s="43" t="s">
        <v>2</v>
      </c>
      <c r="M91" s="44">
        <f>SUM(M85:M90)</f>
        <v>96</v>
      </c>
      <c r="N91" s="45">
        <f>SUM(N85:N90)</f>
        <v>149</v>
      </c>
      <c r="O91" s="54">
        <f t="shared" si="33"/>
        <v>245</v>
      </c>
      <c r="P91" s="44">
        <f>SUM(P85:P90)</f>
        <v>80</v>
      </c>
      <c r="Q91" s="45">
        <f>SUM(Q85:Q90)</f>
        <v>100</v>
      </c>
      <c r="R91" s="63">
        <f t="shared" si="34"/>
        <v>180</v>
      </c>
      <c r="S91" s="42">
        <f t="shared" si="35"/>
        <v>425</v>
      </c>
      <c r="T91" s="35"/>
    </row>
    <row r="92" spans="1:20" x14ac:dyDescent="0.15">
      <c r="B92" s="9" t="s">
        <v>31</v>
      </c>
      <c r="C92" s="24">
        <v>2</v>
      </c>
      <c r="D92" s="18">
        <v>5</v>
      </c>
      <c r="E92" s="55">
        <f t="shared" si="39"/>
        <v>7</v>
      </c>
      <c r="F92" s="31">
        <v>3</v>
      </c>
      <c r="G92" s="7">
        <v>2</v>
      </c>
      <c r="H92" s="64">
        <f t="shared" si="40"/>
        <v>5</v>
      </c>
      <c r="I92" s="38">
        <f t="shared" si="41"/>
        <v>12</v>
      </c>
      <c r="J92" s="36">
        <v>45099</v>
      </c>
      <c r="L92" s="9" t="s">
        <v>32</v>
      </c>
      <c r="M92" s="24"/>
      <c r="N92" s="18">
        <v>10</v>
      </c>
      <c r="O92" s="55">
        <f t="shared" si="33"/>
        <v>10</v>
      </c>
      <c r="P92" s="31"/>
      <c r="Q92" s="7"/>
      <c r="R92" s="64">
        <f t="shared" si="34"/>
        <v>0</v>
      </c>
      <c r="S92" s="38">
        <f t="shared" si="35"/>
        <v>10</v>
      </c>
      <c r="T92" s="36">
        <v>45105</v>
      </c>
    </row>
    <row r="93" spans="1:20" x14ac:dyDescent="0.15">
      <c r="B93" s="6" t="s">
        <v>7</v>
      </c>
      <c r="C93" s="25">
        <v>2</v>
      </c>
      <c r="D93" s="19">
        <f>1+2</f>
        <v>3</v>
      </c>
      <c r="E93" s="55">
        <f t="shared" si="39"/>
        <v>5</v>
      </c>
      <c r="F93" s="31">
        <v>1</v>
      </c>
      <c r="G93" s="7">
        <f>1+1</f>
        <v>2</v>
      </c>
      <c r="H93" s="64">
        <f t="shared" si="40"/>
        <v>3</v>
      </c>
      <c r="I93" s="38">
        <f t="shared" si="41"/>
        <v>8</v>
      </c>
      <c r="J93" s="36">
        <v>45098</v>
      </c>
      <c r="L93" s="6" t="s">
        <v>35</v>
      </c>
      <c r="M93" s="25"/>
      <c r="N93" s="19">
        <v>4</v>
      </c>
      <c r="O93" s="55">
        <f t="shared" si="33"/>
        <v>4</v>
      </c>
      <c r="P93" s="31"/>
      <c r="Q93" s="7">
        <v>1</v>
      </c>
      <c r="R93" s="64">
        <f t="shared" si="34"/>
        <v>1</v>
      </c>
      <c r="S93" s="38">
        <f t="shared" si="35"/>
        <v>5</v>
      </c>
      <c r="T93" s="36">
        <v>45110</v>
      </c>
    </row>
    <row r="94" spans="1:20" x14ac:dyDescent="0.15">
      <c r="B94" s="6" t="s">
        <v>7</v>
      </c>
      <c r="C94" s="25"/>
      <c r="D94" s="19">
        <v>2</v>
      </c>
      <c r="E94" s="55">
        <f t="shared" si="39"/>
        <v>2</v>
      </c>
      <c r="F94" s="31"/>
      <c r="G94" s="7"/>
      <c r="H94" s="64">
        <f t="shared" si="40"/>
        <v>0</v>
      </c>
      <c r="I94" s="38">
        <f t="shared" si="41"/>
        <v>2</v>
      </c>
      <c r="J94" s="36">
        <v>45099</v>
      </c>
      <c r="L94" s="6" t="s">
        <v>37</v>
      </c>
      <c r="M94" s="25">
        <v>6</v>
      </c>
      <c r="N94" s="19">
        <v>2</v>
      </c>
      <c r="O94" s="55">
        <f t="shared" si="33"/>
        <v>8</v>
      </c>
      <c r="P94" s="31">
        <v>6</v>
      </c>
      <c r="Q94" s="7">
        <v>6</v>
      </c>
      <c r="R94" s="64">
        <f t="shared" si="34"/>
        <v>12</v>
      </c>
      <c r="S94" s="38">
        <f t="shared" si="35"/>
        <v>20</v>
      </c>
      <c r="T94" s="36">
        <v>45111</v>
      </c>
    </row>
    <row r="95" spans="1:20" x14ac:dyDescent="0.15">
      <c r="B95" s="6" t="s">
        <v>7</v>
      </c>
      <c r="C95" s="25"/>
      <c r="D95" s="19">
        <v>2</v>
      </c>
      <c r="E95" s="55">
        <f t="shared" si="39"/>
        <v>2</v>
      </c>
      <c r="F95" s="31">
        <v>1</v>
      </c>
      <c r="G95" s="7">
        <v>1</v>
      </c>
      <c r="H95" s="64">
        <f t="shared" si="40"/>
        <v>2</v>
      </c>
      <c r="I95" s="38">
        <f t="shared" si="41"/>
        <v>4</v>
      </c>
      <c r="J95" s="36">
        <v>45100</v>
      </c>
      <c r="L95" s="6" t="s">
        <v>38</v>
      </c>
      <c r="M95" s="25">
        <v>7</v>
      </c>
      <c r="N95" s="19">
        <v>4</v>
      </c>
      <c r="O95" s="55">
        <f t="shared" si="33"/>
        <v>11</v>
      </c>
      <c r="P95" s="31">
        <v>4</v>
      </c>
      <c r="Q95" s="7">
        <v>4</v>
      </c>
      <c r="R95" s="64">
        <f t="shared" si="34"/>
        <v>8</v>
      </c>
      <c r="S95" s="38">
        <f t="shared" si="35"/>
        <v>19</v>
      </c>
      <c r="T95" s="36">
        <v>45112</v>
      </c>
    </row>
    <row r="96" spans="1:20" x14ac:dyDescent="0.15">
      <c r="B96" s="6" t="s">
        <v>26</v>
      </c>
      <c r="C96" s="25"/>
      <c r="D96" s="19"/>
      <c r="E96" s="55">
        <f t="shared" si="39"/>
        <v>0</v>
      </c>
      <c r="F96" s="31">
        <v>1</v>
      </c>
      <c r="G96" s="7"/>
      <c r="H96" s="64">
        <f t="shared" si="40"/>
        <v>1</v>
      </c>
      <c r="I96" s="38">
        <f t="shared" si="41"/>
        <v>1</v>
      </c>
      <c r="J96" s="36">
        <v>45104</v>
      </c>
      <c r="L96" s="34" t="s">
        <v>32</v>
      </c>
      <c r="M96" s="25"/>
      <c r="N96" s="19">
        <v>10</v>
      </c>
      <c r="O96" s="55">
        <f t="shared" si="33"/>
        <v>10</v>
      </c>
      <c r="P96" s="31"/>
      <c r="Q96" s="7"/>
      <c r="R96" s="64">
        <f t="shared" si="34"/>
        <v>0</v>
      </c>
      <c r="S96" s="38">
        <f t="shared" si="35"/>
        <v>10</v>
      </c>
      <c r="T96" s="36">
        <v>45112</v>
      </c>
    </row>
    <row r="97" spans="2:20" x14ac:dyDescent="0.15">
      <c r="B97" s="6" t="s">
        <v>7</v>
      </c>
      <c r="C97" s="25">
        <f>4+1+1</f>
        <v>6</v>
      </c>
      <c r="D97" s="19">
        <f>3+1+1</f>
        <v>5</v>
      </c>
      <c r="E97" s="55">
        <f t="shared" si="39"/>
        <v>11</v>
      </c>
      <c r="F97" s="31">
        <v>2</v>
      </c>
      <c r="G97" s="7">
        <v>1</v>
      </c>
      <c r="H97" s="64">
        <f t="shared" si="40"/>
        <v>3</v>
      </c>
      <c r="I97" s="38">
        <f t="shared" si="41"/>
        <v>14</v>
      </c>
      <c r="J97" s="36">
        <v>45103</v>
      </c>
      <c r="L97" s="6" t="s">
        <v>40</v>
      </c>
      <c r="M97" s="25">
        <v>2</v>
      </c>
      <c r="N97" s="19"/>
      <c r="O97" s="55">
        <f t="shared" si="33"/>
        <v>2</v>
      </c>
      <c r="P97" s="31">
        <v>2</v>
      </c>
      <c r="Q97" s="7"/>
      <c r="R97" s="64">
        <f t="shared" si="34"/>
        <v>2</v>
      </c>
      <c r="S97" s="38">
        <f t="shared" si="35"/>
        <v>4</v>
      </c>
      <c r="T97" s="36">
        <v>45114</v>
      </c>
    </row>
    <row r="98" spans="2:20" x14ac:dyDescent="0.15">
      <c r="B98" s="6" t="s">
        <v>7</v>
      </c>
      <c r="C98" s="25"/>
      <c r="D98" s="19">
        <v>1</v>
      </c>
      <c r="E98" s="55">
        <f t="shared" si="39"/>
        <v>1</v>
      </c>
      <c r="F98" s="31">
        <v>1</v>
      </c>
      <c r="G98" s="7">
        <v>2</v>
      </c>
      <c r="H98" s="64">
        <f t="shared" si="40"/>
        <v>3</v>
      </c>
      <c r="I98" s="38">
        <f t="shared" si="41"/>
        <v>4</v>
      </c>
      <c r="J98" s="36">
        <v>45104</v>
      </c>
      <c r="L98" s="34" t="s">
        <v>32</v>
      </c>
      <c r="M98" s="25">
        <v>20</v>
      </c>
      <c r="N98" s="19">
        <v>20</v>
      </c>
      <c r="O98" s="55">
        <f t="shared" si="33"/>
        <v>40</v>
      </c>
      <c r="P98" s="31"/>
      <c r="Q98" s="7"/>
      <c r="R98" s="64">
        <f t="shared" si="34"/>
        <v>0</v>
      </c>
      <c r="S98" s="38">
        <f t="shared" si="35"/>
        <v>40</v>
      </c>
      <c r="T98" s="36">
        <v>45114</v>
      </c>
    </row>
    <row r="99" spans="2:20" x14ac:dyDescent="0.15">
      <c r="B99" s="6" t="s">
        <v>25</v>
      </c>
      <c r="C99" s="25"/>
      <c r="D99" s="19">
        <v>5</v>
      </c>
      <c r="E99" s="55">
        <f t="shared" si="39"/>
        <v>5</v>
      </c>
      <c r="F99" s="31"/>
      <c r="G99" s="7">
        <v>2</v>
      </c>
      <c r="H99" s="64">
        <f t="shared" si="40"/>
        <v>2</v>
      </c>
      <c r="I99" s="38">
        <f t="shared" si="41"/>
        <v>7</v>
      </c>
      <c r="J99" s="36">
        <v>45104</v>
      </c>
      <c r="L99" s="6" t="s">
        <v>41</v>
      </c>
      <c r="M99" s="25">
        <v>1</v>
      </c>
      <c r="N99" s="19">
        <v>1</v>
      </c>
      <c r="O99" s="55">
        <f t="shared" si="33"/>
        <v>2</v>
      </c>
      <c r="P99" s="31"/>
      <c r="Q99" s="7"/>
      <c r="R99" s="64">
        <f t="shared" si="34"/>
        <v>0</v>
      </c>
      <c r="S99" s="38">
        <f t="shared" si="35"/>
        <v>2</v>
      </c>
      <c r="T99" s="36">
        <v>45117</v>
      </c>
    </row>
    <row r="100" spans="2:20" x14ac:dyDescent="0.15">
      <c r="B100" s="6" t="s">
        <v>33</v>
      </c>
      <c r="C100" s="25"/>
      <c r="D100" s="19">
        <v>1</v>
      </c>
      <c r="E100" s="55">
        <f t="shared" si="39"/>
        <v>1</v>
      </c>
      <c r="F100" s="31"/>
      <c r="G100" s="7">
        <v>1</v>
      </c>
      <c r="H100" s="64">
        <f t="shared" si="40"/>
        <v>1</v>
      </c>
      <c r="I100" s="38">
        <f t="shared" si="41"/>
        <v>2</v>
      </c>
      <c r="J100" s="36">
        <v>45106</v>
      </c>
      <c r="L100" s="34" t="s">
        <v>32</v>
      </c>
      <c r="M100" s="25"/>
      <c r="N100" s="19">
        <v>20</v>
      </c>
      <c r="O100" s="55">
        <f t="shared" si="33"/>
        <v>20</v>
      </c>
      <c r="P100" s="31"/>
      <c r="Q100" s="7">
        <v>10</v>
      </c>
      <c r="R100" s="64">
        <f t="shared" si="34"/>
        <v>10</v>
      </c>
      <c r="S100" s="38">
        <f t="shared" si="35"/>
        <v>30</v>
      </c>
      <c r="T100" s="36">
        <v>45120</v>
      </c>
    </row>
    <row r="101" spans="2:20" x14ac:dyDescent="0.15">
      <c r="B101" s="6" t="s">
        <v>7</v>
      </c>
      <c r="C101" s="25">
        <v>2</v>
      </c>
      <c r="D101" s="19"/>
      <c r="E101" s="55">
        <f t="shared" si="39"/>
        <v>2</v>
      </c>
      <c r="F101" s="31"/>
      <c r="G101" s="7"/>
      <c r="H101" s="64">
        <f t="shared" si="40"/>
        <v>0</v>
      </c>
      <c r="I101" s="38">
        <f t="shared" si="41"/>
        <v>2</v>
      </c>
      <c r="J101" s="36">
        <v>45105</v>
      </c>
      <c r="L101" s="6" t="s">
        <v>47</v>
      </c>
      <c r="M101" s="25"/>
      <c r="N101" s="19">
        <v>1</v>
      </c>
      <c r="O101" s="55">
        <f t="shared" si="33"/>
        <v>1</v>
      </c>
      <c r="P101" s="31"/>
      <c r="Q101" s="7"/>
      <c r="R101" s="64">
        <f t="shared" si="34"/>
        <v>0</v>
      </c>
      <c r="S101" s="38">
        <f t="shared" si="35"/>
        <v>1</v>
      </c>
      <c r="T101" s="36">
        <v>45121</v>
      </c>
    </row>
    <row r="102" spans="2:20" x14ac:dyDescent="0.15">
      <c r="B102" s="6" t="s">
        <v>34</v>
      </c>
      <c r="C102" s="25"/>
      <c r="D102" s="19">
        <v>1</v>
      </c>
      <c r="E102" s="55">
        <f t="shared" si="39"/>
        <v>1</v>
      </c>
      <c r="F102" s="31"/>
      <c r="G102" s="7"/>
      <c r="H102" s="64">
        <f t="shared" si="40"/>
        <v>0</v>
      </c>
      <c r="I102" s="38">
        <f t="shared" si="41"/>
        <v>1</v>
      </c>
      <c r="J102" s="36">
        <v>45107</v>
      </c>
      <c r="L102" s="6"/>
      <c r="M102" s="28"/>
      <c r="N102" s="22"/>
      <c r="O102" s="55">
        <f t="shared" si="33"/>
        <v>0</v>
      </c>
      <c r="P102" s="33"/>
      <c r="Q102" s="8"/>
      <c r="R102" s="64">
        <f t="shared" si="34"/>
        <v>0</v>
      </c>
      <c r="S102" s="38">
        <f t="shared" si="35"/>
        <v>0</v>
      </c>
      <c r="T102" s="37"/>
    </row>
    <row r="103" spans="2:20" x14ac:dyDescent="0.15">
      <c r="B103" s="6" t="s">
        <v>7</v>
      </c>
      <c r="C103" s="25"/>
      <c r="D103" s="19">
        <v>1</v>
      </c>
      <c r="E103" s="55">
        <f t="shared" si="39"/>
        <v>1</v>
      </c>
      <c r="F103" s="31"/>
      <c r="G103" s="7"/>
      <c r="H103" s="64">
        <f t="shared" si="40"/>
        <v>0</v>
      </c>
      <c r="I103" s="38">
        <f t="shared" si="41"/>
        <v>1</v>
      </c>
      <c r="J103" s="36">
        <v>45106</v>
      </c>
      <c r="L103" s="6"/>
      <c r="M103" s="28"/>
      <c r="N103" s="22"/>
      <c r="O103" s="55">
        <f t="shared" si="33"/>
        <v>0</v>
      </c>
      <c r="P103" s="33"/>
      <c r="Q103" s="8"/>
      <c r="R103" s="64">
        <f t="shared" si="34"/>
        <v>0</v>
      </c>
      <c r="S103" s="38">
        <f t="shared" si="35"/>
        <v>0</v>
      </c>
      <c r="T103" s="37"/>
    </row>
    <row r="104" spans="2:20" x14ac:dyDescent="0.15">
      <c r="B104" s="6" t="s">
        <v>7</v>
      </c>
      <c r="C104" s="25">
        <v>1</v>
      </c>
      <c r="D104" s="19"/>
      <c r="E104" s="55">
        <f t="shared" si="39"/>
        <v>1</v>
      </c>
      <c r="F104" s="31"/>
      <c r="G104" s="7"/>
      <c r="H104" s="64">
        <f t="shared" si="40"/>
        <v>0</v>
      </c>
      <c r="I104" s="38">
        <f t="shared" si="41"/>
        <v>1</v>
      </c>
      <c r="J104" s="36">
        <v>45108</v>
      </c>
      <c r="L104" s="6"/>
      <c r="M104" s="25"/>
      <c r="N104" s="19"/>
      <c r="O104" s="55">
        <f t="shared" si="33"/>
        <v>0</v>
      </c>
      <c r="P104" s="31"/>
      <c r="Q104" s="7"/>
      <c r="R104" s="64">
        <f t="shared" si="34"/>
        <v>0</v>
      </c>
      <c r="S104" s="38">
        <f t="shared" si="35"/>
        <v>0</v>
      </c>
      <c r="T104" s="36"/>
    </row>
    <row r="105" spans="2:20" x14ac:dyDescent="0.15">
      <c r="B105" s="6" t="s">
        <v>7</v>
      </c>
      <c r="C105" s="28"/>
      <c r="D105" s="22">
        <v>2</v>
      </c>
      <c r="E105" s="55">
        <f t="shared" si="39"/>
        <v>2</v>
      </c>
      <c r="F105" s="33"/>
      <c r="G105" s="8">
        <v>1</v>
      </c>
      <c r="H105" s="64">
        <f t="shared" si="40"/>
        <v>1</v>
      </c>
      <c r="I105" s="38">
        <f t="shared" si="41"/>
        <v>3</v>
      </c>
      <c r="J105" s="37">
        <v>45110</v>
      </c>
      <c r="L105" s="6"/>
      <c r="M105" s="28"/>
      <c r="N105" s="22"/>
      <c r="O105" s="55">
        <f t="shared" si="33"/>
        <v>0</v>
      </c>
      <c r="P105" s="33"/>
      <c r="Q105" s="8"/>
      <c r="R105" s="64">
        <f t="shared" si="34"/>
        <v>0</v>
      </c>
      <c r="S105" s="38">
        <f t="shared" si="35"/>
        <v>0</v>
      </c>
      <c r="T105" s="37"/>
    </row>
    <row r="106" spans="2:20" x14ac:dyDescent="0.15">
      <c r="B106" s="6" t="s">
        <v>7</v>
      </c>
      <c r="C106" s="28">
        <v>1</v>
      </c>
      <c r="D106" s="22">
        <v>1</v>
      </c>
      <c r="E106" s="55">
        <f t="shared" si="39"/>
        <v>2</v>
      </c>
      <c r="F106" s="33"/>
      <c r="G106" s="8"/>
      <c r="H106" s="64">
        <f t="shared" si="40"/>
        <v>0</v>
      </c>
      <c r="I106" s="38">
        <f t="shared" si="41"/>
        <v>2</v>
      </c>
      <c r="J106" s="37">
        <v>45111</v>
      </c>
      <c r="L106" s="6"/>
      <c r="M106" s="28"/>
      <c r="N106" s="22"/>
      <c r="O106" s="55">
        <f t="shared" si="33"/>
        <v>0</v>
      </c>
      <c r="P106" s="33"/>
      <c r="Q106" s="8"/>
      <c r="R106" s="64">
        <f t="shared" si="34"/>
        <v>0</v>
      </c>
      <c r="S106" s="38">
        <f t="shared" si="35"/>
        <v>0</v>
      </c>
      <c r="T106" s="37"/>
    </row>
    <row r="107" spans="2:20" x14ac:dyDescent="0.15">
      <c r="B107" s="6" t="s">
        <v>39</v>
      </c>
      <c r="C107" s="25">
        <v>5</v>
      </c>
      <c r="D107" s="19">
        <v>10</v>
      </c>
      <c r="E107" s="55">
        <f t="shared" si="39"/>
        <v>15</v>
      </c>
      <c r="F107" s="31"/>
      <c r="G107" s="7">
        <v>10</v>
      </c>
      <c r="H107" s="64">
        <f t="shared" si="40"/>
        <v>10</v>
      </c>
      <c r="I107" s="38">
        <f t="shared" si="41"/>
        <v>25</v>
      </c>
      <c r="J107" s="36">
        <v>45113</v>
      </c>
      <c r="L107" s="6"/>
      <c r="M107" s="28"/>
      <c r="N107" s="22"/>
      <c r="O107" s="55">
        <f t="shared" si="33"/>
        <v>0</v>
      </c>
      <c r="P107" s="33"/>
      <c r="Q107" s="8"/>
      <c r="R107" s="64">
        <f t="shared" si="34"/>
        <v>0</v>
      </c>
      <c r="S107" s="38">
        <f t="shared" si="35"/>
        <v>0</v>
      </c>
      <c r="T107" s="37"/>
    </row>
    <row r="108" spans="2:20" x14ac:dyDescent="0.15">
      <c r="B108" s="6" t="s">
        <v>7</v>
      </c>
      <c r="C108" s="28"/>
      <c r="D108" s="22"/>
      <c r="E108" s="55">
        <f t="shared" si="39"/>
        <v>0</v>
      </c>
      <c r="F108" s="33"/>
      <c r="G108" s="8">
        <v>2</v>
      </c>
      <c r="H108" s="64">
        <f t="shared" si="40"/>
        <v>2</v>
      </c>
      <c r="I108" s="38">
        <f t="shared" si="41"/>
        <v>2</v>
      </c>
      <c r="J108" s="37">
        <v>45112</v>
      </c>
      <c r="L108" s="6"/>
      <c r="M108" s="28"/>
      <c r="N108" s="22"/>
      <c r="O108" s="55">
        <f t="shared" si="33"/>
        <v>0</v>
      </c>
      <c r="P108" s="33"/>
      <c r="Q108" s="8"/>
      <c r="R108" s="64">
        <f t="shared" si="34"/>
        <v>0</v>
      </c>
      <c r="S108" s="38">
        <f t="shared" si="35"/>
        <v>0</v>
      </c>
      <c r="T108" s="37"/>
    </row>
    <row r="109" spans="2:20" x14ac:dyDescent="0.15">
      <c r="B109" s="6" t="s">
        <v>7</v>
      </c>
      <c r="C109" s="28">
        <v>1</v>
      </c>
      <c r="D109" s="22">
        <v>3</v>
      </c>
      <c r="E109" s="55">
        <f t="shared" si="39"/>
        <v>4</v>
      </c>
      <c r="F109" s="33"/>
      <c r="G109" s="8"/>
      <c r="H109" s="64">
        <f t="shared" si="40"/>
        <v>0</v>
      </c>
      <c r="I109" s="38">
        <f t="shared" si="41"/>
        <v>4</v>
      </c>
      <c r="J109" s="37">
        <v>45113</v>
      </c>
      <c r="L109" s="6"/>
      <c r="M109" s="28"/>
      <c r="N109" s="22"/>
      <c r="O109" s="55">
        <f t="shared" si="33"/>
        <v>0</v>
      </c>
      <c r="P109" s="33"/>
      <c r="Q109" s="8"/>
      <c r="R109" s="64">
        <f t="shared" si="34"/>
        <v>0</v>
      </c>
      <c r="S109" s="38">
        <f t="shared" si="35"/>
        <v>0</v>
      </c>
      <c r="T109" s="37"/>
    </row>
    <row r="110" spans="2:20" x14ac:dyDescent="0.15">
      <c r="B110" s="6" t="s">
        <v>7</v>
      </c>
      <c r="C110" s="28">
        <v>1</v>
      </c>
      <c r="D110" s="22">
        <v>4</v>
      </c>
      <c r="E110" s="55">
        <f t="shared" si="39"/>
        <v>5</v>
      </c>
      <c r="F110" s="33"/>
      <c r="G110" s="8"/>
      <c r="H110" s="64">
        <f t="shared" si="40"/>
        <v>0</v>
      </c>
      <c r="I110" s="38">
        <f t="shared" si="41"/>
        <v>5</v>
      </c>
      <c r="J110" s="37">
        <v>45114</v>
      </c>
      <c r="L110" s="6"/>
      <c r="M110" s="28"/>
      <c r="N110" s="22"/>
      <c r="O110" s="55">
        <f t="shared" si="33"/>
        <v>0</v>
      </c>
      <c r="P110" s="33"/>
      <c r="Q110" s="8"/>
      <c r="R110" s="64">
        <f t="shared" si="34"/>
        <v>0</v>
      </c>
      <c r="S110" s="38">
        <f t="shared" si="35"/>
        <v>0</v>
      </c>
      <c r="T110" s="37"/>
    </row>
    <row r="111" spans="2:20" x14ac:dyDescent="0.15">
      <c r="B111" s="6" t="s">
        <v>44</v>
      </c>
      <c r="C111" s="25">
        <v>1</v>
      </c>
      <c r="D111" s="19">
        <v>3</v>
      </c>
      <c r="E111" s="55">
        <f t="shared" si="39"/>
        <v>4</v>
      </c>
      <c r="F111" s="31">
        <v>1</v>
      </c>
      <c r="G111" s="7"/>
      <c r="H111" s="64">
        <f t="shared" si="40"/>
        <v>1</v>
      </c>
      <c r="I111" s="38">
        <f t="shared" si="41"/>
        <v>5</v>
      </c>
      <c r="J111" s="36">
        <v>45118</v>
      </c>
      <c r="L111" s="6"/>
      <c r="M111" s="25"/>
      <c r="N111" s="19"/>
      <c r="O111" s="55">
        <f t="shared" si="33"/>
        <v>0</v>
      </c>
      <c r="P111" s="31"/>
      <c r="Q111" s="7"/>
      <c r="R111" s="64">
        <f t="shared" si="34"/>
        <v>0</v>
      </c>
      <c r="S111" s="38">
        <f t="shared" si="35"/>
        <v>0</v>
      </c>
      <c r="T111" s="36"/>
    </row>
    <row r="112" spans="2:20" x14ac:dyDescent="0.15">
      <c r="B112" s="6" t="s">
        <v>7</v>
      </c>
      <c r="C112" s="25">
        <v>1</v>
      </c>
      <c r="D112" s="19"/>
      <c r="E112" s="55">
        <f t="shared" si="39"/>
        <v>1</v>
      </c>
      <c r="F112" s="31">
        <v>1</v>
      </c>
      <c r="G112" s="7"/>
      <c r="H112" s="64">
        <f t="shared" si="40"/>
        <v>1</v>
      </c>
      <c r="I112" s="38">
        <f t="shared" si="41"/>
        <v>2</v>
      </c>
      <c r="J112" s="36">
        <v>45117</v>
      </c>
      <c r="L112" s="6"/>
      <c r="M112" s="25"/>
      <c r="N112" s="19"/>
      <c r="O112" s="55">
        <f t="shared" si="33"/>
        <v>0</v>
      </c>
      <c r="P112" s="31"/>
      <c r="Q112" s="7"/>
      <c r="R112" s="64">
        <f t="shared" si="34"/>
        <v>0</v>
      </c>
      <c r="S112" s="38">
        <f t="shared" si="35"/>
        <v>0</v>
      </c>
      <c r="T112" s="36"/>
    </row>
    <row r="113" spans="2:20" x14ac:dyDescent="0.15">
      <c r="B113" s="6" t="s">
        <v>7</v>
      </c>
      <c r="C113" s="25"/>
      <c r="D113" s="19">
        <v>4</v>
      </c>
      <c r="E113" s="55">
        <f t="shared" si="39"/>
        <v>4</v>
      </c>
      <c r="F113" s="31"/>
      <c r="G113" s="7">
        <v>1</v>
      </c>
      <c r="H113" s="64">
        <f t="shared" si="40"/>
        <v>1</v>
      </c>
      <c r="I113" s="38">
        <f t="shared" si="41"/>
        <v>5</v>
      </c>
      <c r="J113" s="36">
        <v>45118</v>
      </c>
      <c r="L113" s="6"/>
      <c r="M113" s="25"/>
      <c r="N113" s="19"/>
      <c r="O113" s="55">
        <f t="shared" si="33"/>
        <v>0</v>
      </c>
      <c r="P113" s="31"/>
      <c r="Q113" s="7"/>
      <c r="R113" s="64">
        <f t="shared" si="34"/>
        <v>0</v>
      </c>
      <c r="S113" s="38">
        <f t="shared" si="35"/>
        <v>0</v>
      </c>
      <c r="T113" s="36"/>
    </row>
    <row r="114" spans="2:20" x14ac:dyDescent="0.15">
      <c r="B114" s="6" t="s">
        <v>45</v>
      </c>
      <c r="C114" s="25"/>
      <c r="D114" s="19"/>
      <c r="E114" s="55">
        <f t="shared" si="39"/>
        <v>0</v>
      </c>
      <c r="F114" s="31"/>
      <c r="G114" s="7">
        <v>2</v>
      </c>
      <c r="H114" s="64">
        <f t="shared" si="40"/>
        <v>2</v>
      </c>
      <c r="I114" s="38">
        <f t="shared" si="41"/>
        <v>2</v>
      </c>
      <c r="J114" s="36">
        <v>45120</v>
      </c>
      <c r="L114" s="6"/>
      <c r="M114" s="25"/>
      <c r="N114" s="19"/>
      <c r="O114" s="55">
        <f t="shared" si="33"/>
        <v>0</v>
      </c>
      <c r="P114" s="31"/>
      <c r="Q114" s="7"/>
      <c r="R114" s="64">
        <f t="shared" si="34"/>
        <v>0</v>
      </c>
      <c r="S114" s="38">
        <f t="shared" si="35"/>
        <v>0</v>
      </c>
      <c r="T114" s="36"/>
    </row>
    <row r="115" spans="2:20" x14ac:dyDescent="0.15">
      <c r="B115" s="6" t="s">
        <v>46</v>
      </c>
      <c r="C115" s="25"/>
      <c r="D115" s="19">
        <v>10</v>
      </c>
      <c r="E115" s="55">
        <f t="shared" si="39"/>
        <v>10</v>
      </c>
      <c r="F115" s="31">
        <v>3</v>
      </c>
      <c r="G115" s="7">
        <v>5</v>
      </c>
      <c r="H115" s="64">
        <f t="shared" si="40"/>
        <v>8</v>
      </c>
      <c r="I115" s="38">
        <f t="shared" si="41"/>
        <v>18</v>
      </c>
      <c r="J115" s="36">
        <v>45120</v>
      </c>
      <c r="L115" s="6"/>
      <c r="M115" s="25"/>
      <c r="N115" s="19"/>
      <c r="O115" s="55">
        <f t="shared" si="33"/>
        <v>0</v>
      </c>
      <c r="P115" s="31"/>
      <c r="Q115" s="7"/>
      <c r="R115" s="64">
        <f t="shared" si="34"/>
        <v>0</v>
      </c>
      <c r="S115" s="38">
        <f t="shared" si="35"/>
        <v>0</v>
      </c>
      <c r="T115" s="36"/>
    </row>
    <row r="116" spans="2:20" ht="14.25" thickBot="1" x14ac:dyDescent="0.2">
      <c r="B116" s="6" t="s">
        <v>7</v>
      </c>
      <c r="C116" s="29">
        <v>1</v>
      </c>
      <c r="D116" s="20">
        <v>1</v>
      </c>
      <c r="E116" s="56">
        <f t="shared" si="39"/>
        <v>2</v>
      </c>
      <c r="F116" s="32"/>
      <c r="G116" s="5"/>
      <c r="H116" s="65">
        <f t="shared" si="40"/>
        <v>0</v>
      </c>
      <c r="I116" s="39">
        <f t="shared" si="41"/>
        <v>2</v>
      </c>
      <c r="J116" s="36">
        <v>45120</v>
      </c>
      <c r="L116" s="6" t="s">
        <v>17</v>
      </c>
      <c r="M116" s="29"/>
      <c r="N116" s="20"/>
      <c r="O116" s="56">
        <f t="shared" si="33"/>
        <v>0</v>
      </c>
      <c r="P116" s="32"/>
      <c r="Q116" s="5"/>
      <c r="R116" s="65">
        <f t="shared" si="34"/>
        <v>0</v>
      </c>
      <c r="S116" s="39">
        <f t="shared" si="35"/>
        <v>0</v>
      </c>
      <c r="T116" s="36" t="s">
        <v>18</v>
      </c>
    </row>
    <row r="117" spans="2:20" ht="14.25" thickBot="1" x14ac:dyDescent="0.2">
      <c r="B117" s="4" t="s">
        <v>1</v>
      </c>
      <c r="C117" s="27">
        <f>SUM(C92:C116)</f>
        <v>24</v>
      </c>
      <c r="D117" s="21">
        <f>SUM(D92:D116)</f>
        <v>64</v>
      </c>
      <c r="E117" s="57">
        <f t="shared" si="39"/>
        <v>88</v>
      </c>
      <c r="F117" s="27">
        <f>SUM(F92:F116)</f>
        <v>14</v>
      </c>
      <c r="G117" s="21">
        <f>SUM(G92:G116)</f>
        <v>32</v>
      </c>
      <c r="H117" s="66">
        <f t="shared" si="40"/>
        <v>46</v>
      </c>
      <c r="I117" s="40">
        <f t="shared" si="41"/>
        <v>134</v>
      </c>
      <c r="L117" s="4" t="s">
        <v>1</v>
      </c>
      <c r="M117" s="27">
        <f>SUM(M92:M116)</f>
        <v>36</v>
      </c>
      <c r="N117" s="21">
        <f>SUM(N92:N116)</f>
        <v>72</v>
      </c>
      <c r="O117" s="57">
        <f t="shared" si="33"/>
        <v>108</v>
      </c>
      <c r="P117" s="27">
        <f>SUM(P92:P116)</f>
        <v>12</v>
      </c>
      <c r="Q117" s="21">
        <f>SUM(Q92:Q116)</f>
        <v>21</v>
      </c>
      <c r="R117" s="66">
        <f t="shared" si="34"/>
        <v>33</v>
      </c>
      <c r="S117" s="40">
        <f t="shared" si="35"/>
        <v>141</v>
      </c>
      <c r="T117" s="35"/>
    </row>
    <row r="118" spans="2:20" ht="14.25" thickBot="1" x14ac:dyDescent="0.2">
      <c r="B118" s="3" t="s">
        <v>0</v>
      </c>
      <c r="C118" s="30">
        <f>+C91-C117</f>
        <v>27</v>
      </c>
      <c r="D118" s="2">
        <f>+D91-D117</f>
        <v>21</v>
      </c>
      <c r="E118" s="58">
        <f t="shared" si="39"/>
        <v>48</v>
      </c>
      <c r="F118" s="30">
        <f>+F91-F117</f>
        <v>26</v>
      </c>
      <c r="G118" s="2">
        <f>+G91-G117</f>
        <v>22</v>
      </c>
      <c r="H118" s="67">
        <f t="shared" si="40"/>
        <v>48</v>
      </c>
      <c r="I118" s="42">
        <f t="shared" si="41"/>
        <v>96</v>
      </c>
      <c r="L118" s="3" t="s">
        <v>0</v>
      </c>
      <c r="M118" s="30">
        <f>+M91-M117</f>
        <v>60</v>
      </c>
      <c r="N118" s="2">
        <f>+N91-N117</f>
        <v>77</v>
      </c>
      <c r="O118" s="58">
        <f t="shared" si="33"/>
        <v>137</v>
      </c>
      <c r="P118" s="30">
        <f>+P91-P117</f>
        <v>68</v>
      </c>
      <c r="Q118" s="2">
        <f>+Q91-Q117</f>
        <v>79</v>
      </c>
      <c r="R118" s="67">
        <f t="shared" si="34"/>
        <v>147</v>
      </c>
      <c r="S118" s="42">
        <f t="shared" si="35"/>
        <v>284</v>
      </c>
      <c r="T118" s="35"/>
    </row>
    <row r="119" spans="2:20" x14ac:dyDescent="0.15">
      <c r="L119" s="1"/>
      <c r="T119" s="35"/>
    </row>
    <row r="120" spans="2:20" x14ac:dyDescent="0.15">
      <c r="B120"/>
      <c r="J120"/>
    </row>
    <row r="121" spans="2:20" ht="18.75" x14ac:dyDescent="0.2">
      <c r="B121" s="16" t="s">
        <v>21</v>
      </c>
      <c r="C121" s="15"/>
      <c r="D121" s="15"/>
      <c r="E121" s="15"/>
      <c r="F121" s="15"/>
      <c r="G121" s="15"/>
      <c r="H121" s="15"/>
      <c r="I121" s="15"/>
      <c r="L121" s="71" t="s">
        <v>22</v>
      </c>
      <c r="M121" s="72"/>
      <c r="N121" s="72"/>
      <c r="O121" s="72"/>
      <c r="P121" s="72"/>
      <c r="Q121" s="72"/>
      <c r="R121" s="72"/>
      <c r="S121" s="72"/>
      <c r="T121" s="35"/>
    </row>
    <row r="122" spans="2:20" ht="18" thickBot="1" x14ac:dyDescent="0.25">
      <c r="B122" s="17" t="s">
        <v>23</v>
      </c>
      <c r="C122" s="15"/>
      <c r="D122" s="15"/>
      <c r="E122" s="15"/>
      <c r="F122" s="15"/>
      <c r="G122" s="15"/>
      <c r="H122" s="15"/>
      <c r="I122" s="15"/>
      <c r="L122" s="73" t="s">
        <v>23</v>
      </c>
      <c r="M122" s="72"/>
      <c r="N122" s="72"/>
      <c r="O122" s="72"/>
      <c r="P122" s="72"/>
      <c r="Q122" s="72"/>
      <c r="R122" s="72"/>
      <c r="S122" s="72"/>
      <c r="T122" s="35"/>
    </row>
    <row r="123" spans="2:20" ht="14.25" thickBot="1" x14ac:dyDescent="0.2">
      <c r="B123" s="14"/>
      <c r="C123" s="113" t="s">
        <v>12</v>
      </c>
      <c r="D123" s="114"/>
      <c r="E123" s="115"/>
      <c r="F123" s="116" t="s">
        <v>11</v>
      </c>
      <c r="G123" s="117"/>
      <c r="H123" s="118"/>
      <c r="I123" s="13" t="s">
        <v>19</v>
      </c>
      <c r="L123" s="14"/>
      <c r="M123" s="113" t="s">
        <v>12</v>
      </c>
      <c r="N123" s="114"/>
      <c r="O123" s="115"/>
      <c r="P123" s="116" t="s">
        <v>11</v>
      </c>
      <c r="Q123" s="117"/>
      <c r="R123" s="118"/>
      <c r="S123" s="13" t="s">
        <v>19</v>
      </c>
      <c r="T123" s="35"/>
    </row>
    <row r="124" spans="2:20" ht="14.25" thickBot="1" x14ac:dyDescent="0.2">
      <c r="B124" s="13"/>
      <c r="C124" s="23" t="s">
        <v>6</v>
      </c>
      <c r="D124" s="12" t="s">
        <v>5</v>
      </c>
      <c r="E124" s="50" t="s">
        <v>4</v>
      </c>
      <c r="F124" s="23" t="s">
        <v>6</v>
      </c>
      <c r="G124" s="12" t="s">
        <v>5</v>
      </c>
      <c r="H124" s="59" t="s">
        <v>4</v>
      </c>
      <c r="I124" s="49"/>
      <c r="L124" s="13"/>
      <c r="M124" s="23" t="s">
        <v>6</v>
      </c>
      <c r="N124" s="12" t="s">
        <v>5</v>
      </c>
      <c r="O124" s="50" t="s">
        <v>4</v>
      </c>
      <c r="P124" s="23" t="s">
        <v>6</v>
      </c>
      <c r="Q124" s="12" t="s">
        <v>5</v>
      </c>
      <c r="R124" s="59" t="s">
        <v>4</v>
      </c>
      <c r="S124" s="49"/>
      <c r="T124" s="35"/>
    </row>
    <row r="125" spans="2:20" x14ac:dyDescent="0.15">
      <c r="B125" s="46" t="s">
        <v>0</v>
      </c>
      <c r="C125" s="47">
        <f t="shared" ref="C125:H125" si="45">C118</f>
        <v>27</v>
      </c>
      <c r="D125" s="48">
        <f t="shared" si="45"/>
        <v>21</v>
      </c>
      <c r="E125" s="68">
        <f t="shared" si="45"/>
        <v>48</v>
      </c>
      <c r="F125" s="47">
        <f t="shared" si="45"/>
        <v>26</v>
      </c>
      <c r="G125" s="48">
        <f t="shared" si="45"/>
        <v>22</v>
      </c>
      <c r="H125" s="69">
        <f t="shared" si="45"/>
        <v>48</v>
      </c>
      <c r="I125" s="41">
        <f>E125+H125</f>
        <v>96</v>
      </c>
      <c r="J125" s="36"/>
      <c r="L125" s="46" t="s">
        <v>0</v>
      </c>
      <c r="M125" s="47">
        <f t="shared" ref="M125:R125" si="46">M118</f>
        <v>60</v>
      </c>
      <c r="N125" s="48">
        <f t="shared" si="46"/>
        <v>77</v>
      </c>
      <c r="O125" s="68">
        <f t="shared" si="46"/>
        <v>137</v>
      </c>
      <c r="P125" s="47">
        <f t="shared" si="46"/>
        <v>68</v>
      </c>
      <c r="Q125" s="48">
        <f t="shared" si="46"/>
        <v>79</v>
      </c>
      <c r="R125" s="69">
        <f t="shared" si="46"/>
        <v>147</v>
      </c>
      <c r="S125" s="41">
        <f>O125+R125</f>
        <v>284</v>
      </c>
      <c r="T125" s="36"/>
    </row>
    <row r="126" spans="2:20" x14ac:dyDescent="0.15">
      <c r="B126" s="11" t="s">
        <v>3</v>
      </c>
      <c r="C126" s="25"/>
      <c r="D126" s="19">
        <v>10</v>
      </c>
      <c r="E126" s="52">
        <f t="shared" ref="E126:E158" si="47">SUM(C126:D126)</f>
        <v>10</v>
      </c>
      <c r="F126" s="31"/>
      <c r="G126" s="7"/>
      <c r="H126" s="61">
        <f t="shared" ref="H126:H158" si="48">SUM(F126:G126)</f>
        <v>0</v>
      </c>
      <c r="I126" s="38">
        <f t="shared" ref="I126:I158" si="49">E126+H126</f>
        <v>10</v>
      </c>
      <c r="J126" s="36">
        <v>45131</v>
      </c>
      <c r="L126" s="11" t="s">
        <v>3</v>
      </c>
      <c r="M126" s="25"/>
      <c r="N126" s="19"/>
      <c r="O126" s="52">
        <f t="shared" ref="O126:O158" si="50">SUM(M126:N126)</f>
        <v>0</v>
      </c>
      <c r="P126" s="31"/>
      <c r="Q126" s="7"/>
      <c r="R126" s="61">
        <f t="shared" ref="R126:R158" si="51">SUM(P126:Q126)</f>
        <v>0</v>
      </c>
      <c r="S126" s="38">
        <f t="shared" ref="S126:S158" si="52">O126+R126</f>
        <v>0</v>
      </c>
      <c r="T126" s="36"/>
    </row>
    <row r="127" spans="2:20" x14ac:dyDescent="0.15">
      <c r="B127" s="11" t="s">
        <v>3</v>
      </c>
      <c r="C127" s="25"/>
      <c r="D127" s="19">
        <v>20</v>
      </c>
      <c r="E127" s="52">
        <f t="shared" ref="E127:E129" si="53">SUM(C127:D127)</f>
        <v>20</v>
      </c>
      <c r="F127" s="31"/>
      <c r="G127" s="7">
        <v>10</v>
      </c>
      <c r="H127" s="61">
        <f t="shared" ref="H127:H129" si="54">SUM(F127:G127)</f>
        <v>10</v>
      </c>
      <c r="I127" s="38">
        <f t="shared" ref="I127:I129" si="55">E127+H127</f>
        <v>30</v>
      </c>
      <c r="J127" s="36">
        <v>45140</v>
      </c>
      <c r="L127" s="11" t="s">
        <v>3</v>
      </c>
      <c r="M127" s="25"/>
      <c r="N127" s="19"/>
      <c r="O127" s="52">
        <f t="shared" ref="O127" si="56">SUM(M127:N127)</f>
        <v>0</v>
      </c>
      <c r="P127" s="31"/>
      <c r="Q127" s="7"/>
      <c r="R127" s="61">
        <f t="shared" ref="R127" si="57">SUM(P127:Q127)</f>
        <v>0</v>
      </c>
      <c r="S127" s="38">
        <f t="shared" ref="S127" si="58">O127+R127</f>
        <v>0</v>
      </c>
      <c r="T127" s="36"/>
    </row>
    <row r="128" spans="2:20" x14ac:dyDescent="0.15">
      <c r="B128" s="11" t="s">
        <v>3</v>
      </c>
      <c r="C128" s="25"/>
      <c r="D128" s="19">
        <v>10</v>
      </c>
      <c r="E128" s="52">
        <f t="shared" si="53"/>
        <v>10</v>
      </c>
      <c r="F128" s="31"/>
      <c r="G128" s="7"/>
      <c r="H128" s="61">
        <f t="shared" si="54"/>
        <v>0</v>
      </c>
      <c r="I128" s="38">
        <f t="shared" si="55"/>
        <v>10</v>
      </c>
      <c r="J128" s="36">
        <v>45141</v>
      </c>
      <c r="L128" s="11" t="s">
        <v>3</v>
      </c>
      <c r="M128" s="25"/>
      <c r="N128" s="19"/>
      <c r="O128" s="52">
        <f t="shared" si="50"/>
        <v>0</v>
      </c>
      <c r="P128" s="31"/>
      <c r="Q128" s="7"/>
      <c r="R128" s="61">
        <f t="shared" si="51"/>
        <v>0</v>
      </c>
      <c r="S128" s="38">
        <f t="shared" si="52"/>
        <v>0</v>
      </c>
      <c r="T128" s="36"/>
    </row>
    <row r="129" spans="2:20" x14ac:dyDescent="0.15">
      <c r="B129" s="11" t="s">
        <v>69</v>
      </c>
      <c r="C129" s="25"/>
      <c r="D129" s="19">
        <v>1</v>
      </c>
      <c r="E129" s="52">
        <f t="shared" si="53"/>
        <v>1</v>
      </c>
      <c r="F129" s="31"/>
      <c r="G129" s="7"/>
      <c r="H129" s="61">
        <f t="shared" si="54"/>
        <v>0</v>
      </c>
      <c r="I129" s="38">
        <f t="shared" si="55"/>
        <v>1</v>
      </c>
      <c r="J129" s="36">
        <v>45148</v>
      </c>
      <c r="L129" s="11" t="s">
        <v>3</v>
      </c>
      <c r="M129" s="25"/>
      <c r="N129" s="19"/>
      <c r="O129" s="52">
        <f t="shared" ref="O129" si="59">SUM(M129:N129)</f>
        <v>0</v>
      </c>
      <c r="P129" s="31"/>
      <c r="Q129" s="7"/>
      <c r="R129" s="61">
        <f t="shared" ref="R129" si="60">SUM(P129:Q129)</f>
        <v>0</v>
      </c>
      <c r="S129" s="38">
        <f t="shared" ref="S129" si="61">O129+R129</f>
        <v>0</v>
      </c>
      <c r="T129" s="36"/>
    </row>
    <row r="130" spans="2:20" ht="14.25" thickBot="1" x14ac:dyDescent="0.2">
      <c r="B130" s="10" t="s">
        <v>3</v>
      </c>
      <c r="C130" s="26"/>
      <c r="D130" s="20"/>
      <c r="E130" s="53">
        <f t="shared" si="47"/>
        <v>0</v>
      </c>
      <c r="F130" s="32"/>
      <c r="G130" s="5"/>
      <c r="H130" s="62">
        <f t="shared" si="48"/>
        <v>0</v>
      </c>
      <c r="I130" s="39">
        <f t="shared" si="49"/>
        <v>0</v>
      </c>
      <c r="J130" s="36"/>
      <c r="L130" s="10" t="s">
        <v>3</v>
      </c>
      <c r="M130" s="26"/>
      <c r="N130" s="20"/>
      <c r="O130" s="53">
        <f t="shared" si="50"/>
        <v>0</v>
      </c>
      <c r="P130" s="32"/>
      <c r="Q130" s="5"/>
      <c r="R130" s="62">
        <f t="shared" si="51"/>
        <v>0</v>
      </c>
      <c r="S130" s="39">
        <f t="shared" si="52"/>
        <v>0</v>
      </c>
      <c r="T130" s="36"/>
    </row>
    <row r="131" spans="2:20" ht="14.25" thickBot="1" x14ac:dyDescent="0.2">
      <c r="B131" s="43" t="s">
        <v>2</v>
      </c>
      <c r="C131" s="44">
        <f>SUM(C125:C130)</f>
        <v>27</v>
      </c>
      <c r="D131" s="45">
        <f>SUM(D125:D130)</f>
        <v>62</v>
      </c>
      <c r="E131" s="54">
        <f t="shared" si="47"/>
        <v>89</v>
      </c>
      <c r="F131" s="44">
        <f>SUM(F125:F130)</f>
        <v>26</v>
      </c>
      <c r="G131" s="45">
        <f>SUM(G125:G130)</f>
        <v>32</v>
      </c>
      <c r="H131" s="63">
        <f t="shared" si="48"/>
        <v>58</v>
      </c>
      <c r="I131" s="42">
        <f t="shared" si="49"/>
        <v>147</v>
      </c>
      <c r="L131" s="43" t="s">
        <v>2</v>
      </c>
      <c r="M131" s="44">
        <f>SUM(M125:M130)</f>
        <v>60</v>
      </c>
      <c r="N131" s="45">
        <f>SUM(N125:N130)</f>
        <v>77</v>
      </c>
      <c r="O131" s="54">
        <f t="shared" si="50"/>
        <v>137</v>
      </c>
      <c r="P131" s="44">
        <f>SUM(P125:P130)</f>
        <v>68</v>
      </c>
      <c r="Q131" s="45">
        <f>SUM(Q125:Q130)</f>
        <v>79</v>
      </c>
      <c r="R131" s="63">
        <f t="shared" si="51"/>
        <v>147</v>
      </c>
      <c r="S131" s="42">
        <f t="shared" si="52"/>
        <v>284</v>
      </c>
      <c r="T131" s="35"/>
    </row>
    <row r="132" spans="2:20" x14ac:dyDescent="0.15">
      <c r="B132" s="6" t="s">
        <v>48</v>
      </c>
      <c r="C132" s="24">
        <v>2</v>
      </c>
      <c r="D132" s="18"/>
      <c r="E132" s="55">
        <f t="shared" si="47"/>
        <v>2</v>
      </c>
      <c r="F132" s="31"/>
      <c r="G132" s="7"/>
      <c r="H132" s="64">
        <f t="shared" si="48"/>
        <v>0</v>
      </c>
      <c r="I132" s="38">
        <f t="shared" si="49"/>
        <v>2</v>
      </c>
      <c r="J132" s="36">
        <v>45122</v>
      </c>
      <c r="L132" s="6" t="s">
        <v>50</v>
      </c>
      <c r="M132" s="24"/>
      <c r="N132" s="18">
        <v>1</v>
      </c>
      <c r="O132" s="55">
        <f t="shared" si="50"/>
        <v>1</v>
      </c>
      <c r="P132" s="31">
        <v>3</v>
      </c>
      <c r="Q132" s="7">
        <v>1</v>
      </c>
      <c r="R132" s="64">
        <f t="shared" si="51"/>
        <v>4</v>
      </c>
      <c r="S132" s="38">
        <f t="shared" si="52"/>
        <v>5</v>
      </c>
      <c r="T132" s="36">
        <v>45127</v>
      </c>
    </row>
    <row r="133" spans="2:20" x14ac:dyDescent="0.15">
      <c r="B133" s="6" t="s">
        <v>7</v>
      </c>
      <c r="C133" s="25">
        <v>1</v>
      </c>
      <c r="D133" s="19"/>
      <c r="E133" s="55">
        <f t="shared" si="47"/>
        <v>1</v>
      </c>
      <c r="F133" s="31"/>
      <c r="G133" s="7"/>
      <c r="H133" s="64">
        <f t="shared" si="48"/>
        <v>0</v>
      </c>
      <c r="I133" s="38">
        <f t="shared" si="49"/>
        <v>1</v>
      </c>
      <c r="J133" s="36">
        <v>45121</v>
      </c>
      <c r="L133" s="6" t="s">
        <v>51</v>
      </c>
      <c r="M133" s="25"/>
      <c r="N133" s="19">
        <v>1</v>
      </c>
      <c r="O133" s="55">
        <f t="shared" si="50"/>
        <v>1</v>
      </c>
      <c r="P133" s="31"/>
      <c r="Q133" s="7">
        <v>1</v>
      </c>
      <c r="R133" s="64">
        <f t="shared" si="51"/>
        <v>1</v>
      </c>
      <c r="S133" s="38">
        <f t="shared" si="52"/>
        <v>2</v>
      </c>
      <c r="T133" s="36">
        <v>45128</v>
      </c>
    </row>
    <row r="134" spans="2:20" x14ac:dyDescent="0.15">
      <c r="B134" s="6" t="s">
        <v>49</v>
      </c>
      <c r="C134" s="25"/>
      <c r="D134" s="19">
        <v>1</v>
      </c>
      <c r="E134" s="55">
        <f t="shared" si="47"/>
        <v>1</v>
      </c>
      <c r="F134" s="31"/>
      <c r="G134" s="7"/>
      <c r="H134" s="64">
        <f t="shared" si="48"/>
        <v>0</v>
      </c>
      <c r="I134" s="38">
        <f t="shared" si="49"/>
        <v>1</v>
      </c>
      <c r="J134" s="36">
        <v>45126</v>
      </c>
      <c r="L134" s="6" t="s">
        <v>53</v>
      </c>
      <c r="M134" s="25">
        <v>1</v>
      </c>
      <c r="N134" s="19">
        <v>1</v>
      </c>
      <c r="O134" s="55">
        <f t="shared" si="50"/>
        <v>2</v>
      </c>
      <c r="P134" s="31">
        <v>2</v>
      </c>
      <c r="Q134" s="7"/>
      <c r="R134" s="64">
        <f t="shared" si="51"/>
        <v>2</v>
      </c>
      <c r="S134" s="38">
        <f t="shared" si="52"/>
        <v>4</v>
      </c>
      <c r="T134" s="36">
        <v>45131</v>
      </c>
    </row>
    <row r="135" spans="2:20" x14ac:dyDescent="0.15">
      <c r="B135" s="6" t="s">
        <v>7</v>
      </c>
      <c r="C135" s="25">
        <v>1</v>
      </c>
      <c r="D135" s="19">
        <v>2</v>
      </c>
      <c r="E135" s="55">
        <f t="shared" si="47"/>
        <v>3</v>
      </c>
      <c r="F135" s="31"/>
      <c r="G135" s="7">
        <v>1</v>
      </c>
      <c r="H135" s="64">
        <f t="shared" si="48"/>
        <v>1</v>
      </c>
      <c r="I135" s="38">
        <f t="shared" si="49"/>
        <v>4</v>
      </c>
      <c r="J135" s="36">
        <v>45125</v>
      </c>
      <c r="L135" s="34" t="s">
        <v>32</v>
      </c>
      <c r="M135" s="25"/>
      <c r="N135" s="19">
        <v>10</v>
      </c>
      <c r="O135" s="55">
        <f t="shared" si="50"/>
        <v>10</v>
      </c>
      <c r="P135" s="31"/>
      <c r="Q135" s="7"/>
      <c r="R135" s="64">
        <f t="shared" si="51"/>
        <v>0</v>
      </c>
      <c r="S135" s="38">
        <f t="shared" si="52"/>
        <v>10</v>
      </c>
      <c r="T135" s="36">
        <v>45131</v>
      </c>
    </row>
    <row r="136" spans="2:20" x14ac:dyDescent="0.15">
      <c r="B136" s="6" t="s">
        <v>7</v>
      </c>
      <c r="C136" s="25">
        <v>1</v>
      </c>
      <c r="D136" s="19">
        <v>2</v>
      </c>
      <c r="E136" s="55">
        <f t="shared" si="47"/>
        <v>3</v>
      </c>
      <c r="F136" s="31"/>
      <c r="G136" s="7"/>
      <c r="H136" s="64">
        <f t="shared" si="48"/>
        <v>0</v>
      </c>
      <c r="I136" s="38">
        <f t="shared" si="49"/>
        <v>3</v>
      </c>
      <c r="J136" s="36">
        <v>45126</v>
      </c>
      <c r="L136" s="6" t="s">
        <v>55</v>
      </c>
      <c r="M136" s="25"/>
      <c r="N136" s="19">
        <v>2</v>
      </c>
      <c r="O136" s="55">
        <f t="shared" si="50"/>
        <v>2</v>
      </c>
      <c r="P136" s="31"/>
      <c r="Q136" s="7">
        <v>1</v>
      </c>
      <c r="R136" s="64">
        <f t="shared" si="51"/>
        <v>1</v>
      </c>
      <c r="S136" s="38">
        <f t="shared" si="52"/>
        <v>3</v>
      </c>
      <c r="T136" s="36">
        <v>45134</v>
      </c>
    </row>
    <row r="137" spans="2:20" x14ac:dyDescent="0.15">
      <c r="B137" s="6" t="s">
        <v>52</v>
      </c>
      <c r="C137" s="25">
        <v>3</v>
      </c>
      <c r="D137" s="19">
        <v>5</v>
      </c>
      <c r="E137" s="55">
        <f t="shared" si="47"/>
        <v>8</v>
      </c>
      <c r="F137" s="31">
        <v>3</v>
      </c>
      <c r="G137" s="7"/>
      <c r="H137" s="64">
        <f t="shared" si="48"/>
        <v>3</v>
      </c>
      <c r="I137" s="38">
        <f t="shared" si="49"/>
        <v>11</v>
      </c>
      <c r="J137" s="36">
        <v>45128</v>
      </c>
      <c r="L137" s="6" t="s">
        <v>58</v>
      </c>
      <c r="M137" s="25">
        <v>2</v>
      </c>
      <c r="N137" s="19"/>
      <c r="O137" s="55">
        <f t="shared" si="50"/>
        <v>2</v>
      </c>
      <c r="P137" s="31"/>
      <c r="Q137" s="7"/>
      <c r="R137" s="64">
        <f t="shared" si="51"/>
        <v>0</v>
      </c>
      <c r="S137" s="38">
        <f t="shared" si="52"/>
        <v>2</v>
      </c>
      <c r="T137" s="36">
        <v>45135</v>
      </c>
    </row>
    <row r="138" spans="2:20" x14ac:dyDescent="0.15">
      <c r="B138" s="6" t="s">
        <v>7</v>
      </c>
      <c r="C138" s="25">
        <v>1</v>
      </c>
      <c r="D138" s="19">
        <v>1</v>
      </c>
      <c r="E138" s="55">
        <f t="shared" si="47"/>
        <v>2</v>
      </c>
      <c r="F138" s="31"/>
      <c r="G138" s="7"/>
      <c r="H138" s="64">
        <f t="shared" si="48"/>
        <v>0</v>
      </c>
      <c r="I138" s="38">
        <f t="shared" si="49"/>
        <v>2</v>
      </c>
      <c r="J138" s="36">
        <v>45127</v>
      </c>
      <c r="L138" s="6" t="s">
        <v>59</v>
      </c>
      <c r="M138" s="25">
        <v>1</v>
      </c>
      <c r="N138" s="19"/>
      <c r="O138" s="55">
        <f t="shared" si="50"/>
        <v>1</v>
      </c>
      <c r="P138" s="31"/>
      <c r="Q138" s="7"/>
      <c r="R138" s="64">
        <f t="shared" si="51"/>
        <v>0</v>
      </c>
      <c r="S138" s="38">
        <f t="shared" si="52"/>
        <v>1</v>
      </c>
      <c r="T138" s="36">
        <v>45138</v>
      </c>
    </row>
    <row r="139" spans="2:20" x14ac:dyDescent="0.15">
      <c r="B139" s="6" t="s">
        <v>54</v>
      </c>
      <c r="C139" s="25">
        <v>2</v>
      </c>
      <c r="D139" s="19">
        <v>1</v>
      </c>
      <c r="E139" s="55">
        <f t="shared" si="47"/>
        <v>3</v>
      </c>
      <c r="F139" s="31"/>
      <c r="G139" s="7"/>
      <c r="H139" s="64">
        <f t="shared" si="48"/>
        <v>0</v>
      </c>
      <c r="I139" s="38">
        <f t="shared" si="49"/>
        <v>3</v>
      </c>
      <c r="J139" s="36">
        <v>45132</v>
      </c>
      <c r="L139" s="6" t="s">
        <v>60</v>
      </c>
      <c r="M139" s="25"/>
      <c r="N139" s="19"/>
      <c r="O139" s="55">
        <f t="shared" si="50"/>
        <v>0</v>
      </c>
      <c r="P139" s="31"/>
      <c r="Q139" s="7">
        <v>1</v>
      </c>
      <c r="R139" s="64">
        <f t="shared" si="51"/>
        <v>1</v>
      </c>
      <c r="S139" s="38">
        <f t="shared" si="52"/>
        <v>1</v>
      </c>
      <c r="T139" s="36">
        <v>45139</v>
      </c>
    </row>
    <row r="140" spans="2:20" x14ac:dyDescent="0.15">
      <c r="B140" s="6" t="s">
        <v>7</v>
      </c>
      <c r="C140" s="25"/>
      <c r="D140" s="19">
        <v>3</v>
      </c>
      <c r="E140" s="55">
        <f t="shared" si="47"/>
        <v>3</v>
      </c>
      <c r="F140" s="31"/>
      <c r="G140" s="7"/>
      <c r="H140" s="64">
        <f t="shared" si="48"/>
        <v>0</v>
      </c>
      <c r="I140" s="38">
        <f t="shared" si="49"/>
        <v>3</v>
      </c>
      <c r="J140" s="36">
        <v>45131</v>
      </c>
      <c r="L140" s="6" t="s">
        <v>61</v>
      </c>
      <c r="M140" s="25"/>
      <c r="N140" s="19"/>
      <c r="O140" s="55">
        <f t="shared" si="50"/>
        <v>0</v>
      </c>
      <c r="P140" s="31"/>
      <c r="Q140" s="7">
        <v>2</v>
      </c>
      <c r="R140" s="64">
        <f t="shared" si="51"/>
        <v>2</v>
      </c>
      <c r="S140" s="38">
        <f t="shared" si="52"/>
        <v>2</v>
      </c>
      <c r="T140" s="36">
        <v>45140</v>
      </c>
    </row>
    <row r="141" spans="2:20" x14ac:dyDescent="0.15">
      <c r="B141" s="6" t="s">
        <v>56</v>
      </c>
      <c r="C141" s="25"/>
      <c r="D141" s="19">
        <v>5</v>
      </c>
      <c r="E141" s="55">
        <f t="shared" si="47"/>
        <v>5</v>
      </c>
      <c r="F141" s="31">
        <v>5</v>
      </c>
      <c r="G141" s="7">
        <v>10</v>
      </c>
      <c r="H141" s="64">
        <f t="shared" si="48"/>
        <v>15</v>
      </c>
      <c r="I141" s="38">
        <f t="shared" si="49"/>
        <v>20</v>
      </c>
      <c r="J141" s="36">
        <v>45134</v>
      </c>
      <c r="L141" s="34" t="s">
        <v>32</v>
      </c>
      <c r="M141" s="25"/>
      <c r="N141" s="19">
        <v>20</v>
      </c>
      <c r="O141" s="55">
        <f t="shared" si="50"/>
        <v>20</v>
      </c>
      <c r="P141" s="31"/>
      <c r="Q141" s="7">
        <v>10</v>
      </c>
      <c r="R141" s="64">
        <f t="shared" si="51"/>
        <v>10</v>
      </c>
      <c r="S141" s="38">
        <f t="shared" si="52"/>
        <v>30</v>
      </c>
      <c r="T141" s="36">
        <v>45140</v>
      </c>
    </row>
    <row r="142" spans="2:20" x14ac:dyDescent="0.15">
      <c r="B142" s="6" t="s">
        <v>57</v>
      </c>
      <c r="C142" s="28"/>
      <c r="D142" s="22"/>
      <c r="E142" s="55">
        <f t="shared" si="47"/>
        <v>0</v>
      </c>
      <c r="F142" s="33"/>
      <c r="G142" s="8">
        <v>1</v>
      </c>
      <c r="H142" s="64">
        <f t="shared" si="48"/>
        <v>1</v>
      </c>
      <c r="I142" s="38">
        <f t="shared" si="49"/>
        <v>1</v>
      </c>
      <c r="J142" s="37">
        <v>45133</v>
      </c>
      <c r="L142" s="6" t="s">
        <v>62</v>
      </c>
      <c r="M142" s="25">
        <v>1</v>
      </c>
      <c r="N142" s="19"/>
      <c r="O142" s="55">
        <f t="shared" si="50"/>
        <v>1</v>
      </c>
      <c r="P142" s="31"/>
      <c r="Q142" s="7"/>
      <c r="R142" s="64">
        <f t="shared" si="51"/>
        <v>0</v>
      </c>
      <c r="S142" s="38">
        <f t="shared" si="52"/>
        <v>1</v>
      </c>
      <c r="T142" s="36">
        <v>45141</v>
      </c>
    </row>
    <row r="143" spans="2:20" x14ac:dyDescent="0.15">
      <c r="B143" s="6" t="s">
        <v>7</v>
      </c>
      <c r="C143" s="28">
        <v>1</v>
      </c>
      <c r="D143" s="22">
        <v>2</v>
      </c>
      <c r="E143" s="55">
        <f t="shared" si="47"/>
        <v>3</v>
      </c>
      <c r="F143" s="33">
        <v>1</v>
      </c>
      <c r="G143" s="8"/>
      <c r="H143" s="64">
        <f t="shared" si="48"/>
        <v>1</v>
      </c>
      <c r="I143" s="38">
        <f t="shared" si="49"/>
        <v>4</v>
      </c>
      <c r="J143" s="37">
        <v>45133</v>
      </c>
      <c r="L143" s="34" t="s">
        <v>32</v>
      </c>
      <c r="M143" s="25"/>
      <c r="N143" s="19">
        <v>10</v>
      </c>
      <c r="O143" s="55">
        <f t="shared" si="50"/>
        <v>10</v>
      </c>
      <c r="P143" s="31"/>
      <c r="Q143" s="7"/>
      <c r="R143" s="64">
        <f t="shared" si="51"/>
        <v>0</v>
      </c>
      <c r="S143" s="38">
        <f t="shared" si="52"/>
        <v>10</v>
      </c>
      <c r="T143" s="36">
        <v>45141</v>
      </c>
    </row>
    <row r="144" spans="2:20" x14ac:dyDescent="0.15">
      <c r="B144" s="6" t="s">
        <v>7</v>
      </c>
      <c r="C144" s="25">
        <v>2</v>
      </c>
      <c r="D144" s="19"/>
      <c r="E144" s="55">
        <f t="shared" si="47"/>
        <v>2</v>
      </c>
      <c r="F144" s="31"/>
      <c r="G144" s="7"/>
      <c r="H144" s="64">
        <f t="shared" si="48"/>
        <v>0</v>
      </c>
      <c r="I144" s="38">
        <f t="shared" si="49"/>
        <v>2</v>
      </c>
      <c r="J144" s="36">
        <v>45135</v>
      </c>
      <c r="L144" s="6" t="s">
        <v>64</v>
      </c>
      <c r="M144" s="25">
        <v>1</v>
      </c>
      <c r="N144" s="19">
        <v>1</v>
      </c>
      <c r="O144" s="55">
        <f t="shared" si="50"/>
        <v>2</v>
      </c>
      <c r="P144" s="31"/>
      <c r="Q144" s="7"/>
      <c r="R144" s="64">
        <f t="shared" si="51"/>
        <v>0</v>
      </c>
      <c r="S144" s="38">
        <f t="shared" si="52"/>
        <v>2</v>
      </c>
      <c r="T144" s="36">
        <v>45142</v>
      </c>
    </row>
    <row r="145" spans="2:20" x14ac:dyDescent="0.15">
      <c r="B145" s="6" t="s">
        <v>7</v>
      </c>
      <c r="C145" s="28"/>
      <c r="D145" s="22">
        <v>1</v>
      </c>
      <c r="E145" s="55">
        <f t="shared" si="47"/>
        <v>1</v>
      </c>
      <c r="F145" s="33"/>
      <c r="G145" s="8"/>
      <c r="H145" s="64">
        <f t="shared" si="48"/>
        <v>0</v>
      </c>
      <c r="I145" s="38">
        <f t="shared" si="49"/>
        <v>1</v>
      </c>
      <c r="J145" s="37">
        <v>45136</v>
      </c>
      <c r="L145" s="6" t="s">
        <v>65</v>
      </c>
      <c r="M145" s="25">
        <v>1</v>
      </c>
      <c r="N145" s="19"/>
      <c r="O145" s="55">
        <f t="shared" si="50"/>
        <v>1</v>
      </c>
      <c r="P145" s="31"/>
      <c r="Q145" s="7"/>
      <c r="R145" s="64">
        <f t="shared" si="51"/>
        <v>0</v>
      </c>
      <c r="S145" s="38">
        <f t="shared" si="52"/>
        <v>1</v>
      </c>
      <c r="T145" s="36">
        <v>45145</v>
      </c>
    </row>
    <row r="146" spans="2:20" x14ac:dyDescent="0.15">
      <c r="B146" s="6" t="s">
        <v>7</v>
      </c>
      <c r="C146" s="28">
        <v>1</v>
      </c>
      <c r="D146" s="22">
        <v>2</v>
      </c>
      <c r="E146" s="55">
        <f t="shared" si="47"/>
        <v>3</v>
      </c>
      <c r="F146" s="33"/>
      <c r="G146" s="8">
        <v>1</v>
      </c>
      <c r="H146" s="64">
        <f t="shared" si="48"/>
        <v>1</v>
      </c>
      <c r="I146" s="38">
        <f t="shared" si="49"/>
        <v>4</v>
      </c>
      <c r="J146" s="37">
        <v>45138</v>
      </c>
      <c r="L146" s="6" t="s">
        <v>66</v>
      </c>
      <c r="M146" s="25">
        <v>1</v>
      </c>
      <c r="N146" s="19">
        <v>1</v>
      </c>
      <c r="O146" s="55">
        <f t="shared" si="50"/>
        <v>2</v>
      </c>
      <c r="P146" s="31"/>
      <c r="Q146" s="7"/>
      <c r="R146" s="64">
        <f t="shared" si="51"/>
        <v>0</v>
      </c>
      <c r="S146" s="38">
        <f t="shared" si="52"/>
        <v>2</v>
      </c>
      <c r="T146" s="36">
        <v>45146</v>
      </c>
    </row>
    <row r="147" spans="2:20" x14ac:dyDescent="0.15">
      <c r="B147" s="6" t="s">
        <v>7</v>
      </c>
      <c r="C147" s="25"/>
      <c r="D147" s="19">
        <v>4</v>
      </c>
      <c r="E147" s="55">
        <f t="shared" si="47"/>
        <v>4</v>
      </c>
      <c r="F147" s="31">
        <v>1</v>
      </c>
      <c r="G147" s="7"/>
      <c r="H147" s="64">
        <f t="shared" si="48"/>
        <v>1</v>
      </c>
      <c r="I147" s="38">
        <f t="shared" si="49"/>
        <v>5</v>
      </c>
      <c r="J147" s="36">
        <v>45139</v>
      </c>
      <c r="L147" s="6" t="s">
        <v>67</v>
      </c>
      <c r="M147" s="25"/>
      <c r="N147" s="19">
        <v>1</v>
      </c>
      <c r="O147" s="55">
        <f t="shared" si="50"/>
        <v>1</v>
      </c>
      <c r="P147" s="31"/>
      <c r="Q147" s="7"/>
      <c r="R147" s="64">
        <f t="shared" si="51"/>
        <v>0</v>
      </c>
      <c r="S147" s="38">
        <f t="shared" si="52"/>
        <v>1</v>
      </c>
      <c r="T147" s="36">
        <v>45147</v>
      </c>
    </row>
    <row r="148" spans="2:20" x14ac:dyDescent="0.15">
      <c r="B148" s="6" t="s">
        <v>63</v>
      </c>
      <c r="C148" s="25"/>
      <c r="D148" s="19">
        <v>10</v>
      </c>
      <c r="E148" s="55">
        <f t="shared" si="47"/>
        <v>10</v>
      </c>
      <c r="F148" s="31"/>
      <c r="G148" s="7"/>
      <c r="H148" s="64">
        <f t="shared" si="48"/>
        <v>0</v>
      </c>
      <c r="I148" s="38">
        <f t="shared" si="49"/>
        <v>10</v>
      </c>
      <c r="J148" s="36">
        <v>45141</v>
      </c>
      <c r="L148" s="6" t="s">
        <v>68</v>
      </c>
      <c r="M148" s="25"/>
      <c r="N148" s="19">
        <v>2</v>
      </c>
      <c r="O148" s="55">
        <f t="shared" si="50"/>
        <v>2</v>
      </c>
      <c r="P148" s="31"/>
      <c r="Q148" s="7">
        <v>2</v>
      </c>
      <c r="R148" s="64">
        <f t="shared" si="51"/>
        <v>2</v>
      </c>
      <c r="S148" s="38">
        <f t="shared" si="52"/>
        <v>4</v>
      </c>
      <c r="T148" s="36">
        <v>45148</v>
      </c>
    </row>
    <row r="149" spans="2:20" x14ac:dyDescent="0.15">
      <c r="B149" s="6" t="s">
        <v>7</v>
      </c>
      <c r="C149" s="28">
        <v>1</v>
      </c>
      <c r="D149" s="22">
        <v>1</v>
      </c>
      <c r="E149" s="55">
        <f t="shared" si="47"/>
        <v>2</v>
      </c>
      <c r="F149" s="33"/>
      <c r="G149" s="8">
        <v>1</v>
      </c>
      <c r="H149" s="64">
        <f t="shared" si="48"/>
        <v>1</v>
      </c>
      <c r="I149" s="38">
        <f t="shared" si="49"/>
        <v>3</v>
      </c>
      <c r="J149" s="37">
        <v>45142</v>
      </c>
      <c r="L149" s="6" t="s">
        <v>70</v>
      </c>
      <c r="M149" s="25">
        <v>3</v>
      </c>
      <c r="N149" s="19">
        <v>3</v>
      </c>
      <c r="O149" s="55">
        <f t="shared" si="50"/>
        <v>6</v>
      </c>
      <c r="P149" s="31">
        <v>2</v>
      </c>
      <c r="Q149" s="7">
        <v>2</v>
      </c>
      <c r="R149" s="64">
        <f t="shared" si="51"/>
        <v>4</v>
      </c>
      <c r="S149" s="38">
        <f t="shared" si="52"/>
        <v>10</v>
      </c>
      <c r="T149" s="36">
        <v>45156</v>
      </c>
    </row>
    <row r="150" spans="2:20" x14ac:dyDescent="0.15">
      <c r="B150" s="6" t="s">
        <v>7</v>
      </c>
      <c r="C150" s="28"/>
      <c r="D150" s="22"/>
      <c r="E150" s="55">
        <f t="shared" si="47"/>
        <v>0</v>
      </c>
      <c r="F150" s="33"/>
      <c r="G150" s="8">
        <v>1</v>
      </c>
      <c r="H150" s="64">
        <f t="shared" si="48"/>
        <v>1</v>
      </c>
      <c r="I150" s="38">
        <f t="shared" si="49"/>
        <v>1</v>
      </c>
      <c r="J150" s="37">
        <v>45143</v>
      </c>
      <c r="L150" s="6"/>
      <c r="M150" s="28"/>
      <c r="N150" s="22"/>
      <c r="O150" s="55">
        <f t="shared" si="50"/>
        <v>0</v>
      </c>
      <c r="P150" s="33"/>
      <c r="Q150" s="8"/>
      <c r="R150" s="64">
        <f t="shared" si="51"/>
        <v>0</v>
      </c>
      <c r="S150" s="38">
        <f t="shared" si="52"/>
        <v>0</v>
      </c>
      <c r="T150" s="37"/>
    </row>
    <row r="151" spans="2:20" x14ac:dyDescent="0.15">
      <c r="B151" s="6" t="s">
        <v>7</v>
      </c>
      <c r="C151" s="25">
        <f>1+1</f>
        <v>2</v>
      </c>
      <c r="D151" s="19">
        <v>2</v>
      </c>
      <c r="E151" s="55">
        <f t="shared" si="47"/>
        <v>4</v>
      </c>
      <c r="F151" s="31"/>
      <c r="G151" s="7">
        <v>1</v>
      </c>
      <c r="H151" s="64">
        <f t="shared" si="48"/>
        <v>1</v>
      </c>
      <c r="I151" s="38">
        <f t="shared" si="49"/>
        <v>5</v>
      </c>
      <c r="J151" s="36">
        <v>45145</v>
      </c>
      <c r="L151" s="6"/>
      <c r="M151" s="25"/>
      <c r="N151" s="19"/>
      <c r="O151" s="55">
        <f t="shared" si="50"/>
        <v>0</v>
      </c>
      <c r="P151" s="31"/>
      <c r="Q151" s="7"/>
      <c r="R151" s="64">
        <f t="shared" si="51"/>
        <v>0</v>
      </c>
      <c r="S151" s="38">
        <f t="shared" si="52"/>
        <v>0</v>
      </c>
      <c r="T151" s="36"/>
    </row>
    <row r="152" spans="2:20" x14ac:dyDescent="0.15">
      <c r="B152" s="6" t="s">
        <v>26</v>
      </c>
      <c r="C152" s="25"/>
      <c r="D152" s="19">
        <v>1</v>
      </c>
      <c r="E152" s="55">
        <f t="shared" si="47"/>
        <v>1</v>
      </c>
      <c r="F152" s="31"/>
      <c r="G152" s="7"/>
      <c r="H152" s="64">
        <f t="shared" si="48"/>
        <v>0</v>
      </c>
      <c r="I152" s="38">
        <f t="shared" si="49"/>
        <v>1</v>
      </c>
      <c r="J152" s="36">
        <v>45146</v>
      </c>
      <c r="L152" s="6"/>
      <c r="M152" s="25"/>
      <c r="N152" s="19"/>
      <c r="O152" s="55">
        <f t="shared" si="50"/>
        <v>0</v>
      </c>
      <c r="P152" s="31"/>
      <c r="Q152" s="7"/>
      <c r="R152" s="64">
        <f t="shared" si="51"/>
        <v>0</v>
      </c>
      <c r="S152" s="38">
        <f t="shared" si="52"/>
        <v>0</v>
      </c>
      <c r="T152" s="36"/>
    </row>
    <row r="153" spans="2:20" x14ac:dyDescent="0.15">
      <c r="B153" s="6" t="s">
        <v>7</v>
      </c>
      <c r="C153" s="25"/>
      <c r="D153" s="19">
        <v>1</v>
      </c>
      <c r="E153" s="55">
        <f t="shared" si="47"/>
        <v>1</v>
      </c>
      <c r="F153" s="31"/>
      <c r="G153" s="7"/>
      <c r="H153" s="64">
        <f t="shared" si="48"/>
        <v>0</v>
      </c>
      <c r="I153" s="38">
        <f t="shared" si="49"/>
        <v>1</v>
      </c>
      <c r="J153" s="36">
        <v>45149</v>
      </c>
      <c r="L153" s="6"/>
      <c r="M153" s="25"/>
      <c r="N153" s="19"/>
      <c r="O153" s="55">
        <f t="shared" si="50"/>
        <v>0</v>
      </c>
      <c r="P153" s="31"/>
      <c r="Q153" s="7"/>
      <c r="R153" s="64">
        <f t="shared" si="51"/>
        <v>0</v>
      </c>
      <c r="S153" s="38">
        <f t="shared" si="52"/>
        <v>0</v>
      </c>
      <c r="T153" s="36"/>
    </row>
    <row r="154" spans="2:20" x14ac:dyDescent="0.15">
      <c r="B154" s="6" t="s">
        <v>7</v>
      </c>
      <c r="C154" s="25">
        <v>1</v>
      </c>
      <c r="D154" s="19">
        <f>1+1</f>
        <v>2</v>
      </c>
      <c r="E154" s="55">
        <f t="shared" si="47"/>
        <v>3</v>
      </c>
      <c r="F154" s="31">
        <v>1</v>
      </c>
      <c r="G154" s="7">
        <v>1</v>
      </c>
      <c r="H154" s="64">
        <f t="shared" si="48"/>
        <v>2</v>
      </c>
      <c r="I154" s="38">
        <f t="shared" si="49"/>
        <v>5</v>
      </c>
      <c r="J154" s="36">
        <v>45154</v>
      </c>
      <c r="L154" s="6"/>
      <c r="M154" s="25"/>
      <c r="N154" s="19"/>
      <c r="O154" s="55">
        <f t="shared" si="50"/>
        <v>0</v>
      </c>
      <c r="P154" s="31"/>
      <c r="Q154" s="7"/>
      <c r="R154" s="64">
        <f t="shared" si="51"/>
        <v>0</v>
      </c>
      <c r="S154" s="38">
        <f t="shared" si="52"/>
        <v>0</v>
      </c>
      <c r="T154" s="36"/>
    </row>
    <row r="155" spans="2:20" x14ac:dyDescent="0.15">
      <c r="B155" s="6" t="s">
        <v>7</v>
      </c>
      <c r="C155" s="25"/>
      <c r="D155" s="19">
        <v>1</v>
      </c>
      <c r="E155" s="55">
        <f t="shared" si="47"/>
        <v>1</v>
      </c>
      <c r="F155" s="31"/>
      <c r="G155" s="7"/>
      <c r="H155" s="64">
        <f t="shared" si="48"/>
        <v>0</v>
      </c>
      <c r="I155" s="38">
        <f t="shared" si="49"/>
        <v>1</v>
      </c>
      <c r="J155" s="36">
        <v>45155</v>
      </c>
      <c r="L155" s="6"/>
      <c r="M155" s="25"/>
      <c r="N155" s="19"/>
      <c r="O155" s="55">
        <f t="shared" si="50"/>
        <v>0</v>
      </c>
      <c r="P155" s="31"/>
      <c r="Q155" s="7"/>
      <c r="R155" s="64">
        <f t="shared" si="51"/>
        <v>0</v>
      </c>
      <c r="S155" s="38">
        <f t="shared" si="52"/>
        <v>0</v>
      </c>
      <c r="T155" s="36"/>
    </row>
    <row r="156" spans="2:20" ht="14.25" thickBot="1" x14ac:dyDescent="0.2">
      <c r="B156" s="6" t="s">
        <v>7</v>
      </c>
      <c r="C156" s="25"/>
      <c r="D156" s="19">
        <v>1</v>
      </c>
      <c r="E156" s="55">
        <f t="shared" ref="E156" si="62">SUM(C156:D156)</f>
        <v>1</v>
      </c>
      <c r="F156" s="31"/>
      <c r="G156" s="7"/>
      <c r="H156" s="64">
        <f t="shared" ref="H156" si="63">SUM(F156:G156)</f>
        <v>0</v>
      </c>
      <c r="I156" s="38">
        <f t="shared" ref="I156" si="64">E156+H156</f>
        <v>1</v>
      </c>
      <c r="J156" s="36">
        <v>45156</v>
      </c>
      <c r="L156" s="6" t="s">
        <v>42</v>
      </c>
      <c r="M156" s="25"/>
      <c r="N156" s="19"/>
      <c r="O156" s="55">
        <f t="shared" ref="O156" si="65">SUM(M156:N156)</f>
        <v>0</v>
      </c>
      <c r="P156" s="31"/>
      <c r="Q156" s="7"/>
      <c r="R156" s="64">
        <f t="shared" ref="R156" si="66">SUM(P156:Q156)</f>
        <v>0</v>
      </c>
      <c r="S156" s="38">
        <f t="shared" ref="S156" si="67">O156+R156</f>
        <v>0</v>
      </c>
      <c r="T156" s="36" t="s">
        <v>43</v>
      </c>
    </row>
    <row r="157" spans="2:20" ht="14.25" thickBot="1" x14ac:dyDescent="0.2">
      <c r="B157" s="4" t="s">
        <v>1</v>
      </c>
      <c r="C157" s="27">
        <f>SUM(C132:C156)</f>
        <v>19</v>
      </c>
      <c r="D157" s="21">
        <f>SUM(D132:D156)</f>
        <v>48</v>
      </c>
      <c r="E157" s="57">
        <f t="shared" si="47"/>
        <v>67</v>
      </c>
      <c r="F157" s="27">
        <f>SUM(F132:F156)</f>
        <v>11</v>
      </c>
      <c r="G157" s="21">
        <f>SUM(G132:G156)</f>
        <v>17</v>
      </c>
      <c r="H157" s="66">
        <f t="shared" si="48"/>
        <v>28</v>
      </c>
      <c r="I157" s="40">
        <f t="shared" si="49"/>
        <v>95</v>
      </c>
      <c r="L157" s="4" t="s">
        <v>1</v>
      </c>
      <c r="M157" s="27">
        <f>SUM(M132:M156)</f>
        <v>11</v>
      </c>
      <c r="N157" s="21">
        <f>SUM(N132:N156)</f>
        <v>53</v>
      </c>
      <c r="O157" s="57">
        <f t="shared" si="50"/>
        <v>64</v>
      </c>
      <c r="P157" s="27">
        <f>SUM(P132:P156)</f>
        <v>7</v>
      </c>
      <c r="Q157" s="21">
        <f>SUM(Q132:Q156)</f>
        <v>20</v>
      </c>
      <c r="R157" s="66">
        <f t="shared" si="51"/>
        <v>27</v>
      </c>
      <c r="S157" s="40">
        <f t="shared" si="52"/>
        <v>91</v>
      </c>
      <c r="T157" s="35"/>
    </row>
    <row r="158" spans="2:20" ht="14.25" thickBot="1" x14ac:dyDescent="0.2">
      <c r="B158" s="3" t="s">
        <v>0</v>
      </c>
      <c r="C158" s="30">
        <f>+C131-C157</f>
        <v>8</v>
      </c>
      <c r="D158" s="2">
        <f>+D131-D157</f>
        <v>14</v>
      </c>
      <c r="E158" s="58">
        <f t="shared" si="47"/>
        <v>22</v>
      </c>
      <c r="F158" s="30">
        <f>+F131-F157</f>
        <v>15</v>
      </c>
      <c r="G158" s="2">
        <f>+G131-G157</f>
        <v>15</v>
      </c>
      <c r="H158" s="67">
        <f t="shared" si="48"/>
        <v>30</v>
      </c>
      <c r="I158" s="42">
        <f t="shared" si="49"/>
        <v>52</v>
      </c>
      <c r="L158" s="3" t="s">
        <v>0</v>
      </c>
      <c r="M158" s="30">
        <f>+M131-M157</f>
        <v>49</v>
      </c>
      <c r="N158" s="2">
        <f>+N131-N157</f>
        <v>24</v>
      </c>
      <c r="O158" s="58">
        <f t="shared" si="50"/>
        <v>73</v>
      </c>
      <c r="P158" s="30">
        <f>+P131-P157</f>
        <v>61</v>
      </c>
      <c r="Q158" s="2">
        <f>+Q131-Q157</f>
        <v>59</v>
      </c>
      <c r="R158" s="67">
        <f t="shared" si="51"/>
        <v>120</v>
      </c>
      <c r="S158" s="42">
        <f t="shared" si="52"/>
        <v>193</v>
      </c>
      <c r="T158" s="35"/>
    </row>
    <row r="159" spans="2:20" x14ac:dyDescent="0.15">
      <c r="L159" s="1"/>
      <c r="T159" s="35"/>
    </row>
    <row r="160" spans="2:20" x14ac:dyDescent="0.15">
      <c r="B160"/>
      <c r="J160"/>
    </row>
    <row r="161" spans="2:20" ht="18.75" x14ac:dyDescent="0.2">
      <c r="B161" s="16" t="s">
        <v>21</v>
      </c>
      <c r="C161" s="15"/>
      <c r="D161" s="15"/>
      <c r="E161" s="15"/>
      <c r="F161" s="15"/>
      <c r="G161" s="15"/>
      <c r="H161" s="15"/>
      <c r="I161" s="15"/>
      <c r="L161" s="71" t="s">
        <v>22</v>
      </c>
      <c r="M161" s="72"/>
      <c r="N161" s="72"/>
      <c r="O161" s="72"/>
      <c r="P161" s="72"/>
      <c r="Q161" s="72"/>
      <c r="R161" s="72"/>
      <c r="S161" s="72"/>
      <c r="T161" s="35"/>
    </row>
    <row r="162" spans="2:20" ht="18" thickBot="1" x14ac:dyDescent="0.25">
      <c r="B162" s="17" t="s">
        <v>23</v>
      </c>
      <c r="C162" s="15"/>
      <c r="D162" s="15"/>
      <c r="E162" s="15"/>
      <c r="F162" s="15"/>
      <c r="G162" s="15"/>
      <c r="H162" s="15"/>
      <c r="I162" s="15"/>
      <c r="L162" s="73" t="s">
        <v>23</v>
      </c>
      <c r="M162" s="72"/>
      <c r="N162" s="72"/>
      <c r="O162" s="72"/>
      <c r="P162" s="72"/>
      <c r="Q162" s="72"/>
      <c r="R162" s="72"/>
      <c r="S162" s="72"/>
      <c r="T162" s="35"/>
    </row>
    <row r="163" spans="2:20" ht="14.25" thickBot="1" x14ac:dyDescent="0.2">
      <c r="B163" s="14"/>
      <c r="C163" s="113" t="s">
        <v>12</v>
      </c>
      <c r="D163" s="114"/>
      <c r="E163" s="115"/>
      <c r="F163" s="116" t="s">
        <v>11</v>
      </c>
      <c r="G163" s="117"/>
      <c r="H163" s="118"/>
      <c r="I163" s="13" t="s">
        <v>19</v>
      </c>
      <c r="L163" s="14"/>
      <c r="M163" s="113" t="s">
        <v>12</v>
      </c>
      <c r="N163" s="114"/>
      <c r="O163" s="115"/>
      <c r="P163" s="116" t="s">
        <v>11</v>
      </c>
      <c r="Q163" s="117"/>
      <c r="R163" s="118"/>
      <c r="S163" s="13" t="s">
        <v>19</v>
      </c>
    </row>
    <row r="164" spans="2:20" ht="14.25" thickBot="1" x14ac:dyDescent="0.2">
      <c r="B164" s="13"/>
      <c r="C164" s="23" t="s">
        <v>6</v>
      </c>
      <c r="D164" s="12" t="s">
        <v>5</v>
      </c>
      <c r="E164" s="50" t="s">
        <v>4</v>
      </c>
      <c r="F164" s="23" t="s">
        <v>6</v>
      </c>
      <c r="G164" s="12" t="s">
        <v>5</v>
      </c>
      <c r="H164" s="59" t="s">
        <v>4</v>
      </c>
      <c r="I164" s="49"/>
      <c r="L164" s="13"/>
      <c r="M164" s="23" t="s">
        <v>6</v>
      </c>
      <c r="N164" s="12" t="s">
        <v>5</v>
      </c>
      <c r="O164" s="50" t="s">
        <v>4</v>
      </c>
      <c r="P164" s="23" t="s">
        <v>6</v>
      </c>
      <c r="Q164" s="12" t="s">
        <v>5</v>
      </c>
      <c r="R164" s="59" t="s">
        <v>4</v>
      </c>
      <c r="S164" s="49"/>
    </row>
    <row r="165" spans="2:20" x14ac:dyDescent="0.15">
      <c r="B165" s="46" t="s">
        <v>0</v>
      </c>
      <c r="C165" s="47">
        <f t="shared" ref="C165:H165" si="68">C158</f>
        <v>8</v>
      </c>
      <c r="D165" s="48">
        <f t="shared" si="68"/>
        <v>14</v>
      </c>
      <c r="E165" s="68">
        <f t="shared" si="68"/>
        <v>22</v>
      </c>
      <c r="F165" s="47">
        <f t="shared" si="68"/>
        <v>15</v>
      </c>
      <c r="G165" s="48">
        <f t="shared" si="68"/>
        <v>15</v>
      </c>
      <c r="H165" s="69">
        <f t="shared" si="68"/>
        <v>30</v>
      </c>
      <c r="I165" s="41">
        <f>E165+H165</f>
        <v>52</v>
      </c>
      <c r="J165" s="36"/>
      <c r="L165" s="46" t="s">
        <v>0</v>
      </c>
      <c r="M165" s="47">
        <f t="shared" ref="M165:R165" si="69">M158</f>
        <v>49</v>
      </c>
      <c r="N165" s="48">
        <f t="shared" si="69"/>
        <v>24</v>
      </c>
      <c r="O165" s="68">
        <f t="shared" si="69"/>
        <v>73</v>
      </c>
      <c r="P165" s="47">
        <f t="shared" si="69"/>
        <v>61</v>
      </c>
      <c r="Q165" s="48">
        <f t="shared" si="69"/>
        <v>59</v>
      </c>
      <c r="R165" s="69">
        <f t="shared" si="69"/>
        <v>120</v>
      </c>
      <c r="S165" s="41">
        <f>O165+R165</f>
        <v>193</v>
      </c>
    </row>
    <row r="166" spans="2:20" x14ac:dyDescent="0.15">
      <c r="B166" s="11" t="s">
        <v>72</v>
      </c>
      <c r="C166" s="25">
        <v>0</v>
      </c>
      <c r="D166" s="19">
        <v>0</v>
      </c>
      <c r="E166" s="52">
        <f t="shared" ref="E166:E198" si="70">SUM(C166:D166)</f>
        <v>0</v>
      </c>
      <c r="F166" s="31">
        <v>0</v>
      </c>
      <c r="G166" s="7">
        <v>0</v>
      </c>
      <c r="H166" s="61">
        <f t="shared" ref="H166:H198" si="71">SUM(F166:G166)</f>
        <v>0</v>
      </c>
      <c r="I166" s="38">
        <f t="shared" ref="I166:I198" si="72">E166+H166</f>
        <v>0</v>
      </c>
      <c r="J166" s="36">
        <v>45162</v>
      </c>
      <c r="L166" s="11" t="s">
        <v>3</v>
      </c>
      <c r="M166" s="25"/>
      <c r="N166" s="19"/>
      <c r="O166" s="52">
        <f t="shared" ref="O166:O198" si="73">SUM(M166:N166)</f>
        <v>0</v>
      </c>
      <c r="P166" s="31"/>
      <c r="Q166" s="7"/>
      <c r="R166" s="61">
        <f t="shared" ref="R166:R198" si="74">SUM(P166:Q166)</f>
        <v>0</v>
      </c>
      <c r="S166" s="38">
        <f t="shared" ref="S166:S198" si="75">O166+R166</f>
        <v>0</v>
      </c>
    </row>
    <row r="167" spans="2:20" x14ac:dyDescent="0.15">
      <c r="B167" s="11" t="s">
        <v>3</v>
      </c>
      <c r="C167" s="25">
        <v>5</v>
      </c>
      <c r="D167" s="19">
        <v>5</v>
      </c>
      <c r="E167" s="52">
        <f t="shared" si="70"/>
        <v>10</v>
      </c>
      <c r="F167" s="31"/>
      <c r="G167" s="7"/>
      <c r="H167" s="61">
        <f t="shared" si="71"/>
        <v>0</v>
      </c>
      <c r="I167" s="38">
        <f t="shared" si="72"/>
        <v>10</v>
      </c>
      <c r="J167" s="36">
        <v>45180</v>
      </c>
      <c r="L167" s="11" t="s">
        <v>3</v>
      </c>
      <c r="M167" s="25"/>
      <c r="N167" s="19"/>
      <c r="O167" s="52">
        <f t="shared" si="73"/>
        <v>0</v>
      </c>
      <c r="P167" s="31"/>
      <c r="Q167" s="7"/>
      <c r="R167" s="61">
        <f t="shared" si="74"/>
        <v>0</v>
      </c>
      <c r="S167" s="38">
        <f t="shared" si="75"/>
        <v>0</v>
      </c>
    </row>
    <row r="168" spans="2:20" x14ac:dyDescent="0.15">
      <c r="B168" s="11" t="s">
        <v>3</v>
      </c>
      <c r="C168" s="25">
        <v>10</v>
      </c>
      <c r="D168" s="19">
        <v>5</v>
      </c>
      <c r="E168" s="52">
        <f t="shared" si="70"/>
        <v>15</v>
      </c>
      <c r="F168" s="31"/>
      <c r="G168" s="7"/>
      <c r="H168" s="61">
        <f t="shared" si="71"/>
        <v>0</v>
      </c>
      <c r="I168" s="38">
        <f t="shared" si="72"/>
        <v>15</v>
      </c>
      <c r="J168" s="36">
        <v>45194</v>
      </c>
      <c r="L168" s="11" t="s">
        <v>3</v>
      </c>
      <c r="M168" s="25"/>
      <c r="N168" s="19"/>
      <c r="O168" s="52">
        <f t="shared" si="73"/>
        <v>0</v>
      </c>
      <c r="P168" s="31"/>
      <c r="Q168" s="7"/>
      <c r="R168" s="61">
        <f t="shared" si="74"/>
        <v>0</v>
      </c>
      <c r="S168" s="38">
        <f t="shared" si="75"/>
        <v>0</v>
      </c>
    </row>
    <row r="169" spans="2:20" x14ac:dyDescent="0.15">
      <c r="B169" s="11" t="s">
        <v>69</v>
      </c>
      <c r="C169" s="25">
        <v>2</v>
      </c>
      <c r="D169" s="19"/>
      <c r="E169" s="52">
        <f t="shared" ref="E169" si="76">SUM(C169:D169)</f>
        <v>2</v>
      </c>
      <c r="F169" s="31">
        <v>3</v>
      </c>
      <c r="G169" s="7"/>
      <c r="H169" s="61">
        <f t="shared" ref="H169" si="77">SUM(F169:G169)</f>
        <v>3</v>
      </c>
      <c r="I169" s="38">
        <f t="shared" ref="I169" si="78">E169+H169</f>
        <v>5</v>
      </c>
      <c r="J169" s="36">
        <v>45210</v>
      </c>
      <c r="L169" s="11" t="s">
        <v>3</v>
      </c>
      <c r="M169" s="25"/>
      <c r="N169" s="19"/>
      <c r="O169" s="52">
        <f t="shared" si="73"/>
        <v>0</v>
      </c>
      <c r="P169" s="31"/>
      <c r="Q169" s="7"/>
      <c r="R169" s="61">
        <f t="shared" si="74"/>
        <v>0</v>
      </c>
      <c r="S169" s="38">
        <f t="shared" si="75"/>
        <v>0</v>
      </c>
    </row>
    <row r="170" spans="2:20" ht="14.25" thickBot="1" x14ac:dyDescent="0.2">
      <c r="B170" s="11" t="s">
        <v>72</v>
      </c>
      <c r="C170" s="26"/>
      <c r="D170" s="20">
        <v>1</v>
      </c>
      <c r="E170" s="53">
        <f t="shared" si="70"/>
        <v>1</v>
      </c>
      <c r="F170" s="32"/>
      <c r="G170" s="5"/>
      <c r="H170" s="62">
        <f t="shared" si="71"/>
        <v>0</v>
      </c>
      <c r="I170" s="39">
        <f t="shared" si="72"/>
        <v>1</v>
      </c>
      <c r="J170" s="36">
        <v>45385</v>
      </c>
      <c r="L170" s="10" t="s">
        <v>3</v>
      </c>
      <c r="M170" s="26"/>
      <c r="N170" s="20"/>
      <c r="O170" s="53">
        <f t="shared" si="73"/>
        <v>0</v>
      </c>
      <c r="P170" s="32"/>
      <c r="Q170" s="5"/>
      <c r="R170" s="62">
        <f t="shared" si="74"/>
        <v>0</v>
      </c>
      <c r="S170" s="39">
        <f t="shared" si="75"/>
        <v>0</v>
      </c>
    </row>
    <row r="171" spans="2:20" ht="14.25" thickBot="1" x14ac:dyDescent="0.2">
      <c r="B171" s="43" t="s">
        <v>2</v>
      </c>
      <c r="C171" s="44">
        <f>SUM(C165:C170)</f>
        <v>25</v>
      </c>
      <c r="D171" s="45">
        <f>SUM(D165:D170)</f>
        <v>25</v>
      </c>
      <c r="E171" s="54">
        <f t="shared" si="70"/>
        <v>50</v>
      </c>
      <c r="F171" s="44">
        <f>SUM(F165:F170)</f>
        <v>18</v>
      </c>
      <c r="G171" s="45">
        <f>SUM(G165:G170)</f>
        <v>15</v>
      </c>
      <c r="H171" s="63">
        <f t="shared" si="71"/>
        <v>33</v>
      </c>
      <c r="I171" s="42">
        <f t="shared" si="72"/>
        <v>83</v>
      </c>
      <c r="L171" s="43" t="s">
        <v>2</v>
      </c>
      <c r="M171" s="44">
        <f>SUM(M165:M170)</f>
        <v>49</v>
      </c>
      <c r="N171" s="45">
        <f>SUM(N165:N170)</f>
        <v>24</v>
      </c>
      <c r="O171" s="54">
        <f t="shared" si="73"/>
        <v>73</v>
      </c>
      <c r="P171" s="44">
        <f>SUM(P165:P170)</f>
        <v>61</v>
      </c>
      <c r="Q171" s="45">
        <f>SUM(Q165:Q170)</f>
        <v>59</v>
      </c>
      <c r="R171" s="63">
        <f t="shared" si="74"/>
        <v>120</v>
      </c>
      <c r="S171" s="42">
        <f t="shared" si="75"/>
        <v>193</v>
      </c>
    </row>
    <row r="172" spans="2:20" x14ac:dyDescent="0.15">
      <c r="B172" s="6" t="s">
        <v>26</v>
      </c>
      <c r="C172" s="25"/>
      <c r="D172" s="19">
        <v>1</v>
      </c>
      <c r="E172" s="55">
        <f t="shared" ref="E172:E193" si="79">SUM(C172:D172)</f>
        <v>1</v>
      </c>
      <c r="F172" s="31"/>
      <c r="G172" s="7"/>
      <c r="H172" s="64">
        <f t="shared" ref="H172:H193" si="80">SUM(F172:G172)</f>
        <v>0</v>
      </c>
      <c r="I172" s="38">
        <f t="shared" ref="I172:I193" si="81">E172+H172</f>
        <v>1</v>
      </c>
      <c r="J172" s="36">
        <v>45159</v>
      </c>
      <c r="L172" s="6" t="s">
        <v>71</v>
      </c>
      <c r="M172" s="25"/>
      <c r="N172" s="19"/>
      <c r="O172" s="55">
        <f t="shared" ref="O172:O189" si="82">SUM(M172:N172)</f>
        <v>0</v>
      </c>
      <c r="P172" s="31">
        <v>4</v>
      </c>
      <c r="Q172" s="7"/>
      <c r="R172" s="64">
        <f t="shared" ref="R172:R189" si="83">SUM(P172:Q172)</f>
        <v>4</v>
      </c>
      <c r="S172" s="38">
        <f t="shared" ref="S172:S189" si="84">O172+R172</f>
        <v>4</v>
      </c>
      <c r="T172" s="78">
        <v>45162</v>
      </c>
    </row>
    <row r="173" spans="2:20" x14ac:dyDescent="0.15">
      <c r="B173" s="6" t="s">
        <v>26</v>
      </c>
      <c r="C173" s="25"/>
      <c r="D173" s="19">
        <v>1</v>
      </c>
      <c r="E173" s="55">
        <f t="shared" si="79"/>
        <v>1</v>
      </c>
      <c r="F173" s="31"/>
      <c r="G173" s="7"/>
      <c r="H173" s="64">
        <f t="shared" si="80"/>
        <v>0</v>
      </c>
      <c r="I173" s="38">
        <f t="shared" si="81"/>
        <v>1</v>
      </c>
      <c r="J173" s="36">
        <v>45167</v>
      </c>
      <c r="L173" s="6" t="s">
        <v>73</v>
      </c>
      <c r="M173" s="25"/>
      <c r="N173" s="19">
        <v>3</v>
      </c>
      <c r="O173" s="55">
        <f t="shared" si="82"/>
        <v>3</v>
      </c>
      <c r="P173" s="31">
        <v>2</v>
      </c>
      <c r="Q173" s="7"/>
      <c r="R173" s="64">
        <f t="shared" si="83"/>
        <v>2</v>
      </c>
      <c r="S173" s="38">
        <f t="shared" si="84"/>
        <v>5</v>
      </c>
      <c r="T173" s="78">
        <v>45166</v>
      </c>
    </row>
    <row r="174" spans="2:20" x14ac:dyDescent="0.15">
      <c r="B174" s="6" t="s">
        <v>7</v>
      </c>
      <c r="C174" s="25">
        <v>1</v>
      </c>
      <c r="D174" s="19">
        <v>1</v>
      </c>
      <c r="E174" s="55">
        <f t="shared" si="79"/>
        <v>2</v>
      </c>
      <c r="F174" s="31"/>
      <c r="G174" s="7">
        <f>1+2</f>
        <v>3</v>
      </c>
      <c r="H174" s="64">
        <f t="shared" si="80"/>
        <v>3</v>
      </c>
      <c r="I174" s="38">
        <f t="shared" si="81"/>
        <v>5</v>
      </c>
      <c r="J174" s="36">
        <v>45163</v>
      </c>
      <c r="L174" s="6" t="s">
        <v>74</v>
      </c>
      <c r="M174" s="25"/>
      <c r="N174" s="19">
        <v>1</v>
      </c>
      <c r="O174" s="55">
        <f t="shared" si="82"/>
        <v>1</v>
      </c>
      <c r="P174" s="31">
        <v>2</v>
      </c>
      <c r="Q174" s="7"/>
      <c r="R174" s="64">
        <f t="shared" si="83"/>
        <v>2</v>
      </c>
      <c r="S174" s="38">
        <f t="shared" si="84"/>
        <v>3</v>
      </c>
      <c r="T174" s="78">
        <v>45167</v>
      </c>
    </row>
    <row r="175" spans="2:20" x14ac:dyDescent="0.15">
      <c r="B175" s="6" t="s">
        <v>7</v>
      </c>
      <c r="C175" s="25">
        <v>1</v>
      </c>
      <c r="D175" s="19">
        <v>1</v>
      </c>
      <c r="E175" s="55">
        <f t="shared" si="79"/>
        <v>2</v>
      </c>
      <c r="F175" s="31"/>
      <c r="G175" s="7"/>
      <c r="H175" s="64">
        <f t="shared" si="80"/>
        <v>0</v>
      </c>
      <c r="I175" s="38">
        <f t="shared" si="81"/>
        <v>2</v>
      </c>
      <c r="J175" s="36">
        <v>45169</v>
      </c>
      <c r="L175" s="6" t="s">
        <v>75</v>
      </c>
      <c r="M175" s="25">
        <v>1</v>
      </c>
      <c r="N175" s="19"/>
      <c r="O175" s="55">
        <f t="shared" si="82"/>
        <v>1</v>
      </c>
      <c r="P175" s="31"/>
      <c r="Q175" s="7"/>
      <c r="R175" s="64">
        <f t="shared" si="83"/>
        <v>0</v>
      </c>
      <c r="S175" s="38">
        <f t="shared" si="84"/>
        <v>1</v>
      </c>
      <c r="T175" s="78">
        <v>45168</v>
      </c>
    </row>
    <row r="176" spans="2:20" x14ac:dyDescent="0.15">
      <c r="B176" s="6" t="s">
        <v>7</v>
      </c>
      <c r="C176" s="25"/>
      <c r="D176" s="19">
        <v>1</v>
      </c>
      <c r="E176" s="55">
        <f t="shared" si="79"/>
        <v>1</v>
      </c>
      <c r="F176" s="31"/>
      <c r="G176" s="7"/>
      <c r="H176" s="64">
        <f t="shared" si="80"/>
        <v>0</v>
      </c>
      <c r="I176" s="38">
        <f t="shared" si="81"/>
        <v>1</v>
      </c>
      <c r="J176" s="36">
        <v>45171</v>
      </c>
      <c r="L176" s="6" t="s">
        <v>76</v>
      </c>
      <c r="M176" s="25"/>
      <c r="N176" s="19"/>
      <c r="O176" s="55">
        <f t="shared" si="82"/>
        <v>0</v>
      </c>
      <c r="P176" s="31"/>
      <c r="Q176" s="7">
        <v>1</v>
      </c>
      <c r="R176" s="64">
        <f t="shared" si="83"/>
        <v>1</v>
      </c>
      <c r="S176" s="38">
        <f t="shared" si="84"/>
        <v>1</v>
      </c>
      <c r="T176" s="78">
        <v>45173</v>
      </c>
    </row>
    <row r="177" spans="2:20" x14ac:dyDescent="0.15">
      <c r="B177" s="6" t="s">
        <v>7</v>
      </c>
      <c r="C177" s="25"/>
      <c r="D177" s="19">
        <v>3</v>
      </c>
      <c r="E177" s="55">
        <f t="shared" si="79"/>
        <v>3</v>
      </c>
      <c r="F177" s="31"/>
      <c r="G177" s="7"/>
      <c r="H177" s="64">
        <f t="shared" si="80"/>
        <v>0</v>
      </c>
      <c r="I177" s="38">
        <f t="shared" si="81"/>
        <v>3</v>
      </c>
      <c r="J177" s="36">
        <v>45174</v>
      </c>
      <c r="L177" s="6" t="s">
        <v>77</v>
      </c>
      <c r="M177" s="25">
        <v>1</v>
      </c>
      <c r="N177" s="19"/>
      <c r="O177" s="55">
        <f t="shared" si="82"/>
        <v>1</v>
      </c>
      <c r="P177" s="31"/>
      <c r="Q177" s="7"/>
      <c r="R177" s="64">
        <f t="shared" si="83"/>
        <v>0</v>
      </c>
      <c r="S177" s="38">
        <f t="shared" si="84"/>
        <v>1</v>
      </c>
      <c r="T177" s="78">
        <v>45175</v>
      </c>
    </row>
    <row r="178" spans="2:20" x14ac:dyDescent="0.15">
      <c r="B178" s="6" t="s">
        <v>79</v>
      </c>
      <c r="C178" s="25">
        <v>3</v>
      </c>
      <c r="D178" s="19"/>
      <c r="E178" s="55">
        <f t="shared" si="79"/>
        <v>3</v>
      </c>
      <c r="F178" s="31"/>
      <c r="G178" s="7"/>
      <c r="H178" s="64">
        <f t="shared" si="80"/>
        <v>0</v>
      </c>
      <c r="I178" s="38">
        <f t="shared" si="81"/>
        <v>3</v>
      </c>
      <c r="J178" s="36">
        <v>45175</v>
      </c>
      <c r="L178" s="6" t="s">
        <v>78</v>
      </c>
      <c r="M178" s="25"/>
      <c r="N178" s="19">
        <v>2</v>
      </c>
      <c r="O178" s="55">
        <f t="shared" si="82"/>
        <v>2</v>
      </c>
      <c r="P178" s="31"/>
      <c r="Q178" s="7">
        <v>2</v>
      </c>
      <c r="R178" s="64">
        <f t="shared" si="83"/>
        <v>2</v>
      </c>
      <c r="S178" s="38">
        <f t="shared" si="84"/>
        <v>4</v>
      </c>
      <c r="T178" s="78">
        <v>45176</v>
      </c>
    </row>
    <row r="179" spans="2:20" x14ac:dyDescent="0.15">
      <c r="B179" s="6" t="s">
        <v>82</v>
      </c>
      <c r="C179" s="25">
        <v>1</v>
      </c>
      <c r="D179" s="19"/>
      <c r="E179" s="55">
        <f t="shared" si="79"/>
        <v>1</v>
      </c>
      <c r="F179" s="31"/>
      <c r="G179" s="7"/>
      <c r="H179" s="64">
        <f t="shared" si="80"/>
        <v>0</v>
      </c>
      <c r="I179" s="38">
        <f t="shared" si="81"/>
        <v>1</v>
      </c>
      <c r="J179" s="36">
        <v>45182</v>
      </c>
      <c r="L179" s="6" t="s">
        <v>80</v>
      </c>
      <c r="M179" s="25">
        <v>3</v>
      </c>
      <c r="N179" s="19"/>
      <c r="O179" s="55">
        <f t="shared" si="82"/>
        <v>3</v>
      </c>
      <c r="P179" s="31"/>
      <c r="Q179" s="7"/>
      <c r="R179" s="64">
        <f t="shared" si="83"/>
        <v>0</v>
      </c>
      <c r="S179" s="38">
        <f t="shared" si="84"/>
        <v>3</v>
      </c>
      <c r="T179" s="78">
        <v>45180</v>
      </c>
    </row>
    <row r="180" spans="2:20" x14ac:dyDescent="0.15">
      <c r="B180" s="6" t="s">
        <v>7</v>
      </c>
      <c r="C180" s="25">
        <v>1</v>
      </c>
      <c r="D180" s="19">
        <v>1</v>
      </c>
      <c r="E180" s="55">
        <f t="shared" si="79"/>
        <v>2</v>
      </c>
      <c r="F180" s="31">
        <v>1</v>
      </c>
      <c r="G180" s="7"/>
      <c r="H180" s="64">
        <f t="shared" si="80"/>
        <v>1</v>
      </c>
      <c r="I180" s="38">
        <f t="shared" si="81"/>
        <v>3</v>
      </c>
      <c r="J180" s="36">
        <v>45181</v>
      </c>
      <c r="L180" s="11" t="s">
        <v>81</v>
      </c>
      <c r="M180" s="25">
        <v>5</v>
      </c>
      <c r="N180" s="19">
        <v>5</v>
      </c>
      <c r="O180" s="55">
        <f t="shared" si="82"/>
        <v>10</v>
      </c>
      <c r="P180" s="31"/>
      <c r="Q180" s="7"/>
      <c r="R180" s="64">
        <f t="shared" si="83"/>
        <v>0</v>
      </c>
      <c r="S180" s="38">
        <f t="shared" si="84"/>
        <v>10</v>
      </c>
      <c r="T180" s="78">
        <v>45180</v>
      </c>
    </row>
    <row r="181" spans="2:20" x14ac:dyDescent="0.15">
      <c r="B181" s="6" t="s">
        <v>83</v>
      </c>
      <c r="C181" s="25">
        <v>5</v>
      </c>
      <c r="D181" s="19">
        <v>2</v>
      </c>
      <c r="E181" s="55">
        <f t="shared" si="79"/>
        <v>7</v>
      </c>
      <c r="F181" s="31"/>
      <c r="G181" s="7"/>
      <c r="H181" s="64">
        <f t="shared" si="80"/>
        <v>0</v>
      </c>
      <c r="I181" s="38">
        <f t="shared" si="81"/>
        <v>7</v>
      </c>
      <c r="J181" s="36">
        <v>45192</v>
      </c>
      <c r="L181" s="11" t="s">
        <v>32</v>
      </c>
      <c r="M181" s="25">
        <v>10</v>
      </c>
      <c r="N181" s="19">
        <v>5</v>
      </c>
      <c r="O181" s="55">
        <f t="shared" si="82"/>
        <v>15</v>
      </c>
      <c r="P181" s="31"/>
      <c r="Q181" s="7"/>
      <c r="R181" s="64">
        <f t="shared" si="83"/>
        <v>0</v>
      </c>
      <c r="S181" s="38">
        <f t="shared" si="84"/>
        <v>15</v>
      </c>
      <c r="T181" s="78">
        <v>45194</v>
      </c>
    </row>
    <row r="182" spans="2:20" x14ac:dyDescent="0.15">
      <c r="B182" s="6" t="s">
        <v>7</v>
      </c>
      <c r="C182" s="25">
        <v>1</v>
      </c>
      <c r="D182" s="19"/>
      <c r="E182" s="55">
        <f t="shared" si="79"/>
        <v>1</v>
      </c>
      <c r="F182" s="31"/>
      <c r="G182" s="7"/>
      <c r="H182" s="64">
        <f t="shared" si="80"/>
        <v>0</v>
      </c>
      <c r="I182" s="38">
        <f t="shared" si="81"/>
        <v>1</v>
      </c>
      <c r="J182" s="36">
        <v>45194</v>
      </c>
      <c r="L182" s="6"/>
      <c r="M182" s="28"/>
      <c r="N182" s="22"/>
      <c r="O182" s="55">
        <f t="shared" si="82"/>
        <v>0</v>
      </c>
      <c r="P182" s="33"/>
      <c r="Q182" s="8"/>
      <c r="R182" s="64">
        <f t="shared" si="83"/>
        <v>0</v>
      </c>
      <c r="S182" s="38">
        <f t="shared" si="84"/>
        <v>0</v>
      </c>
    </row>
    <row r="183" spans="2:20" x14ac:dyDescent="0.15">
      <c r="B183" s="6" t="s">
        <v>7</v>
      </c>
      <c r="C183" s="25">
        <v>1</v>
      </c>
      <c r="D183" s="19"/>
      <c r="E183" s="55">
        <f t="shared" si="79"/>
        <v>1</v>
      </c>
      <c r="F183" s="31"/>
      <c r="G183" s="7"/>
      <c r="H183" s="64">
        <f t="shared" si="80"/>
        <v>0</v>
      </c>
      <c r="I183" s="38">
        <f t="shared" si="81"/>
        <v>1</v>
      </c>
      <c r="J183" s="36">
        <v>45195</v>
      </c>
      <c r="L183" s="6"/>
      <c r="M183" s="28"/>
      <c r="N183" s="22"/>
      <c r="O183" s="55">
        <f t="shared" si="82"/>
        <v>0</v>
      </c>
      <c r="P183" s="33"/>
      <c r="Q183" s="8"/>
      <c r="R183" s="64">
        <f t="shared" si="83"/>
        <v>0</v>
      </c>
      <c r="S183" s="38">
        <f t="shared" si="84"/>
        <v>0</v>
      </c>
    </row>
    <row r="184" spans="2:20" x14ac:dyDescent="0.15">
      <c r="B184" s="6" t="s">
        <v>84</v>
      </c>
      <c r="C184" s="25"/>
      <c r="D184" s="19"/>
      <c r="E184" s="55">
        <f t="shared" si="79"/>
        <v>0</v>
      </c>
      <c r="F184" s="31"/>
      <c r="G184" s="7">
        <v>2</v>
      </c>
      <c r="H184" s="64">
        <f t="shared" si="80"/>
        <v>2</v>
      </c>
      <c r="I184" s="38">
        <f t="shared" si="81"/>
        <v>2</v>
      </c>
      <c r="J184" s="36">
        <v>45201</v>
      </c>
      <c r="L184" s="6"/>
      <c r="M184" s="28"/>
      <c r="N184" s="22"/>
      <c r="O184" s="55">
        <f t="shared" si="82"/>
        <v>0</v>
      </c>
      <c r="P184" s="33"/>
      <c r="Q184" s="8"/>
      <c r="R184" s="64">
        <f t="shared" si="83"/>
        <v>0</v>
      </c>
      <c r="S184" s="38">
        <f t="shared" si="84"/>
        <v>0</v>
      </c>
    </row>
    <row r="185" spans="2:20" x14ac:dyDescent="0.15">
      <c r="B185" s="6" t="s">
        <v>7</v>
      </c>
      <c r="C185" s="25"/>
      <c r="D185" s="19">
        <v>1</v>
      </c>
      <c r="E185" s="55">
        <f t="shared" si="79"/>
        <v>1</v>
      </c>
      <c r="F185" s="31"/>
      <c r="G185" s="7"/>
      <c r="H185" s="64">
        <f t="shared" si="80"/>
        <v>0</v>
      </c>
      <c r="I185" s="38">
        <f t="shared" si="81"/>
        <v>1</v>
      </c>
      <c r="J185" s="36">
        <v>45201</v>
      </c>
      <c r="L185" s="6"/>
      <c r="M185" s="28"/>
      <c r="N185" s="22"/>
      <c r="O185" s="55">
        <f t="shared" si="82"/>
        <v>0</v>
      </c>
      <c r="P185" s="33"/>
      <c r="Q185" s="8"/>
      <c r="R185" s="64">
        <f t="shared" si="83"/>
        <v>0</v>
      </c>
      <c r="S185" s="38">
        <f t="shared" si="84"/>
        <v>0</v>
      </c>
    </row>
    <row r="186" spans="2:20" x14ac:dyDescent="0.15">
      <c r="B186" s="6" t="s">
        <v>85</v>
      </c>
      <c r="C186" s="25"/>
      <c r="D186" s="19"/>
      <c r="E186" s="55">
        <f t="shared" si="79"/>
        <v>0</v>
      </c>
      <c r="F186" s="31"/>
      <c r="G186" s="7">
        <v>1</v>
      </c>
      <c r="H186" s="64">
        <f t="shared" si="80"/>
        <v>1</v>
      </c>
      <c r="I186" s="38">
        <f t="shared" si="81"/>
        <v>1</v>
      </c>
      <c r="J186" s="36">
        <v>45203</v>
      </c>
      <c r="L186" s="6"/>
      <c r="M186" s="28"/>
      <c r="N186" s="22"/>
      <c r="O186" s="55">
        <f t="shared" si="82"/>
        <v>0</v>
      </c>
      <c r="P186" s="33"/>
      <c r="Q186" s="8"/>
      <c r="R186" s="64">
        <f t="shared" si="83"/>
        <v>0</v>
      </c>
      <c r="S186" s="38">
        <f t="shared" si="84"/>
        <v>0</v>
      </c>
    </row>
    <row r="187" spans="2:20" x14ac:dyDescent="0.15">
      <c r="B187" s="6" t="s">
        <v>7</v>
      </c>
      <c r="C187" s="25">
        <v>1</v>
      </c>
      <c r="D187" s="19"/>
      <c r="E187" s="55">
        <f t="shared" si="79"/>
        <v>1</v>
      </c>
      <c r="F187" s="31"/>
      <c r="G187" s="7"/>
      <c r="H187" s="64">
        <f t="shared" si="80"/>
        <v>0</v>
      </c>
      <c r="I187" s="38">
        <f t="shared" si="81"/>
        <v>1</v>
      </c>
      <c r="J187" s="36">
        <v>45206</v>
      </c>
      <c r="L187" s="6"/>
      <c r="M187" s="28"/>
      <c r="N187" s="22"/>
      <c r="O187" s="55">
        <f t="shared" si="82"/>
        <v>0</v>
      </c>
      <c r="P187" s="33"/>
      <c r="Q187" s="8"/>
      <c r="R187" s="64">
        <f t="shared" si="83"/>
        <v>0</v>
      </c>
      <c r="S187" s="38">
        <f t="shared" si="84"/>
        <v>0</v>
      </c>
    </row>
    <row r="188" spans="2:20" x14ac:dyDescent="0.15">
      <c r="B188" s="6" t="s">
        <v>7</v>
      </c>
      <c r="C188" s="25"/>
      <c r="D188" s="19"/>
      <c r="E188" s="55">
        <f t="shared" si="79"/>
        <v>0</v>
      </c>
      <c r="F188" s="31"/>
      <c r="G188" s="7">
        <v>1</v>
      </c>
      <c r="H188" s="64">
        <f t="shared" si="80"/>
        <v>1</v>
      </c>
      <c r="I188" s="38">
        <f t="shared" si="81"/>
        <v>1</v>
      </c>
      <c r="J188" s="36">
        <v>45209</v>
      </c>
      <c r="L188" s="6"/>
      <c r="M188" s="28"/>
      <c r="N188" s="22"/>
      <c r="O188" s="55">
        <f t="shared" si="82"/>
        <v>0</v>
      </c>
      <c r="P188" s="33"/>
      <c r="Q188" s="8"/>
      <c r="R188" s="64">
        <f t="shared" si="83"/>
        <v>0</v>
      </c>
      <c r="S188" s="38">
        <f t="shared" si="84"/>
        <v>0</v>
      </c>
    </row>
    <row r="189" spans="2:20" x14ac:dyDescent="0.15">
      <c r="B189" s="6" t="s">
        <v>86</v>
      </c>
      <c r="C189" s="25"/>
      <c r="D189" s="19">
        <v>2</v>
      </c>
      <c r="E189" s="55">
        <f t="shared" si="79"/>
        <v>2</v>
      </c>
      <c r="F189" s="31"/>
      <c r="G189" s="7"/>
      <c r="H189" s="64">
        <f t="shared" si="80"/>
        <v>0</v>
      </c>
      <c r="I189" s="38">
        <f t="shared" si="81"/>
        <v>2</v>
      </c>
      <c r="J189" s="36">
        <v>45216</v>
      </c>
      <c r="L189" s="6"/>
      <c r="M189" s="28"/>
      <c r="N189" s="22"/>
      <c r="O189" s="55">
        <f t="shared" si="82"/>
        <v>0</v>
      </c>
      <c r="P189" s="33"/>
      <c r="Q189" s="8"/>
      <c r="R189" s="64">
        <f t="shared" si="83"/>
        <v>0</v>
      </c>
      <c r="S189" s="38">
        <f t="shared" si="84"/>
        <v>0</v>
      </c>
    </row>
    <row r="190" spans="2:20" x14ac:dyDescent="0.15">
      <c r="B190" s="6" t="s">
        <v>7</v>
      </c>
      <c r="C190" s="25"/>
      <c r="D190" s="19">
        <v>1</v>
      </c>
      <c r="E190" s="55">
        <f t="shared" si="79"/>
        <v>1</v>
      </c>
      <c r="F190" s="31"/>
      <c r="G190" s="7"/>
      <c r="H190" s="64">
        <f t="shared" si="80"/>
        <v>0</v>
      </c>
      <c r="I190" s="38">
        <f t="shared" si="81"/>
        <v>1</v>
      </c>
      <c r="J190" s="36">
        <v>45219</v>
      </c>
      <c r="L190" s="6"/>
      <c r="M190" s="28"/>
      <c r="N190" s="22"/>
      <c r="O190" s="55">
        <f t="shared" si="73"/>
        <v>0</v>
      </c>
      <c r="P190" s="33"/>
      <c r="Q190" s="8"/>
      <c r="R190" s="64">
        <f t="shared" si="74"/>
        <v>0</v>
      </c>
      <c r="S190" s="38">
        <f t="shared" si="75"/>
        <v>0</v>
      </c>
    </row>
    <row r="191" spans="2:20" x14ac:dyDescent="0.15">
      <c r="B191" s="6" t="s">
        <v>87</v>
      </c>
      <c r="C191" s="25"/>
      <c r="D191" s="19">
        <v>1</v>
      </c>
      <c r="E191" s="55">
        <f t="shared" si="79"/>
        <v>1</v>
      </c>
      <c r="F191" s="31"/>
      <c r="G191" s="7"/>
      <c r="H191" s="64">
        <f t="shared" si="80"/>
        <v>0</v>
      </c>
      <c r="I191" s="38">
        <f t="shared" si="81"/>
        <v>1</v>
      </c>
      <c r="J191" s="36">
        <v>45231</v>
      </c>
      <c r="L191" s="6"/>
      <c r="M191" s="25"/>
      <c r="N191" s="19"/>
      <c r="O191" s="55">
        <f t="shared" si="73"/>
        <v>0</v>
      </c>
      <c r="P191" s="31"/>
      <c r="Q191" s="7"/>
      <c r="R191" s="64">
        <f t="shared" si="74"/>
        <v>0</v>
      </c>
      <c r="S191" s="38">
        <f t="shared" si="75"/>
        <v>0</v>
      </c>
    </row>
    <row r="192" spans="2:20" x14ac:dyDescent="0.15">
      <c r="B192" s="6" t="s">
        <v>7</v>
      </c>
      <c r="C192" s="25"/>
      <c r="D192" s="19">
        <v>1</v>
      </c>
      <c r="E192" s="55">
        <f t="shared" si="79"/>
        <v>1</v>
      </c>
      <c r="F192" s="31"/>
      <c r="G192" s="7"/>
      <c r="H192" s="64">
        <f t="shared" si="80"/>
        <v>0</v>
      </c>
      <c r="I192" s="38">
        <f t="shared" si="81"/>
        <v>1</v>
      </c>
      <c r="J192" s="36">
        <v>45236</v>
      </c>
      <c r="L192" s="6"/>
      <c r="M192" s="25"/>
      <c r="N192" s="19"/>
      <c r="O192" s="55">
        <f t="shared" si="73"/>
        <v>0</v>
      </c>
      <c r="P192" s="31"/>
      <c r="Q192" s="7"/>
      <c r="R192" s="64">
        <f t="shared" si="74"/>
        <v>0</v>
      </c>
      <c r="S192" s="38">
        <f t="shared" si="75"/>
        <v>0</v>
      </c>
    </row>
    <row r="193" spans="1:20" x14ac:dyDescent="0.15">
      <c r="B193" s="6" t="s">
        <v>7</v>
      </c>
      <c r="C193" s="25">
        <v>1</v>
      </c>
      <c r="D193" s="19"/>
      <c r="E193" s="55">
        <f t="shared" si="79"/>
        <v>1</v>
      </c>
      <c r="F193" s="31"/>
      <c r="G193" s="7"/>
      <c r="H193" s="64">
        <f t="shared" si="80"/>
        <v>0</v>
      </c>
      <c r="I193" s="38">
        <f t="shared" si="81"/>
        <v>1</v>
      </c>
      <c r="J193" s="36">
        <v>45237</v>
      </c>
      <c r="L193" s="6"/>
      <c r="M193" s="25"/>
      <c r="N193" s="19"/>
      <c r="O193" s="55">
        <f t="shared" si="73"/>
        <v>0</v>
      </c>
      <c r="P193" s="31"/>
      <c r="Q193" s="7"/>
      <c r="R193" s="64">
        <f t="shared" si="74"/>
        <v>0</v>
      </c>
      <c r="S193" s="38">
        <f t="shared" si="75"/>
        <v>0</v>
      </c>
    </row>
    <row r="194" spans="1:20" x14ac:dyDescent="0.15">
      <c r="B194" s="6" t="s">
        <v>7</v>
      </c>
      <c r="C194" s="25"/>
      <c r="D194" s="19">
        <v>1</v>
      </c>
      <c r="E194" s="55">
        <f t="shared" si="70"/>
        <v>1</v>
      </c>
      <c r="F194" s="31"/>
      <c r="G194" s="7"/>
      <c r="H194" s="64">
        <f t="shared" si="71"/>
        <v>0</v>
      </c>
      <c r="I194" s="38">
        <f t="shared" si="72"/>
        <v>1</v>
      </c>
      <c r="J194" s="36">
        <v>45239</v>
      </c>
      <c r="L194" s="6"/>
      <c r="M194" s="25"/>
      <c r="N194" s="19"/>
      <c r="O194" s="55">
        <f t="shared" si="73"/>
        <v>0</v>
      </c>
      <c r="P194" s="31"/>
      <c r="Q194" s="7"/>
      <c r="R194" s="64">
        <f t="shared" si="74"/>
        <v>0</v>
      </c>
      <c r="S194" s="38">
        <f t="shared" si="75"/>
        <v>0</v>
      </c>
    </row>
    <row r="195" spans="1:20" x14ac:dyDescent="0.15">
      <c r="B195" s="6" t="s">
        <v>88</v>
      </c>
      <c r="C195" s="25"/>
      <c r="D195" s="19"/>
      <c r="E195" s="55">
        <f t="shared" si="70"/>
        <v>0</v>
      </c>
      <c r="F195" s="31">
        <v>-1</v>
      </c>
      <c r="G195" s="7"/>
      <c r="H195" s="64">
        <f t="shared" si="71"/>
        <v>-1</v>
      </c>
      <c r="I195" s="38">
        <f t="shared" si="72"/>
        <v>-1</v>
      </c>
      <c r="J195" s="36">
        <v>45265</v>
      </c>
      <c r="L195" s="6"/>
      <c r="M195" s="25"/>
      <c r="N195" s="19"/>
      <c r="O195" s="55">
        <f t="shared" si="73"/>
        <v>0</v>
      </c>
      <c r="P195" s="31"/>
      <c r="Q195" s="7"/>
      <c r="R195" s="64">
        <f t="shared" si="74"/>
        <v>0</v>
      </c>
      <c r="S195" s="38">
        <f t="shared" si="75"/>
        <v>0</v>
      </c>
    </row>
    <row r="196" spans="1:20" ht="14.25" thickBot="1" x14ac:dyDescent="0.2">
      <c r="B196" s="6" t="s">
        <v>7</v>
      </c>
      <c r="C196" s="25"/>
      <c r="D196" s="19">
        <v>1</v>
      </c>
      <c r="E196" s="55">
        <f t="shared" si="70"/>
        <v>1</v>
      </c>
      <c r="F196" s="31"/>
      <c r="G196" s="7"/>
      <c r="H196" s="64">
        <f t="shared" si="71"/>
        <v>0</v>
      </c>
      <c r="I196" s="38">
        <f t="shared" si="72"/>
        <v>1</v>
      </c>
      <c r="J196" s="36">
        <v>45296</v>
      </c>
      <c r="L196" s="6"/>
      <c r="M196" s="25"/>
      <c r="N196" s="19"/>
      <c r="O196" s="55">
        <f t="shared" si="73"/>
        <v>0</v>
      </c>
      <c r="P196" s="31"/>
      <c r="Q196" s="7"/>
      <c r="R196" s="64">
        <f t="shared" si="74"/>
        <v>0</v>
      </c>
      <c r="S196" s="38">
        <f t="shared" si="75"/>
        <v>0</v>
      </c>
    </row>
    <row r="197" spans="1:20" ht="14.25" thickBot="1" x14ac:dyDescent="0.2">
      <c r="B197" s="4" t="s">
        <v>1</v>
      </c>
      <c r="C197" s="27">
        <f>SUM(C172:C196)</f>
        <v>16</v>
      </c>
      <c r="D197" s="21">
        <f>SUM(D172:D196)</f>
        <v>19</v>
      </c>
      <c r="E197" s="57">
        <f t="shared" si="70"/>
        <v>35</v>
      </c>
      <c r="F197" s="27">
        <f>SUM(F172:F196)</f>
        <v>0</v>
      </c>
      <c r="G197" s="21">
        <f>SUM(G172:G196)</f>
        <v>7</v>
      </c>
      <c r="H197" s="66">
        <f t="shared" si="71"/>
        <v>7</v>
      </c>
      <c r="I197" s="40">
        <f t="shared" si="72"/>
        <v>42</v>
      </c>
      <c r="L197" s="4" t="s">
        <v>1</v>
      </c>
      <c r="M197" s="27">
        <f>SUM(M172:M196)</f>
        <v>20</v>
      </c>
      <c r="N197" s="21">
        <f>SUM(N172:N196)</f>
        <v>16</v>
      </c>
      <c r="O197" s="57">
        <f t="shared" si="73"/>
        <v>36</v>
      </c>
      <c r="P197" s="27">
        <f>SUM(P172:P196)</f>
        <v>8</v>
      </c>
      <c r="Q197" s="21">
        <f>SUM(Q172:Q196)</f>
        <v>3</v>
      </c>
      <c r="R197" s="66">
        <f t="shared" si="74"/>
        <v>11</v>
      </c>
      <c r="S197" s="40">
        <f t="shared" si="75"/>
        <v>47</v>
      </c>
    </row>
    <row r="198" spans="1:20" ht="14.25" thickBot="1" x14ac:dyDescent="0.2">
      <c r="B198" s="3" t="s">
        <v>0</v>
      </c>
      <c r="C198" s="30">
        <f>+C171-C197</f>
        <v>9</v>
      </c>
      <c r="D198" s="2">
        <f>+D171-D197</f>
        <v>6</v>
      </c>
      <c r="E198" s="83">
        <f t="shared" si="70"/>
        <v>15</v>
      </c>
      <c r="F198" s="30">
        <f>+F171-F197</f>
        <v>18</v>
      </c>
      <c r="G198" s="2">
        <f>+G171-G197</f>
        <v>8</v>
      </c>
      <c r="H198" s="84">
        <f t="shared" si="71"/>
        <v>26</v>
      </c>
      <c r="I198" s="42">
        <f t="shared" si="72"/>
        <v>41</v>
      </c>
      <c r="L198" s="3" t="s">
        <v>0</v>
      </c>
      <c r="M198" s="30">
        <f>+M171-M197</f>
        <v>29</v>
      </c>
      <c r="N198" s="2">
        <f>+N171-N197</f>
        <v>8</v>
      </c>
      <c r="O198" s="58">
        <f t="shared" si="73"/>
        <v>37</v>
      </c>
      <c r="P198" s="30">
        <f>+P171-P197</f>
        <v>53</v>
      </c>
      <c r="Q198" s="2">
        <f>+Q171-Q197</f>
        <v>56</v>
      </c>
      <c r="R198" s="67">
        <f t="shared" si="74"/>
        <v>109</v>
      </c>
      <c r="S198" s="42">
        <f t="shared" si="75"/>
        <v>146</v>
      </c>
    </row>
    <row r="199" spans="1:20" x14ac:dyDescent="0.15">
      <c r="C199">
        <f>C197+C157+C117+C77+C37</f>
        <v>96</v>
      </c>
      <c r="D199">
        <f>D197+D157+D117+D77+D37</f>
        <v>199</v>
      </c>
      <c r="E199">
        <f>SUM(C199:D199)</f>
        <v>295</v>
      </c>
      <c r="F199">
        <f>F197+F157+F117+F77+F38</f>
        <v>55</v>
      </c>
      <c r="G199">
        <f>G197+G157+G117+G77+G37</f>
        <v>102</v>
      </c>
      <c r="H199">
        <f>SUM(F199:G199)</f>
        <v>157</v>
      </c>
      <c r="L199" s="1"/>
      <c r="T199" s="35"/>
    </row>
    <row r="200" spans="1:20" ht="51" customHeight="1" x14ac:dyDescent="0.3">
      <c r="A200" s="122" t="s">
        <v>157</v>
      </c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</row>
    <row r="201" spans="1:20" ht="18.75" x14ac:dyDescent="0.2">
      <c r="B201" s="16" t="s">
        <v>21</v>
      </c>
      <c r="C201" s="15"/>
      <c r="D201" s="15"/>
      <c r="E201" s="15"/>
      <c r="F201" s="15"/>
      <c r="G201" s="15"/>
      <c r="H201" s="15"/>
      <c r="I201" s="15"/>
      <c r="L201" s="71" t="s">
        <v>22</v>
      </c>
      <c r="M201" s="72"/>
      <c r="N201" s="72"/>
      <c r="O201" s="72"/>
      <c r="P201" s="72"/>
      <c r="Q201" s="72"/>
      <c r="R201" s="72"/>
      <c r="S201" s="72"/>
      <c r="T201" s="35"/>
    </row>
    <row r="202" spans="1:20" ht="18" thickBot="1" x14ac:dyDescent="0.25">
      <c r="B202" s="17" t="s">
        <v>23</v>
      </c>
      <c r="C202" s="15"/>
      <c r="D202" s="15"/>
      <c r="E202" s="15"/>
      <c r="F202" s="15"/>
      <c r="G202" s="15"/>
      <c r="H202" s="15"/>
      <c r="I202" s="15"/>
      <c r="L202" s="73" t="s">
        <v>23</v>
      </c>
      <c r="M202" s="72"/>
      <c r="N202" s="72"/>
      <c r="O202" s="72"/>
      <c r="P202" s="72"/>
      <c r="Q202" s="72"/>
      <c r="R202" s="72"/>
      <c r="S202" s="72"/>
      <c r="T202" s="35"/>
    </row>
    <row r="203" spans="1:20" ht="14.25" thickBot="1" x14ac:dyDescent="0.2">
      <c r="B203" s="14"/>
      <c r="C203" s="113" t="s">
        <v>12</v>
      </c>
      <c r="D203" s="114"/>
      <c r="E203" s="115"/>
      <c r="F203" s="116" t="s">
        <v>11</v>
      </c>
      <c r="G203" s="117"/>
      <c r="H203" s="118"/>
      <c r="I203" s="13" t="s">
        <v>19</v>
      </c>
      <c r="L203" s="14"/>
      <c r="M203" s="113" t="s">
        <v>12</v>
      </c>
      <c r="N203" s="114"/>
      <c r="O203" s="115"/>
      <c r="P203" s="116" t="s">
        <v>11</v>
      </c>
      <c r="Q203" s="117"/>
      <c r="R203" s="118"/>
      <c r="S203" s="13" t="s">
        <v>19</v>
      </c>
    </row>
    <row r="204" spans="1:20" ht="14.25" thickBot="1" x14ac:dyDescent="0.2">
      <c r="B204" s="13"/>
      <c r="C204" s="23" t="s">
        <v>6</v>
      </c>
      <c r="D204" s="12" t="s">
        <v>5</v>
      </c>
      <c r="E204" s="50" t="s">
        <v>4</v>
      </c>
      <c r="F204" s="23" t="s">
        <v>6</v>
      </c>
      <c r="G204" s="12" t="s">
        <v>5</v>
      </c>
      <c r="H204" s="59" t="s">
        <v>4</v>
      </c>
      <c r="I204" s="49"/>
      <c r="L204" s="13"/>
      <c r="M204" s="23" t="s">
        <v>6</v>
      </c>
      <c r="N204" s="12" t="s">
        <v>5</v>
      </c>
      <c r="O204" s="50" t="s">
        <v>4</v>
      </c>
      <c r="P204" s="23" t="s">
        <v>6</v>
      </c>
      <c r="Q204" s="12" t="s">
        <v>5</v>
      </c>
      <c r="R204" s="59" t="s">
        <v>4</v>
      </c>
      <c r="S204" s="49"/>
    </row>
    <row r="205" spans="1:20" x14ac:dyDescent="0.15">
      <c r="B205" s="46" t="s">
        <v>0</v>
      </c>
      <c r="C205" s="47">
        <f t="shared" ref="C205:H205" si="85">C198</f>
        <v>9</v>
      </c>
      <c r="D205" s="48">
        <f t="shared" si="85"/>
        <v>6</v>
      </c>
      <c r="E205" s="68">
        <f t="shared" si="85"/>
        <v>15</v>
      </c>
      <c r="F205" s="47">
        <f t="shared" si="85"/>
        <v>18</v>
      </c>
      <c r="G205" s="48">
        <f t="shared" si="85"/>
        <v>8</v>
      </c>
      <c r="H205" s="69">
        <f t="shared" si="85"/>
        <v>26</v>
      </c>
      <c r="I205" s="41">
        <f>E205+H205</f>
        <v>41</v>
      </c>
      <c r="J205" s="36"/>
      <c r="L205" s="46" t="s">
        <v>0</v>
      </c>
      <c r="M205" s="47">
        <f t="shared" ref="M205:R205" si="86">M198</f>
        <v>29</v>
      </c>
      <c r="N205" s="48">
        <f t="shared" si="86"/>
        <v>8</v>
      </c>
      <c r="O205" s="68">
        <f t="shared" si="86"/>
        <v>37</v>
      </c>
      <c r="P205" s="47">
        <f t="shared" si="86"/>
        <v>53</v>
      </c>
      <c r="Q205" s="48">
        <f t="shared" si="86"/>
        <v>56</v>
      </c>
      <c r="R205" s="69">
        <f t="shared" si="86"/>
        <v>109</v>
      </c>
      <c r="S205" s="41">
        <f>O205+R205</f>
        <v>146</v>
      </c>
    </row>
    <row r="206" spans="1:20" x14ac:dyDescent="0.15">
      <c r="B206" s="11" t="s">
        <v>3</v>
      </c>
      <c r="C206" s="25"/>
      <c r="D206" s="19">
        <v>8</v>
      </c>
      <c r="E206" s="52">
        <f t="shared" ref="E206:E238" si="87">SUM(C206:D206)</f>
        <v>8</v>
      </c>
      <c r="F206" s="31"/>
      <c r="G206" s="7"/>
      <c r="H206" s="61">
        <f t="shared" ref="H206:H238" si="88">SUM(F206:G206)</f>
        <v>0</v>
      </c>
      <c r="I206" s="38">
        <f t="shared" ref="I206:I238" si="89">E206+H206</f>
        <v>8</v>
      </c>
      <c r="J206" s="36">
        <v>45342</v>
      </c>
      <c r="L206" s="11" t="s">
        <v>3</v>
      </c>
      <c r="M206" s="25"/>
      <c r="N206" s="19"/>
      <c r="O206" s="52">
        <f t="shared" ref="O206:O238" si="90">SUM(M206:N206)</f>
        <v>0</v>
      </c>
      <c r="P206" s="31"/>
      <c r="Q206" s="7"/>
      <c r="R206" s="61">
        <f t="shared" ref="R206:R238" si="91">SUM(P206:Q206)</f>
        <v>0</v>
      </c>
      <c r="S206" s="38">
        <f t="shared" ref="S206:S238" si="92">O206+R206</f>
        <v>0</v>
      </c>
    </row>
    <row r="207" spans="1:20" x14ac:dyDescent="0.15">
      <c r="B207" s="11" t="s">
        <v>3</v>
      </c>
      <c r="C207" s="25">
        <v>5</v>
      </c>
      <c r="D207" s="19"/>
      <c r="E207" s="52">
        <f t="shared" si="87"/>
        <v>5</v>
      </c>
      <c r="F207" s="31"/>
      <c r="G207" s="7"/>
      <c r="H207" s="61">
        <f t="shared" si="88"/>
        <v>0</v>
      </c>
      <c r="I207" s="38">
        <f t="shared" si="89"/>
        <v>5</v>
      </c>
      <c r="J207" s="36">
        <v>45358</v>
      </c>
      <c r="L207" s="11" t="s">
        <v>3</v>
      </c>
      <c r="M207" s="25"/>
      <c r="N207" s="19"/>
      <c r="O207" s="52">
        <f t="shared" si="90"/>
        <v>0</v>
      </c>
      <c r="P207" s="31"/>
      <c r="Q207" s="7"/>
      <c r="R207" s="61">
        <f t="shared" si="91"/>
        <v>0</v>
      </c>
      <c r="S207" s="38">
        <f t="shared" si="92"/>
        <v>0</v>
      </c>
    </row>
    <row r="208" spans="1:20" x14ac:dyDescent="0.15">
      <c r="B208" s="11" t="s">
        <v>3</v>
      </c>
      <c r="C208" s="25">
        <v>5</v>
      </c>
      <c r="D208" s="19">
        <v>10</v>
      </c>
      <c r="E208" s="52">
        <f t="shared" si="87"/>
        <v>15</v>
      </c>
      <c r="F208" s="31"/>
      <c r="G208" s="7"/>
      <c r="H208" s="61">
        <f t="shared" si="88"/>
        <v>0</v>
      </c>
      <c r="I208" s="38">
        <f t="shared" si="89"/>
        <v>15</v>
      </c>
      <c r="J208" s="36">
        <v>45377</v>
      </c>
      <c r="L208" s="11" t="s">
        <v>3</v>
      </c>
      <c r="M208" s="25">
        <v>40</v>
      </c>
      <c r="N208" s="19">
        <v>70</v>
      </c>
      <c r="O208" s="52">
        <f t="shared" si="90"/>
        <v>110</v>
      </c>
      <c r="P208" s="31">
        <v>0</v>
      </c>
      <c r="Q208" s="7">
        <v>0</v>
      </c>
      <c r="R208" s="61">
        <f t="shared" si="91"/>
        <v>0</v>
      </c>
      <c r="S208" s="38">
        <f t="shared" si="92"/>
        <v>110</v>
      </c>
      <c r="T208" s="78" t="s">
        <v>94</v>
      </c>
    </row>
    <row r="209" spans="2:20" x14ac:dyDescent="0.15">
      <c r="B209" s="11" t="s">
        <v>3</v>
      </c>
      <c r="C209" s="25">
        <v>5</v>
      </c>
      <c r="D209" s="19">
        <v>5</v>
      </c>
      <c r="E209" s="52">
        <f t="shared" si="87"/>
        <v>10</v>
      </c>
      <c r="F209" s="31"/>
      <c r="G209" s="7">
        <v>5</v>
      </c>
      <c r="H209" s="61">
        <f t="shared" si="88"/>
        <v>5</v>
      </c>
      <c r="I209" s="38">
        <f t="shared" si="89"/>
        <v>15</v>
      </c>
      <c r="J209" s="36">
        <v>45381</v>
      </c>
      <c r="L209" s="11" t="s">
        <v>3</v>
      </c>
      <c r="M209" s="25"/>
      <c r="N209" s="19"/>
      <c r="O209" s="52">
        <f t="shared" si="90"/>
        <v>0</v>
      </c>
      <c r="P209" s="31"/>
      <c r="Q209" s="7"/>
      <c r="R209" s="61">
        <f t="shared" si="91"/>
        <v>0</v>
      </c>
      <c r="S209" s="38">
        <f t="shared" si="92"/>
        <v>0</v>
      </c>
    </row>
    <row r="210" spans="2:20" ht="14.25" thickBot="1" x14ac:dyDescent="0.2">
      <c r="B210" s="10" t="s">
        <v>3</v>
      </c>
      <c r="C210" s="26">
        <v>5</v>
      </c>
      <c r="D210" s="20">
        <v>15</v>
      </c>
      <c r="E210" s="53">
        <f t="shared" si="87"/>
        <v>20</v>
      </c>
      <c r="F210" s="32"/>
      <c r="G210" s="5">
        <v>10</v>
      </c>
      <c r="H210" s="62">
        <f t="shared" si="88"/>
        <v>10</v>
      </c>
      <c r="I210" s="39">
        <f t="shared" si="89"/>
        <v>30</v>
      </c>
      <c r="J210" s="36">
        <v>45386</v>
      </c>
      <c r="L210" s="10" t="s">
        <v>3</v>
      </c>
      <c r="M210" s="26"/>
      <c r="N210" s="20"/>
      <c r="O210" s="53">
        <f t="shared" si="90"/>
        <v>0</v>
      </c>
      <c r="P210" s="32"/>
      <c r="Q210" s="5"/>
      <c r="R210" s="62">
        <f t="shared" si="91"/>
        <v>0</v>
      </c>
      <c r="S210" s="39">
        <f t="shared" si="92"/>
        <v>0</v>
      </c>
    </row>
    <row r="211" spans="2:20" ht="14.25" thickBot="1" x14ac:dyDescent="0.2">
      <c r="B211" s="43" t="s">
        <v>2</v>
      </c>
      <c r="C211" s="44">
        <f>SUM(C205:C210)</f>
        <v>29</v>
      </c>
      <c r="D211" s="45">
        <f>SUM(D205:D210)</f>
        <v>44</v>
      </c>
      <c r="E211" s="54">
        <f t="shared" si="87"/>
        <v>73</v>
      </c>
      <c r="F211" s="44">
        <f>SUM(F205:F210)</f>
        <v>18</v>
      </c>
      <c r="G211" s="45">
        <f>SUM(G205:G210)</f>
        <v>23</v>
      </c>
      <c r="H211" s="63">
        <f t="shared" si="88"/>
        <v>41</v>
      </c>
      <c r="I211" s="42">
        <f t="shared" si="89"/>
        <v>114</v>
      </c>
      <c r="L211" s="43" t="s">
        <v>2</v>
      </c>
      <c r="M211" s="44">
        <f>SUM(M205:M210)</f>
        <v>69</v>
      </c>
      <c r="N211" s="45">
        <f>SUM(N205:N210)</f>
        <v>78</v>
      </c>
      <c r="O211" s="54">
        <f t="shared" si="90"/>
        <v>147</v>
      </c>
      <c r="P211" s="44">
        <f>SUM(P205:P210)</f>
        <v>53</v>
      </c>
      <c r="Q211" s="45">
        <f>SUM(Q205:Q210)</f>
        <v>56</v>
      </c>
      <c r="R211" s="63">
        <f t="shared" si="91"/>
        <v>109</v>
      </c>
      <c r="S211" s="42">
        <f t="shared" si="92"/>
        <v>256</v>
      </c>
    </row>
    <row r="212" spans="2:20" x14ac:dyDescent="0.15">
      <c r="B212" s="6" t="s">
        <v>7</v>
      </c>
      <c r="C212" s="25"/>
      <c r="D212" s="19"/>
      <c r="E212" s="55">
        <f t="shared" si="87"/>
        <v>0</v>
      </c>
      <c r="F212" s="31">
        <v>1</v>
      </c>
      <c r="G212" s="7"/>
      <c r="H212" s="64">
        <f t="shared" si="88"/>
        <v>1</v>
      </c>
      <c r="I212" s="38">
        <f t="shared" si="89"/>
        <v>1</v>
      </c>
      <c r="J212" s="36">
        <v>45297</v>
      </c>
      <c r="L212" s="11" t="s">
        <v>32</v>
      </c>
      <c r="M212" s="25"/>
      <c r="N212" s="19">
        <v>8</v>
      </c>
      <c r="O212" s="55">
        <f t="shared" si="90"/>
        <v>8</v>
      </c>
      <c r="P212" s="31"/>
      <c r="Q212" s="7"/>
      <c r="R212" s="64">
        <f t="shared" si="91"/>
        <v>0</v>
      </c>
      <c r="S212" s="38">
        <f t="shared" si="92"/>
        <v>8</v>
      </c>
      <c r="T212" s="78">
        <v>45342</v>
      </c>
    </row>
    <row r="213" spans="2:20" x14ac:dyDescent="0.15">
      <c r="B213" s="6" t="s">
        <v>89</v>
      </c>
      <c r="C213" s="25">
        <v>2</v>
      </c>
      <c r="D213" s="19"/>
      <c r="E213" s="55">
        <f t="shared" si="87"/>
        <v>2</v>
      </c>
      <c r="F213" s="31"/>
      <c r="G213" s="7"/>
      <c r="H213" s="64">
        <f t="shared" si="88"/>
        <v>0</v>
      </c>
      <c r="I213" s="38">
        <f t="shared" si="89"/>
        <v>2</v>
      </c>
      <c r="J213" s="36">
        <v>45311</v>
      </c>
      <c r="L213" s="11" t="s">
        <v>32</v>
      </c>
      <c r="M213" s="25">
        <v>5</v>
      </c>
      <c r="N213" s="19"/>
      <c r="O213" s="55">
        <f t="shared" si="90"/>
        <v>5</v>
      </c>
      <c r="P213" s="31"/>
      <c r="Q213" s="7"/>
      <c r="R213" s="64">
        <f t="shared" si="91"/>
        <v>0</v>
      </c>
      <c r="S213" s="38">
        <f t="shared" si="92"/>
        <v>5</v>
      </c>
      <c r="T213" s="78">
        <v>45358</v>
      </c>
    </row>
    <row r="214" spans="2:20" x14ac:dyDescent="0.15">
      <c r="B214" s="6" t="s">
        <v>7</v>
      </c>
      <c r="C214" s="25"/>
      <c r="D214" s="19">
        <v>1</v>
      </c>
      <c r="E214" s="55">
        <f t="shared" si="87"/>
        <v>1</v>
      </c>
      <c r="F214" s="31"/>
      <c r="G214" s="7"/>
      <c r="H214" s="64">
        <f t="shared" si="88"/>
        <v>0</v>
      </c>
      <c r="I214" s="38">
        <f t="shared" si="89"/>
        <v>1</v>
      </c>
      <c r="J214" s="36">
        <v>45313</v>
      </c>
      <c r="L214" s="11" t="s">
        <v>32</v>
      </c>
      <c r="M214" s="25">
        <v>5</v>
      </c>
      <c r="N214" s="19">
        <v>10</v>
      </c>
      <c r="O214" s="55">
        <f t="shared" si="90"/>
        <v>15</v>
      </c>
      <c r="P214" s="31"/>
      <c r="Q214" s="7"/>
      <c r="R214" s="64">
        <f t="shared" si="91"/>
        <v>0</v>
      </c>
      <c r="S214" s="38">
        <f t="shared" si="92"/>
        <v>15</v>
      </c>
      <c r="T214" s="78">
        <v>45377</v>
      </c>
    </row>
    <row r="215" spans="2:20" x14ac:dyDescent="0.15">
      <c r="B215" s="6" t="s">
        <v>7</v>
      </c>
      <c r="C215" s="25">
        <v>1</v>
      </c>
      <c r="D215" s="19"/>
      <c r="E215" s="55">
        <f t="shared" si="87"/>
        <v>1</v>
      </c>
      <c r="F215" s="31"/>
      <c r="G215" s="7"/>
      <c r="H215" s="64">
        <f t="shared" si="88"/>
        <v>0</v>
      </c>
      <c r="I215" s="38">
        <f t="shared" si="89"/>
        <v>1</v>
      </c>
      <c r="J215" s="36">
        <v>45317</v>
      </c>
      <c r="L215" s="11" t="s">
        <v>32</v>
      </c>
      <c r="M215" s="25">
        <v>5</v>
      </c>
      <c r="N215" s="19">
        <v>5</v>
      </c>
      <c r="O215" s="55">
        <f t="shared" si="90"/>
        <v>10</v>
      </c>
      <c r="P215" s="31"/>
      <c r="Q215" s="7">
        <v>5</v>
      </c>
      <c r="R215" s="64">
        <f t="shared" si="91"/>
        <v>5</v>
      </c>
      <c r="S215" s="38">
        <f t="shared" si="92"/>
        <v>15</v>
      </c>
      <c r="T215" s="78">
        <v>45381</v>
      </c>
    </row>
    <row r="216" spans="2:20" x14ac:dyDescent="0.15">
      <c r="B216" s="6" t="s">
        <v>7</v>
      </c>
      <c r="C216" s="25"/>
      <c r="D216" s="19">
        <v>1</v>
      </c>
      <c r="E216" s="55">
        <f t="shared" si="87"/>
        <v>1</v>
      </c>
      <c r="F216" s="31"/>
      <c r="G216" s="7"/>
      <c r="H216" s="64">
        <f t="shared" si="88"/>
        <v>0</v>
      </c>
      <c r="I216" s="38">
        <f t="shared" si="89"/>
        <v>1</v>
      </c>
      <c r="J216" s="36">
        <v>45322</v>
      </c>
      <c r="L216" s="11" t="s">
        <v>32</v>
      </c>
      <c r="M216" s="25">
        <v>5</v>
      </c>
      <c r="N216" s="19">
        <v>15</v>
      </c>
      <c r="O216" s="55">
        <f t="shared" si="90"/>
        <v>20</v>
      </c>
      <c r="P216" s="31"/>
      <c r="Q216" s="7">
        <v>10</v>
      </c>
      <c r="R216" s="64">
        <f t="shared" si="91"/>
        <v>10</v>
      </c>
      <c r="S216" s="38">
        <f t="shared" si="92"/>
        <v>30</v>
      </c>
      <c r="T216" s="78">
        <v>45386</v>
      </c>
    </row>
    <row r="217" spans="2:20" x14ac:dyDescent="0.15">
      <c r="B217" s="6" t="s">
        <v>7</v>
      </c>
      <c r="C217" s="25">
        <v>1</v>
      </c>
      <c r="D217" s="19"/>
      <c r="E217" s="55">
        <f t="shared" si="87"/>
        <v>1</v>
      </c>
      <c r="F217" s="31"/>
      <c r="G217" s="7"/>
      <c r="H217" s="64">
        <f t="shared" si="88"/>
        <v>0</v>
      </c>
      <c r="I217" s="38">
        <f t="shared" si="89"/>
        <v>1</v>
      </c>
      <c r="J217" s="36">
        <v>45335</v>
      </c>
      <c r="L217" s="11" t="s">
        <v>32</v>
      </c>
      <c r="M217" s="25">
        <v>10</v>
      </c>
      <c r="N217" s="19">
        <v>10</v>
      </c>
      <c r="O217" s="55">
        <f t="shared" si="90"/>
        <v>20</v>
      </c>
      <c r="P217" s="31"/>
      <c r="Q217" s="7"/>
      <c r="R217" s="64">
        <f t="shared" si="91"/>
        <v>0</v>
      </c>
      <c r="S217" s="38">
        <f t="shared" si="92"/>
        <v>20</v>
      </c>
      <c r="T217" s="78">
        <v>45388</v>
      </c>
    </row>
    <row r="218" spans="2:20" x14ac:dyDescent="0.15">
      <c r="B218" s="6" t="s">
        <v>7</v>
      </c>
      <c r="C218" s="25"/>
      <c r="D218" s="19">
        <v>2</v>
      </c>
      <c r="E218" s="55">
        <f t="shared" si="87"/>
        <v>2</v>
      </c>
      <c r="F218" s="31"/>
      <c r="G218" s="7"/>
      <c r="H218" s="64">
        <f t="shared" si="88"/>
        <v>0</v>
      </c>
      <c r="I218" s="38">
        <f t="shared" si="89"/>
        <v>2</v>
      </c>
      <c r="J218" s="36">
        <v>45341</v>
      </c>
      <c r="L218" s="11" t="s">
        <v>32</v>
      </c>
      <c r="M218" s="25">
        <v>5</v>
      </c>
      <c r="N218" s="19"/>
      <c r="O218" s="55">
        <f t="shared" si="90"/>
        <v>5</v>
      </c>
      <c r="P218" s="31">
        <v>5</v>
      </c>
      <c r="Q218" s="7">
        <v>5</v>
      </c>
      <c r="R218" s="64">
        <f t="shared" si="91"/>
        <v>10</v>
      </c>
      <c r="S218" s="38">
        <f t="shared" si="92"/>
        <v>15</v>
      </c>
      <c r="T218" s="78">
        <v>45392</v>
      </c>
    </row>
    <row r="219" spans="2:20" x14ac:dyDescent="0.15">
      <c r="B219" s="6" t="s">
        <v>7</v>
      </c>
      <c r="C219" s="25"/>
      <c r="D219" s="19">
        <v>1</v>
      </c>
      <c r="E219" s="55">
        <f t="shared" si="87"/>
        <v>1</v>
      </c>
      <c r="F219" s="31"/>
      <c r="G219" s="7"/>
      <c r="H219" s="64">
        <f t="shared" si="88"/>
        <v>0</v>
      </c>
      <c r="I219" s="38">
        <f t="shared" si="89"/>
        <v>1</v>
      </c>
      <c r="J219" s="36">
        <v>45343</v>
      </c>
      <c r="L219" s="6"/>
      <c r="M219" s="25"/>
      <c r="N219" s="19"/>
      <c r="O219" s="55">
        <f t="shared" si="90"/>
        <v>0</v>
      </c>
      <c r="P219" s="31"/>
      <c r="Q219" s="7"/>
      <c r="R219" s="64">
        <f t="shared" si="91"/>
        <v>0</v>
      </c>
      <c r="S219" s="38">
        <f t="shared" si="92"/>
        <v>0</v>
      </c>
    </row>
    <row r="220" spans="2:20" x14ac:dyDescent="0.15">
      <c r="B220" s="6" t="s">
        <v>7</v>
      </c>
      <c r="C220" s="25">
        <v>2</v>
      </c>
      <c r="D220" s="19"/>
      <c r="E220" s="55">
        <f t="shared" si="87"/>
        <v>2</v>
      </c>
      <c r="F220" s="31"/>
      <c r="G220" s="7"/>
      <c r="H220" s="64">
        <f t="shared" si="88"/>
        <v>0</v>
      </c>
      <c r="I220" s="38">
        <f t="shared" si="89"/>
        <v>2</v>
      </c>
      <c r="J220" s="36">
        <v>45344</v>
      </c>
      <c r="L220" s="6"/>
      <c r="M220" s="25"/>
      <c r="N220" s="19"/>
      <c r="O220" s="55">
        <f t="shared" si="90"/>
        <v>0</v>
      </c>
      <c r="P220" s="31"/>
      <c r="Q220" s="7"/>
      <c r="R220" s="64">
        <f t="shared" si="91"/>
        <v>0</v>
      </c>
      <c r="S220" s="38">
        <f t="shared" si="92"/>
        <v>0</v>
      </c>
    </row>
    <row r="221" spans="2:20" x14ac:dyDescent="0.15">
      <c r="B221" s="6" t="s">
        <v>7</v>
      </c>
      <c r="C221" s="25"/>
      <c r="D221" s="19">
        <v>1</v>
      </c>
      <c r="E221" s="55">
        <f t="shared" si="87"/>
        <v>1</v>
      </c>
      <c r="F221" s="31"/>
      <c r="G221" s="7"/>
      <c r="H221" s="64">
        <f t="shared" si="88"/>
        <v>0</v>
      </c>
      <c r="I221" s="38">
        <f t="shared" si="89"/>
        <v>1</v>
      </c>
      <c r="J221" s="36">
        <v>45348</v>
      </c>
      <c r="L221" s="6"/>
      <c r="M221" s="28"/>
      <c r="N221" s="22"/>
      <c r="O221" s="55">
        <f t="shared" si="90"/>
        <v>0</v>
      </c>
      <c r="P221" s="33"/>
      <c r="Q221" s="8"/>
      <c r="R221" s="64">
        <f t="shared" si="91"/>
        <v>0</v>
      </c>
      <c r="S221" s="38">
        <f t="shared" si="92"/>
        <v>0</v>
      </c>
    </row>
    <row r="222" spans="2:20" x14ac:dyDescent="0.15">
      <c r="B222" s="6" t="s">
        <v>25</v>
      </c>
      <c r="C222" s="25"/>
      <c r="D222" s="19">
        <v>2</v>
      </c>
      <c r="E222" s="55">
        <f t="shared" si="87"/>
        <v>2</v>
      </c>
      <c r="F222" s="31"/>
      <c r="G222" s="7"/>
      <c r="H222" s="64">
        <f t="shared" si="88"/>
        <v>0</v>
      </c>
      <c r="I222" s="38">
        <f t="shared" si="89"/>
        <v>2</v>
      </c>
      <c r="J222" s="36">
        <v>45356</v>
      </c>
      <c r="L222" s="6"/>
      <c r="M222" s="28"/>
      <c r="N222" s="22"/>
      <c r="O222" s="55">
        <f t="shared" si="90"/>
        <v>0</v>
      </c>
      <c r="P222" s="33"/>
      <c r="Q222" s="8"/>
      <c r="R222" s="64">
        <f t="shared" si="91"/>
        <v>0</v>
      </c>
      <c r="S222" s="38">
        <f t="shared" si="92"/>
        <v>0</v>
      </c>
    </row>
    <row r="223" spans="2:20" x14ac:dyDescent="0.15">
      <c r="B223" s="6" t="s">
        <v>7</v>
      </c>
      <c r="C223" s="25">
        <v>1</v>
      </c>
      <c r="D223" s="19"/>
      <c r="E223" s="55">
        <f t="shared" si="87"/>
        <v>1</v>
      </c>
      <c r="F223" s="31"/>
      <c r="G223" s="7"/>
      <c r="H223" s="64">
        <f t="shared" si="88"/>
        <v>0</v>
      </c>
      <c r="I223" s="38">
        <f t="shared" si="89"/>
        <v>1</v>
      </c>
      <c r="J223" s="36">
        <v>45357</v>
      </c>
      <c r="L223" s="6"/>
      <c r="M223" s="28"/>
      <c r="N223" s="22"/>
      <c r="O223" s="55">
        <f t="shared" si="90"/>
        <v>0</v>
      </c>
      <c r="P223" s="33"/>
      <c r="Q223" s="8"/>
      <c r="R223" s="64">
        <f t="shared" si="91"/>
        <v>0</v>
      </c>
      <c r="S223" s="38">
        <f t="shared" si="92"/>
        <v>0</v>
      </c>
    </row>
    <row r="224" spans="2:20" x14ac:dyDescent="0.15">
      <c r="B224" s="6" t="s">
        <v>7</v>
      </c>
      <c r="C224" s="25"/>
      <c r="D224" s="19">
        <v>1</v>
      </c>
      <c r="E224" s="55">
        <f t="shared" si="87"/>
        <v>1</v>
      </c>
      <c r="F224" s="31"/>
      <c r="G224" s="7"/>
      <c r="H224" s="64">
        <f t="shared" si="88"/>
        <v>0</v>
      </c>
      <c r="I224" s="38">
        <f t="shared" si="89"/>
        <v>1</v>
      </c>
      <c r="J224" s="36">
        <v>45369</v>
      </c>
      <c r="L224" s="6"/>
      <c r="M224" s="28"/>
      <c r="N224" s="22"/>
      <c r="O224" s="55">
        <f t="shared" si="90"/>
        <v>0</v>
      </c>
      <c r="P224" s="33"/>
      <c r="Q224" s="8"/>
      <c r="R224" s="64">
        <f t="shared" si="91"/>
        <v>0</v>
      </c>
      <c r="S224" s="38">
        <f t="shared" si="92"/>
        <v>0</v>
      </c>
    </row>
    <row r="225" spans="2:20" x14ac:dyDescent="0.15">
      <c r="B225" s="6" t="s">
        <v>7</v>
      </c>
      <c r="C225" s="25"/>
      <c r="D225" s="19">
        <v>3</v>
      </c>
      <c r="E225" s="55">
        <f t="shared" si="87"/>
        <v>3</v>
      </c>
      <c r="F225" s="31"/>
      <c r="G225" s="7">
        <v>1</v>
      </c>
      <c r="H225" s="64">
        <f t="shared" si="88"/>
        <v>1</v>
      </c>
      <c r="I225" s="38">
        <f t="shared" si="89"/>
        <v>4</v>
      </c>
      <c r="J225" s="36">
        <v>45376</v>
      </c>
      <c r="L225" s="6"/>
      <c r="M225" s="28"/>
      <c r="N225" s="22"/>
      <c r="O225" s="55">
        <f t="shared" si="90"/>
        <v>0</v>
      </c>
      <c r="P225" s="33"/>
      <c r="Q225" s="8"/>
      <c r="R225" s="64">
        <f t="shared" si="91"/>
        <v>0</v>
      </c>
      <c r="S225" s="38">
        <f t="shared" si="92"/>
        <v>0</v>
      </c>
    </row>
    <row r="226" spans="2:20" x14ac:dyDescent="0.15">
      <c r="B226" s="6" t="s">
        <v>7</v>
      </c>
      <c r="C226" s="25"/>
      <c r="D226" s="19">
        <v>1</v>
      </c>
      <c r="E226" s="55">
        <f t="shared" si="87"/>
        <v>1</v>
      </c>
      <c r="F226" s="31"/>
      <c r="G226" s="7"/>
      <c r="H226" s="64">
        <f t="shared" si="88"/>
        <v>0</v>
      </c>
      <c r="I226" s="38">
        <f t="shared" si="89"/>
        <v>1</v>
      </c>
      <c r="J226" s="36">
        <v>45377</v>
      </c>
      <c r="L226" s="6"/>
      <c r="M226" s="28"/>
      <c r="N226" s="22"/>
      <c r="O226" s="55">
        <f t="shared" si="90"/>
        <v>0</v>
      </c>
      <c r="P226" s="33"/>
      <c r="Q226" s="8"/>
      <c r="R226" s="64">
        <f t="shared" si="91"/>
        <v>0</v>
      </c>
      <c r="S226" s="38">
        <f t="shared" si="92"/>
        <v>0</v>
      </c>
    </row>
    <row r="227" spans="2:20" x14ac:dyDescent="0.15">
      <c r="B227" s="6" t="s">
        <v>25</v>
      </c>
      <c r="C227" s="25">
        <v>3</v>
      </c>
      <c r="D227" s="19"/>
      <c r="E227" s="55">
        <f t="shared" si="87"/>
        <v>3</v>
      </c>
      <c r="F227" s="31"/>
      <c r="G227" s="7"/>
      <c r="H227" s="64">
        <f t="shared" si="88"/>
        <v>0</v>
      </c>
      <c r="I227" s="38">
        <f t="shared" si="89"/>
        <v>3</v>
      </c>
      <c r="J227" s="36">
        <v>45378</v>
      </c>
      <c r="L227" s="6"/>
      <c r="M227" s="28"/>
      <c r="N227" s="22"/>
      <c r="O227" s="55">
        <f t="shared" si="90"/>
        <v>0</v>
      </c>
      <c r="P227" s="33"/>
      <c r="Q227" s="8"/>
      <c r="R227" s="64">
        <f t="shared" si="91"/>
        <v>0</v>
      </c>
      <c r="S227" s="38">
        <f t="shared" si="92"/>
        <v>0</v>
      </c>
    </row>
    <row r="228" spans="2:20" x14ac:dyDescent="0.15">
      <c r="B228" s="6" t="s">
        <v>95</v>
      </c>
      <c r="C228" s="25"/>
      <c r="D228" s="19">
        <v>2</v>
      </c>
      <c r="E228" s="55">
        <f t="shared" si="87"/>
        <v>2</v>
      </c>
      <c r="F228" s="31"/>
      <c r="G228" s="7">
        <v>1</v>
      </c>
      <c r="H228" s="64">
        <f t="shared" si="88"/>
        <v>1</v>
      </c>
      <c r="I228" s="38">
        <f t="shared" si="89"/>
        <v>3</v>
      </c>
      <c r="J228" s="36">
        <v>45383</v>
      </c>
      <c r="L228" s="6"/>
      <c r="M228" s="28"/>
      <c r="N228" s="22"/>
      <c r="O228" s="55">
        <f t="shared" si="90"/>
        <v>0</v>
      </c>
      <c r="P228" s="33"/>
      <c r="Q228" s="8"/>
      <c r="R228" s="64">
        <f t="shared" si="91"/>
        <v>0</v>
      </c>
      <c r="S228" s="38">
        <f t="shared" si="92"/>
        <v>0</v>
      </c>
    </row>
    <row r="229" spans="2:20" x14ac:dyDescent="0.15">
      <c r="B229" s="6" t="s">
        <v>34</v>
      </c>
      <c r="C229" s="25">
        <v>1</v>
      </c>
      <c r="D229" s="19">
        <v>9</v>
      </c>
      <c r="E229" s="55">
        <f t="shared" si="87"/>
        <v>10</v>
      </c>
      <c r="F229" s="31">
        <v>1</v>
      </c>
      <c r="G229" s="7"/>
      <c r="H229" s="64">
        <f t="shared" si="88"/>
        <v>1</v>
      </c>
      <c r="I229" s="38">
        <f t="shared" si="89"/>
        <v>11</v>
      </c>
      <c r="J229" s="36">
        <v>45385</v>
      </c>
      <c r="L229" s="6"/>
      <c r="M229" s="28"/>
      <c r="N229" s="22"/>
      <c r="O229" s="55">
        <f t="shared" si="90"/>
        <v>0</v>
      </c>
      <c r="P229" s="33"/>
      <c r="Q229" s="8"/>
      <c r="R229" s="64">
        <f t="shared" si="91"/>
        <v>0</v>
      </c>
      <c r="S229" s="38">
        <f t="shared" si="92"/>
        <v>0</v>
      </c>
    </row>
    <row r="230" spans="2:20" x14ac:dyDescent="0.15">
      <c r="B230" s="6" t="s">
        <v>7</v>
      </c>
      <c r="C230" s="25">
        <v>1</v>
      </c>
      <c r="D230" s="19">
        <v>2</v>
      </c>
      <c r="E230" s="55">
        <f t="shared" si="87"/>
        <v>3</v>
      </c>
      <c r="F230" s="31"/>
      <c r="G230" s="7"/>
      <c r="H230" s="64">
        <f t="shared" si="88"/>
        <v>0</v>
      </c>
      <c r="I230" s="38">
        <f t="shared" si="89"/>
        <v>3</v>
      </c>
      <c r="J230" s="36">
        <v>45383</v>
      </c>
      <c r="L230" s="6"/>
      <c r="M230" s="28"/>
      <c r="N230" s="22"/>
      <c r="O230" s="55">
        <f t="shared" si="90"/>
        <v>0</v>
      </c>
      <c r="P230" s="33"/>
      <c r="Q230" s="8"/>
      <c r="R230" s="64">
        <f t="shared" si="91"/>
        <v>0</v>
      </c>
      <c r="S230" s="38">
        <f t="shared" si="92"/>
        <v>0</v>
      </c>
    </row>
    <row r="231" spans="2:20" x14ac:dyDescent="0.15">
      <c r="B231" s="6" t="s">
        <v>35</v>
      </c>
      <c r="C231" s="25"/>
      <c r="D231" s="19">
        <v>2</v>
      </c>
      <c r="E231" s="55">
        <f t="shared" si="87"/>
        <v>2</v>
      </c>
      <c r="F231" s="31"/>
      <c r="G231" s="7">
        <v>6</v>
      </c>
      <c r="H231" s="64">
        <f t="shared" si="88"/>
        <v>6</v>
      </c>
      <c r="I231" s="38">
        <f t="shared" si="89"/>
        <v>8</v>
      </c>
      <c r="J231" s="36">
        <v>45386</v>
      </c>
      <c r="L231" s="6"/>
      <c r="M231" s="25"/>
      <c r="N231" s="19"/>
      <c r="O231" s="55">
        <f t="shared" si="90"/>
        <v>0</v>
      </c>
      <c r="P231" s="31"/>
      <c r="Q231" s="7"/>
      <c r="R231" s="64">
        <f t="shared" si="91"/>
        <v>0</v>
      </c>
      <c r="S231" s="38">
        <f t="shared" si="92"/>
        <v>0</v>
      </c>
    </row>
    <row r="232" spans="2:20" x14ac:dyDescent="0.15">
      <c r="B232" s="6" t="s">
        <v>37</v>
      </c>
      <c r="C232" s="25">
        <v>1</v>
      </c>
      <c r="D232" s="19"/>
      <c r="E232" s="55">
        <f t="shared" si="87"/>
        <v>1</v>
      </c>
      <c r="F232" s="31"/>
      <c r="G232" s="7"/>
      <c r="H232" s="64">
        <f t="shared" si="88"/>
        <v>0</v>
      </c>
      <c r="I232" s="38">
        <f t="shared" si="89"/>
        <v>1</v>
      </c>
      <c r="J232" s="36">
        <v>45387</v>
      </c>
      <c r="L232" s="6"/>
      <c r="M232" s="25"/>
      <c r="N232" s="19"/>
      <c r="O232" s="55">
        <f t="shared" si="90"/>
        <v>0</v>
      </c>
      <c r="P232" s="31"/>
      <c r="Q232" s="7"/>
      <c r="R232" s="64">
        <f t="shared" si="91"/>
        <v>0</v>
      </c>
      <c r="S232" s="38">
        <f t="shared" si="92"/>
        <v>0</v>
      </c>
    </row>
    <row r="233" spans="2:20" x14ac:dyDescent="0.15">
      <c r="B233" s="6" t="s">
        <v>7</v>
      </c>
      <c r="C233" s="25"/>
      <c r="D233" s="19">
        <v>1</v>
      </c>
      <c r="E233" s="55">
        <f t="shared" si="87"/>
        <v>1</v>
      </c>
      <c r="F233" s="31"/>
      <c r="G233" s="7"/>
      <c r="H233" s="64">
        <f t="shared" si="88"/>
        <v>0</v>
      </c>
      <c r="I233" s="38">
        <f t="shared" si="89"/>
        <v>1</v>
      </c>
      <c r="J233" s="36">
        <v>45385</v>
      </c>
      <c r="L233" s="6"/>
      <c r="M233" s="25"/>
      <c r="N233" s="19"/>
      <c r="O233" s="55">
        <f t="shared" si="90"/>
        <v>0</v>
      </c>
      <c r="P233" s="31"/>
      <c r="Q233" s="7"/>
      <c r="R233" s="64">
        <f t="shared" si="91"/>
        <v>0</v>
      </c>
      <c r="S233" s="38">
        <f t="shared" si="92"/>
        <v>0</v>
      </c>
    </row>
    <row r="234" spans="2:20" x14ac:dyDescent="0.15">
      <c r="B234" s="6" t="s">
        <v>25</v>
      </c>
      <c r="C234" s="25">
        <v>5</v>
      </c>
      <c r="D234" s="19"/>
      <c r="E234" s="55">
        <f t="shared" si="87"/>
        <v>5</v>
      </c>
      <c r="F234" s="31">
        <v>3</v>
      </c>
      <c r="G234" s="7"/>
      <c r="H234" s="64">
        <f t="shared" si="88"/>
        <v>3</v>
      </c>
      <c r="I234" s="38">
        <f t="shared" si="89"/>
        <v>8</v>
      </c>
      <c r="J234" s="36">
        <v>45385</v>
      </c>
      <c r="L234" s="6"/>
      <c r="M234" s="25"/>
      <c r="N234" s="19"/>
      <c r="O234" s="55">
        <f t="shared" si="90"/>
        <v>0</v>
      </c>
      <c r="P234" s="31"/>
      <c r="Q234" s="7"/>
      <c r="R234" s="64">
        <f t="shared" si="91"/>
        <v>0</v>
      </c>
      <c r="S234" s="38">
        <f t="shared" si="92"/>
        <v>0</v>
      </c>
    </row>
    <row r="235" spans="2:20" x14ac:dyDescent="0.15">
      <c r="B235" s="6" t="s">
        <v>38</v>
      </c>
      <c r="C235" s="25">
        <v>4</v>
      </c>
      <c r="D235" s="19">
        <v>5</v>
      </c>
      <c r="E235" s="55">
        <f t="shared" si="87"/>
        <v>9</v>
      </c>
      <c r="F235" s="31">
        <v>1</v>
      </c>
      <c r="G235" s="7">
        <v>3</v>
      </c>
      <c r="H235" s="64">
        <f t="shared" si="88"/>
        <v>4</v>
      </c>
      <c r="I235" s="38">
        <f t="shared" si="89"/>
        <v>13</v>
      </c>
      <c r="J235" s="36">
        <v>45387</v>
      </c>
      <c r="L235" s="6"/>
      <c r="M235" s="25"/>
      <c r="N235" s="19"/>
      <c r="O235" s="55">
        <f t="shared" ref="O235" si="93">SUM(M235:N235)</f>
        <v>0</v>
      </c>
      <c r="P235" s="31"/>
      <c r="Q235" s="7"/>
      <c r="R235" s="64">
        <f t="shared" ref="R235" si="94">SUM(P235:Q235)</f>
        <v>0</v>
      </c>
      <c r="S235" s="38">
        <f t="shared" ref="S235" si="95">O235+R235</f>
        <v>0</v>
      </c>
    </row>
    <row r="236" spans="2:20" ht="14.25" thickBot="1" x14ac:dyDescent="0.2">
      <c r="B236" s="6" t="s">
        <v>7</v>
      </c>
      <c r="C236" s="25"/>
      <c r="D236" s="19">
        <v>1</v>
      </c>
      <c r="E236" s="55">
        <f t="shared" si="87"/>
        <v>1</v>
      </c>
      <c r="F236" s="31"/>
      <c r="G236" s="7"/>
      <c r="H236" s="64">
        <f t="shared" si="88"/>
        <v>0</v>
      </c>
      <c r="I236" s="38">
        <f t="shared" si="89"/>
        <v>1</v>
      </c>
      <c r="J236" s="36">
        <v>45386</v>
      </c>
      <c r="L236" s="6" t="s">
        <v>91</v>
      </c>
      <c r="M236" s="25"/>
      <c r="N236" s="19"/>
      <c r="O236" s="55">
        <f t="shared" ref="O236" si="96">SUM(M236:N236)</f>
        <v>0</v>
      </c>
      <c r="P236" s="31"/>
      <c r="Q236" s="7"/>
      <c r="R236" s="64">
        <f t="shared" ref="R236" si="97">SUM(P236:Q236)</f>
        <v>0</v>
      </c>
      <c r="S236" s="38">
        <f t="shared" ref="S236" si="98">O236+R236</f>
        <v>0</v>
      </c>
      <c r="T236" t="s">
        <v>90</v>
      </c>
    </row>
    <row r="237" spans="2:20" ht="14.25" thickBot="1" x14ac:dyDescent="0.2">
      <c r="B237" s="4" t="s">
        <v>1</v>
      </c>
      <c r="C237" s="27">
        <f>SUM(C212:C236)</f>
        <v>22</v>
      </c>
      <c r="D237" s="21">
        <f>SUM(D212:D236)</f>
        <v>35</v>
      </c>
      <c r="E237" s="57">
        <f t="shared" si="87"/>
        <v>57</v>
      </c>
      <c r="F237" s="27">
        <f>SUM(F212:F236)</f>
        <v>6</v>
      </c>
      <c r="G237" s="21">
        <f>SUM(G212:G236)</f>
        <v>11</v>
      </c>
      <c r="H237" s="66">
        <f t="shared" si="88"/>
        <v>17</v>
      </c>
      <c r="I237" s="40">
        <f t="shared" si="89"/>
        <v>74</v>
      </c>
      <c r="L237" s="4" t="s">
        <v>1</v>
      </c>
      <c r="M237" s="27">
        <f>SUM(M212:M236)</f>
        <v>35</v>
      </c>
      <c r="N237" s="21">
        <f>SUM(N212:N236)</f>
        <v>48</v>
      </c>
      <c r="O237" s="57">
        <f t="shared" si="90"/>
        <v>83</v>
      </c>
      <c r="P237" s="27">
        <f>SUM(P212:P236)</f>
        <v>5</v>
      </c>
      <c r="Q237" s="21">
        <f>SUM(Q212:Q236)</f>
        <v>20</v>
      </c>
      <c r="R237" s="66">
        <f t="shared" si="91"/>
        <v>25</v>
      </c>
      <c r="S237" s="40">
        <f t="shared" si="92"/>
        <v>108</v>
      </c>
    </row>
    <row r="238" spans="2:20" ht="14.25" thickBot="1" x14ac:dyDescent="0.2">
      <c r="B238" s="3" t="s">
        <v>0</v>
      </c>
      <c r="C238" s="30">
        <f>+C211-C237</f>
        <v>7</v>
      </c>
      <c r="D238" s="2">
        <f>+D211-D237</f>
        <v>9</v>
      </c>
      <c r="E238" s="58">
        <f t="shared" si="87"/>
        <v>16</v>
      </c>
      <c r="F238" s="30">
        <f>+F211-F237</f>
        <v>12</v>
      </c>
      <c r="G238" s="2">
        <f>+G211-G237</f>
        <v>12</v>
      </c>
      <c r="H238" s="67">
        <f t="shared" si="88"/>
        <v>24</v>
      </c>
      <c r="I238" s="42">
        <f t="shared" si="89"/>
        <v>40</v>
      </c>
      <c r="L238" s="3" t="s">
        <v>0</v>
      </c>
      <c r="M238" s="30">
        <f>+M211-M237</f>
        <v>34</v>
      </c>
      <c r="N238" s="2">
        <f>+N211-N237</f>
        <v>30</v>
      </c>
      <c r="O238" s="58">
        <f t="shared" si="90"/>
        <v>64</v>
      </c>
      <c r="P238" s="30">
        <f>+P211-P237</f>
        <v>48</v>
      </c>
      <c r="Q238" s="2">
        <f>+Q211-Q237</f>
        <v>36</v>
      </c>
      <c r="R238" s="67">
        <f t="shared" si="91"/>
        <v>84</v>
      </c>
      <c r="S238" s="42">
        <f t="shared" si="92"/>
        <v>148</v>
      </c>
    </row>
    <row r="239" spans="2:20" x14ac:dyDescent="0.15">
      <c r="L239" s="1"/>
      <c r="T239" s="35"/>
    </row>
    <row r="240" spans="2:20" x14ac:dyDescent="0.15">
      <c r="B240"/>
      <c r="J240"/>
    </row>
    <row r="241" spans="2:20" ht="18.75" x14ac:dyDescent="0.2">
      <c r="B241" s="16" t="s">
        <v>21</v>
      </c>
      <c r="C241" s="15"/>
      <c r="D241" s="15"/>
      <c r="E241" s="15"/>
      <c r="F241" s="15"/>
      <c r="G241" s="15"/>
      <c r="H241" s="15"/>
      <c r="I241" s="15"/>
      <c r="L241" s="71" t="s">
        <v>22</v>
      </c>
      <c r="M241" s="72"/>
      <c r="N241" s="72"/>
      <c r="O241" s="72"/>
      <c r="P241" s="72"/>
      <c r="Q241" s="72"/>
      <c r="R241" s="72"/>
      <c r="S241" s="72"/>
      <c r="T241" s="35"/>
    </row>
    <row r="242" spans="2:20" ht="18" thickBot="1" x14ac:dyDescent="0.25">
      <c r="B242" s="17" t="s">
        <v>23</v>
      </c>
      <c r="C242" s="15"/>
      <c r="D242" s="15"/>
      <c r="E242" s="15"/>
      <c r="F242" s="15"/>
      <c r="G242" s="15"/>
      <c r="H242" s="15"/>
      <c r="I242" s="15"/>
      <c r="L242" s="73" t="s">
        <v>23</v>
      </c>
      <c r="M242" s="72"/>
      <c r="N242" s="72"/>
      <c r="O242" s="72"/>
      <c r="P242" s="72"/>
      <c r="Q242" s="72"/>
      <c r="R242" s="72"/>
      <c r="S242" s="72"/>
      <c r="T242" s="35"/>
    </row>
    <row r="243" spans="2:20" ht="14.25" thickBot="1" x14ac:dyDescent="0.2">
      <c r="B243" s="14"/>
      <c r="C243" s="113" t="s">
        <v>12</v>
      </c>
      <c r="D243" s="114"/>
      <c r="E243" s="115"/>
      <c r="F243" s="116" t="s">
        <v>11</v>
      </c>
      <c r="G243" s="117"/>
      <c r="H243" s="118"/>
      <c r="I243" s="13" t="s">
        <v>19</v>
      </c>
      <c r="L243" s="14"/>
      <c r="M243" s="113" t="s">
        <v>12</v>
      </c>
      <c r="N243" s="114"/>
      <c r="O243" s="115"/>
      <c r="P243" s="116" t="s">
        <v>11</v>
      </c>
      <c r="Q243" s="117"/>
      <c r="R243" s="118"/>
      <c r="S243" s="13" t="s">
        <v>19</v>
      </c>
    </row>
    <row r="244" spans="2:20" ht="14.25" thickBot="1" x14ac:dyDescent="0.2">
      <c r="B244" s="13"/>
      <c r="C244" s="23" t="s">
        <v>6</v>
      </c>
      <c r="D244" s="12" t="s">
        <v>5</v>
      </c>
      <c r="E244" s="50" t="s">
        <v>4</v>
      </c>
      <c r="F244" s="23" t="s">
        <v>6</v>
      </c>
      <c r="G244" s="12" t="s">
        <v>5</v>
      </c>
      <c r="H244" s="59" t="s">
        <v>4</v>
      </c>
      <c r="I244" s="49"/>
      <c r="L244" s="13"/>
      <c r="M244" s="23" t="s">
        <v>6</v>
      </c>
      <c r="N244" s="12" t="s">
        <v>5</v>
      </c>
      <c r="O244" s="50" t="s">
        <v>4</v>
      </c>
      <c r="P244" s="23" t="s">
        <v>6</v>
      </c>
      <c r="Q244" s="12" t="s">
        <v>5</v>
      </c>
      <c r="R244" s="59" t="s">
        <v>4</v>
      </c>
      <c r="S244" s="49"/>
    </row>
    <row r="245" spans="2:20" x14ac:dyDescent="0.15">
      <c r="B245" s="46" t="s">
        <v>0</v>
      </c>
      <c r="C245" s="47">
        <f t="shared" ref="C245:H245" si="99">C238</f>
        <v>7</v>
      </c>
      <c r="D245" s="48">
        <f t="shared" si="99"/>
        <v>9</v>
      </c>
      <c r="E245" s="68">
        <f t="shared" si="99"/>
        <v>16</v>
      </c>
      <c r="F245" s="47">
        <f t="shared" si="99"/>
        <v>12</v>
      </c>
      <c r="G245" s="48">
        <f t="shared" si="99"/>
        <v>12</v>
      </c>
      <c r="H245" s="69">
        <f t="shared" si="99"/>
        <v>24</v>
      </c>
      <c r="I245" s="41">
        <f>E245+H245</f>
        <v>40</v>
      </c>
      <c r="J245" s="36"/>
      <c r="L245" s="46" t="s">
        <v>0</v>
      </c>
      <c r="M245" s="47">
        <f t="shared" ref="M245:R245" si="100">M238</f>
        <v>34</v>
      </c>
      <c r="N245" s="48">
        <f t="shared" si="100"/>
        <v>30</v>
      </c>
      <c r="O245" s="68">
        <f t="shared" si="100"/>
        <v>64</v>
      </c>
      <c r="P245" s="47">
        <f t="shared" si="100"/>
        <v>48</v>
      </c>
      <c r="Q245" s="48">
        <f t="shared" si="100"/>
        <v>36</v>
      </c>
      <c r="R245" s="69">
        <f t="shared" si="100"/>
        <v>84</v>
      </c>
      <c r="S245" s="41">
        <f>O245+R245</f>
        <v>148</v>
      </c>
    </row>
    <row r="246" spans="2:20" x14ac:dyDescent="0.15">
      <c r="B246" s="11" t="s">
        <v>3</v>
      </c>
      <c r="C246" s="25">
        <v>10</v>
      </c>
      <c r="D246" s="19">
        <v>10</v>
      </c>
      <c r="E246" s="52">
        <f t="shared" ref="E246:E278" si="101">SUM(C246:D246)</f>
        <v>20</v>
      </c>
      <c r="F246" s="31"/>
      <c r="G246" s="7"/>
      <c r="H246" s="61">
        <f t="shared" ref="H246:H278" si="102">SUM(F246:G246)</f>
        <v>0</v>
      </c>
      <c r="I246" s="38">
        <f t="shared" ref="I246:I278" si="103">E246+H246</f>
        <v>20</v>
      </c>
      <c r="J246" s="36">
        <v>45388</v>
      </c>
      <c r="L246" s="11" t="s">
        <v>3</v>
      </c>
      <c r="M246" s="25"/>
      <c r="N246" s="19"/>
      <c r="O246" s="52">
        <f t="shared" ref="O246:O278" si="104">SUM(M246:N246)</f>
        <v>0</v>
      </c>
      <c r="P246" s="31"/>
      <c r="Q246" s="7"/>
      <c r="R246" s="61">
        <f t="shared" ref="R246:R278" si="105">SUM(P246:Q246)</f>
        <v>0</v>
      </c>
      <c r="S246" s="38">
        <f t="shared" ref="S246:S278" si="106">O246+R246</f>
        <v>0</v>
      </c>
    </row>
    <row r="247" spans="2:20" x14ac:dyDescent="0.15">
      <c r="B247" s="11" t="s">
        <v>3</v>
      </c>
      <c r="C247" s="25">
        <v>5</v>
      </c>
      <c r="D247" s="19"/>
      <c r="E247" s="52">
        <f t="shared" si="101"/>
        <v>5</v>
      </c>
      <c r="F247" s="31">
        <v>5</v>
      </c>
      <c r="G247" s="7">
        <v>5</v>
      </c>
      <c r="H247" s="61">
        <f t="shared" si="102"/>
        <v>10</v>
      </c>
      <c r="I247" s="38">
        <f t="shared" si="103"/>
        <v>15</v>
      </c>
      <c r="J247" s="36">
        <v>45392</v>
      </c>
      <c r="L247" s="11" t="s">
        <v>3</v>
      </c>
      <c r="M247" s="25"/>
      <c r="N247" s="19"/>
      <c r="O247" s="52">
        <f t="shared" si="104"/>
        <v>0</v>
      </c>
      <c r="P247" s="31"/>
      <c r="Q247" s="7"/>
      <c r="R247" s="61">
        <f t="shared" si="105"/>
        <v>0</v>
      </c>
      <c r="S247" s="38">
        <f t="shared" si="106"/>
        <v>0</v>
      </c>
    </row>
    <row r="248" spans="2:20" x14ac:dyDescent="0.15">
      <c r="B248" s="11" t="s">
        <v>3</v>
      </c>
      <c r="C248" s="25">
        <v>5</v>
      </c>
      <c r="D248" s="19">
        <v>5</v>
      </c>
      <c r="E248" s="52">
        <f t="shared" si="101"/>
        <v>10</v>
      </c>
      <c r="F248" s="31"/>
      <c r="G248" s="7"/>
      <c r="H248" s="61">
        <f t="shared" si="102"/>
        <v>0</v>
      </c>
      <c r="I248" s="38">
        <f t="shared" si="103"/>
        <v>10</v>
      </c>
      <c r="J248" s="36">
        <v>45398</v>
      </c>
      <c r="L248" s="11" t="s">
        <v>3</v>
      </c>
      <c r="M248" s="25"/>
      <c r="N248" s="19"/>
      <c r="O248" s="52">
        <f t="shared" ref="O248" si="107">SUM(M248:N248)</f>
        <v>0</v>
      </c>
      <c r="P248" s="31"/>
      <c r="Q248" s="7"/>
      <c r="R248" s="61">
        <f t="shared" ref="R248" si="108">SUM(P248:Q248)</f>
        <v>0</v>
      </c>
      <c r="S248" s="38">
        <f t="shared" ref="S248" si="109">O248+R248</f>
        <v>0</v>
      </c>
    </row>
    <row r="249" spans="2:20" x14ac:dyDescent="0.15">
      <c r="B249" s="11" t="s">
        <v>3</v>
      </c>
      <c r="C249" s="25"/>
      <c r="D249" s="19"/>
      <c r="E249" s="52">
        <f t="shared" si="101"/>
        <v>0</v>
      </c>
      <c r="F249" s="31">
        <v>5</v>
      </c>
      <c r="G249" s="7">
        <v>5</v>
      </c>
      <c r="H249" s="61">
        <f t="shared" si="102"/>
        <v>10</v>
      </c>
      <c r="I249" s="38">
        <f t="shared" si="103"/>
        <v>10</v>
      </c>
      <c r="J249" s="36">
        <v>45401</v>
      </c>
      <c r="L249" s="11" t="s">
        <v>3</v>
      </c>
      <c r="M249" s="25"/>
      <c r="N249" s="19"/>
      <c r="O249" s="52">
        <f t="shared" si="104"/>
        <v>0</v>
      </c>
      <c r="P249" s="31"/>
      <c r="Q249" s="7"/>
      <c r="R249" s="61">
        <f t="shared" si="105"/>
        <v>0</v>
      </c>
      <c r="S249" s="38">
        <f t="shared" si="106"/>
        <v>0</v>
      </c>
    </row>
    <row r="250" spans="2:20" ht="14.25" thickBot="1" x14ac:dyDescent="0.2">
      <c r="B250" s="10" t="s">
        <v>3</v>
      </c>
      <c r="C250" s="26">
        <v>5</v>
      </c>
      <c r="D250" s="20">
        <v>5</v>
      </c>
      <c r="E250" s="53">
        <f t="shared" si="101"/>
        <v>10</v>
      </c>
      <c r="F250" s="32">
        <v>10</v>
      </c>
      <c r="G250" s="5"/>
      <c r="H250" s="62">
        <f t="shared" si="102"/>
        <v>10</v>
      </c>
      <c r="I250" s="39">
        <f t="shared" si="103"/>
        <v>20</v>
      </c>
      <c r="J250" s="36">
        <v>45402</v>
      </c>
      <c r="L250" s="10" t="s">
        <v>3</v>
      </c>
      <c r="M250" s="26"/>
      <c r="N250" s="20"/>
      <c r="O250" s="53">
        <f t="shared" si="104"/>
        <v>0</v>
      </c>
      <c r="P250" s="32"/>
      <c r="Q250" s="5"/>
      <c r="R250" s="62">
        <f t="shared" si="105"/>
        <v>0</v>
      </c>
      <c r="S250" s="39">
        <f t="shared" si="106"/>
        <v>0</v>
      </c>
    </row>
    <row r="251" spans="2:20" ht="14.25" thickBot="1" x14ac:dyDescent="0.2">
      <c r="B251" s="43" t="s">
        <v>2</v>
      </c>
      <c r="C251" s="44">
        <f>SUM(C245:C250)</f>
        <v>32</v>
      </c>
      <c r="D251" s="45">
        <f>SUM(D245:D250)</f>
        <v>29</v>
      </c>
      <c r="E251" s="54">
        <f t="shared" si="101"/>
        <v>61</v>
      </c>
      <c r="F251" s="44">
        <f>SUM(F245:F250)</f>
        <v>32</v>
      </c>
      <c r="G251" s="45">
        <f>SUM(G245:G250)</f>
        <v>22</v>
      </c>
      <c r="H251" s="63">
        <f t="shared" si="102"/>
        <v>54</v>
      </c>
      <c r="I251" s="42">
        <f t="shared" si="103"/>
        <v>115</v>
      </c>
      <c r="L251" s="43" t="s">
        <v>2</v>
      </c>
      <c r="M251" s="44">
        <f>SUM(M245:M250)</f>
        <v>34</v>
      </c>
      <c r="N251" s="45">
        <f>SUM(N245:N250)</f>
        <v>30</v>
      </c>
      <c r="O251" s="54">
        <f t="shared" si="104"/>
        <v>64</v>
      </c>
      <c r="P251" s="44">
        <f>SUM(P245:P250)</f>
        <v>48</v>
      </c>
      <c r="Q251" s="45">
        <f>SUM(Q245:Q250)</f>
        <v>36</v>
      </c>
      <c r="R251" s="63">
        <f t="shared" si="105"/>
        <v>84</v>
      </c>
      <c r="S251" s="42">
        <f t="shared" si="106"/>
        <v>148</v>
      </c>
    </row>
    <row r="252" spans="2:20" x14ac:dyDescent="0.15">
      <c r="B252" s="6" t="s">
        <v>40</v>
      </c>
      <c r="C252" s="25">
        <v>3</v>
      </c>
      <c r="D252" s="19"/>
      <c r="E252" s="55">
        <f t="shared" ref="E252:E274" si="110">SUM(C252:D252)</f>
        <v>3</v>
      </c>
      <c r="F252" s="31"/>
      <c r="G252" s="7"/>
      <c r="H252" s="64">
        <f t="shared" ref="H252:H274" si="111">SUM(F252:G252)</f>
        <v>0</v>
      </c>
      <c r="I252" s="38">
        <f t="shared" ref="I252:I274" si="112">E252+H252</f>
        <v>3</v>
      </c>
      <c r="J252" s="36">
        <v>45390</v>
      </c>
      <c r="L252" s="6" t="s">
        <v>97</v>
      </c>
      <c r="M252" s="25">
        <v>5</v>
      </c>
      <c r="N252" s="19">
        <v>5</v>
      </c>
      <c r="O252" s="55">
        <f t="shared" ref="O252:O259" si="113">SUM(M252:N252)</f>
        <v>10</v>
      </c>
      <c r="P252" s="31"/>
      <c r="Q252" s="7"/>
      <c r="R252" s="64">
        <f t="shared" ref="R252:R259" si="114">SUM(P252:Q252)</f>
        <v>0</v>
      </c>
      <c r="S252" s="38">
        <f t="shared" ref="S252:S259" si="115">O252+R252</f>
        <v>10</v>
      </c>
      <c r="T252" s="78">
        <v>45398</v>
      </c>
    </row>
    <row r="253" spans="2:20" x14ac:dyDescent="0.15">
      <c r="B253" s="6" t="s">
        <v>41</v>
      </c>
      <c r="C253" s="25">
        <v>1</v>
      </c>
      <c r="D253" s="19">
        <v>3</v>
      </c>
      <c r="E253" s="55">
        <f t="shared" si="110"/>
        <v>4</v>
      </c>
      <c r="F253" s="31">
        <v>5</v>
      </c>
      <c r="G253" s="7">
        <v>4</v>
      </c>
      <c r="H253" s="64">
        <f t="shared" si="111"/>
        <v>9</v>
      </c>
      <c r="I253" s="38">
        <f t="shared" si="112"/>
        <v>13</v>
      </c>
      <c r="J253" s="36">
        <v>45392</v>
      </c>
      <c r="L253" s="6" t="s">
        <v>32</v>
      </c>
      <c r="M253" s="25"/>
      <c r="N253" s="19"/>
      <c r="O253" s="55">
        <f t="shared" si="113"/>
        <v>0</v>
      </c>
      <c r="P253" s="31">
        <v>5</v>
      </c>
      <c r="Q253" s="7">
        <v>5</v>
      </c>
      <c r="R253" s="64">
        <f t="shared" si="114"/>
        <v>10</v>
      </c>
      <c r="S253" s="38">
        <f t="shared" si="115"/>
        <v>10</v>
      </c>
      <c r="T253" s="78">
        <v>45401</v>
      </c>
    </row>
    <row r="254" spans="2:20" x14ac:dyDescent="0.15">
      <c r="B254" s="6" t="s">
        <v>7</v>
      </c>
      <c r="C254" s="25"/>
      <c r="D254" s="19">
        <v>1</v>
      </c>
      <c r="E254" s="55">
        <f t="shared" si="110"/>
        <v>1</v>
      </c>
      <c r="F254" s="31"/>
      <c r="G254" s="7"/>
      <c r="H254" s="64">
        <f t="shared" si="111"/>
        <v>0</v>
      </c>
      <c r="I254" s="38">
        <f t="shared" si="112"/>
        <v>1</v>
      </c>
      <c r="J254" s="36">
        <v>45390</v>
      </c>
      <c r="L254" s="6" t="s">
        <v>32</v>
      </c>
      <c r="M254" s="25">
        <v>5</v>
      </c>
      <c r="N254" s="19">
        <v>5</v>
      </c>
      <c r="O254" s="55">
        <f t="shared" si="113"/>
        <v>10</v>
      </c>
      <c r="P254" s="31">
        <v>10</v>
      </c>
      <c r="Q254" s="7"/>
      <c r="R254" s="64">
        <f t="shared" si="114"/>
        <v>10</v>
      </c>
      <c r="S254" s="38">
        <f t="shared" si="115"/>
        <v>20</v>
      </c>
      <c r="T254" s="78">
        <v>45402</v>
      </c>
    </row>
    <row r="255" spans="2:20" x14ac:dyDescent="0.15">
      <c r="B255" s="6" t="s">
        <v>44</v>
      </c>
      <c r="C255" s="25">
        <v>5</v>
      </c>
      <c r="D255" s="19"/>
      <c r="E255" s="55">
        <f t="shared" si="110"/>
        <v>5</v>
      </c>
      <c r="F255" s="31"/>
      <c r="G255" s="7"/>
      <c r="H255" s="64">
        <f t="shared" si="111"/>
        <v>0</v>
      </c>
      <c r="I255" s="38">
        <f t="shared" si="112"/>
        <v>5</v>
      </c>
      <c r="J255" s="36">
        <v>45393</v>
      </c>
      <c r="L255" s="6" t="s">
        <v>32</v>
      </c>
      <c r="M255" s="25"/>
      <c r="N255" s="19">
        <v>10</v>
      </c>
      <c r="O255" s="55">
        <f t="shared" si="113"/>
        <v>10</v>
      </c>
      <c r="P255" s="31"/>
      <c r="Q255" s="7"/>
      <c r="R255" s="64">
        <f t="shared" si="114"/>
        <v>0</v>
      </c>
      <c r="S255" s="38">
        <f t="shared" si="115"/>
        <v>10</v>
      </c>
      <c r="T255" s="78">
        <v>45414</v>
      </c>
    </row>
    <row r="256" spans="2:20" x14ac:dyDescent="0.15">
      <c r="B256" s="6" t="s">
        <v>7</v>
      </c>
      <c r="C256" s="25">
        <v>1</v>
      </c>
      <c r="D256" s="19">
        <v>1</v>
      </c>
      <c r="E256" s="55">
        <f t="shared" si="110"/>
        <v>2</v>
      </c>
      <c r="F256" s="31"/>
      <c r="G256" s="7"/>
      <c r="H256" s="64">
        <f t="shared" si="111"/>
        <v>0</v>
      </c>
      <c r="I256" s="38">
        <f t="shared" si="112"/>
        <v>2</v>
      </c>
      <c r="J256" s="36">
        <v>45391</v>
      </c>
      <c r="L256" s="6" t="s">
        <v>32</v>
      </c>
      <c r="M256" s="25">
        <v>10</v>
      </c>
      <c r="N256" s="19">
        <v>10</v>
      </c>
      <c r="O256" s="55">
        <f t="shared" si="113"/>
        <v>20</v>
      </c>
      <c r="P256" s="31"/>
      <c r="Q256" s="7">
        <v>10</v>
      </c>
      <c r="R256" s="64">
        <f t="shared" si="114"/>
        <v>10</v>
      </c>
      <c r="S256" s="38">
        <f t="shared" si="115"/>
        <v>30</v>
      </c>
      <c r="T256" s="78">
        <v>45420</v>
      </c>
    </row>
    <row r="257" spans="2:19" x14ac:dyDescent="0.15">
      <c r="B257" s="6" t="s">
        <v>96</v>
      </c>
      <c r="C257" s="25"/>
      <c r="D257" s="19"/>
      <c r="E257" s="55">
        <f t="shared" si="110"/>
        <v>0</v>
      </c>
      <c r="F257" s="31"/>
      <c r="G257" s="7">
        <v>1</v>
      </c>
      <c r="H257" s="64">
        <f t="shared" si="111"/>
        <v>1</v>
      </c>
      <c r="I257" s="38">
        <f t="shared" si="112"/>
        <v>1</v>
      </c>
      <c r="J257" s="36">
        <v>45391</v>
      </c>
      <c r="L257" s="6"/>
      <c r="M257" s="25"/>
      <c r="N257" s="19"/>
      <c r="O257" s="55">
        <f t="shared" si="113"/>
        <v>0</v>
      </c>
      <c r="P257" s="31"/>
      <c r="Q257" s="7"/>
      <c r="R257" s="64">
        <f t="shared" si="114"/>
        <v>0</v>
      </c>
      <c r="S257" s="38">
        <f t="shared" si="115"/>
        <v>0</v>
      </c>
    </row>
    <row r="258" spans="2:19" x14ac:dyDescent="0.15">
      <c r="B258" s="6" t="s">
        <v>45</v>
      </c>
      <c r="C258" s="25"/>
      <c r="D258" s="19"/>
      <c r="E258" s="55">
        <f t="shared" si="110"/>
        <v>0</v>
      </c>
      <c r="F258" s="31">
        <v>1</v>
      </c>
      <c r="G258" s="7"/>
      <c r="H258" s="64">
        <f t="shared" si="111"/>
        <v>1</v>
      </c>
      <c r="I258" s="38">
        <f t="shared" si="112"/>
        <v>1</v>
      </c>
      <c r="J258" s="36">
        <v>45394</v>
      </c>
      <c r="L258" s="6"/>
      <c r="M258" s="25"/>
      <c r="N258" s="19"/>
      <c r="O258" s="55">
        <f t="shared" si="113"/>
        <v>0</v>
      </c>
      <c r="P258" s="31"/>
      <c r="Q258" s="7"/>
      <c r="R258" s="64">
        <f t="shared" si="114"/>
        <v>0</v>
      </c>
      <c r="S258" s="38">
        <f t="shared" si="115"/>
        <v>0</v>
      </c>
    </row>
    <row r="259" spans="2:19" x14ac:dyDescent="0.15">
      <c r="B259" s="6" t="s">
        <v>47</v>
      </c>
      <c r="C259" s="25">
        <v>1</v>
      </c>
      <c r="D259" s="19"/>
      <c r="E259" s="55">
        <f t="shared" si="110"/>
        <v>1</v>
      </c>
      <c r="F259" s="31"/>
      <c r="G259" s="7"/>
      <c r="H259" s="64">
        <f t="shared" si="111"/>
        <v>0</v>
      </c>
      <c r="I259" s="38">
        <f t="shared" si="112"/>
        <v>1</v>
      </c>
      <c r="J259" s="36">
        <v>45394</v>
      </c>
      <c r="L259" s="6"/>
      <c r="M259" s="28"/>
      <c r="N259" s="22"/>
      <c r="O259" s="55">
        <f t="shared" si="113"/>
        <v>0</v>
      </c>
      <c r="P259" s="33"/>
      <c r="Q259" s="8"/>
      <c r="R259" s="64">
        <f t="shared" si="114"/>
        <v>0</v>
      </c>
      <c r="S259" s="38">
        <f t="shared" si="115"/>
        <v>0</v>
      </c>
    </row>
    <row r="260" spans="2:19" x14ac:dyDescent="0.15">
      <c r="B260" s="6" t="s">
        <v>25</v>
      </c>
      <c r="C260" s="25"/>
      <c r="D260" s="19">
        <v>3</v>
      </c>
      <c r="E260" s="55">
        <f t="shared" si="110"/>
        <v>3</v>
      </c>
      <c r="F260" s="31">
        <v>1</v>
      </c>
      <c r="G260" s="7"/>
      <c r="H260" s="64">
        <f t="shared" si="111"/>
        <v>1</v>
      </c>
      <c r="I260" s="38">
        <f t="shared" si="112"/>
        <v>4</v>
      </c>
      <c r="J260" s="36">
        <v>45394</v>
      </c>
      <c r="L260" s="6"/>
      <c r="M260" s="28"/>
      <c r="N260" s="22"/>
      <c r="O260" s="55">
        <f t="shared" si="104"/>
        <v>0</v>
      </c>
      <c r="P260" s="33"/>
      <c r="Q260" s="8"/>
      <c r="R260" s="64">
        <f t="shared" si="105"/>
        <v>0</v>
      </c>
      <c r="S260" s="38">
        <f t="shared" si="106"/>
        <v>0</v>
      </c>
    </row>
    <row r="261" spans="2:19" x14ac:dyDescent="0.15">
      <c r="B261" s="6" t="s">
        <v>48</v>
      </c>
      <c r="C261" s="25">
        <v>1</v>
      </c>
      <c r="D261" s="19"/>
      <c r="E261" s="55">
        <f t="shared" si="110"/>
        <v>1</v>
      </c>
      <c r="F261" s="31"/>
      <c r="G261" s="7"/>
      <c r="H261" s="64">
        <f t="shared" si="111"/>
        <v>0</v>
      </c>
      <c r="I261" s="38">
        <f t="shared" si="112"/>
        <v>1</v>
      </c>
      <c r="J261" s="36">
        <v>45399</v>
      </c>
      <c r="L261" s="6"/>
      <c r="M261" s="28"/>
      <c r="N261" s="22"/>
      <c r="O261" s="55">
        <f t="shared" si="104"/>
        <v>0</v>
      </c>
      <c r="P261" s="33"/>
      <c r="Q261" s="8"/>
      <c r="R261" s="64">
        <f t="shared" si="105"/>
        <v>0</v>
      </c>
      <c r="S261" s="38">
        <f t="shared" si="106"/>
        <v>0</v>
      </c>
    </row>
    <row r="262" spans="2:19" x14ac:dyDescent="0.15">
      <c r="B262" s="6" t="s">
        <v>7</v>
      </c>
      <c r="C262" s="25">
        <v>2</v>
      </c>
      <c r="D262" s="19">
        <v>2</v>
      </c>
      <c r="E262" s="55">
        <f t="shared" si="110"/>
        <v>4</v>
      </c>
      <c r="F262" s="31">
        <v>1</v>
      </c>
      <c r="G262" s="7">
        <v>2</v>
      </c>
      <c r="H262" s="64">
        <f t="shared" si="111"/>
        <v>3</v>
      </c>
      <c r="I262" s="38">
        <f t="shared" si="112"/>
        <v>7</v>
      </c>
      <c r="J262" s="36">
        <v>45397</v>
      </c>
      <c r="L262" s="6"/>
      <c r="M262" s="28"/>
      <c r="N262" s="22"/>
      <c r="O262" s="55">
        <f t="shared" si="104"/>
        <v>0</v>
      </c>
      <c r="P262" s="33"/>
      <c r="Q262" s="8"/>
      <c r="R262" s="64">
        <f t="shared" si="105"/>
        <v>0</v>
      </c>
      <c r="S262" s="38">
        <f t="shared" si="106"/>
        <v>0</v>
      </c>
    </row>
    <row r="263" spans="2:19" x14ac:dyDescent="0.15">
      <c r="B263" s="6" t="s">
        <v>49</v>
      </c>
      <c r="C263" s="25">
        <v>1</v>
      </c>
      <c r="D263" s="19"/>
      <c r="E263" s="55">
        <f t="shared" si="110"/>
        <v>1</v>
      </c>
      <c r="F263" s="31"/>
      <c r="G263" s="7"/>
      <c r="H263" s="64">
        <f t="shared" si="111"/>
        <v>0</v>
      </c>
      <c r="I263" s="38">
        <f t="shared" si="112"/>
        <v>1</v>
      </c>
      <c r="J263" s="36">
        <v>45400</v>
      </c>
      <c r="L263" s="6"/>
      <c r="M263" s="28"/>
      <c r="N263" s="22"/>
      <c r="O263" s="55">
        <f t="shared" si="104"/>
        <v>0</v>
      </c>
      <c r="P263" s="33"/>
      <c r="Q263" s="8"/>
      <c r="R263" s="64">
        <f t="shared" si="105"/>
        <v>0</v>
      </c>
      <c r="S263" s="38">
        <f t="shared" si="106"/>
        <v>0</v>
      </c>
    </row>
    <row r="264" spans="2:19" x14ac:dyDescent="0.15">
      <c r="B264" s="6" t="s">
        <v>50</v>
      </c>
      <c r="C264" s="25"/>
      <c r="D264" s="19"/>
      <c r="E264" s="55">
        <f t="shared" si="110"/>
        <v>0</v>
      </c>
      <c r="F264" s="31">
        <v>2</v>
      </c>
      <c r="G264" s="7"/>
      <c r="H264" s="64">
        <f t="shared" si="111"/>
        <v>2</v>
      </c>
      <c r="I264" s="38">
        <f t="shared" si="112"/>
        <v>2</v>
      </c>
      <c r="J264" s="36">
        <v>45401</v>
      </c>
      <c r="L264" s="6"/>
      <c r="M264" s="28"/>
      <c r="N264" s="22"/>
      <c r="O264" s="55">
        <f t="shared" si="104"/>
        <v>0</v>
      </c>
      <c r="P264" s="33"/>
      <c r="Q264" s="8"/>
      <c r="R264" s="64">
        <f t="shared" si="105"/>
        <v>0</v>
      </c>
      <c r="S264" s="38">
        <f t="shared" si="106"/>
        <v>0</v>
      </c>
    </row>
    <row r="265" spans="2:19" x14ac:dyDescent="0.15">
      <c r="B265" s="6" t="s">
        <v>51</v>
      </c>
      <c r="C265" s="25">
        <v>1</v>
      </c>
      <c r="D265" s="19"/>
      <c r="E265" s="55">
        <f t="shared" si="110"/>
        <v>1</v>
      </c>
      <c r="F265" s="31">
        <v>1</v>
      </c>
      <c r="G265" s="7">
        <v>2</v>
      </c>
      <c r="H265" s="64">
        <f t="shared" si="111"/>
        <v>3</v>
      </c>
      <c r="I265" s="38">
        <f t="shared" si="112"/>
        <v>4</v>
      </c>
      <c r="J265" s="36">
        <v>45401</v>
      </c>
      <c r="L265" s="6"/>
      <c r="M265" s="28"/>
      <c r="N265" s="22"/>
      <c r="O265" s="55">
        <f t="shared" ref="O265:O276" si="116">SUM(M265:N265)</f>
        <v>0</v>
      </c>
      <c r="P265" s="33"/>
      <c r="Q265" s="8"/>
      <c r="R265" s="64">
        <f t="shared" ref="R265:R276" si="117">SUM(P265:Q265)</f>
        <v>0</v>
      </c>
      <c r="S265" s="38">
        <f t="shared" ref="S265:S276" si="118">O265+R265</f>
        <v>0</v>
      </c>
    </row>
    <row r="266" spans="2:19" x14ac:dyDescent="0.15">
      <c r="B266" s="6" t="s">
        <v>7</v>
      </c>
      <c r="C266" s="25">
        <v>1</v>
      </c>
      <c r="D266" s="19"/>
      <c r="E266" s="55">
        <f t="shared" si="110"/>
        <v>1</v>
      </c>
      <c r="F266" s="31">
        <f>1+1</f>
        <v>2</v>
      </c>
      <c r="G266" s="7"/>
      <c r="H266" s="64">
        <f t="shared" si="111"/>
        <v>2</v>
      </c>
      <c r="I266" s="38">
        <f t="shared" si="112"/>
        <v>3</v>
      </c>
      <c r="J266" s="36">
        <v>45401</v>
      </c>
      <c r="L266" s="6"/>
      <c r="M266" s="28"/>
      <c r="N266" s="22"/>
      <c r="O266" s="55">
        <f t="shared" si="116"/>
        <v>0</v>
      </c>
      <c r="P266" s="33"/>
      <c r="Q266" s="8"/>
      <c r="R266" s="64">
        <f t="shared" si="117"/>
        <v>0</v>
      </c>
      <c r="S266" s="38">
        <f t="shared" si="118"/>
        <v>0</v>
      </c>
    </row>
    <row r="267" spans="2:19" x14ac:dyDescent="0.15">
      <c r="B267" s="6" t="s">
        <v>25</v>
      </c>
      <c r="C267" s="25"/>
      <c r="D267" s="19">
        <v>5</v>
      </c>
      <c r="E267" s="55">
        <f t="shared" si="110"/>
        <v>5</v>
      </c>
      <c r="F267" s="31">
        <v>2</v>
      </c>
      <c r="G267" s="7"/>
      <c r="H267" s="64">
        <f t="shared" si="111"/>
        <v>2</v>
      </c>
      <c r="I267" s="38">
        <f t="shared" si="112"/>
        <v>7</v>
      </c>
      <c r="J267" s="36">
        <v>45402</v>
      </c>
      <c r="L267" s="6"/>
      <c r="M267" s="28"/>
      <c r="N267" s="22"/>
      <c r="O267" s="55">
        <f t="shared" si="116"/>
        <v>0</v>
      </c>
      <c r="P267" s="33"/>
      <c r="Q267" s="8"/>
      <c r="R267" s="64">
        <f t="shared" si="117"/>
        <v>0</v>
      </c>
      <c r="S267" s="38">
        <f t="shared" si="118"/>
        <v>0</v>
      </c>
    </row>
    <row r="268" spans="2:19" x14ac:dyDescent="0.15">
      <c r="B268" s="6" t="s">
        <v>53</v>
      </c>
      <c r="C268" s="25">
        <v>1</v>
      </c>
      <c r="D268" s="19"/>
      <c r="E268" s="55">
        <f t="shared" si="110"/>
        <v>1</v>
      </c>
      <c r="F268" s="31">
        <v>1</v>
      </c>
      <c r="G268" s="7"/>
      <c r="H268" s="64">
        <f t="shared" si="111"/>
        <v>1</v>
      </c>
      <c r="I268" s="38">
        <f t="shared" si="112"/>
        <v>2</v>
      </c>
      <c r="J268" s="36">
        <v>45406</v>
      </c>
      <c r="L268" s="6"/>
      <c r="M268" s="28"/>
      <c r="N268" s="22"/>
      <c r="O268" s="55">
        <f t="shared" si="116"/>
        <v>0</v>
      </c>
      <c r="P268" s="33"/>
      <c r="Q268" s="8"/>
      <c r="R268" s="64">
        <f t="shared" si="117"/>
        <v>0</v>
      </c>
      <c r="S268" s="38">
        <f t="shared" si="118"/>
        <v>0</v>
      </c>
    </row>
    <row r="269" spans="2:19" x14ac:dyDescent="0.15">
      <c r="B269" s="6" t="s">
        <v>25</v>
      </c>
      <c r="C269" s="25"/>
      <c r="D269" s="19"/>
      <c r="E269" s="55">
        <f t="shared" si="110"/>
        <v>0</v>
      </c>
      <c r="F269" s="31"/>
      <c r="G269" s="7">
        <v>1</v>
      </c>
      <c r="H269" s="64">
        <f t="shared" si="111"/>
        <v>1</v>
      </c>
      <c r="I269" s="38">
        <f t="shared" si="112"/>
        <v>1</v>
      </c>
      <c r="J269" s="36">
        <v>45405</v>
      </c>
      <c r="L269" s="6"/>
      <c r="M269" s="28"/>
      <c r="N269" s="22"/>
      <c r="O269" s="55">
        <f t="shared" si="116"/>
        <v>0</v>
      </c>
      <c r="P269" s="33"/>
      <c r="Q269" s="8"/>
      <c r="R269" s="64">
        <f t="shared" si="117"/>
        <v>0</v>
      </c>
      <c r="S269" s="38">
        <f t="shared" si="118"/>
        <v>0</v>
      </c>
    </row>
    <row r="270" spans="2:19" x14ac:dyDescent="0.15">
      <c r="B270" s="6" t="s">
        <v>7</v>
      </c>
      <c r="C270" s="25"/>
      <c r="D270" s="19">
        <v>4</v>
      </c>
      <c r="E270" s="55">
        <f t="shared" si="110"/>
        <v>4</v>
      </c>
      <c r="F270" s="31"/>
      <c r="G270" s="7">
        <v>1</v>
      </c>
      <c r="H270" s="64">
        <f t="shared" si="111"/>
        <v>1</v>
      </c>
      <c r="I270" s="38">
        <f t="shared" si="112"/>
        <v>5</v>
      </c>
      <c r="J270" s="36">
        <v>45404</v>
      </c>
      <c r="L270" s="6"/>
      <c r="M270" s="28"/>
      <c r="N270" s="22"/>
      <c r="O270" s="55">
        <f t="shared" si="116"/>
        <v>0</v>
      </c>
      <c r="P270" s="33"/>
      <c r="Q270" s="8"/>
      <c r="R270" s="64">
        <f t="shared" si="117"/>
        <v>0</v>
      </c>
      <c r="S270" s="38">
        <f t="shared" si="118"/>
        <v>0</v>
      </c>
    </row>
    <row r="271" spans="2:19" x14ac:dyDescent="0.15">
      <c r="B271" s="6" t="s">
        <v>54</v>
      </c>
      <c r="C271" s="25">
        <v>1</v>
      </c>
      <c r="D271" s="19"/>
      <c r="E271" s="55">
        <f t="shared" si="110"/>
        <v>1</v>
      </c>
      <c r="F271" s="31"/>
      <c r="G271" s="7"/>
      <c r="H271" s="64">
        <f t="shared" si="111"/>
        <v>0</v>
      </c>
      <c r="I271" s="38">
        <f t="shared" si="112"/>
        <v>1</v>
      </c>
      <c r="J271" s="36">
        <v>45407</v>
      </c>
      <c r="L271" s="6"/>
      <c r="M271" s="28"/>
      <c r="N271" s="22"/>
      <c r="O271" s="55">
        <f t="shared" si="116"/>
        <v>0</v>
      </c>
      <c r="P271" s="33"/>
      <c r="Q271" s="8"/>
      <c r="R271" s="64">
        <f t="shared" si="117"/>
        <v>0</v>
      </c>
      <c r="S271" s="38">
        <f t="shared" si="118"/>
        <v>0</v>
      </c>
    </row>
    <row r="272" spans="2:19" x14ac:dyDescent="0.15">
      <c r="B272" s="6" t="s">
        <v>7</v>
      </c>
      <c r="C272" s="25"/>
      <c r="D272" s="19">
        <v>1</v>
      </c>
      <c r="E272" s="55">
        <f t="shared" si="110"/>
        <v>1</v>
      </c>
      <c r="F272" s="31"/>
      <c r="G272" s="7"/>
      <c r="H272" s="64">
        <f t="shared" si="111"/>
        <v>0</v>
      </c>
      <c r="I272" s="38">
        <f t="shared" si="112"/>
        <v>1</v>
      </c>
      <c r="J272" s="36">
        <v>45405</v>
      </c>
      <c r="L272" s="6"/>
      <c r="M272" s="28"/>
      <c r="N272" s="22"/>
      <c r="O272" s="55">
        <f t="shared" si="116"/>
        <v>0</v>
      </c>
      <c r="P272" s="33"/>
      <c r="Q272" s="8"/>
      <c r="R272" s="64">
        <f t="shared" si="117"/>
        <v>0</v>
      </c>
      <c r="S272" s="38">
        <f t="shared" si="118"/>
        <v>0</v>
      </c>
    </row>
    <row r="273" spans="2:20" x14ac:dyDescent="0.15">
      <c r="B273" s="6" t="s">
        <v>55</v>
      </c>
      <c r="C273" s="25">
        <v>1</v>
      </c>
      <c r="D273" s="19"/>
      <c r="E273" s="55">
        <f t="shared" si="110"/>
        <v>1</v>
      </c>
      <c r="F273" s="31">
        <v>1</v>
      </c>
      <c r="G273" s="7"/>
      <c r="H273" s="64">
        <f t="shared" si="111"/>
        <v>1</v>
      </c>
      <c r="I273" s="38">
        <f t="shared" si="112"/>
        <v>2</v>
      </c>
      <c r="J273" s="36">
        <v>45407</v>
      </c>
      <c r="L273" s="6"/>
      <c r="M273" s="28"/>
      <c r="N273" s="22"/>
      <c r="O273" s="55">
        <f t="shared" si="116"/>
        <v>0</v>
      </c>
      <c r="P273" s="33"/>
      <c r="Q273" s="8"/>
      <c r="R273" s="64">
        <f t="shared" si="117"/>
        <v>0</v>
      </c>
      <c r="S273" s="38">
        <f t="shared" si="118"/>
        <v>0</v>
      </c>
    </row>
    <row r="274" spans="2:20" x14ac:dyDescent="0.15">
      <c r="B274" s="6" t="s">
        <v>25</v>
      </c>
      <c r="C274" s="25"/>
      <c r="D274" s="19">
        <v>3</v>
      </c>
      <c r="E274" s="55">
        <f t="shared" si="110"/>
        <v>3</v>
      </c>
      <c r="F274" s="31"/>
      <c r="G274" s="7"/>
      <c r="H274" s="64">
        <f t="shared" si="111"/>
        <v>0</v>
      </c>
      <c r="I274" s="38">
        <f t="shared" si="112"/>
        <v>3</v>
      </c>
      <c r="J274" s="36">
        <v>45408</v>
      </c>
      <c r="L274" s="6"/>
      <c r="M274" s="28"/>
      <c r="N274" s="22"/>
      <c r="O274" s="55">
        <f t="shared" si="116"/>
        <v>0</v>
      </c>
      <c r="P274" s="33"/>
      <c r="Q274" s="8"/>
      <c r="R274" s="64">
        <f t="shared" si="117"/>
        <v>0</v>
      </c>
      <c r="S274" s="38">
        <f t="shared" si="118"/>
        <v>0</v>
      </c>
    </row>
    <row r="275" spans="2:20" x14ac:dyDescent="0.15">
      <c r="B275" s="6" t="s">
        <v>7</v>
      </c>
      <c r="C275" s="25">
        <v>1</v>
      </c>
      <c r="D275" s="19"/>
      <c r="E275" s="55">
        <f t="shared" si="101"/>
        <v>1</v>
      </c>
      <c r="F275" s="31"/>
      <c r="G275" s="7"/>
      <c r="H275" s="64">
        <f t="shared" si="102"/>
        <v>0</v>
      </c>
      <c r="I275" s="38">
        <f t="shared" si="103"/>
        <v>1</v>
      </c>
      <c r="J275" s="36">
        <v>45407</v>
      </c>
      <c r="L275" s="6"/>
      <c r="M275" s="25"/>
      <c r="N275" s="19"/>
      <c r="O275" s="55">
        <f t="shared" si="116"/>
        <v>0</v>
      </c>
      <c r="P275" s="31"/>
      <c r="Q275" s="7"/>
      <c r="R275" s="64">
        <f t="shared" si="117"/>
        <v>0</v>
      </c>
      <c r="S275" s="38">
        <f t="shared" si="118"/>
        <v>0</v>
      </c>
    </row>
    <row r="276" spans="2:20" ht="14.25" thickBot="1" x14ac:dyDescent="0.2">
      <c r="B276" s="6" t="s">
        <v>58</v>
      </c>
      <c r="C276" s="25"/>
      <c r="D276" s="19"/>
      <c r="E276" s="55">
        <f t="shared" si="101"/>
        <v>0</v>
      </c>
      <c r="F276" s="31">
        <v>1</v>
      </c>
      <c r="G276" s="7">
        <v>1</v>
      </c>
      <c r="H276" s="64">
        <f t="shared" si="102"/>
        <v>2</v>
      </c>
      <c r="I276" s="38">
        <f t="shared" si="103"/>
        <v>2</v>
      </c>
      <c r="J276" s="36">
        <v>45412</v>
      </c>
      <c r="L276" s="6" t="s">
        <v>92</v>
      </c>
      <c r="M276" s="25"/>
      <c r="N276" s="19"/>
      <c r="O276" s="55">
        <f t="shared" si="116"/>
        <v>0</v>
      </c>
      <c r="P276" s="31"/>
      <c r="Q276" s="7"/>
      <c r="R276" s="64">
        <f t="shared" si="117"/>
        <v>0</v>
      </c>
      <c r="S276" s="38">
        <f t="shared" si="118"/>
        <v>0</v>
      </c>
      <c r="T276" t="s">
        <v>93</v>
      </c>
    </row>
    <row r="277" spans="2:20" ht="14.25" thickBot="1" x14ac:dyDescent="0.2">
      <c r="B277" s="4" t="s">
        <v>1</v>
      </c>
      <c r="C277" s="27">
        <f>SUM(C252:C276)</f>
        <v>21</v>
      </c>
      <c r="D277" s="21">
        <f>SUM(D252:D276)</f>
        <v>23</v>
      </c>
      <c r="E277" s="57">
        <f t="shared" si="101"/>
        <v>44</v>
      </c>
      <c r="F277" s="27">
        <f>SUM(F252:F276)</f>
        <v>18</v>
      </c>
      <c r="G277" s="21">
        <f>SUM(G252:G276)</f>
        <v>12</v>
      </c>
      <c r="H277" s="66">
        <f t="shared" si="102"/>
        <v>30</v>
      </c>
      <c r="I277" s="40">
        <f t="shared" si="103"/>
        <v>74</v>
      </c>
      <c r="L277" s="4" t="s">
        <v>1</v>
      </c>
      <c r="M277" s="27">
        <f>SUM(M252:M276)</f>
        <v>20</v>
      </c>
      <c r="N277" s="21">
        <f>SUM(N252:N276)</f>
        <v>30</v>
      </c>
      <c r="O277" s="57">
        <f t="shared" si="104"/>
        <v>50</v>
      </c>
      <c r="P277" s="27">
        <f>SUM(P252:P276)</f>
        <v>15</v>
      </c>
      <c r="Q277" s="21">
        <f>SUM(Q252:Q276)</f>
        <v>15</v>
      </c>
      <c r="R277" s="66">
        <f t="shared" si="105"/>
        <v>30</v>
      </c>
      <c r="S277" s="40">
        <f t="shared" si="106"/>
        <v>80</v>
      </c>
    </row>
    <row r="278" spans="2:20" ht="14.25" thickBot="1" x14ac:dyDescent="0.2">
      <c r="B278" s="3" t="s">
        <v>0</v>
      </c>
      <c r="C278" s="30">
        <f>+C251-C277</f>
        <v>11</v>
      </c>
      <c r="D278" s="2">
        <f>+D251-D277</f>
        <v>6</v>
      </c>
      <c r="E278" s="58">
        <f t="shared" si="101"/>
        <v>17</v>
      </c>
      <c r="F278" s="30">
        <f>+F251-F277</f>
        <v>14</v>
      </c>
      <c r="G278" s="2">
        <f>+G251-G277</f>
        <v>10</v>
      </c>
      <c r="H278" s="67">
        <f t="shared" si="102"/>
        <v>24</v>
      </c>
      <c r="I278" s="42">
        <f t="shared" si="103"/>
        <v>41</v>
      </c>
      <c r="L278" s="3" t="s">
        <v>0</v>
      </c>
      <c r="M278" s="30">
        <f>+M251-M277</f>
        <v>14</v>
      </c>
      <c r="N278" s="2">
        <f>+N251-N277</f>
        <v>0</v>
      </c>
      <c r="O278" s="58">
        <f t="shared" si="104"/>
        <v>14</v>
      </c>
      <c r="P278" s="30">
        <f>+P251-P277</f>
        <v>33</v>
      </c>
      <c r="Q278" s="2">
        <f>+Q251-Q277</f>
        <v>21</v>
      </c>
      <c r="R278" s="67">
        <f t="shared" si="105"/>
        <v>54</v>
      </c>
      <c r="S278" s="42">
        <f t="shared" si="106"/>
        <v>68</v>
      </c>
    </row>
    <row r="279" spans="2:20" x14ac:dyDescent="0.15">
      <c r="L279" s="1"/>
      <c r="T279" s="35"/>
    </row>
    <row r="280" spans="2:20" x14ac:dyDescent="0.15">
      <c r="B280"/>
      <c r="J280"/>
    </row>
    <row r="281" spans="2:20" ht="18.75" x14ac:dyDescent="0.2">
      <c r="B281" s="16" t="s">
        <v>21</v>
      </c>
      <c r="C281" s="15"/>
      <c r="D281" s="15"/>
      <c r="E281" s="15"/>
      <c r="F281" s="15"/>
      <c r="G281" s="15"/>
      <c r="H281" s="15"/>
      <c r="I281" s="15"/>
      <c r="L281" s="71" t="s">
        <v>22</v>
      </c>
      <c r="M281" s="72"/>
      <c r="N281" s="72"/>
      <c r="O281" s="72"/>
      <c r="P281" s="72"/>
      <c r="Q281" s="72"/>
      <c r="R281" s="72"/>
      <c r="S281" s="72"/>
      <c r="T281" s="35"/>
    </row>
    <row r="282" spans="2:20" ht="18" thickBot="1" x14ac:dyDescent="0.25">
      <c r="B282" s="17" t="s">
        <v>23</v>
      </c>
      <c r="C282" s="15"/>
      <c r="D282" s="15"/>
      <c r="E282" s="15"/>
      <c r="F282" s="15"/>
      <c r="G282" s="15"/>
      <c r="H282" s="15"/>
      <c r="I282" s="15"/>
      <c r="L282" s="73" t="s">
        <v>23</v>
      </c>
      <c r="M282" s="72"/>
      <c r="N282" s="72"/>
      <c r="O282" s="72"/>
      <c r="P282" s="72"/>
      <c r="Q282" s="72"/>
      <c r="R282" s="72"/>
      <c r="S282" s="72"/>
      <c r="T282" s="35"/>
    </row>
    <row r="283" spans="2:20" ht="14.25" thickBot="1" x14ac:dyDescent="0.2">
      <c r="B283" s="14"/>
      <c r="C283" s="113" t="s">
        <v>12</v>
      </c>
      <c r="D283" s="114"/>
      <c r="E283" s="115"/>
      <c r="F283" s="116" t="s">
        <v>11</v>
      </c>
      <c r="G283" s="117"/>
      <c r="H283" s="118"/>
      <c r="I283" s="13" t="s">
        <v>19</v>
      </c>
      <c r="L283" s="14"/>
      <c r="M283" s="113" t="s">
        <v>12</v>
      </c>
      <c r="N283" s="114"/>
      <c r="O283" s="115"/>
      <c r="P283" s="116" t="s">
        <v>11</v>
      </c>
      <c r="Q283" s="117"/>
      <c r="R283" s="118"/>
      <c r="S283" s="13" t="s">
        <v>19</v>
      </c>
    </row>
    <row r="284" spans="2:20" ht="14.25" thickBot="1" x14ac:dyDescent="0.2">
      <c r="B284" s="13"/>
      <c r="C284" s="23" t="s">
        <v>6</v>
      </c>
      <c r="D284" s="12" t="s">
        <v>5</v>
      </c>
      <c r="E284" s="50" t="s">
        <v>4</v>
      </c>
      <c r="F284" s="23" t="s">
        <v>6</v>
      </c>
      <c r="G284" s="12" t="s">
        <v>5</v>
      </c>
      <c r="H284" s="59" t="s">
        <v>4</v>
      </c>
      <c r="I284" s="49"/>
      <c r="L284" s="13"/>
      <c r="M284" s="23" t="s">
        <v>6</v>
      </c>
      <c r="N284" s="12" t="s">
        <v>5</v>
      </c>
      <c r="O284" s="50" t="s">
        <v>4</v>
      </c>
      <c r="P284" s="23" t="s">
        <v>6</v>
      </c>
      <c r="Q284" s="12" t="s">
        <v>5</v>
      </c>
      <c r="R284" s="59" t="s">
        <v>4</v>
      </c>
      <c r="S284" s="49"/>
    </row>
    <row r="285" spans="2:20" x14ac:dyDescent="0.15">
      <c r="B285" s="46" t="s">
        <v>0</v>
      </c>
      <c r="C285" s="47">
        <f t="shared" ref="C285:H285" si="119">C278</f>
        <v>11</v>
      </c>
      <c r="D285" s="48">
        <f t="shared" si="119"/>
        <v>6</v>
      </c>
      <c r="E285" s="68">
        <f t="shared" si="119"/>
        <v>17</v>
      </c>
      <c r="F285" s="47">
        <f t="shared" si="119"/>
        <v>14</v>
      </c>
      <c r="G285" s="48">
        <f t="shared" si="119"/>
        <v>10</v>
      </c>
      <c r="H285" s="69">
        <f t="shared" si="119"/>
        <v>24</v>
      </c>
      <c r="I285" s="41">
        <f>E285+H285</f>
        <v>41</v>
      </c>
      <c r="J285" s="36"/>
      <c r="L285" s="46" t="s">
        <v>0</v>
      </c>
      <c r="M285" s="47">
        <f t="shared" ref="M285:R285" si="120">M278</f>
        <v>14</v>
      </c>
      <c r="N285" s="48">
        <f t="shared" si="120"/>
        <v>0</v>
      </c>
      <c r="O285" s="68">
        <f t="shared" si="120"/>
        <v>14</v>
      </c>
      <c r="P285" s="47">
        <f t="shared" si="120"/>
        <v>33</v>
      </c>
      <c r="Q285" s="48">
        <f t="shared" si="120"/>
        <v>21</v>
      </c>
      <c r="R285" s="69">
        <f t="shared" si="120"/>
        <v>54</v>
      </c>
      <c r="S285" s="41">
        <f>O285+R285</f>
        <v>68</v>
      </c>
    </row>
    <row r="286" spans="2:20" x14ac:dyDescent="0.15">
      <c r="B286" s="11" t="s">
        <v>3</v>
      </c>
      <c r="C286" s="25"/>
      <c r="D286" s="19">
        <v>10</v>
      </c>
      <c r="E286" s="52">
        <f t="shared" ref="E286:E318" si="121">SUM(C286:D286)</f>
        <v>10</v>
      </c>
      <c r="F286" s="31"/>
      <c r="G286" s="7"/>
      <c r="H286" s="61">
        <f t="shared" ref="H286:H318" si="122">SUM(F286:G286)</f>
        <v>0</v>
      </c>
      <c r="I286" s="38">
        <f t="shared" ref="I286:I318" si="123">E286+H286</f>
        <v>10</v>
      </c>
      <c r="J286" s="36">
        <v>45414</v>
      </c>
      <c r="L286" s="11" t="s">
        <v>3</v>
      </c>
      <c r="M286" s="25">
        <v>30</v>
      </c>
      <c r="N286" s="19">
        <v>60</v>
      </c>
      <c r="O286" s="52">
        <f t="shared" ref="O286:O318" si="124">SUM(M286:N286)</f>
        <v>90</v>
      </c>
      <c r="P286" s="31">
        <v>15</v>
      </c>
      <c r="Q286" s="7">
        <v>25</v>
      </c>
      <c r="R286" s="61">
        <f t="shared" ref="R286:R318" si="125">SUM(P286:Q286)</f>
        <v>40</v>
      </c>
      <c r="S286" s="38">
        <f t="shared" ref="S286:S318" si="126">O286+R286</f>
        <v>130</v>
      </c>
      <c r="T286" s="78" t="s">
        <v>99</v>
      </c>
    </row>
    <row r="287" spans="2:20" x14ac:dyDescent="0.15">
      <c r="B287" s="11" t="s">
        <v>3</v>
      </c>
      <c r="C287" s="25">
        <v>10</v>
      </c>
      <c r="D287" s="19">
        <v>10</v>
      </c>
      <c r="E287" s="52">
        <f t="shared" si="121"/>
        <v>20</v>
      </c>
      <c r="F287" s="31"/>
      <c r="G287" s="7">
        <v>10</v>
      </c>
      <c r="H287" s="61">
        <f t="shared" si="122"/>
        <v>10</v>
      </c>
      <c r="I287" s="38">
        <f t="shared" si="123"/>
        <v>30</v>
      </c>
      <c r="J287" s="36">
        <v>45420</v>
      </c>
      <c r="L287" s="11" t="s">
        <v>3</v>
      </c>
      <c r="M287" s="25"/>
      <c r="N287" s="19"/>
      <c r="O287" s="52">
        <f t="shared" si="124"/>
        <v>0</v>
      </c>
      <c r="P287" s="31"/>
      <c r="Q287" s="7"/>
      <c r="R287" s="61">
        <f t="shared" si="125"/>
        <v>0</v>
      </c>
      <c r="S287" s="38">
        <f t="shared" si="126"/>
        <v>0</v>
      </c>
    </row>
    <row r="288" spans="2:20" x14ac:dyDescent="0.15">
      <c r="B288" s="11" t="s">
        <v>3</v>
      </c>
      <c r="C288" s="25">
        <v>5</v>
      </c>
      <c r="D288" s="19">
        <v>5</v>
      </c>
      <c r="E288" s="52">
        <f t="shared" si="121"/>
        <v>10</v>
      </c>
      <c r="F288" s="31">
        <v>5</v>
      </c>
      <c r="G288" s="7">
        <v>5</v>
      </c>
      <c r="H288" s="61">
        <f t="shared" si="122"/>
        <v>10</v>
      </c>
      <c r="I288" s="38">
        <f t="shared" si="123"/>
        <v>20</v>
      </c>
      <c r="J288" s="36">
        <v>45423</v>
      </c>
      <c r="L288" s="11" t="s">
        <v>3</v>
      </c>
      <c r="M288" s="25"/>
      <c r="N288" s="19"/>
      <c r="O288" s="52">
        <f t="shared" si="124"/>
        <v>0</v>
      </c>
      <c r="P288" s="31"/>
      <c r="Q288" s="7"/>
      <c r="R288" s="61">
        <f t="shared" si="125"/>
        <v>0</v>
      </c>
      <c r="S288" s="38">
        <f t="shared" si="126"/>
        <v>0</v>
      </c>
    </row>
    <row r="289" spans="2:20" x14ac:dyDescent="0.15">
      <c r="B289" s="11" t="s">
        <v>3</v>
      </c>
      <c r="C289" s="25"/>
      <c r="D289" s="19">
        <v>10</v>
      </c>
      <c r="E289" s="52">
        <f t="shared" si="121"/>
        <v>10</v>
      </c>
      <c r="F289" s="31"/>
      <c r="G289" s="7"/>
      <c r="H289" s="61">
        <f t="shared" si="122"/>
        <v>0</v>
      </c>
      <c r="I289" s="38">
        <f t="shared" si="123"/>
        <v>10</v>
      </c>
      <c r="J289" s="36">
        <v>45426</v>
      </c>
      <c r="L289" s="11" t="s">
        <v>3</v>
      </c>
      <c r="M289" s="25"/>
      <c r="N289" s="19"/>
      <c r="O289" s="52">
        <f t="shared" si="124"/>
        <v>0</v>
      </c>
      <c r="P289" s="31"/>
      <c r="Q289" s="7"/>
      <c r="R289" s="61">
        <f t="shared" si="125"/>
        <v>0</v>
      </c>
      <c r="S289" s="38">
        <f t="shared" si="126"/>
        <v>0</v>
      </c>
    </row>
    <row r="290" spans="2:20" ht="14.25" thickBot="1" x14ac:dyDescent="0.2">
      <c r="B290" s="10" t="s">
        <v>3</v>
      </c>
      <c r="C290" s="26"/>
      <c r="D290" s="20"/>
      <c r="E290" s="53">
        <f t="shared" si="121"/>
        <v>0</v>
      </c>
      <c r="F290" s="32"/>
      <c r="G290" s="5">
        <v>5</v>
      </c>
      <c r="H290" s="62">
        <f t="shared" si="122"/>
        <v>5</v>
      </c>
      <c r="I290" s="39">
        <f t="shared" si="123"/>
        <v>5</v>
      </c>
      <c r="J290" s="36">
        <v>45434</v>
      </c>
      <c r="L290" s="10" t="s">
        <v>3</v>
      </c>
      <c r="M290" s="26"/>
      <c r="N290" s="20"/>
      <c r="O290" s="53">
        <f t="shared" si="124"/>
        <v>0</v>
      </c>
      <c r="P290" s="32"/>
      <c r="Q290" s="5"/>
      <c r="R290" s="62">
        <f t="shared" si="125"/>
        <v>0</v>
      </c>
      <c r="S290" s="39">
        <f t="shared" si="126"/>
        <v>0</v>
      </c>
    </row>
    <row r="291" spans="2:20" ht="14.25" thickBot="1" x14ac:dyDescent="0.2">
      <c r="B291" s="43" t="s">
        <v>2</v>
      </c>
      <c r="C291" s="44">
        <f>SUM(C285:C290)</f>
        <v>26</v>
      </c>
      <c r="D291" s="45">
        <f>SUM(D285:D290)</f>
        <v>41</v>
      </c>
      <c r="E291" s="54">
        <f t="shared" si="121"/>
        <v>67</v>
      </c>
      <c r="F291" s="44">
        <f>SUM(F285:F290)</f>
        <v>19</v>
      </c>
      <c r="G291" s="45">
        <f>SUM(G285:G290)</f>
        <v>30</v>
      </c>
      <c r="H291" s="63">
        <f t="shared" si="122"/>
        <v>49</v>
      </c>
      <c r="I291" s="42">
        <f t="shared" si="123"/>
        <v>116</v>
      </c>
      <c r="L291" s="43" t="s">
        <v>2</v>
      </c>
      <c r="M291" s="44">
        <f>SUM(M285:M290)</f>
        <v>44</v>
      </c>
      <c r="N291" s="45">
        <f>SUM(N285:N290)</f>
        <v>60</v>
      </c>
      <c r="O291" s="54">
        <f t="shared" si="124"/>
        <v>104</v>
      </c>
      <c r="P291" s="44">
        <f>SUM(P285:P290)</f>
        <v>48</v>
      </c>
      <c r="Q291" s="45">
        <f>SUM(Q285:Q290)</f>
        <v>46</v>
      </c>
      <c r="R291" s="63">
        <f t="shared" si="125"/>
        <v>94</v>
      </c>
      <c r="S291" s="42">
        <f t="shared" si="126"/>
        <v>198</v>
      </c>
    </row>
    <row r="292" spans="2:20" x14ac:dyDescent="0.15">
      <c r="B292" s="6" t="s">
        <v>98</v>
      </c>
      <c r="C292" s="25">
        <v>3</v>
      </c>
      <c r="D292" s="19"/>
      <c r="E292" s="55">
        <f t="shared" ref="E292:E314" si="127">SUM(C292:D292)</f>
        <v>3</v>
      </c>
      <c r="F292" s="31"/>
      <c r="G292" s="7"/>
      <c r="H292" s="64">
        <f t="shared" ref="H292:H314" si="128">SUM(F292:G292)</f>
        <v>0</v>
      </c>
      <c r="I292" s="38">
        <f t="shared" ref="I292:I314" si="129">E292+H292</f>
        <v>3</v>
      </c>
      <c r="J292" s="36">
        <v>45413</v>
      </c>
      <c r="L292" s="6" t="s">
        <v>61</v>
      </c>
      <c r="M292" s="25">
        <v>9</v>
      </c>
      <c r="N292" s="19">
        <v>10</v>
      </c>
      <c r="O292" s="55">
        <f t="shared" ref="O292:O299" si="130">SUM(M292:N292)</f>
        <v>19</v>
      </c>
      <c r="P292" s="31">
        <v>10</v>
      </c>
      <c r="Q292" s="7">
        <v>12</v>
      </c>
      <c r="R292" s="64">
        <f t="shared" ref="R292:R299" si="131">SUM(P292:Q292)</f>
        <v>22</v>
      </c>
      <c r="S292" s="38">
        <f t="shared" ref="S292:S299" si="132">O292+R292</f>
        <v>41</v>
      </c>
      <c r="T292" s="78">
        <v>45419</v>
      </c>
    </row>
    <row r="293" spans="2:20" x14ac:dyDescent="0.15">
      <c r="B293" s="6" t="s">
        <v>7</v>
      </c>
      <c r="C293" s="25"/>
      <c r="D293" s="19">
        <v>1</v>
      </c>
      <c r="E293" s="55">
        <f t="shared" si="127"/>
        <v>1</v>
      </c>
      <c r="F293" s="31"/>
      <c r="G293" s="7">
        <f>1+1</f>
        <v>2</v>
      </c>
      <c r="H293" s="64">
        <f t="shared" si="128"/>
        <v>2</v>
      </c>
      <c r="I293" s="38">
        <f t="shared" si="129"/>
        <v>3</v>
      </c>
      <c r="J293" s="36">
        <v>45412</v>
      </c>
      <c r="L293" s="6" t="s">
        <v>32</v>
      </c>
      <c r="M293" s="25">
        <v>5</v>
      </c>
      <c r="N293" s="19">
        <v>5</v>
      </c>
      <c r="O293" s="55">
        <f t="shared" si="130"/>
        <v>10</v>
      </c>
      <c r="P293" s="31">
        <v>5</v>
      </c>
      <c r="Q293" s="7">
        <v>5</v>
      </c>
      <c r="R293" s="64">
        <f t="shared" si="131"/>
        <v>10</v>
      </c>
      <c r="S293" s="38">
        <f t="shared" si="132"/>
        <v>20</v>
      </c>
      <c r="T293" s="78">
        <v>45423</v>
      </c>
    </row>
    <row r="294" spans="2:20" x14ac:dyDescent="0.15">
      <c r="B294" s="6" t="s">
        <v>60</v>
      </c>
      <c r="C294" s="25"/>
      <c r="D294" s="19"/>
      <c r="E294" s="55">
        <f t="shared" si="127"/>
        <v>0</v>
      </c>
      <c r="F294" s="31">
        <v>4</v>
      </c>
      <c r="G294" s="7"/>
      <c r="H294" s="64">
        <f t="shared" si="128"/>
        <v>4</v>
      </c>
      <c r="I294" s="38">
        <f t="shared" si="129"/>
        <v>4</v>
      </c>
      <c r="J294" s="36">
        <v>45414</v>
      </c>
      <c r="L294" s="6" t="s">
        <v>32</v>
      </c>
      <c r="M294" s="25"/>
      <c r="N294" s="19">
        <v>10</v>
      </c>
      <c r="O294" s="55">
        <f t="shared" si="130"/>
        <v>10</v>
      </c>
      <c r="P294" s="31"/>
      <c r="Q294" s="7"/>
      <c r="R294" s="64">
        <f t="shared" si="131"/>
        <v>0</v>
      </c>
      <c r="S294" s="38">
        <f t="shared" si="132"/>
        <v>10</v>
      </c>
      <c r="T294" s="78">
        <v>45426</v>
      </c>
    </row>
    <row r="295" spans="2:20" x14ac:dyDescent="0.15">
      <c r="B295" s="6" t="s">
        <v>25</v>
      </c>
      <c r="C295" s="25"/>
      <c r="D295" s="19">
        <v>3</v>
      </c>
      <c r="E295" s="55">
        <f t="shared" si="127"/>
        <v>3</v>
      </c>
      <c r="F295" s="31"/>
      <c r="G295" s="7"/>
      <c r="H295" s="64">
        <f t="shared" si="128"/>
        <v>0</v>
      </c>
      <c r="I295" s="38">
        <f t="shared" si="129"/>
        <v>3</v>
      </c>
      <c r="J295" s="36">
        <v>45413</v>
      </c>
      <c r="L295" s="6" t="s">
        <v>32</v>
      </c>
      <c r="M295" s="25"/>
      <c r="N295" s="19"/>
      <c r="O295" s="55">
        <f t="shared" si="130"/>
        <v>0</v>
      </c>
      <c r="P295" s="31"/>
      <c r="Q295" s="7">
        <v>5</v>
      </c>
      <c r="R295" s="64">
        <f t="shared" si="131"/>
        <v>5</v>
      </c>
      <c r="S295" s="38">
        <f t="shared" si="132"/>
        <v>5</v>
      </c>
      <c r="T295" s="78">
        <v>45434</v>
      </c>
    </row>
    <row r="296" spans="2:20" x14ac:dyDescent="0.15">
      <c r="B296" s="6" t="s">
        <v>7</v>
      </c>
      <c r="C296" s="25"/>
      <c r="D296" s="19">
        <v>1</v>
      </c>
      <c r="E296" s="55">
        <f t="shared" si="127"/>
        <v>1</v>
      </c>
      <c r="F296" s="31"/>
      <c r="G296" s="7"/>
      <c r="H296" s="64">
        <f t="shared" si="128"/>
        <v>0</v>
      </c>
      <c r="I296" s="38">
        <f t="shared" si="129"/>
        <v>1</v>
      </c>
      <c r="J296" s="36">
        <v>45413</v>
      </c>
      <c r="L296" s="6" t="s">
        <v>32</v>
      </c>
      <c r="M296" s="25">
        <v>5</v>
      </c>
      <c r="N296" s="19">
        <v>10</v>
      </c>
      <c r="O296" s="55">
        <f t="shared" si="130"/>
        <v>15</v>
      </c>
      <c r="P296" s="31"/>
      <c r="Q296" s="7"/>
      <c r="R296" s="64">
        <f t="shared" si="131"/>
        <v>0</v>
      </c>
      <c r="S296" s="38">
        <f t="shared" si="132"/>
        <v>15</v>
      </c>
      <c r="T296" s="78">
        <v>45437</v>
      </c>
    </row>
    <row r="297" spans="2:20" x14ac:dyDescent="0.15">
      <c r="B297" s="6" t="s">
        <v>62</v>
      </c>
      <c r="C297" s="25">
        <v>1</v>
      </c>
      <c r="D297" s="19">
        <v>8</v>
      </c>
      <c r="E297" s="55">
        <f t="shared" si="127"/>
        <v>9</v>
      </c>
      <c r="F297" s="31"/>
      <c r="G297" s="7">
        <v>7</v>
      </c>
      <c r="H297" s="64">
        <f t="shared" si="128"/>
        <v>7</v>
      </c>
      <c r="I297" s="38">
        <f t="shared" si="129"/>
        <v>16</v>
      </c>
      <c r="J297" s="36">
        <v>45421</v>
      </c>
      <c r="L297" s="6" t="s">
        <v>32</v>
      </c>
      <c r="M297" s="25"/>
      <c r="N297" s="19">
        <v>10</v>
      </c>
      <c r="O297" s="55">
        <f t="shared" si="130"/>
        <v>10</v>
      </c>
      <c r="P297" s="31"/>
      <c r="Q297" s="7">
        <v>10</v>
      </c>
      <c r="R297" s="64">
        <f t="shared" si="131"/>
        <v>10</v>
      </c>
      <c r="S297" s="38">
        <f t="shared" si="132"/>
        <v>20</v>
      </c>
      <c r="T297" s="78">
        <v>45448</v>
      </c>
    </row>
    <row r="298" spans="2:20" x14ac:dyDescent="0.15">
      <c r="B298" s="6" t="s">
        <v>7</v>
      </c>
      <c r="C298" s="25">
        <v>1</v>
      </c>
      <c r="D298" s="19"/>
      <c r="E298" s="55">
        <f t="shared" si="127"/>
        <v>1</v>
      </c>
      <c r="F298" s="31"/>
      <c r="G298" s="7"/>
      <c r="H298" s="64">
        <f t="shared" si="128"/>
        <v>0</v>
      </c>
      <c r="I298" s="38">
        <f t="shared" si="129"/>
        <v>1</v>
      </c>
      <c r="J298" s="36">
        <v>45419</v>
      </c>
      <c r="L298" s="6" t="s">
        <v>32</v>
      </c>
      <c r="M298" s="25"/>
      <c r="N298" s="19">
        <v>5</v>
      </c>
      <c r="O298" s="55">
        <f t="shared" si="130"/>
        <v>5</v>
      </c>
      <c r="P298" s="31"/>
      <c r="Q298" s="7"/>
      <c r="R298" s="64">
        <f t="shared" si="131"/>
        <v>0</v>
      </c>
      <c r="S298" s="38">
        <f t="shared" si="132"/>
        <v>5</v>
      </c>
      <c r="T298" s="78">
        <v>45453</v>
      </c>
    </row>
    <row r="299" spans="2:20" x14ac:dyDescent="0.15">
      <c r="B299" s="6" t="s">
        <v>7</v>
      </c>
      <c r="C299" s="25"/>
      <c r="D299" s="19">
        <v>1</v>
      </c>
      <c r="E299" s="55">
        <f t="shared" si="127"/>
        <v>1</v>
      </c>
      <c r="F299" s="31"/>
      <c r="G299" s="7">
        <v>2</v>
      </c>
      <c r="H299" s="64">
        <f t="shared" si="128"/>
        <v>2</v>
      </c>
      <c r="I299" s="38">
        <f t="shared" si="129"/>
        <v>3</v>
      </c>
      <c r="J299" s="36">
        <v>45420</v>
      </c>
      <c r="L299" s="6" t="s">
        <v>32</v>
      </c>
      <c r="M299" s="25">
        <v>5</v>
      </c>
      <c r="N299" s="19">
        <v>10</v>
      </c>
      <c r="O299" s="55">
        <f t="shared" si="130"/>
        <v>15</v>
      </c>
      <c r="P299" s="31">
        <v>6</v>
      </c>
      <c r="Q299" s="7">
        <v>5</v>
      </c>
      <c r="R299" s="64">
        <f t="shared" si="131"/>
        <v>11</v>
      </c>
      <c r="S299" s="38">
        <f t="shared" si="132"/>
        <v>26</v>
      </c>
      <c r="T299" s="78">
        <v>45454</v>
      </c>
    </row>
    <row r="300" spans="2:20" x14ac:dyDescent="0.15">
      <c r="B300" s="6" t="s">
        <v>25</v>
      </c>
      <c r="C300" s="25">
        <v>3</v>
      </c>
      <c r="D300" s="19">
        <v>3</v>
      </c>
      <c r="E300" s="55">
        <f t="shared" si="127"/>
        <v>6</v>
      </c>
      <c r="F300" s="31"/>
      <c r="G300" s="7">
        <v>3</v>
      </c>
      <c r="H300" s="64">
        <f t="shared" si="128"/>
        <v>3</v>
      </c>
      <c r="I300" s="38">
        <f t="shared" si="129"/>
        <v>9</v>
      </c>
      <c r="J300" s="36">
        <v>45421</v>
      </c>
      <c r="L300" s="6"/>
      <c r="M300" s="25"/>
      <c r="N300" s="19"/>
      <c r="O300" s="55">
        <f t="shared" si="124"/>
        <v>0</v>
      </c>
      <c r="P300" s="31"/>
      <c r="Q300" s="7"/>
      <c r="R300" s="64">
        <f t="shared" si="125"/>
        <v>0</v>
      </c>
      <c r="S300" s="38">
        <f t="shared" si="126"/>
        <v>0</v>
      </c>
    </row>
    <row r="301" spans="2:20" x14ac:dyDescent="0.15">
      <c r="B301" s="6" t="s">
        <v>64</v>
      </c>
      <c r="C301" s="25">
        <v>5</v>
      </c>
      <c r="D301" s="19">
        <v>1</v>
      </c>
      <c r="E301" s="55">
        <f t="shared" si="127"/>
        <v>6</v>
      </c>
      <c r="F301" s="31">
        <v>1</v>
      </c>
      <c r="G301" s="7"/>
      <c r="H301" s="64">
        <f t="shared" si="128"/>
        <v>1</v>
      </c>
      <c r="I301" s="38">
        <f t="shared" si="129"/>
        <v>7</v>
      </c>
      <c r="J301" s="36">
        <v>45422</v>
      </c>
      <c r="L301" s="6"/>
      <c r="M301" s="28"/>
      <c r="N301" s="22"/>
      <c r="O301" s="55">
        <f t="shared" si="124"/>
        <v>0</v>
      </c>
      <c r="P301" s="33"/>
      <c r="Q301" s="8"/>
      <c r="R301" s="64">
        <f t="shared" si="125"/>
        <v>0</v>
      </c>
      <c r="S301" s="38">
        <f t="shared" si="126"/>
        <v>0</v>
      </c>
    </row>
    <row r="302" spans="2:20" x14ac:dyDescent="0.15">
      <c r="B302" s="6" t="s">
        <v>7</v>
      </c>
      <c r="C302" s="25"/>
      <c r="D302" s="19">
        <v>1</v>
      </c>
      <c r="E302" s="55">
        <f t="shared" si="127"/>
        <v>1</v>
      </c>
      <c r="F302" s="31"/>
      <c r="G302" s="7"/>
      <c r="H302" s="64">
        <f t="shared" si="128"/>
        <v>0</v>
      </c>
      <c r="I302" s="38">
        <f t="shared" si="129"/>
        <v>1</v>
      </c>
      <c r="J302" s="36">
        <v>45421</v>
      </c>
      <c r="L302" s="6"/>
      <c r="M302" s="28"/>
      <c r="N302" s="22"/>
      <c r="O302" s="55">
        <f t="shared" si="124"/>
        <v>0</v>
      </c>
      <c r="P302" s="33"/>
      <c r="Q302" s="8"/>
      <c r="R302" s="64">
        <f t="shared" si="125"/>
        <v>0</v>
      </c>
      <c r="S302" s="38">
        <f t="shared" si="126"/>
        <v>0</v>
      </c>
    </row>
    <row r="303" spans="2:20" x14ac:dyDescent="0.15">
      <c r="B303" s="6" t="s">
        <v>7</v>
      </c>
      <c r="C303" s="25">
        <v>1</v>
      </c>
      <c r="D303" s="19"/>
      <c r="E303" s="55">
        <f t="shared" si="127"/>
        <v>1</v>
      </c>
      <c r="F303" s="31">
        <v>1</v>
      </c>
      <c r="G303" s="7"/>
      <c r="H303" s="64">
        <f t="shared" si="128"/>
        <v>1</v>
      </c>
      <c r="I303" s="38">
        <f t="shared" si="129"/>
        <v>2</v>
      </c>
      <c r="J303" s="36">
        <v>45423</v>
      </c>
      <c r="L303" s="6"/>
      <c r="M303" s="28"/>
      <c r="N303" s="22"/>
      <c r="O303" s="55">
        <f t="shared" si="124"/>
        <v>0</v>
      </c>
      <c r="P303" s="33"/>
      <c r="Q303" s="8"/>
      <c r="R303" s="64">
        <f t="shared" si="125"/>
        <v>0</v>
      </c>
      <c r="S303" s="38">
        <f t="shared" si="126"/>
        <v>0</v>
      </c>
    </row>
    <row r="304" spans="2:20" x14ac:dyDescent="0.15">
      <c r="B304" s="6" t="s">
        <v>25</v>
      </c>
      <c r="C304" s="25"/>
      <c r="D304" s="19">
        <v>5</v>
      </c>
      <c r="E304" s="55">
        <f t="shared" si="127"/>
        <v>5</v>
      </c>
      <c r="F304" s="31"/>
      <c r="G304" s="7"/>
      <c r="H304" s="64">
        <f t="shared" si="128"/>
        <v>0</v>
      </c>
      <c r="I304" s="38">
        <f t="shared" si="129"/>
        <v>5</v>
      </c>
      <c r="J304" s="36">
        <v>45426</v>
      </c>
      <c r="L304" s="6"/>
      <c r="M304" s="28"/>
      <c r="N304" s="22"/>
      <c r="O304" s="55">
        <f t="shared" si="124"/>
        <v>0</v>
      </c>
      <c r="P304" s="33"/>
      <c r="Q304" s="8"/>
      <c r="R304" s="64">
        <f t="shared" si="125"/>
        <v>0</v>
      </c>
      <c r="S304" s="38">
        <f t="shared" si="126"/>
        <v>0</v>
      </c>
    </row>
    <row r="305" spans="2:20" x14ac:dyDescent="0.15">
      <c r="B305" s="6" t="s">
        <v>7</v>
      </c>
      <c r="C305" s="25"/>
      <c r="D305" s="19">
        <v>1</v>
      </c>
      <c r="E305" s="55">
        <f t="shared" si="127"/>
        <v>1</v>
      </c>
      <c r="F305" s="31">
        <v>1</v>
      </c>
      <c r="G305" s="7">
        <v>1</v>
      </c>
      <c r="H305" s="64">
        <f t="shared" si="128"/>
        <v>2</v>
      </c>
      <c r="I305" s="38">
        <f t="shared" si="129"/>
        <v>3</v>
      </c>
      <c r="J305" s="36">
        <v>45425</v>
      </c>
      <c r="L305" s="6"/>
      <c r="M305" s="28"/>
      <c r="N305" s="22"/>
      <c r="O305" s="55">
        <f t="shared" si="124"/>
        <v>0</v>
      </c>
      <c r="P305" s="33"/>
      <c r="Q305" s="8"/>
      <c r="R305" s="64">
        <f t="shared" si="125"/>
        <v>0</v>
      </c>
      <c r="S305" s="38">
        <f t="shared" si="126"/>
        <v>0</v>
      </c>
    </row>
    <row r="306" spans="2:20" x14ac:dyDescent="0.15">
      <c r="B306" s="6" t="s">
        <v>7</v>
      </c>
      <c r="C306" s="25">
        <v>1</v>
      </c>
      <c r="D306" s="19">
        <v>1</v>
      </c>
      <c r="E306" s="55">
        <f t="shared" si="127"/>
        <v>2</v>
      </c>
      <c r="F306" s="31"/>
      <c r="G306" s="7"/>
      <c r="H306" s="64">
        <f t="shared" si="128"/>
        <v>0</v>
      </c>
      <c r="I306" s="38">
        <f t="shared" si="129"/>
        <v>2</v>
      </c>
      <c r="J306" s="36">
        <v>45427</v>
      </c>
      <c r="L306" s="6"/>
      <c r="M306" s="28"/>
      <c r="N306" s="22"/>
      <c r="O306" s="55">
        <f t="shared" si="124"/>
        <v>0</v>
      </c>
      <c r="P306" s="33"/>
      <c r="Q306" s="8"/>
      <c r="R306" s="64">
        <f t="shared" si="125"/>
        <v>0</v>
      </c>
      <c r="S306" s="38">
        <f t="shared" si="126"/>
        <v>0</v>
      </c>
    </row>
    <row r="307" spans="2:20" x14ac:dyDescent="0.15">
      <c r="B307" s="6" t="s">
        <v>7</v>
      </c>
      <c r="C307" s="25"/>
      <c r="D307" s="19">
        <v>1</v>
      </c>
      <c r="E307" s="55">
        <f t="shared" si="127"/>
        <v>1</v>
      </c>
      <c r="F307" s="31"/>
      <c r="G307" s="7"/>
      <c r="H307" s="64">
        <f t="shared" si="128"/>
        <v>0</v>
      </c>
      <c r="I307" s="38">
        <f t="shared" si="129"/>
        <v>1</v>
      </c>
      <c r="J307" s="36">
        <v>45428</v>
      </c>
      <c r="L307" s="6"/>
      <c r="M307" s="28"/>
      <c r="N307" s="22"/>
      <c r="O307" s="55">
        <f t="shared" si="124"/>
        <v>0</v>
      </c>
      <c r="P307" s="33"/>
      <c r="Q307" s="8"/>
      <c r="R307" s="64">
        <f t="shared" si="125"/>
        <v>0</v>
      </c>
      <c r="S307" s="38">
        <f t="shared" si="126"/>
        <v>0</v>
      </c>
    </row>
    <row r="308" spans="2:20" x14ac:dyDescent="0.15">
      <c r="B308" s="6" t="s">
        <v>7</v>
      </c>
      <c r="C308" s="25"/>
      <c r="D308" s="19">
        <v>1</v>
      </c>
      <c r="E308" s="55">
        <f t="shared" si="127"/>
        <v>1</v>
      </c>
      <c r="F308" s="31"/>
      <c r="G308" s="7"/>
      <c r="H308" s="64">
        <f t="shared" si="128"/>
        <v>0</v>
      </c>
      <c r="I308" s="38">
        <f t="shared" si="129"/>
        <v>1</v>
      </c>
      <c r="J308" s="36">
        <v>45429</v>
      </c>
      <c r="L308" s="6"/>
      <c r="M308" s="28"/>
      <c r="N308" s="22"/>
      <c r="O308" s="55">
        <f t="shared" si="124"/>
        <v>0</v>
      </c>
      <c r="P308" s="33"/>
      <c r="Q308" s="8"/>
      <c r="R308" s="64">
        <f t="shared" si="125"/>
        <v>0</v>
      </c>
      <c r="S308" s="38">
        <f t="shared" si="126"/>
        <v>0</v>
      </c>
    </row>
    <row r="309" spans="2:20" x14ac:dyDescent="0.15">
      <c r="B309" s="6" t="s">
        <v>25</v>
      </c>
      <c r="C309" s="25"/>
      <c r="D309" s="19"/>
      <c r="E309" s="55">
        <f t="shared" si="127"/>
        <v>0</v>
      </c>
      <c r="F309" s="31"/>
      <c r="G309" s="7">
        <v>3</v>
      </c>
      <c r="H309" s="64">
        <f t="shared" si="128"/>
        <v>3</v>
      </c>
      <c r="I309" s="38">
        <f t="shared" si="129"/>
        <v>3</v>
      </c>
      <c r="J309" s="36">
        <v>45430</v>
      </c>
      <c r="L309" s="6"/>
      <c r="M309" s="28"/>
      <c r="N309" s="22"/>
      <c r="O309" s="55">
        <f t="shared" si="124"/>
        <v>0</v>
      </c>
      <c r="P309" s="33"/>
      <c r="Q309" s="8"/>
      <c r="R309" s="64">
        <f t="shared" si="125"/>
        <v>0</v>
      </c>
      <c r="S309" s="38">
        <f t="shared" si="126"/>
        <v>0</v>
      </c>
    </row>
    <row r="310" spans="2:20" x14ac:dyDescent="0.15">
      <c r="B310" s="6" t="s">
        <v>7</v>
      </c>
      <c r="C310" s="25">
        <v>1</v>
      </c>
      <c r="D310" s="19"/>
      <c r="E310" s="55">
        <f t="shared" si="127"/>
        <v>1</v>
      </c>
      <c r="F310" s="31">
        <v>1</v>
      </c>
      <c r="G310" s="7"/>
      <c r="H310" s="64">
        <f t="shared" si="128"/>
        <v>1</v>
      </c>
      <c r="I310" s="38">
        <f t="shared" si="129"/>
        <v>2</v>
      </c>
      <c r="J310" s="36">
        <v>45430</v>
      </c>
      <c r="L310" s="6"/>
      <c r="M310" s="28"/>
      <c r="N310" s="22"/>
      <c r="O310" s="55">
        <f t="shared" si="124"/>
        <v>0</v>
      </c>
      <c r="P310" s="33"/>
      <c r="Q310" s="8"/>
      <c r="R310" s="64">
        <f t="shared" si="125"/>
        <v>0</v>
      </c>
      <c r="S310" s="38">
        <f t="shared" si="126"/>
        <v>0</v>
      </c>
    </row>
    <row r="311" spans="2:20" x14ac:dyDescent="0.15">
      <c r="B311" s="6" t="s">
        <v>7</v>
      </c>
      <c r="C311" s="25"/>
      <c r="D311" s="19">
        <f>1+1</f>
        <v>2</v>
      </c>
      <c r="E311" s="55">
        <f t="shared" si="127"/>
        <v>2</v>
      </c>
      <c r="F311" s="31"/>
      <c r="G311" s="7">
        <v>1</v>
      </c>
      <c r="H311" s="64">
        <f t="shared" si="128"/>
        <v>1</v>
      </c>
      <c r="I311" s="38">
        <f t="shared" si="129"/>
        <v>3</v>
      </c>
      <c r="J311" s="36">
        <v>45432</v>
      </c>
      <c r="L311" s="6"/>
      <c r="M311" s="28"/>
      <c r="N311" s="22"/>
      <c r="O311" s="55">
        <f t="shared" si="124"/>
        <v>0</v>
      </c>
      <c r="P311" s="33"/>
      <c r="Q311" s="8"/>
      <c r="R311" s="64">
        <f t="shared" si="125"/>
        <v>0</v>
      </c>
      <c r="S311" s="38">
        <f t="shared" si="126"/>
        <v>0</v>
      </c>
    </row>
    <row r="312" spans="2:20" x14ac:dyDescent="0.15">
      <c r="B312" s="6" t="s">
        <v>65</v>
      </c>
      <c r="C312" s="25"/>
      <c r="D312" s="19">
        <v>3</v>
      </c>
      <c r="E312" s="55">
        <f t="shared" si="127"/>
        <v>3</v>
      </c>
      <c r="F312" s="31"/>
      <c r="G312" s="7"/>
      <c r="H312" s="64">
        <f t="shared" si="128"/>
        <v>0</v>
      </c>
      <c r="I312" s="38">
        <f t="shared" si="129"/>
        <v>3</v>
      </c>
      <c r="J312" s="36">
        <v>45436</v>
      </c>
      <c r="L312" s="6"/>
      <c r="M312" s="28"/>
      <c r="N312" s="22"/>
      <c r="O312" s="55">
        <f t="shared" si="124"/>
        <v>0</v>
      </c>
      <c r="P312" s="33"/>
      <c r="Q312" s="8"/>
      <c r="R312" s="64">
        <f t="shared" si="125"/>
        <v>0</v>
      </c>
      <c r="S312" s="38">
        <f t="shared" si="126"/>
        <v>0</v>
      </c>
    </row>
    <row r="313" spans="2:20" x14ac:dyDescent="0.15">
      <c r="B313" s="6" t="s">
        <v>66</v>
      </c>
      <c r="C313" s="25"/>
      <c r="D313" s="19">
        <v>1</v>
      </c>
      <c r="E313" s="55">
        <f t="shared" si="127"/>
        <v>1</v>
      </c>
      <c r="F313" s="31"/>
      <c r="G313" s="7"/>
      <c r="H313" s="64">
        <f t="shared" si="128"/>
        <v>0</v>
      </c>
      <c r="I313" s="38">
        <f t="shared" si="129"/>
        <v>1</v>
      </c>
      <c r="J313" s="36">
        <v>45436</v>
      </c>
      <c r="L313" s="6"/>
      <c r="M313" s="28"/>
      <c r="N313" s="22"/>
      <c r="O313" s="55">
        <f t="shared" si="124"/>
        <v>0</v>
      </c>
      <c r="P313" s="33"/>
      <c r="Q313" s="8"/>
      <c r="R313" s="64">
        <f t="shared" si="125"/>
        <v>0</v>
      </c>
      <c r="S313" s="38">
        <f t="shared" si="126"/>
        <v>0</v>
      </c>
    </row>
    <row r="314" spans="2:20" x14ac:dyDescent="0.15">
      <c r="B314" s="6" t="s">
        <v>7</v>
      </c>
      <c r="C314" s="25">
        <v>1</v>
      </c>
      <c r="D314" s="19"/>
      <c r="E314" s="55">
        <f t="shared" si="127"/>
        <v>1</v>
      </c>
      <c r="F314" s="31"/>
      <c r="G314" s="7"/>
      <c r="H314" s="64">
        <f t="shared" si="128"/>
        <v>0</v>
      </c>
      <c r="I314" s="38">
        <f t="shared" si="129"/>
        <v>1</v>
      </c>
      <c r="J314" s="36">
        <v>45435</v>
      </c>
      <c r="L314" s="6"/>
      <c r="M314" s="28"/>
      <c r="N314" s="22"/>
      <c r="O314" s="55">
        <f t="shared" ref="O314:O316" si="133">SUM(M314:N314)</f>
        <v>0</v>
      </c>
      <c r="P314" s="33"/>
      <c r="Q314" s="8"/>
      <c r="R314" s="64">
        <f t="shared" ref="R314:R316" si="134">SUM(P314:Q314)</f>
        <v>0</v>
      </c>
      <c r="S314" s="38">
        <f t="shared" ref="S314:S316" si="135">O314+R314</f>
        <v>0</v>
      </c>
    </row>
    <row r="315" spans="2:20" x14ac:dyDescent="0.15">
      <c r="B315" s="6" t="s">
        <v>67</v>
      </c>
      <c r="C315" s="25"/>
      <c r="D315" s="19">
        <v>1</v>
      </c>
      <c r="E315" s="55">
        <f t="shared" si="121"/>
        <v>1</v>
      </c>
      <c r="F315" s="31"/>
      <c r="G315" s="7"/>
      <c r="H315" s="64">
        <f t="shared" si="122"/>
        <v>0</v>
      </c>
      <c r="I315" s="38">
        <f t="shared" si="123"/>
        <v>1</v>
      </c>
      <c r="J315" s="36">
        <v>45439</v>
      </c>
      <c r="L315" s="6"/>
      <c r="M315" s="28"/>
      <c r="N315" s="22"/>
      <c r="O315" s="55">
        <f t="shared" si="133"/>
        <v>0</v>
      </c>
      <c r="P315" s="33"/>
      <c r="Q315" s="8"/>
      <c r="R315" s="64">
        <f t="shared" si="134"/>
        <v>0</v>
      </c>
      <c r="S315" s="38">
        <f t="shared" si="135"/>
        <v>0</v>
      </c>
    </row>
    <row r="316" spans="2:20" ht="14.25" thickBot="1" x14ac:dyDescent="0.2">
      <c r="B316" s="6" t="s">
        <v>69</v>
      </c>
      <c r="C316" s="25"/>
      <c r="D316" s="19"/>
      <c r="E316" s="55">
        <f t="shared" si="121"/>
        <v>0</v>
      </c>
      <c r="F316" s="31"/>
      <c r="G316" s="7">
        <v>-2</v>
      </c>
      <c r="H316" s="64">
        <f t="shared" si="122"/>
        <v>-2</v>
      </c>
      <c r="I316" s="38">
        <f t="shared" si="123"/>
        <v>-2</v>
      </c>
      <c r="J316" s="36">
        <v>45436</v>
      </c>
      <c r="L316" s="6"/>
      <c r="M316" s="28"/>
      <c r="N316" s="22"/>
      <c r="O316" s="55">
        <f t="shared" si="133"/>
        <v>0</v>
      </c>
      <c r="P316" s="33"/>
      <c r="Q316" s="8"/>
      <c r="R316" s="64">
        <f t="shared" si="134"/>
        <v>0</v>
      </c>
      <c r="S316" s="38">
        <f t="shared" si="135"/>
        <v>0</v>
      </c>
    </row>
    <row r="317" spans="2:20" ht="14.25" thickBot="1" x14ac:dyDescent="0.2">
      <c r="B317" s="4" t="s">
        <v>1</v>
      </c>
      <c r="C317" s="27">
        <f>SUM(C292:C316)</f>
        <v>17</v>
      </c>
      <c r="D317" s="21">
        <f>SUM(D292:D316)</f>
        <v>35</v>
      </c>
      <c r="E317" s="57">
        <f t="shared" si="121"/>
        <v>52</v>
      </c>
      <c r="F317" s="27">
        <f>SUM(F292:F316)</f>
        <v>8</v>
      </c>
      <c r="G317" s="21">
        <f>SUM(G292:G316)</f>
        <v>17</v>
      </c>
      <c r="H317" s="66">
        <f t="shared" si="122"/>
        <v>25</v>
      </c>
      <c r="I317" s="40">
        <f t="shared" si="123"/>
        <v>77</v>
      </c>
      <c r="L317" s="4" t="s">
        <v>1</v>
      </c>
      <c r="M317" s="27">
        <f>SUM(M292:M316)</f>
        <v>24</v>
      </c>
      <c r="N317" s="21">
        <f>SUM(N292:N316)</f>
        <v>60</v>
      </c>
      <c r="O317" s="57">
        <f t="shared" si="124"/>
        <v>84</v>
      </c>
      <c r="P317" s="27">
        <f>SUM(P292:P316)</f>
        <v>21</v>
      </c>
      <c r="Q317" s="21">
        <f>SUM(Q292:Q316)</f>
        <v>37</v>
      </c>
      <c r="R317" s="66">
        <f t="shared" si="125"/>
        <v>58</v>
      </c>
      <c r="S317" s="40">
        <f t="shared" si="126"/>
        <v>142</v>
      </c>
    </row>
    <row r="318" spans="2:20" ht="14.25" thickBot="1" x14ac:dyDescent="0.2">
      <c r="B318" s="3" t="s">
        <v>0</v>
      </c>
      <c r="C318" s="30">
        <f>+C291-C317</f>
        <v>9</v>
      </c>
      <c r="D318" s="2">
        <f>+D291-D317</f>
        <v>6</v>
      </c>
      <c r="E318" s="58">
        <f t="shared" si="121"/>
        <v>15</v>
      </c>
      <c r="F318" s="30">
        <f>+F291-F317</f>
        <v>11</v>
      </c>
      <c r="G318" s="2">
        <f>+G291-G317</f>
        <v>13</v>
      </c>
      <c r="H318" s="67">
        <f t="shared" si="122"/>
        <v>24</v>
      </c>
      <c r="I318" s="42">
        <f t="shared" si="123"/>
        <v>39</v>
      </c>
      <c r="L318" s="3" t="s">
        <v>0</v>
      </c>
      <c r="M318" s="30">
        <f>+M291-M317</f>
        <v>20</v>
      </c>
      <c r="N318" s="2">
        <f>+N291-N317</f>
        <v>0</v>
      </c>
      <c r="O318" s="58">
        <f t="shared" si="124"/>
        <v>20</v>
      </c>
      <c r="P318" s="30">
        <f>+P291-P317</f>
        <v>27</v>
      </c>
      <c r="Q318" s="2">
        <f>+Q291-Q317</f>
        <v>9</v>
      </c>
      <c r="R318" s="67">
        <f t="shared" si="125"/>
        <v>36</v>
      </c>
      <c r="S318" s="42">
        <f t="shared" si="126"/>
        <v>56</v>
      </c>
    </row>
    <row r="319" spans="2:20" x14ac:dyDescent="0.15">
      <c r="L319" s="1"/>
      <c r="T319" s="35"/>
    </row>
    <row r="320" spans="2:20" x14ac:dyDescent="0.15">
      <c r="B320"/>
      <c r="J320"/>
    </row>
    <row r="321" spans="2:20" ht="18.75" x14ac:dyDescent="0.2">
      <c r="B321" s="16" t="s">
        <v>21</v>
      </c>
      <c r="C321" s="15"/>
      <c r="D321" s="15"/>
      <c r="E321" s="15"/>
      <c r="F321" s="15"/>
      <c r="G321" s="15"/>
      <c r="H321" s="15"/>
      <c r="I321" s="15"/>
      <c r="L321" s="71" t="s">
        <v>22</v>
      </c>
      <c r="M321" s="72"/>
      <c r="N321" s="72"/>
      <c r="O321" s="72"/>
      <c r="P321" s="72"/>
      <c r="Q321" s="72"/>
      <c r="R321" s="72"/>
      <c r="S321" s="72"/>
      <c r="T321" s="35"/>
    </row>
    <row r="322" spans="2:20" ht="18" thickBot="1" x14ac:dyDescent="0.25">
      <c r="B322" s="17" t="s">
        <v>23</v>
      </c>
      <c r="C322" s="15"/>
      <c r="D322" s="15"/>
      <c r="E322" s="15"/>
      <c r="F322" s="15"/>
      <c r="G322" s="15"/>
      <c r="H322" s="15"/>
      <c r="I322" s="15"/>
      <c r="L322" s="73" t="s">
        <v>23</v>
      </c>
      <c r="M322" s="72"/>
      <c r="N322" s="72"/>
      <c r="O322" s="72"/>
      <c r="P322" s="72"/>
      <c r="Q322" s="72"/>
      <c r="R322" s="72"/>
      <c r="S322" s="72"/>
      <c r="T322" s="35"/>
    </row>
    <row r="323" spans="2:20" ht="14.25" thickBot="1" x14ac:dyDescent="0.2">
      <c r="B323" s="14"/>
      <c r="C323" s="113" t="s">
        <v>12</v>
      </c>
      <c r="D323" s="114"/>
      <c r="E323" s="115"/>
      <c r="F323" s="116" t="s">
        <v>11</v>
      </c>
      <c r="G323" s="117"/>
      <c r="H323" s="118"/>
      <c r="I323" s="13" t="s">
        <v>19</v>
      </c>
      <c r="L323" s="14"/>
      <c r="M323" s="113" t="s">
        <v>12</v>
      </c>
      <c r="N323" s="114"/>
      <c r="O323" s="115"/>
      <c r="P323" s="116" t="s">
        <v>11</v>
      </c>
      <c r="Q323" s="117"/>
      <c r="R323" s="118"/>
      <c r="S323" s="13" t="s">
        <v>19</v>
      </c>
    </row>
    <row r="324" spans="2:20" ht="14.25" thickBot="1" x14ac:dyDescent="0.2">
      <c r="B324" s="13"/>
      <c r="C324" s="23" t="s">
        <v>6</v>
      </c>
      <c r="D324" s="12" t="s">
        <v>5</v>
      </c>
      <c r="E324" s="50" t="s">
        <v>4</v>
      </c>
      <c r="F324" s="23" t="s">
        <v>6</v>
      </c>
      <c r="G324" s="12" t="s">
        <v>5</v>
      </c>
      <c r="H324" s="59" t="s">
        <v>4</v>
      </c>
      <c r="I324" s="49"/>
      <c r="L324" s="13"/>
      <c r="M324" s="23" t="s">
        <v>6</v>
      </c>
      <c r="N324" s="12" t="s">
        <v>5</v>
      </c>
      <c r="O324" s="50" t="s">
        <v>4</v>
      </c>
      <c r="P324" s="23" t="s">
        <v>6</v>
      </c>
      <c r="Q324" s="12" t="s">
        <v>5</v>
      </c>
      <c r="R324" s="59" t="s">
        <v>4</v>
      </c>
      <c r="S324" s="49"/>
    </row>
    <row r="325" spans="2:20" x14ac:dyDescent="0.15">
      <c r="B325" s="46" t="s">
        <v>0</v>
      </c>
      <c r="C325" s="47">
        <f t="shared" ref="C325:H325" si="136">C318</f>
        <v>9</v>
      </c>
      <c r="D325" s="48">
        <f t="shared" si="136"/>
        <v>6</v>
      </c>
      <c r="E325" s="68">
        <f t="shared" si="136"/>
        <v>15</v>
      </c>
      <c r="F325" s="47">
        <f t="shared" si="136"/>
        <v>11</v>
      </c>
      <c r="G325" s="48">
        <f t="shared" si="136"/>
        <v>13</v>
      </c>
      <c r="H325" s="69">
        <f t="shared" si="136"/>
        <v>24</v>
      </c>
      <c r="I325" s="41">
        <f>E325+H325</f>
        <v>39</v>
      </c>
      <c r="J325" s="36"/>
      <c r="L325" s="46" t="s">
        <v>0</v>
      </c>
      <c r="M325" s="47">
        <f t="shared" ref="M325:R325" si="137">M318</f>
        <v>20</v>
      </c>
      <c r="N325" s="48">
        <f t="shared" si="137"/>
        <v>0</v>
      </c>
      <c r="O325" s="68">
        <f t="shared" si="137"/>
        <v>20</v>
      </c>
      <c r="P325" s="47">
        <f t="shared" si="137"/>
        <v>27</v>
      </c>
      <c r="Q325" s="48">
        <f t="shared" si="137"/>
        <v>9</v>
      </c>
      <c r="R325" s="69">
        <f t="shared" si="137"/>
        <v>36</v>
      </c>
      <c r="S325" s="41">
        <f>O325+R325</f>
        <v>56</v>
      </c>
    </row>
    <row r="326" spans="2:20" x14ac:dyDescent="0.15">
      <c r="B326" s="11" t="s">
        <v>3</v>
      </c>
      <c r="C326" s="25">
        <v>5</v>
      </c>
      <c r="D326" s="19">
        <v>10</v>
      </c>
      <c r="E326" s="52">
        <f t="shared" ref="E326:E358" si="138">SUM(C326:D326)</f>
        <v>15</v>
      </c>
      <c r="F326" s="31"/>
      <c r="G326" s="7"/>
      <c r="H326" s="61">
        <f t="shared" ref="H326:H358" si="139">SUM(F326:G326)</f>
        <v>0</v>
      </c>
      <c r="I326" s="38">
        <f t="shared" ref="I326:I358" si="140">E326+H326</f>
        <v>15</v>
      </c>
      <c r="J326" s="36">
        <v>45437</v>
      </c>
      <c r="L326" s="11" t="s">
        <v>3</v>
      </c>
      <c r="M326" s="25"/>
      <c r="N326" s="19"/>
      <c r="O326" s="52">
        <f t="shared" ref="O326:O327" si="141">SUM(M326:N326)</f>
        <v>0</v>
      </c>
      <c r="P326" s="31"/>
      <c r="Q326" s="7"/>
      <c r="R326" s="61">
        <f t="shared" ref="R326:R327" si="142">SUM(P326:Q326)</f>
        <v>0</v>
      </c>
      <c r="S326" s="38">
        <f t="shared" ref="S326:S327" si="143">O326+R326</f>
        <v>0</v>
      </c>
    </row>
    <row r="327" spans="2:20" x14ac:dyDescent="0.15">
      <c r="B327" s="11" t="s">
        <v>3</v>
      </c>
      <c r="C327" s="25"/>
      <c r="D327" s="19">
        <v>10</v>
      </c>
      <c r="E327" s="52">
        <f t="shared" si="138"/>
        <v>10</v>
      </c>
      <c r="F327" s="31"/>
      <c r="G327" s="7">
        <v>10</v>
      </c>
      <c r="H327" s="61">
        <f t="shared" si="139"/>
        <v>10</v>
      </c>
      <c r="I327" s="38">
        <f t="shared" si="140"/>
        <v>20</v>
      </c>
      <c r="J327" s="36">
        <v>45448</v>
      </c>
      <c r="L327" s="11" t="s">
        <v>3</v>
      </c>
      <c r="M327" s="25"/>
      <c r="N327" s="19"/>
      <c r="O327" s="52">
        <f t="shared" si="141"/>
        <v>0</v>
      </c>
      <c r="P327" s="31"/>
      <c r="Q327" s="7"/>
      <c r="R327" s="61">
        <f t="shared" si="142"/>
        <v>0</v>
      </c>
      <c r="S327" s="38">
        <f t="shared" si="143"/>
        <v>0</v>
      </c>
    </row>
    <row r="328" spans="2:20" x14ac:dyDescent="0.15">
      <c r="B328" s="11" t="s">
        <v>3</v>
      </c>
      <c r="C328" s="25"/>
      <c r="D328" s="19">
        <v>5</v>
      </c>
      <c r="E328" s="52">
        <f t="shared" si="138"/>
        <v>5</v>
      </c>
      <c r="F328" s="31"/>
      <c r="G328" s="7"/>
      <c r="H328" s="61">
        <f t="shared" si="139"/>
        <v>0</v>
      </c>
      <c r="I328" s="38">
        <f t="shared" si="140"/>
        <v>5</v>
      </c>
      <c r="J328" s="36">
        <v>45453</v>
      </c>
      <c r="L328" s="11" t="s">
        <v>102</v>
      </c>
      <c r="M328" s="25">
        <v>40</v>
      </c>
      <c r="N328" s="19">
        <v>60</v>
      </c>
      <c r="O328" s="52">
        <f t="shared" ref="O328:O358" si="144">SUM(M328:N328)</f>
        <v>100</v>
      </c>
      <c r="P328" s="31">
        <v>20</v>
      </c>
      <c r="Q328" s="7">
        <v>30</v>
      </c>
      <c r="R328" s="61">
        <f t="shared" ref="R328:R358" si="145">SUM(P328:Q328)</f>
        <v>50</v>
      </c>
      <c r="S328" s="38">
        <f t="shared" ref="S328:S358" si="146">O328+R328</f>
        <v>150</v>
      </c>
      <c r="T328" s="78" t="s">
        <v>104</v>
      </c>
    </row>
    <row r="329" spans="2:20" x14ac:dyDescent="0.15">
      <c r="B329" s="11" t="s">
        <v>3</v>
      </c>
      <c r="C329" s="25">
        <v>5</v>
      </c>
      <c r="D329" s="19">
        <v>10</v>
      </c>
      <c r="E329" s="52">
        <f t="shared" si="138"/>
        <v>15</v>
      </c>
      <c r="F329" s="31">
        <v>6</v>
      </c>
      <c r="G329" s="7">
        <v>5</v>
      </c>
      <c r="H329" s="61">
        <f t="shared" si="139"/>
        <v>11</v>
      </c>
      <c r="I329" s="38">
        <f t="shared" si="140"/>
        <v>26</v>
      </c>
      <c r="J329" s="36">
        <v>45454</v>
      </c>
      <c r="L329" s="11" t="s">
        <v>3</v>
      </c>
      <c r="M329" s="25"/>
      <c r="N329" s="19"/>
      <c r="O329" s="52">
        <f t="shared" ref="O329" si="147">SUM(M329:N329)</f>
        <v>0</v>
      </c>
      <c r="P329" s="25"/>
      <c r="Q329" s="19"/>
      <c r="R329" s="61">
        <f t="shared" ref="R329" si="148">SUM(P329:Q329)</f>
        <v>0</v>
      </c>
      <c r="S329" s="82">
        <f t="shared" ref="S329" si="149">O329+R329</f>
        <v>0</v>
      </c>
    </row>
    <row r="330" spans="2:20" ht="14.25" thickBot="1" x14ac:dyDescent="0.2">
      <c r="B330" s="10" t="s">
        <v>69</v>
      </c>
      <c r="C330" s="26">
        <v>1</v>
      </c>
      <c r="D330" s="20">
        <v>1</v>
      </c>
      <c r="E330" s="53">
        <f t="shared" si="138"/>
        <v>2</v>
      </c>
      <c r="F330" s="32">
        <v>1</v>
      </c>
      <c r="G330" s="5">
        <v>1</v>
      </c>
      <c r="H330" s="62">
        <f t="shared" si="139"/>
        <v>2</v>
      </c>
      <c r="I330" s="39">
        <f t="shared" si="140"/>
        <v>4</v>
      </c>
      <c r="J330" s="36">
        <v>45456</v>
      </c>
      <c r="L330" s="79" t="s">
        <v>3</v>
      </c>
      <c r="M330" s="32"/>
      <c r="N330" s="5"/>
      <c r="O330" s="80">
        <f t="shared" si="144"/>
        <v>0</v>
      </c>
      <c r="P330" s="32"/>
      <c r="Q330" s="5"/>
      <c r="R330" s="81">
        <f t="shared" si="145"/>
        <v>0</v>
      </c>
      <c r="S330" s="39">
        <f t="shared" si="146"/>
        <v>0</v>
      </c>
    </row>
    <row r="331" spans="2:20" ht="14.25" thickBot="1" x14ac:dyDescent="0.2">
      <c r="B331" s="43" t="s">
        <v>2</v>
      </c>
      <c r="C331" s="44">
        <f>SUM(C325:C330)</f>
        <v>20</v>
      </c>
      <c r="D331" s="45">
        <f>SUM(D325:D330)</f>
        <v>42</v>
      </c>
      <c r="E331" s="54">
        <f t="shared" si="138"/>
        <v>62</v>
      </c>
      <c r="F331" s="44">
        <f>SUM(F325:F330)</f>
        <v>18</v>
      </c>
      <c r="G331" s="45">
        <f>SUM(G325:G330)</f>
        <v>29</v>
      </c>
      <c r="H331" s="63">
        <f t="shared" si="139"/>
        <v>47</v>
      </c>
      <c r="I331" s="42">
        <f t="shared" si="140"/>
        <v>109</v>
      </c>
      <c r="L331" s="43" t="s">
        <v>2</v>
      </c>
      <c r="M331" s="44">
        <f>SUM(M325:M330)</f>
        <v>60</v>
      </c>
      <c r="N331" s="45">
        <f>SUM(N325:N330)</f>
        <v>60</v>
      </c>
      <c r="O331" s="54">
        <f t="shared" si="144"/>
        <v>120</v>
      </c>
      <c r="P331" s="44">
        <f>SUM(P325:P330)</f>
        <v>47</v>
      </c>
      <c r="Q331" s="45">
        <f>SUM(Q325:Q330)</f>
        <v>39</v>
      </c>
      <c r="R331" s="63">
        <f t="shared" si="145"/>
        <v>86</v>
      </c>
      <c r="S331" s="42">
        <f t="shared" si="146"/>
        <v>206</v>
      </c>
    </row>
    <row r="332" spans="2:20" x14ac:dyDescent="0.15">
      <c r="B332" s="6" t="s">
        <v>25</v>
      </c>
      <c r="C332" s="25"/>
      <c r="D332" s="19">
        <v>5</v>
      </c>
      <c r="E332" s="55">
        <f t="shared" ref="E332:E354" si="150">SUM(C332:D332)</f>
        <v>5</v>
      </c>
      <c r="F332" s="31"/>
      <c r="G332" s="7">
        <v>5</v>
      </c>
      <c r="H332" s="64">
        <f t="shared" ref="H332:H354" si="151">SUM(F332:G332)</f>
        <v>5</v>
      </c>
      <c r="I332" s="38">
        <f t="shared" ref="I332:I354" si="152">E332+H332</f>
        <v>10</v>
      </c>
      <c r="J332" s="36">
        <v>45440</v>
      </c>
      <c r="L332" s="6" t="s">
        <v>100</v>
      </c>
      <c r="M332" s="25">
        <v>10</v>
      </c>
      <c r="N332" s="19">
        <v>10</v>
      </c>
      <c r="O332" s="55">
        <f t="shared" ref="O332:O338" si="153">SUM(M332:N332)</f>
        <v>20</v>
      </c>
      <c r="P332" s="31">
        <v>10</v>
      </c>
      <c r="Q332" s="7">
        <v>10</v>
      </c>
      <c r="R332" s="64">
        <f t="shared" ref="R332:R338" si="154">SUM(P332:Q332)</f>
        <v>20</v>
      </c>
      <c r="S332" s="38">
        <f t="shared" ref="S332:S338" si="155">O332+R332</f>
        <v>40</v>
      </c>
      <c r="T332" s="78">
        <v>45455</v>
      </c>
    </row>
    <row r="333" spans="2:20" x14ac:dyDescent="0.15">
      <c r="B333" s="6" t="s">
        <v>7</v>
      </c>
      <c r="C333" s="25">
        <f>1+1</f>
        <v>2</v>
      </c>
      <c r="D333" s="19">
        <v>1</v>
      </c>
      <c r="E333" s="55">
        <f t="shared" si="150"/>
        <v>3</v>
      </c>
      <c r="F333" s="31"/>
      <c r="G333" s="7"/>
      <c r="H333" s="64">
        <f t="shared" si="151"/>
        <v>0</v>
      </c>
      <c r="I333" s="38">
        <f t="shared" si="152"/>
        <v>3</v>
      </c>
      <c r="J333" s="36">
        <v>45439</v>
      </c>
      <c r="L333" s="6" t="s">
        <v>32</v>
      </c>
      <c r="M333" s="25">
        <v>5</v>
      </c>
      <c r="N333" s="19">
        <v>5</v>
      </c>
      <c r="O333" s="55">
        <f t="shared" si="153"/>
        <v>10</v>
      </c>
      <c r="P333" s="31"/>
      <c r="Q333" s="7"/>
      <c r="R333" s="64">
        <f t="shared" si="154"/>
        <v>0</v>
      </c>
      <c r="S333" s="38">
        <f t="shared" si="155"/>
        <v>10</v>
      </c>
      <c r="T333" s="78">
        <v>45467</v>
      </c>
    </row>
    <row r="334" spans="2:20" x14ac:dyDescent="0.15">
      <c r="B334" s="6" t="s">
        <v>68</v>
      </c>
      <c r="C334" s="25"/>
      <c r="D334" s="19">
        <v>2</v>
      </c>
      <c r="E334" s="55">
        <f t="shared" si="150"/>
        <v>2</v>
      </c>
      <c r="F334" s="31"/>
      <c r="G334" s="7"/>
      <c r="H334" s="64">
        <f t="shared" si="151"/>
        <v>0</v>
      </c>
      <c r="I334" s="38">
        <f t="shared" si="152"/>
        <v>2</v>
      </c>
      <c r="J334" s="36">
        <v>45442</v>
      </c>
      <c r="L334" s="6" t="s">
        <v>32</v>
      </c>
      <c r="M334" s="25">
        <v>5</v>
      </c>
      <c r="N334" s="19">
        <v>10</v>
      </c>
      <c r="O334" s="55">
        <f t="shared" si="153"/>
        <v>15</v>
      </c>
      <c r="P334" s="31"/>
      <c r="Q334" s="7">
        <v>5</v>
      </c>
      <c r="R334" s="64">
        <f t="shared" si="154"/>
        <v>5</v>
      </c>
      <c r="S334" s="38">
        <f t="shared" si="155"/>
        <v>20</v>
      </c>
      <c r="T334" s="78">
        <v>45469</v>
      </c>
    </row>
    <row r="335" spans="2:20" x14ac:dyDescent="0.15">
      <c r="B335" s="6" t="s">
        <v>7</v>
      </c>
      <c r="C335" s="25">
        <v>1</v>
      </c>
      <c r="D335" s="19"/>
      <c r="E335" s="55">
        <f t="shared" si="150"/>
        <v>1</v>
      </c>
      <c r="F335" s="31"/>
      <c r="G335" s="7"/>
      <c r="H335" s="64">
        <f t="shared" si="151"/>
        <v>0</v>
      </c>
      <c r="I335" s="38">
        <f t="shared" si="152"/>
        <v>1</v>
      </c>
      <c r="J335" s="36">
        <v>45440</v>
      </c>
      <c r="L335" s="6" t="s">
        <v>32</v>
      </c>
      <c r="M335" s="25">
        <v>10</v>
      </c>
      <c r="N335" s="19">
        <v>10</v>
      </c>
      <c r="O335" s="55">
        <f t="shared" si="153"/>
        <v>20</v>
      </c>
      <c r="P335" s="31">
        <v>10</v>
      </c>
      <c r="Q335" s="7"/>
      <c r="R335" s="64">
        <f t="shared" si="154"/>
        <v>10</v>
      </c>
      <c r="S335" s="38">
        <f t="shared" si="155"/>
        <v>30</v>
      </c>
      <c r="T335" s="78">
        <v>45470</v>
      </c>
    </row>
    <row r="336" spans="2:20" x14ac:dyDescent="0.15">
      <c r="B336" s="6" t="s">
        <v>70</v>
      </c>
      <c r="C336" s="25"/>
      <c r="D336" s="19">
        <v>1</v>
      </c>
      <c r="E336" s="55">
        <f t="shared" si="150"/>
        <v>1</v>
      </c>
      <c r="F336" s="31"/>
      <c r="G336" s="7"/>
      <c r="H336" s="64">
        <f t="shared" si="151"/>
        <v>0</v>
      </c>
      <c r="I336" s="38">
        <f t="shared" si="152"/>
        <v>1</v>
      </c>
      <c r="J336" s="36">
        <v>45443</v>
      </c>
      <c r="L336" s="6" t="s">
        <v>32</v>
      </c>
      <c r="M336" s="25"/>
      <c r="N336" s="19"/>
      <c r="O336" s="55">
        <f t="shared" si="153"/>
        <v>0</v>
      </c>
      <c r="P336" s="31">
        <v>5</v>
      </c>
      <c r="Q336" s="7">
        <v>5</v>
      </c>
      <c r="R336" s="64">
        <f t="shared" si="154"/>
        <v>10</v>
      </c>
      <c r="S336" s="38">
        <f t="shared" si="155"/>
        <v>10</v>
      </c>
      <c r="T336" s="78">
        <v>45475</v>
      </c>
    </row>
    <row r="337" spans="2:20" x14ac:dyDescent="0.15">
      <c r="B337" s="6" t="s">
        <v>101</v>
      </c>
      <c r="C337" s="25"/>
      <c r="D337" s="19"/>
      <c r="E337" s="55">
        <f t="shared" si="150"/>
        <v>0</v>
      </c>
      <c r="F337" s="31"/>
      <c r="G337" s="7">
        <v>1</v>
      </c>
      <c r="H337" s="64">
        <f t="shared" si="151"/>
        <v>1</v>
      </c>
      <c r="I337" s="38">
        <f t="shared" si="152"/>
        <v>1</v>
      </c>
      <c r="J337" s="36">
        <v>45442</v>
      </c>
      <c r="L337" s="6" t="s">
        <v>32</v>
      </c>
      <c r="M337" s="25">
        <v>5</v>
      </c>
      <c r="N337" s="19">
        <v>10</v>
      </c>
      <c r="O337" s="55">
        <f t="shared" si="153"/>
        <v>15</v>
      </c>
      <c r="P337" s="31">
        <v>5</v>
      </c>
      <c r="Q337" s="7">
        <v>5</v>
      </c>
      <c r="R337" s="64">
        <f t="shared" si="154"/>
        <v>10</v>
      </c>
      <c r="S337" s="38">
        <f t="shared" si="155"/>
        <v>25</v>
      </c>
      <c r="T337" s="78">
        <v>45477</v>
      </c>
    </row>
    <row r="338" spans="2:20" x14ac:dyDescent="0.15">
      <c r="B338" s="6" t="s">
        <v>7</v>
      </c>
      <c r="C338" s="25"/>
      <c r="D338" s="19">
        <v>1</v>
      </c>
      <c r="E338" s="55">
        <f t="shared" si="150"/>
        <v>1</v>
      </c>
      <c r="F338" s="31"/>
      <c r="G338" s="7"/>
      <c r="H338" s="64">
        <f t="shared" si="151"/>
        <v>0</v>
      </c>
      <c r="I338" s="38">
        <f t="shared" si="152"/>
        <v>1</v>
      </c>
      <c r="J338" s="36">
        <v>45443</v>
      </c>
      <c r="L338" s="6" t="s">
        <v>32</v>
      </c>
      <c r="M338" s="25">
        <v>5</v>
      </c>
      <c r="N338" s="19">
        <v>10</v>
      </c>
      <c r="O338" s="55">
        <f t="shared" si="153"/>
        <v>15</v>
      </c>
      <c r="P338" s="31">
        <v>5</v>
      </c>
      <c r="Q338" s="7">
        <v>5</v>
      </c>
      <c r="R338" s="64">
        <f t="shared" si="154"/>
        <v>10</v>
      </c>
      <c r="S338" s="38">
        <f t="shared" si="155"/>
        <v>25</v>
      </c>
      <c r="T338" s="78">
        <v>45482</v>
      </c>
    </row>
    <row r="339" spans="2:20" x14ac:dyDescent="0.15">
      <c r="B339" s="6" t="s">
        <v>7</v>
      </c>
      <c r="C339" s="25">
        <v>1</v>
      </c>
      <c r="D339" s="19">
        <f>2+1</f>
        <v>3</v>
      </c>
      <c r="E339" s="55">
        <f t="shared" si="150"/>
        <v>4</v>
      </c>
      <c r="F339" s="31"/>
      <c r="G339" s="7"/>
      <c r="H339" s="64">
        <f t="shared" si="151"/>
        <v>0</v>
      </c>
      <c r="I339" s="38">
        <f t="shared" si="152"/>
        <v>4</v>
      </c>
      <c r="J339" s="36">
        <v>45446</v>
      </c>
      <c r="L339" s="6"/>
      <c r="M339" s="25"/>
      <c r="N339" s="19"/>
      <c r="O339" s="55">
        <f t="shared" si="144"/>
        <v>0</v>
      </c>
      <c r="P339" s="31"/>
      <c r="Q339" s="7"/>
      <c r="R339" s="64">
        <f t="shared" si="145"/>
        <v>0</v>
      </c>
      <c r="S339" s="38">
        <f t="shared" si="146"/>
        <v>0</v>
      </c>
    </row>
    <row r="340" spans="2:20" x14ac:dyDescent="0.15">
      <c r="B340" s="6" t="s">
        <v>71</v>
      </c>
      <c r="C340" s="25"/>
      <c r="D340" s="19">
        <v>1</v>
      </c>
      <c r="E340" s="55">
        <f t="shared" si="150"/>
        <v>1</v>
      </c>
      <c r="F340" s="31"/>
      <c r="G340" s="7"/>
      <c r="H340" s="64">
        <f t="shared" si="151"/>
        <v>0</v>
      </c>
      <c r="I340" s="38">
        <f t="shared" si="152"/>
        <v>1</v>
      </c>
      <c r="J340" s="36">
        <v>45450</v>
      </c>
      <c r="L340" s="6"/>
      <c r="M340" s="25"/>
      <c r="N340" s="19"/>
      <c r="O340" s="55">
        <f t="shared" si="144"/>
        <v>0</v>
      </c>
      <c r="P340" s="31"/>
      <c r="Q340" s="7"/>
      <c r="R340" s="64">
        <f t="shared" si="145"/>
        <v>0</v>
      </c>
      <c r="S340" s="38">
        <f t="shared" si="146"/>
        <v>0</v>
      </c>
    </row>
    <row r="341" spans="2:20" x14ac:dyDescent="0.15">
      <c r="B341" s="6" t="s">
        <v>7</v>
      </c>
      <c r="C341" s="25"/>
      <c r="D341" s="19">
        <v>1</v>
      </c>
      <c r="E341" s="55">
        <f t="shared" si="150"/>
        <v>1</v>
      </c>
      <c r="F341" s="31"/>
      <c r="G341" s="7">
        <f>1+1</f>
        <v>2</v>
      </c>
      <c r="H341" s="64">
        <f t="shared" si="151"/>
        <v>2</v>
      </c>
      <c r="I341" s="38">
        <f t="shared" si="152"/>
        <v>3</v>
      </c>
      <c r="J341" s="36">
        <v>45448</v>
      </c>
      <c r="L341" s="6"/>
      <c r="M341" s="28"/>
      <c r="N341" s="22"/>
      <c r="O341" s="55">
        <f t="shared" si="144"/>
        <v>0</v>
      </c>
      <c r="P341" s="33"/>
      <c r="Q341" s="8"/>
      <c r="R341" s="64">
        <f t="shared" si="145"/>
        <v>0</v>
      </c>
      <c r="S341" s="38">
        <f t="shared" si="146"/>
        <v>0</v>
      </c>
    </row>
    <row r="342" spans="2:20" x14ac:dyDescent="0.15">
      <c r="B342" s="6" t="s">
        <v>25</v>
      </c>
      <c r="C342" s="25"/>
      <c r="D342" s="19">
        <v>5</v>
      </c>
      <c r="E342" s="55">
        <f t="shared" si="150"/>
        <v>5</v>
      </c>
      <c r="F342" s="31"/>
      <c r="G342" s="7"/>
      <c r="H342" s="64">
        <f t="shared" si="151"/>
        <v>0</v>
      </c>
      <c r="I342" s="38">
        <f t="shared" si="152"/>
        <v>5</v>
      </c>
      <c r="J342" s="36">
        <v>45450</v>
      </c>
      <c r="L342" s="6"/>
      <c r="M342" s="28"/>
      <c r="N342" s="22"/>
      <c r="O342" s="55">
        <f t="shared" si="144"/>
        <v>0</v>
      </c>
      <c r="P342" s="33"/>
      <c r="Q342" s="8"/>
      <c r="R342" s="64">
        <f t="shared" si="145"/>
        <v>0</v>
      </c>
      <c r="S342" s="38">
        <f t="shared" si="146"/>
        <v>0</v>
      </c>
    </row>
    <row r="343" spans="2:20" x14ac:dyDescent="0.15">
      <c r="B343" s="6" t="s">
        <v>7</v>
      </c>
      <c r="C343" s="25"/>
      <c r="D343" s="19">
        <v>1</v>
      </c>
      <c r="E343" s="55">
        <f t="shared" si="150"/>
        <v>1</v>
      </c>
      <c r="F343" s="31"/>
      <c r="G343" s="7">
        <v>1</v>
      </c>
      <c r="H343" s="64">
        <f t="shared" si="151"/>
        <v>1</v>
      </c>
      <c r="I343" s="38">
        <f t="shared" si="152"/>
        <v>2</v>
      </c>
      <c r="J343" s="36">
        <v>45450</v>
      </c>
      <c r="L343" s="6"/>
      <c r="M343" s="28"/>
      <c r="N343" s="22"/>
      <c r="O343" s="55">
        <f t="shared" si="144"/>
        <v>0</v>
      </c>
      <c r="P343" s="33"/>
      <c r="Q343" s="8"/>
      <c r="R343" s="64">
        <f t="shared" si="145"/>
        <v>0</v>
      </c>
      <c r="S343" s="38">
        <f t="shared" si="146"/>
        <v>0</v>
      </c>
    </row>
    <row r="344" spans="2:20" x14ac:dyDescent="0.15">
      <c r="B344" s="6" t="s">
        <v>7</v>
      </c>
      <c r="C344" s="25">
        <v>1</v>
      </c>
      <c r="D344" s="19">
        <f>1+3</f>
        <v>4</v>
      </c>
      <c r="E344" s="55">
        <f t="shared" si="150"/>
        <v>5</v>
      </c>
      <c r="F344" s="31">
        <v>1</v>
      </c>
      <c r="G344" s="7">
        <f>1+2+1</f>
        <v>4</v>
      </c>
      <c r="H344" s="64">
        <f t="shared" si="151"/>
        <v>5</v>
      </c>
      <c r="I344" s="38">
        <f t="shared" si="152"/>
        <v>10</v>
      </c>
      <c r="J344" s="36">
        <v>45453</v>
      </c>
      <c r="L344" s="6"/>
      <c r="M344" s="28"/>
      <c r="N344" s="22"/>
      <c r="O344" s="55">
        <f t="shared" si="144"/>
        <v>0</v>
      </c>
      <c r="P344" s="33"/>
      <c r="Q344" s="8"/>
      <c r="R344" s="64">
        <f t="shared" si="145"/>
        <v>0</v>
      </c>
      <c r="S344" s="38">
        <f t="shared" si="146"/>
        <v>0</v>
      </c>
    </row>
    <row r="345" spans="2:20" x14ac:dyDescent="0.15">
      <c r="B345" s="6" t="s">
        <v>7</v>
      </c>
      <c r="C345" s="25">
        <v>1</v>
      </c>
      <c r="D345" s="19"/>
      <c r="E345" s="55">
        <f t="shared" si="150"/>
        <v>1</v>
      </c>
      <c r="F345" s="31">
        <v>1</v>
      </c>
      <c r="G345" s="7"/>
      <c r="H345" s="64">
        <f t="shared" si="151"/>
        <v>1</v>
      </c>
      <c r="I345" s="38">
        <f t="shared" si="152"/>
        <v>2</v>
      </c>
      <c r="J345" s="36">
        <v>45455</v>
      </c>
      <c r="L345" s="6"/>
      <c r="M345" s="28"/>
      <c r="N345" s="22"/>
      <c r="O345" s="55">
        <f t="shared" si="144"/>
        <v>0</v>
      </c>
      <c r="P345" s="33"/>
      <c r="Q345" s="8"/>
      <c r="R345" s="64">
        <f t="shared" si="145"/>
        <v>0</v>
      </c>
      <c r="S345" s="38">
        <f t="shared" si="146"/>
        <v>0</v>
      </c>
    </row>
    <row r="346" spans="2:20" x14ac:dyDescent="0.15">
      <c r="B346" s="6" t="s">
        <v>7</v>
      </c>
      <c r="C346" s="25"/>
      <c r="D346" s="19">
        <v>2</v>
      </c>
      <c r="E346" s="55">
        <f t="shared" si="150"/>
        <v>2</v>
      </c>
      <c r="F346" s="31"/>
      <c r="G346" s="7"/>
      <c r="H346" s="64">
        <f t="shared" si="151"/>
        <v>0</v>
      </c>
      <c r="I346" s="38">
        <f t="shared" si="152"/>
        <v>2</v>
      </c>
      <c r="J346" s="36">
        <v>45456</v>
      </c>
      <c r="L346" s="6"/>
      <c r="M346" s="28"/>
      <c r="N346" s="22"/>
      <c r="O346" s="55">
        <f t="shared" si="144"/>
        <v>0</v>
      </c>
      <c r="P346" s="33"/>
      <c r="Q346" s="8"/>
      <c r="R346" s="64">
        <f t="shared" si="145"/>
        <v>0</v>
      </c>
      <c r="S346" s="38">
        <f t="shared" si="146"/>
        <v>0</v>
      </c>
    </row>
    <row r="347" spans="2:20" x14ac:dyDescent="0.15">
      <c r="B347" s="6" t="s">
        <v>7</v>
      </c>
      <c r="C347" s="25">
        <v>1</v>
      </c>
      <c r="D347" s="19"/>
      <c r="E347" s="55">
        <f t="shared" si="150"/>
        <v>1</v>
      </c>
      <c r="F347" s="31"/>
      <c r="G347" s="7"/>
      <c r="H347" s="64">
        <f t="shared" si="151"/>
        <v>0</v>
      </c>
      <c r="I347" s="38">
        <f t="shared" si="152"/>
        <v>1</v>
      </c>
      <c r="J347" s="36">
        <v>45457</v>
      </c>
      <c r="L347" s="6"/>
      <c r="M347" s="28"/>
      <c r="N347" s="22"/>
      <c r="O347" s="55">
        <f t="shared" si="144"/>
        <v>0</v>
      </c>
      <c r="P347" s="33"/>
      <c r="Q347" s="8"/>
      <c r="R347" s="64">
        <f t="shared" si="145"/>
        <v>0</v>
      </c>
      <c r="S347" s="38">
        <f t="shared" si="146"/>
        <v>0</v>
      </c>
    </row>
    <row r="348" spans="2:20" x14ac:dyDescent="0.15">
      <c r="B348" s="6" t="s">
        <v>25</v>
      </c>
      <c r="C348" s="25"/>
      <c r="D348" s="19">
        <v>5</v>
      </c>
      <c r="E348" s="55">
        <f t="shared" si="150"/>
        <v>5</v>
      </c>
      <c r="F348" s="31"/>
      <c r="G348" s="7"/>
      <c r="H348" s="64">
        <f t="shared" si="151"/>
        <v>0</v>
      </c>
      <c r="I348" s="38">
        <f t="shared" si="152"/>
        <v>5</v>
      </c>
      <c r="J348" s="36">
        <v>45458</v>
      </c>
      <c r="L348" s="6"/>
      <c r="M348" s="28"/>
      <c r="N348" s="22"/>
      <c r="O348" s="55">
        <f t="shared" si="144"/>
        <v>0</v>
      </c>
      <c r="P348" s="33"/>
      <c r="Q348" s="8"/>
      <c r="R348" s="64">
        <f t="shared" si="145"/>
        <v>0</v>
      </c>
      <c r="S348" s="38">
        <f t="shared" si="146"/>
        <v>0</v>
      </c>
    </row>
    <row r="349" spans="2:20" x14ac:dyDescent="0.15">
      <c r="B349" s="6" t="s">
        <v>7</v>
      </c>
      <c r="C349" s="25">
        <v>3</v>
      </c>
      <c r="D349" s="19">
        <v>2</v>
      </c>
      <c r="E349" s="55">
        <f t="shared" si="150"/>
        <v>5</v>
      </c>
      <c r="F349" s="31"/>
      <c r="G349" s="7"/>
      <c r="H349" s="64">
        <f t="shared" si="151"/>
        <v>0</v>
      </c>
      <c r="I349" s="38">
        <f t="shared" si="152"/>
        <v>5</v>
      </c>
      <c r="J349" s="36">
        <v>45460</v>
      </c>
      <c r="L349" s="6"/>
      <c r="M349" s="28"/>
      <c r="N349" s="22"/>
      <c r="O349" s="55">
        <f t="shared" si="144"/>
        <v>0</v>
      </c>
      <c r="P349" s="33"/>
      <c r="Q349" s="8"/>
      <c r="R349" s="64">
        <f t="shared" si="145"/>
        <v>0</v>
      </c>
      <c r="S349" s="38">
        <f t="shared" si="146"/>
        <v>0</v>
      </c>
    </row>
    <row r="350" spans="2:20" x14ac:dyDescent="0.15">
      <c r="B350" s="6" t="s">
        <v>7</v>
      </c>
      <c r="C350" s="25"/>
      <c r="D350" s="19"/>
      <c r="E350" s="55">
        <f t="shared" si="150"/>
        <v>0</v>
      </c>
      <c r="F350" s="31"/>
      <c r="G350" s="7">
        <v>2</v>
      </c>
      <c r="H350" s="64">
        <f t="shared" si="151"/>
        <v>2</v>
      </c>
      <c r="I350" s="38">
        <f t="shared" si="152"/>
        <v>2</v>
      </c>
      <c r="J350" s="36">
        <v>45461</v>
      </c>
      <c r="L350" s="6"/>
      <c r="M350" s="28"/>
      <c r="N350" s="22"/>
      <c r="O350" s="55">
        <f t="shared" si="144"/>
        <v>0</v>
      </c>
      <c r="P350" s="33"/>
      <c r="Q350" s="8"/>
      <c r="R350" s="64">
        <f t="shared" si="145"/>
        <v>0</v>
      </c>
      <c r="S350" s="38">
        <f t="shared" si="146"/>
        <v>0</v>
      </c>
    </row>
    <row r="351" spans="2:20" x14ac:dyDescent="0.15">
      <c r="B351" s="6" t="s">
        <v>107</v>
      </c>
      <c r="C351" s="25"/>
      <c r="D351" s="19"/>
      <c r="E351" s="55">
        <f t="shared" si="150"/>
        <v>0</v>
      </c>
      <c r="F351" s="31"/>
      <c r="G351" s="7">
        <v>2</v>
      </c>
      <c r="H351" s="64">
        <f t="shared" si="151"/>
        <v>2</v>
      </c>
      <c r="I351" s="38">
        <f t="shared" si="152"/>
        <v>2</v>
      </c>
      <c r="J351" s="36">
        <v>45462</v>
      </c>
      <c r="L351" s="6"/>
      <c r="M351" s="28"/>
      <c r="N351" s="22"/>
      <c r="O351" s="55">
        <f t="shared" si="144"/>
        <v>0</v>
      </c>
      <c r="P351" s="33"/>
      <c r="Q351" s="8"/>
      <c r="R351" s="64">
        <f t="shared" si="145"/>
        <v>0</v>
      </c>
      <c r="S351" s="38">
        <f t="shared" si="146"/>
        <v>0</v>
      </c>
    </row>
    <row r="352" spans="2:20" x14ac:dyDescent="0.15">
      <c r="B352" s="6" t="s">
        <v>7</v>
      </c>
      <c r="C352" s="25"/>
      <c r="D352" s="19"/>
      <c r="E352" s="55">
        <f t="shared" si="150"/>
        <v>0</v>
      </c>
      <c r="F352" s="31">
        <v>1</v>
      </c>
      <c r="G352" s="7"/>
      <c r="H352" s="64">
        <f t="shared" si="151"/>
        <v>1</v>
      </c>
      <c r="I352" s="38">
        <f t="shared" si="152"/>
        <v>1</v>
      </c>
      <c r="J352" s="36">
        <v>45462</v>
      </c>
      <c r="L352" s="6"/>
      <c r="M352" s="28"/>
      <c r="N352" s="22"/>
      <c r="O352" s="55">
        <f t="shared" si="144"/>
        <v>0</v>
      </c>
      <c r="P352" s="33"/>
      <c r="Q352" s="8"/>
      <c r="R352" s="64">
        <f t="shared" si="145"/>
        <v>0</v>
      </c>
      <c r="S352" s="38">
        <f t="shared" si="146"/>
        <v>0</v>
      </c>
    </row>
    <row r="353" spans="2:20" x14ac:dyDescent="0.15">
      <c r="B353" s="6" t="s">
        <v>73</v>
      </c>
      <c r="C353" s="25"/>
      <c r="D353" s="19"/>
      <c r="E353" s="55">
        <f t="shared" si="150"/>
        <v>0</v>
      </c>
      <c r="F353" s="31">
        <v>1</v>
      </c>
      <c r="G353" s="7"/>
      <c r="H353" s="64">
        <f t="shared" si="151"/>
        <v>1</v>
      </c>
      <c r="I353" s="38">
        <f t="shared" si="152"/>
        <v>1</v>
      </c>
      <c r="J353" s="36">
        <v>45464</v>
      </c>
      <c r="L353" s="6"/>
      <c r="M353" s="28"/>
      <c r="N353" s="22"/>
      <c r="O353" s="55">
        <f t="shared" si="144"/>
        <v>0</v>
      </c>
      <c r="P353" s="33"/>
      <c r="Q353" s="8"/>
      <c r="R353" s="64">
        <f t="shared" si="145"/>
        <v>0</v>
      </c>
      <c r="S353" s="38">
        <f t="shared" si="146"/>
        <v>0</v>
      </c>
    </row>
    <row r="354" spans="2:20" x14ac:dyDescent="0.15">
      <c r="B354" s="6" t="s">
        <v>7</v>
      </c>
      <c r="C354" s="25">
        <v>1</v>
      </c>
      <c r="D354" s="19"/>
      <c r="E354" s="55">
        <f t="shared" si="150"/>
        <v>1</v>
      </c>
      <c r="F354" s="31"/>
      <c r="G354" s="7"/>
      <c r="H354" s="64">
        <f t="shared" si="151"/>
        <v>0</v>
      </c>
      <c r="I354" s="38">
        <f t="shared" si="152"/>
        <v>1</v>
      </c>
      <c r="J354" s="36">
        <v>45463</v>
      </c>
      <c r="L354" s="6"/>
      <c r="M354" s="28"/>
      <c r="N354" s="22"/>
      <c r="O354" s="55">
        <f t="shared" si="144"/>
        <v>0</v>
      </c>
      <c r="P354" s="33"/>
      <c r="Q354" s="8"/>
      <c r="R354" s="64">
        <f t="shared" si="145"/>
        <v>0</v>
      </c>
      <c r="S354" s="38">
        <f t="shared" si="146"/>
        <v>0</v>
      </c>
    </row>
    <row r="355" spans="2:20" x14ac:dyDescent="0.15">
      <c r="B355" s="6" t="s">
        <v>7</v>
      </c>
      <c r="C355" s="25"/>
      <c r="D355" s="19">
        <v>1</v>
      </c>
      <c r="E355" s="55">
        <f t="shared" si="138"/>
        <v>1</v>
      </c>
      <c r="F355" s="31"/>
      <c r="G355" s="7"/>
      <c r="H355" s="64">
        <f t="shared" si="139"/>
        <v>0</v>
      </c>
      <c r="I355" s="38">
        <f t="shared" si="140"/>
        <v>1</v>
      </c>
      <c r="J355" s="36">
        <v>45464</v>
      </c>
      <c r="L355" s="6"/>
      <c r="M355" s="28"/>
      <c r="N355" s="22"/>
      <c r="O355" s="55">
        <f t="shared" ref="O355:O356" si="156">SUM(M355:N355)</f>
        <v>0</v>
      </c>
      <c r="P355" s="33"/>
      <c r="Q355" s="8"/>
      <c r="R355" s="64">
        <f t="shared" ref="R355:R356" si="157">SUM(P355:Q355)</f>
        <v>0</v>
      </c>
      <c r="S355" s="38">
        <f t="shared" ref="S355:S356" si="158">O355+R355</f>
        <v>0</v>
      </c>
    </row>
    <row r="356" spans="2:20" ht="14.25" thickBot="1" x14ac:dyDescent="0.2">
      <c r="B356" s="6" t="s">
        <v>7</v>
      </c>
      <c r="C356" s="25">
        <v>2</v>
      </c>
      <c r="D356" s="19">
        <f>1+2</f>
        <v>3</v>
      </c>
      <c r="E356" s="55">
        <f t="shared" si="138"/>
        <v>5</v>
      </c>
      <c r="F356" s="31"/>
      <c r="G356" s="7"/>
      <c r="H356" s="64">
        <f t="shared" si="139"/>
        <v>0</v>
      </c>
      <c r="I356" s="38">
        <f t="shared" si="140"/>
        <v>5</v>
      </c>
      <c r="J356" s="36">
        <v>45467</v>
      </c>
      <c r="L356" s="6"/>
      <c r="M356" s="28"/>
      <c r="N356" s="22"/>
      <c r="O356" s="55">
        <f t="shared" si="156"/>
        <v>0</v>
      </c>
      <c r="P356" s="33"/>
      <c r="Q356" s="8"/>
      <c r="R356" s="64">
        <f t="shared" si="157"/>
        <v>0</v>
      </c>
      <c r="S356" s="38">
        <f t="shared" si="158"/>
        <v>0</v>
      </c>
    </row>
    <row r="357" spans="2:20" ht="14.25" thickBot="1" x14ac:dyDescent="0.2">
      <c r="B357" s="4" t="s">
        <v>1</v>
      </c>
      <c r="C357" s="27">
        <f>SUM(C332:C356)</f>
        <v>13</v>
      </c>
      <c r="D357" s="21">
        <f>SUM(D332:D356)</f>
        <v>38</v>
      </c>
      <c r="E357" s="57">
        <f t="shared" si="138"/>
        <v>51</v>
      </c>
      <c r="F357" s="27">
        <f>SUM(F332:F356)</f>
        <v>4</v>
      </c>
      <c r="G357" s="21">
        <f>SUM(G332:G356)</f>
        <v>17</v>
      </c>
      <c r="H357" s="66">
        <f t="shared" si="139"/>
        <v>21</v>
      </c>
      <c r="I357" s="40">
        <f t="shared" si="140"/>
        <v>72</v>
      </c>
      <c r="L357" s="4" t="s">
        <v>1</v>
      </c>
      <c r="M357" s="27">
        <f>SUM(M332:M356)</f>
        <v>40</v>
      </c>
      <c r="N357" s="21">
        <f>SUM(N332:N356)</f>
        <v>55</v>
      </c>
      <c r="O357" s="57">
        <f t="shared" si="144"/>
        <v>95</v>
      </c>
      <c r="P357" s="27">
        <f>SUM(P332:P356)</f>
        <v>35</v>
      </c>
      <c r="Q357" s="21">
        <f>SUM(Q332:Q356)</f>
        <v>30</v>
      </c>
      <c r="R357" s="66">
        <f t="shared" si="145"/>
        <v>65</v>
      </c>
      <c r="S357" s="40">
        <f t="shared" si="146"/>
        <v>160</v>
      </c>
    </row>
    <row r="358" spans="2:20" ht="14.25" thickBot="1" x14ac:dyDescent="0.2">
      <c r="B358" s="3" t="s">
        <v>0</v>
      </c>
      <c r="C358" s="30">
        <f>+C331-C357</f>
        <v>7</v>
      </c>
      <c r="D358" s="2">
        <f>+D331-D357</f>
        <v>4</v>
      </c>
      <c r="E358" s="58">
        <f t="shared" si="138"/>
        <v>11</v>
      </c>
      <c r="F358" s="30">
        <f>+F331-F357</f>
        <v>14</v>
      </c>
      <c r="G358" s="2">
        <f>+G331-G357</f>
        <v>12</v>
      </c>
      <c r="H358" s="67">
        <f t="shared" si="139"/>
        <v>26</v>
      </c>
      <c r="I358" s="42">
        <f t="shared" si="140"/>
        <v>37</v>
      </c>
      <c r="L358" s="3" t="s">
        <v>0</v>
      </c>
      <c r="M358" s="30">
        <f>+M331-M357</f>
        <v>20</v>
      </c>
      <c r="N358" s="2">
        <f>+N331-N357</f>
        <v>5</v>
      </c>
      <c r="O358" s="58">
        <f t="shared" si="144"/>
        <v>25</v>
      </c>
      <c r="P358" s="30">
        <f>+P331-P357</f>
        <v>12</v>
      </c>
      <c r="Q358" s="2">
        <f>+Q331-Q357</f>
        <v>9</v>
      </c>
      <c r="R358" s="67">
        <f t="shared" si="145"/>
        <v>21</v>
      </c>
      <c r="S358" s="42">
        <f t="shared" si="146"/>
        <v>46</v>
      </c>
    </row>
    <row r="359" spans="2:20" x14ac:dyDescent="0.15">
      <c r="L359" s="1"/>
      <c r="T359" s="35"/>
    </row>
    <row r="360" spans="2:20" x14ac:dyDescent="0.15">
      <c r="B360"/>
      <c r="J360"/>
    </row>
    <row r="361" spans="2:20" ht="18.75" x14ac:dyDescent="0.2">
      <c r="B361" s="16" t="s">
        <v>21</v>
      </c>
      <c r="C361" s="15"/>
      <c r="D361" s="15"/>
      <c r="E361" s="15"/>
      <c r="F361" s="15"/>
      <c r="G361" s="15"/>
      <c r="H361" s="15"/>
      <c r="I361" s="15"/>
      <c r="L361" s="71" t="s">
        <v>22</v>
      </c>
      <c r="M361" s="72"/>
      <c r="N361" s="72"/>
      <c r="O361" s="72"/>
      <c r="P361" s="72"/>
      <c r="Q361" s="72"/>
      <c r="R361" s="72"/>
      <c r="S361" s="72"/>
      <c r="T361" s="35"/>
    </row>
    <row r="362" spans="2:20" ht="18" thickBot="1" x14ac:dyDescent="0.25">
      <c r="B362" s="17" t="s">
        <v>23</v>
      </c>
      <c r="C362" s="15"/>
      <c r="D362" s="15"/>
      <c r="E362" s="15"/>
      <c r="F362" s="15"/>
      <c r="G362" s="15"/>
      <c r="H362" s="15"/>
      <c r="I362" s="15"/>
      <c r="L362" s="73" t="s">
        <v>23</v>
      </c>
      <c r="M362" s="72"/>
      <c r="N362" s="72"/>
      <c r="O362" s="72"/>
      <c r="P362" s="72"/>
      <c r="Q362" s="72"/>
      <c r="R362" s="72"/>
      <c r="S362" s="72"/>
      <c r="T362" s="35"/>
    </row>
    <row r="363" spans="2:20" ht="14.25" thickBot="1" x14ac:dyDescent="0.2">
      <c r="B363" s="14"/>
      <c r="C363" s="113" t="s">
        <v>12</v>
      </c>
      <c r="D363" s="114"/>
      <c r="E363" s="115"/>
      <c r="F363" s="116" t="s">
        <v>11</v>
      </c>
      <c r="G363" s="117"/>
      <c r="H363" s="118"/>
      <c r="I363" s="13" t="s">
        <v>19</v>
      </c>
      <c r="L363" s="14"/>
      <c r="M363" s="113" t="s">
        <v>12</v>
      </c>
      <c r="N363" s="114"/>
      <c r="O363" s="115"/>
      <c r="P363" s="116" t="s">
        <v>11</v>
      </c>
      <c r="Q363" s="117"/>
      <c r="R363" s="118"/>
      <c r="S363" s="13" t="s">
        <v>19</v>
      </c>
    </row>
    <row r="364" spans="2:20" ht="14.25" thickBot="1" x14ac:dyDescent="0.2">
      <c r="B364" s="13"/>
      <c r="C364" s="23" t="s">
        <v>6</v>
      </c>
      <c r="D364" s="12" t="s">
        <v>5</v>
      </c>
      <c r="E364" s="50" t="s">
        <v>4</v>
      </c>
      <c r="F364" s="23" t="s">
        <v>6</v>
      </c>
      <c r="G364" s="12" t="s">
        <v>5</v>
      </c>
      <c r="H364" s="59" t="s">
        <v>4</v>
      </c>
      <c r="I364" s="49"/>
      <c r="L364" s="13"/>
      <c r="M364" s="23" t="s">
        <v>6</v>
      </c>
      <c r="N364" s="12" t="s">
        <v>5</v>
      </c>
      <c r="O364" s="50" t="s">
        <v>4</v>
      </c>
      <c r="P364" s="23" t="s">
        <v>6</v>
      </c>
      <c r="Q364" s="12" t="s">
        <v>5</v>
      </c>
      <c r="R364" s="59" t="s">
        <v>4</v>
      </c>
      <c r="S364" s="49"/>
    </row>
    <row r="365" spans="2:20" x14ac:dyDescent="0.15">
      <c r="B365" s="46" t="s">
        <v>0</v>
      </c>
      <c r="C365" s="47">
        <f t="shared" ref="C365:H365" si="159">C358</f>
        <v>7</v>
      </c>
      <c r="D365" s="48">
        <f t="shared" si="159"/>
        <v>4</v>
      </c>
      <c r="E365" s="68">
        <f t="shared" si="159"/>
        <v>11</v>
      </c>
      <c r="F365" s="47">
        <f t="shared" si="159"/>
        <v>14</v>
      </c>
      <c r="G365" s="48">
        <f t="shared" si="159"/>
        <v>12</v>
      </c>
      <c r="H365" s="69">
        <f t="shared" si="159"/>
        <v>26</v>
      </c>
      <c r="I365" s="41">
        <f>E365+H365</f>
        <v>37</v>
      </c>
      <c r="J365" s="36"/>
      <c r="L365" s="46" t="s">
        <v>0</v>
      </c>
      <c r="M365" s="47">
        <f t="shared" ref="M365:R365" si="160">M358</f>
        <v>20</v>
      </c>
      <c r="N365" s="48">
        <f t="shared" si="160"/>
        <v>5</v>
      </c>
      <c r="O365" s="68">
        <f t="shared" si="160"/>
        <v>25</v>
      </c>
      <c r="P365" s="47">
        <f t="shared" si="160"/>
        <v>12</v>
      </c>
      <c r="Q365" s="48">
        <f t="shared" si="160"/>
        <v>9</v>
      </c>
      <c r="R365" s="69">
        <f t="shared" si="160"/>
        <v>21</v>
      </c>
      <c r="S365" s="41">
        <f>O365+R365</f>
        <v>46</v>
      </c>
    </row>
    <row r="366" spans="2:20" x14ac:dyDescent="0.15">
      <c r="B366" s="11" t="s">
        <v>3</v>
      </c>
      <c r="C366" s="25">
        <v>5</v>
      </c>
      <c r="D366" s="19">
        <v>5</v>
      </c>
      <c r="E366" s="52">
        <f t="shared" ref="E366:E398" si="161">SUM(C366:D366)</f>
        <v>10</v>
      </c>
      <c r="F366" s="31"/>
      <c r="G366" s="7"/>
      <c r="H366" s="61">
        <f t="shared" ref="H366:H398" si="162">SUM(F366:G366)</f>
        <v>0</v>
      </c>
      <c r="I366" s="38">
        <f t="shared" ref="I366:I398" si="163">E366+H366</f>
        <v>10</v>
      </c>
      <c r="J366" s="36">
        <v>45467</v>
      </c>
      <c r="L366" s="11" t="s">
        <v>3</v>
      </c>
      <c r="M366" s="25"/>
      <c r="N366" s="19"/>
      <c r="O366" s="52">
        <f t="shared" ref="O366:O398" si="164">SUM(M366:N366)</f>
        <v>0</v>
      </c>
      <c r="P366" s="31"/>
      <c r="Q366" s="7"/>
      <c r="R366" s="61">
        <f t="shared" ref="R366:R398" si="165">SUM(P366:Q366)</f>
        <v>0</v>
      </c>
      <c r="S366" s="38">
        <f t="shared" ref="S366:S398" si="166">O366+R366</f>
        <v>0</v>
      </c>
    </row>
    <row r="367" spans="2:20" x14ac:dyDescent="0.15">
      <c r="B367" s="11" t="s">
        <v>3</v>
      </c>
      <c r="C367" s="25">
        <v>5</v>
      </c>
      <c r="D367" s="19">
        <v>10</v>
      </c>
      <c r="E367" s="52">
        <f t="shared" si="161"/>
        <v>15</v>
      </c>
      <c r="F367" s="31"/>
      <c r="G367" s="7">
        <v>5</v>
      </c>
      <c r="H367" s="61">
        <f t="shared" si="162"/>
        <v>5</v>
      </c>
      <c r="I367" s="38">
        <f t="shared" si="163"/>
        <v>20</v>
      </c>
      <c r="J367" s="36">
        <v>45469</v>
      </c>
      <c r="L367" s="11" t="s">
        <v>3</v>
      </c>
      <c r="M367" s="25"/>
      <c r="N367" s="19"/>
      <c r="O367" s="52">
        <f t="shared" si="164"/>
        <v>0</v>
      </c>
      <c r="P367" s="31"/>
      <c r="Q367" s="7"/>
      <c r="R367" s="61">
        <f t="shared" si="165"/>
        <v>0</v>
      </c>
      <c r="S367" s="38">
        <f t="shared" si="166"/>
        <v>0</v>
      </c>
    </row>
    <row r="368" spans="2:20" x14ac:dyDescent="0.15">
      <c r="B368" s="11" t="s">
        <v>3</v>
      </c>
      <c r="C368" s="25">
        <v>10</v>
      </c>
      <c r="D368" s="19">
        <v>10</v>
      </c>
      <c r="E368" s="52">
        <f t="shared" si="161"/>
        <v>20</v>
      </c>
      <c r="F368" s="31">
        <v>10</v>
      </c>
      <c r="G368" s="7"/>
      <c r="H368" s="61">
        <f t="shared" si="162"/>
        <v>10</v>
      </c>
      <c r="I368" s="38">
        <f t="shared" si="163"/>
        <v>30</v>
      </c>
      <c r="J368" s="36">
        <v>45470</v>
      </c>
      <c r="L368" s="11" t="s">
        <v>3</v>
      </c>
      <c r="M368" s="25"/>
      <c r="N368" s="19"/>
      <c r="O368" s="52">
        <f t="shared" ref="O368" si="167">SUM(M368:N368)</f>
        <v>0</v>
      </c>
      <c r="P368" s="31"/>
      <c r="Q368" s="7"/>
      <c r="R368" s="61">
        <f t="shared" ref="R368" si="168">SUM(P368:Q368)</f>
        <v>0</v>
      </c>
      <c r="S368" s="38">
        <f t="shared" ref="S368" si="169">O368+R368</f>
        <v>0</v>
      </c>
    </row>
    <row r="369" spans="2:20" x14ac:dyDescent="0.15">
      <c r="B369" s="11" t="s">
        <v>3</v>
      </c>
      <c r="C369" s="25"/>
      <c r="D369" s="19"/>
      <c r="E369" s="52">
        <f t="shared" si="161"/>
        <v>0</v>
      </c>
      <c r="F369" s="31">
        <v>5</v>
      </c>
      <c r="G369" s="7">
        <v>5</v>
      </c>
      <c r="H369" s="61">
        <f t="shared" si="162"/>
        <v>10</v>
      </c>
      <c r="I369" s="38">
        <f t="shared" si="163"/>
        <v>10</v>
      </c>
      <c r="J369" s="36">
        <v>45475</v>
      </c>
      <c r="L369" s="11" t="s">
        <v>103</v>
      </c>
      <c r="M369" s="25">
        <v>30</v>
      </c>
      <c r="N369" s="19">
        <v>60</v>
      </c>
      <c r="O369" s="52">
        <f t="shared" si="164"/>
        <v>90</v>
      </c>
      <c r="P369" s="31">
        <v>15</v>
      </c>
      <c r="Q369" s="7">
        <v>30</v>
      </c>
      <c r="R369" s="61">
        <f t="shared" si="165"/>
        <v>45</v>
      </c>
      <c r="S369" s="38">
        <f t="shared" si="166"/>
        <v>135</v>
      </c>
      <c r="T369" s="78" t="s">
        <v>110</v>
      </c>
    </row>
    <row r="370" spans="2:20" ht="14.25" thickBot="1" x14ac:dyDescent="0.2">
      <c r="B370" s="11" t="s">
        <v>3</v>
      </c>
      <c r="C370" s="26">
        <v>5</v>
      </c>
      <c r="D370" s="20">
        <v>10</v>
      </c>
      <c r="E370" s="53">
        <f t="shared" si="161"/>
        <v>15</v>
      </c>
      <c r="F370" s="32">
        <v>5</v>
      </c>
      <c r="G370" s="5">
        <v>5</v>
      </c>
      <c r="H370" s="62">
        <f t="shared" si="162"/>
        <v>10</v>
      </c>
      <c r="I370" s="39">
        <f t="shared" si="163"/>
        <v>25</v>
      </c>
      <c r="J370" s="36">
        <v>45477</v>
      </c>
      <c r="L370" s="10" t="s">
        <v>3</v>
      </c>
      <c r="M370" s="26"/>
      <c r="N370" s="20"/>
      <c r="O370" s="53">
        <f t="shared" si="164"/>
        <v>0</v>
      </c>
      <c r="P370" s="32"/>
      <c r="Q370" s="5"/>
      <c r="R370" s="62">
        <f t="shared" si="165"/>
        <v>0</v>
      </c>
      <c r="S370" s="39">
        <f t="shared" si="166"/>
        <v>0</v>
      </c>
    </row>
    <row r="371" spans="2:20" ht="14.25" thickBot="1" x14ac:dyDescent="0.2">
      <c r="B371" s="43" t="s">
        <v>2</v>
      </c>
      <c r="C371" s="44">
        <f>SUM(C365:C370)</f>
        <v>32</v>
      </c>
      <c r="D371" s="45">
        <f>SUM(D365:D370)</f>
        <v>39</v>
      </c>
      <c r="E371" s="54">
        <f t="shared" si="161"/>
        <v>71</v>
      </c>
      <c r="F371" s="44">
        <f>SUM(F365:F370)</f>
        <v>34</v>
      </c>
      <c r="G371" s="45">
        <f>SUM(G365:G370)</f>
        <v>27</v>
      </c>
      <c r="H371" s="63">
        <f t="shared" si="162"/>
        <v>61</v>
      </c>
      <c r="I371" s="42">
        <f t="shared" si="163"/>
        <v>132</v>
      </c>
      <c r="L371" s="43" t="s">
        <v>2</v>
      </c>
      <c r="M371" s="44">
        <f>SUM(M365:M370)</f>
        <v>50</v>
      </c>
      <c r="N371" s="45">
        <f>SUM(N365:N370)</f>
        <v>65</v>
      </c>
      <c r="O371" s="54">
        <f t="shared" si="164"/>
        <v>115</v>
      </c>
      <c r="P371" s="44">
        <f>SUM(P365:P370)</f>
        <v>27</v>
      </c>
      <c r="Q371" s="45">
        <f>SUM(Q365:Q370)</f>
        <v>39</v>
      </c>
      <c r="R371" s="63">
        <f t="shared" si="165"/>
        <v>66</v>
      </c>
      <c r="S371" s="42">
        <f t="shared" si="166"/>
        <v>181</v>
      </c>
    </row>
    <row r="372" spans="2:20" x14ac:dyDescent="0.15">
      <c r="B372" s="6" t="s">
        <v>74</v>
      </c>
      <c r="C372" s="25">
        <v>4</v>
      </c>
      <c r="D372" s="19">
        <v>5</v>
      </c>
      <c r="E372" s="55">
        <f t="shared" ref="E372:E394" si="170">SUM(C372:D372)</f>
        <v>9</v>
      </c>
      <c r="F372" s="31">
        <v>3</v>
      </c>
      <c r="G372" s="7">
        <v>3</v>
      </c>
      <c r="H372" s="64">
        <f t="shared" ref="H372:H394" si="171">SUM(F372:G372)</f>
        <v>6</v>
      </c>
      <c r="I372" s="38">
        <f t="shared" ref="I372:I394" si="172">E372+H372</f>
        <v>15</v>
      </c>
      <c r="J372" s="36">
        <v>45470</v>
      </c>
      <c r="L372" s="6" t="s">
        <v>112</v>
      </c>
      <c r="M372" s="25"/>
      <c r="N372" s="19">
        <v>4</v>
      </c>
      <c r="O372" s="55">
        <f t="shared" ref="O372:O373" si="173">SUM(M372:N372)</f>
        <v>4</v>
      </c>
      <c r="P372" s="31"/>
      <c r="Q372" s="7"/>
      <c r="R372" s="64">
        <f t="shared" ref="R372:R373" si="174">SUM(P372:Q372)</f>
        <v>0</v>
      </c>
      <c r="S372" s="38">
        <f t="shared" ref="S372:S373" si="175">O372+R372</f>
        <v>4</v>
      </c>
      <c r="T372" s="78">
        <v>45485</v>
      </c>
    </row>
    <row r="373" spans="2:20" x14ac:dyDescent="0.15">
      <c r="B373" s="6" t="s">
        <v>7</v>
      </c>
      <c r="C373" s="25"/>
      <c r="D373" s="19">
        <f>1+2</f>
        <v>3</v>
      </c>
      <c r="E373" s="55">
        <f t="shared" si="170"/>
        <v>3</v>
      </c>
      <c r="F373" s="31"/>
      <c r="G373" s="7">
        <v>2</v>
      </c>
      <c r="H373" s="64">
        <f t="shared" si="171"/>
        <v>2</v>
      </c>
      <c r="I373" s="38">
        <f t="shared" si="172"/>
        <v>5</v>
      </c>
      <c r="J373" s="36">
        <v>45468</v>
      </c>
      <c r="L373" s="6" t="s">
        <v>32</v>
      </c>
      <c r="M373" s="25">
        <v>5</v>
      </c>
      <c r="N373" s="19">
        <v>5</v>
      </c>
      <c r="O373" s="55">
        <f t="shared" si="173"/>
        <v>10</v>
      </c>
      <c r="P373" s="31">
        <v>5</v>
      </c>
      <c r="Q373" s="7"/>
      <c r="R373" s="64">
        <f t="shared" si="174"/>
        <v>5</v>
      </c>
      <c r="S373" s="38">
        <f t="shared" si="175"/>
        <v>15</v>
      </c>
      <c r="T373" s="78">
        <v>45489</v>
      </c>
    </row>
    <row r="374" spans="2:20" x14ac:dyDescent="0.15">
      <c r="B374" s="6" t="s">
        <v>108</v>
      </c>
      <c r="C374" s="25">
        <v>5</v>
      </c>
      <c r="D374" s="19">
        <v>5</v>
      </c>
      <c r="E374" s="55">
        <f t="shared" si="170"/>
        <v>10</v>
      </c>
      <c r="F374" s="31">
        <v>3</v>
      </c>
      <c r="G374" s="7"/>
      <c r="H374" s="64">
        <f t="shared" si="171"/>
        <v>3</v>
      </c>
      <c r="I374" s="38">
        <f t="shared" si="172"/>
        <v>13</v>
      </c>
      <c r="J374" s="36">
        <v>45469</v>
      </c>
      <c r="L374" s="6"/>
      <c r="M374" s="25"/>
      <c r="N374" s="19"/>
      <c r="O374" s="55">
        <f t="shared" si="164"/>
        <v>0</v>
      </c>
      <c r="P374" s="31"/>
      <c r="Q374" s="7"/>
      <c r="R374" s="64">
        <f t="shared" si="165"/>
        <v>0</v>
      </c>
      <c r="S374" s="38">
        <f t="shared" si="166"/>
        <v>0</v>
      </c>
    </row>
    <row r="375" spans="2:20" x14ac:dyDescent="0.15">
      <c r="B375" s="6" t="s">
        <v>7</v>
      </c>
      <c r="C375" s="25">
        <f>1+1</f>
        <v>2</v>
      </c>
      <c r="D375" s="19">
        <f>1+1+1</f>
        <v>3</v>
      </c>
      <c r="E375" s="55">
        <f t="shared" si="170"/>
        <v>5</v>
      </c>
      <c r="F375" s="31">
        <v>1</v>
      </c>
      <c r="G375" s="7"/>
      <c r="H375" s="64">
        <f t="shared" si="171"/>
        <v>1</v>
      </c>
      <c r="I375" s="38">
        <f t="shared" si="172"/>
        <v>6</v>
      </c>
      <c r="J375" s="36">
        <v>45469</v>
      </c>
      <c r="L375" s="6"/>
      <c r="M375" s="25"/>
      <c r="N375" s="19"/>
      <c r="O375" s="55">
        <f t="shared" si="164"/>
        <v>0</v>
      </c>
      <c r="P375" s="31"/>
      <c r="Q375" s="7"/>
      <c r="R375" s="64">
        <f t="shared" si="165"/>
        <v>0</v>
      </c>
      <c r="S375" s="38">
        <f t="shared" si="166"/>
        <v>0</v>
      </c>
    </row>
    <row r="376" spans="2:20" x14ac:dyDescent="0.15">
      <c r="B376" s="6" t="s">
        <v>75</v>
      </c>
      <c r="C376" s="25"/>
      <c r="D376" s="19"/>
      <c r="E376" s="55">
        <f t="shared" si="170"/>
        <v>0</v>
      </c>
      <c r="F376" s="31">
        <v>5</v>
      </c>
      <c r="G376" s="7">
        <v>3</v>
      </c>
      <c r="H376" s="64">
        <f t="shared" si="171"/>
        <v>8</v>
      </c>
      <c r="I376" s="38">
        <f t="shared" si="172"/>
        <v>8</v>
      </c>
      <c r="J376" s="36">
        <v>45476</v>
      </c>
      <c r="L376" s="6"/>
      <c r="M376" s="28"/>
      <c r="N376" s="22"/>
      <c r="O376" s="55">
        <f t="shared" si="164"/>
        <v>0</v>
      </c>
      <c r="P376" s="33"/>
      <c r="Q376" s="8"/>
      <c r="R376" s="64">
        <f t="shared" si="165"/>
        <v>0</v>
      </c>
      <c r="S376" s="38">
        <f t="shared" si="166"/>
        <v>0</v>
      </c>
    </row>
    <row r="377" spans="2:20" x14ac:dyDescent="0.15">
      <c r="B377" s="6" t="s">
        <v>7</v>
      </c>
      <c r="C377" s="25">
        <v>3</v>
      </c>
      <c r="D377" s="19">
        <v>1</v>
      </c>
      <c r="E377" s="55">
        <f t="shared" si="170"/>
        <v>4</v>
      </c>
      <c r="F377" s="31">
        <v>2</v>
      </c>
      <c r="G377" s="7"/>
      <c r="H377" s="64">
        <f t="shared" si="171"/>
        <v>2</v>
      </c>
      <c r="I377" s="38">
        <f t="shared" si="172"/>
        <v>6</v>
      </c>
      <c r="J377" s="36">
        <v>45474</v>
      </c>
      <c r="L377" s="6"/>
      <c r="M377" s="28"/>
      <c r="N377" s="22"/>
      <c r="O377" s="55">
        <f t="shared" si="164"/>
        <v>0</v>
      </c>
      <c r="P377" s="33"/>
      <c r="Q377" s="8"/>
      <c r="R377" s="64">
        <f t="shared" si="165"/>
        <v>0</v>
      </c>
      <c r="S377" s="38">
        <f t="shared" si="166"/>
        <v>0</v>
      </c>
    </row>
    <row r="378" spans="2:20" x14ac:dyDescent="0.15">
      <c r="B378" s="6" t="s">
        <v>76</v>
      </c>
      <c r="C378" s="25">
        <v>1</v>
      </c>
      <c r="D378" s="19"/>
      <c r="E378" s="55">
        <f t="shared" si="170"/>
        <v>1</v>
      </c>
      <c r="F378" s="31">
        <v>5</v>
      </c>
      <c r="G378" s="7">
        <v>2</v>
      </c>
      <c r="H378" s="64">
        <f t="shared" si="171"/>
        <v>7</v>
      </c>
      <c r="I378" s="38">
        <f t="shared" si="172"/>
        <v>8</v>
      </c>
      <c r="J378" s="36">
        <v>45477</v>
      </c>
      <c r="L378" s="6"/>
      <c r="M378" s="28"/>
      <c r="N378" s="22"/>
      <c r="O378" s="55">
        <f t="shared" si="164"/>
        <v>0</v>
      </c>
      <c r="P378" s="33"/>
      <c r="Q378" s="8"/>
      <c r="R378" s="64">
        <f t="shared" si="165"/>
        <v>0</v>
      </c>
      <c r="S378" s="38">
        <f t="shared" si="166"/>
        <v>0</v>
      </c>
    </row>
    <row r="379" spans="2:20" x14ac:dyDescent="0.15">
      <c r="B379" s="6" t="s">
        <v>7</v>
      </c>
      <c r="C379" s="25">
        <v>1</v>
      </c>
      <c r="D379" s="19">
        <f>1+2</f>
        <v>3</v>
      </c>
      <c r="E379" s="55">
        <f t="shared" si="170"/>
        <v>4</v>
      </c>
      <c r="F379" s="31"/>
      <c r="G379" s="7"/>
      <c r="H379" s="64">
        <f t="shared" si="171"/>
        <v>0</v>
      </c>
      <c r="I379" s="38">
        <f t="shared" si="172"/>
        <v>4</v>
      </c>
      <c r="J379" s="36">
        <v>45475</v>
      </c>
      <c r="L379" s="6"/>
      <c r="M379" s="28"/>
      <c r="N379" s="22"/>
      <c r="O379" s="55">
        <f t="shared" si="164"/>
        <v>0</v>
      </c>
      <c r="P379" s="33"/>
      <c r="Q379" s="8"/>
      <c r="R379" s="64">
        <f t="shared" si="165"/>
        <v>0</v>
      </c>
      <c r="S379" s="38">
        <f t="shared" si="166"/>
        <v>0</v>
      </c>
    </row>
    <row r="380" spans="2:20" x14ac:dyDescent="0.15">
      <c r="B380" s="6" t="s">
        <v>7</v>
      </c>
      <c r="C380" s="25"/>
      <c r="D380" s="19">
        <v>1</v>
      </c>
      <c r="E380" s="55">
        <f t="shared" si="170"/>
        <v>1</v>
      </c>
      <c r="F380" s="31">
        <v>1</v>
      </c>
      <c r="G380" s="7"/>
      <c r="H380" s="64">
        <f t="shared" si="171"/>
        <v>1</v>
      </c>
      <c r="I380" s="38">
        <f t="shared" si="172"/>
        <v>2</v>
      </c>
      <c r="J380" s="36">
        <v>45476</v>
      </c>
      <c r="L380" s="6"/>
      <c r="M380" s="28"/>
      <c r="N380" s="22"/>
      <c r="O380" s="55">
        <f t="shared" si="164"/>
        <v>0</v>
      </c>
      <c r="P380" s="33"/>
      <c r="Q380" s="8"/>
      <c r="R380" s="64">
        <f t="shared" si="165"/>
        <v>0</v>
      </c>
      <c r="S380" s="38">
        <f t="shared" si="166"/>
        <v>0</v>
      </c>
    </row>
    <row r="381" spans="2:20" x14ac:dyDescent="0.15">
      <c r="B381" s="6" t="s">
        <v>77</v>
      </c>
      <c r="C381" s="25"/>
      <c r="D381" s="19">
        <v>1</v>
      </c>
      <c r="E381" s="55">
        <f t="shared" si="170"/>
        <v>1</v>
      </c>
      <c r="F381" s="31">
        <v>2</v>
      </c>
      <c r="G381" s="7"/>
      <c r="H381" s="64">
        <f t="shared" si="171"/>
        <v>2</v>
      </c>
      <c r="I381" s="38">
        <f t="shared" si="172"/>
        <v>3</v>
      </c>
      <c r="J381" s="36">
        <v>45478</v>
      </c>
      <c r="L381" s="6"/>
      <c r="M381" s="28"/>
      <c r="N381" s="22"/>
      <c r="O381" s="55">
        <f t="shared" si="164"/>
        <v>0</v>
      </c>
      <c r="P381" s="33"/>
      <c r="Q381" s="8"/>
      <c r="R381" s="64">
        <f t="shared" si="165"/>
        <v>0</v>
      </c>
      <c r="S381" s="38">
        <f t="shared" si="166"/>
        <v>0</v>
      </c>
    </row>
    <row r="382" spans="2:20" x14ac:dyDescent="0.15">
      <c r="B382" s="6" t="s">
        <v>109</v>
      </c>
      <c r="C382" s="25"/>
      <c r="D382" s="19"/>
      <c r="E382" s="55">
        <f t="shared" si="170"/>
        <v>0</v>
      </c>
      <c r="F382" s="31"/>
      <c r="G382" s="7">
        <v>-1</v>
      </c>
      <c r="H382" s="64">
        <f t="shared" si="171"/>
        <v>-1</v>
      </c>
      <c r="I382" s="38">
        <f t="shared" si="172"/>
        <v>-1</v>
      </c>
      <c r="J382" s="36">
        <v>45477</v>
      </c>
      <c r="L382" s="6"/>
      <c r="M382" s="28"/>
      <c r="N382" s="22"/>
      <c r="O382" s="55">
        <f t="shared" si="164"/>
        <v>0</v>
      </c>
      <c r="P382" s="33"/>
      <c r="Q382" s="8"/>
      <c r="R382" s="64">
        <f t="shared" si="165"/>
        <v>0</v>
      </c>
      <c r="S382" s="38">
        <f t="shared" si="166"/>
        <v>0</v>
      </c>
    </row>
    <row r="383" spans="2:20" x14ac:dyDescent="0.15">
      <c r="B383" s="6" t="s">
        <v>78</v>
      </c>
      <c r="C383" s="25"/>
      <c r="D383" s="19"/>
      <c r="E383" s="55">
        <f t="shared" si="170"/>
        <v>0</v>
      </c>
      <c r="F383" s="31">
        <v>3</v>
      </c>
      <c r="G383" s="7"/>
      <c r="H383" s="64">
        <f t="shared" si="171"/>
        <v>3</v>
      </c>
      <c r="I383" s="38">
        <f t="shared" si="172"/>
        <v>3</v>
      </c>
      <c r="J383" s="36">
        <v>45481</v>
      </c>
      <c r="L383" s="6"/>
      <c r="M383" s="28"/>
      <c r="N383" s="22"/>
      <c r="O383" s="55">
        <f t="shared" si="164"/>
        <v>0</v>
      </c>
      <c r="P383" s="33"/>
      <c r="Q383" s="8"/>
      <c r="R383" s="64">
        <f t="shared" si="165"/>
        <v>0</v>
      </c>
      <c r="S383" s="38">
        <f t="shared" si="166"/>
        <v>0</v>
      </c>
    </row>
    <row r="384" spans="2:20" x14ac:dyDescent="0.15">
      <c r="B384" s="6" t="s">
        <v>7</v>
      </c>
      <c r="C384" s="25">
        <v>1</v>
      </c>
      <c r="D384" s="19">
        <f>2+1</f>
        <v>3</v>
      </c>
      <c r="E384" s="55">
        <f t="shared" si="170"/>
        <v>4</v>
      </c>
      <c r="F384" s="31">
        <v>1</v>
      </c>
      <c r="G384" s="7">
        <v>1</v>
      </c>
      <c r="H384" s="64">
        <f t="shared" si="171"/>
        <v>2</v>
      </c>
      <c r="I384" s="38">
        <f t="shared" si="172"/>
        <v>6</v>
      </c>
      <c r="J384" s="36">
        <v>45478</v>
      </c>
      <c r="L384" s="6"/>
      <c r="M384" s="28"/>
      <c r="N384" s="22"/>
      <c r="O384" s="55">
        <f t="shared" si="164"/>
        <v>0</v>
      </c>
      <c r="P384" s="33"/>
      <c r="Q384" s="8"/>
      <c r="R384" s="64">
        <f t="shared" si="165"/>
        <v>0</v>
      </c>
      <c r="S384" s="38">
        <f t="shared" si="166"/>
        <v>0</v>
      </c>
    </row>
    <row r="385" spans="2:20" x14ac:dyDescent="0.15">
      <c r="B385" s="6" t="s">
        <v>7</v>
      </c>
      <c r="C385" s="25"/>
      <c r="D385" s="19">
        <v>1</v>
      </c>
      <c r="E385" s="55">
        <f t="shared" si="170"/>
        <v>1</v>
      </c>
      <c r="F385" s="31"/>
      <c r="G385" s="7"/>
      <c r="H385" s="64">
        <f t="shared" si="171"/>
        <v>0</v>
      </c>
      <c r="I385" s="38">
        <f t="shared" si="172"/>
        <v>1</v>
      </c>
      <c r="J385" s="36">
        <v>45479</v>
      </c>
      <c r="L385" s="6"/>
      <c r="M385" s="28"/>
      <c r="N385" s="22"/>
      <c r="O385" s="55">
        <f t="shared" si="164"/>
        <v>0</v>
      </c>
      <c r="P385" s="33"/>
      <c r="Q385" s="8"/>
      <c r="R385" s="64">
        <f t="shared" si="165"/>
        <v>0</v>
      </c>
      <c r="S385" s="38">
        <f t="shared" si="166"/>
        <v>0</v>
      </c>
    </row>
    <row r="386" spans="2:20" x14ac:dyDescent="0.15">
      <c r="B386" s="6" t="s">
        <v>80</v>
      </c>
      <c r="C386" s="25">
        <v>1</v>
      </c>
      <c r="D386" s="19">
        <v>2</v>
      </c>
      <c r="E386" s="55">
        <f t="shared" si="170"/>
        <v>3</v>
      </c>
      <c r="F386" s="31"/>
      <c r="G386" s="7">
        <v>2</v>
      </c>
      <c r="H386" s="64">
        <f t="shared" si="171"/>
        <v>2</v>
      </c>
      <c r="I386" s="38">
        <f t="shared" si="172"/>
        <v>5</v>
      </c>
      <c r="J386" s="36">
        <v>45483</v>
      </c>
      <c r="L386" s="6"/>
      <c r="M386" s="28"/>
      <c r="N386" s="22"/>
      <c r="O386" s="55">
        <f t="shared" si="164"/>
        <v>0</v>
      </c>
      <c r="P386" s="33"/>
      <c r="Q386" s="8"/>
      <c r="R386" s="64">
        <f t="shared" si="165"/>
        <v>0</v>
      </c>
      <c r="S386" s="38">
        <f t="shared" si="166"/>
        <v>0</v>
      </c>
    </row>
    <row r="387" spans="2:20" x14ac:dyDescent="0.15">
      <c r="B387" s="6" t="s">
        <v>25</v>
      </c>
      <c r="C387" s="25">
        <v>3</v>
      </c>
      <c r="D387" s="19">
        <v>5</v>
      </c>
      <c r="E387" s="55">
        <f t="shared" si="170"/>
        <v>8</v>
      </c>
      <c r="F387" s="31"/>
      <c r="G387" s="7">
        <v>5</v>
      </c>
      <c r="H387" s="64">
        <f t="shared" si="171"/>
        <v>5</v>
      </c>
      <c r="I387" s="38">
        <f t="shared" si="172"/>
        <v>13</v>
      </c>
      <c r="J387" s="36">
        <v>45482</v>
      </c>
      <c r="L387" s="6"/>
      <c r="M387" s="28"/>
      <c r="N387" s="22"/>
      <c r="O387" s="55">
        <f t="shared" si="164"/>
        <v>0</v>
      </c>
      <c r="P387" s="33"/>
      <c r="Q387" s="8"/>
      <c r="R387" s="64">
        <f t="shared" si="165"/>
        <v>0</v>
      </c>
      <c r="S387" s="38">
        <f t="shared" si="166"/>
        <v>0</v>
      </c>
    </row>
    <row r="388" spans="2:20" x14ac:dyDescent="0.15">
      <c r="B388" s="6" t="s">
        <v>7</v>
      </c>
      <c r="C388" s="25">
        <v>2</v>
      </c>
      <c r="D388" s="19">
        <v>2</v>
      </c>
      <c r="E388" s="55">
        <f t="shared" si="170"/>
        <v>4</v>
      </c>
      <c r="F388" s="31">
        <v>1</v>
      </c>
      <c r="G388" s="7"/>
      <c r="H388" s="64">
        <f t="shared" si="171"/>
        <v>1</v>
      </c>
      <c r="I388" s="38">
        <f t="shared" si="172"/>
        <v>5</v>
      </c>
      <c r="J388" s="36">
        <v>45481</v>
      </c>
      <c r="L388" s="6"/>
      <c r="M388" s="28"/>
      <c r="N388" s="22"/>
      <c r="O388" s="55">
        <f t="shared" si="164"/>
        <v>0</v>
      </c>
      <c r="P388" s="33"/>
      <c r="Q388" s="8"/>
      <c r="R388" s="64">
        <f t="shared" si="165"/>
        <v>0</v>
      </c>
      <c r="S388" s="38">
        <f t="shared" si="166"/>
        <v>0</v>
      </c>
    </row>
    <row r="389" spans="2:20" x14ac:dyDescent="0.15">
      <c r="B389" s="6" t="s">
        <v>111</v>
      </c>
      <c r="C389" s="25">
        <v>-5</v>
      </c>
      <c r="D389" s="19">
        <v>-10</v>
      </c>
      <c r="E389" s="55">
        <f t="shared" si="170"/>
        <v>-15</v>
      </c>
      <c r="F389" s="31">
        <v>-5</v>
      </c>
      <c r="G389" s="7">
        <v>-5</v>
      </c>
      <c r="H389" s="64">
        <f t="shared" si="171"/>
        <v>-10</v>
      </c>
      <c r="I389" s="38">
        <f t="shared" si="172"/>
        <v>-25</v>
      </c>
      <c r="J389" s="36">
        <v>45482</v>
      </c>
      <c r="L389" s="6"/>
      <c r="M389" s="28"/>
      <c r="N389" s="22"/>
      <c r="O389" s="55">
        <f t="shared" si="164"/>
        <v>0</v>
      </c>
      <c r="P389" s="33"/>
      <c r="Q389" s="8"/>
      <c r="R389" s="64">
        <f t="shared" si="165"/>
        <v>0</v>
      </c>
      <c r="S389" s="38">
        <f t="shared" si="166"/>
        <v>0</v>
      </c>
    </row>
    <row r="390" spans="2:20" x14ac:dyDescent="0.15">
      <c r="B390" s="6" t="s">
        <v>82</v>
      </c>
      <c r="C390" s="25">
        <v>3</v>
      </c>
      <c r="D390" s="19">
        <v>2</v>
      </c>
      <c r="E390" s="55">
        <f t="shared" si="170"/>
        <v>5</v>
      </c>
      <c r="F390" s="31"/>
      <c r="G390" s="7"/>
      <c r="H390" s="64">
        <f t="shared" si="171"/>
        <v>0</v>
      </c>
      <c r="I390" s="38">
        <f t="shared" si="172"/>
        <v>5</v>
      </c>
      <c r="J390" s="36">
        <v>45484</v>
      </c>
      <c r="L390" s="6"/>
      <c r="M390" s="28"/>
      <c r="N390" s="22"/>
      <c r="O390" s="55">
        <f t="shared" si="164"/>
        <v>0</v>
      </c>
      <c r="P390" s="33"/>
      <c r="Q390" s="8"/>
      <c r="R390" s="64">
        <f t="shared" si="165"/>
        <v>0</v>
      </c>
      <c r="S390" s="38">
        <f t="shared" si="166"/>
        <v>0</v>
      </c>
    </row>
    <row r="391" spans="2:20" x14ac:dyDescent="0.15">
      <c r="B391" s="6" t="s">
        <v>7</v>
      </c>
      <c r="C391" s="25">
        <v>1</v>
      </c>
      <c r="D391" s="19">
        <v>1</v>
      </c>
      <c r="E391" s="55">
        <f t="shared" si="170"/>
        <v>2</v>
      </c>
      <c r="F391" s="31"/>
      <c r="G391" s="7"/>
      <c r="H391" s="64">
        <f t="shared" si="171"/>
        <v>0</v>
      </c>
      <c r="I391" s="38">
        <f t="shared" si="172"/>
        <v>2</v>
      </c>
      <c r="J391" s="36">
        <v>45482</v>
      </c>
      <c r="L391" s="6"/>
      <c r="M391" s="28"/>
      <c r="N391" s="22"/>
      <c r="O391" s="55">
        <f t="shared" si="164"/>
        <v>0</v>
      </c>
      <c r="P391" s="33"/>
      <c r="Q391" s="8"/>
      <c r="R391" s="64">
        <f t="shared" si="165"/>
        <v>0</v>
      </c>
      <c r="S391" s="38">
        <f t="shared" si="166"/>
        <v>0</v>
      </c>
    </row>
    <row r="392" spans="2:20" x14ac:dyDescent="0.15">
      <c r="B392" s="6" t="s">
        <v>84</v>
      </c>
      <c r="C392" s="25"/>
      <c r="D392" s="19">
        <v>3</v>
      </c>
      <c r="E392" s="55">
        <f t="shared" si="170"/>
        <v>3</v>
      </c>
      <c r="F392" s="31">
        <v>2</v>
      </c>
      <c r="G392" s="7">
        <v>3</v>
      </c>
      <c r="H392" s="64">
        <f t="shared" si="171"/>
        <v>5</v>
      </c>
      <c r="I392" s="38">
        <f t="shared" si="172"/>
        <v>8</v>
      </c>
      <c r="J392" s="36">
        <v>45485</v>
      </c>
      <c r="L392" s="6"/>
      <c r="M392" s="28"/>
      <c r="N392" s="22"/>
      <c r="O392" s="55">
        <f t="shared" si="164"/>
        <v>0</v>
      </c>
      <c r="P392" s="33"/>
      <c r="Q392" s="8"/>
      <c r="R392" s="64">
        <f t="shared" si="165"/>
        <v>0</v>
      </c>
      <c r="S392" s="38">
        <f t="shared" si="166"/>
        <v>0</v>
      </c>
    </row>
    <row r="393" spans="2:20" x14ac:dyDescent="0.15">
      <c r="B393" s="6" t="s">
        <v>85</v>
      </c>
      <c r="C393" s="25">
        <v>3</v>
      </c>
      <c r="D393" s="19">
        <v>1</v>
      </c>
      <c r="E393" s="55">
        <f t="shared" si="170"/>
        <v>4</v>
      </c>
      <c r="F393" s="31">
        <v>2</v>
      </c>
      <c r="G393" s="7"/>
      <c r="H393" s="64">
        <f t="shared" si="171"/>
        <v>2</v>
      </c>
      <c r="I393" s="38">
        <f t="shared" si="172"/>
        <v>6</v>
      </c>
      <c r="J393" s="36">
        <v>45485</v>
      </c>
      <c r="L393" s="6"/>
      <c r="M393" s="28"/>
      <c r="N393" s="22"/>
      <c r="O393" s="55">
        <f t="shared" si="164"/>
        <v>0</v>
      </c>
      <c r="P393" s="33"/>
      <c r="Q393" s="8"/>
      <c r="R393" s="64">
        <f t="shared" si="165"/>
        <v>0</v>
      </c>
      <c r="S393" s="38">
        <f t="shared" si="166"/>
        <v>0</v>
      </c>
    </row>
    <row r="394" spans="2:20" x14ac:dyDescent="0.15">
      <c r="B394" s="6" t="s">
        <v>7</v>
      </c>
      <c r="C394" s="25"/>
      <c r="D394" s="19">
        <v>1</v>
      </c>
      <c r="E394" s="55">
        <f t="shared" si="170"/>
        <v>1</v>
      </c>
      <c r="F394" s="31"/>
      <c r="G394" s="7"/>
      <c r="H394" s="64">
        <f t="shared" si="171"/>
        <v>0</v>
      </c>
      <c r="I394" s="38">
        <f t="shared" si="172"/>
        <v>1</v>
      </c>
      <c r="J394" s="36">
        <v>45483</v>
      </c>
      <c r="L394" s="6"/>
      <c r="M394" s="28"/>
      <c r="N394" s="22"/>
      <c r="O394" s="55">
        <f t="shared" si="164"/>
        <v>0</v>
      </c>
      <c r="P394" s="33"/>
      <c r="Q394" s="8"/>
      <c r="R394" s="64">
        <f t="shared" si="165"/>
        <v>0</v>
      </c>
      <c r="S394" s="38">
        <f t="shared" si="166"/>
        <v>0</v>
      </c>
    </row>
    <row r="395" spans="2:20" x14ac:dyDescent="0.15">
      <c r="B395" s="6" t="s">
        <v>3</v>
      </c>
      <c r="C395" s="25">
        <v>-5</v>
      </c>
      <c r="D395" s="19">
        <v>-5</v>
      </c>
      <c r="E395" s="55">
        <f t="shared" si="161"/>
        <v>-10</v>
      </c>
      <c r="F395" s="31">
        <v>-5</v>
      </c>
      <c r="G395" s="7"/>
      <c r="H395" s="64">
        <f t="shared" si="162"/>
        <v>-5</v>
      </c>
      <c r="I395" s="38">
        <f t="shared" si="163"/>
        <v>-15</v>
      </c>
      <c r="J395" s="36">
        <v>45489</v>
      </c>
      <c r="L395" s="6"/>
      <c r="M395" s="28"/>
      <c r="N395" s="22"/>
      <c r="O395" s="55">
        <f t="shared" ref="O395" si="176">SUM(M395:N395)</f>
        <v>0</v>
      </c>
      <c r="P395" s="33"/>
      <c r="Q395" s="8"/>
      <c r="R395" s="64">
        <f t="shared" ref="R395" si="177">SUM(P395:Q395)</f>
        <v>0</v>
      </c>
      <c r="S395" s="38">
        <f t="shared" ref="S395" si="178">O395+R395</f>
        <v>0</v>
      </c>
    </row>
    <row r="396" spans="2:20" ht="14.25" thickBot="1" x14ac:dyDescent="0.2">
      <c r="B396" s="6" t="s">
        <v>87</v>
      </c>
      <c r="C396" s="25">
        <v>1</v>
      </c>
      <c r="D396" s="19"/>
      <c r="E396" s="55">
        <f t="shared" si="161"/>
        <v>1</v>
      </c>
      <c r="F396" s="31">
        <v>1</v>
      </c>
      <c r="G396" s="7"/>
      <c r="H396" s="64">
        <f t="shared" si="162"/>
        <v>1</v>
      </c>
      <c r="I396" s="38">
        <f t="shared" si="163"/>
        <v>2</v>
      </c>
      <c r="J396" s="36">
        <v>45491</v>
      </c>
      <c r="L396" s="6" t="s">
        <v>17</v>
      </c>
      <c r="M396" s="25"/>
      <c r="N396" s="19"/>
      <c r="O396" s="55">
        <f t="shared" ref="O396" si="179">SUM(M396:N396)</f>
        <v>0</v>
      </c>
      <c r="P396" s="31"/>
      <c r="Q396" s="7"/>
      <c r="R396" s="64">
        <f t="shared" ref="R396" si="180">SUM(P396:Q396)</f>
        <v>0</v>
      </c>
      <c r="S396" s="38">
        <f t="shared" ref="S396" si="181">O396+R396</f>
        <v>0</v>
      </c>
      <c r="T396" t="s">
        <v>18</v>
      </c>
    </row>
    <row r="397" spans="2:20" ht="14.25" thickBot="1" x14ac:dyDescent="0.2">
      <c r="B397" s="4" t="s">
        <v>1</v>
      </c>
      <c r="C397" s="27">
        <f>SUM(C372:C396)</f>
        <v>21</v>
      </c>
      <c r="D397" s="21">
        <f>SUM(D372:D396)</f>
        <v>28</v>
      </c>
      <c r="E397" s="57">
        <f t="shared" si="161"/>
        <v>49</v>
      </c>
      <c r="F397" s="27">
        <f>SUM(F372:F396)</f>
        <v>22</v>
      </c>
      <c r="G397" s="21">
        <f>SUM(G372:G396)</f>
        <v>15</v>
      </c>
      <c r="H397" s="66">
        <f t="shared" si="162"/>
        <v>37</v>
      </c>
      <c r="I397" s="40">
        <f t="shared" si="163"/>
        <v>86</v>
      </c>
      <c r="L397" s="4" t="s">
        <v>1</v>
      </c>
      <c r="M397" s="27">
        <f>SUM(M372:M396)</f>
        <v>5</v>
      </c>
      <c r="N397" s="21">
        <f>SUM(N372:N396)</f>
        <v>9</v>
      </c>
      <c r="O397" s="57">
        <f t="shared" si="164"/>
        <v>14</v>
      </c>
      <c r="P397" s="27">
        <f>SUM(P372:P396)</f>
        <v>5</v>
      </c>
      <c r="Q397" s="21">
        <f>SUM(Q372:Q396)</f>
        <v>0</v>
      </c>
      <c r="R397" s="66">
        <f t="shared" si="165"/>
        <v>5</v>
      </c>
      <c r="S397" s="40">
        <f t="shared" si="166"/>
        <v>19</v>
      </c>
    </row>
    <row r="398" spans="2:20" ht="14.25" thickBot="1" x14ac:dyDescent="0.2">
      <c r="B398" s="3" t="s">
        <v>0</v>
      </c>
      <c r="C398" s="30">
        <f>+C371-C397</f>
        <v>11</v>
      </c>
      <c r="D398" s="2">
        <f>+D371-D397</f>
        <v>11</v>
      </c>
      <c r="E398" s="58">
        <f t="shared" si="161"/>
        <v>22</v>
      </c>
      <c r="F398" s="30">
        <f>+F371-F397</f>
        <v>12</v>
      </c>
      <c r="G398" s="2">
        <f>+G371-G397</f>
        <v>12</v>
      </c>
      <c r="H398" s="67">
        <f t="shared" si="162"/>
        <v>24</v>
      </c>
      <c r="I398" s="42">
        <f t="shared" si="163"/>
        <v>46</v>
      </c>
      <c r="L398" s="3" t="s">
        <v>0</v>
      </c>
      <c r="M398" s="30">
        <f>+M371-M397</f>
        <v>45</v>
      </c>
      <c r="N398" s="2">
        <f>+N371-N397</f>
        <v>56</v>
      </c>
      <c r="O398" s="58">
        <f t="shared" si="164"/>
        <v>101</v>
      </c>
      <c r="P398" s="30">
        <f>+P371-P397</f>
        <v>22</v>
      </c>
      <c r="Q398" s="2">
        <f>+Q371-Q397</f>
        <v>39</v>
      </c>
      <c r="R398" s="67">
        <f t="shared" si="165"/>
        <v>61</v>
      </c>
      <c r="S398" s="42">
        <f t="shared" si="166"/>
        <v>162</v>
      </c>
    </row>
    <row r="399" spans="2:20" x14ac:dyDescent="0.15">
      <c r="L399" s="1"/>
      <c r="T399" s="35"/>
    </row>
    <row r="400" spans="2:20" x14ac:dyDescent="0.15">
      <c r="B400"/>
      <c r="J400"/>
    </row>
    <row r="401" spans="2:20" ht="18.75" x14ac:dyDescent="0.2">
      <c r="B401" s="16" t="s">
        <v>21</v>
      </c>
      <c r="C401" s="15"/>
      <c r="D401" s="15"/>
      <c r="E401" s="15"/>
      <c r="F401" s="15"/>
      <c r="G401" s="15"/>
      <c r="H401" s="15"/>
      <c r="I401" s="15"/>
      <c r="L401" s="71" t="s">
        <v>22</v>
      </c>
      <c r="M401" s="72"/>
      <c r="N401" s="72"/>
      <c r="O401" s="72"/>
      <c r="P401" s="72"/>
      <c r="Q401" s="72"/>
      <c r="R401" s="72"/>
      <c r="S401" s="72"/>
      <c r="T401" s="35"/>
    </row>
    <row r="402" spans="2:20" ht="18" thickBot="1" x14ac:dyDescent="0.25">
      <c r="B402" s="17" t="s">
        <v>23</v>
      </c>
      <c r="C402" s="15"/>
      <c r="D402" s="15"/>
      <c r="E402" s="15"/>
      <c r="F402" s="15"/>
      <c r="G402" s="15"/>
      <c r="H402" s="15"/>
      <c r="I402" s="15"/>
      <c r="L402" s="73" t="s">
        <v>23</v>
      </c>
      <c r="M402" s="72"/>
      <c r="N402" s="72"/>
      <c r="O402" s="72"/>
      <c r="P402" s="72"/>
      <c r="Q402" s="72"/>
      <c r="R402" s="72"/>
      <c r="S402" s="72"/>
      <c r="T402" s="35"/>
    </row>
    <row r="403" spans="2:20" ht="14.25" thickBot="1" x14ac:dyDescent="0.2">
      <c r="B403" s="14"/>
      <c r="C403" s="113" t="s">
        <v>12</v>
      </c>
      <c r="D403" s="114"/>
      <c r="E403" s="115"/>
      <c r="F403" s="116" t="s">
        <v>11</v>
      </c>
      <c r="G403" s="117"/>
      <c r="H403" s="118"/>
      <c r="I403" s="13" t="s">
        <v>19</v>
      </c>
      <c r="L403" s="14"/>
      <c r="M403" s="113" t="s">
        <v>12</v>
      </c>
      <c r="N403" s="114"/>
      <c r="O403" s="115"/>
      <c r="P403" s="116" t="s">
        <v>11</v>
      </c>
      <c r="Q403" s="117"/>
      <c r="R403" s="118"/>
      <c r="S403" s="13" t="s">
        <v>19</v>
      </c>
    </row>
    <row r="404" spans="2:20" ht="14.25" thickBot="1" x14ac:dyDescent="0.2">
      <c r="B404" s="13"/>
      <c r="C404" s="23" t="s">
        <v>6</v>
      </c>
      <c r="D404" s="12" t="s">
        <v>5</v>
      </c>
      <c r="E404" s="50" t="s">
        <v>4</v>
      </c>
      <c r="F404" s="23" t="s">
        <v>6</v>
      </c>
      <c r="G404" s="12" t="s">
        <v>5</v>
      </c>
      <c r="H404" s="59" t="s">
        <v>4</v>
      </c>
      <c r="I404" s="49"/>
      <c r="L404" s="13"/>
      <c r="M404" s="23" t="s">
        <v>6</v>
      </c>
      <c r="N404" s="12" t="s">
        <v>5</v>
      </c>
      <c r="O404" s="50" t="s">
        <v>4</v>
      </c>
      <c r="P404" s="23" t="s">
        <v>6</v>
      </c>
      <c r="Q404" s="12" t="s">
        <v>5</v>
      </c>
      <c r="R404" s="59" t="s">
        <v>4</v>
      </c>
      <c r="S404" s="49"/>
    </row>
    <row r="405" spans="2:20" x14ac:dyDescent="0.15">
      <c r="B405" s="46" t="s">
        <v>0</v>
      </c>
      <c r="C405" s="47">
        <f t="shared" ref="C405:H405" si="182">C398</f>
        <v>11</v>
      </c>
      <c r="D405" s="48">
        <f t="shared" si="182"/>
        <v>11</v>
      </c>
      <c r="E405" s="68">
        <f t="shared" si="182"/>
        <v>22</v>
      </c>
      <c r="F405" s="47">
        <f t="shared" si="182"/>
        <v>12</v>
      </c>
      <c r="G405" s="48">
        <f t="shared" si="182"/>
        <v>12</v>
      </c>
      <c r="H405" s="69">
        <f t="shared" si="182"/>
        <v>24</v>
      </c>
      <c r="I405" s="41">
        <f>E405+H405</f>
        <v>46</v>
      </c>
      <c r="J405" s="36"/>
      <c r="L405" s="46" t="s">
        <v>0</v>
      </c>
      <c r="M405" s="47">
        <f t="shared" ref="M405:R405" si="183">M398</f>
        <v>45</v>
      </c>
      <c r="N405" s="48">
        <f t="shared" si="183"/>
        <v>56</v>
      </c>
      <c r="O405" s="68">
        <f t="shared" si="183"/>
        <v>101</v>
      </c>
      <c r="P405" s="47">
        <f t="shared" si="183"/>
        <v>22</v>
      </c>
      <c r="Q405" s="48">
        <f t="shared" si="183"/>
        <v>39</v>
      </c>
      <c r="R405" s="69">
        <f t="shared" si="183"/>
        <v>61</v>
      </c>
      <c r="S405" s="41">
        <f>O405+R405</f>
        <v>162</v>
      </c>
    </row>
    <row r="406" spans="2:20" x14ac:dyDescent="0.15">
      <c r="B406" s="11" t="s">
        <v>3</v>
      </c>
      <c r="C406" s="25">
        <v>5</v>
      </c>
      <c r="D406" s="19">
        <v>10</v>
      </c>
      <c r="E406" s="52">
        <f t="shared" ref="E406:E410" si="184">SUM(C406:D406)</f>
        <v>15</v>
      </c>
      <c r="F406" s="31"/>
      <c r="G406" s="7">
        <v>5</v>
      </c>
      <c r="H406" s="61">
        <f t="shared" ref="H406:H410" si="185">SUM(F406:G406)</f>
        <v>5</v>
      </c>
      <c r="I406" s="38">
        <f t="shared" ref="I406:I410" si="186">E406+H406</f>
        <v>20</v>
      </c>
      <c r="J406" s="78">
        <v>45491</v>
      </c>
      <c r="L406" s="11" t="s">
        <v>3</v>
      </c>
      <c r="M406" s="25"/>
      <c r="N406" s="19"/>
      <c r="O406" s="52">
        <f t="shared" ref="O406:O438" si="187">SUM(M406:N406)</f>
        <v>0</v>
      </c>
      <c r="P406" s="31"/>
      <c r="Q406" s="7"/>
      <c r="R406" s="61">
        <f t="shared" ref="R406:R438" si="188">SUM(P406:Q406)</f>
        <v>0</v>
      </c>
      <c r="S406" s="38">
        <f t="shared" ref="S406:S438" si="189">O406+R406</f>
        <v>0</v>
      </c>
    </row>
    <row r="407" spans="2:20" x14ac:dyDescent="0.15">
      <c r="B407" s="11" t="s">
        <v>3</v>
      </c>
      <c r="C407" s="25">
        <v>5</v>
      </c>
      <c r="D407" s="19">
        <v>5</v>
      </c>
      <c r="E407" s="52">
        <f t="shared" si="184"/>
        <v>10</v>
      </c>
      <c r="F407" s="31"/>
      <c r="G407" s="7">
        <v>5</v>
      </c>
      <c r="H407" s="61">
        <f t="shared" si="185"/>
        <v>5</v>
      </c>
      <c r="I407" s="38">
        <f t="shared" si="186"/>
        <v>15</v>
      </c>
      <c r="J407" s="78">
        <v>45493</v>
      </c>
      <c r="L407" s="11" t="s">
        <v>3</v>
      </c>
      <c r="M407" s="25"/>
      <c r="N407" s="19"/>
      <c r="O407" s="52">
        <f t="shared" si="187"/>
        <v>0</v>
      </c>
      <c r="P407" s="31"/>
      <c r="Q407" s="7"/>
      <c r="R407" s="61">
        <f t="shared" si="188"/>
        <v>0</v>
      </c>
      <c r="S407" s="38">
        <f t="shared" si="189"/>
        <v>0</v>
      </c>
    </row>
    <row r="408" spans="2:20" x14ac:dyDescent="0.15">
      <c r="B408" s="11" t="s">
        <v>3</v>
      </c>
      <c r="C408" s="25"/>
      <c r="D408" s="19">
        <v>10</v>
      </c>
      <c r="E408" s="52">
        <f t="shared" si="184"/>
        <v>10</v>
      </c>
      <c r="F408" s="31">
        <v>5</v>
      </c>
      <c r="G408" s="7"/>
      <c r="H408" s="61">
        <f t="shared" si="185"/>
        <v>5</v>
      </c>
      <c r="I408" s="38">
        <f t="shared" si="186"/>
        <v>15</v>
      </c>
      <c r="J408" s="78">
        <v>45498</v>
      </c>
      <c r="L408" s="11" t="s">
        <v>3</v>
      </c>
      <c r="M408" s="25"/>
      <c r="N408" s="19"/>
      <c r="O408" s="52">
        <f t="shared" ref="O408" si="190">SUM(M408:N408)</f>
        <v>0</v>
      </c>
      <c r="P408" s="31"/>
      <c r="Q408" s="7"/>
      <c r="R408" s="61">
        <f t="shared" ref="R408" si="191">SUM(P408:Q408)</f>
        <v>0</v>
      </c>
      <c r="S408" s="38">
        <f t="shared" ref="S408" si="192">O408+R408</f>
        <v>0</v>
      </c>
    </row>
    <row r="409" spans="2:20" x14ac:dyDescent="0.15">
      <c r="B409" s="11" t="s">
        <v>3</v>
      </c>
      <c r="C409" s="25">
        <v>10</v>
      </c>
      <c r="D409" s="19">
        <v>10</v>
      </c>
      <c r="E409" s="52">
        <f t="shared" si="184"/>
        <v>20</v>
      </c>
      <c r="F409" s="31">
        <v>10</v>
      </c>
      <c r="G409" s="7">
        <v>10</v>
      </c>
      <c r="H409" s="61">
        <f t="shared" si="185"/>
        <v>20</v>
      </c>
      <c r="I409" s="38">
        <f t="shared" si="186"/>
        <v>40</v>
      </c>
      <c r="J409" s="78">
        <v>45499</v>
      </c>
      <c r="L409" s="11" t="s">
        <v>3</v>
      </c>
      <c r="M409" s="25"/>
      <c r="N409" s="19"/>
      <c r="O409" s="52">
        <f t="shared" ref="O409:O410" si="193">SUM(M409:N409)</f>
        <v>0</v>
      </c>
      <c r="P409" s="31"/>
      <c r="Q409" s="7"/>
      <c r="R409" s="61">
        <f t="shared" ref="R409:R410" si="194">SUM(P409:Q409)</f>
        <v>0</v>
      </c>
      <c r="S409" s="38">
        <f t="shared" ref="S409:S410" si="195">O409+R409</f>
        <v>0</v>
      </c>
    </row>
    <row r="410" spans="2:20" ht="14.25" thickBot="1" x14ac:dyDescent="0.2">
      <c r="B410" s="10" t="s">
        <v>69</v>
      </c>
      <c r="C410" s="26"/>
      <c r="D410" s="20"/>
      <c r="E410" s="85">
        <f t="shared" si="184"/>
        <v>0</v>
      </c>
      <c r="F410" s="32">
        <v>2</v>
      </c>
      <c r="G410" s="5">
        <v>1</v>
      </c>
      <c r="H410" s="86">
        <f t="shared" si="185"/>
        <v>3</v>
      </c>
      <c r="I410" s="39">
        <f t="shared" si="186"/>
        <v>3</v>
      </c>
      <c r="J410" s="78">
        <v>45498</v>
      </c>
      <c r="L410" s="11" t="s">
        <v>72</v>
      </c>
      <c r="M410" s="25"/>
      <c r="N410" s="19"/>
      <c r="O410" s="52">
        <f t="shared" si="193"/>
        <v>0</v>
      </c>
      <c r="P410" s="31">
        <v>-1</v>
      </c>
      <c r="Q410" s="7">
        <v>1</v>
      </c>
      <c r="R410" s="61">
        <f t="shared" si="194"/>
        <v>0</v>
      </c>
      <c r="S410" s="38">
        <f t="shared" si="195"/>
        <v>0</v>
      </c>
    </row>
    <row r="411" spans="2:20" ht="14.25" thickBot="1" x14ac:dyDescent="0.2">
      <c r="B411" s="43" t="s">
        <v>2</v>
      </c>
      <c r="C411" s="44">
        <f>SUM(C405:C410)</f>
        <v>31</v>
      </c>
      <c r="D411" s="45">
        <f>SUM(D405:D410)</f>
        <v>46</v>
      </c>
      <c r="E411" s="83">
        <f t="shared" ref="E411:E438" si="196">SUM(C411:D411)</f>
        <v>77</v>
      </c>
      <c r="F411" s="44">
        <f>SUM(F405:F410)</f>
        <v>29</v>
      </c>
      <c r="G411" s="45">
        <f>SUM(G405:G410)</f>
        <v>33</v>
      </c>
      <c r="H411" s="84">
        <f t="shared" ref="H411:H438" si="197">SUM(F411:G411)</f>
        <v>62</v>
      </c>
      <c r="I411" s="42">
        <f t="shared" ref="I411:I438" si="198">E411+H411</f>
        <v>139</v>
      </c>
      <c r="L411" s="43" t="s">
        <v>2</v>
      </c>
      <c r="M411" s="44">
        <f>SUM(M405:M410)</f>
        <v>45</v>
      </c>
      <c r="N411" s="45">
        <f>SUM(N405:N410)</f>
        <v>56</v>
      </c>
      <c r="O411" s="54">
        <f t="shared" si="187"/>
        <v>101</v>
      </c>
      <c r="P411" s="44">
        <f>SUM(P405:P410)</f>
        <v>21</v>
      </c>
      <c r="Q411" s="45">
        <f>SUM(Q405:Q410)</f>
        <v>40</v>
      </c>
      <c r="R411" s="63">
        <f t="shared" si="188"/>
        <v>61</v>
      </c>
      <c r="S411" s="42">
        <f t="shared" si="189"/>
        <v>162</v>
      </c>
    </row>
    <row r="412" spans="2:20" x14ac:dyDescent="0.15">
      <c r="B412" s="6" t="s">
        <v>113</v>
      </c>
      <c r="C412" s="25"/>
      <c r="D412" s="19">
        <v>3</v>
      </c>
      <c r="E412" s="55">
        <f t="shared" si="196"/>
        <v>3</v>
      </c>
      <c r="F412" s="31"/>
      <c r="G412" s="7"/>
      <c r="H412" s="64">
        <f t="shared" si="197"/>
        <v>0</v>
      </c>
      <c r="I412" s="38">
        <f t="shared" si="198"/>
        <v>3</v>
      </c>
      <c r="J412" s="78">
        <v>45491</v>
      </c>
      <c r="L412" s="6" t="s">
        <v>114</v>
      </c>
      <c r="M412" s="25"/>
      <c r="N412" s="19">
        <v>3</v>
      </c>
      <c r="O412" s="55">
        <f t="shared" ref="O412:O415" si="199">SUM(M412:N412)</f>
        <v>3</v>
      </c>
      <c r="P412" s="31"/>
      <c r="Q412" s="7"/>
      <c r="R412" s="64">
        <f t="shared" ref="R412:R415" si="200">SUM(P412:Q412)</f>
        <v>0</v>
      </c>
      <c r="S412" s="38">
        <f t="shared" ref="S412:S415" si="201">O412+R412</f>
        <v>3</v>
      </c>
      <c r="T412" s="78">
        <v>45495</v>
      </c>
    </row>
    <row r="413" spans="2:20" x14ac:dyDescent="0.15">
      <c r="B413" s="6" t="s">
        <v>7</v>
      </c>
      <c r="C413" s="25">
        <v>2</v>
      </c>
      <c r="D413" s="19">
        <v>2</v>
      </c>
      <c r="E413" s="55">
        <f t="shared" ref="E413:E424" si="202">SUM(C413:D413)</f>
        <v>4</v>
      </c>
      <c r="F413" s="31"/>
      <c r="G413" s="7">
        <v>1</v>
      </c>
      <c r="H413" s="64">
        <f t="shared" ref="H413:H424" si="203">SUM(F413:G413)</f>
        <v>1</v>
      </c>
      <c r="I413" s="38">
        <f t="shared" ref="I413:I424" si="204">E413+H413</f>
        <v>5</v>
      </c>
      <c r="J413" s="78">
        <v>45489</v>
      </c>
      <c r="L413" s="6" t="s">
        <v>32</v>
      </c>
      <c r="M413" s="25">
        <v>5</v>
      </c>
      <c r="N413" s="19">
        <v>10</v>
      </c>
      <c r="O413" s="55">
        <f t="shared" si="199"/>
        <v>15</v>
      </c>
      <c r="P413" s="31"/>
      <c r="Q413" s="7">
        <v>5</v>
      </c>
      <c r="R413" s="64">
        <f t="shared" si="200"/>
        <v>5</v>
      </c>
      <c r="S413" s="38">
        <f t="shared" si="201"/>
        <v>20</v>
      </c>
      <c r="T413" s="78">
        <v>45491</v>
      </c>
    </row>
    <row r="414" spans="2:20" x14ac:dyDescent="0.15">
      <c r="B414" s="6" t="s">
        <v>115</v>
      </c>
      <c r="C414" s="25"/>
      <c r="D414" s="19"/>
      <c r="E414" s="55">
        <f t="shared" si="202"/>
        <v>0</v>
      </c>
      <c r="F414" s="31"/>
      <c r="G414" s="7">
        <v>1</v>
      </c>
      <c r="H414" s="64">
        <f t="shared" si="203"/>
        <v>1</v>
      </c>
      <c r="I414" s="38">
        <f t="shared" si="204"/>
        <v>1</v>
      </c>
      <c r="J414" s="78">
        <v>45492</v>
      </c>
      <c r="L414" s="6" t="s">
        <v>32</v>
      </c>
      <c r="M414" s="25">
        <v>5</v>
      </c>
      <c r="N414" s="19">
        <v>5</v>
      </c>
      <c r="O414" s="55">
        <f t="shared" si="199"/>
        <v>10</v>
      </c>
      <c r="P414" s="31"/>
      <c r="Q414" s="7">
        <v>5</v>
      </c>
      <c r="R414" s="64">
        <f t="shared" si="200"/>
        <v>5</v>
      </c>
      <c r="S414" s="38">
        <f t="shared" si="201"/>
        <v>15</v>
      </c>
      <c r="T414" s="78">
        <v>45493</v>
      </c>
    </row>
    <row r="415" spans="2:20" x14ac:dyDescent="0.15">
      <c r="B415" s="6" t="s">
        <v>7</v>
      </c>
      <c r="C415" s="25">
        <v>1</v>
      </c>
      <c r="D415" s="19">
        <v>1</v>
      </c>
      <c r="E415" s="55">
        <f t="shared" si="202"/>
        <v>2</v>
      </c>
      <c r="F415" s="31">
        <v>1</v>
      </c>
      <c r="G415" s="7"/>
      <c r="H415" s="64">
        <f t="shared" si="203"/>
        <v>1</v>
      </c>
      <c r="I415" s="38">
        <f t="shared" si="204"/>
        <v>3</v>
      </c>
      <c r="J415" s="78">
        <v>45490</v>
      </c>
      <c r="L415" s="6" t="s">
        <v>117</v>
      </c>
      <c r="M415" s="25">
        <v>1</v>
      </c>
      <c r="N415" s="19">
        <v>1</v>
      </c>
      <c r="O415" s="55">
        <f t="shared" si="199"/>
        <v>2</v>
      </c>
      <c r="P415" s="31"/>
      <c r="Q415" s="7"/>
      <c r="R415" s="64">
        <f t="shared" si="200"/>
        <v>0</v>
      </c>
      <c r="S415" s="38">
        <f t="shared" si="201"/>
        <v>2</v>
      </c>
      <c r="T415" s="78">
        <v>45502</v>
      </c>
    </row>
    <row r="416" spans="2:20" x14ac:dyDescent="0.15">
      <c r="B416" s="6" t="s">
        <v>7</v>
      </c>
      <c r="C416" s="25"/>
      <c r="D416" s="19"/>
      <c r="E416" s="55">
        <f t="shared" si="202"/>
        <v>0</v>
      </c>
      <c r="F416" s="31"/>
      <c r="G416" s="7">
        <v>1</v>
      </c>
      <c r="H416" s="64">
        <f t="shared" si="203"/>
        <v>1</v>
      </c>
      <c r="I416" s="38">
        <f t="shared" si="204"/>
        <v>1</v>
      </c>
      <c r="J416" s="78">
        <v>45491</v>
      </c>
      <c r="L416" s="6" t="s">
        <v>32</v>
      </c>
      <c r="M416" s="25"/>
      <c r="N416" s="19">
        <v>10</v>
      </c>
      <c r="O416" s="55">
        <f t="shared" si="187"/>
        <v>10</v>
      </c>
      <c r="P416" s="31">
        <v>5</v>
      </c>
      <c r="Q416" s="7"/>
      <c r="R416" s="64">
        <f t="shared" si="188"/>
        <v>5</v>
      </c>
      <c r="S416" s="38">
        <f t="shared" si="189"/>
        <v>15</v>
      </c>
      <c r="T416" s="78">
        <v>45498</v>
      </c>
    </row>
    <row r="417" spans="2:20" x14ac:dyDescent="0.15">
      <c r="B417" s="6" t="s">
        <v>25</v>
      </c>
      <c r="C417" s="25">
        <v>5</v>
      </c>
      <c r="D417" s="19">
        <v>5</v>
      </c>
      <c r="E417" s="55">
        <f t="shared" si="202"/>
        <v>10</v>
      </c>
      <c r="F417" s="31"/>
      <c r="G417" s="7">
        <v>5</v>
      </c>
      <c r="H417" s="64">
        <f t="shared" si="203"/>
        <v>5</v>
      </c>
      <c r="I417" s="38">
        <f t="shared" si="204"/>
        <v>15</v>
      </c>
      <c r="J417" s="78">
        <v>45492</v>
      </c>
      <c r="L417" s="6" t="s">
        <v>32</v>
      </c>
      <c r="M417" s="25">
        <v>10</v>
      </c>
      <c r="N417" s="19">
        <v>10</v>
      </c>
      <c r="O417" s="55">
        <f t="shared" si="187"/>
        <v>20</v>
      </c>
      <c r="P417" s="31">
        <v>10</v>
      </c>
      <c r="Q417" s="7">
        <v>10</v>
      </c>
      <c r="R417" s="64">
        <f t="shared" si="188"/>
        <v>20</v>
      </c>
      <c r="S417" s="38">
        <f t="shared" si="189"/>
        <v>40</v>
      </c>
      <c r="T417" s="78">
        <v>45499</v>
      </c>
    </row>
    <row r="418" spans="2:20" x14ac:dyDescent="0.15">
      <c r="B418" s="6" t="s">
        <v>116</v>
      </c>
      <c r="C418" s="25"/>
      <c r="D418" s="19">
        <v>2</v>
      </c>
      <c r="E418" s="55">
        <f t="shared" si="202"/>
        <v>2</v>
      </c>
      <c r="F418" s="31"/>
      <c r="G418" s="7"/>
      <c r="H418" s="64">
        <f t="shared" si="203"/>
        <v>0</v>
      </c>
      <c r="I418" s="38">
        <f t="shared" si="204"/>
        <v>2</v>
      </c>
      <c r="J418" s="78">
        <v>45495</v>
      </c>
      <c r="L418" s="6" t="s">
        <v>120</v>
      </c>
      <c r="M418" s="25">
        <v>1</v>
      </c>
      <c r="N418" s="19">
        <v>5</v>
      </c>
      <c r="O418" s="55">
        <f t="shared" si="187"/>
        <v>6</v>
      </c>
      <c r="P418" s="31"/>
      <c r="Q418" s="7">
        <v>4</v>
      </c>
      <c r="R418" s="64">
        <f t="shared" si="188"/>
        <v>4</v>
      </c>
      <c r="S418" s="38">
        <f t="shared" si="189"/>
        <v>10</v>
      </c>
      <c r="T418" s="78">
        <v>45509</v>
      </c>
    </row>
    <row r="419" spans="2:20" x14ac:dyDescent="0.15">
      <c r="B419" s="6" t="s">
        <v>7</v>
      </c>
      <c r="C419" s="25"/>
      <c r="D419" s="19"/>
      <c r="E419" s="55">
        <f t="shared" si="202"/>
        <v>0</v>
      </c>
      <c r="F419" s="31">
        <v>1</v>
      </c>
      <c r="G419" s="7"/>
      <c r="H419" s="64">
        <f t="shared" si="203"/>
        <v>1</v>
      </c>
      <c r="I419" s="38">
        <f t="shared" si="204"/>
        <v>1</v>
      </c>
      <c r="J419" s="78">
        <v>45492</v>
      </c>
      <c r="L419" s="6" t="s">
        <v>32</v>
      </c>
      <c r="M419" s="25"/>
      <c r="N419" s="19">
        <v>12</v>
      </c>
      <c r="O419" s="55">
        <f t="shared" si="187"/>
        <v>12</v>
      </c>
      <c r="P419" s="31"/>
      <c r="Q419" s="7"/>
      <c r="R419" s="64">
        <f t="shared" si="188"/>
        <v>0</v>
      </c>
      <c r="S419" s="38">
        <f t="shared" si="189"/>
        <v>12</v>
      </c>
      <c r="T419" s="78">
        <v>45504</v>
      </c>
    </row>
    <row r="420" spans="2:20" x14ac:dyDescent="0.15">
      <c r="B420" s="6" t="s">
        <v>116</v>
      </c>
      <c r="C420" s="25"/>
      <c r="D420" s="19"/>
      <c r="E420" s="55">
        <f t="shared" si="202"/>
        <v>0</v>
      </c>
      <c r="F420" s="31"/>
      <c r="G420" s="7">
        <v>1</v>
      </c>
      <c r="H420" s="64">
        <f t="shared" si="203"/>
        <v>1</v>
      </c>
      <c r="I420" s="38">
        <f t="shared" si="204"/>
        <v>1</v>
      </c>
      <c r="J420" s="78">
        <v>45497</v>
      </c>
      <c r="L420" s="6" t="s">
        <v>32</v>
      </c>
      <c r="M420" s="25"/>
      <c r="N420" s="19"/>
      <c r="O420" s="55">
        <f t="shared" si="187"/>
        <v>0</v>
      </c>
      <c r="P420" s="31"/>
      <c r="Q420" s="7">
        <v>10</v>
      </c>
      <c r="R420" s="64">
        <f t="shared" si="188"/>
        <v>10</v>
      </c>
      <c r="S420" s="38">
        <f t="shared" si="189"/>
        <v>10</v>
      </c>
      <c r="T420" s="78">
        <v>45506</v>
      </c>
    </row>
    <row r="421" spans="2:20" x14ac:dyDescent="0.15">
      <c r="B421" s="6" t="s">
        <v>7</v>
      </c>
      <c r="C421" s="25"/>
      <c r="D421" s="19">
        <v>4</v>
      </c>
      <c r="E421" s="55">
        <f t="shared" si="202"/>
        <v>4</v>
      </c>
      <c r="F421" s="31">
        <v>1</v>
      </c>
      <c r="G421" s="7">
        <v>3</v>
      </c>
      <c r="H421" s="64">
        <f t="shared" si="203"/>
        <v>4</v>
      </c>
      <c r="I421" s="38">
        <f t="shared" si="204"/>
        <v>8</v>
      </c>
      <c r="J421" s="78">
        <v>45495</v>
      </c>
      <c r="L421" s="6" t="s">
        <v>32</v>
      </c>
      <c r="M421" s="25"/>
      <c r="N421" s="19"/>
      <c r="O421" s="55">
        <f t="shared" si="187"/>
        <v>0</v>
      </c>
      <c r="P421" s="31">
        <v>6</v>
      </c>
      <c r="Q421" s="7">
        <v>6</v>
      </c>
      <c r="R421" s="64">
        <f t="shared" si="188"/>
        <v>12</v>
      </c>
      <c r="S421" s="38">
        <f t="shared" si="189"/>
        <v>12</v>
      </c>
      <c r="T421" s="78">
        <v>45507</v>
      </c>
    </row>
    <row r="422" spans="2:20" x14ac:dyDescent="0.15">
      <c r="B422" s="6" t="s">
        <v>7</v>
      </c>
      <c r="C422" s="25"/>
      <c r="D422" s="19">
        <v>2</v>
      </c>
      <c r="E422" s="55">
        <f t="shared" si="202"/>
        <v>2</v>
      </c>
      <c r="F422" s="31"/>
      <c r="G422" s="7"/>
      <c r="H422" s="64">
        <f t="shared" si="203"/>
        <v>0</v>
      </c>
      <c r="I422" s="38">
        <f t="shared" si="204"/>
        <v>2</v>
      </c>
      <c r="J422" s="78">
        <v>45496</v>
      </c>
      <c r="L422" s="6" t="s">
        <v>32</v>
      </c>
      <c r="M422" s="25"/>
      <c r="N422" s="19"/>
      <c r="O422" s="55">
        <f t="shared" si="187"/>
        <v>0</v>
      </c>
      <c r="P422" s="31"/>
      <c r="Q422" s="7"/>
      <c r="R422" s="64">
        <f t="shared" si="188"/>
        <v>0</v>
      </c>
      <c r="S422" s="38">
        <f t="shared" si="189"/>
        <v>0</v>
      </c>
    </row>
    <row r="423" spans="2:20" x14ac:dyDescent="0.15">
      <c r="B423" s="6" t="s">
        <v>25</v>
      </c>
      <c r="C423" s="25"/>
      <c r="D423" s="19">
        <v>5</v>
      </c>
      <c r="E423" s="55">
        <f t="shared" si="202"/>
        <v>5</v>
      </c>
      <c r="F423" s="31"/>
      <c r="G423" s="7"/>
      <c r="H423" s="64">
        <f t="shared" si="203"/>
        <v>0</v>
      </c>
      <c r="I423" s="38">
        <f t="shared" si="204"/>
        <v>5</v>
      </c>
      <c r="J423" s="78">
        <v>45499</v>
      </c>
      <c r="L423" s="6"/>
      <c r="M423" s="28"/>
      <c r="N423" s="22"/>
      <c r="O423" s="55">
        <f t="shared" si="187"/>
        <v>0</v>
      </c>
      <c r="P423" s="33"/>
      <c r="Q423" s="8"/>
      <c r="R423" s="64">
        <f t="shared" si="188"/>
        <v>0</v>
      </c>
      <c r="S423" s="38">
        <f t="shared" si="189"/>
        <v>0</v>
      </c>
    </row>
    <row r="424" spans="2:20" x14ac:dyDescent="0.15">
      <c r="B424" s="6" t="s">
        <v>118</v>
      </c>
      <c r="C424" s="25">
        <v>4</v>
      </c>
      <c r="D424" s="19">
        <v>6</v>
      </c>
      <c r="E424" s="55">
        <f t="shared" si="202"/>
        <v>10</v>
      </c>
      <c r="F424" s="31">
        <v>5</v>
      </c>
      <c r="G424" s="7">
        <v>5</v>
      </c>
      <c r="H424" s="64">
        <f t="shared" si="203"/>
        <v>10</v>
      </c>
      <c r="I424" s="38">
        <f t="shared" si="204"/>
        <v>20</v>
      </c>
      <c r="J424" s="78">
        <v>45499</v>
      </c>
      <c r="L424" s="6"/>
      <c r="M424" s="28"/>
      <c r="N424" s="22"/>
      <c r="O424" s="55">
        <f t="shared" si="187"/>
        <v>0</v>
      </c>
      <c r="P424" s="33"/>
      <c r="Q424" s="8"/>
      <c r="R424" s="64">
        <f t="shared" si="188"/>
        <v>0</v>
      </c>
      <c r="S424" s="38">
        <f t="shared" si="189"/>
        <v>0</v>
      </c>
    </row>
    <row r="425" spans="2:20" x14ac:dyDescent="0.15">
      <c r="B425" s="6" t="s">
        <v>119</v>
      </c>
      <c r="C425" s="25"/>
      <c r="D425" s="19">
        <v>3</v>
      </c>
      <c r="E425" s="55">
        <f t="shared" si="196"/>
        <v>3</v>
      </c>
      <c r="F425" s="31"/>
      <c r="G425" s="7"/>
      <c r="H425" s="64">
        <f t="shared" si="197"/>
        <v>0</v>
      </c>
      <c r="I425" s="38">
        <f t="shared" si="198"/>
        <v>3</v>
      </c>
      <c r="J425" s="78">
        <v>45499</v>
      </c>
      <c r="L425" s="6"/>
      <c r="M425" s="28"/>
      <c r="N425" s="22"/>
      <c r="O425" s="55">
        <f t="shared" si="187"/>
        <v>0</v>
      </c>
      <c r="P425" s="33"/>
      <c r="Q425" s="8"/>
      <c r="R425" s="64">
        <f t="shared" si="188"/>
        <v>0</v>
      </c>
      <c r="S425" s="38">
        <f t="shared" si="189"/>
        <v>0</v>
      </c>
    </row>
    <row r="426" spans="2:20" x14ac:dyDescent="0.15">
      <c r="B426" s="6" t="s">
        <v>7</v>
      </c>
      <c r="C426" s="25"/>
      <c r="D426" s="19"/>
      <c r="E426" s="55">
        <f t="shared" si="196"/>
        <v>0</v>
      </c>
      <c r="F426" s="31">
        <v>1</v>
      </c>
      <c r="G426" s="7"/>
      <c r="H426" s="64">
        <f t="shared" si="197"/>
        <v>1</v>
      </c>
      <c r="I426" s="38">
        <f t="shared" si="198"/>
        <v>1</v>
      </c>
      <c r="J426" s="78">
        <v>45498</v>
      </c>
      <c r="L426" s="6"/>
      <c r="M426" s="28"/>
      <c r="N426" s="22"/>
      <c r="O426" s="55">
        <f t="shared" si="187"/>
        <v>0</v>
      </c>
      <c r="P426" s="33"/>
      <c r="Q426" s="8"/>
      <c r="R426" s="64">
        <f t="shared" si="188"/>
        <v>0</v>
      </c>
      <c r="S426" s="38">
        <f t="shared" si="189"/>
        <v>0</v>
      </c>
    </row>
    <row r="427" spans="2:20" x14ac:dyDescent="0.15">
      <c r="B427" s="6" t="s">
        <v>7</v>
      </c>
      <c r="C427" s="28"/>
      <c r="D427" s="22"/>
      <c r="E427" s="55">
        <f t="shared" si="196"/>
        <v>0</v>
      </c>
      <c r="F427" s="33">
        <v>1</v>
      </c>
      <c r="G427" s="8">
        <v>1</v>
      </c>
      <c r="H427" s="64">
        <f t="shared" si="197"/>
        <v>2</v>
      </c>
      <c r="I427" s="38">
        <f t="shared" si="198"/>
        <v>2</v>
      </c>
      <c r="J427" s="78">
        <v>45499</v>
      </c>
      <c r="L427" s="6"/>
      <c r="M427" s="28"/>
      <c r="N427" s="22"/>
      <c r="O427" s="55">
        <f t="shared" si="187"/>
        <v>0</v>
      </c>
      <c r="P427" s="33"/>
      <c r="Q427" s="8"/>
      <c r="R427" s="64">
        <f t="shared" si="188"/>
        <v>0</v>
      </c>
      <c r="S427" s="38">
        <f t="shared" si="189"/>
        <v>0</v>
      </c>
    </row>
    <row r="428" spans="2:20" x14ac:dyDescent="0.15">
      <c r="B428" s="6" t="s">
        <v>7</v>
      </c>
      <c r="C428" s="25"/>
      <c r="D428" s="19">
        <v>2</v>
      </c>
      <c r="E428" s="55">
        <f t="shared" ref="E428:E435" si="205">SUM(C428:D428)</f>
        <v>2</v>
      </c>
      <c r="F428" s="31">
        <v>1</v>
      </c>
      <c r="G428" s="7"/>
      <c r="H428" s="64">
        <f t="shared" ref="H428:H435" si="206">SUM(F428:G428)</f>
        <v>1</v>
      </c>
      <c r="I428" s="38">
        <f t="shared" ref="I428:I435" si="207">E428+H428</f>
        <v>3</v>
      </c>
      <c r="J428" s="78">
        <v>45502</v>
      </c>
      <c r="L428" s="6"/>
      <c r="M428" s="28"/>
      <c r="N428" s="22"/>
      <c r="O428" s="55">
        <f t="shared" si="187"/>
        <v>0</v>
      </c>
      <c r="P428" s="33"/>
      <c r="Q428" s="8"/>
      <c r="R428" s="64">
        <f t="shared" si="188"/>
        <v>0</v>
      </c>
      <c r="S428" s="38">
        <f t="shared" si="189"/>
        <v>0</v>
      </c>
    </row>
    <row r="429" spans="2:20" x14ac:dyDescent="0.15">
      <c r="B429" s="6" t="s">
        <v>25</v>
      </c>
      <c r="C429" s="25">
        <v>3</v>
      </c>
      <c r="D429" s="19">
        <v>5</v>
      </c>
      <c r="E429" s="55">
        <f t="shared" si="205"/>
        <v>8</v>
      </c>
      <c r="F429" s="31"/>
      <c r="G429" s="7">
        <v>1</v>
      </c>
      <c r="H429" s="64">
        <f t="shared" si="206"/>
        <v>1</v>
      </c>
      <c r="I429" s="38">
        <f t="shared" si="207"/>
        <v>9</v>
      </c>
      <c r="J429" s="78">
        <v>45504</v>
      </c>
      <c r="L429" s="6"/>
      <c r="M429" s="28"/>
      <c r="N429" s="22"/>
      <c r="O429" s="55">
        <f t="shared" si="187"/>
        <v>0</v>
      </c>
      <c r="P429" s="33"/>
      <c r="Q429" s="8"/>
      <c r="R429" s="64">
        <f t="shared" si="188"/>
        <v>0</v>
      </c>
      <c r="S429" s="38">
        <f t="shared" si="189"/>
        <v>0</v>
      </c>
    </row>
    <row r="430" spans="2:20" x14ac:dyDescent="0.15">
      <c r="B430" s="6" t="s">
        <v>121</v>
      </c>
      <c r="C430" s="25"/>
      <c r="D430" s="19">
        <v>-12</v>
      </c>
      <c r="E430" s="55">
        <f t="shared" si="205"/>
        <v>-12</v>
      </c>
      <c r="F430" s="31"/>
      <c r="G430" s="7"/>
      <c r="H430" s="64">
        <f t="shared" si="206"/>
        <v>0</v>
      </c>
      <c r="I430" s="38">
        <f t="shared" si="207"/>
        <v>-12</v>
      </c>
      <c r="J430" s="78">
        <v>45504</v>
      </c>
      <c r="L430" s="6"/>
      <c r="M430" s="28"/>
      <c r="N430" s="22"/>
      <c r="O430" s="55">
        <f t="shared" si="187"/>
        <v>0</v>
      </c>
      <c r="P430" s="33"/>
      <c r="Q430" s="8"/>
      <c r="R430" s="64">
        <f t="shared" si="188"/>
        <v>0</v>
      </c>
      <c r="S430" s="38">
        <f t="shared" si="189"/>
        <v>0</v>
      </c>
    </row>
    <row r="431" spans="2:20" x14ac:dyDescent="0.15">
      <c r="B431" s="6" t="s">
        <v>7</v>
      </c>
      <c r="C431" s="25"/>
      <c r="D431" s="19">
        <v>1</v>
      </c>
      <c r="E431" s="55">
        <f t="shared" si="205"/>
        <v>1</v>
      </c>
      <c r="F431" s="31"/>
      <c r="G431" s="7"/>
      <c r="H431" s="64">
        <f t="shared" si="206"/>
        <v>0</v>
      </c>
      <c r="I431" s="38">
        <f t="shared" si="207"/>
        <v>1</v>
      </c>
      <c r="J431" s="78">
        <v>45504</v>
      </c>
      <c r="L431" s="6"/>
      <c r="M431" s="28"/>
      <c r="N431" s="22"/>
      <c r="O431" s="55">
        <f t="shared" ref="O431:O433" si="208">SUM(M431:N431)</f>
        <v>0</v>
      </c>
      <c r="P431" s="33"/>
      <c r="Q431" s="8"/>
      <c r="R431" s="64">
        <f t="shared" ref="R431:R433" si="209">SUM(P431:Q431)</f>
        <v>0</v>
      </c>
      <c r="S431" s="38">
        <f t="shared" ref="S431:S433" si="210">O431+R431</f>
        <v>0</v>
      </c>
    </row>
    <row r="432" spans="2:20" x14ac:dyDescent="0.15">
      <c r="B432" s="6" t="s">
        <v>122</v>
      </c>
      <c r="C432" s="25">
        <v>5</v>
      </c>
      <c r="D432" s="19">
        <v>1</v>
      </c>
      <c r="E432" s="55">
        <f t="shared" si="205"/>
        <v>6</v>
      </c>
      <c r="F432" s="31">
        <v>6</v>
      </c>
      <c r="G432" s="7">
        <v>5</v>
      </c>
      <c r="H432" s="64">
        <f t="shared" si="206"/>
        <v>11</v>
      </c>
      <c r="I432" s="38">
        <f t="shared" si="207"/>
        <v>17</v>
      </c>
      <c r="J432" s="78">
        <v>45506</v>
      </c>
      <c r="L432" s="6"/>
      <c r="M432" s="28"/>
      <c r="N432" s="22"/>
      <c r="O432" s="55">
        <f t="shared" si="208"/>
        <v>0</v>
      </c>
      <c r="P432" s="33"/>
      <c r="Q432" s="8"/>
      <c r="R432" s="64">
        <f t="shared" si="209"/>
        <v>0</v>
      </c>
      <c r="S432" s="38">
        <f t="shared" si="210"/>
        <v>0</v>
      </c>
    </row>
    <row r="433" spans="2:20" x14ac:dyDescent="0.15">
      <c r="B433" s="6" t="s">
        <v>7</v>
      </c>
      <c r="C433" s="25"/>
      <c r="D433" s="19">
        <v>2</v>
      </c>
      <c r="E433" s="55">
        <f t="shared" si="205"/>
        <v>2</v>
      </c>
      <c r="F433" s="31"/>
      <c r="G433" s="7">
        <v>1</v>
      </c>
      <c r="H433" s="64">
        <f t="shared" si="206"/>
        <v>1</v>
      </c>
      <c r="I433" s="38">
        <f t="shared" si="207"/>
        <v>3</v>
      </c>
      <c r="J433" s="78">
        <v>45505</v>
      </c>
      <c r="L433" s="6"/>
      <c r="M433" s="28"/>
      <c r="N433" s="22"/>
      <c r="O433" s="55">
        <f t="shared" si="208"/>
        <v>0</v>
      </c>
      <c r="P433" s="33"/>
      <c r="Q433" s="8"/>
      <c r="R433" s="64">
        <f t="shared" si="209"/>
        <v>0</v>
      </c>
      <c r="S433" s="38">
        <f t="shared" si="210"/>
        <v>0</v>
      </c>
    </row>
    <row r="434" spans="2:20" x14ac:dyDescent="0.15">
      <c r="B434" s="6" t="s">
        <v>132</v>
      </c>
      <c r="C434" s="28"/>
      <c r="D434" s="22"/>
      <c r="E434" s="55">
        <f t="shared" ref="E434" si="211">SUM(C434:D434)</f>
        <v>0</v>
      </c>
      <c r="F434" s="33">
        <v>-2</v>
      </c>
      <c r="G434" s="8"/>
      <c r="H434" s="64">
        <f t="shared" ref="H434" si="212">SUM(F434:G434)</f>
        <v>-2</v>
      </c>
      <c r="I434" s="38">
        <f t="shared" ref="I434" si="213">E434+H434</f>
        <v>-2</v>
      </c>
      <c r="J434" s="78">
        <v>45512</v>
      </c>
      <c r="L434" s="6"/>
      <c r="M434" s="28"/>
      <c r="N434" s="22"/>
      <c r="O434" s="55">
        <f t="shared" ref="O434:O436" si="214">SUM(M434:N434)</f>
        <v>0</v>
      </c>
      <c r="P434" s="33"/>
      <c r="Q434" s="8"/>
      <c r="R434" s="64">
        <f t="shared" ref="R434:R436" si="215">SUM(P434:Q434)</f>
        <v>0</v>
      </c>
      <c r="S434" s="38">
        <f t="shared" ref="S434:S436" si="216">O434+R434</f>
        <v>0</v>
      </c>
    </row>
    <row r="435" spans="2:20" x14ac:dyDescent="0.15">
      <c r="B435" s="6"/>
      <c r="C435" s="28"/>
      <c r="D435" s="22"/>
      <c r="E435" s="55">
        <f t="shared" si="205"/>
        <v>0</v>
      </c>
      <c r="F435" s="33"/>
      <c r="G435" s="8"/>
      <c r="H435" s="64">
        <f t="shared" si="206"/>
        <v>0</v>
      </c>
      <c r="I435" s="38">
        <f t="shared" si="207"/>
        <v>0</v>
      </c>
      <c r="J435"/>
      <c r="L435" s="6"/>
      <c r="M435" s="28"/>
      <c r="N435" s="22"/>
      <c r="O435" s="55">
        <f t="shared" si="214"/>
        <v>0</v>
      </c>
      <c r="P435" s="33"/>
      <c r="Q435" s="8"/>
      <c r="R435" s="64">
        <f t="shared" si="215"/>
        <v>0</v>
      </c>
      <c r="S435" s="38">
        <f t="shared" si="216"/>
        <v>0</v>
      </c>
    </row>
    <row r="436" spans="2:20" ht="14.25" thickBot="1" x14ac:dyDescent="0.2">
      <c r="B436" s="6"/>
      <c r="C436" s="28"/>
      <c r="D436" s="22"/>
      <c r="E436" s="55">
        <f t="shared" ref="E436" si="217">SUM(C436:D436)</f>
        <v>0</v>
      </c>
      <c r="F436" s="33"/>
      <c r="G436" s="8"/>
      <c r="H436" s="64">
        <f t="shared" ref="H436" si="218">SUM(F436:G436)</f>
        <v>0</v>
      </c>
      <c r="I436" s="38">
        <f t="shared" ref="I436" si="219">E436+H436</f>
        <v>0</v>
      </c>
      <c r="J436"/>
      <c r="L436" s="6"/>
      <c r="M436" s="28"/>
      <c r="N436" s="22"/>
      <c r="O436" s="55">
        <f t="shared" si="214"/>
        <v>0</v>
      </c>
      <c r="P436" s="33"/>
      <c r="Q436" s="8"/>
      <c r="R436" s="64">
        <f t="shared" si="215"/>
        <v>0</v>
      </c>
      <c r="S436" s="38">
        <f t="shared" si="216"/>
        <v>0</v>
      </c>
    </row>
    <row r="437" spans="2:20" ht="14.25" thickBot="1" x14ac:dyDescent="0.2">
      <c r="B437" s="4" t="s">
        <v>1</v>
      </c>
      <c r="C437" s="27">
        <f>SUM(C412:C436)</f>
        <v>20</v>
      </c>
      <c r="D437" s="21">
        <f>SUM(D412:D436)</f>
        <v>32</v>
      </c>
      <c r="E437" s="57">
        <f t="shared" si="196"/>
        <v>52</v>
      </c>
      <c r="F437" s="27">
        <f>SUM(F412:F436)</f>
        <v>15</v>
      </c>
      <c r="G437" s="21">
        <f>SUM(G412:G436)</f>
        <v>25</v>
      </c>
      <c r="H437" s="66">
        <f t="shared" si="197"/>
        <v>40</v>
      </c>
      <c r="I437" s="40">
        <f t="shared" si="198"/>
        <v>92</v>
      </c>
      <c r="L437" s="4" t="s">
        <v>1</v>
      </c>
      <c r="M437" s="27">
        <f>SUM(M412:M436)</f>
        <v>22</v>
      </c>
      <c r="N437" s="21">
        <f>SUM(N412:N436)</f>
        <v>56</v>
      </c>
      <c r="O437" s="57">
        <f t="shared" si="187"/>
        <v>78</v>
      </c>
      <c r="P437" s="27">
        <f>SUM(P412:P436)</f>
        <v>21</v>
      </c>
      <c r="Q437" s="21">
        <f>SUM(Q412:Q436)</f>
        <v>40</v>
      </c>
      <c r="R437" s="66">
        <f t="shared" si="188"/>
        <v>61</v>
      </c>
      <c r="S437" s="40">
        <f t="shared" si="189"/>
        <v>139</v>
      </c>
    </row>
    <row r="438" spans="2:20" ht="14.25" thickBot="1" x14ac:dyDescent="0.2">
      <c r="B438" s="3" t="s">
        <v>0</v>
      </c>
      <c r="C438" s="30">
        <f>+C411-C437</f>
        <v>11</v>
      </c>
      <c r="D438" s="2">
        <f>+D411-D437</f>
        <v>14</v>
      </c>
      <c r="E438" s="58">
        <f t="shared" si="196"/>
        <v>25</v>
      </c>
      <c r="F438" s="30">
        <f>+F411-F437</f>
        <v>14</v>
      </c>
      <c r="G438" s="2">
        <f>+G411-G437</f>
        <v>8</v>
      </c>
      <c r="H438" s="67">
        <f t="shared" si="197"/>
        <v>22</v>
      </c>
      <c r="I438" s="42">
        <f t="shared" si="198"/>
        <v>47</v>
      </c>
      <c r="L438" s="3" t="s">
        <v>0</v>
      </c>
      <c r="M438" s="30">
        <f>+M411-M437</f>
        <v>23</v>
      </c>
      <c r="N438" s="2">
        <f>+N411-N437</f>
        <v>0</v>
      </c>
      <c r="O438" s="58">
        <f t="shared" si="187"/>
        <v>23</v>
      </c>
      <c r="P438" s="30">
        <f>+P411-P437</f>
        <v>0</v>
      </c>
      <c r="Q438" s="2">
        <f>+Q411-Q437</f>
        <v>0</v>
      </c>
      <c r="R438" s="67">
        <f t="shared" si="188"/>
        <v>0</v>
      </c>
      <c r="S438" s="42">
        <f t="shared" si="189"/>
        <v>23</v>
      </c>
    </row>
    <row r="439" spans="2:20" x14ac:dyDescent="0.15">
      <c r="L439" s="1"/>
      <c r="T439" s="35"/>
    </row>
    <row r="440" spans="2:20" x14ac:dyDescent="0.15">
      <c r="B440"/>
      <c r="J440"/>
    </row>
    <row r="441" spans="2:20" ht="18.75" x14ac:dyDescent="0.2">
      <c r="B441" s="16" t="s">
        <v>21</v>
      </c>
      <c r="C441" s="15"/>
      <c r="D441" s="15"/>
      <c r="E441" s="15"/>
      <c r="F441" s="15"/>
      <c r="G441" s="15"/>
      <c r="H441" s="15"/>
      <c r="I441" s="15"/>
      <c r="L441" s="71" t="s">
        <v>22</v>
      </c>
      <c r="M441" s="72"/>
      <c r="N441" s="72"/>
      <c r="O441" s="72"/>
      <c r="P441" s="72"/>
      <c r="Q441" s="72"/>
      <c r="R441" s="72"/>
      <c r="S441" s="72"/>
      <c r="T441" s="35"/>
    </row>
    <row r="442" spans="2:20" ht="18" thickBot="1" x14ac:dyDescent="0.25">
      <c r="B442" s="17" t="s">
        <v>23</v>
      </c>
      <c r="C442" s="15"/>
      <c r="D442" s="15"/>
      <c r="E442" s="15"/>
      <c r="F442" s="15"/>
      <c r="G442" s="15"/>
      <c r="H442" s="15"/>
      <c r="I442" s="15"/>
      <c r="L442" s="73" t="s">
        <v>23</v>
      </c>
      <c r="M442" s="72"/>
      <c r="N442" s="72"/>
      <c r="O442" s="72"/>
      <c r="P442" s="72"/>
      <c r="Q442" s="72"/>
      <c r="R442" s="72"/>
      <c r="S442" s="72"/>
      <c r="T442" s="35"/>
    </row>
    <row r="443" spans="2:20" ht="14.25" thickBot="1" x14ac:dyDescent="0.2">
      <c r="B443" s="14"/>
      <c r="C443" s="113" t="s">
        <v>12</v>
      </c>
      <c r="D443" s="114"/>
      <c r="E443" s="115"/>
      <c r="F443" s="116" t="s">
        <v>11</v>
      </c>
      <c r="G443" s="117"/>
      <c r="H443" s="118"/>
      <c r="I443" s="13" t="s">
        <v>19</v>
      </c>
      <c r="L443" s="14"/>
      <c r="M443" s="113" t="s">
        <v>12</v>
      </c>
      <c r="N443" s="114"/>
      <c r="O443" s="115"/>
      <c r="P443" s="116" t="s">
        <v>11</v>
      </c>
      <c r="Q443" s="117"/>
      <c r="R443" s="118"/>
      <c r="S443" s="13" t="s">
        <v>19</v>
      </c>
    </row>
    <row r="444" spans="2:20" ht="14.25" thickBot="1" x14ac:dyDescent="0.2">
      <c r="B444" s="13"/>
      <c r="C444" s="23" t="s">
        <v>6</v>
      </c>
      <c r="D444" s="12" t="s">
        <v>5</v>
      </c>
      <c r="E444" s="50" t="s">
        <v>4</v>
      </c>
      <c r="F444" s="23" t="s">
        <v>6</v>
      </c>
      <c r="G444" s="12" t="s">
        <v>5</v>
      </c>
      <c r="H444" s="59" t="s">
        <v>4</v>
      </c>
      <c r="I444" s="49"/>
      <c r="L444" s="13"/>
      <c r="M444" s="23" t="s">
        <v>6</v>
      </c>
      <c r="N444" s="12" t="s">
        <v>5</v>
      </c>
      <c r="O444" s="50" t="s">
        <v>4</v>
      </c>
      <c r="P444" s="23" t="s">
        <v>6</v>
      </c>
      <c r="Q444" s="12" t="s">
        <v>5</v>
      </c>
      <c r="R444" s="59" t="s">
        <v>4</v>
      </c>
      <c r="S444" s="49"/>
    </row>
    <row r="445" spans="2:20" x14ac:dyDescent="0.15">
      <c r="B445" s="46" t="s">
        <v>0</v>
      </c>
      <c r="C445" s="47">
        <f t="shared" ref="C445:H445" si="220">C438</f>
        <v>11</v>
      </c>
      <c r="D445" s="48">
        <f t="shared" si="220"/>
        <v>14</v>
      </c>
      <c r="E445" s="68">
        <f t="shared" si="220"/>
        <v>25</v>
      </c>
      <c r="F445" s="47">
        <f t="shared" si="220"/>
        <v>14</v>
      </c>
      <c r="G445" s="48">
        <f t="shared" si="220"/>
        <v>8</v>
      </c>
      <c r="H445" s="69">
        <f t="shared" si="220"/>
        <v>22</v>
      </c>
      <c r="I445" s="41">
        <f>E445+H445</f>
        <v>47</v>
      </c>
      <c r="J445" s="36"/>
      <c r="L445" s="46" t="s">
        <v>0</v>
      </c>
      <c r="M445" s="47">
        <f t="shared" ref="M445:R445" si="221">M438</f>
        <v>23</v>
      </c>
      <c r="N445" s="48">
        <f t="shared" si="221"/>
        <v>0</v>
      </c>
      <c r="O445" s="68">
        <f t="shared" si="221"/>
        <v>23</v>
      </c>
      <c r="P445" s="47">
        <f t="shared" si="221"/>
        <v>0</v>
      </c>
      <c r="Q445" s="48">
        <f t="shared" si="221"/>
        <v>0</v>
      </c>
      <c r="R445" s="69">
        <f t="shared" si="221"/>
        <v>0</v>
      </c>
      <c r="S445" s="41">
        <f>O445+R445</f>
        <v>23</v>
      </c>
    </row>
    <row r="446" spans="2:20" x14ac:dyDescent="0.15">
      <c r="B446" s="11" t="s">
        <v>3</v>
      </c>
      <c r="C446" s="25"/>
      <c r="D446" s="19"/>
      <c r="E446" s="52">
        <f t="shared" ref="E446:E448" si="222">SUM(C446:D446)</f>
        <v>0</v>
      </c>
      <c r="F446" s="31"/>
      <c r="G446" s="7">
        <v>10</v>
      </c>
      <c r="H446" s="61">
        <f t="shared" ref="H446:H448" si="223">SUM(F446:G446)</f>
        <v>10</v>
      </c>
      <c r="I446" s="38">
        <f t="shared" ref="I446:I448" si="224">E446+H446</f>
        <v>10</v>
      </c>
      <c r="J446" s="78">
        <v>45506</v>
      </c>
      <c r="L446" s="11" t="s">
        <v>3</v>
      </c>
      <c r="M446" s="25"/>
      <c r="N446" s="19"/>
      <c r="O446" s="52">
        <f t="shared" ref="O446:O478" si="225">SUM(M446:N446)</f>
        <v>0</v>
      </c>
      <c r="P446" s="31"/>
      <c r="Q446" s="7"/>
      <c r="R446" s="61">
        <f t="shared" ref="R446:R478" si="226">SUM(P446:Q446)</f>
        <v>0</v>
      </c>
      <c r="S446" s="38">
        <f t="shared" ref="S446:S478" si="227">O446+R446</f>
        <v>0</v>
      </c>
    </row>
    <row r="447" spans="2:20" x14ac:dyDescent="0.15">
      <c r="B447" s="11" t="s">
        <v>3</v>
      </c>
      <c r="C447" s="25"/>
      <c r="D447" s="19"/>
      <c r="E447" s="52">
        <f t="shared" si="222"/>
        <v>0</v>
      </c>
      <c r="F447" s="31">
        <v>6</v>
      </c>
      <c r="G447" s="7">
        <v>6</v>
      </c>
      <c r="H447" s="61">
        <f t="shared" si="223"/>
        <v>12</v>
      </c>
      <c r="I447" s="38">
        <f t="shared" si="224"/>
        <v>12</v>
      </c>
      <c r="J447" s="78">
        <v>45507</v>
      </c>
      <c r="L447" s="11" t="s">
        <v>3</v>
      </c>
      <c r="M447" s="25"/>
      <c r="N447" s="19">
        <v>0</v>
      </c>
      <c r="O447" s="52">
        <f t="shared" si="225"/>
        <v>0</v>
      </c>
      <c r="P447" s="31">
        <v>15</v>
      </c>
      <c r="Q447" s="7">
        <v>15</v>
      </c>
      <c r="R447" s="61">
        <f t="shared" si="226"/>
        <v>30</v>
      </c>
      <c r="S447" s="38">
        <f t="shared" si="227"/>
        <v>30</v>
      </c>
      <c r="T447" s="78" t="s">
        <v>134</v>
      </c>
    </row>
    <row r="448" spans="2:20" x14ac:dyDescent="0.15">
      <c r="B448" s="11" t="s">
        <v>3</v>
      </c>
      <c r="C448" s="25">
        <v>23</v>
      </c>
      <c r="D448" s="19"/>
      <c r="E448" s="52">
        <f t="shared" si="222"/>
        <v>23</v>
      </c>
      <c r="F448" s="31"/>
      <c r="G448" s="7"/>
      <c r="H448" s="61">
        <f t="shared" si="223"/>
        <v>0</v>
      </c>
      <c r="I448" s="38">
        <f t="shared" si="224"/>
        <v>23</v>
      </c>
      <c r="J448" s="78">
        <v>45510</v>
      </c>
      <c r="L448" s="11" t="s">
        <v>3</v>
      </c>
      <c r="M448" s="25">
        <v>20</v>
      </c>
      <c r="N448" s="19">
        <v>0</v>
      </c>
      <c r="O448" s="52">
        <f t="shared" ref="O448:O449" si="228">SUM(M448:N448)</f>
        <v>20</v>
      </c>
      <c r="P448" s="31">
        <v>10</v>
      </c>
      <c r="Q448" s="7">
        <v>15</v>
      </c>
      <c r="R448" s="61">
        <f t="shared" ref="R448:R449" si="229">SUM(P448:Q448)</f>
        <v>25</v>
      </c>
      <c r="S448" s="38">
        <f t="shared" ref="S448:S449" si="230">O448+R448</f>
        <v>45</v>
      </c>
      <c r="T448" s="78" t="s">
        <v>134</v>
      </c>
    </row>
    <row r="449" spans="2:20" x14ac:dyDescent="0.15">
      <c r="B449" s="11" t="s">
        <v>126</v>
      </c>
      <c r="C449" s="25"/>
      <c r="D449" s="19">
        <v>6</v>
      </c>
      <c r="E449" s="52">
        <f t="shared" ref="E449:E450" si="231">SUM(C449:D449)</f>
        <v>6</v>
      </c>
      <c r="F449" s="31"/>
      <c r="G449" s="7"/>
      <c r="H449" s="61">
        <f t="shared" ref="H449:H450" si="232">SUM(F449:G449)</f>
        <v>0</v>
      </c>
      <c r="I449" s="38">
        <f t="shared" ref="I449:I450" si="233">E449+H449</f>
        <v>6</v>
      </c>
      <c r="J449" s="78">
        <v>45511</v>
      </c>
      <c r="L449" s="11" t="s">
        <v>3</v>
      </c>
      <c r="M449" s="25" t="s">
        <v>128</v>
      </c>
      <c r="N449" s="19"/>
      <c r="O449" s="52">
        <f t="shared" si="228"/>
        <v>0</v>
      </c>
      <c r="P449" s="31"/>
      <c r="Q449" s="7"/>
      <c r="R449" s="61">
        <f t="shared" si="229"/>
        <v>0</v>
      </c>
      <c r="S449" s="38">
        <f t="shared" si="230"/>
        <v>0</v>
      </c>
    </row>
    <row r="450" spans="2:20" ht="14.25" thickBot="1" x14ac:dyDescent="0.2">
      <c r="B450" s="11" t="s">
        <v>126</v>
      </c>
      <c r="C450" s="25"/>
      <c r="D450" s="19">
        <v>4</v>
      </c>
      <c r="E450" s="52">
        <f t="shared" si="231"/>
        <v>4</v>
      </c>
      <c r="F450" s="31"/>
      <c r="G450" s="7"/>
      <c r="H450" s="61">
        <f t="shared" si="232"/>
        <v>0</v>
      </c>
      <c r="I450" s="38">
        <f t="shared" si="233"/>
        <v>4</v>
      </c>
      <c r="J450" s="78">
        <v>45512</v>
      </c>
      <c r="L450" s="11" t="s">
        <v>3</v>
      </c>
      <c r="M450" s="25" t="s">
        <v>128</v>
      </c>
      <c r="N450" s="19"/>
      <c r="O450" s="52">
        <f t="shared" ref="O450" si="234">SUM(M450:N450)</f>
        <v>0</v>
      </c>
      <c r="P450" s="31"/>
      <c r="Q450" s="7"/>
      <c r="R450" s="61">
        <f t="shared" ref="R450" si="235">SUM(P450:Q450)</f>
        <v>0</v>
      </c>
      <c r="S450" s="38">
        <f t="shared" ref="S450" si="236">O450+R450</f>
        <v>0</v>
      </c>
    </row>
    <row r="451" spans="2:20" ht="14.25" thickBot="1" x14ac:dyDescent="0.2">
      <c r="B451" s="43" t="s">
        <v>2</v>
      </c>
      <c r="C451" s="44">
        <f>SUM(C445:C450)</f>
        <v>34</v>
      </c>
      <c r="D451" s="45">
        <f>SUM(D445:D450)</f>
        <v>24</v>
      </c>
      <c r="E451" s="83">
        <f t="shared" ref="E451:E478" si="237">SUM(C451:D451)</f>
        <v>58</v>
      </c>
      <c r="F451" s="44">
        <f>SUM(F445:F450)</f>
        <v>20</v>
      </c>
      <c r="G451" s="45">
        <f>SUM(G445:G450)</f>
        <v>24</v>
      </c>
      <c r="H451" s="84">
        <f t="shared" ref="H451:H478" si="238">SUM(F451:G451)</f>
        <v>44</v>
      </c>
      <c r="I451" s="42">
        <f t="shared" ref="I451:I478" si="239">E451+H451</f>
        <v>102</v>
      </c>
      <c r="L451" s="43" t="s">
        <v>2</v>
      </c>
      <c r="M451" s="44">
        <f>SUM(M445:M450)</f>
        <v>43</v>
      </c>
      <c r="N451" s="45">
        <f>SUM(N445:N450)</f>
        <v>0</v>
      </c>
      <c r="O451" s="83">
        <f t="shared" si="225"/>
        <v>43</v>
      </c>
      <c r="P451" s="44">
        <f>SUM(P445:P450)</f>
        <v>25</v>
      </c>
      <c r="Q451" s="45">
        <f>SUM(Q445:Q450)</f>
        <v>30</v>
      </c>
      <c r="R451" s="84">
        <f t="shared" si="226"/>
        <v>55</v>
      </c>
      <c r="S451" s="42">
        <f t="shared" si="227"/>
        <v>98</v>
      </c>
    </row>
    <row r="452" spans="2:20" x14ac:dyDescent="0.15">
      <c r="B452" s="6" t="s">
        <v>123</v>
      </c>
      <c r="C452" s="25"/>
      <c r="D452" s="19">
        <v>5</v>
      </c>
      <c r="E452" s="55">
        <f t="shared" si="237"/>
        <v>5</v>
      </c>
      <c r="F452" s="31">
        <v>5</v>
      </c>
      <c r="G452" s="7">
        <v>7</v>
      </c>
      <c r="H452" s="64">
        <f t="shared" ref="H452:H473" si="240">SUM(F452:G452)</f>
        <v>12</v>
      </c>
      <c r="I452" s="38">
        <f t="shared" ref="I452:I473" si="241">E452+H452</f>
        <v>17</v>
      </c>
      <c r="J452" s="78">
        <v>45509</v>
      </c>
      <c r="L452" s="6" t="s">
        <v>32</v>
      </c>
      <c r="M452" s="25">
        <v>23</v>
      </c>
      <c r="N452" s="19"/>
      <c r="O452" s="55">
        <f t="shared" ref="O452:O466" si="242">SUM(M452:N452)</f>
        <v>23</v>
      </c>
      <c r="P452" s="31"/>
      <c r="Q452" s="7"/>
      <c r="R452" s="64">
        <f t="shared" ref="R452:R466" si="243">SUM(P452:Q452)</f>
        <v>0</v>
      </c>
      <c r="S452" s="38">
        <f t="shared" ref="S452:S466" si="244">O452+R452</f>
        <v>23</v>
      </c>
      <c r="T452" s="78">
        <v>45510</v>
      </c>
    </row>
    <row r="453" spans="2:20" x14ac:dyDescent="0.15">
      <c r="B453" s="6" t="s">
        <v>124</v>
      </c>
      <c r="C453" s="25">
        <v>8</v>
      </c>
      <c r="D453" s="19"/>
      <c r="E453" s="55">
        <f t="shared" ref="E453:E473" si="245">SUM(C453:D453)</f>
        <v>8</v>
      </c>
      <c r="F453" s="31"/>
      <c r="G453" s="7"/>
      <c r="H453" s="64">
        <f t="shared" si="240"/>
        <v>0</v>
      </c>
      <c r="I453" s="38">
        <f t="shared" si="241"/>
        <v>8</v>
      </c>
      <c r="J453" s="78">
        <v>45511</v>
      </c>
      <c r="L453" s="6" t="s">
        <v>32</v>
      </c>
      <c r="M453" s="25"/>
      <c r="N453" s="19"/>
      <c r="O453" s="55">
        <f t="shared" si="242"/>
        <v>0</v>
      </c>
      <c r="P453" s="31">
        <v>10</v>
      </c>
      <c r="Q453" s="7">
        <v>10</v>
      </c>
      <c r="R453" s="64">
        <f t="shared" si="243"/>
        <v>20</v>
      </c>
      <c r="S453" s="38">
        <f t="shared" si="244"/>
        <v>20</v>
      </c>
      <c r="T453" s="78">
        <v>45512</v>
      </c>
    </row>
    <row r="454" spans="2:20" x14ac:dyDescent="0.15">
      <c r="B454" s="6" t="s">
        <v>25</v>
      </c>
      <c r="C454" s="25">
        <v>5</v>
      </c>
      <c r="D454" s="19"/>
      <c r="E454" s="55">
        <f t="shared" si="245"/>
        <v>5</v>
      </c>
      <c r="F454" s="31">
        <v>1</v>
      </c>
      <c r="G454" s="7">
        <v>5</v>
      </c>
      <c r="H454" s="64">
        <f t="shared" si="240"/>
        <v>6</v>
      </c>
      <c r="I454" s="38">
        <f t="shared" si="241"/>
        <v>11</v>
      </c>
      <c r="J454" s="78">
        <v>45510</v>
      </c>
      <c r="L454" s="6" t="s">
        <v>32</v>
      </c>
      <c r="M454" s="25"/>
      <c r="N454" s="19"/>
      <c r="O454" s="55">
        <f t="shared" si="242"/>
        <v>0</v>
      </c>
      <c r="P454" s="31"/>
      <c r="Q454" s="7">
        <v>10</v>
      </c>
      <c r="R454" s="64">
        <f t="shared" si="243"/>
        <v>10</v>
      </c>
      <c r="S454" s="38">
        <f t="shared" si="244"/>
        <v>10</v>
      </c>
      <c r="T454" s="78">
        <v>45521</v>
      </c>
    </row>
    <row r="455" spans="2:20" x14ac:dyDescent="0.15">
      <c r="B455" s="6" t="s">
        <v>7</v>
      </c>
      <c r="C455" s="25">
        <f>1+1</f>
        <v>2</v>
      </c>
      <c r="D455" s="19">
        <f>2+2</f>
        <v>4</v>
      </c>
      <c r="E455" s="55">
        <f t="shared" si="245"/>
        <v>6</v>
      </c>
      <c r="F455" s="31"/>
      <c r="G455" s="7">
        <f>1+1</f>
        <v>2</v>
      </c>
      <c r="H455" s="64">
        <f t="shared" si="240"/>
        <v>2</v>
      </c>
      <c r="I455" s="38">
        <f t="shared" si="241"/>
        <v>8</v>
      </c>
      <c r="J455" s="78">
        <v>45509</v>
      </c>
      <c r="L455" s="6"/>
      <c r="M455" s="25"/>
      <c r="N455" s="19"/>
      <c r="O455" s="55">
        <f t="shared" si="242"/>
        <v>0</v>
      </c>
      <c r="P455" s="31"/>
      <c r="Q455" s="7"/>
      <c r="R455" s="64">
        <f t="shared" si="243"/>
        <v>0</v>
      </c>
      <c r="S455" s="38">
        <f t="shared" si="244"/>
        <v>0</v>
      </c>
    </row>
    <row r="456" spans="2:20" x14ac:dyDescent="0.15">
      <c r="B456" s="6" t="s">
        <v>125</v>
      </c>
      <c r="C456" s="25"/>
      <c r="D456" s="19">
        <v>5</v>
      </c>
      <c r="E456" s="55">
        <f t="shared" si="245"/>
        <v>5</v>
      </c>
      <c r="F456" s="31">
        <v>2</v>
      </c>
      <c r="G456" s="7">
        <v>6</v>
      </c>
      <c r="H456" s="64">
        <f t="shared" si="240"/>
        <v>8</v>
      </c>
      <c r="I456" s="38">
        <f t="shared" si="241"/>
        <v>13</v>
      </c>
      <c r="J456" s="78">
        <v>45512</v>
      </c>
      <c r="L456" s="6"/>
      <c r="M456" s="28"/>
      <c r="N456" s="22"/>
      <c r="O456" s="55">
        <f t="shared" si="242"/>
        <v>0</v>
      </c>
      <c r="P456" s="33"/>
      <c r="Q456" s="8"/>
      <c r="R456" s="64">
        <f t="shared" si="243"/>
        <v>0</v>
      </c>
      <c r="S456" s="38">
        <f t="shared" si="244"/>
        <v>0</v>
      </c>
    </row>
    <row r="457" spans="2:20" x14ac:dyDescent="0.15">
      <c r="B457" s="6" t="s">
        <v>129</v>
      </c>
      <c r="C457" s="25">
        <v>3</v>
      </c>
      <c r="D457" s="19">
        <v>2</v>
      </c>
      <c r="E457" s="55">
        <f t="shared" ref="E457:E458" si="246">SUM(C457:D457)</f>
        <v>5</v>
      </c>
      <c r="F457" s="31">
        <v>4</v>
      </c>
      <c r="G457" s="7">
        <v>3</v>
      </c>
      <c r="H457" s="64">
        <f t="shared" ref="H457:H458" si="247">SUM(F457:G457)</f>
        <v>7</v>
      </c>
      <c r="I457" s="38">
        <f t="shared" ref="I457:I458" si="248">E457+H457</f>
        <v>12</v>
      </c>
      <c r="J457" s="78">
        <v>45513</v>
      </c>
      <c r="L457" s="6"/>
      <c r="M457" s="28"/>
      <c r="N457" s="22"/>
      <c r="O457" s="55">
        <f t="shared" si="242"/>
        <v>0</v>
      </c>
      <c r="P457" s="33"/>
      <c r="Q457" s="8"/>
      <c r="R457" s="64">
        <f t="shared" si="243"/>
        <v>0</v>
      </c>
      <c r="S457" s="38">
        <f t="shared" si="244"/>
        <v>0</v>
      </c>
    </row>
    <row r="458" spans="2:20" x14ac:dyDescent="0.15">
      <c r="B458" s="6" t="s">
        <v>127</v>
      </c>
      <c r="C458" s="25"/>
      <c r="D458" s="19">
        <v>1</v>
      </c>
      <c r="E458" s="55">
        <f t="shared" si="246"/>
        <v>1</v>
      </c>
      <c r="F458" s="31"/>
      <c r="G458" s="7"/>
      <c r="H458" s="64">
        <f t="shared" si="247"/>
        <v>0</v>
      </c>
      <c r="I458" s="38">
        <f t="shared" si="248"/>
        <v>1</v>
      </c>
      <c r="J458" s="78">
        <v>45513</v>
      </c>
      <c r="L458" s="6"/>
      <c r="M458" s="28"/>
      <c r="N458" s="22"/>
      <c r="O458" s="55">
        <f t="shared" si="242"/>
        <v>0</v>
      </c>
      <c r="P458" s="33"/>
      <c r="Q458" s="8"/>
      <c r="R458" s="64">
        <f t="shared" si="243"/>
        <v>0</v>
      </c>
      <c r="S458" s="38">
        <f t="shared" si="244"/>
        <v>0</v>
      </c>
    </row>
    <row r="459" spans="2:20" x14ac:dyDescent="0.15">
      <c r="B459" s="6" t="s">
        <v>130</v>
      </c>
      <c r="C459" s="25"/>
      <c r="D459" s="19"/>
      <c r="E459" s="55">
        <f t="shared" si="245"/>
        <v>0</v>
      </c>
      <c r="F459" s="31">
        <v>-10</v>
      </c>
      <c r="G459" s="7">
        <v>-10</v>
      </c>
      <c r="H459" s="64">
        <f t="shared" si="240"/>
        <v>-20</v>
      </c>
      <c r="I459" s="38">
        <f t="shared" si="241"/>
        <v>-20</v>
      </c>
      <c r="J459" s="78">
        <v>45512</v>
      </c>
      <c r="L459" s="6"/>
      <c r="M459" s="28"/>
      <c r="N459" s="22"/>
      <c r="O459" s="55">
        <f t="shared" si="242"/>
        <v>0</v>
      </c>
      <c r="P459" s="33"/>
      <c r="Q459" s="8"/>
      <c r="R459" s="64">
        <f t="shared" si="243"/>
        <v>0</v>
      </c>
      <c r="S459" s="38">
        <f t="shared" si="244"/>
        <v>0</v>
      </c>
    </row>
    <row r="460" spans="2:20" x14ac:dyDescent="0.15">
      <c r="B460" s="6" t="s">
        <v>131</v>
      </c>
      <c r="C460" s="25"/>
      <c r="D460" s="19">
        <v>3</v>
      </c>
      <c r="E460" s="55">
        <f t="shared" si="245"/>
        <v>3</v>
      </c>
      <c r="F460" s="31"/>
      <c r="G460" s="7">
        <v>2</v>
      </c>
      <c r="H460" s="64">
        <f t="shared" si="240"/>
        <v>2</v>
      </c>
      <c r="I460" s="38">
        <f t="shared" si="241"/>
        <v>5</v>
      </c>
      <c r="J460" s="78">
        <v>45513</v>
      </c>
      <c r="L460" s="6"/>
      <c r="M460" s="28"/>
      <c r="N460" s="22"/>
      <c r="O460" s="55">
        <f t="shared" si="242"/>
        <v>0</v>
      </c>
      <c r="P460" s="33"/>
      <c r="Q460" s="8"/>
      <c r="R460" s="64">
        <f t="shared" si="243"/>
        <v>0</v>
      </c>
      <c r="S460" s="38">
        <f t="shared" si="244"/>
        <v>0</v>
      </c>
    </row>
    <row r="461" spans="2:20" x14ac:dyDescent="0.15">
      <c r="B461" s="6" t="s">
        <v>127</v>
      </c>
      <c r="C461" s="25"/>
      <c r="D461" s="19">
        <v>1</v>
      </c>
      <c r="E461" s="55">
        <f t="shared" si="245"/>
        <v>1</v>
      </c>
      <c r="F461" s="31"/>
      <c r="G461" s="7"/>
      <c r="H461" s="64">
        <f t="shared" si="240"/>
        <v>0</v>
      </c>
      <c r="I461" s="38">
        <f t="shared" si="241"/>
        <v>1</v>
      </c>
      <c r="J461" s="78">
        <v>45520</v>
      </c>
      <c r="L461" s="6"/>
      <c r="M461" s="28"/>
      <c r="N461" s="22"/>
      <c r="O461" s="55">
        <f t="shared" si="242"/>
        <v>0</v>
      </c>
      <c r="P461" s="33"/>
      <c r="Q461" s="8"/>
      <c r="R461" s="64">
        <f t="shared" si="243"/>
        <v>0</v>
      </c>
      <c r="S461" s="38">
        <f t="shared" si="244"/>
        <v>0</v>
      </c>
    </row>
    <row r="462" spans="2:20" x14ac:dyDescent="0.15">
      <c r="B462" s="6" t="s">
        <v>133</v>
      </c>
      <c r="C462" s="25">
        <v>1</v>
      </c>
      <c r="D462" s="19"/>
      <c r="E462" s="55">
        <f t="shared" si="245"/>
        <v>1</v>
      </c>
      <c r="F462" s="31"/>
      <c r="G462" s="7"/>
      <c r="H462" s="64">
        <f t="shared" si="240"/>
        <v>0</v>
      </c>
      <c r="I462" s="38">
        <f t="shared" si="241"/>
        <v>1</v>
      </c>
      <c r="J462" s="78">
        <v>45512</v>
      </c>
      <c r="L462" s="6"/>
      <c r="M462" s="28"/>
      <c r="N462" s="22"/>
      <c r="O462" s="55">
        <f t="shared" si="242"/>
        <v>0</v>
      </c>
      <c r="P462" s="33"/>
      <c r="Q462" s="8"/>
      <c r="R462" s="64">
        <f t="shared" si="243"/>
        <v>0</v>
      </c>
      <c r="S462" s="38">
        <f t="shared" si="244"/>
        <v>0</v>
      </c>
    </row>
    <row r="463" spans="2:20" x14ac:dyDescent="0.15">
      <c r="B463" s="6" t="s">
        <v>135</v>
      </c>
      <c r="C463" s="25">
        <v>3</v>
      </c>
      <c r="D463" s="19"/>
      <c r="E463" s="55">
        <f t="shared" si="245"/>
        <v>3</v>
      </c>
      <c r="F463" s="31">
        <v>1</v>
      </c>
      <c r="G463" s="7"/>
      <c r="H463" s="64">
        <f t="shared" si="240"/>
        <v>1</v>
      </c>
      <c r="I463" s="38">
        <f t="shared" si="241"/>
        <v>4</v>
      </c>
      <c r="J463" s="78">
        <v>45520</v>
      </c>
      <c r="L463" s="6"/>
      <c r="M463" s="28"/>
      <c r="N463" s="22"/>
      <c r="O463" s="55">
        <f t="shared" si="242"/>
        <v>0</v>
      </c>
      <c r="P463" s="33"/>
      <c r="Q463" s="8"/>
      <c r="R463" s="64">
        <f t="shared" si="243"/>
        <v>0</v>
      </c>
      <c r="S463" s="38">
        <f t="shared" si="244"/>
        <v>0</v>
      </c>
    </row>
    <row r="464" spans="2:20" x14ac:dyDescent="0.15">
      <c r="B464" s="6"/>
      <c r="C464" s="25"/>
      <c r="D464" s="19"/>
      <c r="E464" s="55">
        <f t="shared" si="245"/>
        <v>0</v>
      </c>
      <c r="F464" s="31"/>
      <c r="G464" s="7"/>
      <c r="H464" s="64">
        <f t="shared" si="240"/>
        <v>0</v>
      </c>
      <c r="I464" s="38">
        <f t="shared" si="241"/>
        <v>0</v>
      </c>
      <c r="J464"/>
      <c r="L464" s="6"/>
      <c r="M464" s="28"/>
      <c r="N464" s="22"/>
      <c r="O464" s="55">
        <f t="shared" si="242"/>
        <v>0</v>
      </c>
      <c r="P464" s="33"/>
      <c r="Q464" s="8"/>
      <c r="R464" s="64">
        <f t="shared" si="243"/>
        <v>0</v>
      </c>
      <c r="S464" s="38">
        <f t="shared" si="244"/>
        <v>0</v>
      </c>
    </row>
    <row r="465" spans="2:20" x14ac:dyDescent="0.15">
      <c r="B465" s="6"/>
      <c r="C465" s="25"/>
      <c r="D465" s="19"/>
      <c r="E465" s="55">
        <f t="shared" si="245"/>
        <v>0</v>
      </c>
      <c r="F465" s="31"/>
      <c r="G465" s="7"/>
      <c r="H465" s="64">
        <f t="shared" si="240"/>
        <v>0</v>
      </c>
      <c r="I465" s="38">
        <f t="shared" si="241"/>
        <v>0</v>
      </c>
      <c r="J465"/>
      <c r="L465" s="6"/>
      <c r="M465" s="28"/>
      <c r="N465" s="22"/>
      <c r="O465" s="55">
        <f t="shared" si="242"/>
        <v>0</v>
      </c>
      <c r="P465" s="33"/>
      <c r="Q465" s="8"/>
      <c r="R465" s="64">
        <f t="shared" si="243"/>
        <v>0</v>
      </c>
      <c r="S465" s="38">
        <f t="shared" si="244"/>
        <v>0</v>
      </c>
    </row>
    <row r="466" spans="2:20" x14ac:dyDescent="0.15">
      <c r="B466" s="6"/>
      <c r="C466" s="25"/>
      <c r="D466" s="19"/>
      <c r="E466" s="55">
        <f t="shared" si="245"/>
        <v>0</v>
      </c>
      <c r="F466" s="31"/>
      <c r="G466" s="7"/>
      <c r="H466" s="64">
        <f t="shared" si="240"/>
        <v>0</v>
      </c>
      <c r="I466" s="38">
        <f t="shared" si="241"/>
        <v>0</v>
      </c>
      <c r="J466"/>
      <c r="L466" s="6"/>
      <c r="M466" s="28"/>
      <c r="N466" s="22"/>
      <c r="O466" s="55">
        <f t="shared" si="242"/>
        <v>0</v>
      </c>
      <c r="P466" s="33"/>
      <c r="Q466" s="8"/>
      <c r="R466" s="64">
        <f t="shared" si="243"/>
        <v>0</v>
      </c>
      <c r="S466" s="38">
        <f t="shared" si="244"/>
        <v>0</v>
      </c>
    </row>
    <row r="467" spans="2:20" x14ac:dyDescent="0.15">
      <c r="B467" s="6"/>
      <c r="C467" s="28"/>
      <c r="D467" s="22"/>
      <c r="E467" s="55">
        <f t="shared" si="245"/>
        <v>0</v>
      </c>
      <c r="F467" s="33"/>
      <c r="G467" s="8"/>
      <c r="H467" s="64">
        <f t="shared" si="240"/>
        <v>0</v>
      </c>
      <c r="I467" s="38">
        <f t="shared" si="241"/>
        <v>0</v>
      </c>
      <c r="J467"/>
      <c r="L467" s="6"/>
      <c r="M467" s="28"/>
      <c r="N467" s="22"/>
      <c r="O467" s="55">
        <f t="shared" si="225"/>
        <v>0</v>
      </c>
      <c r="P467" s="33"/>
      <c r="Q467" s="8"/>
      <c r="R467" s="64">
        <f t="shared" si="226"/>
        <v>0</v>
      </c>
      <c r="S467" s="38">
        <f t="shared" si="227"/>
        <v>0</v>
      </c>
    </row>
    <row r="468" spans="2:20" x14ac:dyDescent="0.15">
      <c r="B468" s="6"/>
      <c r="C468" s="28"/>
      <c r="D468" s="22"/>
      <c r="E468" s="55">
        <f t="shared" si="245"/>
        <v>0</v>
      </c>
      <c r="F468" s="33"/>
      <c r="G468" s="8"/>
      <c r="H468" s="64">
        <f t="shared" si="240"/>
        <v>0</v>
      </c>
      <c r="I468" s="38">
        <f t="shared" si="241"/>
        <v>0</v>
      </c>
      <c r="J468"/>
      <c r="L468" s="6"/>
      <c r="M468" s="28"/>
      <c r="N468" s="22"/>
      <c r="O468" s="55">
        <f t="shared" si="225"/>
        <v>0</v>
      </c>
      <c r="P468" s="33"/>
      <c r="Q468" s="8"/>
      <c r="R468" s="64">
        <f t="shared" si="226"/>
        <v>0</v>
      </c>
      <c r="S468" s="38">
        <f t="shared" si="227"/>
        <v>0</v>
      </c>
    </row>
    <row r="469" spans="2:20" x14ac:dyDescent="0.15">
      <c r="B469" s="6"/>
      <c r="C469" s="28"/>
      <c r="D469" s="22"/>
      <c r="E469" s="55">
        <f t="shared" si="245"/>
        <v>0</v>
      </c>
      <c r="F469" s="33"/>
      <c r="G469" s="8"/>
      <c r="H469" s="64">
        <f t="shared" si="240"/>
        <v>0</v>
      </c>
      <c r="I469" s="38">
        <f t="shared" si="241"/>
        <v>0</v>
      </c>
      <c r="J469"/>
      <c r="L469" s="6"/>
      <c r="M469" s="28"/>
      <c r="N469" s="22"/>
      <c r="O469" s="55">
        <f t="shared" si="225"/>
        <v>0</v>
      </c>
      <c r="P469" s="33"/>
      <c r="Q469" s="8"/>
      <c r="R469" s="64">
        <f t="shared" si="226"/>
        <v>0</v>
      </c>
      <c r="S469" s="38">
        <f t="shared" si="227"/>
        <v>0</v>
      </c>
    </row>
    <row r="470" spans="2:20" x14ac:dyDescent="0.15">
      <c r="B470" s="6"/>
      <c r="C470" s="28"/>
      <c r="D470" s="22"/>
      <c r="E470" s="55">
        <f t="shared" si="245"/>
        <v>0</v>
      </c>
      <c r="F470" s="33"/>
      <c r="G470" s="8"/>
      <c r="H470" s="64">
        <f t="shared" si="240"/>
        <v>0</v>
      </c>
      <c r="I470" s="38">
        <f t="shared" si="241"/>
        <v>0</v>
      </c>
      <c r="J470"/>
      <c r="L470" s="6"/>
      <c r="M470" s="28"/>
      <c r="N470" s="22"/>
      <c r="O470" s="55">
        <f t="shared" si="225"/>
        <v>0</v>
      </c>
      <c r="P470" s="33"/>
      <c r="Q470" s="8"/>
      <c r="R470" s="64">
        <f t="shared" si="226"/>
        <v>0</v>
      </c>
      <c r="S470" s="38">
        <f t="shared" si="227"/>
        <v>0</v>
      </c>
    </row>
    <row r="471" spans="2:20" x14ac:dyDescent="0.15">
      <c r="B471" s="6"/>
      <c r="C471" s="28"/>
      <c r="D471" s="22"/>
      <c r="E471" s="55">
        <f t="shared" si="245"/>
        <v>0</v>
      </c>
      <c r="F471" s="33"/>
      <c r="G471" s="8"/>
      <c r="H471" s="64">
        <f t="shared" si="240"/>
        <v>0</v>
      </c>
      <c r="I471" s="38">
        <f t="shared" si="241"/>
        <v>0</v>
      </c>
      <c r="J471"/>
      <c r="L471" s="6"/>
      <c r="M471" s="28"/>
      <c r="N471" s="22"/>
      <c r="O471" s="55">
        <f t="shared" si="225"/>
        <v>0</v>
      </c>
      <c r="P471" s="33"/>
      <c r="Q471" s="8"/>
      <c r="R471" s="64">
        <f t="shared" si="226"/>
        <v>0</v>
      </c>
      <c r="S471" s="38">
        <f t="shared" si="227"/>
        <v>0</v>
      </c>
    </row>
    <row r="472" spans="2:20" x14ac:dyDescent="0.15">
      <c r="B472" s="6"/>
      <c r="C472" s="28"/>
      <c r="D472" s="22"/>
      <c r="E472" s="55">
        <f t="shared" ref="E472" si="249">SUM(C472:D472)</f>
        <v>0</v>
      </c>
      <c r="F472" s="33"/>
      <c r="G472" s="8"/>
      <c r="H472" s="64">
        <f t="shared" ref="H472" si="250">SUM(F472:G472)</f>
        <v>0</v>
      </c>
      <c r="I472" s="38">
        <f t="shared" ref="I472" si="251">E472+H472</f>
        <v>0</v>
      </c>
      <c r="J472"/>
      <c r="L472" s="6"/>
      <c r="M472" s="28"/>
      <c r="N472" s="22"/>
      <c r="O472" s="55">
        <f t="shared" si="225"/>
        <v>0</v>
      </c>
      <c r="P472" s="33"/>
      <c r="Q472" s="8"/>
      <c r="R472" s="64">
        <f t="shared" si="226"/>
        <v>0</v>
      </c>
      <c r="S472" s="38">
        <f t="shared" si="227"/>
        <v>0</v>
      </c>
    </row>
    <row r="473" spans="2:20" x14ac:dyDescent="0.15">
      <c r="B473" s="6"/>
      <c r="C473" s="28"/>
      <c r="D473" s="22"/>
      <c r="E473" s="55">
        <f t="shared" si="245"/>
        <v>0</v>
      </c>
      <c r="F473" s="33"/>
      <c r="G473" s="8"/>
      <c r="H473" s="64">
        <f t="shared" si="240"/>
        <v>0</v>
      </c>
      <c r="I473" s="38">
        <f t="shared" si="241"/>
        <v>0</v>
      </c>
      <c r="J473"/>
      <c r="L473" s="6"/>
      <c r="M473" s="28"/>
      <c r="N473" s="22"/>
      <c r="O473" s="55">
        <f t="shared" si="225"/>
        <v>0</v>
      </c>
      <c r="P473" s="33"/>
      <c r="Q473" s="8"/>
      <c r="R473" s="64">
        <f t="shared" si="226"/>
        <v>0</v>
      </c>
      <c r="S473" s="38">
        <f t="shared" si="227"/>
        <v>0</v>
      </c>
    </row>
    <row r="474" spans="2:20" x14ac:dyDescent="0.15">
      <c r="B474" s="6"/>
      <c r="C474" s="28"/>
      <c r="D474" s="22"/>
      <c r="E474" s="55">
        <f t="shared" si="237"/>
        <v>0</v>
      </c>
      <c r="F474" s="33"/>
      <c r="G474" s="8"/>
      <c r="H474" s="64">
        <f t="shared" si="238"/>
        <v>0</v>
      </c>
      <c r="I474" s="38">
        <f t="shared" si="239"/>
        <v>0</v>
      </c>
      <c r="J474"/>
      <c r="L474" s="6"/>
      <c r="M474" s="28"/>
      <c r="N474" s="22"/>
      <c r="O474" s="55">
        <f t="shared" si="225"/>
        <v>0</v>
      </c>
      <c r="P474" s="33"/>
      <c r="Q474" s="8"/>
      <c r="R474" s="64">
        <f t="shared" si="226"/>
        <v>0</v>
      </c>
      <c r="S474" s="38">
        <f t="shared" si="227"/>
        <v>0</v>
      </c>
    </row>
    <row r="475" spans="2:20" x14ac:dyDescent="0.15">
      <c r="B475" s="6"/>
      <c r="C475" s="28"/>
      <c r="D475" s="22"/>
      <c r="E475" s="55">
        <f t="shared" si="237"/>
        <v>0</v>
      </c>
      <c r="F475" s="33"/>
      <c r="G475" s="8"/>
      <c r="H475" s="64">
        <f t="shared" si="238"/>
        <v>0</v>
      </c>
      <c r="I475" s="38">
        <f t="shared" si="239"/>
        <v>0</v>
      </c>
      <c r="J475"/>
      <c r="L475" s="6"/>
      <c r="M475" s="28"/>
      <c r="N475" s="22"/>
      <c r="O475" s="55">
        <f t="shared" si="225"/>
        <v>0</v>
      </c>
      <c r="P475" s="33"/>
      <c r="Q475" s="8"/>
      <c r="R475" s="64">
        <f t="shared" si="226"/>
        <v>0</v>
      </c>
      <c r="S475" s="38">
        <f t="shared" si="227"/>
        <v>0</v>
      </c>
    </row>
    <row r="476" spans="2:20" ht="14.25" thickBot="1" x14ac:dyDescent="0.2">
      <c r="B476" s="6"/>
      <c r="C476" s="25"/>
      <c r="D476" s="19"/>
      <c r="E476" s="55">
        <f t="shared" si="237"/>
        <v>0</v>
      </c>
      <c r="F476" s="31"/>
      <c r="G476" s="7"/>
      <c r="H476" s="64">
        <f t="shared" si="238"/>
        <v>0</v>
      </c>
      <c r="I476" s="38">
        <f t="shared" si="239"/>
        <v>0</v>
      </c>
      <c r="J476" s="78"/>
      <c r="L476" s="6" t="s">
        <v>105</v>
      </c>
      <c r="M476" s="25"/>
      <c r="N476" s="19"/>
      <c r="O476" s="55">
        <f t="shared" si="225"/>
        <v>0</v>
      </c>
      <c r="P476" s="31"/>
      <c r="Q476" s="7"/>
      <c r="R476" s="64">
        <f t="shared" si="226"/>
        <v>0</v>
      </c>
      <c r="S476" s="38">
        <f t="shared" si="227"/>
        <v>0</v>
      </c>
      <c r="T476" t="s">
        <v>106</v>
      </c>
    </row>
    <row r="477" spans="2:20" ht="14.25" thickBot="1" x14ac:dyDescent="0.2">
      <c r="B477" s="4" t="s">
        <v>1</v>
      </c>
      <c r="C477" s="27">
        <f>SUM(C452:C476)</f>
        <v>22</v>
      </c>
      <c r="D477" s="21">
        <f>SUM(D452:D476)</f>
        <v>21</v>
      </c>
      <c r="E477" s="57">
        <f t="shared" si="237"/>
        <v>43</v>
      </c>
      <c r="F477" s="27">
        <f>SUM(F452:F476)</f>
        <v>3</v>
      </c>
      <c r="G477" s="21">
        <f>SUM(G452:G476)</f>
        <v>15</v>
      </c>
      <c r="H477" s="66">
        <f t="shared" si="238"/>
        <v>18</v>
      </c>
      <c r="I477" s="40">
        <f t="shared" si="239"/>
        <v>61</v>
      </c>
      <c r="L477" s="4" t="s">
        <v>1</v>
      </c>
      <c r="M477" s="27">
        <f>SUM(M452:M476)</f>
        <v>23</v>
      </c>
      <c r="N477" s="21">
        <f>SUM(N452:N476)</f>
        <v>0</v>
      </c>
      <c r="O477" s="57">
        <f t="shared" si="225"/>
        <v>23</v>
      </c>
      <c r="P477" s="27">
        <f>SUM(P452:P476)</f>
        <v>10</v>
      </c>
      <c r="Q477" s="21">
        <f>SUM(Q452:Q476)</f>
        <v>20</v>
      </c>
      <c r="R477" s="66">
        <f t="shared" si="226"/>
        <v>30</v>
      </c>
      <c r="S477" s="40">
        <f t="shared" si="227"/>
        <v>53</v>
      </c>
    </row>
    <row r="478" spans="2:20" ht="14.25" thickBot="1" x14ac:dyDescent="0.2">
      <c r="B478" s="3" t="s">
        <v>0</v>
      </c>
      <c r="C478" s="30">
        <f>+C451-C477</f>
        <v>12</v>
      </c>
      <c r="D478" s="2">
        <f>+D451-D477</f>
        <v>3</v>
      </c>
      <c r="E478" s="58">
        <f t="shared" si="237"/>
        <v>15</v>
      </c>
      <c r="F478" s="30">
        <f>+F451-F477</f>
        <v>17</v>
      </c>
      <c r="G478" s="2">
        <f>+G451-G477</f>
        <v>9</v>
      </c>
      <c r="H478" s="67">
        <f t="shared" si="238"/>
        <v>26</v>
      </c>
      <c r="I478" s="42">
        <f t="shared" si="239"/>
        <v>41</v>
      </c>
      <c r="L478" s="3" t="s">
        <v>0</v>
      </c>
      <c r="M478" s="30">
        <f>+M451-M477</f>
        <v>20</v>
      </c>
      <c r="N478" s="2">
        <f>+N451-N477</f>
        <v>0</v>
      </c>
      <c r="O478" s="58">
        <f t="shared" si="225"/>
        <v>20</v>
      </c>
      <c r="P478" s="30">
        <f>+P451-P477</f>
        <v>15</v>
      </c>
      <c r="Q478" s="2">
        <f>+Q451-Q477</f>
        <v>10</v>
      </c>
      <c r="R478" s="67">
        <f t="shared" si="226"/>
        <v>25</v>
      </c>
      <c r="S478" s="42">
        <f t="shared" si="227"/>
        <v>45</v>
      </c>
    </row>
    <row r="479" spans="2:20" x14ac:dyDescent="0.15">
      <c r="L479" s="1"/>
    </row>
    <row r="480" spans="2:20" x14ac:dyDescent="0.15">
      <c r="B480"/>
      <c r="J480"/>
    </row>
    <row r="481" spans="2:20" ht="18.75" x14ac:dyDescent="0.2">
      <c r="B481" s="16" t="s">
        <v>21</v>
      </c>
      <c r="C481" s="15"/>
      <c r="D481" s="15"/>
      <c r="E481" s="15"/>
      <c r="F481" s="15"/>
      <c r="G481" s="15"/>
      <c r="H481" s="15"/>
      <c r="I481" s="15"/>
      <c r="L481" s="71" t="s">
        <v>22</v>
      </c>
      <c r="M481" s="72"/>
      <c r="N481" s="72"/>
      <c r="O481" s="72"/>
      <c r="P481" s="72"/>
      <c r="Q481" s="72"/>
      <c r="R481" s="72"/>
      <c r="S481" s="72"/>
    </row>
    <row r="482" spans="2:20" ht="18" thickBot="1" x14ac:dyDescent="0.25">
      <c r="B482" s="17" t="s">
        <v>23</v>
      </c>
      <c r="C482" s="15"/>
      <c r="D482" s="15"/>
      <c r="E482" s="15"/>
      <c r="F482" s="15"/>
      <c r="G482" s="15"/>
      <c r="H482" s="15"/>
      <c r="I482" s="15"/>
      <c r="L482" s="73" t="s">
        <v>23</v>
      </c>
      <c r="M482" s="72"/>
      <c r="N482" s="72"/>
      <c r="O482" s="72"/>
      <c r="P482" s="72"/>
      <c r="Q482" s="72"/>
      <c r="R482" s="72"/>
      <c r="S482" s="72"/>
    </row>
    <row r="483" spans="2:20" ht="14.25" thickBot="1" x14ac:dyDescent="0.2">
      <c r="B483" s="14"/>
      <c r="C483" s="113" t="s">
        <v>12</v>
      </c>
      <c r="D483" s="114"/>
      <c r="E483" s="115"/>
      <c r="F483" s="116" t="s">
        <v>11</v>
      </c>
      <c r="G483" s="117"/>
      <c r="H483" s="118"/>
      <c r="I483" s="13" t="s">
        <v>19</v>
      </c>
      <c r="L483" s="14"/>
      <c r="M483" s="113" t="s">
        <v>12</v>
      </c>
      <c r="N483" s="114"/>
      <c r="O483" s="115"/>
      <c r="P483" s="116" t="s">
        <v>11</v>
      </c>
      <c r="Q483" s="117"/>
      <c r="R483" s="118"/>
      <c r="S483" s="13" t="s">
        <v>19</v>
      </c>
    </row>
    <row r="484" spans="2:20" ht="14.25" thickBot="1" x14ac:dyDescent="0.2">
      <c r="B484" s="13"/>
      <c r="C484" s="23" t="s">
        <v>6</v>
      </c>
      <c r="D484" s="12" t="s">
        <v>5</v>
      </c>
      <c r="E484" s="50" t="s">
        <v>4</v>
      </c>
      <c r="F484" s="23" t="s">
        <v>6</v>
      </c>
      <c r="G484" s="12" t="s">
        <v>5</v>
      </c>
      <c r="H484" s="59" t="s">
        <v>4</v>
      </c>
      <c r="I484" s="49"/>
      <c r="L484" s="13"/>
      <c r="M484" s="23" t="s">
        <v>6</v>
      </c>
      <c r="N484" s="12" t="s">
        <v>5</v>
      </c>
      <c r="O484" s="50" t="s">
        <v>4</v>
      </c>
      <c r="P484" s="23" t="s">
        <v>6</v>
      </c>
      <c r="Q484" s="12" t="s">
        <v>5</v>
      </c>
      <c r="R484" s="59" t="s">
        <v>4</v>
      </c>
      <c r="S484" s="49"/>
    </row>
    <row r="485" spans="2:20" x14ac:dyDescent="0.15">
      <c r="B485" s="46" t="s">
        <v>0</v>
      </c>
      <c r="C485" s="47">
        <f t="shared" ref="C485:H485" si="252">C478</f>
        <v>12</v>
      </c>
      <c r="D485" s="48">
        <f t="shared" si="252"/>
        <v>3</v>
      </c>
      <c r="E485" s="68">
        <f t="shared" si="252"/>
        <v>15</v>
      </c>
      <c r="F485" s="47">
        <f t="shared" si="252"/>
        <v>17</v>
      </c>
      <c r="G485" s="48">
        <f t="shared" si="252"/>
        <v>9</v>
      </c>
      <c r="H485" s="69">
        <f t="shared" si="252"/>
        <v>26</v>
      </c>
      <c r="I485" s="41">
        <f>E485+H485</f>
        <v>41</v>
      </c>
      <c r="J485" s="36"/>
      <c r="L485" s="46" t="s">
        <v>0</v>
      </c>
      <c r="M485" s="47">
        <f t="shared" ref="M485:R485" si="253">M478</f>
        <v>20</v>
      </c>
      <c r="N485" s="48">
        <f t="shared" si="253"/>
        <v>0</v>
      </c>
      <c r="O485" s="68">
        <f t="shared" si="253"/>
        <v>20</v>
      </c>
      <c r="P485" s="47">
        <f t="shared" si="253"/>
        <v>15</v>
      </c>
      <c r="Q485" s="48">
        <f t="shared" si="253"/>
        <v>10</v>
      </c>
      <c r="R485" s="69">
        <f t="shared" si="253"/>
        <v>25</v>
      </c>
      <c r="S485" s="41">
        <f>O485+R485</f>
        <v>45</v>
      </c>
    </row>
    <row r="486" spans="2:20" x14ac:dyDescent="0.15">
      <c r="B486" s="11" t="s">
        <v>3</v>
      </c>
      <c r="C486" s="25"/>
      <c r="D486" s="19">
        <v>16</v>
      </c>
      <c r="E486" s="52">
        <f t="shared" ref="E486:E518" si="254">SUM(C486:D486)</f>
        <v>16</v>
      </c>
      <c r="F486" s="31"/>
      <c r="G486" s="7"/>
      <c r="H486" s="61">
        <f t="shared" ref="H486:H518" si="255">SUM(F486:G486)</f>
        <v>0</v>
      </c>
      <c r="I486" s="38">
        <f t="shared" ref="I486:I518" si="256">E486+H486</f>
        <v>16</v>
      </c>
      <c r="J486" s="78">
        <v>45513</v>
      </c>
      <c r="L486" s="11" t="s">
        <v>3</v>
      </c>
      <c r="M486" s="25"/>
      <c r="N486" s="19"/>
      <c r="O486" s="52">
        <f t="shared" ref="O486:O488" si="257">SUM(M486:N486)</f>
        <v>0</v>
      </c>
      <c r="P486" s="31"/>
      <c r="Q486" s="7"/>
      <c r="R486" s="61">
        <f t="shared" ref="R486:R488" si="258">SUM(P486:Q486)</f>
        <v>0</v>
      </c>
      <c r="S486" s="38">
        <f t="shared" ref="S486:S488" si="259">O486+R486</f>
        <v>0</v>
      </c>
    </row>
    <row r="487" spans="2:20" x14ac:dyDescent="0.15">
      <c r="B487" s="11" t="s">
        <v>3</v>
      </c>
      <c r="C487" s="25"/>
      <c r="D487" s="19"/>
      <c r="E487" s="52">
        <f t="shared" si="254"/>
        <v>0</v>
      </c>
      <c r="F487" s="31"/>
      <c r="G487" s="7">
        <v>10</v>
      </c>
      <c r="H487" s="61">
        <f t="shared" si="255"/>
        <v>10</v>
      </c>
      <c r="I487" s="38">
        <f t="shared" si="256"/>
        <v>10</v>
      </c>
      <c r="J487" s="78">
        <v>45521</v>
      </c>
      <c r="L487" s="11" t="s">
        <v>3</v>
      </c>
      <c r="M487" s="25"/>
      <c r="N487" s="19"/>
      <c r="O487" s="52">
        <f t="shared" si="257"/>
        <v>0</v>
      </c>
      <c r="P487" s="31"/>
      <c r="Q487" s="7"/>
      <c r="R487" s="61">
        <f t="shared" si="258"/>
        <v>0</v>
      </c>
      <c r="S487" s="38">
        <f t="shared" si="259"/>
        <v>0</v>
      </c>
    </row>
    <row r="488" spans="2:20" x14ac:dyDescent="0.15">
      <c r="B488" s="11" t="s">
        <v>69</v>
      </c>
      <c r="C488" s="25"/>
      <c r="D488" s="19">
        <v>1</v>
      </c>
      <c r="E488" s="52">
        <f t="shared" si="254"/>
        <v>1</v>
      </c>
      <c r="F488" s="31"/>
      <c r="G488" s="7">
        <v>1</v>
      </c>
      <c r="H488" s="61">
        <f t="shared" si="255"/>
        <v>1</v>
      </c>
      <c r="I488" s="38">
        <f t="shared" si="256"/>
        <v>2</v>
      </c>
      <c r="J488" s="78">
        <v>45524</v>
      </c>
      <c r="L488" s="11" t="s">
        <v>3</v>
      </c>
      <c r="M488" s="25"/>
      <c r="N488" s="19"/>
      <c r="O488" s="52">
        <f t="shared" si="257"/>
        <v>0</v>
      </c>
      <c r="P488" s="31"/>
      <c r="Q488" s="7"/>
      <c r="R488" s="61">
        <f t="shared" si="258"/>
        <v>0</v>
      </c>
      <c r="S488" s="38">
        <f t="shared" si="259"/>
        <v>0</v>
      </c>
    </row>
    <row r="489" spans="2:20" x14ac:dyDescent="0.15">
      <c r="B489" s="11" t="s">
        <v>3</v>
      </c>
      <c r="C489" s="25">
        <v>5</v>
      </c>
      <c r="D489" s="19"/>
      <c r="E489" s="52">
        <f t="shared" si="254"/>
        <v>5</v>
      </c>
      <c r="F489" s="31"/>
      <c r="G489" s="7"/>
      <c r="H489" s="61">
        <f t="shared" si="255"/>
        <v>0</v>
      </c>
      <c r="I489" s="38">
        <f t="shared" si="256"/>
        <v>5</v>
      </c>
      <c r="J489" s="78">
        <v>45525</v>
      </c>
      <c r="L489" s="11" t="s">
        <v>3</v>
      </c>
      <c r="M489" s="25"/>
      <c r="N489" s="19"/>
      <c r="O489" s="52">
        <f t="shared" ref="O489:O518" si="260">SUM(M489:N489)</f>
        <v>0</v>
      </c>
      <c r="P489" s="31"/>
      <c r="Q489" s="7"/>
      <c r="R489" s="61">
        <f t="shared" ref="R489:R518" si="261">SUM(P489:Q489)</f>
        <v>0</v>
      </c>
      <c r="S489" s="38">
        <f t="shared" ref="S489:S518" si="262">O489+R489</f>
        <v>0</v>
      </c>
    </row>
    <row r="490" spans="2:20" ht="14.25" thickBot="1" x14ac:dyDescent="0.2">
      <c r="B490" s="11" t="s">
        <v>72</v>
      </c>
      <c r="C490" s="25">
        <v>-1</v>
      </c>
      <c r="D490" s="19"/>
      <c r="E490" s="52">
        <f t="shared" si="254"/>
        <v>-1</v>
      </c>
      <c r="F490" s="31"/>
      <c r="G490" s="7">
        <v>1</v>
      </c>
      <c r="H490" s="61">
        <f t="shared" si="255"/>
        <v>1</v>
      </c>
      <c r="I490" s="38">
        <f t="shared" si="256"/>
        <v>0</v>
      </c>
      <c r="J490" s="78">
        <v>45531</v>
      </c>
      <c r="L490" s="11" t="s">
        <v>3</v>
      </c>
      <c r="M490" s="25"/>
      <c r="N490" s="19"/>
      <c r="O490" s="52">
        <f t="shared" si="260"/>
        <v>0</v>
      </c>
      <c r="P490" s="31"/>
      <c r="Q490" s="7"/>
      <c r="R490" s="61">
        <f t="shared" si="261"/>
        <v>0</v>
      </c>
      <c r="S490" s="38">
        <f t="shared" si="262"/>
        <v>0</v>
      </c>
    </row>
    <row r="491" spans="2:20" ht="14.25" thickBot="1" x14ac:dyDescent="0.2">
      <c r="B491" s="43" t="s">
        <v>2</v>
      </c>
      <c r="C491" s="44">
        <f>SUM(C485:C490)</f>
        <v>16</v>
      </c>
      <c r="D491" s="45">
        <f>SUM(D485:D490)</f>
        <v>20</v>
      </c>
      <c r="E491" s="83">
        <f t="shared" si="254"/>
        <v>36</v>
      </c>
      <c r="F491" s="44">
        <f>SUM(F485:F490)</f>
        <v>17</v>
      </c>
      <c r="G491" s="45">
        <f>SUM(G485:G490)</f>
        <v>21</v>
      </c>
      <c r="H491" s="84">
        <f t="shared" si="255"/>
        <v>38</v>
      </c>
      <c r="I491" s="42">
        <f t="shared" si="256"/>
        <v>74</v>
      </c>
      <c r="L491" s="43" t="s">
        <v>2</v>
      </c>
      <c r="M491" s="44">
        <f>SUM(M485:M490)</f>
        <v>20</v>
      </c>
      <c r="N491" s="45">
        <f>SUM(N485:N490)</f>
        <v>0</v>
      </c>
      <c r="O491" s="83">
        <f t="shared" si="260"/>
        <v>20</v>
      </c>
      <c r="P491" s="44">
        <f>SUM(P485:P490)</f>
        <v>15</v>
      </c>
      <c r="Q491" s="45">
        <f>SUM(Q485:Q490)</f>
        <v>10</v>
      </c>
      <c r="R491" s="84">
        <f t="shared" si="261"/>
        <v>25</v>
      </c>
      <c r="S491" s="42">
        <f t="shared" si="262"/>
        <v>45</v>
      </c>
    </row>
    <row r="492" spans="2:20" x14ac:dyDescent="0.15">
      <c r="B492" s="6" t="s">
        <v>136</v>
      </c>
      <c r="C492" s="25"/>
      <c r="D492" s="19">
        <v>7</v>
      </c>
      <c r="E492" s="55">
        <f t="shared" ref="E492:E503" si="263">SUM(C492:D492)</f>
        <v>7</v>
      </c>
      <c r="F492" s="31">
        <v>5</v>
      </c>
      <c r="G492" s="7">
        <v>6</v>
      </c>
      <c r="H492" s="64">
        <f t="shared" ref="H492:H503" si="264">SUM(F492:G492)</f>
        <v>11</v>
      </c>
      <c r="I492" s="38">
        <f t="shared" ref="I492:I503" si="265">E492+H492</f>
        <v>18</v>
      </c>
      <c r="J492" s="78">
        <v>45523</v>
      </c>
      <c r="L492" s="6" t="s">
        <v>137</v>
      </c>
      <c r="M492" s="25">
        <v>4</v>
      </c>
      <c r="N492" s="19"/>
      <c r="O492" s="55">
        <f t="shared" ref="O492:O493" si="266">SUM(M492:N492)</f>
        <v>4</v>
      </c>
      <c r="P492" s="31">
        <v>2</v>
      </c>
      <c r="Q492" s="7">
        <v>2</v>
      </c>
      <c r="R492" s="64">
        <f t="shared" ref="R492:R493" si="267">SUM(P492:Q492)</f>
        <v>4</v>
      </c>
      <c r="S492" s="38">
        <f t="shared" ref="S492:S493" si="268">O492+R492</f>
        <v>8</v>
      </c>
      <c r="T492" s="78">
        <v>45530</v>
      </c>
    </row>
    <row r="493" spans="2:20" x14ac:dyDescent="0.15">
      <c r="B493" s="6" t="s">
        <v>7</v>
      </c>
      <c r="C493" s="25">
        <f>1+1</f>
        <v>2</v>
      </c>
      <c r="D493" s="19"/>
      <c r="E493" s="55">
        <f t="shared" si="263"/>
        <v>2</v>
      </c>
      <c r="F493" s="31"/>
      <c r="G493" s="7">
        <v>1</v>
      </c>
      <c r="H493" s="64">
        <f t="shared" si="264"/>
        <v>1</v>
      </c>
      <c r="I493" s="38">
        <f t="shared" si="265"/>
        <v>3</v>
      </c>
      <c r="J493" s="78">
        <v>45520</v>
      </c>
      <c r="L493" s="6" t="s">
        <v>32</v>
      </c>
      <c r="M493" s="25">
        <v>5</v>
      </c>
      <c r="N493" s="19"/>
      <c r="O493" s="55">
        <f t="shared" si="266"/>
        <v>5</v>
      </c>
      <c r="P493" s="31"/>
      <c r="Q493" s="7"/>
      <c r="R493" s="64">
        <f t="shared" si="267"/>
        <v>0</v>
      </c>
      <c r="S493" s="38">
        <f t="shared" si="268"/>
        <v>5</v>
      </c>
      <c r="T493" s="78">
        <v>45525</v>
      </c>
    </row>
    <row r="494" spans="2:20" x14ac:dyDescent="0.15">
      <c r="B494" s="6" t="s">
        <v>138</v>
      </c>
      <c r="C494" s="25">
        <v>3</v>
      </c>
      <c r="D494" s="19"/>
      <c r="E494" s="55">
        <f t="shared" si="263"/>
        <v>3</v>
      </c>
      <c r="F494" s="31"/>
      <c r="G494" s="7"/>
      <c r="H494" s="64">
        <f t="shared" si="264"/>
        <v>0</v>
      </c>
      <c r="I494" s="38">
        <f t="shared" si="265"/>
        <v>3</v>
      </c>
      <c r="J494" s="78">
        <v>45526</v>
      </c>
      <c r="L494" s="6"/>
      <c r="M494" s="25"/>
      <c r="N494" s="19"/>
      <c r="O494" s="55">
        <f t="shared" si="260"/>
        <v>0</v>
      </c>
      <c r="P494" s="31"/>
      <c r="Q494" s="7"/>
      <c r="R494" s="64">
        <f t="shared" si="261"/>
        <v>0</v>
      </c>
      <c r="S494" s="38">
        <f t="shared" si="262"/>
        <v>0</v>
      </c>
    </row>
    <row r="495" spans="2:20" x14ac:dyDescent="0.15">
      <c r="B495" s="6" t="s">
        <v>25</v>
      </c>
      <c r="C495" s="25"/>
      <c r="D495" s="19"/>
      <c r="E495" s="55">
        <f t="shared" si="263"/>
        <v>0</v>
      </c>
      <c r="F495" s="31">
        <v>1</v>
      </c>
      <c r="G495" s="7"/>
      <c r="H495" s="64">
        <f t="shared" si="264"/>
        <v>1</v>
      </c>
      <c r="I495" s="38">
        <f t="shared" si="265"/>
        <v>1</v>
      </c>
      <c r="J495" s="78">
        <v>45524</v>
      </c>
      <c r="L495" s="6"/>
      <c r="M495" s="25"/>
      <c r="N495" s="19"/>
      <c r="O495" s="55">
        <f t="shared" si="260"/>
        <v>0</v>
      </c>
      <c r="P495" s="31"/>
      <c r="Q495" s="7"/>
      <c r="R495" s="64">
        <f t="shared" si="261"/>
        <v>0</v>
      </c>
      <c r="S495" s="38">
        <f t="shared" si="262"/>
        <v>0</v>
      </c>
    </row>
    <row r="496" spans="2:20" x14ac:dyDescent="0.15">
      <c r="B496" s="6" t="s">
        <v>7</v>
      </c>
      <c r="C496" s="25"/>
      <c r="D496" s="19"/>
      <c r="E496" s="55">
        <f t="shared" si="263"/>
        <v>0</v>
      </c>
      <c r="F496" s="31"/>
      <c r="G496" s="7">
        <v>1</v>
      </c>
      <c r="H496" s="64">
        <f t="shared" si="264"/>
        <v>1</v>
      </c>
      <c r="I496" s="38">
        <f t="shared" si="265"/>
        <v>1</v>
      </c>
      <c r="J496" s="78">
        <v>45524</v>
      </c>
      <c r="L496" s="6"/>
      <c r="M496" s="28"/>
      <c r="N496" s="22"/>
      <c r="O496" s="55">
        <f t="shared" si="260"/>
        <v>0</v>
      </c>
      <c r="P496" s="33"/>
      <c r="Q496" s="8"/>
      <c r="R496" s="64">
        <f t="shared" si="261"/>
        <v>0</v>
      </c>
      <c r="S496" s="38">
        <f t="shared" si="262"/>
        <v>0</v>
      </c>
    </row>
    <row r="497" spans="2:19" x14ac:dyDescent="0.15">
      <c r="B497" s="6" t="s">
        <v>139</v>
      </c>
      <c r="C497" s="25">
        <v>2</v>
      </c>
      <c r="D497" s="19"/>
      <c r="E497" s="55">
        <f t="shared" si="263"/>
        <v>2</v>
      </c>
      <c r="F497" s="31"/>
      <c r="G497" s="7"/>
      <c r="H497" s="64">
        <f t="shared" si="264"/>
        <v>0</v>
      </c>
      <c r="I497" s="38">
        <f t="shared" si="265"/>
        <v>2</v>
      </c>
      <c r="J497" s="78">
        <v>45527</v>
      </c>
      <c r="L497" s="6"/>
      <c r="M497" s="28"/>
      <c r="N497" s="22"/>
      <c r="O497" s="55">
        <f t="shared" si="260"/>
        <v>0</v>
      </c>
      <c r="P497" s="33"/>
      <c r="Q497" s="8"/>
      <c r="R497" s="64">
        <f t="shared" si="261"/>
        <v>0</v>
      </c>
      <c r="S497" s="38">
        <f t="shared" si="262"/>
        <v>0</v>
      </c>
    </row>
    <row r="498" spans="2:19" x14ac:dyDescent="0.15">
      <c r="B498" s="6" t="s">
        <v>140</v>
      </c>
      <c r="C498" s="25">
        <v>1</v>
      </c>
      <c r="D498" s="19">
        <v>1</v>
      </c>
      <c r="E498" s="55">
        <f t="shared" si="263"/>
        <v>2</v>
      </c>
      <c r="F498" s="31"/>
      <c r="G498" s="7"/>
      <c r="H498" s="64">
        <f t="shared" si="264"/>
        <v>0</v>
      </c>
      <c r="I498" s="38">
        <f t="shared" si="265"/>
        <v>2</v>
      </c>
      <c r="J498" s="78">
        <v>45527</v>
      </c>
      <c r="L498" s="6"/>
      <c r="M498" s="28"/>
      <c r="N498" s="22"/>
      <c r="O498" s="55">
        <f t="shared" si="260"/>
        <v>0</v>
      </c>
      <c r="P498" s="33"/>
      <c r="Q498" s="8"/>
      <c r="R498" s="64">
        <f t="shared" si="261"/>
        <v>0</v>
      </c>
      <c r="S498" s="38">
        <f t="shared" si="262"/>
        <v>0</v>
      </c>
    </row>
    <row r="499" spans="2:19" x14ac:dyDescent="0.15">
      <c r="B499" s="6" t="s">
        <v>7</v>
      </c>
      <c r="C499" s="25"/>
      <c r="D499" s="19"/>
      <c r="E499" s="55">
        <f t="shared" si="263"/>
        <v>0</v>
      </c>
      <c r="F499" s="31">
        <v>1</v>
      </c>
      <c r="G499" s="7"/>
      <c r="H499" s="64">
        <f t="shared" si="264"/>
        <v>1</v>
      </c>
      <c r="I499" s="38">
        <f t="shared" si="265"/>
        <v>1</v>
      </c>
      <c r="J499" s="78">
        <v>45526</v>
      </c>
      <c r="L499" s="6"/>
      <c r="M499" s="28"/>
      <c r="N499" s="22"/>
      <c r="O499" s="55">
        <f t="shared" si="260"/>
        <v>0</v>
      </c>
      <c r="P499" s="33"/>
      <c r="Q499" s="8"/>
      <c r="R499" s="64">
        <f t="shared" si="261"/>
        <v>0</v>
      </c>
      <c r="S499" s="38">
        <f t="shared" si="262"/>
        <v>0</v>
      </c>
    </row>
    <row r="500" spans="2:19" x14ac:dyDescent="0.15">
      <c r="B500" s="6" t="s">
        <v>141</v>
      </c>
      <c r="C500" s="25"/>
      <c r="D500" s="19">
        <v>1</v>
      </c>
      <c r="E500" s="55">
        <f t="shared" si="263"/>
        <v>1</v>
      </c>
      <c r="F500" s="31"/>
      <c r="G500" s="7"/>
      <c r="H500" s="64">
        <f t="shared" si="264"/>
        <v>0</v>
      </c>
      <c r="I500" s="38">
        <f t="shared" si="265"/>
        <v>1</v>
      </c>
      <c r="J500" s="78">
        <v>45530</v>
      </c>
      <c r="L500" s="6"/>
      <c r="M500" s="28"/>
      <c r="N500" s="22"/>
      <c r="O500" s="55">
        <f t="shared" si="260"/>
        <v>0</v>
      </c>
      <c r="P500" s="33"/>
      <c r="Q500" s="8"/>
      <c r="R500" s="64">
        <f t="shared" si="261"/>
        <v>0</v>
      </c>
      <c r="S500" s="38">
        <f t="shared" si="262"/>
        <v>0</v>
      </c>
    </row>
    <row r="501" spans="2:19" x14ac:dyDescent="0.15">
      <c r="B501" s="6" t="s">
        <v>142</v>
      </c>
      <c r="C501" s="25">
        <v>1</v>
      </c>
      <c r="D501" s="19"/>
      <c r="E501" s="55">
        <f t="shared" si="263"/>
        <v>1</v>
      </c>
      <c r="F501" s="31"/>
      <c r="G501" s="7"/>
      <c r="H501" s="64">
        <f t="shared" si="264"/>
        <v>0</v>
      </c>
      <c r="I501" s="38">
        <f t="shared" si="265"/>
        <v>1</v>
      </c>
      <c r="J501" s="78">
        <v>45532</v>
      </c>
      <c r="L501" s="6"/>
      <c r="M501" s="28"/>
      <c r="N501" s="22"/>
      <c r="O501" s="55">
        <f t="shared" si="260"/>
        <v>0</v>
      </c>
      <c r="P501" s="33"/>
      <c r="Q501" s="8"/>
      <c r="R501" s="64">
        <f t="shared" si="261"/>
        <v>0</v>
      </c>
      <c r="S501" s="38">
        <f t="shared" si="262"/>
        <v>0</v>
      </c>
    </row>
    <row r="502" spans="2:19" x14ac:dyDescent="0.15">
      <c r="B502" s="6" t="s">
        <v>7</v>
      </c>
      <c r="C502" s="25"/>
      <c r="D502" s="19"/>
      <c r="E502" s="55">
        <f t="shared" si="263"/>
        <v>0</v>
      </c>
      <c r="F502" s="31"/>
      <c r="G502" s="7">
        <v>1</v>
      </c>
      <c r="H502" s="64">
        <f t="shared" si="264"/>
        <v>1</v>
      </c>
      <c r="I502" s="38">
        <f t="shared" si="265"/>
        <v>1</v>
      </c>
      <c r="J502" s="78">
        <v>45530</v>
      </c>
      <c r="L502" s="6"/>
      <c r="M502" s="28"/>
      <c r="N502" s="22"/>
      <c r="O502" s="55">
        <f t="shared" si="260"/>
        <v>0</v>
      </c>
      <c r="P502" s="33"/>
      <c r="Q502" s="8"/>
      <c r="R502" s="64">
        <f t="shared" si="261"/>
        <v>0</v>
      </c>
      <c r="S502" s="38">
        <f t="shared" si="262"/>
        <v>0</v>
      </c>
    </row>
    <row r="503" spans="2:19" x14ac:dyDescent="0.15">
      <c r="B503" s="6" t="s">
        <v>142</v>
      </c>
      <c r="C503" s="25"/>
      <c r="D503" s="19"/>
      <c r="E503" s="55">
        <f t="shared" si="263"/>
        <v>0</v>
      </c>
      <c r="F503" s="31">
        <v>3</v>
      </c>
      <c r="G503" s="7"/>
      <c r="H503" s="64">
        <f t="shared" si="264"/>
        <v>3</v>
      </c>
      <c r="I503" s="38">
        <f t="shared" si="265"/>
        <v>3</v>
      </c>
      <c r="J503" s="78">
        <v>45533</v>
      </c>
      <c r="L503" s="6"/>
      <c r="M503" s="28"/>
      <c r="N503" s="22"/>
      <c r="O503" s="55">
        <f t="shared" si="260"/>
        <v>0</v>
      </c>
      <c r="P503" s="33"/>
      <c r="Q503" s="8"/>
      <c r="R503" s="64">
        <f t="shared" si="261"/>
        <v>0</v>
      </c>
      <c r="S503" s="38">
        <f t="shared" si="262"/>
        <v>0</v>
      </c>
    </row>
    <row r="504" spans="2:19" x14ac:dyDescent="0.15">
      <c r="B504" s="6" t="s">
        <v>143</v>
      </c>
      <c r="C504" s="25">
        <v>-3</v>
      </c>
      <c r="D504" s="19">
        <f>-2-3</f>
        <v>-5</v>
      </c>
      <c r="E504" s="55">
        <f t="shared" si="254"/>
        <v>-8</v>
      </c>
      <c r="F504" s="31">
        <v>-1</v>
      </c>
      <c r="G504" s="7">
        <v>-1</v>
      </c>
      <c r="H504" s="64">
        <f t="shared" si="255"/>
        <v>-2</v>
      </c>
      <c r="I504" s="38">
        <f t="shared" si="256"/>
        <v>-10</v>
      </c>
      <c r="J504" s="78">
        <v>45533</v>
      </c>
      <c r="L504" s="6"/>
      <c r="M504" s="28"/>
      <c r="N504" s="22"/>
      <c r="O504" s="55">
        <f t="shared" si="260"/>
        <v>0</v>
      </c>
      <c r="P504" s="33"/>
      <c r="Q504" s="8"/>
      <c r="R504" s="64">
        <f t="shared" si="261"/>
        <v>0</v>
      </c>
      <c r="S504" s="38">
        <f t="shared" si="262"/>
        <v>0</v>
      </c>
    </row>
    <row r="505" spans="2:19" x14ac:dyDescent="0.15">
      <c r="B505" s="6" t="s">
        <v>144</v>
      </c>
      <c r="C505" s="25">
        <v>1</v>
      </c>
      <c r="D505" s="19"/>
      <c r="E505" s="55">
        <f t="shared" si="254"/>
        <v>1</v>
      </c>
      <c r="F505" s="31"/>
      <c r="G505" s="7"/>
      <c r="H505" s="64">
        <f t="shared" si="255"/>
        <v>0</v>
      </c>
      <c r="I505" s="38">
        <f t="shared" si="256"/>
        <v>1</v>
      </c>
      <c r="J505" s="78">
        <v>45537</v>
      </c>
      <c r="L505" s="6"/>
      <c r="M505" s="28"/>
      <c r="N505" s="22"/>
      <c r="O505" s="55">
        <f t="shared" si="260"/>
        <v>0</v>
      </c>
      <c r="P505" s="33"/>
      <c r="Q505" s="8"/>
      <c r="R505" s="64">
        <f t="shared" si="261"/>
        <v>0</v>
      </c>
      <c r="S505" s="38">
        <f t="shared" si="262"/>
        <v>0</v>
      </c>
    </row>
    <row r="506" spans="2:19" x14ac:dyDescent="0.15">
      <c r="B506" s="6" t="s">
        <v>145</v>
      </c>
      <c r="C506" s="25">
        <v>1</v>
      </c>
      <c r="D506" s="19">
        <v>3</v>
      </c>
      <c r="E506" s="55">
        <f t="shared" si="254"/>
        <v>4</v>
      </c>
      <c r="F506" s="31">
        <v>2</v>
      </c>
      <c r="G506" s="7"/>
      <c r="H506" s="64">
        <f t="shared" si="255"/>
        <v>2</v>
      </c>
      <c r="I506" s="38">
        <f t="shared" si="256"/>
        <v>6</v>
      </c>
      <c r="J506" s="78">
        <v>45539</v>
      </c>
      <c r="L506" s="6"/>
      <c r="M506" s="28"/>
      <c r="N506" s="22"/>
      <c r="O506" s="55">
        <f t="shared" si="260"/>
        <v>0</v>
      </c>
      <c r="P506" s="33"/>
      <c r="Q506" s="8"/>
      <c r="R506" s="64">
        <f t="shared" si="261"/>
        <v>0</v>
      </c>
      <c r="S506" s="38">
        <f t="shared" si="262"/>
        <v>0</v>
      </c>
    </row>
    <row r="507" spans="2:19" x14ac:dyDescent="0.15">
      <c r="B507" s="6" t="s">
        <v>7</v>
      </c>
      <c r="C507" s="28"/>
      <c r="D507" s="22"/>
      <c r="E507" s="55">
        <f t="shared" si="254"/>
        <v>0</v>
      </c>
      <c r="F507" s="33"/>
      <c r="G507" s="8">
        <v>1</v>
      </c>
      <c r="H507" s="64">
        <f t="shared" si="255"/>
        <v>1</v>
      </c>
      <c r="I507" s="38">
        <f t="shared" si="256"/>
        <v>1</v>
      </c>
      <c r="J507" s="78">
        <v>45537</v>
      </c>
      <c r="L507" s="6"/>
      <c r="M507" s="28"/>
      <c r="N507" s="22"/>
      <c r="O507" s="55">
        <f t="shared" si="260"/>
        <v>0</v>
      </c>
      <c r="P507" s="33"/>
      <c r="Q507" s="8"/>
      <c r="R507" s="64">
        <f t="shared" si="261"/>
        <v>0</v>
      </c>
      <c r="S507" s="38">
        <f t="shared" si="262"/>
        <v>0</v>
      </c>
    </row>
    <row r="508" spans="2:19" x14ac:dyDescent="0.15">
      <c r="B508" s="6" t="s">
        <v>146</v>
      </c>
      <c r="C508" s="25"/>
      <c r="D508" s="19">
        <v>1</v>
      </c>
      <c r="E508" s="55">
        <f t="shared" si="254"/>
        <v>1</v>
      </c>
      <c r="F508" s="31">
        <v>1</v>
      </c>
      <c r="G508" s="7"/>
      <c r="H508" s="64">
        <f t="shared" si="255"/>
        <v>1</v>
      </c>
      <c r="I508" s="38">
        <f t="shared" si="256"/>
        <v>2</v>
      </c>
      <c r="J508" s="78">
        <v>45540</v>
      </c>
      <c r="L508" s="6"/>
      <c r="M508" s="28"/>
      <c r="N508" s="22"/>
      <c r="O508" s="55">
        <f t="shared" si="260"/>
        <v>0</v>
      </c>
      <c r="P508" s="33"/>
      <c r="Q508" s="8"/>
      <c r="R508" s="64">
        <f t="shared" si="261"/>
        <v>0</v>
      </c>
      <c r="S508" s="38">
        <f t="shared" si="262"/>
        <v>0</v>
      </c>
    </row>
    <row r="509" spans="2:19" x14ac:dyDescent="0.15">
      <c r="B509" s="6" t="s">
        <v>147</v>
      </c>
      <c r="C509" s="25">
        <v>1</v>
      </c>
      <c r="D509" s="19"/>
      <c r="E509" s="55">
        <f t="shared" si="254"/>
        <v>1</v>
      </c>
      <c r="F509" s="31"/>
      <c r="G509" s="7"/>
      <c r="H509" s="64">
        <f t="shared" si="255"/>
        <v>0</v>
      </c>
      <c r="I509" s="38">
        <f t="shared" si="256"/>
        <v>1</v>
      </c>
      <c r="J509" s="78">
        <v>45541</v>
      </c>
      <c r="L509" s="6"/>
      <c r="M509" s="28"/>
      <c r="N509" s="22"/>
      <c r="O509" s="55">
        <f t="shared" si="260"/>
        <v>0</v>
      </c>
      <c r="P509" s="33"/>
      <c r="Q509" s="8"/>
      <c r="R509" s="64">
        <f t="shared" si="261"/>
        <v>0</v>
      </c>
      <c r="S509" s="38">
        <f t="shared" si="262"/>
        <v>0</v>
      </c>
    </row>
    <row r="510" spans="2:19" x14ac:dyDescent="0.15">
      <c r="B510" s="6" t="s">
        <v>148</v>
      </c>
      <c r="C510" s="25"/>
      <c r="D510" s="19">
        <v>1</v>
      </c>
      <c r="E510" s="55">
        <f t="shared" si="254"/>
        <v>1</v>
      </c>
      <c r="F510" s="31"/>
      <c r="G510" s="7">
        <v>3</v>
      </c>
      <c r="H510" s="64">
        <f t="shared" si="255"/>
        <v>3</v>
      </c>
      <c r="I510" s="38">
        <f t="shared" si="256"/>
        <v>4</v>
      </c>
      <c r="J510" s="78">
        <v>45546</v>
      </c>
      <c r="L510" s="6"/>
      <c r="M510" s="28"/>
      <c r="N510" s="22"/>
      <c r="O510" s="55">
        <f t="shared" si="260"/>
        <v>0</v>
      </c>
      <c r="P510" s="33"/>
      <c r="Q510" s="8"/>
      <c r="R510" s="64">
        <f t="shared" si="261"/>
        <v>0</v>
      </c>
      <c r="S510" s="38">
        <f t="shared" si="262"/>
        <v>0</v>
      </c>
    </row>
    <row r="511" spans="2:19" x14ac:dyDescent="0.15">
      <c r="B511" s="6" t="s">
        <v>149</v>
      </c>
      <c r="C511" s="25">
        <v>1</v>
      </c>
      <c r="D511" s="19"/>
      <c r="E511" s="55">
        <f t="shared" si="254"/>
        <v>1</v>
      </c>
      <c r="F511" s="31">
        <v>1</v>
      </c>
      <c r="G511" s="7"/>
      <c r="H511" s="64">
        <f t="shared" si="255"/>
        <v>1</v>
      </c>
      <c r="I511" s="38">
        <f t="shared" si="256"/>
        <v>2</v>
      </c>
      <c r="J511" s="78">
        <v>45547</v>
      </c>
      <c r="L511" s="6"/>
      <c r="M511" s="28"/>
      <c r="N511" s="22"/>
      <c r="O511" s="55">
        <f t="shared" si="260"/>
        <v>0</v>
      </c>
      <c r="P511" s="33"/>
      <c r="Q511" s="8"/>
      <c r="R511" s="64">
        <f t="shared" si="261"/>
        <v>0</v>
      </c>
      <c r="S511" s="38">
        <f t="shared" si="262"/>
        <v>0</v>
      </c>
    </row>
    <row r="512" spans="2:19" x14ac:dyDescent="0.15">
      <c r="B512" s="6"/>
      <c r="C512" s="25"/>
      <c r="D512" s="19"/>
      <c r="E512" s="55">
        <f t="shared" si="254"/>
        <v>0</v>
      </c>
      <c r="F512" s="31"/>
      <c r="G512" s="7"/>
      <c r="H512" s="64">
        <f t="shared" si="255"/>
        <v>0</v>
      </c>
      <c r="I512" s="38">
        <f t="shared" si="256"/>
        <v>0</v>
      </c>
      <c r="J512"/>
      <c r="L512" s="6"/>
      <c r="M512" s="28"/>
      <c r="N512" s="22"/>
      <c r="O512" s="55">
        <f t="shared" si="260"/>
        <v>0</v>
      </c>
      <c r="P512" s="33"/>
      <c r="Q512" s="8"/>
      <c r="R512" s="64">
        <f t="shared" si="261"/>
        <v>0</v>
      </c>
      <c r="S512" s="38">
        <f t="shared" si="262"/>
        <v>0</v>
      </c>
    </row>
    <row r="513" spans="2:19" x14ac:dyDescent="0.15">
      <c r="B513" s="6"/>
      <c r="C513" s="28"/>
      <c r="D513" s="22"/>
      <c r="E513" s="55">
        <f t="shared" si="254"/>
        <v>0</v>
      </c>
      <c r="F513" s="33"/>
      <c r="G513" s="8"/>
      <c r="H513" s="64">
        <f t="shared" si="255"/>
        <v>0</v>
      </c>
      <c r="I513" s="38">
        <f t="shared" si="256"/>
        <v>0</v>
      </c>
      <c r="J513"/>
      <c r="L513" s="6"/>
      <c r="M513" s="28"/>
      <c r="N513" s="22"/>
      <c r="O513" s="55">
        <f t="shared" si="260"/>
        <v>0</v>
      </c>
      <c r="P513" s="33"/>
      <c r="Q513" s="8"/>
      <c r="R513" s="64">
        <f t="shared" si="261"/>
        <v>0</v>
      </c>
      <c r="S513" s="38">
        <f t="shared" si="262"/>
        <v>0</v>
      </c>
    </row>
    <row r="514" spans="2:19" x14ac:dyDescent="0.15">
      <c r="B514" s="6"/>
      <c r="C514" s="28"/>
      <c r="D514" s="22"/>
      <c r="E514" s="55">
        <f t="shared" si="254"/>
        <v>0</v>
      </c>
      <c r="F514" s="33"/>
      <c r="G514" s="8"/>
      <c r="H514" s="64">
        <f t="shared" si="255"/>
        <v>0</v>
      </c>
      <c r="I514" s="38">
        <f t="shared" si="256"/>
        <v>0</v>
      </c>
      <c r="J514"/>
      <c r="L514" s="6"/>
      <c r="M514" s="28"/>
      <c r="N514" s="22"/>
      <c r="O514" s="55">
        <f t="shared" si="260"/>
        <v>0</v>
      </c>
      <c r="P514" s="33"/>
      <c r="Q514" s="8"/>
      <c r="R514" s="64">
        <f t="shared" si="261"/>
        <v>0</v>
      </c>
      <c r="S514" s="38">
        <f t="shared" si="262"/>
        <v>0</v>
      </c>
    </row>
    <row r="515" spans="2:19" x14ac:dyDescent="0.15">
      <c r="B515" s="6"/>
      <c r="C515" s="28"/>
      <c r="D515" s="22"/>
      <c r="E515" s="55">
        <f t="shared" si="254"/>
        <v>0</v>
      </c>
      <c r="F515" s="33"/>
      <c r="G515" s="8"/>
      <c r="H515" s="64">
        <f t="shared" si="255"/>
        <v>0</v>
      </c>
      <c r="I515" s="38">
        <f t="shared" si="256"/>
        <v>0</v>
      </c>
      <c r="J515"/>
      <c r="L515" s="6"/>
      <c r="M515" s="28"/>
      <c r="N515" s="22"/>
      <c r="O515" s="55">
        <f t="shared" si="260"/>
        <v>0</v>
      </c>
      <c r="P515" s="33"/>
      <c r="Q515" s="8"/>
      <c r="R515" s="64">
        <f t="shared" si="261"/>
        <v>0</v>
      </c>
      <c r="S515" s="38">
        <f t="shared" si="262"/>
        <v>0</v>
      </c>
    </row>
    <row r="516" spans="2:19" ht="14.25" thickBot="1" x14ac:dyDescent="0.2">
      <c r="B516" s="6"/>
      <c r="C516" s="25"/>
      <c r="D516" s="19"/>
      <c r="E516" s="55">
        <f t="shared" si="254"/>
        <v>0</v>
      </c>
      <c r="F516" s="31"/>
      <c r="G516" s="7"/>
      <c r="H516" s="64">
        <f t="shared" si="255"/>
        <v>0</v>
      </c>
      <c r="I516" s="38">
        <f t="shared" si="256"/>
        <v>0</v>
      </c>
      <c r="J516" s="78"/>
      <c r="L516" s="6"/>
      <c r="M516" s="28"/>
      <c r="N516" s="22"/>
      <c r="O516" s="55">
        <f t="shared" ref="O516" si="269">SUM(M516:N516)</f>
        <v>0</v>
      </c>
      <c r="P516" s="33"/>
      <c r="Q516" s="8"/>
      <c r="R516" s="64">
        <f t="shared" ref="R516" si="270">SUM(P516:Q516)</f>
        <v>0</v>
      </c>
      <c r="S516" s="38">
        <f t="shared" ref="S516" si="271">O516+R516</f>
        <v>0</v>
      </c>
    </row>
    <row r="517" spans="2:19" ht="14.25" thickBot="1" x14ac:dyDescent="0.2">
      <c r="B517" s="4" t="s">
        <v>1</v>
      </c>
      <c r="C517" s="27">
        <f>SUM(C492:C516)</f>
        <v>10</v>
      </c>
      <c r="D517" s="21">
        <f>SUM(D492:D516)</f>
        <v>9</v>
      </c>
      <c r="E517" s="57">
        <f t="shared" si="254"/>
        <v>19</v>
      </c>
      <c r="F517" s="27">
        <f>SUM(F492:F516)</f>
        <v>13</v>
      </c>
      <c r="G517" s="21">
        <f>SUM(G492:G516)</f>
        <v>12</v>
      </c>
      <c r="H517" s="66">
        <f t="shared" si="255"/>
        <v>25</v>
      </c>
      <c r="I517" s="40">
        <f t="shared" si="256"/>
        <v>44</v>
      </c>
      <c r="L517" s="4" t="s">
        <v>1</v>
      </c>
      <c r="M517" s="27">
        <f>SUM(M492:M516)</f>
        <v>9</v>
      </c>
      <c r="N517" s="21">
        <f>SUM(N492:N516)</f>
        <v>0</v>
      </c>
      <c r="O517" s="57">
        <f t="shared" si="260"/>
        <v>9</v>
      </c>
      <c r="P517" s="27">
        <f>SUM(P492:P516)</f>
        <v>2</v>
      </c>
      <c r="Q517" s="21">
        <f>SUM(Q492:Q516)</f>
        <v>2</v>
      </c>
      <c r="R517" s="66">
        <f t="shared" si="261"/>
        <v>4</v>
      </c>
      <c r="S517" s="40">
        <f t="shared" si="262"/>
        <v>13</v>
      </c>
    </row>
    <row r="518" spans="2:19" ht="14.25" thickBot="1" x14ac:dyDescent="0.2">
      <c r="B518" s="3" t="s">
        <v>0</v>
      </c>
      <c r="C518" s="30">
        <f>+C491-C517</f>
        <v>6</v>
      </c>
      <c r="D518" s="2">
        <f>+D491-D517</f>
        <v>11</v>
      </c>
      <c r="E518" s="58">
        <f t="shared" si="254"/>
        <v>17</v>
      </c>
      <c r="F518" s="30">
        <f>+F491-F517</f>
        <v>4</v>
      </c>
      <c r="G518" s="2">
        <f>+G491-G517</f>
        <v>9</v>
      </c>
      <c r="H518" s="67">
        <f t="shared" si="255"/>
        <v>13</v>
      </c>
      <c r="I518" s="42">
        <f t="shared" si="256"/>
        <v>30</v>
      </c>
      <c r="L518" s="3" t="s">
        <v>0</v>
      </c>
      <c r="M518" s="30">
        <f>+M491-M517</f>
        <v>11</v>
      </c>
      <c r="N518" s="2">
        <f>+N491-N517</f>
        <v>0</v>
      </c>
      <c r="O518" s="58">
        <f t="shared" si="260"/>
        <v>11</v>
      </c>
      <c r="P518" s="30">
        <f>+P491-P517</f>
        <v>13</v>
      </c>
      <c r="Q518" s="2">
        <f>+Q491-Q517</f>
        <v>8</v>
      </c>
      <c r="R518" s="67">
        <f t="shared" si="261"/>
        <v>21</v>
      </c>
      <c r="S518" s="42">
        <f t="shared" si="262"/>
        <v>32</v>
      </c>
    </row>
    <row r="519" spans="2:19" x14ac:dyDescent="0.15">
      <c r="B519" s="1" t="s">
        <v>159</v>
      </c>
      <c r="C519">
        <v>130</v>
      </c>
      <c r="D519">
        <v>207</v>
      </c>
      <c r="E519">
        <v>337</v>
      </c>
      <c r="F519">
        <v>91</v>
      </c>
      <c r="G519">
        <v>128</v>
      </c>
      <c r="H519">
        <v>219</v>
      </c>
      <c r="L519" s="1"/>
    </row>
    <row r="520" spans="2:19" x14ac:dyDescent="0.15">
      <c r="B520" s="1" t="s">
        <v>160</v>
      </c>
      <c r="C520">
        <v>96</v>
      </c>
      <c r="D520">
        <v>199</v>
      </c>
      <c r="E520">
        <v>295</v>
      </c>
      <c r="F520">
        <v>55</v>
      </c>
      <c r="G520">
        <v>102</v>
      </c>
      <c r="H520">
        <v>157</v>
      </c>
      <c r="J520"/>
    </row>
    <row r="521" spans="2:19" ht="18.75" x14ac:dyDescent="0.2">
      <c r="B521" s="16"/>
      <c r="C521" s="15">
        <f t="shared" ref="C521:H521" si="272">SUM(C519:C520)</f>
        <v>226</v>
      </c>
      <c r="D521" s="15">
        <f t="shared" si="272"/>
        <v>406</v>
      </c>
      <c r="E521" s="15">
        <f t="shared" si="272"/>
        <v>632</v>
      </c>
      <c r="F521" s="15">
        <f t="shared" si="272"/>
        <v>146</v>
      </c>
      <c r="G521" s="15">
        <f t="shared" si="272"/>
        <v>230</v>
      </c>
      <c r="H521" s="15">
        <f t="shared" si="272"/>
        <v>376</v>
      </c>
      <c r="I521" s="15"/>
      <c r="L521" s="71" t="s">
        <v>22</v>
      </c>
      <c r="M521" s="72"/>
      <c r="N521" s="72"/>
      <c r="O521" s="72"/>
      <c r="P521" s="72"/>
      <c r="Q521" s="72"/>
      <c r="R521" s="72"/>
      <c r="S521" s="72"/>
    </row>
    <row r="522" spans="2:19" ht="18" thickBot="1" x14ac:dyDescent="0.25">
      <c r="B522" s="17"/>
      <c r="C522" s="87">
        <f>C521/$E$521*100</f>
        <v>35.75949367088608</v>
      </c>
      <c r="D522" s="87">
        <f t="shared" ref="D522:E522" si="273">D521/$E$521*100</f>
        <v>64.240506329113927</v>
      </c>
      <c r="E522" s="87">
        <f t="shared" si="273"/>
        <v>100</v>
      </c>
      <c r="F522" s="87">
        <f>F521/$H$521*100</f>
        <v>38.829787234042549</v>
      </c>
      <c r="G522" s="87">
        <f t="shared" ref="G522:H522" si="274">G521/$H$521*100</f>
        <v>61.170212765957444</v>
      </c>
      <c r="H522" s="87">
        <f t="shared" si="274"/>
        <v>100</v>
      </c>
      <c r="I522" s="15"/>
      <c r="L522" s="73" t="s">
        <v>23</v>
      </c>
      <c r="M522" s="72"/>
      <c r="N522" s="72"/>
      <c r="O522" s="72"/>
      <c r="P522" s="72"/>
      <c r="Q522" s="72"/>
      <c r="R522" s="72"/>
      <c r="S522" s="72"/>
    </row>
    <row r="523" spans="2:19" ht="14.25" thickBot="1" x14ac:dyDescent="0.2">
      <c r="B523" s="14"/>
      <c r="C523" s="113" t="s">
        <v>12</v>
      </c>
      <c r="D523" s="114"/>
      <c r="E523" s="115"/>
      <c r="F523" s="116" t="s">
        <v>11</v>
      </c>
      <c r="G523" s="117"/>
      <c r="H523" s="118"/>
      <c r="I523" s="13" t="s">
        <v>19</v>
      </c>
      <c r="L523" s="14"/>
      <c r="M523" s="113" t="s">
        <v>12</v>
      </c>
      <c r="N523" s="114"/>
      <c r="O523" s="115"/>
      <c r="P523" s="116" t="s">
        <v>11</v>
      </c>
      <c r="Q523" s="117"/>
      <c r="R523" s="118"/>
      <c r="S523" s="13" t="s">
        <v>19</v>
      </c>
    </row>
    <row r="524" spans="2:19" ht="14.25" thickBot="1" x14ac:dyDescent="0.2">
      <c r="B524" s="13"/>
      <c r="C524" s="23" t="s">
        <v>6</v>
      </c>
      <c r="D524" s="12" t="s">
        <v>5</v>
      </c>
      <c r="E524" s="50" t="s">
        <v>4</v>
      </c>
      <c r="F524" s="23" t="s">
        <v>6</v>
      </c>
      <c r="G524" s="12" t="s">
        <v>5</v>
      </c>
      <c r="H524" s="59" t="s">
        <v>4</v>
      </c>
      <c r="I524" s="49"/>
      <c r="L524" s="13"/>
      <c r="M524" s="23" t="s">
        <v>6</v>
      </c>
      <c r="N524" s="12" t="s">
        <v>5</v>
      </c>
      <c r="O524" s="50" t="s">
        <v>4</v>
      </c>
      <c r="P524" s="23" t="s">
        <v>6</v>
      </c>
      <c r="Q524" s="12" t="s">
        <v>5</v>
      </c>
      <c r="R524" s="59" t="s">
        <v>4</v>
      </c>
      <c r="S524" s="49"/>
    </row>
    <row r="525" spans="2:19" x14ac:dyDescent="0.15">
      <c r="B525" s="46" t="s">
        <v>0</v>
      </c>
      <c r="C525" s="47">
        <f t="shared" ref="C525:H525" si="275">C518</f>
        <v>6</v>
      </c>
      <c r="D525" s="48">
        <f t="shared" si="275"/>
        <v>11</v>
      </c>
      <c r="E525" s="68">
        <f t="shared" si="275"/>
        <v>17</v>
      </c>
      <c r="F525" s="47">
        <f t="shared" si="275"/>
        <v>4</v>
      </c>
      <c r="G525" s="48">
        <f t="shared" si="275"/>
        <v>9</v>
      </c>
      <c r="H525" s="69">
        <f t="shared" si="275"/>
        <v>13</v>
      </c>
      <c r="I525" s="41">
        <f>E525+H525</f>
        <v>30</v>
      </c>
      <c r="J525" s="36"/>
      <c r="L525" s="46" t="s">
        <v>0</v>
      </c>
      <c r="M525" s="47">
        <f t="shared" ref="M525:R525" si="276">M518</f>
        <v>11</v>
      </c>
      <c r="N525" s="48">
        <f t="shared" si="276"/>
        <v>0</v>
      </c>
      <c r="O525" s="68">
        <f t="shared" si="276"/>
        <v>11</v>
      </c>
      <c r="P525" s="47">
        <f t="shared" si="276"/>
        <v>13</v>
      </c>
      <c r="Q525" s="48">
        <f t="shared" si="276"/>
        <v>8</v>
      </c>
      <c r="R525" s="69">
        <f t="shared" si="276"/>
        <v>21</v>
      </c>
      <c r="S525" s="41">
        <f>O525+R525</f>
        <v>32</v>
      </c>
    </row>
    <row r="526" spans="2:19" x14ac:dyDescent="0.15">
      <c r="B526" s="11" t="s">
        <v>69</v>
      </c>
      <c r="C526" s="25">
        <v>1</v>
      </c>
      <c r="D526" s="19">
        <v>1</v>
      </c>
      <c r="E526" s="52">
        <f t="shared" ref="E526:E530" si="277">SUM(C526:D526)</f>
        <v>2</v>
      </c>
      <c r="F526" s="31">
        <v>1</v>
      </c>
      <c r="G526" s="7"/>
      <c r="H526" s="61">
        <f t="shared" ref="H526:H530" si="278">SUM(F526:G526)</f>
        <v>1</v>
      </c>
      <c r="I526" s="38">
        <f t="shared" ref="I526:I530" si="279">E526+H526</f>
        <v>3</v>
      </c>
      <c r="J526" s="78">
        <v>45547</v>
      </c>
      <c r="L526" s="11" t="s">
        <v>3</v>
      </c>
      <c r="M526" s="25"/>
      <c r="N526" s="19"/>
      <c r="O526" s="52">
        <f t="shared" ref="O526" si="280">SUM(M526:N526)</f>
        <v>0</v>
      </c>
      <c r="P526" s="31"/>
      <c r="Q526" s="7"/>
      <c r="R526" s="61">
        <f t="shared" ref="R526" si="281">SUM(P526:Q526)</f>
        <v>0</v>
      </c>
      <c r="S526" s="38">
        <f t="shared" ref="S526" si="282">O526+R526</f>
        <v>0</v>
      </c>
    </row>
    <row r="527" spans="2:19" x14ac:dyDescent="0.15">
      <c r="B527" s="11" t="s">
        <v>69</v>
      </c>
      <c r="C527" s="25">
        <v>1</v>
      </c>
      <c r="D527" s="19"/>
      <c r="E527" s="52">
        <f t="shared" si="277"/>
        <v>1</v>
      </c>
      <c r="F527" s="31"/>
      <c r="G527" s="7"/>
      <c r="H527" s="61">
        <f t="shared" si="278"/>
        <v>0</v>
      </c>
      <c r="I527" s="38">
        <f t="shared" si="279"/>
        <v>1</v>
      </c>
      <c r="J527" s="78">
        <v>45573</v>
      </c>
      <c r="L527" s="11" t="s">
        <v>3</v>
      </c>
      <c r="M527" s="25"/>
      <c r="N527" s="19"/>
      <c r="O527" s="52">
        <f t="shared" ref="O527:O557" si="283">SUM(M527:N527)</f>
        <v>0</v>
      </c>
      <c r="P527" s="31"/>
      <c r="Q527" s="7"/>
      <c r="R527" s="61">
        <f t="shared" ref="R527:R557" si="284">SUM(P527:Q527)</f>
        <v>0</v>
      </c>
      <c r="S527" s="38">
        <f t="shared" ref="S527:S557" si="285">O527+R527</f>
        <v>0</v>
      </c>
    </row>
    <row r="528" spans="2:19" x14ac:dyDescent="0.15">
      <c r="B528" s="11" t="s">
        <v>69</v>
      </c>
      <c r="C528" s="25"/>
      <c r="D528" s="19"/>
      <c r="E528" s="52">
        <f t="shared" si="277"/>
        <v>0</v>
      </c>
      <c r="F528" s="31">
        <v>1</v>
      </c>
      <c r="G528" s="7"/>
      <c r="H528" s="61">
        <f t="shared" si="278"/>
        <v>1</v>
      </c>
      <c r="I528" s="38">
        <f t="shared" si="279"/>
        <v>1</v>
      </c>
      <c r="J528" s="78">
        <v>45566</v>
      </c>
      <c r="L528" s="11" t="s">
        <v>3</v>
      </c>
      <c r="M528" s="25"/>
      <c r="N528" s="19"/>
      <c r="O528" s="52">
        <f t="shared" si="283"/>
        <v>0</v>
      </c>
      <c r="P528" s="31"/>
      <c r="Q528" s="7"/>
      <c r="R528" s="61">
        <f t="shared" si="284"/>
        <v>0</v>
      </c>
      <c r="S528" s="38">
        <f t="shared" si="285"/>
        <v>0</v>
      </c>
    </row>
    <row r="529" spans="2:20" x14ac:dyDescent="0.15">
      <c r="B529" s="11" t="s">
        <v>153</v>
      </c>
      <c r="C529" s="25"/>
      <c r="D529" s="19"/>
      <c r="E529" s="52">
        <f t="shared" si="277"/>
        <v>0</v>
      </c>
      <c r="F529" s="31">
        <v>2</v>
      </c>
      <c r="G529" s="7"/>
      <c r="H529" s="61">
        <f t="shared" si="278"/>
        <v>2</v>
      </c>
      <c r="I529" s="38">
        <f t="shared" si="279"/>
        <v>2</v>
      </c>
      <c r="J529" s="78">
        <v>45626</v>
      </c>
      <c r="L529" s="11" t="s">
        <v>3</v>
      </c>
      <c r="M529" s="25"/>
      <c r="N529" s="19"/>
      <c r="O529" s="52">
        <f t="shared" si="283"/>
        <v>0</v>
      </c>
      <c r="P529" s="31"/>
      <c r="Q529" s="7"/>
      <c r="R529" s="61">
        <f t="shared" si="284"/>
        <v>0</v>
      </c>
      <c r="S529" s="38">
        <f t="shared" si="285"/>
        <v>0</v>
      </c>
    </row>
    <row r="530" spans="2:20" ht="14.25" thickBot="1" x14ac:dyDescent="0.2">
      <c r="B530" s="11" t="s">
        <v>3</v>
      </c>
      <c r="C530" s="25">
        <v>11</v>
      </c>
      <c r="D530" s="19"/>
      <c r="E530" s="52">
        <f t="shared" si="277"/>
        <v>11</v>
      </c>
      <c r="F530" s="31">
        <v>13</v>
      </c>
      <c r="G530" s="7">
        <v>8</v>
      </c>
      <c r="H530" s="61">
        <f t="shared" si="278"/>
        <v>21</v>
      </c>
      <c r="I530" s="38">
        <f t="shared" si="279"/>
        <v>32</v>
      </c>
      <c r="J530" s="78">
        <v>45703</v>
      </c>
      <c r="L530" s="11" t="s">
        <v>3</v>
      </c>
      <c r="M530" s="25"/>
      <c r="N530" s="19"/>
      <c r="O530" s="52">
        <f t="shared" si="283"/>
        <v>0</v>
      </c>
      <c r="P530" s="31"/>
      <c r="Q530" s="7"/>
      <c r="R530" s="61">
        <f t="shared" si="284"/>
        <v>0</v>
      </c>
      <c r="S530" s="38">
        <f t="shared" si="285"/>
        <v>0</v>
      </c>
    </row>
    <row r="531" spans="2:20" ht="14.25" thickBot="1" x14ac:dyDescent="0.2">
      <c r="B531" s="43" t="s">
        <v>2</v>
      </c>
      <c r="C531" s="44">
        <f>SUM(C525:C530)</f>
        <v>19</v>
      </c>
      <c r="D531" s="45">
        <f>SUM(D525:D530)</f>
        <v>12</v>
      </c>
      <c r="E531" s="83">
        <f t="shared" ref="E531:E558" si="286">SUM(C531:D531)</f>
        <v>31</v>
      </c>
      <c r="F531" s="44">
        <f>SUM(F525:F530)</f>
        <v>21</v>
      </c>
      <c r="G531" s="45">
        <f>SUM(G525:G530)</f>
        <v>17</v>
      </c>
      <c r="H531" s="84">
        <f t="shared" ref="H531:H558" si="287">SUM(F531:G531)</f>
        <v>38</v>
      </c>
      <c r="I531" s="42">
        <f t="shared" ref="I531:I558" si="288">E531+H531</f>
        <v>69</v>
      </c>
      <c r="L531" s="43" t="s">
        <v>2</v>
      </c>
      <c r="M531" s="44">
        <f>SUM(M525:M530)</f>
        <v>11</v>
      </c>
      <c r="N531" s="45">
        <f>SUM(N525:N530)</f>
        <v>0</v>
      </c>
      <c r="O531" s="83">
        <f t="shared" si="283"/>
        <v>11</v>
      </c>
      <c r="P531" s="44">
        <f>SUM(P525:P530)</f>
        <v>13</v>
      </c>
      <c r="Q531" s="45">
        <f>SUM(Q525:Q530)</f>
        <v>8</v>
      </c>
      <c r="R531" s="84">
        <f t="shared" si="284"/>
        <v>21</v>
      </c>
      <c r="S531" s="42">
        <f t="shared" si="285"/>
        <v>32</v>
      </c>
    </row>
    <row r="532" spans="2:20" x14ac:dyDescent="0.15">
      <c r="B532" s="6" t="s">
        <v>150</v>
      </c>
      <c r="C532" s="25"/>
      <c r="D532" s="19">
        <v>2</v>
      </c>
      <c r="E532" s="55">
        <f t="shared" ref="E532:E545" si="289">SUM(C532:D532)</f>
        <v>2</v>
      </c>
      <c r="F532" s="31"/>
      <c r="G532" s="7">
        <v>1</v>
      </c>
      <c r="H532" s="64">
        <f t="shared" ref="H532:H545" si="290">SUM(F532:G532)</f>
        <v>1</v>
      </c>
      <c r="I532" s="38">
        <f t="shared" ref="I532:I545" si="291">E532+H532</f>
        <v>3</v>
      </c>
      <c r="J532" s="78">
        <v>45554</v>
      </c>
      <c r="L532" s="6" t="s">
        <v>32</v>
      </c>
      <c r="M532" s="25">
        <v>11</v>
      </c>
      <c r="N532" s="19"/>
      <c r="O532" s="55">
        <f t="shared" si="283"/>
        <v>11</v>
      </c>
      <c r="P532" s="31">
        <v>13</v>
      </c>
      <c r="Q532" s="7">
        <v>8</v>
      </c>
      <c r="R532" s="64">
        <f t="shared" si="284"/>
        <v>21</v>
      </c>
      <c r="S532" s="38">
        <f t="shared" si="285"/>
        <v>32</v>
      </c>
      <c r="T532" s="78">
        <v>45703</v>
      </c>
    </row>
    <row r="533" spans="2:20" x14ac:dyDescent="0.15">
      <c r="B533" s="6" t="s">
        <v>151</v>
      </c>
      <c r="C533" s="25"/>
      <c r="D533" s="19"/>
      <c r="E533" s="55">
        <f t="shared" si="289"/>
        <v>0</v>
      </c>
      <c r="F533" s="31">
        <v>1</v>
      </c>
      <c r="G533" s="7"/>
      <c r="H533" s="64">
        <f t="shared" si="290"/>
        <v>1</v>
      </c>
      <c r="I533" s="38">
        <f t="shared" si="291"/>
        <v>1</v>
      </c>
      <c r="J533" s="78">
        <v>45561</v>
      </c>
      <c r="L533" s="6"/>
      <c r="M533" s="28"/>
      <c r="N533" s="22"/>
      <c r="O533" s="55">
        <f t="shared" ref="O533:O545" si="292">SUM(M533:N533)</f>
        <v>0</v>
      </c>
      <c r="P533" s="33"/>
      <c r="Q533" s="8"/>
      <c r="R533" s="64">
        <f t="shared" ref="R533:R545" si="293">SUM(P533:Q533)</f>
        <v>0</v>
      </c>
      <c r="S533" s="38">
        <f t="shared" ref="S533:S545" si="294">O533+R533</f>
        <v>0</v>
      </c>
    </row>
    <row r="534" spans="2:20" x14ac:dyDescent="0.15">
      <c r="B534" s="6" t="s">
        <v>152</v>
      </c>
      <c r="C534" s="25"/>
      <c r="D534" s="19"/>
      <c r="E534" s="55">
        <f t="shared" si="289"/>
        <v>0</v>
      </c>
      <c r="F534" s="31"/>
      <c r="G534" s="7">
        <v>2</v>
      </c>
      <c r="H534" s="64">
        <f t="shared" si="290"/>
        <v>2</v>
      </c>
      <c r="I534" s="38">
        <f t="shared" si="291"/>
        <v>2</v>
      </c>
      <c r="J534" s="78">
        <v>45576</v>
      </c>
      <c r="L534" s="6"/>
      <c r="M534" s="28"/>
      <c r="N534" s="22"/>
      <c r="O534" s="55">
        <f t="shared" si="292"/>
        <v>0</v>
      </c>
      <c r="P534" s="33"/>
      <c r="Q534" s="8"/>
      <c r="R534" s="64">
        <f t="shared" si="293"/>
        <v>0</v>
      </c>
      <c r="S534" s="38">
        <f t="shared" si="294"/>
        <v>0</v>
      </c>
    </row>
    <row r="535" spans="2:20" x14ac:dyDescent="0.15">
      <c r="B535" s="6" t="s">
        <v>7</v>
      </c>
      <c r="C535" s="25">
        <v>1</v>
      </c>
      <c r="D535" s="19"/>
      <c r="E535" s="55">
        <f t="shared" si="289"/>
        <v>1</v>
      </c>
      <c r="F535" s="31"/>
      <c r="G535" s="7"/>
      <c r="H535" s="64">
        <f t="shared" si="290"/>
        <v>0</v>
      </c>
      <c r="I535" s="38">
        <f t="shared" si="291"/>
        <v>1</v>
      </c>
      <c r="J535" s="78">
        <v>45580</v>
      </c>
      <c r="L535" s="6"/>
      <c r="M535" s="28"/>
      <c r="N535" s="22"/>
      <c r="O535" s="55">
        <f t="shared" si="292"/>
        <v>0</v>
      </c>
      <c r="P535" s="33"/>
      <c r="Q535" s="8"/>
      <c r="R535" s="64">
        <f t="shared" si="293"/>
        <v>0</v>
      </c>
      <c r="S535" s="38">
        <f t="shared" si="294"/>
        <v>0</v>
      </c>
    </row>
    <row r="536" spans="2:20" x14ac:dyDescent="0.15">
      <c r="B536" s="6" t="s">
        <v>154</v>
      </c>
      <c r="C536" s="25">
        <v>1</v>
      </c>
      <c r="D536" s="19"/>
      <c r="E536" s="55">
        <f t="shared" si="289"/>
        <v>1</v>
      </c>
      <c r="F536" s="31"/>
      <c r="G536" s="7"/>
      <c r="H536" s="64">
        <f t="shared" si="290"/>
        <v>0</v>
      </c>
      <c r="I536" s="38">
        <f t="shared" si="291"/>
        <v>1</v>
      </c>
      <c r="J536" s="78">
        <v>45618</v>
      </c>
      <c r="L536" s="6"/>
      <c r="M536" s="28"/>
      <c r="N536" s="22"/>
      <c r="O536" s="55">
        <f t="shared" si="292"/>
        <v>0</v>
      </c>
      <c r="P536" s="33"/>
      <c r="Q536" s="8"/>
      <c r="R536" s="64">
        <f t="shared" si="293"/>
        <v>0</v>
      </c>
      <c r="S536" s="38">
        <f t="shared" si="294"/>
        <v>0</v>
      </c>
    </row>
    <row r="537" spans="2:20" x14ac:dyDescent="0.15">
      <c r="B537" s="6" t="s">
        <v>155</v>
      </c>
      <c r="C537" s="25"/>
      <c r="D537" s="19"/>
      <c r="E537" s="55">
        <f t="shared" si="289"/>
        <v>0</v>
      </c>
      <c r="F537" s="31">
        <v>1</v>
      </c>
      <c r="G537" s="7"/>
      <c r="H537" s="64">
        <f t="shared" si="290"/>
        <v>1</v>
      </c>
      <c r="I537" s="38">
        <f t="shared" si="291"/>
        <v>1</v>
      </c>
      <c r="J537" s="78">
        <v>45637</v>
      </c>
      <c r="L537" s="6"/>
      <c r="M537" s="28"/>
      <c r="N537" s="22"/>
      <c r="O537" s="55">
        <f t="shared" si="292"/>
        <v>0</v>
      </c>
      <c r="P537" s="33"/>
      <c r="Q537" s="8"/>
      <c r="R537" s="64">
        <f t="shared" si="293"/>
        <v>0</v>
      </c>
      <c r="S537" s="38">
        <f t="shared" si="294"/>
        <v>0</v>
      </c>
    </row>
    <row r="538" spans="2:20" x14ac:dyDescent="0.15">
      <c r="B538" s="6" t="s">
        <v>156</v>
      </c>
      <c r="C538" s="25">
        <v>1</v>
      </c>
      <c r="D538" s="19"/>
      <c r="E538" s="55">
        <f t="shared" si="289"/>
        <v>1</v>
      </c>
      <c r="F538" s="31"/>
      <c r="G538" s="7"/>
      <c r="H538" s="64">
        <f t="shared" si="290"/>
        <v>0</v>
      </c>
      <c r="I538" s="38">
        <f t="shared" si="291"/>
        <v>1</v>
      </c>
      <c r="J538" s="78">
        <v>45666</v>
      </c>
      <c r="L538" s="6"/>
      <c r="M538" s="28"/>
      <c r="N538" s="22"/>
      <c r="O538" s="55">
        <f t="shared" si="292"/>
        <v>0</v>
      </c>
      <c r="P538" s="33"/>
      <c r="Q538" s="8"/>
      <c r="R538" s="64">
        <f t="shared" si="293"/>
        <v>0</v>
      </c>
      <c r="S538" s="38">
        <f t="shared" si="294"/>
        <v>0</v>
      </c>
    </row>
    <row r="539" spans="2:20" x14ac:dyDescent="0.15">
      <c r="B539" s="6" t="s">
        <v>7</v>
      </c>
      <c r="C539" s="25">
        <v>3</v>
      </c>
      <c r="D539" s="19"/>
      <c r="E539" s="55">
        <f t="shared" si="289"/>
        <v>3</v>
      </c>
      <c r="F539" s="31"/>
      <c r="G539" s="7"/>
      <c r="H539" s="64">
        <f t="shared" si="290"/>
        <v>0</v>
      </c>
      <c r="I539" s="38">
        <f t="shared" si="291"/>
        <v>3</v>
      </c>
      <c r="J539" s="78">
        <v>45673</v>
      </c>
      <c r="L539" s="6"/>
      <c r="M539" s="28"/>
      <c r="N539" s="22"/>
      <c r="O539" s="55">
        <f t="shared" si="292"/>
        <v>0</v>
      </c>
      <c r="P539" s="33"/>
      <c r="Q539" s="8"/>
      <c r="R539" s="64">
        <f t="shared" si="293"/>
        <v>0</v>
      </c>
      <c r="S539" s="38">
        <f t="shared" si="294"/>
        <v>0</v>
      </c>
    </row>
    <row r="540" spans="2:20" x14ac:dyDescent="0.15">
      <c r="B540" s="6" t="s">
        <v>7</v>
      </c>
      <c r="C540" s="25"/>
      <c r="D540" s="19">
        <v>1</v>
      </c>
      <c r="E540" s="55">
        <f t="shared" si="289"/>
        <v>1</v>
      </c>
      <c r="F540" s="31"/>
      <c r="G540" s="7"/>
      <c r="H540" s="64">
        <f t="shared" si="290"/>
        <v>0</v>
      </c>
      <c r="I540" s="38">
        <f t="shared" si="291"/>
        <v>1</v>
      </c>
      <c r="J540" s="78">
        <v>45677</v>
      </c>
      <c r="L540" s="6"/>
      <c r="M540" s="28"/>
      <c r="N540" s="22"/>
      <c r="O540" s="55">
        <f t="shared" si="292"/>
        <v>0</v>
      </c>
      <c r="P540" s="33"/>
      <c r="Q540" s="8"/>
      <c r="R540" s="64">
        <f t="shared" si="293"/>
        <v>0</v>
      </c>
      <c r="S540" s="38">
        <f t="shared" si="294"/>
        <v>0</v>
      </c>
    </row>
    <row r="541" spans="2:20" x14ac:dyDescent="0.15">
      <c r="B541" s="6" t="s">
        <v>7</v>
      </c>
      <c r="C541" s="25"/>
      <c r="D541" s="19">
        <v>1</v>
      </c>
      <c r="E541" s="55">
        <f t="shared" si="289"/>
        <v>1</v>
      </c>
      <c r="F541" s="31"/>
      <c r="G541" s="7"/>
      <c r="H541" s="64">
        <f t="shared" si="290"/>
        <v>0</v>
      </c>
      <c r="I541" s="38">
        <f t="shared" si="291"/>
        <v>1</v>
      </c>
      <c r="J541" s="78">
        <v>45679</v>
      </c>
      <c r="L541" s="6"/>
      <c r="M541" s="28"/>
      <c r="N541" s="22"/>
      <c r="O541" s="55">
        <f t="shared" si="292"/>
        <v>0</v>
      </c>
      <c r="P541" s="33"/>
      <c r="Q541" s="8"/>
      <c r="R541" s="64">
        <f t="shared" si="293"/>
        <v>0</v>
      </c>
      <c r="S541" s="38">
        <f t="shared" si="294"/>
        <v>0</v>
      </c>
    </row>
    <row r="542" spans="2:20" x14ac:dyDescent="0.15">
      <c r="B542" s="6" t="s">
        <v>7</v>
      </c>
      <c r="C542" s="25"/>
      <c r="D542" s="19">
        <v>1</v>
      </c>
      <c r="E542" s="55">
        <f t="shared" si="289"/>
        <v>1</v>
      </c>
      <c r="F542" s="31"/>
      <c r="G542" s="7">
        <v>1</v>
      </c>
      <c r="H542" s="64">
        <f t="shared" si="290"/>
        <v>1</v>
      </c>
      <c r="I542" s="38">
        <f t="shared" si="291"/>
        <v>2</v>
      </c>
      <c r="J542" s="78">
        <v>45684</v>
      </c>
      <c r="L542" s="6"/>
      <c r="M542" s="28"/>
      <c r="N542" s="22"/>
      <c r="O542" s="55">
        <f t="shared" si="292"/>
        <v>0</v>
      </c>
      <c r="P542" s="33"/>
      <c r="Q542" s="8"/>
      <c r="R542" s="64">
        <f t="shared" si="293"/>
        <v>0</v>
      </c>
      <c r="S542" s="38">
        <f t="shared" si="294"/>
        <v>0</v>
      </c>
    </row>
    <row r="543" spans="2:20" x14ac:dyDescent="0.15">
      <c r="B543" s="6" t="s">
        <v>7</v>
      </c>
      <c r="C543" s="25"/>
      <c r="D543" s="19">
        <v>1</v>
      </c>
      <c r="E543" s="55">
        <f t="shared" si="289"/>
        <v>1</v>
      </c>
      <c r="F543" s="31"/>
      <c r="G543" s="7"/>
      <c r="H543" s="64">
        <f t="shared" si="290"/>
        <v>0</v>
      </c>
      <c r="I543" s="38">
        <f t="shared" si="291"/>
        <v>1</v>
      </c>
      <c r="J543" s="78">
        <v>45698</v>
      </c>
      <c r="L543" s="6"/>
      <c r="M543" s="28"/>
      <c r="N543" s="22"/>
      <c r="O543" s="55">
        <f t="shared" si="292"/>
        <v>0</v>
      </c>
      <c r="P543" s="33"/>
      <c r="Q543" s="8"/>
      <c r="R543" s="64">
        <f t="shared" si="293"/>
        <v>0</v>
      </c>
      <c r="S543" s="38">
        <f t="shared" si="294"/>
        <v>0</v>
      </c>
    </row>
    <row r="544" spans="2:20" x14ac:dyDescent="0.15">
      <c r="B544" s="6" t="s">
        <v>7</v>
      </c>
      <c r="C544" s="25"/>
      <c r="D544" s="19">
        <v>1</v>
      </c>
      <c r="E544" s="55">
        <f t="shared" si="289"/>
        <v>1</v>
      </c>
      <c r="F544" s="31"/>
      <c r="G544" s="7"/>
      <c r="H544" s="64">
        <f t="shared" si="290"/>
        <v>0</v>
      </c>
      <c r="I544" s="38">
        <f t="shared" si="291"/>
        <v>1</v>
      </c>
      <c r="J544" s="78">
        <v>45700</v>
      </c>
      <c r="L544" s="6"/>
      <c r="M544" s="28"/>
      <c r="N544" s="22"/>
      <c r="O544" s="55">
        <f t="shared" si="292"/>
        <v>0</v>
      </c>
      <c r="P544" s="33"/>
      <c r="Q544" s="8"/>
      <c r="R544" s="64">
        <f t="shared" si="293"/>
        <v>0</v>
      </c>
      <c r="S544" s="38">
        <f t="shared" si="294"/>
        <v>0</v>
      </c>
    </row>
    <row r="545" spans="1:19" x14ac:dyDescent="0.15">
      <c r="B545" s="6" t="s">
        <v>7</v>
      </c>
      <c r="C545" s="25"/>
      <c r="D545" s="19"/>
      <c r="E545" s="55">
        <f t="shared" si="289"/>
        <v>0</v>
      </c>
      <c r="F545" s="31">
        <v>1</v>
      </c>
      <c r="G545" s="7"/>
      <c r="H545" s="64">
        <f t="shared" si="290"/>
        <v>1</v>
      </c>
      <c r="I545" s="38">
        <f t="shared" si="291"/>
        <v>1</v>
      </c>
      <c r="J545" s="78">
        <v>45727</v>
      </c>
      <c r="L545" s="6"/>
      <c r="M545" s="28"/>
      <c r="N545" s="22"/>
      <c r="O545" s="55">
        <f t="shared" si="292"/>
        <v>0</v>
      </c>
      <c r="P545" s="33"/>
      <c r="Q545" s="8"/>
      <c r="R545" s="64">
        <f t="shared" si="293"/>
        <v>0</v>
      </c>
      <c r="S545" s="38">
        <f t="shared" si="294"/>
        <v>0</v>
      </c>
    </row>
    <row r="546" spans="1:19" x14ac:dyDescent="0.15">
      <c r="B546" s="6" t="s">
        <v>7</v>
      </c>
      <c r="C546" s="25">
        <v>1</v>
      </c>
      <c r="D546" s="19">
        <v>1</v>
      </c>
      <c r="E546" s="55">
        <f t="shared" si="286"/>
        <v>2</v>
      </c>
      <c r="F546" s="31"/>
      <c r="G546" s="7"/>
      <c r="H546" s="64">
        <f t="shared" si="287"/>
        <v>0</v>
      </c>
      <c r="I546" s="38">
        <f t="shared" si="288"/>
        <v>2</v>
      </c>
      <c r="J546" s="78">
        <v>45740</v>
      </c>
      <c r="L546" s="6"/>
      <c r="M546" s="28"/>
      <c r="N546" s="22"/>
      <c r="O546" s="55">
        <f t="shared" si="283"/>
        <v>0</v>
      </c>
      <c r="P546" s="33"/>
      <c r="Q546" s="8"/>
      <c r="R546" s="64">
        <f t="shared" si="284"/>
        <v>0</v>
      </c>
      <c r="S546" s="38">
        <f t="shared" si="285"/>
        <v>0</v>
      </c>
    </row>
    <row r="547" spans="1:19" x14ac:dyDescent="0.15">
      <c r="B547" s="6" t="s">
        <v>7</v>
      </c>
      <c r="C547" s="28"/>
      <c r="D547" s="22">
        <v>1</v>
      </c>
      <c r="E547" s="55">
        <f t="shared" si="286"/>
        <v>1</v>
      </c>
      <c r="F547" s="33"/>
      <c r="G547" s="8"/>
      <c r="H547" s="64">
        <f t="shared" si="287"/>
        <v>0</v>
      </c>
      <c r="I547" s="38">
        <f t="shared" si="288"/>
        <v>1</v>
      </c>
      <c r="J547" s="78">
        <v>45741</v>
      </c>
      <c r="L547" s="6"/>
      <c r="M547" s="28"/>
      <c r="N547" s="22"/>
      <c r="O547" s="55">
        <f t="shared" si="283"/>
        <v>0</v>
      </c>
      <c r="P547" s="33"/>
      <c r="Q547" s="8"/>
      <c r="R547" s="64">
        <f t="shared" si="284"/>
        <v>0</v>
      </c>
      <c r="S547" s="38">
        <f t="shared" si="285"/>
        <v>0</v>
      </c>
    </row>
    <row r="548" spans="1:19" x14ac:dyDescent="0.15">
      <c r="B548" s="6"/>
      <c r="C548" s="28"/>
      <c r="D548" s="22"/>
      <c r="E548" s="55">
        <f t="shared" si="286"/>
        <v>0</v>
      </c>
      <c r="F548" s="33"/>
      <c r="G548" s="8"/>
      <c r="H548" s="64">
        <f t="shared" si="287"/>
        <v>0</v>
      </c>
      <c r="I548" s="38">
        <f t="shared" si="288"/>
        <v>0</v>
      </c>
      <c r="J548"/>
      <c r="L548" s="6"/>
      <c r="M548" s="28"/>
      <c r="N548" s="22"/>
      <c r="O548" s="55">
        <f t="shared" si="283"/>
        <v>0</v>
      </c>
      <c r="P548" s="33"/>
      <c r="Q548" s="8"/>
      <c r="R548" s="64">
        <f t="shared" si="284"/>
        <v>0</v>
      </c>
      <c r="S548" s="38">
        <f t="shared" si="285"/>
        <v>0</v>
      </c>
    </row>
    <row r="549" spans="1:19" x14ac:dyDescent="0.15">
      <c r="B549" s="6"/>
      <c r="C549" s="28"/>
      <c r="D549" s="22"/>
      <c r="E549" s="55">
        <f t="shared" si="286"/>
        <v>0</v>
      </c>
      <c r="F549" s="33"/>
      <c r="G549" s="8"/>
      <c r="H549" s="64">
        <f t="shared" si="287"/>
        <v>0</v>
      </c>
      <c r="I549" s="38">
        <f t="shared" si="288"/>
        <v>0</v>
      </c>
      <c r="J549"/>
      <c r="L549" s="6"/>
      <c r="M549" s="28"/>
      <c r="N549" s="22"/>
      <c r="O549" s="55">
        <f t="shared" si="283"/>
        <v>0</v>
      </c>
      <c r="P549" s="33"/>
      <c r="Q549" s="8"/>
      <c r="R549" s="64">
        <f t="shared" si="284"/>
        <v>0</v>
      </c>
      <c r="S549" s="38">
        <f t="shared" si="285"/>
        <v>0</v>
      </c>
    </row>
    <row r="550" spans="1:19" x14ac:dyDescent="0.15">
      <c r="B550" s="6"/>
      <c r="C550" s="28"/>
      <c r="D550" s="22"/>
      <c r="E550" s="55">
        <f t="shared" si="286"/>
        <v>0</v>
      </c>
      <c r="F550" s="33"/>
      <c r="G550" s="8"/>
      <c r="H550" s="64">
        <f t="shared" si="287"/>
        <v>0</v>
      </c>
      <c r="I550" s="38">
        <f t="shared" si="288"/>
        <v>0</v>
      </c>
      <c r="J550"/>
      <c r="L550" s="6"/>
      <c r="M550" s="28"/>
      <c r="N550" s="22"/>
      <c r="O550" s="55">
        <f t="shared" si="283"/>
        <v>0</v>
      </c>
      <c r="P550" s="33"/>
      <c r="Q550" s="8"/>
      <c r="R550" s="64">
        <f t="shared" si="284"/>
        <v>0</v>
      </c>
      <c r="S550" s="38">
        <f t="shared" si="285"/>
        <v>0</v>
      </c>
    </row>
    <row r="551" spans="1:19" x14ac:dyDescent="0.15">
      <c r="B551" s="6"/>
      <c r="C551" s="28"/>
      <c r="D551" s="22"/>
      <c r="E551" s="55">
        <f t="shared" si="286"/>
        <v>0</v>
      </c>
      <c r="F551" s="33"/>
      <c r="G551" s="8"/>
      <c r="H551" s="64">
        <f t="shared" si="287"/>
        <v>0</v>
      </c>
      <c r="I551" s="38">
        <f t="shared" si="288"/>
        <v>0</v>
      </c>
      <c r="J551"/>
      <c r="L551" s="6"/>
      <c r="M551" s="28"/>
      <c r="N551" s="22"/>
      <c r="O551" s="55">
        <f t="shared" si="283"/>
        <v>0</v>
      </c>
      <c r="P551" s="33"/>
      <c r="Q551" s="8"/>
      <c r="R551" s="64">
        <f t="shared" si="284"/>
        <v>0</v>
      </c>
      <c r="S551" s="38">
        <f t="shared" si="285"/>
        <v>0</v>
      </c>
    </row>
    <row r="552" spans="1:19" x14ac:dyDescent="0.15">
      <c r="B552" s="6"/>
      <c r="C552" s="28"/>
      <c r="D552" s="22"/>
      <c r="E552" s="55">
        <f t="shared" si="286"/>
        <v>0</v>
      </c>
      <c r="F552" s="33"/>
      <c r="G552" s="8"/>
      <c r="H552" s="64">
        <f t="shared" si="287"/>
        <v>0</v>
      </c>
      <c r="I552" s="38">
        <f t="shared" si="288"/>
        <v>0</v>
      </c>
      <c r="J552"/>
      <c r="L552" s="6"/>
      <c r="M552" s="28"/>
      <c r="N552" s="22"/>
      <c r="O552" s="55">
        <f t="shared" si="283"/>
        <v>0</v>
      </c>
      <c r="P552" s="33"/>
      <c r="Q552" s="8"/>
      <c r="R552" s="64">
        <f t="shared" si="284"/>
        <v>0</v>
      </c>
      <c r="S552" s="38">
        <f t="shared" si="285"/>
        <v>0</v>
      </c>
    </row>
    <row r="553" spans="1:19" x14ac:dyDescent="0.15">
      <c r="B553" s="6"/>
      <c r="C553" s="28"/>
      <c r="D553" s="22"/>
      <c r="E553" s="55">
        <f t="shared" si="286"/>
        <v>0</v>
      </c>
      <c r="F553" s="33"/>
      <c r="G553" s="8"/>
      <c r="H553" s="64">
        <f t="shared" si="287"/>
        <v>0</v>
      </c>
      <c r="I553" s="38">
        <f t="shared" si="288"/>
        <v>0</v>
      </c>
      <c r="J553"/>
      <c r="L553" s="6"/>
      <c r="M553" s="28"/>
      <c r="N553" s="22"/>
      <c r="O553" s="55">
        <f t="shared" si="283"/>
        <v>0</v>
      </c>
      <c r="P553" s="33"/>
      <c r="Q553" s="8"/>
      <c r="R553" s="64">
        <f t="shared" si="284"/>
        <v>0</v>
      </c>
      <c r="S553" s="38">
        <f t="shared" si="285"/>
        <v>0</v>
      </c>
    </row>
    <row r="554" spans="1:19" x14ac:dyDescent="0.15">
      <c r="B554" s="6"/>
      <c r="C554" s="28"/>
      <c r="D554" s="22"/>
      <c r="E554" s="55">
        <f t="shared" si="286"/>
        <v>0</v>
      </c>
      <c r="F554" s="33"/>
      <c r="G554" s="8"/>
      <c r="H554" s="64">
        <f t="shared" si="287"/>
        <v>0</v>
      </c>
      <c r="I554" s="38">
        <f t="shared" si="288"/>
        <v>0</v>
      </c>
      <c r="J554"/>
      <c r="L554" s="6"/>
      <c r="M554" s="28"/>
      <c r="N554" s="22"/>
      <c r="O554" s="55">
        <f t="shared" si="283"/>
        <v>0</v>
      </c>
      <c r="P554" s="33"/>
      <c r="Q554" s="8"/>
      <c r="R554" s="64">
        <f t="shared" si="284"/>
        <v>0</v>
      </c>
      <c r="S554" s="38">
        <f t="shared" si="285"/>
        <v>0</v>
      </c>
    </row>
    <row r="555" spans="1:19" x14ac:dyDescent="0.15">
      <c r="B555" s="6"/>
      <c r="C555" s="28"/>
      <c r="D555" s="22"/>
      <c r="E555" s="55">
        <f t="shared" si="286"/>
        <v>0</v>
      </c>
      <c r="F555" s="33"/>
      <c r="G555" s="8"/>
      <c r="H555" s="64">
        <f t="shared" si="287"/>
        <v>0</v>
      </c>
      <c r="I555" s="38">
        <f t="shared" si="288"/>
        <v>0</v>
      </c>
      <c r="J555"/>
      <c r="L555" s="6"/>
      <c r="M555" s="28"/>
      <c r="N555" s="22"/>
      <c r="O555" s="55">
        <f t="shared" si="283"/>
        <v>0</v>
      </c>
      <c r="P555" s="33"/>
      <c r="Q555" s="8"/>
      <c r="R555" s="64">
        <f t="shared" si="284"/>
        <v>0</v>
      </c>
      <c r="S555" s="38">
        <f t="shared" si="285"/>
        <v>0</v>
      </c>
    </row>
    <row r="556" spans="1:19" ht="14.25" thickBot="1" x14ac:dyDescent="0.2">
      <c r="B556" s="6"/>
      <c r="C556" s="25"/>
      <c r="D556" s="19"/>
      <c r="E556" s="55">
        <f t="shared" si="286"/>
        <v>0</v>
      </c>
      <c r="F556" s="31"/>
      <c r="G556" s="7"/>
      <c r="H556" s="64">
        <f t="shared" si="287"/>
        <v>0</v>
      </c>
      <c r="I556" s="38">
        <f t="shared" si="288"/>
        <v>0</v>
      </c>
      <c r="J556" s="78"/>
      <c r="L556" s="6"/>
      <c r="M556" s="28"/>
      <c r="N556" s="22"/>
      <c r="O556" s="55">
        <f t="shared" si="283"/>
        <v>0</v>
      </c>
      <c r="P556" s="33"/>
      <c r="Q556" s="8"/>
      <c r="R556" s="64">
        <f t="shared" si="284"/>
        <v>0</v>
      </c>
      <c r="S556" s="38">
        <f t="shared" si="285"/>
        <v>0</v>
      </c>
    </row>
    <row r="557" spans="1:19" ht="14.25" thickBot="1" x14ac:dyDescent="0.2">
      <c r="B557" s="4" t="s">
        <v>1</v>
      </c>
      <c r="C557" s="27">
        <f>SUM(C532:C556)</f>
        <v>7</v>
      </c>
      <c r="D557" s="21">
        <f>SUM(D532:D556)</f>
        <v>9</v>
      </c>
      <c r="E557" s="57">
        <f t="shared" si="286"/>
        <v>16</v>
      </c>
      <c r="F557" s="27">
        <f>SUM(F532:F556)</f>
        <v>3</v>
      </c>
      <c r="G557" s="21">
        <f>SUM(G532:G556)</f>
        <v>4</v>
      </c>
      <c r="H557" s="66">
        <f t="shared" si="287"/>
        <v>7</v>
      </c>
      <c r="I557" s="40">
        <f t="shared" si="288"/>
        <v>23</v>
      </c>
      <c r="L557" s="4" t="s">
        <v>1</v>
      </c>
      <c r="M557" s="27">
        <f>SUM(M532:M556)</f>
        <v>11</v>
      </c>
      <c r="N557" s="21">
        <f>SUM(N532:N556)</f>
        <v>0</v>
      </c>
      <c r="O557" s="57">
        <f t="shared" si="283"/>
        <v>11</v>
      </c>
      <c r="P557" s="27">
        <f>SUM(P532:P556)</f>
        <v>13</v>
      </c>
      <c r="Q557" s="21">
        <f>SUM(Q532:Q556)</f>
        <v>8</v>
      </c>
      <c r="R557" s="66">
        <f t="shared" si="284"/>
        <v>21</v>
      </c>
      <c r="S557" s="40">
        <f t="shared" si="285"/>
        <v>32</v>
      </c>
    </row>
    <row r="558" spans="1:19" ht="14.25" thickBot="1" x14ac:dyDescent="0.2">
      <c r="B558" s="3" t="s">
        <v>0</v>
      </c>
      <c r="C558" s="30">
        <f>+C531-C557</f>
        <v>12</v>
      </c>
      <c r="D558" s="2">
        <f>+D531-D557</f>
        <v>3</v>
      </c>
      <c r="E558" s="58">
        <f t="shared" si="286"/>
        <v>15</v>
      </c>
      <c r="F558" s="30">
        <f>+F531-F557</f>
        <v>18</v>
      </c>
      <c r="G558" s="2">
        <f>+G531-G557</f>
        <v>13</v>
      </c>
      <c r="H558" s="67">
        <f t="shared" si="287"/>
        <v>31</v>
      </c>
      <c r="I558" s="42">
        <f t="shared" si="288"/>
        <v>46</v>
      </c>
      <c r="L558" s="3" t="s">
        <v>0</v>
      </c>
      <c r="M558" s="30">
        <f>+M531-M557</f>
        <v>0</v>
      </c>
      <c r="N558" s="2">
        <f t="shared" ref="N558" si="295">+N531-N557</f>
        <v>0</v>
      </c>
      <c r="O558" s="58">
        <f t="shared" ref="O558" si="296">+O531-O557</f>
        <v>0</v>
      </c>
      <c r="P558" s="30">
        <f t="shared" ref="P558" si="297">+P531-P557</f>
        <v>0</v>
      </c>
      <c r="Q558" s="2">
        <f t="shared" ref="Q558" si="298">+Q531-Q557</f>
        <v>0</v>
      </c>
      <c r="R558" s="67">
        <f t="shared" ref="R558" si="299">+R531-R557</f>
        <v>0</v>
      </c>
      <c r="S558" s="42">
        <f t="shared" ref="S558" si="300">+S531-S557</f>
        <v>0</v>
      </c>
    </row>
    <row r="559" spans="1:19" x14ac:dyDescent="0.15">
      <c r="C559">
        <f>C557+C517+C437+C397+C357+C317+C277+C237</f>
        <v>131</v>
      </c>
      <c r="D559">
        <f t="shared" ref="D559:E559" si="301">D557+D517+D437+D397+D357+D317+D277+D237</f>
        <v>209</v>
      </c>
      <c r="E559">
        <f t="shared" si="301"/>
        <v>340</v>
      </c>
      <c r="F559">
        <f>F557+F517+F477+F437+F397+F357+F317+F277+F237</f>
        <v>92</v>
      </c>
      <c r="G559">
        <f t="shared" ref="G559:H559" si="302">G557+G517+G477+G437+G397+G357+G317+G277+G237</f>
        <v>128</v>
      </c>
      <c r="H559">
        <f t="shared" si="302"/>
        <v>220</v>
      </c>
    </row>
    <row r="560" spans="1:19" ht="65.25" customHeight="1" x14ac:dyDescent="0.3">
      <c r="A560" s="119" t="s">
        <v>158</v>
      </c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</row>
    <row r="561" spans="2:20" ht="18.75" x14ac:dyDescent="0.2">
      <c r="B561" s="16" t="s">
        <v>21</v>
      </c>
      <c r="C561" s="15"/>
      <c r="D561" s="15"/>
      <c r="E561" s="15"/>
      <c r="F561" s="15"/>
      <c r="G561" s="15"/>
      <c r="H561" s="15"/>
      <c r="I561" s="15"/>
      <c r="L561" s="71" t="s">
        <v>22</v>
      </c>
      <c r="M561" s="72"/>
      <c r="N561" s="72"/>
      <c r="O561" s="72"/>
      <c r="P561" s="72"/>
      <c r="Q561" s="72"/>
      <c r="R561" s="72"/>
      <c r="S561" s="72"/>
    </row>
    <row r="562" spans="2:20" ht="18" thickBot="1" x14ac:dyDescent="0.25">
      <c r="B562" s="17" t="s">
        <v>23</v>
      </c>
      <c r="C562" s="15"/>
      <c r="D562" s="15"/>
      <c r="E562" s="15"/>
      <c r="F562" s="15"/>
      <c r="G562" s="15"/>
      <c r="H562" s="15"/>
      <c r="I562" s="15"/>
      <c r="L562" s="73" t="s">
        <v>23</v>
      </c>
      <c r="M562" s="72"/>
      <c r="N562" s="72"/>
      <c r="O562" s="72"/>
      <c r="P562" s="72"/>
      <c r="Q562" s="72"/>
      <c r="R562" s="72"/>
      <c r="S562" s="72"/>
    </row>
    <row r="563" spans="2:20" ht="14.25" thickBot="1" x14ac:dyDescent="0.2">
      <c r="B563" s="14"/>
      <c r="C563" s="113" t="s">
        <v>12</v>
      </c>
      <c r="D563" s="114"/>
      <c r="E563" s="115"/>
      <c r="F563" s="116" t="s">
        <v>11</v>
      </c>
      <c r="G563" s="117"/>
      <c r="H563" s="118"/>
      <c r="I563" s="13" t="s">
        <v>19</v>
      </c>
      <c r="L563" s="14"/>
      <c r="M563" s="113" t="s">
        <v>12</v>
      </c>
      <c r="N563" s="114"/>
      <c r="O563" s="115"/>
      <c r="P563" s="116" t="s">
        <v>11</v>
      </c>
      <c r="Q563" s="117"/>
      <c r="R563" s="118"/>
      <c r="S563" s="13" t="s">
        <v>19</v>
      </c>
    </row>
    <row r="564" spans="2:20" ht="14.25" thickBot="1" x14ac:dyDescent="0.2">
      <c r="B564" s="13"/>
      <c r="C564" s="23" t="s">
        <v>6</v>
      </c>
      <c r="D564" s="12" t="s">
        <v>5</v>
      </c>
      <c r="E564" s="50" t="s">
        <v>4</v>
      </c>
      <c r="F564" s="23" t="s">
        <v>6</v>
      </c>
      <c r="G564" s="12" t="s">
        <v>5</v>
      </c>
      <c r="H564" s="59" t="s">
        <v>4</v>
      </c>
      <c r="I564" s="49"/>
      <c r="L564" s="13"/>
      <c r="M564" s="23" t="s">
        <v>6</v>
      </c>
      <c r="N564" s="12" t="s">
        <v>5</v>
      </c>
      <c r="O564" s="50" t="s">
        <v>4</v>
      </c>
      <c r="P564" s="23" t="s">
        <v>6</v>
      </c>
      <c r="Q564" s="12" t="s">
        <v>5</v>
      </c>
      <c r="R564" s="59" t="s">
        <v>4</v>
      </c>
      <c r="S564" s="49"/>
    </row>
    <row r="565" spans="2:20" x14ac:dyDescent="0.15">
      <c r="B565" s="46" t="s">
        <v>0</v>
      </c>
      <c r="C565" s="47">
        <f t="shared" ref="C565:H565" si="303">C558</f>
        <v>12</v>
      </c>
      <c r="D565" s="48">
        <f t="shared" si="303"/>
        <v>3</v>
      </c>
      <c r="E565" s="68">
        <f t="shared" si="303"/>
        <v>15</v>
      </c>
      <c r="F565" s="47">
        <f t="shared" si="303"/>
        <v>18</v>
      </c>
      <c r="G565" s="48">
        <f t="shared" si="303"/>
        <v>13</v>
      </c>
      <c r="H565" s="69">
        <f t="shared" si="303"/>
        <v>31</v>
      </c>
      <c r="I565" s="41">
        <f>E565+H565</f>
        <v>46</v>
      </c>
      <c r="L565" s="46" t="s">
        <v>0</v>
      </c>
      <c r="M565" s="47">
        <f>M558</f>
        <v>0</v>
      </c>
      <c r="N565" s="48">
        <f t="shared" ref="N565:S565" si="304">N558</f>
        <v>0</v>
      </c>
      <c r="O565" s="68">
        <f t="shared" si="304"/>
        <v>0</v>
      </c>
      <c r="P565" s="47">
        <f t="shared" si="304"/>
        <v>0</v>
      </c>
      <c r="Q565" s="48">
        <f t="shared" si="304"/>
        <v>0</v>
      </c>
      <c r="R565" s="69">
        <f t="shared" si="304"/>
        <v>0</v>
      </c>
      <c r="S565" s="41">
        <f t="shared" si="304"/>
        <v>0</v>
      </c>
    </row>
    <row r="566" spans="2:20" x14ac:dyDescent="0.15">
      <c r="B566" s="11" t="s">
        <v>3</v>
      </c>
      <c r="C566" s="25"/>
      <c r="D566" s="19">
        <v>10</v>
      </c>
      <c r="E566" s="52">
        <f t="shared" ref="E566:E598" si="305">SUM(C566:D566)</f>
        <v>10</v>
      </c>
      <c r="F566" s="31"/>
      <c r="G566" s="7">
        <v>1</v>
      </c>
      <c r="H566" s="61">
        <f t="shared" ref="H566:H598" si="306">SUM(F566:G566)</f>
        <v>1</v>
      </c>
      <c r="I566" s="38">
        <f t="shared" ref="I566:I598" si="307">E566+H566</f>
        <v>11</v>
      </c>
      <c r="J566" s="36">
        <v>45752</v>
      </c>
      <c r="L566" s="11" t="s">
        <v>3</v>
      </c>
      <c r="M566" s="25"/>
      <c r="N566" s="19"/>
      <c r="O566" s="52">
        <f t="shared" ref="O566:O596" si="308">SUM(M566:N566)</f>
        <v>0</v>
      </c>
      <c r="P566" s="31"/>
      <c r="Q566" s="7"/>
      <c r="R566" s="61">
        <f t="shared" ref="R566:R596" si="309">SUM(P566:Q566)</f>
        <v>0</v>
      </c>
      <c r="S566" s="38">
        <f t="shared" ref="S566:S596" si="310">O566+R566</f>
        <v>0</v>
      </c>
    </row>
    <row r="567" spans="2:20" x14ac:dyDescent="0.15">
      <c r="B567" s="11" t="s">
        <v>3</v>
      </c>
      <c r="C567" s="25">
        <v>10</v>
      </c>
      <c r="D567" s="19">
        <v>10</v>
      </c>
      <c r="E567" s="52">
        <f t="shared" si="305"/>
        <v>20</v>
      </c>
      <c r="F567" s="31"/>
      <c r="G567" s="7"/>
      <c r="H567" s="61">
        <f t="shared" si="306"/>
        <v>0</v>
      </c>
      <c r="I567" s="38">
        <f t="shared" si="307"/>
        <v>20</v>
      </c>
      <c r="J567" s="36">
        <v>45787</v>
      </c>
      <c r="L567" s="11" t="s">
        <v>161</v>
      </c>
      <c r="M567" s="25">
        <v>80</v>
      </c>
      <c r="N567" s="19">
        <v>150</v>
      </c>
      <c r="O567" s="52">
        <f t="shared" si="308"/>
        <v>230</v>
      </c>
      <c r="P567" s="31">
        <v>50</v>
      </c>
      <c r="Q567" s="7">
        <v>70</v>
      </c>
      <c r="R567" s="61">
        <f t="shared" si="309"/>
        <v>120</v>
      </c>
      <c r="S567" s="38">
        <f t="shared" si="310"/>
        <v>350</v>
      </c>
      <c r="T567" s="78" t="s">
        <v>165</v>
      </c>
    </row>
    <row r="568" spans="2:20" x14ac:dyDescent="0.15">
      <c r="B568" s="11" t="s">
        <v>69</v>
      </c>
      <c r="C568" s="25">
        <v>1</v>
      </c>
      <c r="D568" s="19">
        <v>1</v>
      </c>
      <c r="E568" s="52">
        <f t="shared" si="305"/>
        <v>2</v>
      </c>
      <c r="F568" s="31">
        <v>1</v>
      </c>
      <c r="G568" s="7">
        <v>1</v>
      </c>
      <c r="H568" s="61">
        <f t="shared" si="306"/>
        <v>2</v>
      </c>
      <c r="I568" s="38">
        <f t="shared" si="307"/>
        <v>4</v>
      </c>
      <c r="J568" s="36">
        <v>45792</v>
      </c>
      <c r="L568" s="11" t="s">
        <v>3</v>
      </c>
      <c r="M568" s="25"/>
      <c r="N568" s="19"/>
      <c r="O568" s="52">
        <f t="shared" si="308"/>
        <v>0</v>
      </c>
      <c r="P568" s="31"/>
      <c r="Q568" s="7"/>
      <c r="R568" s="61">
        <f t="shared" si="309"/>
        <v>0</v>
      </c>
      <c r="S568" s="38">
        <f t="shared" si="310"/>
        <v>0</v>
      </c>
    </row>
    <row r="569" spans="2:20" x14ac:dyDescent="0.15">
      <c r="B569" s="11" t="s">
        <v>69</v>
      </c>
      <c r="C569" s="25">
        <v>1</v>
      </c>
      <c r="D569" s="19"/>
      <c r="E569" s="52">
        <f t="shared" si="305"/>
        <v>1</v>
      </c>
      <c r="F569" s="31"/>
      <c r="G569" s="7">
        <v>1</v>
      </c>
      <c r="H569" s="61">
        <f t="shared" si="306"/>
        <v>1</v>
      </c>
      <c r="I569" s="38">
        <f t="shared" si="307"/>
        <v>2</v>
      </c>
      <c r="J569" s="36">
        <v>45804</v>
      </c>
      <c r="L569" s="11" t="s">
        <v>3</v>
      </c>
      <c r="M569" s="25"/>
      <c r="N569" s="19"/>
      <c r="O569" s="52">
        <f t="shared" ref="O569" si="311">SUM(M569:N569)</f>
        <v>0</v>
      </c>
      <c r="P569" s="31"/>
      <c r="Q569" s="7"/>
      <c r="R569" s="61">
        <f t="shared" ref="R569" si="312">SUM(P569:Q569)</f>
        <v>0</v>
      </c>
      <c r="S569" s="38">
        <f t="shared" ref="S569" si="313">O569+R569</f>
        <v>0</v>
      </c>
    </row>
    <row r="570" spans="2:20" ht="14.25" thickBot="1" x14ac:dyDescent="0.2">
      <c r="B570" s="11" t="s">
        <v>3</v>
      </c>
      <c r="C570" s="25"/>
      <c r="D570" s="19">
        <v>10</v>
      </c>
      <c r="E570" s="52">
        <f t="shared" si="305"/>
        <v>10</v>
      </c>
      <c r="F570" s="31"/>
      <c r="G570" s="7">
        <v>10</v>
      </c>
      <c r="H570" s="61">
        <f t="shared" si="306"/>
        <v>10</v>
      </c>
      <c r="I570" s="38">
        <f t="shared" si="307"/>
        <v>20</v>
      </c>
      <c r="J570" s="36">
        <v>45815</v>
      </c>
      <c r="L570" s="11" t="s">
        <v>3</v>
      </c>
      <c r="M570" s="25"/>
      <c r="N570" s="19"/>
      <c r="O570" s="52">
        <f t="shared" si="308"/>
        <v>0</v>
      </c>
      <c r="P570" s="31"/>
      <c r="Q570" s="7"/>
      <c r="R570" s="61">
        <f t="shared" si="309"/>
        <v>0</v>
      </c>
      <c r="S570" s="38">
        <f t="shared" si="310"/>
        <v>0</v>
      </c>
    </row>
    <row r="571" spans="2:20" ht="14.25" thickBot="1" x14ac:dyDescent="0.2">
      <c r="B571" s="43" t="s">
        <v>2</v>
      </c>
      <c r="C571" s="44">
        <f>SUM(C565:C570)</f>
        <v>24</v>
      </c>
      <c r="D571" s="45">
        <f>SUM(D565:D570)</f>
        <v>34</v>
      </c>
      <c r="E571" s="83">
        <f t="shared" si="305"/>
        <v>58</v>
      </c>
      <c r="F571" s="44">
        <f>SUM(F565:F570)</f>
        <v>19</v>
      </c>
      <c r="G571" s="45">
        <f>SUM(G565:G570)</f>
        <v>26</v>
      </c>
      <c r="H571" s="84">
        <f t="shared" si="306"/>
        <v>45</v>
      </c>
      <c r="I571" s="42">
        <f t="shared" si="307"/>
        <v>103</v>
      </c>
      <c r="L571" s="43" t="s">
        <v>2</v>
      </c>
      <c r="M571" s="44">
        <f>SUM(M565:M570)</f>
        <v>80</v>
      </c>
      <c r="N571" s="45">
        <f t="shared" ref="N571" si="314">SUM(N565:N570)</f>
        <v>150</v>
      </c>
      <c r="O571" s="83">
        <f t="shared" ref="O571" si="315">SUM(O565:O570)</f>
        <v>230</v>
      </c>
      <c r="P571" s="44">
        <f t="shared" ref="P571" si="316">SUM(P565:P570)</f>
        <v>50</v>
      </c>
      <c r="Q571" s="45">
        <f t="shared" ref="Q571" si="317">SUM(Q565:Q570)</f>
        <v>70</v>
      </c>
      <c r="R571" s="84">
        <f t="shared" ref="R571" si="318">SUM(R565:R570)</f>
        <v>120</v>
      </c>
      <c r="S571" s="42">
        <f t="shared" ref="S571" si="319">SUM(S565:S570)</f>
        <v>350</v>
      </c>
    </row>
    <row r="572" spans="2:20" x14ac:dyDescent="0.15">
      <c r="B572" s="6" t="s">
        <v>7</v>
      </c>
      <c r="C572" s="25"/>
      <c r="D572" s="19">
        <v>2</v>
      </c>
      <c r="E572" s="55">
        <f t="shared" ref="E572:E583" si="320">SUM(C572:D572)</f>
        <v>2</v>
      </c>
      <c r="F572" s="31"/>
      <c r="G572" s="7"/>
      <c r="H572" s="64">
        <f t="shared" ref="H572:H584" si="321">SUM(F572:G572)</f>
        <v>0</v>
      </c>
      <c r="I572" s="38">
        <f t="shared" ref="I572:I584" si="322">E572+H572</f>
        <v>2</v>
      </c>
      <c r="J572" s="36">
        <v>45762</v>
      </c>
      <c r="L572" s="6" t="s">
        <v>32</v>
      </c>
      <c r="M572" s="25"/>
      <c r="N572" s="19">
        <v>10</v>
      </c>
      <c r="O572" s="55">
        <f t="shared" ref="O572" si="323">SUM(M572:N572)</f>
        <v>10</v>
      </c>
      <c r="P572" s="31"/>
      <c r="Q572" s="7">
        <v>1</v>
      </c>
      <c r="R572" s="64">
        <f t="shared" si="309"/>
        <v>1</v>
      </c>
      <c r="S572" s="38">
        <f t="shared" si="310"/>
        <v>11</v>
      </c>
      <c r="T572" s="78">
        <v>45752</v>
      </c>
    </row>
    <row r="573" spans="2:20" x14ac:dyDescent="0.15">
      <c r="B573" s="6" t="s">
        <v>7</v>
      </c>
      <c r="C573" s="25">
        <v>1</v>
      </c>
      <c r="D573" s="19"/>
      <c r="E573" s="55">
        <f t="shared" si="320"/>
        <v>1</v>
      </c>
      <c r="F573" s="31"/>
      <c r="G573" s="7"/>
      <c r="H573" s="64">
        <f t="shared" si="321"/>
        <v>0</v>
      </c>
      <c r="I573" s="38">
        <f t="shared" si="322"/>
        <v>1</v>
      </c>
      <c r="J573" s="36">
        <v>45765</v>
      </c>
      <c r="L573" s="6" t="s">
        <v>34</v>
      </c>
      <c r="M573" s="25">
        <v>7</v>
      </c>
      <c r="N573" s="19">
        <v>8</v>
      </c>
      <c r="O573" s="55">
        <f t="shared" si="308"/>
        <v>15</v>
      </c>
      <c r="P573" s="31">
        <v>5</v>
      </c>
      <c r="Q573" s="7">
        <v>6</v>
      </c>
      <c r="R573" s="64">
        <f t="shared" si="309"/>
        <v>11</v>
      </c>
      <c r="S573" s="38">
        <f t="shared" si="310"/>
        <v>26</v>
      </c>
      <c r="T573" s="78">
        <v>45772</v>
      </c>
    </row>
    <row r="574" spans="2:20" x14ac:dyDescent="0.15">
      <c r="B574" s="6" t="s">
        <v>33</v>
      </c>
      <c r="C574" s="25">
        <v>1</v>
      </c>
      <c r="D574" s="19">
        <v>2</v>
      </c>
      <c r="E574" s="55">
        <f t="shared" si="320"/>
        <v>3</v>
      </c>
      <c r="F574" s="31">
        <v>1</v>
      </c>
      <c r="G574" s="7">
        <v>2</v>
      </c>
      <c r="H574" s="64">
        <f t="shared" si="321"/>
        <v>3</v>
      </c>
      <c r="I574" s="38">
        <f t="shared" si="322"/>
        <v>6</v>
      </c>
      <c r="J574" s="36">
        <v>45770</v>
      </c>
      <c r="L574" s="6" t="s">
        <v>35</v>
      </c>
      <c r="M574" s="25">
        <v>2</v>
      </c>
      <c r="N574" s="19"/>
      <c r="O574" s="55">
        <f t="shared" si="308"/>
        <v>2</v>
      </c>
      <c r="P574" s="31">
        <v>4</v>
      </c>
      <c r="Q574" s="7">
        <v>2</v>
      </c>
      <c r="R574" s="64">
        <f t="shared" si="309"/>
        <v>6</v>
      </c>
      <c r="S574" s="38">
        <f t="shared" si="310"/>
        <v>8</v>
      </c>
      <c r="T574" s="78">
        <v>45772</v>
      </c>
    </row>
    <row r="575" spans="2:20" x14ac:dyDescent="0.15">
      <c r="B575" s="6" t="s">
        <v>7</v>
      </c>
      <c r="C575" s="25">
        <v>1</v>
      </c>
      <c r="D575" s="19"/>
      <c r="E575" s="55">
        <f t="shared" si="320"/>
        <v>1</v>
      </c>
      <c r="F575" s="31"/>
      <c r="G575" s="7"/>
      <c r="H575" s="64">
        <f t="shared" si="321"/>
        <v>0</v>
      </c>
      <c r="I575" s="38">
        <f t="shared" si="322"/>
        <v>1</v>
      </c>
      <c r="J575" s="36">
        <v>45768</v>
      </c>
      <c r="L575" s="6" t="s">
        <v>37</v>
      </c>
      <c r="M575" s="25">
        <v>4</v>
      </c>
      <c r="N575" s="19">
        <v>1</v>
      </c>
      <c r="O575" s="55">
        <f t="shared" si="308"/>
        <v>5</v>
      </c>
      <c r="P575" s="31"/>
      <c r="Q575" s="7">
        <v>2</v>
      </c>
      <c r="R575" s="64">
        <f t="shared" si="309"/>
        <v>2</v>
      </c>
      <c r="S575" s="38">
        <f t="shared" si="310"/>
        <v>7</v>
      </c>
      <c r="T575" s="78">
        <v>45777</v>
      </c>
    </row>
    <row r="576" spans="2:20" x14ac:dyDescent="0.15">
      <c r="B576" s="6" t="s">
        <v>7</v>
      </c>
      <c r="C576" s="25"/>
      <c r="D576" s="19">
        <v>1</v>
      </c>
      <c r="E576" s="55">
        <f t="shared" si="320"/>
        <v>1</v>
      </c>
      <c r="F576" s="31"/>
      <c r="G576" s="7">
        <v>1</v>
      </c>
      <c r="H576" s="64">
        <f t="shared" si="321"/>
        <v>1</v>
      </c>
      <c r="I576" s="38">
        <f t="shared" si="322"/>
        <v>2</v>
      </c>
      <c r="J576" s="36">
        <v>45777</v>
      </c>
      <c r="L576" s="6" t="s">
        <v>38</v>
      </c>
      <c r="M576" s="25">
        <v>3</v>
      </c>
      <c r="N576" s="19"/>
      <c r="O576" s="55">
        <f t="shared" si="308"/>
        <v>3</v>
      </c>
      <c r="P576" s="31">
        <v>2</v>
      </c>
      <c r="Q576" s="7">
        <v>1</v>
      </c>
      <c r="R576" s="64">
        <f t="shared" si="309"/>
        <v>3</v>
      </c>
      <c r="S576" s="38">
        <f t="shared" si="310"/>
        <v>6</v>
      </c>
      <c r="T576" s="78">
        <v>45779</v>
      </c>
    </row>
    <row r="577" spans="2:20" x14ac:dyDescent="0.15">
      <c r="B577" s="6" t="s">
        <v>41</v>
      </c>
      <c r="C577" s="25"/>
      <c r="D577" s="19"/>
      <c r="E577" s="55">
        <f t="shared" si="320"/>
        <v>0</v>
      </c>
      <c r="F577" s="31">
        <v>1</v>
      </c>
      <c r="G577" s="7"/>
      <c r="H577" s="64">
        <f t="shared" si="321"/>
        <v>1</v>
      </c>
      <c r="I577" s="38">
        <f t="shared" si="322"/>
        <v>1</v>
      </c>
      <c r="J577" s="36">
        <v>45786</v>
      </c>
      <c r="L577" s="6" t="s">
        <v>40</v>
      </c>
      <c r="M577" s="25">
        <v>2</v>
      </c>
      <c r="N577" s="19">
        <v>1</v>
      </c>
      <c r="O577" s="55">
        <f t="shared" si="308"/>
        <v>3</v>
      </c>
      <c r="P577" s="31">
        <v>3</v>
      </c>
      <c r="Q577" s="7">
        <v>1</v>
      </c>
      <c r="R577" s="64">
        <f t="shared" si="309"/>
        <v>4</v>
      </c>
      <c r="S577" s="38">
        <f t="shared" si="310"/>
        <v>7</v>
      </c>
      <c r="T577" s="78">
        <v>45779</v>
      </c>
    </row>
    <row r="578" spans="2:20" x14ac:dyDescent="0.15">
      <c r="B578" s="6" t="s">
        <v>7</v>
      </c>
      <c r="C578" s="25"/>
      <c r="D578" s="19">
        <v>1</v>
      </c>
      <c r="E578" s="55">
        <f t="shared" si="320"/>
        <v>1</v>
      </c>
      <c r="F578" s="31"/>
      <c r="G578" s="7"/>
      <c r="H578" s="64">
        <f t="shared" si="321"/>
        <v>0</v>
      </c>
      <c r="I578" s="38">
        <f t="shared" si="322"/>
        <v>1</v>
      </c>
      <c r="J578" s="36">
        <v>45784</v>
      </c>
      <c r="L578" s="6" t="s">
        <v>44</v>
      </c>
      <c r="M578" s="25"/>
      <c r="N578" s="19"/>
      <c r="O578" s="55">
        <f t="shared" si="308"/>
        <v>0</v>
      </c>
      <c r="P578" s="31">
        <v>2</v>
      </c>
      <c r="Q578" s="7"/>
      <c r="R578" s="64">
        <f t="shared" si="309"/>
        <v>2</v>
      </c>
      <c r="S578" s="38">
        <f t="shared" si="310"/>
        <v>2</v>
      </c>
      <c r="T578" s="78">
        <v>45786</v>
      </c>
    </row>
    <row r="579" spans="2:20" x14ac:dyDescent="0.15">
      <c r="B579" s="6" t="s">
        <v>7</v>
      </c>
      <c r="C579" s="25">
        <v>1</v>
      </c>
      <c r="D579" s="19">
        <v>1</v>
      </c>
      <c r="E579" s="55">
        <f t="shared" si="320"/>
        <v>2</v>
      </c>
      <c r="F579" s="31"/>
      <c r="G579" s="7"/>
      <c r="H579" s="64">
        <f t="shared" si="321"/>
        <v>0</v>
      </c>
      <c r="I579" s="38">
        <f t="shared" si="322"/>
        <v>2</v>
      </c>
      <c r="J579" s="36">
        <v>45785</v>
      </c>
      <c r="L579" s="6" t="s">
        <v>32</v>
      </c>
      <c r="M579" s="25">
        <v>10</v>
      </c>
      <c r="N579" s="19">
        <v>10</v>
      </c>
      <c r="O579" s="55">
        <f t="shared" ref="O579:O582" si="324">SUM(M579:N579)</f>
        <v>20</v>
      </c>
      <c r="P579" s="31"/>
      <c r="Q579" s="7"/>
      <c r="R579" s="64">
        <f t="shared" si="309"/>
        <v>0</v>
      </c>
      <c r="S579" s="38">
        <f t="shared" si="310"/>
        <v>20</v>
      </c>
      <c r="T579" s="78">
        <v>45787</v>
      </c>
    </row>
    <row r="580" spans="2:20" x14ac:dyDescent="0.15">
      <c r="B580" s="6" t="s">
        <v>7</v>
      </c>
      <c r="C580" s="25">
        <v>1</v>
      </c>
      <c r="D580" s="19">
        <v>1</v>
      </c>
      <c r="E580" s="55">
        <f t="shared" si="320"/>
        <v>2</v>
      </c>
      <c r="F580" s="31">
        <v>1</v>
      </c>
      <c r="G580" s="7"/>
      <c r="H580" s="64">
        <f t="shared" si="321"/>
        <v>1</v>
      </c>
      <c r="I580" s="38">
        <f t="shared" si="322"/>
        <v>3</v>
      </c>
      <c r="J580" s="36">
        <v>45796</v>
      </c>
      <c r="L580" s="6"/>
      <c r="M580" s="25"/>
      <c r="N580" s="19"/>
      <c r="O580" s="55">
        <f t="shared" si="324"/>
        <v>0</v>
      </c>
      <c r="P580" s="31"/>
      <c r="Q580" s="7"/>
      <c r="R580" s="64">
        <f t="shared" ref="R580:R582" si="325">SUM(P580:Q580)</f>
        <v>0</v>
      </c>
      <c r="S580" s="38">
        <f t="shared" ref="S580:S582" si="326">O580+R580</f>
        <v>0</v>
      </c>
    </row>
    <row r="581" spans="2:20" x14ac:dyDescent="0.15">
      <c r="B581" s="6" t="s">
        <v>7</v>
      </c>
      <c r="C581" s="25">
        <v>1</v>
      </c>
      <c r="D581" s="19">
        <f>1+1</f>
        <v>2</v>
      </c>
      <c r="E581" s="55">
        <f t="shared" si="320"/>
        <v>3</v>
      </c>
      <c r="F581" s="31"/>
      <c r="G581" s="7">
        <v>1</v>
      </c>
      <c r="H581" s="64">
        <f t="shared" si="321"/>
        <v>1</v>
      </c>
      <c r="I581" s="38">
        <f t="shared" si="322"/>
        <v>4</v>
      </c>
      <c r="J581" s="36">
        <v>45799</v>
      </c>
      <c r="L581" s="6"/>
      <c r="M581" s="25"/>
      <c r="N581" s="19"/>
      <c r="O581" s="55">
        <f t="shared" si="324"/>
        <v>0</v>
      </c>
      <c r="P581" s="31"/>
      <c r="Q581" s="7"/>
      <c r="R581" s="64">
        <f t="shared" si="325"/>
        <v>0</v>
      </c>
      <c r="S581" s="38">
        <f t="shared" si="326"/>
        <v>0</v>
      </c>
    </row>
    <row r="582" spans="2:20" x14ac:dyDescent="0.15">
      <c r="B582" s="6" t="s">
        <v>7</v>
      </c>
      <c r="C582" s="25"/>
      <c r="D582" s="19"/>
      <c r="E582" s="55">
        <f t="shared" si="320"/>
        <v>0</v>
      </c>
      <c r="F582" s="31"/>
      <c r="G582" s="7">
        <v>1</v>
      </c>
      <c r="H582" s="64">
        <f t="shared" si="321"/>
        <v>1</v>
      </c>
      <c r="I582" s="38">
        <f t="shared" si="322"/>
        <v>1</v>
      </c>
      <c r="J582" s="36">
        <v>45800</v>
      </c>
      <c r="L582" s="6"/>
      <c r="M582" s="25"/>
      <c r="N582" s="19"/>
      <c r="O582" s="55">
        <f t="shared" si="324"/>
        <v>0</v>
      </c>
      <c r="P582" s="31"/>
      <c r="Q582" s="7"/>
      <c r="R582" s="64">
        <f t="shared" si="325"/>
        <v>0</v>
      </c>
      <c r="S582" s="38">
        <f t="shared" si="326"/>
        <v>0</v>
      </c>
    </row>
    <row r="583" spans="2:20" x14ac:dyDescent="0.15">
      <c r="B583" s="6" t="s">
        <v>45</v>
      </c>
      <c r="C583" s="25"/>
      <c r="D583" s="19">
        <v>1</v>
      </c>
      <c r="E583" s="55">
        <f t="shared" si="320"/>
        <v>1</v>
      </c>
      <c r="F583" s="31"/>
      <c r="G583" s="7">
        <v>1</v>
      </c>
      <c r="H583" s="64">
        <f t="shared" si="321"/>
        <v>1</v>
      </c>
      <c r="I583" s="38">
        <f t="shared" si="322"/>
        <v>2</v>
      </c>
      <c r="J583" s="36">
        <v>45805</v>
      </c>
      <c r="L583" s="6"/>
      <c r="M583" s="25"/>
      <c r="N583" s="19"/>
      <c r="O583" s="55">
        <f t="shared" si="308"/>
        <v>0</v>
      </c>
      <c r="P583" s="31"/>
      <c r="Q583" s="7"/>
      <c r="R583" s="64">
        <f t="shared" si="309"/>
        <v>0</v>
      </c>
      <c r="S583" s="38">
        <f t="shared" si="310"/>
        <v>0</v>
      </c>
    </row>
    <row r="584" spans="2:20" x14ac:dyDescent="0.15">
      <c r="B584" s="6" t="s">
        <v>7</v>
      </c>
      <c r="C584" s="25"/>
      <c r="D584" s="19">
        <v>1</v>
      </c>
      <c r="E584" s="55">
        <f t="shared" si="305"/>
        <v>1</v>
      </c>
      <c r="F584" s="31"/>
      <c r="G584" s="7">
        <f>1+1</f>
        <v>2</v>
      </c>
      <c r="H584" s="64">
        <f t="shared" si="321"/>
        <v>2</v>
      </c>
      <c r="I584" s="38">
        <f t="shared" si="322"/>
        <v>3</v>
      </c>
      <c r="J584" s="36">
        <v>45803</v>
      </c>
      <c r="L584" s="6"/>
      <c r="M584" s="25"/>
      <c r="N584" s="19"/>
      <c r="O584" s="55">
        <f t="shared" si="308"/>
        <v>0</v>
      </c>
      <c r="P584" s="31"/>
      <c r="Q584" s="7"/>
      <c r="R584" s="64">
        <f t="shared" si="309"/>
        <v>0</v>
      </c>
      <c r="S584" s="38">
        <f t="shared" si="310"/>
        <v>0</v>
      </c>
    </row>
    <row r="585" spans="2:20" x14ac:dyDescent="0.15">
      <c r="B585" s="6" t="s">
        <v>47</v>
      </c>
      <c r="C585" s="25">
        <v>1</v>
      </c>
      <c r="D585" s="19"/>
      <c r="E585" s="55">
        <f t="shared" si="305"/>
        <v>1</v>
      </c>
      <c r="F585" s="31"/>
      <c r="G585" s="7"/>
      <c r="H585" s="64">
        <f t="shared" si="306"/>
        <v>0</v>
      </c>
      <c r="I585" s="38">
        <f t="shared" si="307"/>
        <v>1</v>
      </c>
      <c r="J585" s="36">
        <v>45807</v>
      </c>
      <c r="L585" s="6"/>
      <c r="M585" s="25"/>
      <c r="N585" s="19"/>
      <c r="O585" s="55">
        <f t="shared" si="308"/>
        <v>0</v>
      </c>
      <c r="P585" s="31"/>
      <c r="Q585" s="7"/>
      <c r="R585" s="64">
        <f t="shared" si="309"/>
        <v>0</v>
      </c>
      <c r="S585" s="38">
        <f t="shared" si="310"/>
        <v>0</v>
      </c>
    </row>
    <row r="586" spans="2:20" x14ac:dyDescent="0.15">
      <c r="B586" s="6" t="s">
        <v>7</v>
      </c>
      <c r="C586" s="25"/>
      <c r="D586" s="19">
        <v>1</v>
      </c>
      <c r="E586" s="55">
        <f t="shared" si="305"/>
        <v>1</v>
      </c>
      <c r="F586" s="31"/>
      <c r="G586" s="7"/>
      <c r="H586" s="64">
        <f t="shared" si="306"/>
        <v>0</v>
      </c>
      <c r="I586" s="38">
        <f t="shared" si="307"/>
        <v>1</v>
      </c>
      <c r="J586" s="36">
        <v>45806</v>
      </c>
      <c r="L586" s="6"/>
      <c r="M586" s="25"/>
      <c r="N586" s="19"/>
      <c r="O586" s="55">
        <f t="shared" si="308"/>
        <v>0</v>
      </c>
      <c r="P586" s="31"/>
      <c r="Q586" s="7"/>
      <c r="R586" s="64">
        <f t="shared" si="309"/>
        <v>0</v>
      </c>
      <c r="S586" s="38">
        <f t="shared" si="310"/>
        <v>0</v>
      </c>
    </row>
    <row r="587" spans="2:20" x14ac:dyDescent="0.15">
      <c r="B587" s="6" t="s">
        <v>7</v>
      </c>
      <c r="C587" s="25"/>
      <c r="D587" s="19">
        <v>1</v>
      </c>
      <c r="E587" s="55">
        <f t="shared" si="305"/>
        <v>1</v>
      </c>
      <c r="F587" s="31"/>
      <c r="G587" s="7"/>
      <c r="H587" s="64">
        <f t="shared" si="306"/>
        <v>0</v>
      </c>
      <c r="I587" s="38">
        <f t="shared" si="307"/>
        <v>1</v>
      </c>
      <c r="J587" s="36">
        <v>45810</v>
      </c>
      <c r="L587" s="6"/>
      <c r="M587" s="28"/>
      <c r="N587" s="22"/>
      <c r="O587" s="55">
        <f t="shared" si="308"/>
        <v>0</v>
      </c>
      <c r="P587" s="33"/>
      <c r="Q587" s="8"/>
      <c r="R587" s="64">
        <f t="shared" si="309"/>
        <v>0</v>
      </c>
      <c r="S587" s="38">
        <f t="shared" si="310"/>
        <v>0</v>
      </c>
    </row>
    <row r="588" spans="2:20" x14ac:dyDescent="0.15">
      <c r="B588" s="6" t="s">
        <v>48</v>
      </c>
      <c r="C588" s="25"/>
      <c r="D588" s="19">
        <v>1</v>
      </c>
      <c r="E588" s="55">
        <f t="shared" si="305"/>
        <v>1</v>
      </c>
      <c r="F588" s="31"/>
      <c r="G588" s="7"/>
      <c r="H588" s="64">
        <f t="shared" si="306"/>
        <v>0</v>
      </c>
      <c r="I588" s="38">
        <f t="shared" si="307"/>
        <v>1</v>
      </c>
      <c r="J588" s="36">
        <v>45817</v>
      </c>
      <c r="L588" s="6"/>
      <c r="M588" s="28"/>
      <c r="N588" s="22"/>
      <c r="O588" s="55">
        <f t="shared" si="308"/>
        <v>0</v>
      </c>
      <c r="P588" s="33"/>
      <c r="Q588" s="8"/>
      <c r="R588" s="64">
        <f t="shared" si="309"/>
        <v>0</v>
      </c>
      <c r="S588" s="38">
        <f t="shared" si="310"/>
        <v>0</v>
      </c>
    </row>
    <row r="589" spans="2:20" x14ac:dyDescent="0.15">
      <c r="B589" s="6" t="s">
        <v>7</v>
      </c>
      <c r="C589" s="25"/>
      <c r="D589" s="19">
        <v>1</v>
      </c>
      <c r="E589" s="55">
        <f t="shared" si="305"/>
        <v>1</v>
      </c>
      <c r="F589" s="31"/>
      <c r="G589" s="7"/>
      <c r="H589" s="64">
        <f t="shared" si="306"/>
        <v>0</v>
      </c>
      <c r="I589" s="38">
        <f t="shared" si="307"/>
        <v>1</v>
      </c>
      <c r="J589" s="36">
        <v>45814</v>
      </c>
      <c r="L589" s="6"/>
      <c r="M589" s="28"/>
      <c r="N589" s="22"/>
      <c r="O589" s="55">
        <f t="shared" si="308"/>
        <v>0</v>
      </c>
      <c r="P589" s="33"/>
      <c r="Q589" s="8"/>
      <c r="R589" s="64">
        <f t="shared" si="309"/>
        <v>0</v>
      </c>
      <c r="S589" s="38">
        <f t="shared" si="310"/>
        <v>0</v>
      </c>
    </row>
    <row r="590" spans="2:20" x14ac:dyDescent="0.15">
      <c r="B590" s="6" t="s">
        <v>7</v>
      </c>
      <c r="C590" s="28"/>
      <c r="D590" s="22"/>
      <c r="E590" s="55">
        <f t="shared" si="305"/>
        <v>0</v>
      </c>
      <c r="F590" s="33">
        <f>1+1</f>
        <v>2</v>
      </c>
      <c r="G590" s="8">
        <v>1</v>
      </c>
      <c r="H590" s="64">
        <f t="shared" si="306"/>
        <v>3</v>
      </c>
      <c r="I590" s="38">
        <f t="shared" si="307"/>
        <v>3</v>
      </c>
      <c r="J590" s="36">
        <v>45817</v>
      </c>
      <c r="L590" s="6"/>
      <c r="M590" s="28"/>
      <c r="N590" s="22"/>
      <c r="O590" s="55">
        <f t="shared" si="308"/>
        <v>0</v>
      </c>
      <c r="P590" s="33"/>
      <c r="Q590" s="8"/>
      <c r="R590" s="64">
        <f t="shared" si="309"/>
        <v>0</v>
      </c>
      <c r="S590" s="38">
        <f t="shared" si="310"/>
        <v>0</v>
      </c>
    </row>
    <row r="591" spans="2:20" x14ac:dyDescent="0.15">
      <c r="B591" s="6" t="s">
        <v>7</v>
      </c>
      <c r="C591" s="25">
        <f>1+1</f>
        <v>2</v>
      </c>
      <c r="D591" s="19"/>
      <c r="E591" s="55">
        <f t="shared" si="305"/>
        <v>2</v>
      </c>
      <c r="F591" s="31"/>
      <c r="G591" s="7"/>
      <c r="H591" s="64">
        <f t="shared" si="306"/>
        <v>0</v>
      </c>
      <c r="I591" s="38">
        <f t="shared" si="307"/>
        <v>2</v>
      </c>
      <c r="J591" s="36">
        <v>45818</v>
      </c>
      <c r="L591" s="6"/>
      <c r="M591" s="28"/>
      <c r="N591" s="22"/>
      <c r="O591" s="55">
        <f t="shared" si="308"/>
        <v>0</v>
      </c>
      <c r="P591" s="33"/>
      <c r="Q591" s="8"/>
      <c r="R591" s="64">
        <f t="shared" si="309"/>
        <v>0</v>
      </c>
      <c r="S591" s="38">
        <f t="shared" si="310"/>
        <v>0</v>
      </c>
    </row>
    <row r="592" spans="2:20" x14ac:dyDescent="0.15">
      <c r="B592" s="6" t="s">
        <v>49</v>
      </c>
      <c r="C592" s="25"/>
      <c r="D592" s="19">
        <v>1</v>
      </c>
      <c r="E592" s="55">
        <f t="shared" si="305"/>
        <v>1</v>
      </c>
      <c r="F592" s="31"/>
      <c r="G592" s="7"/>
      <c r="H592" s="64">
        <f t="shared" si="306"/>
        <v>0</v>
      </c>
      <c r="I592" s="38">
        <f t="shared" si="307"/>
        <v>1</v>
      </c>
      <c r="J592" s="36">
        <v>45821</v>
      </c>
      <c r="L592" s="6"/>
      <c r="M592" s="28"/>
      <c r="N592" s="22"/>
      <c r="O592" s="55">
        <f t="shared" si="308"/>
        <v>0</v>
      </c>
      <c r="P592" s="33"/>
      <c r="Q592" s="8"/>
      <c r="R592" s="64">
        <f t="shared" si="309"/>
        <v>0</v>
      </c>
      <c r="S592" s="38">
        <f t="shared" si="310"/>
        <v>0</v>
      </c>
    </row>
    <row r="593" spans="2:20" x14ac:dyDescent="0.15">
      <c r="B593" s="6" t="s">
        <v>7</v>
      </c>
      <c r="C593" s="25"/>
      <c r="D593" s="19">
        <v>1</v>
      </c>
      <c r="E593" s="55">
        <f t="shared" si="305"/>
        <v>1</v>
      </c>
      <c r="F593" s="31"/>
      <c r="G593" s="7">
        <v>1</v>
      </c>
      <c r="H593" s="64">
        <f t="shared" si="306"/>
        <v>1</v>
      </c>
      <c r="I593" s="38">
        <f t="shared" si="307"/>
        <v>2</v>
      </c>
      <c r="J593" s="36">
        <v>45819</v>
      </c>
      <c r="L593" s="6"/>
      <c r="M593" s="28"/>
      <c r="N593" s="22"/>
      <c r="O593" s="55">
        <f t="shared" si="308"/>
        <v>0</v>
      </c>
      <c r="P593" s="33"/>
      <c r="Q593" s="8"/>
      <c r="R593" s="64">
        <f t="shared" si="309"/>
        <v>0</v>
      </c>
      <c r="S593" s="38">
        <f t="shared" si="310"/>
        <v>0</v>
      </c>
    </row>
    <row r="594" spans="2:20" x14ac:dyDescent="0.15">
      <c r="B594" s="6" t="s">
        <v>168</v>
      </c>
      <c r="C594" s="25"/>
      <c r="D594" s="19"/>
      <c r="E594" s="55">
        <f t="shared" si="305"/>
        <v>0</v>
      </c>
      <c r="F594" s="31">
        <v>-2</v>
      </c>
      <c r="G594" s="7">
        <v>-1</v>
      </c>
      <c r="H594" s="64">
        <f t="shared" si="306"/>
        <v>-3</v>
      </c>
      <c r="I594" s="38">
        <f t="shared" si="307"/>
        <v>-3</v>
      </c>
      <c r="J594" s="36">
        <v>45819</v>
      </c>
      <c r="L594" s="6"/>
      <c r="M594" s="28"/>
      <c r="N594" s="22"/>
      <c r="O594" s="55">
        <f t="shared" si="308"/>
        <v>0</v>
      </c>
      <c r="P594" s="33"/>
      <c r="Q594" s="8"/>
      <c r="R594" s="64">
        <f t="shared" si="309"/>
        <v>0</v>
      </c>
      <c r="S594" s="38">
        <f t="shared" si="310"/>
        <v>0</v>
      </c>
    </row>
    <row r="595" spans="2:20" x14ac:dyDescent="0.15">
      <c r="B595" s="6" t="s">
        <v>50</v>
      </c>
      <c r="C595" s="25"/>
      <c r="D595" s="19">
        <v>1</v>
      </c>
      <c r="E595" s="55">
        <f t="shared" si="305"/>
        <v>1</v>
      </c>
      <c r="F595" s="31"/>
      <c r="G595" s="7">
        <v>1</v>
      </c>
      <c r="H595" s="64">
        <f t="shared" si="306"/>
        <v>1</v>
      </c>
      <c r="I595" s="38">
        <f t="shared" si="307"/>
        <v>2</v>
      </c>
      <c r="J595" s="36">
        <v>45821</v>
      </c>
      <c r="L595" s="6"/>
      <c r="M595" s="28"/>
      <c r="N595" s="22"/>
      <c r="O595" s="55">
        <f t="shared" si="308"/>
        <v>0</v>
      </c>
      <c r="P595" s="33"/>
      <c r="Q595" s="8"/>
      <c r="R595" s="64">
        <f t="shared" si="309"/>
        <v>0</v>
      </c>
      <c r="S595" s="38">
        <f t="shared" si="310"/>
        <v>0</v>
      </c>
    </row>
    <row r="596" spans="2:20" ht="14.25" thickBot="1" x14ac:dyDescent="0.2">
      <c r="B596" s="6" t="s">
        <v>7</v>
      </c>
      <c r="C596" s="25">
        <v>1</v>
      </c>
      <c r="D596" s="19"/>
      <c r="E596" s="55">
        <f t="shared" si="305"/>
        <v>1</v>
      </c>
      <c r="F596" s="31"/>
      <c r="G596" s="7"/>
      <c r="H596" s="64">
        <f t="shared" si="306"/>
        <v>0</v>
      </c>
      <c r="I596" s="38">
        <f t="shared" si="307"/>
        <v>1</v>
      </c>
      <c r="J596" s="36">
        <v>45820</v>
      </c>
      <c r="L596" s="6" t="s">
        <v>163</v>
      </c>
      <c r="M596" s="25"/>
      <c r="N596" s="19"/>
      <c r="O596" s="55">
        <f t="shared" si="308"/>
        <v>0</v>
      </c>
      <c r="P596" s="31"/>
      <c r="Q596" s="7"/>
      <c r="R596" s="64">
        <f t="shared" si="309"/>
        <v>0</v>
      </c>
      <c r="S596" s="38">
        <f t="shared" si="310"/>
        <v>0</v>
      </c>
      <c r="T596" t="s">
        <v>164</v>
      </c>
    </row>
    <row r="597" spans="2:20" ht="14.25" thickBot="1" x14ac:dyDescent="0.2">
      <c r="B597" s="4" t="s">
        <v>1</v>
      </c>
      <c r="C597" s="27">
        <f>SUM(C572:C596)</f>
        <v>10</v>
      </c>
      <c r="D597" s="21">
        <f>SUM(D572:D596)</f>
        <v>19</v>
      </c>
      <c r="E597" s="57">
        <f t="shared" si="305"/>
        <v>29</v>
      </c>
      <c r="F597" s="27">
        <f>SUM(F572:F596)</f>
        <v>3</v>
      </c>
      <c r="G597" s="21">
        <f>SUM(G572:G596)</f>
        <v>10</v>
      </c>
      <c r="H597" s="66">
        <f t="shared" si="306"/>
        <v>13</v>
      </c>
      <c r="I597" s="40">
        <f t="shared" si="307"/>
        <v>42</v>
      </c>
      <c r="L597" s="4" t="s">
        <v>1</v>
      </c>
      <c r="M597" s="27">
        <f>SUM(M572:M596)</f>
        <v>28</v>
      </c>
      <c r="N597" s="21">
        <f t="shared" ref="N597" si="327">SUM(N572:N596)</f>
        <v>30</v>
      </c>
      <c r="O597" s="57">
        <f t="shared" ref="O597" si="328">SUM(O572:O596)</f>
        <v>58</v>
      </c>
      <c r="P597" s="27">
        <f t="shared" ref="P597" si="329">SUM(P572:P596)</f>
        <v>16</v>
      </c>
      <c r="Q597" s="21">
        <f t="shared" ref="Q597" si="330">SUM(Q572:Q596)</f>
        <v>13</v>
      </c>
      <c r="R597" s="66">
        <f t="shared" ref="R597" si="331">SUM(R572:R596)</f>
        <v>29</v>
      </c>
      <c r="S597" s="40">
        <f t="shared" ref="S597" si="332">SUM(S572:S596)</f>
        <v>87</v>
      </c>
    </row>
    <row r="598" spans="2:20" ht="14.25" thickBot="1" x14ac:dyDescent="0.2">
      <c r="B598" s="3" t="s">
        <v>0</v>
      </c>
      <c r="C598" s="30">
        <f>+C571-C597</f>
        <v>14</v>
      </c>
      <c r="D598" s="2">
        <f>+D571-D597</f>
        <v>15</v>
      </c>
      <c r="E598" s="58">
        <f t="shared" si="305"/>
        <v>29</v>
      </c>
      <c r="F598" s="30">
        <f>+F571-F597</f>
        <v>16</v>
      </c>
      <c r="G598" s="2">
        <f>+G571-G597</f>
        <v>16</v>
      </c>
      <c r="H598" s="67">
        <f t="shared" si="306"/>
        <v>32</v>
      </c>
      <c r="I598" s="42">
        <f t="shared" si="307"/>
        <v>61</v>
      </c>
      <c r="L598" s="3" t="s">
        <v>0</v>
      </c>
      <c r="M598" s="30">
        <f>+M571-M597</f>
        <v>52</v>
      </c>
      <c r="N598" s="2">
        <f t="shared" ref="N598" si="333">+N571-N597</f>
        <v>120</v>
      </c>
      <c r="O598" s="58">
        <f t="shared" ref="O598" si="334">+O571-O597</f>
        <v>172</v>
      </c>
      <c r="P598" s="30">
        <f t="shared" ref="P598" si="335">+P571-P597</f>
        <v>34</v>
      </c>
      <c r="Q598" s="2">
        <f t="shared" ref="Q598" si="336">+Q571-Q597</f>
        <v>57</v>
      </c>
      <c r="R598" s="67">
        <f t="shared" ref="R598" si="337">+R571-R597</f>
        <v>91</v>
      </c>
      <c r="S598" s="42">
        <f t="shared" ref="S598" si="338">+S571-S597</f>
        <v>263</v>
      </c>
    </row>
    <row r="599" spans="2:20" x14ac:dyDescent="0.15">
      <c r="M599" s="88">
        <f>M598/$O$598*100</f>
        <v>30.232558139534881</v>
      </c>
      <c r="N599" s="88">
        <f t="shared" ref="N599:O599" si="339">N598/$O$598*100</f>
        <v>69.767441860465112</v>
      </c>
      <c r="O599" s="88">
        <f t="shared" si="339"/>
        <v>100</v>
      </c>
      <c r="P599" s="88">
        <f>P598/$R$598*100</f>
        <v>37.362637362637365</v>
      </c>
      <c r="Q599" s="88">
        <f t="shared" ref="Q599:R599" si="340">Q598/$R$598*100</f>
        <v>62.637362637362635</v>
      </c>
      <c r="R599" s="88">
        <f t="shared" si="340"/>
        <v>100</v>
      </c>
    </row>
    <row r="600" spans="2:20" x14ac:dyDescent="0.15">
      <c r="M600" s="89">
        <v>35.75949367088608</v>
      </c>
      <c r="N600" s="89">
        <v>64.240506329113927</v>
      </c>
      <c r="O600" s="89">
        <v>100</v>
      </c>
      <c r="P600" s="89">
        <v>38.829787234042549</v>
      </c>
      <c r="Q600" s="89">
        <v>61.170212765957444</v>
      </c>
      <c r="R600" s="89">
        <v>100</v>
      </c>
    </row>
    <row r="601" spans="2:20" ht="18.75" x14ac:dyDescent="0.2">
      <c r="B601" s="16" t="s">
        <v>21</v>
      </c>
      <c r="C601" s="15"/>
      <c r="D601" s="15"/>
      <c r="E601" s="15"/>
      <c r="F601" s="15"/>
      <c r="G601" s="15"/>
      <c r="H601" s="15"/>
      <c r="I601" s="15"/>
      <c r="L601" s="71" t="s">
        <v>22</v>
      </c>
      <c r="M601" s="72"/>
      <c r="N601" s="72"/>
      <c r="O601" s="72"/>
      <c r="P601" s="72"/>
      <c r="Q601" s="72"/>
      <c r="R601" s="72"/>
      <c r="S601" s="72"/>
    </row>
    <row r="602" spans="2:20" ht="18" thickBot="1" x14ac:dyDescent="0.25">
      <c r="B602" s="17" t="s">
        <v>23</v>
      </c>
      <c r="C602" s="15"/>
      <c r="D602" s="15"/>
      <c r="E602" s="15"/>
      <c r="F602" s="15"/>
      <c r="G602" s="15"/>
      <c r="H602" s="15"/>
      <c r="I602" s="15"/>
      <c r="L602" s="73" t="s">
        <v>23</v>
      </c>
      <c r="M602" s="72"/>
      <c r="N602" s="72"/>
      <c r="O602" s="72"/>
      <c r="P602" s="72"/>
      <c r="Q602" s="72"/>
      <c r="R602" s="72"/>
      <c r="S602" s="72"/>
    </row>
    <row r="603" spans="2:20" ht="14.25" thickBot="1" x14ac:dyDescent="0.2">
      <c r="B603" s="14"/>
      <c r="C603" s="113" t="s">
        <v>12</v>
      </c>
      <c r="D603" s="114"/>
      <c r="E603" s="115"/>
      <c r="F603" s="116" t="s">
        <v>11</v>
      </c>
      <c r="G603" s="117"/>
      <c r="H603" s="118"/>
      <c r="I603" s="13" t="s">
        <v>19</v>
      </c>
      <c r="L603" s="14"/>
      <c r="M603" s="113" t="s">
        <v>12</v>
      </c>
      <c r="N603" s="114"/>
      <c r="O603" s="115"/>
      <c r="P603" s="116" t="s">
        <v>11</v>
      </c>
      <c r="Q603" s="117"/>
      <c r="R603" s="118"/>
      <c r="S603" s="13" t="s">
        <v>19</v>
      </c>
    </row>
    <row r="604" spans="2:20" ht="14.25" thickBot="1" x14ac:dyDescent="0.2">
      <c r="B604" s="13"/>
      <c r="C604" s="23" t="s">
        <v>6</v>
      </c>
      <c r="D604" s="12" t="s">
        <v>5</v>
      </c>
      <c r="E604" s="50" t="s">
        <v>4</v>
      </c>
      <c r="F604" s="23" t="s">
        <v>6</v>
      </c>
      <c r="G604" s="12" t="s">
        <v>5</v>
      </c>
      <c r="H604" s="59" t="s">
        <v>4</v>
      </c>
      <c r="I604" s="49"/>
      <c r="L604" s="13"/>
      <c r="M604" s="23" t="s">
        <v>6</v>
      </c>
      <c r="N604" s="12" t="s">
        <v>5</v>
      </c>
      <c r="O604" s="50" t="s">
        <v>4</v>
      </c>
      <c r="P604" s="23" t="s">
        <v>6</v>
      </c>
      <c r="Q604" s="12" t="s">
        <v>5</v>
      </c>
      <c r="R604" s="59" t="s">
        <v>4</v>
      </c>
      <c r="S604" s="49"/>
    </row>
    <row r="605" spans="2:20" x14ac:dyDescent="0.15">
      <c r="B605" s="46" t="s">
        <v>0</v>
      </c>
      <c r="C605" s="47">
        <f t="shared" ref="C605:H605" si="341">C598</f>
        <v>14</v>
      </c>
      <c r="D605" s="48">
        <f t="shared" si="341"/>
        <v>15</v>
      </c>
      <c r="E605" s="68">
        <f t="shared" si="341"/>
        <v>29</v>
      </c>
      <c r="F605" s="47">
        <f t="shared" si="341"/>
        <v>16</v>
      </c>
      <c r="G605" s="48">
        <f t="shared" si="341"/>
        <v>16</v>
      </c>
      <c r="H605" s="69">
        <f t="shared" si="341"/>
        <v>32</v>
      </c>
      <c r="I605" s="41">
        <f>E605+H605</f>
        <v>61</v>
      </c>
      <c r="L605" s="46" t="s">
        <v>0</v>
      </c>
      <c r="M605" s="47">
        <f>M598</f>
        <v>52</v>
      </c>
      <c r="N605" s="48">
        <f t="shared" ref="N605:S605" si="342">N598</f>
        <v>120</v>
      </c>
      <c r="O605" s="68">
        <f t="shared" si="342"/>
        <v>172</v>
      </c>
      <c r="P605" s="47">
        <f t="shared" si="342"/>
        <v>34</v>
      </c>
      <c r="Q605" s="48">
        <f t="shared" si="342"/>
        <v>57</v>
      </c>
      <c r="R605" s="69">
        <f t="shared" si="342"/>
        <v>91</v>
      </c>
      <c r="S605" s="41">
        <f t="shared" si="342"/>
        <v>263</v>
      </c>
    </row>
    <row r="606" spans="2:20" x14ac:dyDescent="0.15">
      <c r="B606" s="11" t="s">
        <v>3</v>
      </c>
      <c r="C606" s="25">
        <v>15</v>
      </c>
      <c r="D606" s="19">
        <v>15</v>
      </c>
      <c r="E606" s="52">
        <f t="shared" ref="E606:E611" si="343">SUM(C606:D606)</f>
        <v>30</v>
      </c>
      <c r="F606" s="31">
        <v>5</v>
      </c>
      <c r="G606" s="7">
        <v>5</v>
      </c>
      <c r="H606" s="61">
        <f t="shared" ref="H606:H638" si="344">SUM(F606:G606)</f>
        <v>10</v>
      </c>
      <c r="I606" s="38">
        <f t="shared" ref="I606:I638" si="345">E606+H606</f>
        <v>40</v>
      </c>
      <c r="J606" s="36">
        <v>45829</v>
      </c>
      <c r="L606" s="11" t="s">
        <v>3</v>
      </c>
      <c r="M606" s="25"/>
      <c r="N606" s="19"/>
      <c r="O606" s="52">
        <f t="shared" ref="O606:O634" si="346">SUM(M606:N606)</f>
        <v>0</v>
      </c>
      <c r="P606" s="31"/>
      <c r="Q606" s="7"/>
      <c r="R606" s="61">
        <f t="shared" ref="R606:R634" si="347">SUM(P606:Q606)</f>
        <v>0</v>
      </c>
      <c r="S606" s="38">
        <f t="shared" ref="S606:S634" si="348">O606+R606</f>
        <v>0</v>
      </c>
    </row>
    <row r="607" spans="2:20" x14ac:dyDescent="0.15">
      <c r="B607" s="11" t="s">
        <v>3</v>
      </c>
      <c r="C607" s="25">
        <v>20</v>
      </c>
      <c r="D607" s="19">
        <v>40</v>
      </c>
      <c r="E607" s="52">
        <f t="shared" si="343"/>
        <v>60</v>
      </c>
      <c r="F607" s="31">
        <v>5</v>
      </c>
      <c r="G607" s="7">
        <v>10</v>
      </c>
      <c r="H607" s="61">
        <f t="shared" si="344"/>
        <v>15</v>
      </c>
      <c r="I607" s="38">
        <f t="shared" si="345"/>
        <v>75</v>
      </c>
      <c r="J607" s="36">
        <v>45832</v>
      </c>
      <c r="L607" s="11" t="s">
        <v>162</v>
      </c>
      <c r="M607" s="25">
        <v>100</v>
      </c>
      <c r="N607" s="19">
        <v>150</v>
      </c>
      <c r="O607" s="52">
        <f t="shared" ref="O607" si="349">SUM(M607:N607)</f>
        <v>250</v>
      </c>
      <c r="P607" s="31">
        <v>50</v>
      </c>
      <c r="Q607" s="7">
        <v>80</v>
      </c>
      <c r="R607" s="61">
        <f t="shared" ref="R607" si="350">SUM(P607:Q607)</f>
        <v>130</v>
      </c>
      <c r="S607" s="38">
        <f t="shared" ref="S607" si="351">O607+R607</f>
        <v>380</v>
      </c>
      <c r="T607" s="78" t="s">
        <v>167</v>
      </c>
    </row>
    <row r="608" spans="2:20" x14ac:dyDescent="0.15">
      <c r="B608" s="11" t="s">
        <v>3</v>
      </c>
      <c r="C608" s="25">
        <v>10</v>
      </c>
      <c r="D608" s="19">
        <v>20</v>
      </c>
      <c r="E608" s="52">
        <f t="shared" si="343"/>
        <v>30</v>
      </c>
      <c r="F608" s="31"/>
      <c r="G608" s="7"/>
      <c r="H608" s="61">
        <f t="shared" si="344"/>
        <v>0</v>
      </c>
      <c r="I608" s="38">
        <f t="shared" si="345"/>
        <v>30</v>
      </c>
      <c r="J608" s="36">
        <v>45833</v>
      </c>
      <c r="L608" s="11" t="s">
        <v>3</v>
      </c>
      <c r="M608" s="25"/>
      <c r="N608" s="19"/>
      <c r="O608" s="52">
        <f t="shared" si="346"/>
        <v>0</v>
      </c>
      <c r="P608" s="31"/>
      <c r="Q608" s="7"/>
      <c r="R608" s="61">
        <f t="shared" si="347"/>
        <v>0</v>
      </c>
      <c r="S608" s="38">
        <f t="shared" si="348"/>
        <v>0</v>
      </c>
    </row>
    <row r="609" spans="2:20" x14ac:dyDescent="0.15">
      <c r="B609" s="11" t="s">
        <v>3</v>
      </c>
      <c r="C609" s="25"/>
      <c r="D609" s="19"/>
      <c r="E609" s="52">
        <f t="shared" si="343"/>
        <v>0</v>
      </c>
      <c r="F609" s="31"/>
      <c r="G609" s="7">
        <v>5</v>
      </c>
      <c r="H609" s="61">
        <f t="shared" si="344"/>
        <v>5</v>
      </c>
      <c r="I609" s="38">
        <f t="shared" si="345"/>
        <v>5</v>
      </c>
      <c r="J609" s="36">
        <v>45838</v>
      </c>
      <c r="L609" s="11" t="s">
        <v>3</v>
      </c>
      <c r="M609" s="25"/>
      <c r="N609" s="19"/>
      <c r="O609" s="52">
        <f t="shared" ref="O609" si="352">SUM(M609:N609)</f>
        <v>0</v>
      </c>
      <c r="P609" s="31"/>
      <c r="Q609" s="7"/>
      <c r="R609" s="61">
        <f t="shared" ref="R609" si="353">SUM(P609:Q609)</f>
        <v>0</v>
      </c>
      <c r="S609" s="38">
        <f t="shared" ref="S609" si="354">O609+R609</f>
        <v>0</v>
      </c>
    </row>
    <row r="610" spans="2:20" ht="14.25" thickBot="1" x14ac:dyDescent="0.2">
      <c r="B610" s="11" t="s">
        <v>3</v>
      </c>
      <c r="C610" s="25"/>
      <c r="D610" s="19">
        <v>10</v>
      </c>
      <c r="E610" s="52">
        <f t="shared" si="343"/>
        <v>10</v>
      </c>
      <c r="F610" s="31"/>
      <c r="G610" s="7">
        <v>15</v>
      </c>
      <c r="H610" s="61">
        <f t="shared" si="344"/>
        <v>15</v>
      </c>
      <c r="I610" s="38">
        <f t="shared" si="345"/>
        <v>25</v>
      </c>
      <c r="J610" s="36">
        <v>45843</v>
      </c>
      <c r="L610" s="11" t="s">
        <v>3</v>
      </c>
      <c r="M610" s="25"/>
      <c r="N610" s="19"/>
      <c r="O610" s="52">
        <f t="shared" si="346"/>
        <v>0</v>
      </c>
      <c r="P610" s="31"/>
      <c r="Q610" s="7"/>
      <c r="R610" s="61">
        <f t="shared" si="347"/>
        <v>0</v>
      </c>
      <c r="S610" s="38">
        <f t="shared" si="348"/>
        <v>0</v>
      </c>
    </row>
    <row r="611" spans="2:20" ht="14.25" thickBot="1" x14ac:dyDescent="0.2">
      <c r="B611" s="43" t="s">
        <v>2</v>
      </c>
      <c r="C611" s="44">
        <f>SUM(C605:C610)</f>
        <v>59</v>
      </c>
      <c r="D611" s="45">
        <f>SUM(D605:D610)</f>
        <v>100</v>
      </c>
      <c r="E611" s="83">
        <f t="shared" si="343"/>
        <v>159</v>
      </c>
      <c r="F611" s="44">
        <f>SUM(F605:F610)</f>
        <v>26</v>
      </c>
      <c r="G611" s="45">
        <f>SUM(G605:G610)</f>
        <v>51</v>
      </c>
      <c r="H611" s="84">
        <f t="shared" si="344"/>
        <v>77</v>
      </c>
      <c r="I611" s="42">
        <f t="shared" si="345"/>
        <v>236</v>
      </c>
      <c r="L611" s="43" t="s">
        <v>2</v>
      </c>
      <c r="M611" s="44">
        <f>SUM(M605:M610)</f>
        <v>152</v>
      </c>
      <c r="N611" s="45">
        <f t="shared" ref="N611" si="355">SUM(N605:N610)</f>
        <v>270</v>
      </c>
      <c r="O611" s="83">
        <f t="shared" ref="O611" si="356">SUM(O605:O610)</f>
        <v>422</v>
      </c>
      <c r="P611" s="44">
        <f t="shared" ref="P611" si="357">SUM(P605:P610)</f>
        <v>84</v>
      </c>
      <c r="Q611" s="45">
        <f t="shared" ref="Q611" si="358">SUM(Q605:Q610)</f>
        <v>137</v>
      </c>
      <c r="R611" s="84">
        <f t="shared" ref="R611" si="359">SUM(R605:R610)</f>
        <v>221</v>
      </c>
      <c r="S611" s="42">
        <f t="shared" ref="S611" si="360">SUM(S605:S610)</f>
        <v>643</v>
      </c>
    </row>
    <row r="612" spans="2:20" x14ac:dyDescent="0.15">
      <c r="B612" s="6" t="s">
        <v>7</v>
      </c>
      <c r="C612" s="25"/>
      <c r="D612" s="19">
        <v>1</v>
      </c>
      <c r="E612" s="55">
        <f t="shared" ref="E612:E624" si="361">SUM(C612:D612)</f>
        <v>1</v>
      </c>
      <c r="F612" s="31"/>
      <c r="G612" s="7"/>
      <c r="H612" s="64">
        <f t="shared" si="344"/>
        <v>0</v>
      </c>
      <c r="I612" s="38">
        <f t="shared" si="345"/>
        <v>1</v>
      </c>
      <c r="J612" s="36">
        <v>45821</v>
      </c>
      <c r="L612" s="6" t="s">
        <v>32</v>
      </c>
      <c r="M612" s="25"/>
      <c r="N612" s="19">
        <v>10</v>
      </c>
      <c r="O612" s="55">
        <f t="shared" ref="O612:O614" si="362">SUM(M612:N612)</f>
        <v>10</v>
      </c>
      <c r="P612" s="31"/>
      <c r="Q612" s="7">
        <v>10</v>
      </c>
      <c r="R612" s="64">
        <f t="shared" ref="R612:R616" si="363">SUM(P612:Q612)</f>
        <v>10</v>
      </c>
      <c r="S612" s="38">
        <f t="shared" si="348"/>
        <v>20</v>
      </c>
      <c r="T612" s="78">
        <v>45815</v>
      </c>
    </row>
    <row r="613" spans="2:20" x14ac:dyDescent="0.15">
      <c r="B613" s="6" t="s">
        <v>7</v>
      </c>
      <c r="C613" s="25"/>
      <c r="D613" s="19">
        <v>1</v>
      </c>
      <c r="E613" s="55">
        <f t="shared" si="361"/>
        <v>1</v>
      </c>
      <c r="F613" s="31"/>
      <c r="G613" s="7">
        <v>1</v>
      </c>
      <c r="H613" s="64">
        <f t="shared" si="344"/>
        <v>1</v>
      </c>
      <c r="I613" s="38">
        <f t="shared" si="345"/>
        <v>2</v>
      </c>
      <c r="J613" s="36">
        <v>45824</v>
      </c>
      <c r="L613" s="6" t="s">
        <v>32</v>
      </c>
      <c r="M613" s="25">
        <v>15</v>
      </c>
      <c r="N613" s="19">
        <v>15</v>
      </c>
      <c r="O613" s="55">
        <f t="shared" si="362"/>
        <v>30</v>
      </c>
      <c r="P613" s="31">
        <v>5</v>
      </c>
      <c r="Q613" s="7">
        <v>5</v>
      </c>
      <c r="R613" s="64">
        <f t="shared" si="363"/>
        <v>10</v>
      </c>
      <c r="S613" s="38">
        <f t="shared" si="348"/>
        <v>40</v>
      </c>
      <c r="T613" s="78">
        <v>45829</v>
      </c>
    </row>
    <row r="614" spans="2:20" x14ac:dyDescent="0.15">
      <c r="B614" s="6" t="s">
        <v>7</v>
      </c>
      <c r="C614" s="25"/>
      <c r="D614" s="19">
        <v>1</v>
      </c>
      <c r="E614" s="55">
        <f t="shared" si="361"/>
        <v>1</v>
      </c>
      <c r="F614" s="31"/>
      <c r="G614" s="7"/>
      <c r="H614" s="64">
        <f t="shared" si="344"/>
        <v>0</v>
      </c>
      <c r="I614" s="38">
        <f t="shared" si="345"/>
        <v>1</v>
      </c>
      <c r="J614" s="36">
        <v>45825</v>
      </c>
      <c r="L614" s="6" t="s">
        <v>32</v>
      </c>
      <c r="M614" s="25">
        <v>20</v>
      </c>
      <c r="N614" s="19">
        <v>40</v>
      </c>
      <c r="O614" s="55">
        <f t="shared" si="362"/>
        <v>60</v>
      </c>
      <c r="P614" s="31">
        <v>5</v>
      </c>
      <c r="Q614" s="7">
        <v>10</v>
      </c>
      <c r="R614" s="64">
        <f t="shared" si="363"/>
        <v>15</v>
      </c>
      <c r="S614" s="38">
        <f t="shared" si="348"/>
        <v>75</v>
      </c>
      <c r="T614" s="78">
        <v>45832</v>
      </c>
    </row>
    <row r="615" spans="2:20" x14ac:dyDescent="0.15">
      <c r="B615" s="6" t="s">
        <v>7</v>
      </c>
      <c r="C615" s="25"/>
      <c r="D615" s="19"/>
      <c r="E615" s="55">
        <f t="shared" si="361"/>
        <v>0</v>
      </c>
      <c r="F615" s="31"/>
      <c r="G615" s="7"/>
      <c r="H615" s="64">
        <f t="shared" si="344"/>
        <v>0</v>
      </c>
      <c r="I615" s="38">
        <f t="shared" si="345"/>
        <v>0</v>
      </c>
      <c r="J615" s="36">
        <v>45826</v>
      </c>
      <c r="L615" s="6" t="s">
        <v>32</v>
      </c>
      <c r="M615" s="25">
        <v>10</v>
      </c>
      <c r="N615" s="19">
        <v>20</v>
      </c>
      <c r="O615" s="55">
        <f t="shared" ref="O615" si="364">SUM(M615:N615)</f>
        <v>30</v>
      </c>
      <c r="P615" s="31"/>
      <c r="Q615" s="7"/>
      <c r="R615" s="64">
        <f t="shared" si="363"/>
        <v>0</v>
      </c>
      <c r="S615" s="38">
        <f t="shared" si="348"/>
        <v>30</v>
      </c>
      <c r="T615" s="78">
        <v>45833</v>
      </c>
    </row>
    <row r="616" spans="2:20" x14ac:dyDescent="0.15">
      <c r="B616" s="6" t="s">
        <v>7</v>
      </c>
      <c r="C616" s="25"/>
      <c r="D616" s="19"/>
      <c r="E616" s="55">
        <f t="shared" si="361"/>
        <v>0</v>
      </c>
      <c r="F616" s="31">
        <v>1</v>
      </c>
      <c r="G616" s="7"/>
      <c r="H616" s="64">
        <f t="shared" si="344"/>
        <v>1</v>
      </c>
      <c r="I616" s="38">
        <f t="shared" si="345"/>
        <v>1</v>
      </c>
      <c r="J616" s="36">
        <v>45827</v>
      </c>
      <c r="L616" s="6" t="s">
        <v>32</v>
      </c>
      <c r="M616" s="25"/>
      <c r="N616" s="19"/>
      <c r="O616" s="55">
        <f t="shared" ref="O616" si="365">SUM(M616:N616)</f>
        <v>0</v>
      </c>
      <c r="P616" s="31"/>
      <c r="Q616" s="7">
        <v>5</v>
      </c>
      <c r="R616" s="64">
        <f t="shared" si="363"/>
        <v>5</v>
      </c>
      <c r="S616" s="38">
        <f t="shared" si="348"/>
        <v>5</v>
      </c>
      <c r="T616" s="78">
        <v>45838</v>
      </c>
    </row>
    <row r="617" spans="2:20" x14ac:dyDescent="0.15">
      <c r="B617" s="6" t="s">
        <v>7</v>
      </c>
      <c r="C617" s="25">
        <f>3+7+1</f>
        <v>11</v>
      </c>
      <c r="D617" s="19">
        <f>2+6+2+1</f>
        <v>11</v>
      </c>
      <c r="E617" s="55">
        <f t="shared" si="361"/>
        <v>22</v>
      </c>
      <c r="F617" s="31">
        <v>2</v>
      </c>
      <c r="G617" s="7">
        <f>1+2</f>
        <v>3</v>
      </c>
      <c r="H617" s="64">
        <f t="shared" si="344"/>
        <v>5</v>
      </c>
      <c r="I617" s="38">
        <f t="shared" si="345"/>
        <v>27</v>
      </c>
      <c r="J617" s="36">
        <v>45828</v>
      </c>
      <c r="L617" s="6" t="s">
        <v>51</v>
      </c>
      <c r="M617" s="25">
        <v>2</v>
      </c>
      <c r="N617" s="19"/>
      <c r="O617" s="55">
        <f t="shared" si="346"/>
        <v>2</v>
      </c>
      <c r="P617" s="31">
        <v>15</v>
      </c>
      <c r="Q617" s="7">
        <v>2</v>
      </c>
      <c r="R617" s="64">
        <f t="shared" si="347"/>
        <v>17</v>
      </c>
      <c r="S617" s="38">
        <f t="shared" si="348"/>
        <v>19</v>
      </c>
      <c r="T617" s="78">
        <v>45840</v>
      </c>
    </row>
    <row r="618" spans="2:20" x14ac:dyDescent="0.15">
      <c r="B618" s="6" t="s">
        <v>7</v>
      </c>
      <c r="C618" s="25"/>
      <c r="D618" s="19">
        <f>1+2</f>
        <v>3</v>
      </c>
      <c r="E618" s="55">
        <f t="shared" si="361"/>
        <v>3</v>
      </c>
      <c r="F618" s="31"/>
      <c r="G618" s="7">
        <f>1+1</f>
        <v>2</v>
      </c>
      <c r="H618" s="64">
        <f t="shared" si="344"/>
        <v>2</v>
      </c>
      <c r="I618" s="38">
        <f t="shared" si="345"/>
        <v>5</v>
      </c>
      <c r="J618" s="36">
        <v>45829</v>
      </c>
      <c r="L618" s="6" t="s">
        <v>53</v>
      </c>
      <c r="M618" s="25">
        <v>4</v>
      </c>
      <c r="N618" s="19"/>
      <c r="O618" s="55">
        <f t="shared" si="346"/>
        <v>4</v>
      </c>
      <c r="P618" s="31"/>
      <c r="Q618" s="7">
        <v>4</v>
      </c>
      <c r="R618" s="64">
        <f t="shared" si="347"/>
        <v>4</v>
      </c>
      <c r="S618" s="38">
        <f t="shared" si="348"/>
        <v>8</v>
      </c>
      <c r="T618" s="78">
        <v>45841</v>
      </c>
    </row>
    <row r="619" spans="2:20" x14ac:dyDescent="0.15">
      <c r="B619" s="6" t="s">
        <v>26</v>
      </c>
      <c r="C619" s="25"/>
      <c r="D619" s="19">
        <v>1</v>
      </c>
      <c r="E619" s="55">
        <f t="shared" si="361"/>
        <v>1</v>
      </c>
      <c r="F619" s="31"/>
      <c r="G619" s="7">
        <v>1</v>
      </c>
      <c r="H619" s="64">
        <f t="shared" si="344"/>
        <v>1</v>
      </c>
      <c r="I619" s="38">
        <f t="shared" si="345"/>
        <v>2</v>
      </c>
      <c r="J619" s="36">
        <v>45832</v>
      </c>
      <c r="L619" s="6" t="s">
        <v>54</v>
      </c>
      <c r="M619" s="25">
        <v>4</v>
      </c>
      <c r="N619" s="19"/>
      <c r="O619" s="55">
        <f t="shared" si="346"/>
        <v>4</v>
      </c>
      <c r="P619" s="31"/>
      <c r="Q619" s="7">
        <v>4</v>
      </c>
      <c r="R619" s="64">
        <f t="shared" si="347"/>
        <v>4</v>
      </c>
      <c r="S619" s="38">
        <f t="shared" si="348"/>
        <v>8</v>
      </c>
      <c r="T619" s="78">
        <v>45842</v>
      </c>
    </row>
    <row r="620" spans="2:20" x14ac:dyDescent="0.15">
      <c r="B620" s="6" t="s">
        <v>7</v>
      </c>
      <c r="C620" s="25">
        <f>8+1+5+1</f>
        <v>15</v>
      </c>
      <c r="D620" s="19">
        <f>18+1+5+1+1-1-1-13</f>
        <v>11</v>
      </c>
      <c r="E620" s="55">
        <f t="shared" si="361"/>
        <v>26</v>
      </c>
      <c r="F620" s="31">
        <f>4+1</f>
        <v>5</v>
      </c>
      <c r="G620" s="7">
        <f>2+1+4+1-1</f>
        <v>7</v>
      </c>
      <c r="H620" s="64">
        <f t="shared" si="344"/>
        <v>12</v>
      </c>
      <c r="I620" s="38">
        <f t="shared" si="345"/>
        <v>38</v>
      </c>
      <c r="J620" s="36">
        <v>45831</v>
      </c>
      <c r="L620" s="6" t="s">
        <v>55</v>
      </c>
      <c r="M620" s="25">
        <v>2</v>
      </c>
      <c r="N620" s="19">
        <v>2</v>
      </c>
      <c r="O620" s="55">
        <f t="shared" si="346"/>
        <v>4</v>
      </c>
      <c r="P620" s="31"/>
      <c r="Q620" s="7">
        <v>1</v>
      </c>
      <c r="R620" s="64">
        <f t="shared" si="347"/>
        <v>1</v>
      </c>
      <c r="S620" s="38">
        <f t="shared" si="348"/>
        <v>5</v>
      </c>
      <c r="T620" s="78">
        <v>45842</v>
      </c>
    </row>
    <row r="621" spans="2:20" x14ac:dyDescent="0.15">
      <c r="B621" s="6" t="s">
        <v>7</v>
      </c>
      <c r="C621" s="25">
        <v>2</v>
      </c>
      <c r="D621" s="19">
        <f>13+1+2+1</f>
        <v>17</v>
      </c>
      <c r="E621" s="55">
        <f t="shared" si="361"/>
        <v>19</v>
      </c>
      <c r="F621" s="31"/>
      <c r="G621" s="7">
        <f>1+1</f>
        <v>2</v>
      </c>
      <c r="H621" s="64">
        <f t="shared" si="344"/>
        <v>2</v>
      </c>
      <c r="I621" s="38">
        <f t="shared" si="345"/>
        <v>21</v>
      </c>
      <c r="J621" s="36">
        <v>45832</v>
      </c>
      <c r="L621" s="6" t="s">
        <v>32</v>
      </c>
      <c r="M621" s="25"/>
      <c r="N621" s="19">
        <v>10</v>
      </c>
      <c r="O621" s="55">
        <f t="shared" ref="O621" si="366">SUM(M621:N621)</f>
        <v>10</v>
      </c>
      <c r="P621" s="31"/>
      <c r="Q621" s="7">
        <v>15</v>
      </c>
      <c r="R621" s="64">
        <f t="shared" si="347"/>
        <v>15</v>
      </c>
      <c r="S621" s="38">
        <f t="shared" si="348"/>
        <v>25</v>
      </c>
      <c r="T621" s="78">
        <v>45843</v>
      </c>
    </row>
    <row r="622" spans="2:20" x14ac:dyDescent="0.15">
      <c r="B622" s="6" t="s">
        <v>7</v>
      </c>
      <c r="C622" s="25">
        <v>1</v>
      </c>
      <c r="D622" s="19">
        <f>1+1+1+2</f>
        <v>5</v>
      </c>
      <c r="E622" s="55">
        <f t="shared" si="361"/>
        <v>6</v>
      </c>
      <c r="F622" s="31"/>
      <c r="G622" s="7">
        <f>2+1</f>
        <v>3</v>
      </c>
      <c r="H622" s="64">
        <f t="shared" si="344"/>
        <v>3</v>
      </c>
      <c r="I622" s="38">
        <f t="shared" si="345"/>
        <v>9</v>
      </c>
      <c r="J622" s="36">
        <v>45833</v>
      </c>
      <c r="L622" s="6" t="s">
        <v>59</v>
      </c>
      <c r="M622" s="25">
        <v>4</v>
      </c>
      <c r="N622" s="19">
        <v>4</v>
      </c>
      <c r="O622" s="55">
        <f t="shared" si="346"/>
        <v>8</v>
      </c>
      <c r="P622" s="31">
        <v>6</v>
      </c>
      <c r="Q622" s="7">
        <v>9</v>
      </c>
      <c r="R622" s="64">
        <f t="shared" si="347"/>
        <v>15</v>
      </c>
      <c r="S622" s="38">
        <f t="shared" si="348"/>
        <v>23</v>
      </c>
      <c r="T622" s="78">
        <v>45847</v>
      </c>
    </row>
    <row r="623" spans="2:20" x14ac:dyDescent="0.15">
      <c r="B623" s="6" t="s">
        <v>7</v>
      </c>
      <c r="C623" s="25">
        <v>1</v>
      </c>
      <c r="D623" s="19">
        <f>1+4</f>
        <v>5</v>
      </c>
      <c r="E623" s="55">
        <f t="shared" si="361"/>
        <v>6</v>
      </c>
      <c r="F623" s="31"/>
      <c r="G623" s="7">
        <f>1+3</f>
        <v>4</v>
      </c>
      <c r="H623" s="64">
        <f t="shared" si="344"/>
        <v>4</v>
      </c>
      <c r="I623" s="38">
        <f t="shared" si="345"/>
        <v>10</v>
      </c>
      <c r="J623" s="36">
        <v>45834</v>
      </c>
      <c r="L623" s="6" t="s">
        <v>60</v>
      </c>
      <c r="M623" s="25"/>
      <c r="N623" s="19">
        <v>2</v>
      </c>
      <c r="O623" s="55">
        <f t="shared" si="346"/>
        <v>2</v>
      </c>
      <c r="P623" s="31"/>
      <c r="Q623" s="7"/>
      <c r="R623" s="64">
        <f t="shared" si="347"/>
        <v>0</v>
      </c>
      <c r="S623" s="38">
        <f t="shared" si="348"/>
        <v>2</v>
      </c>
      <c r="T623" s="78">
        <v>45848</v>
      </c>
    </row>
    <row r="624" spans="2:20" x14ac:dyDescent="0.15">
      <c r="B624" s="6" t="s">
        <v>26</v>
      </c>
      <c r="C624" s="25"/>
      <c r="D624" s="19"/>
      <c r="E624" s="55">
        <f t="shared" si="361"/>
        <v>0</v>
      </c>
      <c r="F624" s="31">
        <v>1</v>
      </c>
      <c r="G624" s="7"/>
      <c r="H624" s="64">
        <f t="shared" si="344"/>
        <v>1</v>
      </c>
      <c r="I624" s="38">
        <f t="shared" si="345"/>
        <v>1</v>
      </c>
      <c r="J624" s="36">
        <v>45835</v>
      </c>
      <c r="L624" s="6" t="s">
        <v>61</v>
      </c>
      <c r="M624" s="25">
        <v>1</v>
      </c>
      <c r="N624" s="19">
        <v>2</v>
      </c>
      <c r="O624" s="55">
        <f t="shared" si="346"/>
        <v>3</v>
      </c>
      <c r="P624" s="31">
        <v>1</v>
      </c>
      <c r="Q624" s="7"/>
      <c r="R624" s="64">
        <f t="shared" si="347"/>
        <v>1</v>
      </c>
      <c r="S624" s="38">
        <f t="shared" si="348"/>
        <v>4</v>
      </c>
      <c r="T624" s="78">
        <v>45849</v>
      </c>
    </row>
    <row r="625" spans="2:20" x14ac:dyDescent="0.15">
      <c r="B625" s="6" t="s">
        <v>7</v>
      </c>
      <c r="C625" s="25"/>
      <c r="D625" s="19">
        <v>1</v>
      </c>
      <c r="E625" s="55">
        <f t="shared" ref="E625:E638" si="367">SUM(C625:D625)</f>
        <v>1</v>
      </c>
      <c r="F625" s="31"/>
      <c r="G625" s="7"/>
      <c r="H625" s="64">
        <f t="shared" si="344"/>
        <v>0</v>
      </c>
      <c r="I625" s="38">
        <f t="shared" si="345"/>
        <v>1</v>
      </c>
      <c r="J625" s="36">
        <v>45835</v>
      </c>
      <c r="L625" s="6" t="s">
        <v>62</v>
      </c>
      <c r="M625" s="25"/>
      <c r="N625" s="19">
        <v>2</v>
      </c>
      <c r="O625" s="55">
        <f t="shared" si="346"/>
        <v>2</v>
      </c>
      <c r="P625" s="31">
        <v>1</v>
      </c>
      <c r="Q625" s="7">
        <v>1</v>
      </c>
      <c r="R625" s="64">
        <f t="shared" si="347"/>
        <v>2</v>
      </c>
      <c r="S625" s="38">
        <f t="shared" si="348"/>
        <v>4</v>
      </c>
      <c r="T625" s="78">
        <v>45852</v>
      </c>
    </row>
    <row r="626" spans="2:20" x14ac:dyDescent="0.15">
      <c r="B626" s="6" t="s">
        <v>7</v>
      </c>
      <c r="C626" s="25">
        <f>1+1</f>
        <v>2</v>
      </c>
      <c r="D626" s="19">
        <f>1+2</f>
        <v>3</v>
      </c>
      <c r="E626" s="55">
        <f t="shared" si="367"/>
        <v>5</v>
      </c>
      <c r="F626" s="31"/>
      <c r="G626" s="7">
        <f>1+2</f>
        <v>3</v>
      </c>
      <c r="H626" s="64">
        <f t="shared" si="344"/>
        <v>3</v>
      </c>
      <c r="I626" s="38">
        <f t="shared" si="345"/>
        <v>8</v>
      </c>
      <c r="J626" s="36">
        <v>45838</v>
      </c>
      <c r="L626" s="6" t="s">
        <v>32</v>
      </c>
      <c r="M626" s="25"/>
      <c r="N626" s="19"/>
      <c r="O626" s="55">
        <f t="shared" si="346"/>
        <v>0</v>
      </c>
      <c r="P626" s="31">
        <v>10</v>
      </c>
      <c r="Q626" s="7">
        <v>10</v>
      </c>
      <c r="R626" s="64">
        <f t="shared" si="347"/>
        <v>20</v>
      </c>
      <c r="S626" s="38">
        <f t="shared" si="348"/>
        <v>20</v>
      </c>
      <c r="T626" s="78">
        <v>45852</v>
      </c>
    </row>
    <row r="627" spans="2:20" x14ac:dyDescent="0.15">
      <c r="B627" s="6" t="s">
        <v>7</v>
      </c>
      <c r="C627" s="28"/>
      <c r="D627" s="22"/>
      <c r="E627" s="55">
        <f t="shared" si="367"/>
        <v>0</v>
      </c>
      <c r="F627" s="33"/>
      <c r="G627" s="8">
        <v>1</v>
      </c>
      <c r="H627" s="64">
        <f t="shared" si="344"/>
        <v>1</v>
      </c>
      <c r="I627" s="38">
        <f t="shared" si="345"/>
        <v>1</v>
      </c>
      <c r="J627" s="36">
        <v>45839</v>
      </c>
      <c r="L627" s="6" t="s">
        <v>32</v>
      </c>
      <c r="M627" s="25">
        <v>10</v>
      </c>
      <c r="N627" s="19">
        <v>20</v>
      </c>
      <c r="O627" s="55">
        <f t="shared" si="346"/>
        <v>30</v>
      </c>
      <c r="P627" s="31"/>
      <c r="Q627" s="7">
        <v>5</v>
      </c>
      <c r="R627" s="64">
        <f t="shared" si="347"/>
        <v>5</v>
      </c>
      <c r="S627" s="38">
        <f t="shared" si="348"/>
        <v>35</v>
      </c>
      <c r="T627" s="78">
        <v>45857</v>
      </c>
    </row>
    <row r="628" spans="2:20" x14ac:dyDescent="0.15">
      <c r="B628" s="6" t="s">
        <v>169</v>
      </c>
      <c r="C628" s="25"/>
      <c r="D628" s="19">
        <v>1</v>
      </c>
      <c r="E628" s="55">
        <f t="shared" si="367"/>
        <v>1</v>
      </c>
      <c r="F628" s="31"/>
      <c r="G628" s="7">
        <v>1</v>
      </c>
      <c r="H628" s="64">
        <f t="shared" si="344"/>
        <v>1</v>
      </c>
      <c r="I628" s="38">
        <f t="shared" si="345"/>
        <v>2</v>
      </c>
      <c r="J628" s="36">
        <v>45840</v>
      </c>
      <c r="L628" s="6"/>
      <c r="M628" s="25"/>
      <c r="N628" s="19"/>
      <c r="O628" s="55">
        <f t="shared" si="346"/>
        <v>0</v>
      </c>
      <c r="P628" s="31"/>
      <c r="Q628" s="7"/>
      <c r="R628" s="64">
        <f t="shared" si="347"/>
        <v>0</v>
      </c>
      <c r="S628" s="38">
        <f t="shared" si="348"/>
        <v>0</v>
      </c>
    </row>
    <row r="629" spans="2:20" x14ac:dyDescent="0.15">
      <c r="B629" s="6" t="s">
        <v>7</v>
      </c>
      <c r="C629" s="28">
        <v>1</v>
      </c>
      <c r="D629" s="22">
        <f>1+1</f>
        <v>2</v>
      </c>
      <c r="E629" s="55">
        <f t="shared" si="367"/>
        <v>3</v>
      </c>
      <c r="F629" s="33"/>
      <c r="G629" s="8">
        <v>1</v>
      </c>
      <c r="H629" s="64">
        <f t="shared" si="344"/>
        <v>1</v>
      </c>
      <c r="I629" s="38">
        <f t="shared" si="345"/>
        <v>4</v>
      </c>
      <c r="J629" s="36">
        <v>45840</v>
      </c>
      <c r="L629" s="6"/>
      <c r="M629" s="25"/>
      <c r="N629" s="19"/>
      <c r="O629" s="55">
        <f t="shared" si="346"/>
        <v>0</v>
      </c>
      <c r="P629" s="31"/>
      <c r="Q629" s="7"/>
      <c r="R629" s="64">
        <f t="shared" si="347"/>
        <v>0</v>
      </c>
      <c r="S629" s="38">
        <f t="shared" si="348"/>
        <v>0</v>
      </c>
    </row>
    <row r="630" spans="2:20" x14ac:dyDescent="0.15">
      <c r="B630" s="6" t="s">
        <v>7</v>
      </c>
      <c r="C630" s="25">
        <v>1</v>
      </c>
      <c r="D630" s="19">
        <f>1+2</f>
        <v>3</v>
      </c>
      <c r="E630" s="55">
        <f t="shared" si="367"/>
        <v>4</v>
      </c>
      <c r="F630" s="31">
        <v>1</v>
      </c>
      <c r="G630" s="7">
        <v>1</v>
      </c>
      <c r="H630" s="64">
        <f t="shared" si="344"/>
        <v>2</v>
      </c>
      <c r="I630" s="38">
        <f t="shared" si="345"/>
        <v>6</v>
      </c>
      <c r="J630" s="36">
        <v>45841</v>
      </c>
      <c r="L630" s="6"/>
      <c r="M630" s="28"/>
      <c r="N630" s="22"/>
      <c r="O630" s="55">
        <f t="shared" si="346"/>
        <v>0</v>
      </c>
      <c r="P630" s="33"/>
      <c r="Q630" s="8"/>
      <c r="R630" s="64">
        <f t="shared" si="347"/>
        <v>0</v>
      </c>
      <c r="S630" s="38">
        <f t="shared" si="348"/>
        <v>0</v>
      </c>
    </row>
    <row r="631" spans="2:20" x14ac:dyDescent="0.15">
      <c r="B631" s="6" t="s">
        <v>58</v>
      </c>
      <c r="C631" s="25"/>
      <c r="D631" s="19">
        <v>7</v>
      </c>
      <c r="E631" s="55">
        <f t="shared" si="367"/>
        <v>7</v>
      </c>
      <c r="F631" s="31"/>
      <c r="G631" s="7">
        <v>1</v>
      </c>
      <c r="H631" s="64">
        <f t="shared" si="344"/>
        <v>1</v>
      </c>
      <c r="I631" s="38">
        <f t="shared" si="345"/>
        <v>8</v>
      </c>
      <c r="J631" s="36">
        <v>45845</v>
      </c>
      <c r="L631" s="6"/>
      <c r="M631" s="28"/>
      <c r="N631" s="22"/>
      <c r="O631" s="55">
        <f t="shared" si="346"/>
        <v>0</v>
      </c>
      <c r="P631" s="33"/>
      <c r="Q631" s="8"/>
      <c r="R631" s="64">
        <f t="shared" si="347"/>
        <v>0</v>
      </c>
      <c r="S631" s="38">
        <f t="shared" si="348"/>
        <v>0</v>
      </c>
    </row>
    <row r="632" spans="2:20" x14ac:dyDescent="0.15">
      <c r="B632" s="6" t="s">
        <v>7</v>
      </c>
      <c r="C632" s="25"/>
      <c r="D632" s="19">
        <v>1</v>
      </c>
      <c r="E632" s="55">
        <f t="shared" si="367"/>
        <v>1</v>
      </c>
      <c r="F632" s="31"/>
      <c r="G632" s="7"/>
      <c r="H632" s="64">
        <f t="shared" si="344"/>
        <v>0</v>
      </c>
      <c r="I632" s="38">
        <f t="shared" si="345"/>
        <v>1</v>
      </c>
      <c r="J632" s="36">
        <v>45842</v>
      </c>
      <c r="L632" s="6"/>
      <c r="M632" s="28"/>
      <c r="N632" s="22"/>
      <c r="O632" s="55">
        <f t="shared" si="346"/>
        <v>0</v>
      </c>
      <c r="P632" s="33"/>
      <c r="Q632" s="8"/>
      <c r="R632" s="64">
        <f t="shared" si="347"/>
        <v>0</v>
      </c>
      <c r="S632" s="38">
        <f t="shared" si="348"/>
        <v>0</v>
      </c>
    </row>
    <row r="633" spans="2:20" x14ac:dyDescent="0.15">
      <c r="B633" s="6" t="s">
        <v>7</v>
      </c>
      <c r="C633" s="28">
        <f>1+1</f>
        <v>2</v>
      </c>
      <c r="D633" s="22">
        <v>4</v>
      </c>
      <c r="E633" s="55">
        <f t="shared" si="367"/>
        <v>6</v>
      </c>
      <c r="F633" s="33">
        <v>1</v>
      </c>
      <c r="G633" s="8">
        <f>5+1</f>
        <v>6</v>
      </c>
      <c r="H633" s="64">
        <f t="shared" si="344"/>
        <v>7</v>
      </c>
      <c r="I633" s="38">
        <f t="shared" si="345"/>
        <v>13</v>
      </c>
      <c r="J633" s="36">
        <v>45843</v>
      </c>
      <c r="L633" s="6"/>
      <c r="M633" s="28"/>
      <c r="N633" s="22"/>
      <c r="O633" s="55">
        <f t="shared" si="346"/>
        <v>0</v>
      </c>
      <c r="P633" s="33"/>
      <c r="Q633" s="8"/>
      <c r="R633" s="64">
        <f t="shared" si="347"/>
        <v>0</v>
      </c>
      <c r="S633" s="38">
        <f t="shared" si="348"/>
        <v>0</v>
      </c>
    </row>
    <row r="634" spans="2:20" x14ac:dyDescent="0.15">
      <c r="B634" s="6" t="s">
        <v>7</v>
      </c>
      <c r="C634" s="28">
        <v>1</v>
      </c>
      <c r="D634" s="22"/>
      <c r="E634" s="55">
        <f t="shared" si="367"/>
        <v>1</v>
      </c>
      <c r="F634" s="33"/>
      <c r="G634" s="8"/>
      <c r="H634" s="64">
        <f t="shared" si="344"/>
        <v>0</v>
      </c>
      <c r="I634" s="38">
        <f t="shared" si="345"/>
        <v>1</v>
      </c>
      <c r="J634" s="36">
        <v>45846</v>
      </c>
      <c r="L634" s="6"/>
      <c r="M634" s="28"/>
      <c r="N634" s="22"/>
      <c r="O634" s="55">
        <f t="shared" si="346"/>
        <v>0</v>
      </c>
      <c r="P634" s="33"/>
      <c r="Q634" s="8"/>
      <c r="R634" s="64">
        <f t="shared" si="347"/>
        <v>0</v>
      </c>
      <c r="S634" s="38">
        <f t="shared" si="348"/>
        <v>0</v>
      </c>
    </row>
    <row r="635" spans="2:20" x14ac:dyDescent="0.15">
      <c r="B635" s="6" t="s">
        <v>7</v>
      </c>
      <c r="C635" s="28">
        <v>1</v>
      </c>
      <c r="D635" s="22"/>
      <c r="E635" s="55">
        <f t="shared" si="367"/>
        <v>1</v>
      </c>
      <c r="F635" s="33"/>
      <c r="G635" s="8">
        <v>1</v>
      </c>
      <c r="H635" s="64">
        <f t="shared" si="344"/>
        <v>1</v>
      </c>
      <c r="I635" s="38">
        <f t="shared" si="345"/>
        <v>2</v>
      </c>
      <c r="J635" s="36">
        <v>45847</v>
      </c>
      <c r="L635" s="6"/>
      <c r="M635" s="25"/>
      <c r="N635" s="19"/>
      <c r="O635" s="55">
        <f t="shared" ref="O635" si="368">SUM(M635:N635)</f>
        <v>0</v>
      </c>
      <c r="P635" s="31"/>
      <c r="Q635" s="7"/>
      <c r="R635" s="64">
        <f t="shared" ref="R635" si="369">SUM(P635:Q635)</f>
        <v>0</v>
      </c>
      <c r="S635" s="38">
        <f t="shared" ref="S635" si="370">O635+R635</f>
        <v>0</v>
      </c>
    </row>
    <row r="636" spans="2:20" ht="14.25" thickBot="1" x14ac:dyDescent="0.2">
      <c r="B636" s="6" t="s">
        <v>7</v>
      </c>
      <c r="C636" s="25"/>
      <c r="D636" s="19"/>
      <c r="E636" s="55">
        <f t="shared" si="367"/>
        <v>0</v>
      </c>
      <c r="F636" s="31"/>
      <c r="G636" s="7">
        <v>1</v>
      </c>
      <c r="H636" s="64">
        <f t="shared" si="344"/>
        <v>1</v>
      </c>
      <c r="I636" s="38">
        <f t="shared" si="345"/>
        <v>1</v>
      </c>
      <c r="J636" s="36">
        <v>45848</v>
      </c>
      <c r="L636" s="6" t="s">
        <v>166</v>
      </c>
      <c r="M636" s="25"/>
      <c r="N636" s="19"/>
      <c r="O636" s="55">
        <f t="shared" ref="O636" si="371">SUM(M636:N636)</f>
        <v>0</v>
      </c>
      <c r="P636" s="31"/>
      <c r="Q636" s="7"/>
      <c r="R636" s="64">
        <f t="shared" ref="R636" si="372">SUM(P636:Q636)</f>
        <v>0</v>
      </c>
      <c r="S636" s="38">
        <f t="shared" ref="S636" si="373">O636+R636</f>
        <v>0</v>
      </c>
      <c r="T636" t="s">
        <v>18</v>
      </c>
    </row>
    <row r="637" spans="2:20" ht="14.25" thickBot="1" x14ac:dyDescent="0.2">
      <c r="B637" s="4" t="s">
        <v>1</v>
      </c>
      <c r="C637" s="27">
        <f>SUM(C612:C636)</f>
        <v>38</v>
      </c>
      <c r="D637" s="21">
        <f>SUM(D612:D636)</f>
        <v>78</v>
      </c>
      <c r="E637" s="57">
        <f t="shared" si="367"/>
        <v>116</v>
      </c>
      <c r="F637" s="27">
        <f>SUM(F612:F636)</f>
        <v>11</v>
      </c>
      <c r="G637" s="21">
        <f>SUM(G612:G636)</f>
        <v>39</v>
      </c>
      <c r="H637" s="66">
        <f t="shared" si="344"/>
        <v>50</v>
      </c>
      <c r="I637" s="40">
        <f t="shared" si="345"/>
        <v>166</v>
      </c>
      <c r="L637" s="4" t="s">
        <v>1</v>
      </c>
      <c r="M637" s="27">
        <f>SUM(M612:M636)</f>
        <v>72</v>
      </c>
      <c r="N637" s="21">
        <f t="shared" ref="N637" si="374">SUM(N612:N636)</f>
        <v>127</v>
      </c>
      <c r="O637" s="57">
        <f t="shared" ref="O637" si="375">SUM(O612:O636)</f>
        <v>199</v>
      </c>
      <c r="P637" s="27">
        <f t="shared" ref="P637" si="376">SUM(P612:P636)</f>
        <v>43</v>
      </c>
      <c r="Q637" s="21">
        <f t="shared" ref="Q637" si="377">SUM(Q612:Q636)</f>
        <v>81</v>
      </c>
      <c r="R637" s="66">
        <f t="shared" ref="R637" si="378">SUM(R612:R636)</f>
        <v>124</v>
      </c>
      <c r="S637" s="40">
        <f t="shared" ref="S637" si="379">SUM(S612:S636)</f>
        <v>323</v>
      </c>
    </row>
    <row r="638" spans="2:20" ht="14.25" thickBot="1" x14ac:dyDescent="0.2">
      <c r="B638" s="3" t="s">
        <v>0</v>
      </c>
      <c r="C638" s="30">
        <f>+C611-C637</f>
        <v>21</v>
      </c>
      <c r="D638" s="2">
        <f>+D611-D637</f>
        <v>22</v>
      </c>
      <c r="E638" s="58">
        <f t="shared" si="367"/>
        <v>43</v>
      </c>
      <c r="F638" s="30">
        <f>+F611-F637</f>
        <v>15</v>
      </c>
      <c r="G638" s="2">
        <f>+G611-G637</f>
        <v>12</v>
      </c>
      <c r="H638" s="67">
        <f t="shared" si="344"/>
        <v>27</v>
      </c>
      <c r="I638" s="42">
        <f t="shared" si="345"/>
        <v>70</v>
      </c>
      <c r="L638" s="3" t="s">
        <v>0</v>
      </c>
      <c r="M638" s="30">
        <f>+M611-M637</f>
        <v>80</v>
      </c>
      <c r="N638" s="2">
        <f t="shared" ref="N638" si="380">+N611-N637</f>
        <v>143</v>
      </c>
      <c r="O638" s="58">
        <f t="shared" ref="O638" si="381">+O611-O637</f>
        <v>223</v>
      </c>
      <c r="P638" s="30">
        <f t="shared" ref="P638" si="382">+P611-P637</f>
        <v>41</v>
      </c>
      <c r="Q638" s="2">
        <f t="shared" ref="Q638" si="383">+Q611-Q637</f>
        <v>56</v>
      </c>
      <c r="R638" s="67">
        <f t="shared" ref="R638" si="384">+R611-R637</f>
        <v>97</v>
      </c>
      <c r="S638" s="42">
        <f t="shared" ref="S638" si="385">+S611-S637</f>
        <v>320</v>
      </c>
    </row>
    <row r="641" spans="2:20" ht="18.75" x14ac:dyDescent="0.2">
      <c r="B641" s="16" t="s">
        <v>21</v>
      </c>
      <c r="C641" s="15"/>
      <c r="D641" s="15"/>
      <c r="E641" s="15"/>
      <c r="F641" s="15"/>
      <c r="G641" s="15"/>
      <c r="H641" s="15"/>
      <c r="I641" s="15"/>
      <c r="L641" s="71" t="s">
        <v>22</v>
      </c>
      <c r="M641" s="72"/>
      <c r="N641" s="72"/>
      <c r="O641" s="72"/>
      <c r="P641" s="72"/>
      <c r="Q641" s="72"/>
      <c r="R641" s="72"/>
      <c r="S641" s="72"/>
    </row>
    <row r="642" spans="2:20" ht="18" thickBot="1" x14ac:dyDescent="0.25">
      <c r="B642" s="17" t="s">
        <v>23</v>
      </c>
      <c r="C642" s="15"/>
      <c r="D642" s="15"/>
      <c r="E642" s="15"/>
      <c r="F642" s="15"/>
      <c r="G642" s="15"/>
      <c r="H642" s="15"/>
      <c r="I642" s="15"/>
      <c r="L642" s="73" t="s">
        <v>23</v>
      </c>
      <c r="M642" s="72"/>
      <c r="N642" s="72"/>
      <c r="O642" s="72"/>
      <c r="P642" s="72"/>
      <c r="Q642" s="72"/>
      <c r="R642" s="72"/>
      <c r="S642" s="72"/>
    </row>
    <row r="643" spans="2:20" ht="14.25" thickBot="1" x14ac:dyDescent="0.2">
      <c r="B643" s="14"/>
      <c r="C643" s="113" t="s">
        <v>12</v>
      </c>
      <c r="D643" s="114"/>
      <c r="E643" s="115"/>
      <c r="F643" s="116" t="s">
        <v>11</v>
      </c>
      <c r="G643" s="117"/>
      <c r="H643" s="118"/>
      <c r="I643" s="13" t="s">
        <v>19</v>
      </c>
      <c r="L643" s="14"/>
      <c r="M643" s="113" t="s">
        <v>12</v>
      </c>
      <c r="N643" s="114"/>
      <c r="O643" s="115"/>
      <c r="P643" s="116" t="s">
        <v>11</v>
      </c>
      <c r="Q643" s="117"/>
      <c r="R643" s="118"/>
      <c r="S643" s="13" t="s">
        <v>19</v>
      </c>
    </row>
    <row r="644" spans="2:20" ht="14.25" thickBot="1" x14ac:dyDescent="0.2">
      <c r="B644" s="13"/>
      <c r="C644" s="23" t="s">
        <v>6</v>
      </c>
      <c r="D644" s="12" t="s">
        <v>5</v>
      </c>
      <c r="E644" s="50" t="s">
        <v>4</v>
      </c>
      <c r="F644" s="23" t="s">
        <v>6</v>
      </c>
      <c r="G644" s="12" t="s">
        <v>5</v>
      </c>
      <c r="H644" s="59" t="s">
        <v>4</v>
      </c>
      <c r="I644" s="49"/>
      <c r="L644" s="13"/>
      <c r="M644" s="23" t="s">
        <v>6</v>
      </c>
      <c r="N644" s="12" t="s">
        <v>5</v>
      </c>
      <c r="O644" s="50" t="s">
        <v>4</v>
      </c>
      <c r="P644" s="23" t="s">
        <v>6</v>
      </c>
      <c r="Q644" s="12" t="s">
        <v>5</v>
      </c>
      <c r="R644" s="59" t="s">
        <v>4</v>
      </c>
      <c r="S644" s="49"/>
    </row>
    <row r="645" spans="2:20" x14ac:dyDescent="0.15">
      <c r="B645" s="46" t="s">
        <v>0</v>
      </c>
      <c r="C645" s="47">
        <f t="shared" ref="C645:H645" si="386">C638</f>
        <v>21</v>
      </c>
      <c r="D645" s="48">
        <f t="shared" si="386"/>
        <v>22</v>
      </c>
      <c r="E645" s="68">
        <f t="shared" si="386"/>
        <v>43</v>
      </c>
      <c r="F645" s="47">
        <f t="shared" si="386"/>
        <v>15</v>
      </c>
      <c r="G645" s="48">
        <f t="shared" si="386"/>
        <v>12</v>
      </c>
      <c r="H645" s="69">
        <f t="shared" si="386"/>
        <v>27</v>
      </c>
      <c r="I645" s="41">
        <f>E645+H645</f>
        <v>70</v>
      </c>
      <c r="L645" s="46" t="s">
        <v>0</v>
      </c>
      <c r="M645" s="47">
        <f>M638</f>
        <v>80</v>
      </c>
      <c r="N645" s="48">
        <f t="shared" ref="N645:S645" si="387">N638</f>
        <v>143</v>
      </c>
      <c r="O645" s="68">
        <f t="shared" si="387"/>
        <v>223</v>
      </c>
      <c r="P645" s="47">
        <f t="shared" si="387"/>
        <v>41</v>
      </c>
      <c r="Q645" s="48">
        <f t="shared" si="387"/>
        <v>56</v>
      </c>
      <c r="R645" s="69">
        <f t="shared" si="387"/>
        <v>97</v>
      </c>
      <c r="S645" s="41">
        <f t="shared" si="387"/>
        <v>320</v>
      </c>
    </row>
    <row r="646" spans="2:20" x14ac:dyDescent="0.15">
      <c r="B646" s="11" t="s">
        <v>3</v>
      </c>
      <c r="C646" s="25"/>
      <c r="D646" s="19"/>
      <c r="E646" s="52">
        <f t="shared" ref="E646:E650" si="388">SUM(C646:D646)</f>
        <v>0</v>
      </c>
      <c r="F646" s="31">
        <v>10</v>
      </c>
      <c r="G646" s="7">
        <v>10</v>
      </c>
      <c r="H646" s="61">
        <f t="shared" ref="H646:H650" si="389">SUM(F646:G646)</f>
        <v>20</v>
      </c>
      <c r="I646" s="38">
        <f t="shared" ref="I646:I650" si="390">E646+H646</f>
        <v>20</v>
      </c>
      <c r="J646" s="78">
        <v>45852</v>
      </c>
      <c r="L646" s="11" t="s">
        <v>3</v>
      </c>
      <c r="M646" s="25"/>
      <c r="N646" s="19"/>
      <c r="O646" s="52">
        <f t="shared" ref="O646:O647" si="391">SUM(M646:N646)</f>
        <v>0</v>
      </c>
      <c r="P646" s="31"/>
      <c r="Q646" s="7"/>
      <c r="R646" s="61">
        <f t="shared" ref="R646:R647" si="392">SUM(P646:Q646)</f>
        <v>0</v>
      </c>
      <c r="S646" s="38">
        <f t="shared" ref="S646:S647" si="393">O646+R646</f>
        <v>0</v>
      </c>
    </row>
    <row r="647" spans="2:20" x14ac:dyDescent="0.15">
      <c r="B647" s="11" t="s">
        <v>3</v>
      </c>
      <c r="C647" s="25">
        <v>10</v>
      </c>
      <c r="D647" s="19">
        <v>20</v>
      </c>
      <c r="E647" s="52">
        <f t="shared" si="388"/>
        <v>30</v>
      </c>
      <c r="F647" s="31"/>
      <c r="G647" s="7">
        <v>5</v>
      </c>
      <c r="H647" s="61">
        <f t="shared" si="389"/>
        <v>5</v>
      </c>
      <c r="I647" s="38">
        <f t="shared" si="390"/>
        <v>35</v>
      </c>
      <c r="J647" s="78">
        <v>45857</v>
      </c>
      <c r="L647" s="11" t="s">
        <v>3</v>
      </c>
      <c r="M647" s="25"/>
      <c r="N647" s="19"/>
      <c r="O647" s="52">
        <f t="shared" si="391"/>
        <v>0</v>
      </c>
      <c r="P647" s="31"/>
      <c r="Q647" s="7"/>
      <c r="R647" s="61">
        <f t="shared" si="392"/>
        <v>0</v>
      </c>
      <c r="S647" s="38">
        <f t="shared" si="393"/>
        <v>0</v>
      </c>
    </row>
    <row r="648" spans="2:20" x14ac:dyDescent="0.15">
      <c r="B648" s="11" t="s">
        <v>69</v>
      </c>
      <c r="C648" s="25"/>
      <c r="D648" s="19"/>
      <c r="E648" s="52">
        <f t="shared" si="388"/>
        <v>0</v>
      </c>
      <c r="F648" s="31">
        <v>3</v>
      </c>
      <c r="G648" s="7"/>
      <c r="H648" s="61">
        <f t="shared" si="389"/>
        <v>3</v>
      </c>
      <c r="I648" s="38">
        <f t="shared" si="390"/>
        <v>3</v>
      </c>
      <c r="J648" s="78">
        <v>45861</v>
      </c>
      <c r="L648" s="11" t="s">
        <v>3</v>
      </c>
      <c r="M648" s="25"/>
      <c r="N648" s="19"/>
      <c r="O648" s="52">
        <f t="shared" ref="O648:O663" si="394">SUM(M648:N648)</f>
        <v>0</v>
      </c>
      <c r="P648" s="31"/>
      <c r="Q648" s="7"/>
      <c r="R648" s="61">
        <f t="shared" ref="R648:R674" si="395">SUM(P648:Q648)</f>
        <v>0</v>
      </c>
      <c r="S648" s="38">
        <f t="shared" ref="S648:S674" si="396">O648+R648</f>
        <v>0</v>
      </c>
    </row>
    <row r="649" spans="2:20" x14ac:dyDescent="0.15">
      <c r="B649" s="11" t="s">
        <v>3</v>
      </c>
      <c r="C649" s="25"/>
      <c r="D649" s="19"/>
      <c r="E649" s="52">
        <f t="shared" si="388"/>
        <v>0</v>
      </c>
      <c r="F649" s="31"/>
      <c r="G649" s="7">
        <v>10</v>
      </c>
      <c r="H649" s="61">
        <f t="shared" si="389"/>
        <v>10</v>
      </c>
      <c r="I649" s="38">
        <f t="shared" si="390"/>
        <v>10</v>
      </c>
      <c r="J649" s="78">
        <v>45869</v>
      </c>
      <c r="L649" s="11" t="s">
        <v>3</v>
      </c>
      <c r="M649" s="25"/>
      <c r="N649" s="19"/>
      <c r="O649" s="52">
        <f t="shared" si="394"/>
        <v>0</v>
      </c>
      <c r="P649" s="31"/>
      <c r="Q649" s="7"/>
      <c r="R649" s="61">
        <f t="shared" si="395"/>
        <v>0</v>
      </c>
      <c r="S649" s="38">
        <f t="shared" si="396"/>
        <v>0</v>
      </c>
    </row>
    <row r="650" spans="2:20" ht="14.25" thickBot="1" x14ac:dyDescent="0.2">
      <c r="B650" s="11" t="s">
        <v>3</v>
      </c>
      <c r="C650" s="25"/>
      <c r="D650" s="19">
        <v>10</v>
      </c>
      <c r="E650" s="52">
        <f t="shared" si="388"/>
        <v>10</v>
      </c>
      <c r="F650" s="31"/>
      <c r="G650" s="7">
        <v>10</v>
      </c>
      <c r="H650" s="61">
        <f t="shared" si="389"/>
        <v>10</v>
      </c>
      <c r="I650" s="38">
        <f t="shared" si="390"/>
        <v>20</v>
      </c>
      <c r="J650" s="78">
        <v>45875</v>
      </c>
      <c r="L650" s="11" t="s">
        <v>3</v>
      </c>
      <c r="M650" s="25"/>
      <c r="N650" s="19"/>
      <c r="O650" s="52">
        <f t="shared" si="394"/>
        <v>0</v>
      </c>
      <c r="P650" s="31"/>
      <c r="Q650" s="7"/>
      <c r="R650" s="61">
        <f t="shared" si="395"/>
        <v>0</v>
      </c>
      <c r="S650" s="38">
        <f t="shared" si="396"/>
        <v>0</v>
      </c>
    </row>
    <row r="651" spans="2:20" ht="14.25" thickBot="1" x14ac:dyDescent="0.2">
      <c r="B651" s="43" t="s">
        <v>2</v>
      </c>
      <c r="C651" s="44">
        <f>SUM(C645:C650)</f>
        <v>31</v>
      </c>
      <c r="D651" s="45">
        <f>SUM(D645:D650)</f>
        <v>52</v>
      </c>
      <c r="E651" s="83">
        <f t="shared" ref="E651" si="397">SUM(C651:D651)</f>
        <v>83</v>
      </c>
      <c r="F651" s="44">
        <f>SUM(F645:F650)</f>
        <v>28</v>
      </c>
      <c r="G651" s="45">
        <f>SUM(G645:G650)</f>
        <v>47</v>
      </c>
      <c r="H651" s="84">
        <f t="shared" ref="H651:H678" si="398">SUM(F651:G651)</f>
        <v>75</v>
      </c>
      <c r="I651" s="42">
        <f t="shared" ref="I651:I678" si="399">E651+H651</f>
        <v>158</v>
      </c>
      <c r="L651" s="43" t="s">
        <v>2</v>
      </c>
      <c r="M651" s="44">
        <f>SUM(M645:M650)</f>
        <v>80</v>
      </c>
      <c r="N651" s="45">
        <f t="shared" ref="N651" si="400">SUM(N645:N650)</f>
        <v>143</v>
      </c>
      <c r="O651" s="83">
        <f t="shared" ref="O651" si="401">SUM(O645:O650)</f>
        <v>223</v>
      </c>
      <c r="P651" s="44">
        <f t="shared" ref="P651" si="402">SUM(P645:P650)</f>
        <v>41</v>
      </c>
      <c r="Q651" s="45">
        <f t="shared" ref="Q651" si="403">SUM(Q645:Q650)</f>
        <v>56</v>
      </c>
      <c r="R651" s="84">
        <f t="shared" ref="R651" si="404">SUM(R645:R650)</f>
        <v>97</v>
      </c>
      <c r="S651" s="42">
        <f t="shared" ref="S651" si="405">SUM(S645:S650)</f>
        <v>320</v>
      </c>
    </row>
    <row r="652" spans="2:20" x14ac:dyDescent="0.15">
      <c r="B652" s="6" t="s">
        <v>7</v>
      </c>
      <c r="C652" s="25"/>
      <c r="D652" s="19"/>
      <c r="E652" s="55">
        <f t="shared" ref="E652:E675" si="406">SUM(C652:D652)</f>
        <v>0</v>
      </c>
      <c r="F652" s="31"/>
      <c r="G652" s="7">
        <v>3</v>
      </c>
      <c r="H652" s="64">
        <f t="shared" si="398"/>
        <v>3</v>
      </c>
      <c r="I652" s="38">
        <f t="shared" si="399"/>
        <v>3</v>
      </c>
      <c r="J652" s="78">
        <v>45849</v>
      </c>
      <c r="L652" s="6" t="s">
        <v>32</v>
      </c>
      <c r="M652" s="25"/>
      <c r="N652" s="19"/>
      <c r="O652" s="55">
        <f t="shared" si="394"/>
        <v>0</v>
      </c>
      <c r="P652" s="31"/>
      <c r="Q652" s="7">
        <v>10</v>
      </c>
      <c r="R652" s="64">
        <f t="shared" si="395"/>
        <v>10</v>
      </c>
      <c r="S652" s="38">
        <f t="shared" si="396"/>
        <v>10</v>
      </c>
      <c r="T652" s="78">
        <v>45869</v>
      </c>
    </row>
    <row r="653" spans="2:20" x14ac:dyDescent="0.15">
      <c r="B653" s="6" t="s">
        <v>64</v>
      </c>
      <c r="C653" s="25"/>
      <c r="D653" s="19">
        <v>1</v>
      </c>
      <c r="E653" s="55">
        <f t="shared" si="406"/>
        <v>1</v>
      </c>
      <c r="F653" s="31"/>
      <c r="G653" s="7"/>
      <c r="H653" s="64">
        <f t="shared" si="398"/>
        <v>0</v>
      </c>
      <c r="I653" s="38">
        <f t="shared" si="399"/>
        <v>1</v>
      </c>
      <c r="J653" s="78">
        <v>45854</v>
      </c>
      <c r="L653" s="6" t="s">
        <v>32</v>
      </c>
      <c r="M653" s="25"/>
      <c r="N653" s="19">
        <v>10</v>
      </c>
      <c r="O653" s="55">
        <f t="shared" si="394"/>
        <v>10</v>
      </c>
      <c r="P653" s="31"/>
      <c r="Q653" s="7">
        <v>10</v>
      </c>
      <c r="R653" s="64">
        <f t="shared" si="395"/>
        <v>10</v>
      </c>
      <c r="S653" s="38">
        <f t="shared" si="396"/>
        <v>20</v>
      </c>
      <c r="T653" s="78">
        <v>45875</v>
      </c>
    </row>
    <row r="654" spans="2:20" x14ac:dyDescent="0.15">
      <c r="B654" s="6" t="s">
        <v>7</v>
      </c>
      <c r="C654" s="25">
        <v>1</v>
      </c>
      <c r="D654" s="19">
        <f>7+1</f>
        <v>8</v>
      </c>
      <c r="E654" s="55">
        <f t="shared" si="406"/>
        <v>9</v>
      </c>
      <c r="F654" s="31">
        <v>1</v>
      </c>
      <c r="G654" s="7">
        <f>4+2</f>
        <v>6</v>
      </c>
      <c r="H654" s="64">
        <f t="shared" si="398"/>
        <v>7</v>
      </c>
      <c r="I654" s="38">
        <f t="shared" si="399"/>
        <v>16</v>
      </c>
      <c r="J654" s="78">
        <v>45852</v>
      </c>
      <c r="L654" s="6"/>
      <c r="M654" s="25"/>
      <c r="N654" s="19"/>
      <c r="O654" s="55">
        <f t="shared" si="394"/>
        <v>0</v>
      </c>
      <c r="P654" s="31"/>
      <c r="Q654" s="7"/>
      <c r="R654" s="64">
        <f t="shared" ref="R654:R663" si="407">SUM(P654:Q654)</f>
        <v>0</v>
      </c>
      <c r="S654" s="38">
        <f t="shared" ref="S654:S663" si="408">O654+R654</f>
        <v>0</v>
      </c>
    </row>
    <row r="655" spans="2:20" x14ac:dyDescent="0.15">
      <c r="B655" s="6" t="s">
        <v>65</v>
      </c>
      <c r="C655" s="25"/>
      <c r="D655" s="19"/>
      <c r="E655" s="55">
        <f t="shared" si="406"/>
        <v>0</v>
      </c>
      <c r="F655" s="31"/>
      <c r="G655" s="7">
        <v>1</v>
      </c>
      <c r="H655" s="64">
        <f t="shared" si="398"/>
        <v>1</v>
      </c>
      <c r="I655" s="38">
        <f t="shared" si="399"/>
        <v>1</v>
      </c>
      <c r="J655" s="78">
        <v>45855</v>
      </c>
      <c r="L655" s="6"/>
      <c r="M655" s="25"/>
      <c r="N655" s="19"/>
      <c r="O655" s="55">
        <f t="shared" si="394"/>
        <v>0</v>
      </c>
      <c r="P655" s="31"/>
      <c r="Q655" s="7"/>
      <c r="R655" s="64">
        <f t="shared" si="407"/>
        <v>0</v>
      </c>
      <c r="S655" s="38">
        <f t="shared" si="408"/>
        <v>0</v>
      </c>
    </row>
    <row r="656" spans="2:20" x14ac:dyDescent="0.15">
      <c r="B656" s="6" t="s">
        <v>169</v>
      </c>
      <c r="C656" s="25"/>
      <c r="D656" s="19"/>
      <c r="E656" s="55">
        <f t="shared" si="406"/>
        <v>0</v>
      </c>
      <c r="F656" s="31"/>
      <c r="G656" s="7">
        <v>1</v>
      </c>
      <c r="H656" s="64">
        <f t="shared" si="398"/>
        <v>1</v>
      </c>
      <c r="I656" s="38">
        <f t="shared" si="399"/>
        <v>1</v>
      </c>
      <c r="J656" s="78">
        <v>45855</v>
      </c>
      <c r="L656" s="6"/>
      <c r="M656" s="25"/>
      <c r="N656" s="19"/>
      <c r="O656" s="55">
        <f t="shared" si="394"/>
        <v>0</v>
      </c>
      <c r="P656" s="31"/>
      <c r="Q656" s="7"/>
      <c r="R656" s="64">
        <f t="shared" si="407"/>
        <v>0</v>
      </c>
      <c r="S656" s="38">
        <f t="shared" si="408"/>
        <v>0</v>
      </c>
    </row>
    <row r="657" spans="2:19" x14ac:dyDescent="0.15">
      <c r="B657" s="6" t="s">
        <v>66</v>
      </c>
      <c r="C657" s="25"/>
      <c r="D657" s="19">
        <v>1</v>
      </c>
      <c r="E657" s="55">
        <f t="shared" si="406"/>
        <v>1</v>
      </c>
      <c r="F657" s="31"/>
      <c r="G657" s="7">
        <v>1</v>
      </c>
      <c r="H657" s="64">
        <f t="shared" si="398"/>
        <v>1</v>
      </c>
      <c r="I657" s="38">
        <f t="shared" si="399"/>
        <v>2</v>
      </c>
      <c r="J657" s="78">
        <v>45856</v>
      </c>
      <c r="L657" s="6"/>
      <c r="M657" s="25"/>
      <c r="N657" s="19"/>
      <c r="O657" s="55">
        <f t="shared" si="394"/>
        <v>0</v>
      </c>
      <c r="P657" s="31"/>
      <c r="Q657" s="7"/>
      <c r="R657" s="64">
        <f t="shared" si="407"/>
        <v>0</v>
      </c>
      <c r="S657" s="38">
        <f t="shared" si="408"/>
        <v>0</v>
      </c>
    </row>
    <row r="658" spans="2:19" x14ac:dyDescent="0.15">
      <c r="B658" s="6" t="s">
        <v>26</v>
      </c>
      <c r="C658" s="25">
        <v>2</v>
      </c>
      <c r="D658" s="19">
        <v>3</v>
      </c>
      <c r="E658" s="55">
        <f t="shared" si="406"/>
        <v>5</v>
      </c>
      <c r="F658" s="31"/>
      <c r="G658" s="7">
        <v>1</v>
      </c>
      <c r="H658" s="64">
        <f t="shared" si="398"/>
        <v>1</v>
      </c>
      <c r="I658" s="38">
        <f t="shared" si="399"/>
        <v>6</v>
      </c>
      <c r="J658" s="78">
        <v>45855</v>
      </c>
      <c r="L658" s="6"/>
      <c r="M658" s="25"/>
      <c r="N658" s="19"/>
      <c r="O658" s="55">
        <f t="shared" si="394"/>
        <v>0</v>
      </c>
      <c r="P658" s="31"/>
      <c r="Q658" s="7"/>
      <c r="R658" s="64">
        <f t="shared" si="407"/>
        <v>0</v>
      </c>
      <c r="S658" s="38">
        <f t="shared" si="408"/>
        <v>0</v>
      </c>
    </row>
    <row r="659" spans="2:19" x14ac:dyDescent="0.15">
      <c r="B659" s="6" t="s">
        <v>7</v>
      </c>
      <c r="C659" s="25">
        <v>1</v>
      </c>
      <c r="D659" s="19">
        <f>2+1</f>
        <v>3</v>
      </c>
      <c r="E659" s="55">
        <f t="shared" si="406"/>
        <v>4</v>
      </c>
      <c r="F659" s="31"/>
      <c r="G659" s="7"/>
      <c r="H659" s="64">
        <f t="shared" si="398"/>
        <v>0</v>
      </c>
      <c r="I659" s="38">
        <f t="shared" si="399"/>
        <v>4</v>
      </c>
      <c r="J659" s="78">
        <v>45856</v>
      </c>
      <c r="L659" s="6"/>
      <c r="M659" s="25"/>
      <c r="N659" s="19"/>
      <c r="O659" s="55">
        <f t="shared" si="394"/>
        <v>0</v>
      </c>
      <c r="P659" s="31"/>
      <c r="Q659" s="7"/>
      <c r="R659" s="64">
        <f t="shared" si="407"/>
        <v>0</v>
      </c>
      <c r="S659" s="38">
        <f t="shared" si="408"/>
        <v>0</v>
      </c>
    </row>
    <row r="660" spans="2:19" x14ac:dyDescent="0.15">
      <c r="B660" s="6" t="s">
        <v>7</v>
      </c>
      <c r="C660" s="25"/>
      <c r="D660" s="19">
        <v>1</v>
      </c>
      <c r="E660" s="55">
        <f t="shared" si="406"/>
        <v>1</v>
      </c>
      <c r="F660" s="31"/>
      <c r="G660" s="7">
        <v>1</v>
      </c>
      <c r="H660" s="64">
        <f t="shared" si="398"/>
        <v>1</v>
      </c>
      <c r="I660" s="38">
        <f t="shared" si="399"/>
        <v>2</v>
      </c>
      <c r="J660" s="78">
        <v>45857</v>
      </c>
      <c r="L660" s="6"/>
      <c r="M660" s="25"/>
      <c r="N660" s="19"/>
      <c r="O660" s="55">
        <f t="shared" si="394"/>
        <v>0</v>
      </c>
      <c r="P660" s="31"/>
      <c r="Q660" s="7"/>
      <c r="R660" s="64">
        <f t="shared" si="407"/>
        <v>0</v>
      </c>
      <c r="S660" s="38">
        <f t="shared" si="408"/>
        <v>0</v>
      </c>
    </row>
    <row r="661" spans="2:19" x14ac:dyDescent="0.15">
      <c r="B661" s="6" t="s">
        <v>7</v>
      </c>
      <c r="C661" s="25"/>
      <c r="D661" s="19">
        <f>2+1+2</f>
        <v>5</v>
      </c>
      <c r="E661" s="55">
        <f t="shared" si="406"/>
        <v>5</v>
      </c>
      <c r="F661" s="31">
        <v>1</v>
      </c>
      <c r="G661" s="7">
        <f>1+1</f>
        <v>2</v>
      </c>
      <c r="H661" s="64">
        <f t="shared" si="398"/>
        <v>3</v>
      </c>
      <c r="I661" s="38">
        <f t="shared" si="399"/>
        <v>8</v>
      </c>
      <c r="J661" s="78">
        <v>45860</v>
      </c>
      <c r="L661" s="6"/>
      <c r="M661" s="25"/>
      <c r="N661" s="19"/>
      <c r="O661" s="55">
        <f t="shared" si="394"/>
        <v>0</v>
      </c>
      <c r="P661" s="31"/>
      <c r="Q661" s="7"/>
      <c r="R661" s="64">
        <f t="shared" si="407"/>
        <v>0</v>
      </c>
      <c r="S661" s="38">
        <f t="shared" si="408"/>
        <v>0</v>
      </c>
    </row>
    <row r="662" spans="2:19" x14ac:dyDescent="0.15">
      <c r="B662" s="6" t="s">
        <v>7</v>
      </c>
      <c r="C662" s="25"/>
      <c r="D662" s="19">
        <f>1+2</f>
        <v>3</v>
      </c>
      <c r="E662" s="55">
        <f t="shared" si="406"/>
        <v>3</v>
      </c>
      <c r="F662" s="31"/>
      <c r="G662" s="7">
        <v>1</v>
      </c>
      <c r="H662" s="64">
        <f t="shared" si="398"/>
        <v>1</v>
      </c>
      <c r="I662" s="38">
        <f t="shared" si="399"/>
        <v>4</v>
      </c>
      <c r="J662" s="78">
        <v>45861</v>
      </c>
      <c r="L662" s="6"/>
      <c r="M662" s="25"/>
      <c r="N662" s="19"/>
      <c r="O662" s="55">
        <f t="shared" si="394"/>
        <v>0</v>
      </c>
      <c r="P662" s="31"/>
      <c r="Q662" s="7"/>
      <c r="R662" s="64">
        <f t="shared" si="407"/>
        <v>0</v>
      </c>
      <c r="S662" s="38">
        <f t="shared" si="408"/>
        <v>0</v>
      </c>
    </row>
    <row r="663" spans="2:19" x14ac:dyDescent="0.15">
      <c r="B663" s="6" t="s">
        <v>67</v>
      </c>
      <c r="C663" s="25"/>
      <c r="D663" s="19"/>
      <c r="E663" s="55">
        <f t="shared" si="406"/>
        <v>0</v>
      </c>
      <c r="F663" s="31"/>
      <c r="G663" s="7">
        <v>1</v>
      </c>
      <c r="H663" s="64">
        <f t="shared" si="398"/>
        <v>1</v>
      </c>
      <c r="I663" s="38">
        <f t="shared" si="399"/>
        <v>1</v>
      </c>
      <c r="J663" s="78">
        <v>45863</v>
      </c>
      <c r="L663" s="6"/>
      <c r="M663" s="25"/>
      <c r="N663" s="19"/>
      <c r="O663" s="55">
        <f t="shared" si="394"/>
        <v>0</v>
      </c>
      <c r="P663" s="31"/>
      <c r="Q663" s="7"/>
      <c r="R663" s="64">
        <f t="shared" si="407"/>
        <v>0</v>
      </c>
      <c r="S663" s="38">
        <f t="shared" si="408"/>
        <v>0</v>
      </c>
    </row>
    <row r="664" spans="2:19" x14ac:dyDescent="0.15">
      <c r="B664" s="6" t="s">
        <v>7</v>
      </c>
      <c r="C664" s="25">
        <v>1</v>
      </c>
      <c r="D664" s="19">
        <v>2</v>
      </c>
      <c r="E664" s="55">
        <f t="shared" si="406"/>
        <v>3</v>
      </c>
      <c r="F664" s="31"/>
      <c r="G664" s="7"/>
      <c r="H664" s="64">
        <f t="shared" si="398"/>
        <v>0</v>
      </c>
      <c r="I664" s="38">
        <f t="shared" si="399"/>
        <v>3</v>
      </c>
      <c r="J664" s="78">
        <v>45862</v>
      </c>
      <c r="L664" s="6"/>
      <c r="M664" s="25"/>
      <c r="N664" s="19"/>
      <c r="O664" s="55">
        <f t="shared" ref="O664:O674" si="409">SUM(M664:N664)</f>
        <v>0</v>
      </c>
      <c r="P664" s="31"/>
      <c r="Q664" s="7"/>
      <c r="R664" s="64">
        <f t="shared" si="395"/>
        <v>0</v>
      </c>
      <c r="S664" s="38">
        <f t="shared" si="396"/>
        <v>0</v>
      </c>
    </row>
    <row r="665" spans="2:19" x14ac:dyDescent="0.15">
      <c r="B665" s="6" t="s">
        <v>7</v>
      </c>
      <c r="C665" s="28"/>
      <c r="D665" s="22"/>
      <c r="E665" s="55">
        <f t="shared" si="406"/>
        <v>0</v>
      </c>
      <c r="F665" s="33">
        <v>-1</v>
      </c>
      <c r="G665" s="8">
        <v>1</v>
      </c>
      <c r="H665" s="64">
        <f t="shared" si="398"/>
        <v>0</v>
      </c>
      <c r="I665" s="38">
        <f t="shared" si="399"/>
        <v>0</v>
      </c>
      <c r="J665" s="78">
        <v>45863</v>
      </c>
      <c r="L665" s="6"/>
      <c r="M665" s="28"/>
      <c r="N665" s="22"/>
      <c r="O665" s="55">
        <f t="shared" si="409"/>
        <v>0</v>
      </c>
      <c r="P665" s="33"/>
      <c r="Q665" s="8"/>
      <c r="R665" s="64">
        <f t="shared" si="395"/>
        <v>0</v>
      </c>
      <c r="S665" s="38">
        <f t="shared" si="396"/>
        <v>0</v>
      </c>
    </row>
    <row r="666" spans="2:19" x14ac:dyDescent="0.15">
      <c r="B666" s="6" t="s">
        <v>7</v>
      </c>
      <c r="C666" s="28">
        <v>1</v>
      </c>
      <c r="D666" s="22">
        <f>1+1</f>
        <v>2</v>
      </c>
      <c r="E666" s="55">
        <f t="shared" si="406"/>
        <v>3</v>
      </c>
      <c r="F666" s="33">
        <f>1+1</f>
        <v>2</v>
      </c>
      <c r="G666" s="8">
        <f>1+1</f>
        <v>2</v>
      </c>
      <c r="H666" s="64">
        <f t="shared" si="398"/>
        <v>4</v>
      </c>
      <c r="I666" s="38">
        <f t="shared" si="399"/>
        <v>7</v>
      </c>
      <c r="J666" s="78">
        <v>45866</v>
      </c>
      <c r="L666" s="6"/>
      <c r="M666" s="28"/>
      <c r="N666" s="22"/>
      <c r="O666" s="55">
        <f t="shared" si="409"/>
        <v>0</v>
      </c>
      <c r="P666" s="33"/>
      <c r="Q666" s="8"/>
      <c r="R666" s="64">
        <f t="shared" si="395"/>
        <v>0</v>
      </c>
      <c r="S666" s="38">
        <f t="shared" si="396"/>
        <v>0</v>
      </c>
    </row>
    <row r="667" spans="2:19" x14ac:dyDescent="0.15">
      <c r="B667" s="6" t="s">
        <v>68</v>
      </c>
      <c r="C667" s="25"/>
      <c r="D667" s="19">
        <v>2</v>
      </c>
      <c r="E667" s="55">
        <f t="shared" si="406"/>
        <v>2</v>
      </c>
      <c r="F667" s="31"/>
      <c r="G667" s="7">
        <v>1</v>
      </c>
      <c r="H667" s="64">
        <f t="shared" si="398"/>
        <v>1</v>
      </c>
      <c r="I667" s="38">
        <f t="shared" si="399"/>
        <v>3</v>
      </c>
      <c r="J667" s="78">
        <v>45870</v>
      </c>
      <c r="L667" s="6"/>
      <c r="M667" s="28"/>
      <c r="N667" s="22"/>
      <c r="O667" s="55">
        <f t="shared" si="409"/>
        <v>0</v>
      </c>
      <c r="P667" s="33"/>
      <c r="Q667" s="8"/>
      <c r="R667" s="64">
        <f t="shared" si="395"/>
        <v>0</v>
      </c>
      <c r="S667" s="38">
        <f t="shared" si="396"/>
        <v>0</v>
      </c>
    </row>
    <row r="668" spans="2:19" x14ac:dyDescent="0.15">
      <c r="B668" s="6" t="s">
        <v>7</v>
      </c>
      <c r="C668" s="25"/>
      <c r="D668" s="19"/>
      <c r="E668" s="55">
        <f t="shared" si="406"/>
        <v>0</v>
      </c>
      <c r="F668" s="31"/>
      <c r="G668" s="7">
        <v>1</v>
      </c>
      <c r="H668" s="64">
        <f t="shared" si="398"/>
        <v>1</v>
      </c>
      <c r="I668" s="38">
        <f t="shared" si="399"/>
        <v>1</v>
      </c>
      <c r="J668" s="78">
        <v>45868</v>
      </c>
      <c r="L668" s="6"/>
      <c r="M668" s="28"/>
      <c r="N668" s="22"/>
      <c r="O668" s="55">
        <f t="shared" si="409"/>
        <v>0</v>
      </c>
      <c r="P668" s="33"/>
      <c r="Q668" s="8"/>
      <c r="R668" s="64">
        <f t="shared" si="395"/>
        <v>0</v>
      </c>
      <c r="S668" s="38">
        <f t="shared" si="396"/>
        <v>0</v>
      </c>
    </row>
    <row r="669" spans="2:19" x14ac:dyDescent="0.15">
      <c r="B669" s="6" t="s">
        <v>7</v>
      </c>
      <c r="C669" s="25"/>
      <c r="D669" s="19">
        <v>1</v>
      </c>
      <c r="E669" s="55">
        <f t="shared" si="406"/>
        <v>1</v>
      </c>
      <c r="F669" s="31">
        <v>1</v>
      </c>
      <c r="G669" s="7">
        <v>1</v>
      </c>
      <c r="H669" s="64">
        <f t="shared" si="398"/>
        <v>2</v>
      </c>
      <c r="I669" s="38">
        <f t="shared" si="399"/>
        <v>3</v>
      </c>
      <c r="J669" s="78">
        <v>45869</v>
      </c>
      <c r="L669" s="6"/>
      <c r="M669" s="28"/>
      <c r="N669" s="22"/>
      <c r="O669" s="55">
        <f t="shared" si="409"/>
        <v>0</v>
      </c>
      <c r="P669" s="33"/>
      <c r="Q669" s="8"/>
      <c r="R669" s="64">
        <f t="shared" si="395"/>
        <v>0</v>
      </c>
      <c r="S669" s="38">
        <f t="shared" si="396"/>
        <v>0</v>
      </c>
    </row>
    <row r="670" spans="2:19" x14ac:dyDescent="0.15">
      <c r="B670" s="6" t="s">
        <v>70</v>
      </c>
      <c r="C670" s="25"/>
      <c r="D670" s="19">
        <v>1</v>
      </c>
      <c r="E670" s="55">
        <f t="shared" si="406"/>
        <v>1</v>
      </c>
      <c r="F670" s="31"/>
      <c r="G670" s="7">
        <v>1</v>
      </c>
      <c r="H670" s="64">
        <f t="shared" si="398"/>
        <v>1</v>
      </c>
      <c r="I670" s="38">
        <f t="shared" si="399"/>
        <v>2</v>
      </c>
      <c r="J670" s="78">
        <v>45873</v>
      </c>
      <c r="L670" s="6"/>
      <c r="M670" s="28"/>
      <c r="N670" s="22"/>
      <c r="O670" s="55">
        <f t="shared" si="409"/>
        <v>0</v>
      </c>
      <c r="P670" s="33"/>
      <c r="Q670" s="8"/>
      <c r="R670" s="64">
        <f t="shared" si="395"/>
        <v>0</v>
      </c>
      <c r="S670" s="38">
        <f t="shared" si="396"/>
        <v>0</v>
      </c>
    </row>
    <row r="671" spans="2:19" x14ac:dyDescent="0.15">
      <c r="B671" s="6" t="s">
        <v>71</v>
      </c>
      <c r="C671" s="25">
        <v>2</v>
      </c>
      <c r="D671" s="19">
        <v>1</v>
      </c>
      <c r="E671" s="55">
        <f t="shared" si="406"/>
        <v>3</v>
      </c>
      <c r="F671" s="31"/>
      <c r="G671" s="7">
        <v>1</v>
      </c>
      <c r="H671" s="64">
        <f t="shared" si="398"/>
        <v>1</v>
      </c>
      <c r="I671" s="38">
        <f t="shared" si="399"/>
        <v>4</v>
      </c>
      <c r="J671" s="78">
        <v>45875</v>
      </c>
      <c r="L671" s="6"/>
      <c r="M671" s="28"/>
      <c r="N671" s="22"/>
      <c r="O671" s="55">
        <f t="shared" si="409"/>
        <v>0</v>
      </c>
      <c r="P671" s="33"/>
      <c r="Q671" s="8"/>
      <c r="R671" s="64">
        <f t="shared" si="395"/>
        <v>0</v>
      </c>
      <c r="S671" s="38">
        <f t="shared" si="396"/>
        <v>0</v>
      </c>
    </row>
    <row r="672" spans="2:19" x14ac:dyDescent="0.15">
      <c r="B672" s="6" t="s">
        <v>7</v>
      </c>
      <c r="C672" s="25">
        <v>1</v>
      </c>
      <c r="D672" s="19">
        <f>2+1</f>
        <v>3</v>
      </c>
      <c r="E672" s="55">
        <f t="shared" si="406"/>
        <v>4</v>
      </c>
      <c r="F672" s="31"/>
      <c r="G672" s="7">
        <f>2+1</f>
        <v>3</v>
      </c>
      <c r="H672" s="64">
        <f t="shared" si="398"/>
        <v>3</v>
      </c>
      <c r="I672" s="38">
        <f t="shared" si="399"/>
        <v>7</v>
      </c>
      <c r="J672" s="78">
        <v>45873</v>
      </c>
      <c r="L672" s="6"/>
      <c r="M672" s="28"/>
      <c r="N672" s="22"/>
      <c r="O672" s="55">
        <f t="shared" si="409"/>
        <v>0</v>
      </c>
      <c r="P672" s="33"/>
      <c r="Q672" s="8"/>
      <c r="R672" s="64">
        <f t="shared" si="395"/>
        <v>0</v>
      </c>
      <c r="S672" s="38">
        <f t="shared" si="396"/>
        <v>0</v>
      </c>
    </row>
    <row r="673" spans="2:19" x14ac:dyDescent="0.15">
      <c r="B673" s="6" t="s">
        <v>73</v>
      </c>
      <c r="C673" s="25"/>
      <c r="D673" s="19">
        <v>1</v>
      </c>
      <c r="E673" s="55">
        <f t="shared" si="406"/>
        <v>1</v>
      </c>
      <c r="F673" s="31"/>
      <c r="G673" s="7"/>
      <c r="H673" s="64">
        <f t="shared" si="398"/>
        <v>0</v>
      </c>
      <c r="I673" s="38">
        <f t="shared" si="399"/>
        <v>1</v>
      </c>
      <c r="J673" s="78">
        <v>45876</v>
      </c>
      <c r="L673" s="6"/>
      <c r="M673" s="28"/>
      <c r="N673" s="22"/>
      <c r="O673" s="55">
        <f t="shared" si="409"/>
        <v>0</v>
      </c>
      <c r="P673" s="33"/>
      <c r="Q673" s="8"/>
      <c r="R673" s="64">
        <f t="shared" si="395"/>
        <v>0</v>
      </c>
      <c r="S673" s="38">
        <f t="shared" si="396"/>
        <v>0</v>
      </c>
    </row>
    <row r="674" spans="2:19" x14ac:dyDescent="0.15">
      <c r="B674" s="6" t="s">
        <v>7</v>
      </c>
      <c r="C674" s="25"/>
      <c r="D674" s="19">
        <v>1</v>
      </c>
      <c r="E674" s="55">
        <f t="shared" si="406"/>
        <v>1</v>
      </c>
      <c r="F674" s="31"/>
      <c r="G674" s="7">
        <v>1</v>
      </c>
      <c r="H674" s="64">
        <f t="shared" si="398"/>
        <v>1</v>
      </c>
      <c r="I674" s="38">
        <f t="shared" si="399"/>
        <v>2</v>
      </c>
      <c r="J674" s="78">
        <v>45874</v>
      </c>
      <c r="L674" s="6"/>
      <c r="M674" s="28"/>
      <c r="N674" s="22"/>
      <c r="O674" s="55">
        <f t="shared" si="409"/>
        <v>0</v>
      </c>
      <c r="P674" s="33"/>
      <c r="Q674" s="8"/>
      <c r="R674" s="64">
        <f t="shared" si="395"/>
        <v>0</v>
      </c>
      <c r="S674" s="38">
        <f t="shared" si="396"/>
        <v>0</v>
      </c>
    </row>
    <row r="675" spans="2:19" x14ac:dyDescent="0.15">
      <c r="B675" s="6" t="s">
        <v>7</v>
      </c>
      <c r="C675" s="28"/>
      <c r="D675" s="22">
        <v>1</v>
      </c>
      <c r="E675" s="55">
        <f t="shared" si="406"/>
        <v>1</v>
      </c>
      <c r="F675" s="33"/>
      <c r="G675" s="8">
        <f>1+1</f>
        <v>2</v>
      </c>
      <c r="H675" s="64">
        <f t="shared" si="398"/>
        <v>2</v>
      </c>
      <c r="I675" s="38">
        <f t="shared" si="399"/>
        <v>3</v>
      </c>
      <c r="J675" s="78">
        <v>45875</v>
      </c>
      <c r="L675" s="6"/>
      <c r="M675" s="28"/>
      <c r="N675" s="22"/>
      <c r="O675" s="55">
        <f t="shared" ref="O675:O676" si="410">SUM(M675:N675)</f>
        <v>0</v>
      </c>
      <c r="P675" s="33"/>
      <c r="Q675" s="8"/>
      <c r="R675" s="64">
        <f t="shared" ref="R675:R676" si="411">SUM(P675:Q675)</f>
        <v>0</v>
      </c>
      <c r="S675" s="38">
        <f t="shared" ref="S675:S676" si="412">O675+R675</f>
        <v>0</v>
      </c>
    </row>
    <row r="676" spans="2:19" ht="14.25" thickBot="1" x14ac:dyDescent="0.2">
      <c r="B676" s="6" t="s">
        <v>7</v>
      </c>
      <c r="C676" s="25"/>
      <c r="D676" s="19"/>
      <c r="E676" s="55">
        <f t="shared" ref="E676:E678" si="413">SUM(C676:D676)</f>
        <v>0</v>
      </c>
      <c r="F676" s="31"/>
      <c r="G676" s="7">
        <f>1+1</f>
        <v>2</v>
      </c>
      <c r="H676" s="64">
        <f t="shared" si="398"/>
        <v>2</v>
      </c>
      <c r="I676" s="38">
        <f t="shared" si="399"/>
        <v>2</v>
      </c>
      <c r="J676" s="36">
        <v>45876</v>
      </c>
      <c r="L676" s="6"/>
      <c r="M676" s="28"/>
      <c r="N676" s="22"/>
      <c r="O676" s="55">
        <f t="shared" si="410"/>
        <v>0</v>
      </c>
      <c r="P676" s="33"/>
      <c r="Q676" s="8"/>
      <c r="R676" s="64">
        <f t="shared" si="411"/>
        <v>0</v>
      </c>
      <c r="S676" s="38">
        <f t="shared" si="412"/>
        <v>0</v>
      </c>
    </row>
    <row r="677" spans="2:19" ht="14.25" thickBot="1" x14ac:dyDescent="0.2">
      <c r="B677" s="4" t="s">
        <v>1</v>
      </c>
      <c r="C677" s="27">
        <f>SUM(C652:C676)</f>
        <v>9</v>
      </c>
      <c r="D677" s="21">
        <f>SUM(D652:D676)</f>
        <v>40</v>
      </c>
      <c r="E677" s="57">
        <f t="shared" si="413"/>
        <v>49</v>
      </c>
      <c r="F677" s="27">
        <f>SUM(F652:F676)</f>
        <v>4</v>
      </c>
      <c r="G677" s="21">
        <f>SUM(G652:G676)</f>
        <v>34</v>
      </c>
      <c r="H677" s="66">
        <f t="shared" si="398"/>
        <v>38</v>
      </c>
      <c r="I677" s="40">
        <f t="shared" si="399"/>
        <v>87</v>
      </c>
      <c r="L677" s="4" t="s">
        <v>1</v>
      </c>
      <c r="M677" s="27">
        <f>SUM(M652:M676)</f>
        <v>0</v>
      </c>
      <c r="N677" s="21">
        <f t="shared" ref="N677" si="414">SUM(N652:N676)</f>
        <v>10</v>
      </c>
      <c r="O677" s="57">
        <f t="shared" ref="O677" si="415">SUM(O652:O676)</f>
        <v>10</v>
      </c>
      <c r="P677" s="27">
        <f t="shared" ref="P677" si="416">SUM(P652:P676)</f>
        <v>0</v>
      </c>
      <c r="Q677" s="21">
        <f t="shared" ref="Q677" si="417">SUM(Q652:Q676)</f>
        <v>20</v>
      </c>
      <c r="R677" s="66">
        <f t="shared" ref="R677" si="418">SUM(R652:R676)</f>
        <v>20</v>
      </c>
      <c r="S677" s="40">
        <f t="shared" ref="S677" si="419">SUM(S652:S676)</f>
        <v>30</v>
      </c>
    </row>
    <row r="678" spans="2:19" ht="14.25" thickBot="1" x14ac:dyDescent="0.2">
      <c r="B678" s="3" t="s">
        <v>0</v>
      </c>
      <c r="C678" s="30">
        <f>+C651-C677</f>
        <v>22</v>
      </c>
      <c r="D678" s="2">
        <f>+D651-D677</f>
        <v>12</v>
      </c>
      <c r="E678" s="58">
        <f t="shared" si="413"/>
        <v>34</v>
      </c>
      <c r="F678" s="30">
        <f>+F651-F677</f>
        <v>24</v>
      </c>
      <c r="G678" s="2">
        <f>+G651-G677</f>
        <v>13</v>
      </c>
      <c r="H678" s="67">
        <f t="shared" si="398"/>
        <v>37</v>
      </c>
      <c r="I678" s="42">
        <f t="shared" si="399"/>
        <v>71</v>
      </c>
      <c r="L678" s="3" t="s">
        <v>0</v>
      </c>
      <c r="M678" s="30">
        <f>+M651-M677</f>
        <v>80</v>
      </c>
      <c r="N678" s="2">
        <f t="shared" ref="N678" si="420">+N651-N677</f>
        <v>133</v>
      </c>
      <c r="O678" s="58">
        <f t="shared" ref="O678" si="421">+O651-O677</f>
        <v>213</v>
      </c>
      <c r="P678" s="30">
        <f t="shared" ref="P678" si="422">+P651-P677</f>
        <v>41</v>
      </c>
      <c r="Q678" s="2">
        <f t="shared" ref="Q678" si="423">+Q651-Q677</f>
        <v>36</v>
      </c>
      <c r="R678" s="67">
        <f t="shared" ref="R678" si="424">+R651-R677</f>
        <v>77</v>
      </c>
      <c r="S678" s="42">
        <f t="shared" ref="S678" si="425">+S651-S677</f>
        <v>290</v>
      </c>
    </row>
    <row r="681" spans="2:19" ht="18.75" x14ac:dyDescent="0.2">
      <c r="B681" s="16" t="s">
        <v>21</v>
      </c>
      <c r="C681" s="15"/>
      <c r="D681" s="15"/>
      <c r="E681" s="15"/>
      <c r="F681" s="15"/>
      <c r="G681" s="15"/>
      <c r="H681" s="15"/>
      <c r="I681" s="15"/>
      <c r="L681" s="71" t="s">
        <v>22</v>
      </c>
      <c r="M681" s="72"/>
      <c r="N681" s="72"/>
      <c r="O681" s="72"/>
      <c r="P681" s="72"/>
      <c r="Q681" s="72"/>
      <c r="R681" s="72"/>
      <c r="S681" s="72"/>
    </row>
    <row r="682" spans="2:19" ht="18" thickBot="1" x14ac:dyDescent="0.25">
      <c r="B682" s="17" t="s">
        <v>23</v>
      </c>
      <c r="C682" s="15"/>
      <c r="D682" s="15"/>
      <c r="E682" s="15"/>
      <c r="F682" s="15"/>
      <c r="G682" s="15"/>
      <c r="H682" s="15"/>
      <c r="I682" s="15"/>
      <c r="L682" s="73" t="s">
        <v>23</v>
      </c>
      <c r="M682" s="72"/>
      <c r="N682" s="72"/>
      <c r="O682" s="72"/>
      <c r="P682" s="72"/>
      <c r="Q682" s="72"/>
      <c r="R682" s="72"/>
      <c r="S682" s="72"/>
    </row>
    <row r="683" spans="2:19" ht="14.25" thickBot="1" x14ac:dyDescent="0.2">
      <c r="B683" s="14"/>
      <c r="C683" s="113" t="s">
        <v>12</v>
      </c>
      <c r="D683" s="114"/>
      <c r="E683" s="115"/>
      <c r="F683" s="116" t="s">
        <v>11</v>
      </c>
      <c r="G683" s="117"/>
      <c r="H683" s="118"/>
      <c r="I683" s="13" t="s">
        <v>19</v>
      </c>
      <c r="L683" s="14"/>
      <c r="M683" s="113" t="s">
        <v>12</v>
      </c>
      <c r="N683" s="114"/>
      <c r="O683" s="115"/>
      <c r="P683" s="116" t="s">
        <v>11</v>
      </c>
      <c r="Q683" s="117"/>
      <c r="R683" s="118"/>
      <c r="S683" s="13" t="s">
        <v>19</v>
      </c>
    </row>
    <row r="684" spans="2:19" ht="14.25" thickBot="1" x14ac:dyDescent="0.2">
      <c r="B684" s="13"/>
      <c r="C684" s="23" t="s">
        <v>6</v>
      </c>
      <c r="D684" s="12" t="s">
        <v>5</v>
      </c>
      <c r="E684" s="50" t="s">
        <v>4</v>
      </c>
      <c r="F684" s="23" t="s">
        <v>6</v>
      </c>
      <c r="G684" s="12" t="s">
        <v>5</v>
      </c>
      <c r="H684" s="59" t="s">
        <v>4</v>
      </c>
      <c r="I684" s="49"/>
      <c r="L684" s="13"/>
      <c r="M684" s="23" t="s">
        <v>6</v>
      </c>
      <c r="N684" s="12" t="s">
        <v>5</v>
      </c>
      <c r="O684" s="50" t="s">
        <v>4</v>
      </c>
      <c r="P684" s="23" t="s">
        <v>6</v>
      </c>
      <c r="Q684" s="12" t="s">
        <v>5</v>
      </c>
      <c r="R684" s="59" t="s">
        <v>4</v>
      </c>
      <c r="S684" s="49"/>
    </row>
    <row r="685" spans="2:19" x14ac:dyDescent="0.15">
      <c r="B685" s="46" t="s">
        <v>0</v>
      </c>
      <c r="C685" s="47">
        <f t="shared" ref="C685:H685" si="426">C678</f>
        <v>22</v>
      </c>
      <c r="D685" s="48">
        <f t="shared" si="426"/>
        <v>12</v>
      </c>
      <c r="E685" s="68">
        <f t="shared" si="426"/>
        <v>34</v>
      </c>
      <c r="F685" s="47">
        <f t="shared" si="426"/>
        <v>24</v>
      </c>
      <c r="G685" s="48">
        <f t="shared" si="426"/>
        <v>13</v>
      </c>
      <c r="H685" s="69">
        <f t="shared" si="426"/>
        <v>37</v>
      </c>
      <c r="I685" s="41">
        <f>E685+H685</f>
        <v>71</v>
      </c>
      <c r="L685" s="46" t="s">
        <v>0</v>
      </c>
      <c r="M685" s="47">
        <f>M678</f>
        <v>80</v>
      </c>
      <c r="N685" s="48">
        <f t="shared" ref="N685:S685" si="427">N678</f>
        <v>133</v>
      </c>
      <c r="O685" s="68">
        <f t="shared" si="427"/>
        <v>213</v>
      </c>
      <c r="P685" s="47">
        <f t="shared" si="427"/>
        <v>41</v>
      </c>
      <c r="Q685" s="48">
        <f t="shared" si="427"/>
        <v>36</v>
      </c>
      <c r="R685" s="69">
        <f t="shared" si="427"/>
        <v>77</v>
      </c>
      <c r="S685" s="41">
        <f t="shared" si="427"/>
        <v>290</v>
      </c>
    </row>
    <row r="686" spans="2:19" x14ac:dyDescent="0.15">
      <c r="B686" s="11" t="s">
        <v>69</v>
      </c>
      <c r="C686" s="25"/>
      <c r="D686" s="19"/>
      <c r="E686" s="52">
        <f t="shared" ref="E686:E689" si="428">SUM(C686:D686)</f>
        <v>0</v>
      </c>
      <c r="F686" s="31">
        <v>2</v>
      </c>
      <c r="G686" s="7"/>
      <c r="H686" s="61">
        <f t="shared" ref="H686:H689" si="429">SUM(F686:G686)</f>
        <v>2</v>
      </c>
      <c r="I686" s="38">
        <f t="shared" ref="I686:I689" si="430">E686+H686</f>
        <v>2</v>
      </c>
      <c r="J686" s="78">
        <v>45874</v>
      </c>
      <c r="L686" s="11" t="s">
        <v>3</v>
      </c>
      <c r="M686" s="25"/>
      <c r="N686" s="19"/>
      <c r="O686" s="52">
        <f t="shared" ref="O686:O714" si="431">SUM(M686:N686)</f>
        <v>0</v>
      </c>
      <c r="P686" s="31"/>
      <c r="Q686" s="7"/>
      <c r="R686" s="61">
        <f t="shared" ref="R686:R714" si="432">SUM(P686:Q686)</f>
        <v>0</v>
      </c>
      <c r="S686" s="38">
        <f t="shared" ref="S686:S714" si="433">O686+R686</f>
        <v>0</v>
      </c>
    </row>
    <row r="687" spans="2:19" x14ac:dyDescent="0.15">
      <c r="B687" s="11" t="s">
        <v>3</v>
      </c>
      <c r="C687" s="25"/>
      <c r="D687" s="19">
        <v>10</v>
      </c>
      <c r="E687" s="52">
        <f t="shared" si="428"/>
        <v>10</v>
      </c>
      <c r="F687" s="31"/>
      <c r="G687" s="7">
        <v>5</v>
      </c>
      <c r="H687" s="61">
        <f t="shared" si="429"/>
        <v>5</v>
      </c>
      <c r="I687" s="38">
        <f t="shared" si="430"/>
        <v>15</v>
      </c>
      <c r="J687" s="78">
        <v>45891</v>
      </c>
      <c r="L687" s="11" t="s">
        <v>3</v>
      </c>
      <c r="M687" s="25"/>
      <c r="N687" s="19"/>
      <c r="O687" s="52">
        <f t="shared" si="431"/>
        <v>0</v>
      </c>
      <c r="P687" s="31"/>
      <c r="Q687" s="7"/>
      <c r="R687" s="61">
        <f t="shared" si="432"/>
        <v>0</v>
      </c>
      <c r="S687" s="38">
        <f t="shared" si="433"/>
        <v>0</v>
      </c>
    </row>
    <row r="688" spans="2:19" x14ac:dyDescent="0.15">
      <c r="B688" s="11" t="s">
        <v>72</v>
      </c>
      <c r="C688" s="25">
        <v>1</v>
      </c>
      <c r="D688" s="19">
        <v>0</v>
      </c>
      <c r="E688" s="52">
        <f t="shared" si="428"/>
        <v>1</v>
      </c>
      <c r="F688" s="31">
        <v>-1</v>
      </c>
      <c r="G688" s="7">
        <v>0</v>
      </c>
      <c r="H688" s="61">
        <f t="shared" si="429"/>
        <v>-1</v>
      </c>
      <c r="I688" s="38">
        <f t="shared" si="430"/>
        <v>0</v>
      </c>
      <c r="J688" s="78">
        <v>45890</v>
      </c>
      <c r="L688" s="11" t="s">
        <v>3</v>
      </c>
      <c r="M688" s="25"/>
      <c r="N688" s="19"/>
      <c r="O688" s="52">
        <f t="shared" si="431"/>
        <v>0</v>
      </c>
      <c r="P688" s="31"/>
      <c r="Q688" s="7"/>
      <c r="R688" s="61">
        <f t="shared" si="432"/>
        <v>0</v>
      </c>
      <c r="S688" s="38">
        <f t="shared" si="433"/>
        <v>0</v>
      </c>
    </row>
    <row r="689" spans="2:20" x14ac:dyDescent="0.15">
      <c r="B689" s="11" t="s">
        <v>3</v>
      </c>
      <c r="C689" s="25">
        <v>5</v>
      </c>
      <c r="D689" s="19">
        <v>5</v>
      </c>
      <c r="E689" s="52">
        <f t="shared" si="428"/>
        <v>10</v>
      </c>
      <c r="F689" s="31"/>
      <c r="G689" s="7">
        <v>10</v>
      </c>
      <c r="H689" s="61">
        <f t="shared" si="429"/>
        <v>10</v>
      </c>
      <c r="I689" s="38">
        <f t="shared" si="430"/>
        <v>20</v>
      </c>
      <c r="J689" s="78">
        <v>45906</v>
      </c>
      <c r="L689" s="11" t="s">
        <v>3</v>
      </c>
      <c r="M689" s="25"/>
      <c r="N689" s="19"/>
      <c r="O689" s="52">
        <f t="shared" si="431"/>
        <v>0</v>
      </c>
      <c r="P689" s="31"/>
      <c r="Q689" s="7"/>
      <c r="R689" s="61">
        <f t="shared" si="432"/>
        <v>0</v>
      </c>
      <c r="S689" s="38">
        <f t="shared" si="433"/>
        <v>0</v>
      </c>
    </row>
    <row r="690" spans="2:20" ht="14.25" thickBot="1" x14ac:dyDescent="0.2">
      <c r="B690" s="11" t="s">
        <v>3</v>
      </c>
      <c r="C690" s="25"/>
      <c r="D690" s="19">
        <v>5</v>
      </c>
      <c r="E690" s="52">
        <f t="shared" ref="E690:E718" si="434">SUM(C690:D690)</f>
        <v>5</v>
      </c>
      <c r="F690" s="31"/>
      <c r="G690" s="7">
        <v>5</v>
      </c>
      <c r="H690" s="61">
        <f t="shared" ref="H690:H718" si="435">SUM(F690:G690)</f>
        <v>5</v>
      </c>
      <c r="I690" s="38">
        <f t="shared" ref="I690:I718" si="436">E690+H690</f>
        <v>10</v>
      </c>
      <c r="J690" s="78">
        <v>45910</v>
      </c>
      <c r="L690" s="11" t="s">
        <v>3</v>
      </c>
      <c r="M690" s="25"/>
      <c r="N690" s="19"/>
      <c r="O690" s="52">
        <f t="shared" si="431"/>
        <v>0</v>
      </c>
      <c r="P690" s="31"/>
      <c r="Q690" s="7"/>
      <c r="R690" s="61">
        <f t="shared" si="432"/>
        <v>0</v>
      </c>
      <c r="S690" s="38">
        <f t="shared" si="433"/>
        <v>0</v>
      </c>
    </row>
    <row r="691" spans="2:20" ht="14.25" thickBot="1" x14ac:dyDescent="0.2">
      <c r="B691" s="43" t="s">
        <v>2</v>
      </c>
      <c r="C691" s="44">
        <f>SUM(C685:C690)</f>
        <v>28</v>
      </c>
      <c r="D691" s="45">
        <f>SUM(D685:D690)</f>
        <v>32</v>
      </c>
      <c r="E691" s="83">
        <f t="shared" si="434"/>
        <v>60</v>
      </c>
      <c r="F691" s="44">
        <f>SUM(F685:F690)</f>
        <v>25</v>
      </c>
      <c r="G691" s="45">
        <f>SUM(G685:G690)</f>
        <v>33</v>
      </c>
      <c r="H691" s="84">
        <f t="shared" si="435"/>
        <v>58</v>
      </c>
      <c r="I691" s="42">
        <f t="shared" si="436"/>
        <v>118</v>
      </c>
      <c r="L691" s="43" t="s">
        <v>2</v>
      </c>
      <c r="M691" s="44">
        <f>SUM(M685:M690)</f>
        <v>80</v>
      </c>
      <c r="N691" s="45">
        <f t="shared" ref="N691:S691" si="437">SUM(N685:N690)</f>
        <v>133</v>
      </c>
      <c r="O691" s="83">
        <f t="shared" si="437"/>
        <v>213</v>
      </c>
      <c r="P691" s="44">
        <f t="shared" si="437"/>
        <v>41</v>
      </c>
      <c r="Q691" s="45">
        <f t="shared" si="437"/>
        <v>36</v>
      </c>
      <c r="R691" s="84">
        <f t="shared" si="437"/>
        <v>77</v>
      </c>
      <c r="S691" s="42">
        <f t="shared" si="437"/>
        <v>290</v>
      </c>
    </row>
    <row r="692" spans="2:20" x14ac:dyDescent="0.15">
      <c r="B692" s="6" t="s">
        <v>174</v>
      </c>
      <c r="C692" s="25"/>
      <c r="D692" s="19"/>
      <c r="E692" s="55">
        <f t="shared" ref="E692:E713" si="438">SUM(C692:D692)</f>
        <v>0</v>
      </c>
      <c r="F692" s="31"/>
      <c r="G692" s="7">
        <v>1</v>
      </c>
      <c r="H692" s="64">
        <f t="shared" ref="H692:H713" si="439">SUM(F692:G692)</f>
        <v>1</v>
      </c>
      <c r="I692" s="38">
        <f t="shared" ref="I692:I713" si="440">E692+H692</f>
        <v>1</v>
      </c>
      <c r="J692" s="78">
        <v>45877</v>
      </c>
      <c r="L692" s="6" t="s">
        <v>32</v>
      </c>
      <c r="M692" s="25"/>
      <c r="N692" s="19">
        <v>10</v>
      </c>
      <c r="O692" s="55">
        <f t="shared" si="431"/>
        <v>10</v>
      </c>
      <c r="P692" s="31"/>
      <c r="Q692" s="7">
        <v>5</v>
      </c>
      <c r="R692" s="64">
        <f t="shared" si="432"/>
        <v>5</v>
      </c>
      <c r="S692" s="38">
        <f t="shared" si="433"/>
        <v>15</v>
      </c>
      <c r="T692" s="78">
        <v>45891</v>
      </c>
    </row>
    <row r="693" spans="2:20" x14ac:dyDescent="0.15">
      <c r="B693" s="6" t="s">
        <v>7</v>
      </c>
      <c r="C693" s="28"/>
      <c r="D693" s="22">
        <v>1</v>
      </c>
      <c r="E693" s="55">
        <f t="shared" si="438"/>
        <v>1</v>
      </c>
      <c r="F693" s="33"/>
      <c r="G693" s="8">
        <f>1+1</f>
        <v>2</v>
      </c>
      <c r="H693" s="64">
        <f t="shared" si="439"/>
        <v>2</v>
      </c>
      <c r="I693" s="38">
        <f t="shared" si="440"/>
        <v>3</v>
      </c>
      <c r="J693" s="78">
        <v>45878</v>
      </c>
      <c r="L693" s="6" t="s">
        <v>32</v>
      </c>
      <c r="M693" s="25">
        <v>5</v>
      </c>
      <c r="N693" s="19">
        <v>5</v>
      </c>
      <c r="O693" s="55">
        <f t="shared" si="431"/>
        <v>10</v>
      </c>
      <c r="P693" s="31"/>
      <c r="Q693" s="7">
        <v>10</v>
      </c>
      <c r="R693" s="64">
        <f t="shared" si="432"/>
        <v>10</v>
      </c>
      <c r="S693" s="38">
        <f t="shared" si="433"/>
        <v>20</v>
      </c>
      <c r="T693" s="78">
        <v>45906</v>
      </c>
    </row>
    <row r="694" spans="2:20" x14ac:dyDescent="0.15">
      <c r="B694" s="6" t="s">
        <v>7</v>
      </c>
      <c r="C694" s="28">
        <v>1</v>
      </c>
      <c r="D694" s="22">
        <f>4+1</f>
        <v>5</v>
      </c>
      <c r="E694" s="55">
        <f t="shared" si="438"/>
        <v>6</v>
      </c>
      <c r="F694" s="33">
        <v>1</v>
      </c>
      <c r="G694" s="8">
        <v>1</v>
      </c>
      <c r="H694" s="64">
        <f t="shared" si="439"/>
        <v>2</v>
      </c>
      <c r="I694" s="38">
        <f t="shared" si="440"/>
        <v>8</v>
      </c>
      <c r="J694" s="78">
        <v>45887</v>
      </c>
      <c r="L694" s="6" t="s">
        <v>32</v>
      </c>
      <c r="M694" s="25"/>
      <c r="N694" s="19">
        <v>5</v>
      </c>
      <c r="O694" s="55">
        <f t="shared" si="431"/>
        <v>5</v>
      </c>
      <c r="P694" s="31"/>
      <c r="Q694" s="7">
        <v>5</v>
      </c>
      <c r="R694" s="64">
        <f t="shared" si="432"/>
        <v>5</v>
      </c>
      <c r="S694" s="38">
        <f t="shared" si="433"/>
        <v>10</v>
      </c>
      <c r="T694" s="78">
        <v>45910</v>
      </c>
    </row>
    <row r="695" spans="2:20" x14ac:dyDescent="0.15">
      <c r="B695" s="6" t="s">
        <v>7</v>
      </c>
      <c r="C695" s="25"/>
      <c r="D695" s="19">
        <v>1</v>
      </c>
      <c r="E695" s="55">
        <f t="shared" si="438"/>
        <v>1</v>
      </c>
      <c r="F695" s="31"/>
      <c r="G695" s="7">
        <v>1</v>
      </c>
      <c r="H695" s="64">
        <f t="shared" si="439"/>
        <v>1</v>
      </c>
      <c r="I695" s="38">
        <f t="shared" si="440"/>
        <v>2</v>
      </c>
      <c r="J695" s="78">
        <v>45888</v>
      </c>
      <c r="L695" s="6"/>
      <c r="M695" s="25"/>
      <c r="N695" s="19"/>
      <c r="O695" s="55">
        <f t="shared" si="431"/>
        <v>0</v>
      </c>
      <c r="P695" s="31"/>
      <c r="Q695" s="7"/>
      <c r="R695" s="64">
        <f t="shared" si="432"/>
        <v>0</v>
      </c>
      <c r="S695" s="38">
        <f t="shared" si="433"/>
        <v>0</v>
      </c>
    </row>
    <row r="696" spans="2:20" x14ac:dyDescent="0.15">
      <c r="B696" s="6" t="s">
        <v>74</v>
      </c>
      <c r="C696" s="25"/>
      <c r="D696" s="19">
        <v>1</v>
      </c>
      <c r="E696" s="55">
        <f t="shared" si="438"/>
        <v>1</v>
      </c>
      <c r="F696" s="31"/>
      <c r="G696" s="7"/>
      <c r="H696" s="64">
        <f t="shared" si="439"/>
        <v>0</v>
      </c>
      <c r="I696" s="38">
        <f t="shared" si="440"/>
        <v>1</v>
      </c>
      <c r="J696" s="78">
        <v>45891</v>
      </c>
      <c r="L696" s="6"/>
      <c r="M696" s="25"/>
      <c r="N696" s="19"/>
      <c r="O696" s="55">
        <f t="shared" si="431"/>
        <v>0</v>
      </c>
      <c r="P696" s="31"/>
      <c r="Q696" s="7"/>
      <c r="R696" s="64">
        <f t="shared" si="432"/>
        <v>0</v>
      </c>
      <c r="S696" s="38">
        <f t="shared" si="433"/>
        <v>0</v>
      </c>
    </row>
    <row r="697" spans="2:20" x14ac:dyDescent="0.15">
      <c r="B697" s="6" t="s">
        <v>75</v>
      </c>
      <c r="C697" s="25"/>
      <c r="D697" s="19"/>
      <c r="E697" s="55">
        <f t="shared" si="438"/>
        <v>0</v>
      </c>
      <c r="F697" s="31"/>
      <c r="G697" s="7">
        <v>1</v>
      </c>
      <c r="H697" s="64">
        <f t="shared" si="439"/>
        <v>1</v>
      </c>
      <c r="I697" s="38">
        <f t="shared" si="440"/>
        <v>1</v>
      </c>
      <c r="J697" s="78">
        <v>45894</v>
      </c>
      <c r="L697" s="6"/>
      <c r="M697" s="25"/>
      <c r="N697" s="19"/>
      <c r="O697" s="55">
        <f t="shared" si="431"/>
        <v>0</v>
      </c>
      <c r="P697" s="31"/>
      <c r="Q697" s="7"/>
      <c r="R697" s="64">
        <f t="shared" si="432"/>
        <v>0</v>
      </c>
      <c r="S697" s="38">
        <f t="shared" si="433"/>
        <v>0</v>
      </c>
    </row>
    <row r="698" spans="2:20" x14ac:dyDescent="0.15">
      <c r="B698" s="6" t="s">
        <v>7</v>
      </c>
      <c r="C698" s="25"/>
      <c r="D698" s="19">
        <v>1</v>
      </c>
      <c r="E698" s="55">
        <f t="shared" si="438"/>
        <v>1</v>
      </c>
      <c r="F698" s="31"/>
      <c r="G698" s="7"/>
      <c r="H698" s="64">
        <f t="shared" si="439"/>
        <v>0</v>
      </c>
      <c r="I698" s="38">
        <f t="shared" si="440"/>
        <v>1</v>
      </c>
      <c r="J698" s="78">
        <v>45891</v>
      </c>
      <c r="L698" s="6"/>
      <c r="M698" s="25"/>
      <c r="N698" s="19"/>
      <c r="O698" s="55">
        <f t="shared" si="431"/>
        <v>0</v>
      </c>
      <c r="P698" s="31"/>
      <c r="Q698" s="7"/>
      <c r="R698" s="64">
        <f t="shared" si="432"/>
        <v>0</v>
      </c>
      <c r="S698" s="38">
        <f t="shared" si="433"/>
        <v>0</v>
      </c>
    </row>
    <row r="699" spans="2:20" x14ac:dyDescent="0.15">
      <c r="B699" s="6" t="s">
        <v>7</v>
      </c>
      <c r="C699" s="25"/>
      <c r="D699" s="19"/>
      <c r="E699" s="55">
        <f t="shared" si="438"/>
        <v>0</v>
      </c>
      <c r="F699" s="31"/>
      <c r="G699" s="7">
        <f>1+1</f>
        <v>2</v>
      </c>
      <c r="H699" s="64">
        <f t="shared" si="439"/>
        <v>2</v>
      </c>
      <c r="I699" s="38">
        <f t="shared" si="440"/>
        <v>2</v>
      </c>
      <c r="J699" s="78">
        <v>45894</v>
      </c>
      <c r="L699" s="6"/>
      <c r="M699" s="25"/>
      <c r="N699" s="19"/>
      <c r="O699" s="55">
        <f t="shared" si="431"/>
        <v>0</v>
      </c>
      <c r="P699" s="31"/>
      <c r="Q699" s="7"/>
      <c r="R699" s="64">
        <f t="shared" si="432"/>
        <v>0</v>
      </c>
      <c r="S699" s="38">
        <f t="shared" si="433"/>
        <v>0</v>
      </c>
    </row>
    <row r="700" spans="2:20" x14ac:dyDescent="0.15">
      <c r="B700" s="6" t="s">
        <v>7</v>
      </c>
      <c r="C700" s="28"/>
      <c r="D700" s="22"/>
      <c r="E700" s="55">
        <f t="shared" si="438"/>
        <v>0</v>
      </c>
      <c r="F700" s="33"/>
      <c r="G700" s="8">
        <v>1</v>
      </c>
      <c r="H700" s="64">
        <f t="shared" si="439"/>
        <v>1</v>
      </c>
      <c r="I700" s="38">
        <f t="shared" si="440"/>
        <v>1</v>
      </c>
      <c r="J700" s="78">
        <v>45895</v>
      </c>
      <c r="L700" s="6"/>
      <c r="M700" s="25"/>
      <c r="N700" s="19"/>
      <c r="O700" s="55">
        <f t="shared" si="431"/>
        <v>0</v>
      </c>
      <c r="P700" s="31"/>
      <c r="Q700" s="7"/>
      <c r="R700" s="64">
        <f t="shared" si="432"/>
        <v>0</v>
      </c>
      <c r="S700" s="38">
        <f t="shared" si="433"/>
        <v>0</v>
      </c>
    </row>
    <row r="701" spans="2:20" x14ac:dyDescent="0.15">
      <c r="B701" s="6" t="s">
        <v>175</v>
      </c>
      <c r="C701" s="28"/>
      <c r="D701" s="22">
        <v>-2</v>
      </c>
      <c r="E701" s="55">
        <f t="shared" si="438"/>
        <v>-2</v>
      </c>
      <c r="F701" s="33"/>
      <c r="G701" s="8">
        <v>-3</v>
      </c>
      <c r="H701" s="64">
        <f t="shared" si="439"/>
        <v>-3</v>
      </c>
      <c r="I701" s="38">
        <f t="shared" si="440"/>
        <v>-5</v>
      </c>
      <c r="J701" s="78">
        <v>45895</v>
      </c>
      <c r="L701" s="6"/>
      <c r="M701" s="25"/>
      <c r="N701" s="19"/>
      <c r="O701" s="55">
        <f t="shared" si="431"/>
        <v>0</v>
      </c>
      <c r="P701" s="31"/>
      <c r="Q701" s="7"/>
      <c r="R701" s="64">
        <f t="shared" si="432"/>
        <v>0</v>
      </c>
      <c r="S701" s="38">
        <f t="shared" si="433"/>
        <v>0</v>
      </c>
    </row>
    <row r="702" spans="2:20" x14ac:dyDescent="0.15">
      <c r="B702" s="6" t="s">
        <v>76</v>
      </c>
      <c r="C702" s="25">
        <v>7</v>
      </c>
      <c r="D702" s="19">
        <v>1</v>
      </c>
      <c r="E702" s="55">
        <f t="shared" si="438"/>
        <v>8</v>
      </c>
      <c r="F702" s="31"/>
      <c r="G702" s="7">
        <v>1</v>
      </c>
      <c r="H702" s="64">
        <f t="shared" si="439"/>
        <v>1</v>
      </c>
      <c r="I702" s="38">
        <f t="shared" si="440"/>
        <v>9</v>
      </c>
      <c r="J702" s="78">
        <v>45903</v>
      </c>
      <c r="L702" s="6"/>
      <c r="M702" s="25"/>
      <c r="N702" s="19"/>
      <c r="O702" s="55">
        <f t="shared" si="431"/>
        <v>0</v>
      </c>
      <c r="P702" s="31"/>
      <c r="Q702" s="7"/>
      <c r="R702" s="64">
        <f t="shared" si="432"/>
        <v>0</v>
      </c>
      <c r="S702" s="38">
        <f t="shared" si="433"/>
        <v>0</v>
      </c>
    </row>
    <row r="703" spans="2:20" x14ac:dyDescent="0.15">
      <c r="B703" s="6" t="s">
        <v>77</v>
      </c>
      <c r="C703" s="25"/>
      <c r="D703" s="19">
        <v>1</v>
      </c>
      <c r="E703" s="55">
        <f t="shared" si="438"/>
        <v>1</v>
      </c>
      <c r="F703" s="31"/>
      <c r="G703" s="7"/>
      <c r="H703" s="64">
        <f t="shared" si="439"/>
        <v>0</v>
      </c>
      <c r="I703" s="38">
        <f t="shared" si="440"/>
        <v>1</v>
      </c>
      <c r="J703" s="78">
        <v>45904</v>
      </c>
      <c r="L703" s="6"/>
      <c r="M703" s="25"/>
      <c r="N703" s="19"/>
      <c r="O703" s="55">
        <f t="shared" si="431"/>
        <v>0</v>
      </c>
      <c r="P703" s="31"/>
      <c r="Q703" s="7"/>
      <c r="R703" s="64">
        <f t="shared" si="432"/>
        <v>0</v>
      </c>
      <c r="S703" s="38">
        <f t="shared" si="433"/>
        <v>0</v>
      </c>
    </row>
    <row r="704" spans="2:20" x14ac:dyDescent="0.15">
      <c r="B704" s="6" t="s">
        <v>78</v>
      </c>
      <c r="C704" s="25">
        <v>5</v>
      </c>
      <c r="D704" s="19"/>
      <c r="E704" s="55">
        <f t="shared" si="438"/>
        <v>5</v>
      </c>
      <c r="F704" s="31"/>
      <c r="G704" s="7">
        <v>2</v>
      </c>
      <c r="H704" s="64">
        <f t="shared" si="439"/>
        <v>2</v>
      </c>
      <c r="I704" s="38">
        <f t="shared" si="440"/>
        <v>7</v>
      </c>
      <c r="J704" s="78">
        <v>45905</v>
      </c>
      <c r="L704" s="6"/>
      <c r="M704" s="25"/>
      <c r="N704" s="19"/>
      <c r="O704" s="55">
        <f t="shared" si="431"/>
        <v>0</v>
      </c>
      <c r="P704" s="31"/>
      <c r="Q704" s="7"/>
      <c r="R704" s="64">
        <f t="shared" si="432"/>
        <v>0</v>
      </c>
      <c r="S704" s="38">
        <f t="shared" si="433"/>
        <v>0</v>
      </c>
    </row>
    <row r="705" spans="2:21" x14ac:dyDescent="0.15">
      <c r="B705" s="6" t="s">
        <v>80</v>
      </c>
      <c r="C705" s="25"/>
      <c r="D705" s="19">
        <v>3</v>
      </c>
      <c r="E705" s="55">
        <f t="shared" si="438"/>
        <v>3</v>
      </c>
      <c r="F705" s="31">
        <v>5</v>
      </c>
      <c r="G705" s="7">
        <v>3</v>
      </c>
      <c r="H705" s="64">
        <f t="shared" si="439"/>
        <v>8</v>
      </c>
      <c r="I705" s="38">
        <f t="shared" si="440"/>
        <v>11</v>
      </c>
      <c r="J705" s="78">
        <v>45905</v>
      </c>
      <c r="L705" s="6"/>
      <c r="M705" s="28"/>
      <c r="N705" s="22"/>
      <c r="O705" s="55">
        <f t="shared" si="431"/>
        <v>0</v>
      </c>
      <c r="P705" s="33"/>
      <c r="Q705" s="8"/>
      <c r="R705" s="64">
        <f t="shared" si="432"/>
        <v>0</v>
      </c>
      <c r="S705" s="38">
        <f t="shared" si="433"/>
        <v>0</v>
      </c>
    </row>
    <row r="706" spans="2:21" x14ac:dyDescent="0.15">
      <c r="B706" s="6" t="s">
        <v>7</v>
      </c>
      <c r="C706" s="25"/>
      <c r="D706" s="19"/>
      <c r="E706" s="55">
        <f t="shared" si="438"/>
        <v>0</v>
      </c>
      <c r="F706" s="31"/>
      <c r="G706" s="7">
        <v>1</v>
      </c>
      <c r="H706" s="64">
        <f t="shared" si="439"/>
        <v>1</v>
      </c>
      <c r="I706" s="38">
        <f t="shared" si="440"/>
        <v>1</v>
      </c>
      <c r="J706" s="78">
        <v>45904</v>
      </c>
      <c r="L706" s="6"/>
      <c r="M706" s="28"/>
      <c r="N706" s="22"/>
      <c r="O706" s="55">
        <f t="shared" si="431"/>
        <v>0</v>
      </c>
      <c r="P706" s="33"/>
      <c r="Q706" s="8"/>
      <c r="R706" s="64">
        <f t="shared" si="432"/>
        <v>0</v>
      </c>
      <c r="S706" s="38">
        <f t="shared" si="433"/>
        <v>0</v>
      </c>
    </row>
    <row r="707" spans="2:21" x14ac:dyDescent="0.15">
      <c r="B707" s="6" t="s">
        <v>82</v>
      </c>
      <c r="C707" s="25"/>
      <c r="D707" s="19">
        <v>2</v>
      </c>
      <c r="E707" s="55">
        <f t="shared" si="438"/>
        <v>2</v>
      </c>
      <c r="F707" s="31"/>
      <c r="G707" s="7">
        <v>1</v>
      </c>
      <c r="H707" s="64">
        <f t="shared" si="439"/>
        <v>1</v>
      </c>
      <c r="I707" s="38">
        <f t="shared" si="440"/>
        <v>3</v>
      </c>
      <c r="J707" s="78">
        <v>45908</v>
      </c>
      <c r="L707" s="6"/>
      <c r="M707" s="28"/>
      <c r="N707" s="22"/>
      <c r="O707" s="55">
        <f t="shared" si="431"/>
        <v>0</v>
      </c>
      <c r="P707" s="33"/>
      <c r="Q707" s="8"/>
      <c r="R707" s="64">
        <f t="shared" si="432"/>
        <v>0</v>
      </c>
      <c r="S707" s="38">
        <f t="shared" si="433"/>
        <v>0</v>
      </c>
    </row>
    <row r="708" spans="2:21" x14ac:dyDescent="0.15">
      <c r="B708" s="6" t="s">
        <v>7</v>
      </c>
      <c r="C708" s="25">
        <v>1</v>
      </c>
      <c r="D708" s="19"/>
      <c r="E708" s="55">
        <f t="shared" si="438"/>
        <v>1</v>
      </c>
      <c r="F708" s="31"/>
      <c r="G708" s="7"/>
      <c r="H708" s="64">
        <f t="shared" si="439"/>
        <v>0</v>
      </c>
      <c r="I708" s="38">
        <f t="shared" si="440"/>
        <v>1</v>
      </c>
      <c r="J708" s="78">
        <v>45905</v>
      </c>
      <c r="L708" s="6"/>
      <c r="M708" s="28"/>
      <c r="N708" s="22"/>
      <c r="O708" s="55">
        <f t="shared" si="431"/>
        <v>0</v>
      </c>
      <c r="P708" s="33"/>
      <c r="Q708" s="8"/>
      <c r="R708" s="64">
        <f t="shared" si="432"/>
        <v>0</v>
      </c>
      <c r="S708" s="38">
        <f t="shared" si="433"/>
        <v>0</v>
      </c>
    </row>
    <row r="709" spans="2:21" x14ac:dyDescent="0.15">
      <c r="B709" s="6" t="s">
        <v>7</v>
      </c>
      <c r="C709" s="25">
        <v>2</v>
      </c>
      <c r="D709" s="19">
        <v>1</v>
      </c>
      <c r="E709" s="55">
        <f t="shared" si="438"/>
        <v>3</v>
      </c>
      <c r="F709" s="31"/>
      <c r="G709" s="7">
        <v>1</v>
      </c>
      <c r="H709" s="64">
        <f t="shared" si="439"/>
        <v>1</v>
      </c>
      <c r="I709" s="38">
        <f t="shared" si="440"/>
        <v>4</v>
      </c>
      <c r="J709" s="78">
        <v>45906</v>
      </c>
      <c r="L709" s="6"/>
      <c r="M709" s="28"/>
      <c r="N709" s="22"/>
      <c r="O709" s="55">
        <f t="shared" si="431"/>
        <v>0</v>
      </c>
      <c r="P709" s="33"/>
      <c r="Q709" s="8"/>
      <c r="R709" s="64">
        <f t="shared" si="432"/>
        <v>0</v>
      </c>
      <c r="S709" s="38">
        <f t="shared" si="433"/>
        <v>0</v>
      </c>
    </row>
    <row r="710" spans="2:21" x14ac:dyDescent="0.15">
      <c r="B710" s="6" t="s">
        <v>84</v>
      </c>
      <c r="C710" s="25"/>
      <c r="D710" s="19"/>
      <c r="E710" s="55">
        <f t="shared" si="438"/>
        <v>0</v>
      </c>
      <c r="F710" s="31">
        <v>4</v>
      </c>
      <c r="G710" s="7"/>
      <c r="H710" s="64">
        <f t="shared" si="439"/>
        <v>4</v>
      </c>
      <c r="I710" s="38">
        <f t="shared" si="440"/>
        <v>4</v>
      </c>
      <c r="J710" s="78">
        <v>45910</v>
      </c>
      <c r="L710" s="6"/>
      <c r="M710" s="28"/>
      <c r="N710" s="22"/>
      <c r="O710" s="55">
        <f t="shared" si="431"/>
        <v>0</v>
      </c>
      <c r="P710" s="33"/>
      <c r="Q710" s="8"/>
      <c r="R710" s="64">
        <f t="shared" si="432"/>
        <v>0</v>
      </c>
      <c r="S710" s="38">
        <f t="shared" si="433"/>
        <v>0</v>
      </c>
    </row>
    <row r="711" spans="2:21" x14ac:dyDescent="0.15">
      <c r="B711" s="6" t="s">
        <v>7</v>
      </c>
      <c r="C711" s="25">
        <v>1</v>
      </c>
      <c r="D711" s="19">
        <v>2</v>
      </c>
      <c r="E711" s="55">
        <f t="shared" si="438"/>
        <v>3</v>
      </c>
      <c r="F711" s="31"/>
      <c r="G711" s="7">
        <f>1+2</f>
        <v>3</v>
      </c>
      <c r="H711" s="64">
        <f t="shared" si="439"/>
        <v>3</v>
      </c>
      <c r="I711" s="38">
        <f t="shared" si="440"/>
        <v>6</v>
      </c>
      <c r="J711" s="78">
        <v>45908</v>
      </c>
      <c r="L711" s="6"/>
      <c r="M711" s="28"/>
      <c r="N711" s="22"/>
      <c r="O711" s="55">
        <f t="shared" si="431"/>
        <v>0</v>
      </c>
      <c r="P711" s="33"/>
      <c r="Q711" s="8"/>
      <c r="R711" s="64">
        <f t="shared" si="432"/>
        <v>0</v>
      </c>
      <c r="S711" s="38">
        <f t="shared" si="433"/>
        <v>0</v>
      </c>
    </row>
    <row r="712" spans="2:21" x14ac:dyDescent="0.15">
      <c r="B712" s="6" t="s">
        <v>85</v>
      </c>
      <c r="C712" s="25"/>
      <c r="D712" s="19">
        <v>1</v>
      </c>
      <c r="E712" s="55">
        <f t="shared" si="438"/>
        <v>1</v>
      </c>
      <c r="F712" s="31">
        <v>1</v>
      </c>
      <c r="G712" s="7">
        <v>3</v>
      </c>
      <c r="H712" s="64">
        <f t="shared" si="439"/>
        <v>4</v>
      </c>
      <c r="I712" s="38">
        <f t="shared" si="440"/>
        <v>5</v>
      </c>
      <c r="J712" s="78">
        <v>45911</v>
      </c>
      <c r="L712" s="6"/>
      <c r="M712" s="28"/>
      <c r="N712" s="22"/>
      <c r="O712" s="55">
        <f t="shared" si="431"/>
        <v>0</v>
      </c>
      <c r="P712" s="33"/>
      <c r="Q712" s="8"/>
      <c r="R712" s="64">
        <f t="shared" si="432"/>
        <v>0</v>
      </c>
      <c r="S712" s="38">
        <f t="shared" si="433"/>
        <v>0</v>
      </c>
    </row>
    <row r="713" spans="2:21" x14ac:dyDescent="0.15">
      <c r="B713" s="6" t="s">
        <v>87</v>
      </c>
      <c r="C713" s="25"/>
      <c r="D713" s="19"/>
      <c r="E713" s="55">
        <f t="shared" si="438"/>
        <v>0</v>
      </c>
      <c r="F713" s="31">
        <v>2</v>
      </c>
      <c r="G713" s="7"/>
      <c r="H713" s="64">
        <f t="shared" si="439"/>
        <v>2</v>
      </c>
      <c r="I713" s="38">
        <f t="shared" si="440"/>
        <v>2</v>
      </c>
      <c r="J713" s="78">
        <v>45912</v>
      </c>
      <c r="L713" s="6"/>
      <c r="M713" s="28"/>
      <c r="N713" s="22"/>
      <c r="O713" s="55">
        <f t="shared" si="431"/>
        <v>0</v>
      </c>
      <c r="P713" s="33"/>
      <c r="Q713" s="8"/>
      <c r="R713" s="64">
        <f t="shared" si="432"/>
        <v>0</v>
      </c>
      <c r="S713" s="38">
        <f t="shared" si="433"/>
        <v>0</v>
      </c>
    </row>
    <row r="714" spans="2:21" x14ac:dyDescent="0.15">
      <c r="B714" s="6" t="s">
        <v>177</v>
      </c>
      <c r="C714" s="25"/>
      <c r="D714" s="19">
        <v>-1</v>
      </c>
      <c r="E714" s="55">
        <f t="shared" si="434"/>
        <v>-1</v>
      </c>
      <c r="F714" s="31"/>
      <c r="G714" s="7">
        <v>-1</v>
      </c>
      <c r="H714" s="64">
        <f t="shared" si="435"/>
        <v>-1</v>
      </c>
      <c r="I714" s="38">
        <f t="shared" si="436"/>
        <v>-2</v>
      </c>
      <c r="J714" s="78">
        <v>45910</v>
      </c>
      <c r="L714" s="6"/>
      <c r="M714" s="28"/>
      <c r="N714" s="22"/>
      <c r="O714" s="55">
        <f t="shared" si="431"/>
        <v>0</v>
      </c>
      <c r="P714" s="33"/>
      <c r="Q714" s="8"/>
      <c r="R714" s="64">
        <f t="shared" si="432"/>
        <v>0</v>
      </c>
      <c r="S714" s="38">
        <f t="shared" si="433"/>
        <v>0</v>
      </c>
    </row>
    <row r="715" spans="2:21" x14ac:dyDescent="0.15">
      <c r="B715" s="6" t="s">
        <v>115</v>
      </c>
      <c r="C715" s="25"/>
      <c r="D715" s="19">
        <v>1</v>
      </c>
      <c r="E715" s="55">
        <f t="shared" si="434"/>
        <v>1</v>
      </c>
      <c r="F715" s="31"/>
      <c r="G715" s="7"/>
      <c r="H715" s="64">
        <f t="shared" si="435"/>
        <v>0</v>
      </c>
      <c r="I715" s="38">
        <f t="shared" si="436"/>
        <v>1</v>
      </c>
      <c r="J715" s="78">
        <v>45918</v>
      </c>
      <c r="L715" s="6"/>
      <c r="M715" s="28"/>
      <c r="N715" s="22"/>
      <c r="O715" s="55">
        <f t="shared" ref="O715:O716" si="441">SUM(M715:N715)</f>
        <v>0</v>
      </c>
      <c r="P715" s="33"/>
      <c r="Q715" s="8"/>
      <c r="R715" s="64">
        <f t="shared" ref="R715:R716" si="442">SUM(P715:Q715)</f>
        <v>0</v>
      </c>
      <c r="S715" s="38">
        <f t="shared" ref="S715:S716" si="443">O715+R715</f>
        <v>0</v>
      </c>
    </row>
    <row r="716" spans="2:21" ht="14.25" thickBot="1" x14ac:dyDescent="0.2">
      <c r="B716" s="6" t="s">
        <v>7</v>
      </c>
      <c r="C716" s="25"/>
      <c r="D716" s="19"/>
      <c r="E716" s="55">
        <f t="shared" si="434"/>
        <v>0</v>
      </c>
      <c r="F716" s="31"/>
      <c r="G716" s="7">
        <v>2</v>
      </c>
      <c r="H716" s="64">
        <f t="shared" si="435"/>
        <v>2</v>
      </c>
      <c r="I716" s="38">
        <f t="shared" si="436"/>
        <v>2</v>
      </c>
      <c r="J716" s="36">
        <v>45916</v>
      </c>
      <c r="L716" s="6" t="s">
        <v>171</v>
      </c>
      <c r="M716" s="25"/>
      <c r="N716" s="19"/>
      <c r="O716" s="55">
        <f t="shared" si="441"/>
        <v>0</v>
      </c>
      <c r="P716" s="31"/>
      <c r="Q716" s="7"/>
      <c r="R716" s="64">
        <f t="shared" si="442"/>
        <v>0</v>
      </c>
      <c r="S716" s="38">
        <f t="shared" si="443"/>
        <v>0</v>
      </c>
      <c r="T716" t="s">
        <v>170</v>
      </c>
    </row>
    <row r="717" spans="2:21" ht="14.25" thickBot="1" x14ac:dyDescent="0.2">
      <c r="B717" s="4" t="s">
        <v>1</v>
      </c>
      <c r="C717" s="27">
        <f>SUM(C692:C716)</f>
        <v>17</v>
      </c>
      <c r="D717" s="21">
        <f>SUM(D692:D716)</f>
        <v>18</v>
      </c>
      <c r="E717" s="57">
        <f t="shared" si="434"/>
        <v>35</v>
      </c>
      <c r="F717" s="27">
        <f>SUM(F692:F716)</f>
        <v>13</v>
      </c>
      <c r="G717" s="21">
        <f>SUM(G692:G716)</f>
        <v>22</v>
      </c>
      <c r="H717" s="66">
        <f t="shared" si="435"/>
        <v>35</v>
      </c>
      <c r="I717" s="40">
        <f t="shared" si="436"/>
        <v>70</v>
      </c>
      <c r="L717" s="4" t="s">
        <v>1</v>
      </c>
      <c r="M717" s="27">
        <f>SUM(M692:M716)</f>
        <v>5</v>
      </c>
      <c r="N717" s="21">
        <f t="shared" ref="N717:S717" si="444">SUM(N692:N716)</f>
        <v>20</v>
      </c>
      <c r="O717" s="57">
        <f t="shared" si="444"/>
        <v>25</v>
      </c>
      <c r="P717" s="27">
        <f t="shared" si="444"/>
        <v>0</v>
      </c>
      <c r="Q717" s="21">
        <f t="shared" si="444"/>
        <v>20</v>
      </c>
      <c r="R717" s="66">
        <f t="shared" si="444"/>
        <v>20</v>
      </c>
      <c r="S717" s="40">
        <f t="shared" si="444"/>
        <v>45</v>
      </c>
    </row>
    <row r="718" spans="2:21" ht="14.25" thickBot="1" x14ac:dyDescent="0.2">
      <c r="B718" s="3" t="s">
        <v>0</v>
      </c>
      <c r="C718" s="30">
        <f>+C691-C717</f>
        <v>11</v>
      </c>
      <c r="D718" s="2">
        <f>+D691-D717</f>
        <v>14</v>
      </c>
      <c r="E718" s="58">
        <f t="shared" si="434"/>
        <v>25</v>
      </c>
      <c r="F718" s="30">
        <f>+F691-F717</f>
        <v>12</v>
      </c>
      <c r="G718" s="2">
        <f>+G691-G717</f>
        <v>11</v>
      </c>
      <c r="H718" s="67">
        <f t="shared" si="435"/>
        <v>23</v>
      </c>
      <c r="I718" s="42">
        <f t="shared" si="436"/>
        <v>48</v>
      </c>
      <c r="L718" s="3" t="s">
        <v>0</v>
      </c>
      <c r="M718" s="30">
        <f>+M691-M717</f>
        <v>75</v>
      </c>
      <c r="N718" s="2">
        <f t="shared" ref="N718:S718" si="445">+N691-N717</f>
        <v>113</v>
      </c>
      <c r="O718" s="58">
        <f t="shared" si="445"/>
        <v>188</v>
      </c>
      <c r="P718" s="30">
        <f t="shared" si="445"/>
        <v>41</v>
      </c>
      <c r="Q718" s="2">
        <f t="shared" si="445"/>
        <v>16</v>
      </c>
      <c r="R718" s="67">
        <f t="shared" si="445"/>
        <v>57</v>
      </c>
      <c r="S718" s="42">
        <f t="shared" si="445"/>
        <v>245</v>
      </c>
      <c r="U718" t="s">
        <v>176</v>
      </c>
    </row>
    <row r="721" spans="2:20" ht="18.75" x14ac:dyDescent="0.2">
      <c r="B721" s="16" t="s">
        <v>21</v>
      </c>
      <c r="C721" s="15"/>
      <c r="D721" s="15"/>
      <c r="E721" s="15"/>
      <c r="F721" s="15"/>
      <c r="G721" s="15"/>
      <c r="H721" s="15"/>
      <c r="I721" s="15"/>
      <c r="L721" s="71" t="s">
        <v>22</v>
      </c>
      <c r="M721" s="72"/>
      <c r="N721" s="72"/>
      <c r="O721" s="72"/>
      <c r="P721" s="72"/>
      <c r="Q721" s="72"/>
      <c r="R721" s="72"/>
      <c r="S721" s="72"/>
    </row>
    <row r="722" spans="2:20" ht="18" thickBot="1" x14ac:dyDescent="0.25">
      <c r="B722" s="17" t="s">
        <v>23</v>
      </c>
      <c r="C722" s="15"/>
      <c r="D722" s="15"/>
      <c r="E722" s="15"/>
      <c r="F722" s="15"/>
      <c r="G722" s="15"/>
      <c r="H722" s="15"/>
      <c r="I722" s="15"/>
      <c r="L722" s="73" t="s">
        <v>23</v>
      </c>
      <c r="M722" s="72"/>
      <c r="N722" s="72"/>
      <c r="O722" s="72"/>
      <c r="P722" s="72"/>
      <c r="Q722" s="72"/>
      <c r="R722" s="72"/>
      <c r="S722" s="72"/>
    </row>
    <row r="723" spans="2:20" ht="14.25" thickBot="1" x14ac:dyDescent="0.2">
      <c r="B723" s="14"/>
      <c r="C723" s="113" t="s">
        <v>12</v>
      </c>
      <c r="D723" s="114"/>
      <c r="E723" s="115"/>
      <c r="F723" s="116" t="s">
        <v>11</v>
      </c>
      <c r="G723" s="117"/>
      <c r="H723" s="118"/>
      <c r="I723" s="13" t="s">
        <v>19</v>
      </c>
      <c r="L723" s="14"/>
      <c r="M723" s="113" t="s">
        <v>12</v>
      </c>
      <c r="N723" s="114"/>
      <c r="O723" s="115"/>
      <c r="P723" s="116" t="s">
        <v>11</v>
      </c>
      <c r="Q723" s="117"/>
      <c r="R723" s="118"/>
      <c r="S723" s="13" t="s">
        <v>19</v>
      </c>
    </row>
    <row r="724" spans="2:20" ht="14.25" thickBot="1" x14ac:dyDescent="0.2">
      <c r="B724" s="13"/>
      <c r="C724" s="23" t="s">
        <v>6</v>
      </c>
      <c r="D724" s="12" t="s">
        <v>5</v>
      </c>
      <c r="E724" s="50" t="s">
        <v>4</v>
      </c>
      <c r="F724" s="23" t="s">
        <v>6</v>
      </c>
      <c r="G724" s="12" t="s">
        <v>5</v>
      </c>
      <c r="H724" s="59" t="s">
        <v>4</v>
      </c>
      <c r="I724" s="49"/>
      <c r="L724" s="13"/>
      <c r="M724" s="23" t="s">
        <v>6</v>
      </c>
      <c r="N724" s="12" t="s">
        <v>5</v>
      </c>
      <c r="O724" s="50" t="s">
        <v>4</v>
      </c>
      <c r="P724" s="23" t="s">
        <v>6</v>
      </c>
      <c r="Q724" s="12" t="s">
        <v>5</v>
      </c>
      <c r="R724" s="59" t="s">
        <v>4</v>
      </c>
      <c r="S724" s="49"/>
    </row>
    <row r="725" spans="2:20" x14ac:dyDescent="0.15">
      <c r="B725" s="46" t="s">
        <v>0</v>
      </c>
      <c r="C725" s="47">
        <f t="shared" ref="C725:H725" si="446">C718</f>
        <v>11</v>
      </c>
      <c r="D725" s="48">
        <f t="shared" si="446"/>
        <v>14</v>
      </c>
      <c r="E725" s="68">
        <f t="shared" si="446"/>
        <v>25</v>
      </c>
      <c r="F725" s="47">
        <f t="shared" si="446"/>
        <v>12</v>
      </c>
      <c r="G725" s="48">
        <f t="shared" si="446"/>
        <v>11</v>
      </c>
      <c r="H725" s="69">
        <f t="shared" si="446"/>
        <v>23</v>
      </c>
      <c r="I725" s="41">
        <f>E725+H725</f>
        <v>48</v>
      </c>
      <c r="L725" s="46" t="s">
        <v>0</v>
      </c>
      <c r="M725" s="47">
        <f>M718</f>
        <v>75</v>
      </c>
      <c r="N725" s="48">
        <f t="shared" ref="N725:S725" si="447">N718</f>
        <v>113</v>
      </c>
      <c r="O725" s="68">
        <f t="shared" si="447"/>
        <v>188</v>
      </c>
      <c r="P725" s="47">
        <f t="shared" si="447"/>
        <v>41</v>
      </c>
      <c r="Q725" s="48">
        <f t="shared" si="447"/>
        <v>16</v>
      </c>
      <c r="R725" s="69">
        <f t="shared" si="447"/>
        <v>57</v>
      </c>
      <c r="S725" s="41">
        <f t="shared" si="447"/>
        <v>245</v>
      </c>
    </row>
    <row r="726" spans="2:20" x14ac:dyDescent="0.15">
      <c r="B726" s="90" t="s">
        <v>3</v>
      </c>
      <c r="C726" s="91"/>
      <c r="D726" s="92">
        <v>5</v>
      </c>
      <c r="E726" s="93">
        <f t="shared" ref="E726:E730" si="448">SUM(C726:D726)</f>
        <v>5</v>
      </c>
      <c r="F726" s="94"/>
      <c r="G726" s="95"/>
      <c r="H726" s="96">
        <f t="shared" ref="H726:H730" si="449">SUM(F726:G726)</f>
        <v>0</v>
      </c>
      <c r="I726" s="97">
        <f t="shared" ref="I726:I730" si="450">E726+H726</f>
        <v>5</v>
      </c>
      <c r="J726" s="98">
        <v>45938</v>
      </c>
      <c r="L726" s="11" t="s">
        <v>3</v>
      </c>
      <c r="M726" s="25"/>
      <c r="N726" s="19"/>
      <c r="O726" s="52">
        <f t="shared" ref="O726:O730" si="451">SUM(M726:N726)</f>
        <v>0</v>
      </c>
      <c r="P726" s="31"/>
      <c r="Q726" s="7"/>
      <c r="R726" s="61">
        <f t="shared" ref="R726:R730" si="452">SUM(P726:Q726)</f>
        <v>0</v>
      </c>
      <c r="S726" s="38">
        <f t="shared" ref="S726:S730" si="453">O726+R726</f>
        <v>0</v>
      </c>
    </row>
    <row r="727" spans="2:20" x14ac:dyDescent="0.15">
      <c r="B727" s="11" t="s">
        <v>69</v>
      </c>
      <c r="C727" s="25"/>
      <c r="D727" s="19">
        <v>1</v>
      </c>
      <c r="E727" s="52">
        <f t="shared" si="448"/>
        <v>1</v>
      </c>
      <c r="F727" s="31"/>
      <c r="G727" s="7">
        <v>1</v>
      </c>
      <c r="H727" s="61">
        <f t="shared" si="449"/>
        <v>1</v>
      </c>
      <c r="I727" s="38">
        <f t="shared" si="450"/>
        <v>2</v>
      </c>
      <c r="J727" s="78">
        <v>45937</v>
      </c>
      <c r="L727" s="11" t="s">
        <v>3</v>
      </c>
      <c r="M727" s="25"/>
      <c r="N727" s="19"/>
      <c r="O727" s="52">
        <f t="shared" si="451"/>
        <v>0</v>
      </c>
      <c r="P727" s="31"/>
      <c r="Q727" s="7"/>
      <c r="R727" s="61">
        <f t="shared" si="452"/>
        <v>0</v>
      </c>
      <c r="S727" s="38">
        <f t="shared" si="453"/>
        <v>0</v>
      </c>
    </row>
    <row r="728" spans="2:20" x14ac:dyDescent="0.15">
      <c r="B728" s="11" t="s">
        <v>69</v>
      </c>
      <c r="C728" s="25"/>
      <c r="D728" s="19">
        <v>1</v>
      </c>
      <c r="E728" s="52">
        <f t="shared" si="448"/>
        <v>1</v>
      </c>
      <c r="F728" s="31">
        <v>2</v>
      </c>
      <c r="G728" s="7">
        <v>1</v>
      </c>
      <c r="H728" s="61">
        <f t="shared" si="449"/>
        <v>3</v>
      </c>
      <c r="I728" s="38">
        <f t="shared" si="450"/>
        <v>4</v>
      </c>
      <c r="J728" s="78">
        <v>45966</v>
      </c>
      <c r="L728" s="11" t="s">
        <v>3</v>
      </c>
      <c r="M728" s="25"/>
      <c r="N728" s="19"/>
      <c r="O728" s="52">
        <f t="shared" si="451"/>
        <v>0</v>
      </c>
      <c r="P728" s="31"/>
      <c r="Q728" s="7"/>
      <c r="R728" s="61">
        <f t="shared" si="452"/>
        <v>0</v>
      </c>
      <c r="S728" s="38">
        <f t="shared" si="453"/>
        <v>0</v>
      </c>
    </row>
    <row r="729" spans="2:20" x14ac:dyDescent="0.15">
      <c r="B729" s="90" t="s">
        <v>3</v>
      </c>
      <c r="C729" s="91"/>
      <c r="D729" s="92">
        <v>3</v>
      </c>
      <c r="E729" s="93">
        <f t="shared" si="448"/>
        <v>3</v>
      </c>
      <c r="F729" s="94"/>
      <c r="G729" s="95"/>
      <c r="H729" s="96">
        <f t="shared" si="449"/>
        <v>0</v>
      </c>
      <c r="I729" s="97">
        <f t="shared" si="450"/>
        <v>3</v>
      </c>
      <c r="J729" s="98">
        <v>46037</v>
      </c>
      <c r="L729" s="11" t="s">
        <v>3</v>
      </c>
      <c r="M729" s="25"/>
      <c r="N729" s="19"/>
      <c r="O729" s="52">
        <f t="shared" si="451"/>
        <v>0</v>
      </c>
      <c r="P729" s="31"/>
      <c r="Q729" s="7"/>
      <c r="R729" s="61">
        <f t="shared" si="452"/>
        <v>0</v>
      </c>
      <c r="S729" s="38">
        <f t="shared" si="453"/>
        <v>0</v>
      </c>
    </row>
    <row r="730" spans="2:20" ht="14.25" thickBot="1" x14ac:dyDescent="0.2">
      <c r="B730" s="11" t="s">
        <v>3</v>
      </c>
      <c r="C730" s="25"/>
      <c r="D730" s="19"/>
      <c r="E730" s="52">
        <f t="shared" si="448"/>
        <v>0</v>
      </c>
      <c r="F730" s="31"/>
      <c r="G730" s="7"/>
      <c r="H730" s="61">
        <f t="shared" si="449"/>
        <v>0</v>
      </c>
      <c r="I730" s="38">
        <f t="shared" si="450"/>
        <v>0</v>
      </c>
      <c r="J730"/>
      <c r="L730" s="11" t="s">
        <v>3</v>
      </c>
      <c r="M730" s="25"/>
      <c r="N730" s="19"/>
      <c r="O730" s="52">
        <f t="shared" si="451"/>
        <v>0</v>
      </c>
      <c r="P730" s="31"/>
      <c r="Q730" s="7"/>
      <c r="R730" s="61">
        <f t="shared" si="452"/>
        <v>0</v>
      </c>
      <c r="S730" s="38">
        <f t="shared" si="453"/>
        <v>0</v>
      </c>
    </row>
    <row r="731" spans="2:20" ht="14.25" thickBot="1" x14ac:dyDescent="0.2">
      <c r="B731" s="43" t="s">
        <v>2</v>
      </c>
      <c r="C731" s="44">
        <f>SUM(C725:C730)</f>
        <v>11</v>
      </c>
      <c r="D731" s="45">
        <f>SUM(D725:D730)</f>
        <v>24</v>
      </c>
      <c r="E731" s="83">
        <f t="shared" ref="E731:E758" si="454">SUM(C731:D731)</f>
        <v>35</v>
      </c>
      <c r="F731" s="44">
        <f>SUM(F725:F730)</f>
        <v>14</v>
      </c>
      <c r="G731" s="45">
        <f>SUM(G725:G730)</f>
        <v>13</v>
      </c>
      <c r="H731" s="84">
        <f t="shared" ref="H731:H758" si="455">SUM(F731:G731)</f>
        <v>27</v>
      </c>
      <c r="I731" s="42">
        <f t="shared" ref="I731:I758" si="456">E731+H731</f>
        <v>62</v>
      </c>
      <c r="L731" s="43" t="s">
        <v>2</v>
      </c>
      <c r="M731" s="44">
        <f>SUM(M725:M730)</f>
        <v>75</v>
      </c>
      <c r="N731" s="45">
        <f t="shared" ref="N731" si="457">SUM(N725:N730)</f>
        <v>113</v>
      </c>
      <c r="O731" s="83">
        <f t="shared" ref="O731" si="458">SUM(O725:O730)</f>
        <v>188</v>
      </c>
      <c r="P731" s="44">
        <f t="shared" ref="P731" si="459">SUM(P725:P730)</f>
        <v>41</v>
      </c>
      <c r="Q731" s="45">
        <f t="shared" ref="Q731" si="460">SUM(Q725:Q730)</f>
        <v>16</v>
      </c>
      <c r="R731" s="84">
        <f t="shared" ref="R731" si="461">SUM(R725:R730)</f>
        <v>57</v>
      </c>
      <c r="S731" s="42">
        <f t="shared" ref="S731" si="462">SUM(S725:S730)</f>
        <v>245</v>
      </c>
    </row>
    <row r="732" spans="2:20" x14ac:dyDescent="0.15">
      <c r="B732" s="6" t="s">
        <v>116</v>
      </c>
      <c r="C732" s="25"/>
      <c r="D732" s="19"/>
      <c r="E732" s="55">
        <f t="shared" ref="E732:E743" si="463">SUM(C732:D732)</f>
        <v>0</v>
      </c>
      <c r="F732" s="31"/>
      <c r="G732" s="7">
        <v>1</v>
      </c>
      <c r="H732" s="64">
        <f t="shared" ref="H732:H743" si="464">SUM(F732:G732)</f>
        <v>1</v>
      </c>
      <c r="I732" s="38">
        <f t="shared" ref="I732:I743" si="465">E732+H732</f>
        <v>1</v>
      </c>
      <c r="J732" s="78">
        <v>45919</v>
      </c>
      <c r="L732" s="6" t="s">
        <v>178</v>
      </c>
      <c r="M732" s="25"/>
      <c r="N732" s="19">
        <v>5</v>
      </c>
      <c r="O732" s="55">
        <f t="shared" ref="O732" si="466">SUM(M732:N732)</f>
        <v>5</v>
      </c>
      <c r="P732" s="31"/>
      <c r="Q732" s="7"/>
      <c r="R732" s="64">
        <f t="shared" ref="R732" si="467">SUM(P732:Q732)</f>
        <v>0</v>
      </c>
      <c r="S732" s="38">
        <f t="shared" ref="S732" si="468">O732+R732</f>
        <v>5</v>
      </c>
      <c r="T732" s="78">
        <v>45938</v>
      </c>
    </row>
    <row r="733" spans="2:20" x14ac:dyDescent="0.15">
      <c r="B733" s="6" t="s">
        <v>118</v>
      </c>
      <c r="C733" s="25"/>
      <c r="D733" s="19">
        <v>1</v>
      </c>
      <c r="E733" s="55">
        <f t="shared" si="463"/>
        <v>1</v>
      </c>
      <c r="F733" s="31"/>
      <c r="G733" s="7"/>
      <c r="H733" s="64">
        <f t="shared" si="464"/>
        <v>0</v>
      </c>
      <c r="I733" s="38">
        <f t="shared" si="465"/>
        <v>1</v>
      </c>
      <c r="J733" s="78">
        <v>45922</v>
      </c>
      <c r="L733" s="99" t="s">
        <v>32</v>
      </c>
      <c r="M733" s="91"/>
      <c r="N733" s="92">
        <v>3</v>
      </c>
      <c r="O733" s="100">
        <f t="shared" ref="O733:O756" si="469">SUM(M733:N733)</f>
        <v>3</v>
      </c>
      <c r="P733" s="94"/>
      <c r="Q733" s="95"/>
      <c r="R733" s="101">
        <f t="shared" ref="R733:R756" si="470">SUM(P733:Q733)</f>
        <v>0</v>
      </c>
      <c r="S733" s="97">
        <f t="shared" ref="S733:S756" si="471">O733+R733</f>
        <v>3</v>
      </c>
      <c r="T733" s="98">
        <v>46037</v>
      </c>
    </row>
    <row r="734" spans="2:20" x14ac:dyDescent="0.15">
      <c r="B734" s="6" t="s">
        <v>7</v>
      </c>
      <c r="C734" s="28">
        <v>1</v>
      </c>
      <c r="D734" s="22">
        <v>1</v>
      </c>
      <c r="E734" s="55">
        <f t="shared" si="463"/>
        <v>2</v>
      </c>
      <c r="F734" s="33">
        <v>-1</v>
      </c>
      <c r="G734" s="8">
        <v>2</v>
      </c>
      <c r="H734" s="64">
        <f t="shared" si="464"/>
        <v>1</v>
      </c>
      <c r="I734" s="38">
        <f t="shared" si="465"/>
        <v>3</v>
      </c>
      <c r="J734" s="78">
        <v>45919</v>
      </c>
      <c r="L734" s="6"/>
      <c r="M734" s="25"/>
      <c r="N734" s="19"/>
      <c r="O734" s="55">
        <f t="shared" ref="O734" si="472">SUM(M734:N734)</f>
        <v>0</v>
      </c>
      <c r="P734" s="31"/>
      <c r="Q734" s="7"/>
      <c r="R734" s="64">
        <f t="shared" ref="R734" si="473">SUM(P734:Q734)</f>
        <v>0</v>
      </c>
      <c r="S734" s="38">
        <f t="shared" ref="S734" si="474">O734+R734</f>
        <v>0</v>
      </c>
    </row>
    <row r="735" spans="2:20" x14ac:dyDescent="0.15">
      <c r="B735" s="6" t="s">
        <v>122</v>
      </c>
      <c r="C735" s="25"/>
      <c r="D735" s="19">
        <v>1</v>
      </c>
      <c r="E735" s="55">
        <f t="shared" si="463"/>
        <v>1</v>
      </c>
      <c r="F735" s="31"/>
      <c r="G735" s="7">
        <v>1</v>
      </c>
      <c r="H735" s="64">
        <f t="shared" si="464"/>
        <v>1</v>
      </c>
      <c r="I735" s="38">
        <f t="shared" si="465"/>
        <v>2</v>
      </c>
      <c r="J735" s="78">
        <v>45924</v>
      </c>
      <c r="L735" s="6"/>
      <c r="M735" s="25"/>
      <c r="N735" s="19"/>
      <c r="O735" s="55">
        <f t="shared" si="469"/>
        <v>0</v>
      </c>
      <c r="P735" s="31"/>
      <c r="Q735" s="7"/>
      <c r="R735" s="64">
        <f t="shared" si="470"/>
        <v>0</v>
      </c>
      <c r="S735" s="38">
        <f t="shared" si="471"/>
        <v>0</v>
      </c>
    </row>
    <row r="736" spans="2:20" x14ac:dyDescent="0.15">
      <c r="B736" s="6" t="s">
        <v>7</v>
      </c>
      <c r="C736" s="25"/>
      <c r="D736" s="19">
        <v>1</v>
      </c>
      <c r="E736" s="55">
        <f t="shared" si="463"/>
        <v>1</v>
      </c>
      <c r="F736" s="31"/>
      <c r="G736" s="7"/>
      <c r="H736" s="64">
        <f t="shared" si="464"/>
        <v>0</v>
      </c>
      <c r="I736" s="38">
        <f t="shared" si="465"/>
        <v>1</v>
      </c>
      <c r="J736" s="78">
        <v>45922</v>
      </c>
      <c r="L736" s="6"/>
      <c r="M736" s="25"/>
      <c r="N736" s="19"/>
      <c r="O736" s="55">
        <f t="shared" si="469"/>
        <v>0</v>
      </c>
      <c r="P736" s="31"/>
      <c r="Q736" s="7"/>
      <c r="R736" s="64">
        <f t="shared" si="470"/>
        <v>0</v>
      </c>
      <c r="S736" s="38">
        <f t="shared" si="471"/>
        <v>0</v>
      </c>
    </row>
    <row r="737" spans="2:19" x14ac:dyDescent="0.15">
      <c r="B737" s="6" t="s">
        <v>123</v>
      </c>
      <c r="C737" s="25"/>
      <c r="D737" s="19"/>
      <c r="E737" s="55">
        <f t="shared" si="463"/>
        <v>0</v>
      </c>
      <c r="F737" s="31"/>
      <c r="G737" s="7">
        <v>1</v>
      </c>
      <c r="H737" s="64">
        <f t="shared" si="464"/>
        <v>1</v>
      </c>
      <c r="I737" s="38">
        <f t="shared" si="465"/>
        <v>1</v>
      </c>
      <c r="J737" s="78">
        <v>45926</v>
      </c>
      <c r="L737" s="6"/>
      <c r="M737" s="25"/>
      <c r="N737" s="19"/>
      <c r="O737" s="55">
        <f t="shared" si="469"/>
        <v>0</v>
      </c>
      <c r="P737" s="31"/>
      <c r="Q737" s="7"/>
      <c r="R737" s="64">
        <f t="shared" si="470"/>
        <v>0</v>
      </c>
      <c r="S737" s="38">
        <f t="shared" si="471"/>
        <v>0</v>
      </c>
    </row>
    <row r="738" spans="2:19" x14ac:dyDescent="0.15">
      <c r="B738" s="6" t="s">
        <v>124</v>
      </c>
      <c r="C738" s="25"/>
      <c r="D738" s="19">
        <v>1</v>
      </c>
      <c r="E738" s="55">
        <f t="shared" si="463"/>
        <v>1</v>
      </c>
      <c r="F738" s="31"/>
      <c r="G738" s="7"/>
      <c r="H738" s="64">
        <f t="shared" si="464"/>
        <v>0</v>
      </c>
      <c r="I738" s="38">
        <f t="shared" si="465"/>
        <v>1</v>
      </c>
      <c r="J738" s="78">
        <v>45929</v>
      </c>
      <c r="L738" s="6"/>
      <c r="M738" s="25"/>
      <c r="N738" s="19"/>
      <c r="O738" s="55">
        <f t="shared" si="469"/>
        <v>0</v>
      </c>
      <c r="P738" s="31"/>
      <c r="Q738" s="7"/>
      <c r="R738" s="64">
        <f t="shared" si="470"/>
        <v>0</v>
      </c>
      <c r="S738" s="38">
        <f t="shared" si="471"/>
        <v>0</v>
      </c>
    </row>
    <row r="739" spans="2:19" x14ac:dyDescent="0.15">
      <c r="B739" s="6" t="s">
        <v>7</v>
      </c>
      <c r="C739" s="28">
        <v>1</v>
      </c>
      <c r="D739" s="22"/>
      <c r="E739" s="55">
        <f t="shared" si="463"/>
        <v>1</v>
      </c>
      <c r="F739" s="33">
        <v>1</v>
      </c>
      <c r="G739" s="8"/>
      <c r="H739" s="64">
        <f t="shared" si="464"/>
        <v>1</v>
      </c>
      <c r="I739" s="38">
        <f t="shared" si="465"/>
        <v>2</v>
      </c>
      <c r="J739" s="78">
        <v>45926</v>
      </c>
      <c r="L739" s="6"/>
      <c r="M739" s="25"/>
      <c r="N739" s="19"/>
      <c r="O739" s="55">
        <f t="shared" si="469"/>
        <v>0</v>
      </c>
      <c r="P739" s="31"/>
      <c r="Q739" s="7"/>
      <c r="R739" s="64">
        <f t="shared" si="470"/>
        <v>0</v>
      </c>
      <c r="S739" s="38">
        <f t="shared" si="471"/>
        <v>0</v>
      </c>
    </row>
    <row r="740" spans="2:19" x14ac:dyDescent="0.15">
      <c r="B740" s="6" t="s">
        <v>125</v>
      </c>
      <c r="C740" s="25"/>
      <c r="D740" s="19">
        <v>2</v>
      </c>
      <c r="E740" s="55">
        <f t="shared" si="463"/>
        <v>2</v>
      </c>
      <c r="F740" s="31"/>
      <c r="G740" s="7"/>
      <c r="H740" s="64">
        <f t="shared" si="464"/>
        <v>0</v>
      </c>
      <c r="I740" s="38">
        <f t="shared" si="465"/>
        <v>2</v>
      </c>
      <c r="J740" s="78">
        <v>45932</v>
      </c>
      <c r="L740" s="6"/>
      <c r="M740" s="25"/>
      <c r="N740" s="19"/>
      <c r="O740" s="55">
        <f t="shared" si="469"/>
        <v>0</v>
      </c>
      <c r="P740" s="31"/>
      <c r="Q740" s="7"/>
      <c r="R740" s="64">
        <f t="shared" si="470"/>
        <v>0</v>
      </c>
      <c r="S740" s="38">
        <f t="shared" si="471"/>
        <v>0</v>
      </c>
    </row>
    <row r="741" spans="2:19" x14ac:dyDescent="0.15">
      <c r="B741" s="6" t="s">
        <v>129</v>
      </c>
      <c r="C741" s="25"/>
      <c r="D741" s="19">
        <v>1</v>
      </c>
      <c r="E741" s="55">
        <f t="shared" si="463"/>
        <v>1</v>
      </c>
      <c r="F741" s="31"/>
      <c r="G741" s="7"/>
      <c r="H741" s="64">
        <f t="shared" si="464"/>
        <v>0</v>
      </c>
      <c r="I741" s="38">
        <f t="shared" si="465"/>
        <v>1</v>
      </c>
      <c r="J741" s="78">
        <v>45933</v>
      </c>
      <c r="L741" s="6"/>
      <c r="M741" s="25"/>
      <c r="N741" s="19"/>
      <c r="O741" s="55">
        <f t="shared" si="469"/>
        <v>0</v>
      </c>
      <c r="P741" s="31"/>
      <c r="Q741" s="7"/>
      <c r="R741" s="64">
        <f t="shared" si="470"/>
        <v>0</v>
      </c>
      <c r="S741" s="38">
        <f t="shared" si="471"/>
        <v>0</v>
      </c>
    </row>
    <row r="742" spans="2:19" x14ac:dyDescent="0.15">
      <c r="B742" s="6" t="s">
        <v>7</v>
      </c>
      <c r="C742" s="25"/>
      <c r="D742" s="19">
        <v>2</v>
      </c>
      <c r="E742" s="55">
        <f t="shared" si="463"/>
        <v>2</v>
      </c>
      <c r="F742" s="31"/>
      <c r="G742" s="7"/>
      <c r="H742" s="64">
        <f t="shared" si="464"/>
        <v>0</v>
      </c>
      <c r="I742" s="38">
        <f t="shared" si="465"/>
        <v>2</v>
      </c>
      <c r="J742" s="78">
        <v>45934</v>
      </c>
      <c r="L742" s="6"/>
      <c r="M742" s="25"/>
      <c r="N742" s="19"/>
      <c r="O742" s="55">
        <f t="shared" si="469"/>
        <v>0</v>
      </c>
      <c r="P742" s="31"/>
      <c r="Q742" s="7"/>
      <c r="R742" s="64">
        <f t="shared" si="470"/>
        <v>0</v>
      </c>
      <c r="S742" s="38">
        <f t="shared" si="471"/>
        <v>0</v>
      </c>
    </row>
    <row r="743" spans="2:19" x14ac:dyDescent="0.15">
      <c r="B743" s="6" t="s">
        <v>131</v>
      </c>
      <c r="C743" s="25"/>
      <c r="D743" s="19">
        <v>3</v>
      </c>
      <c r="E743" s="55">
        <f t="shared" si="463"/>
        <v>3</v>
      </c>
      <c r="F743" s="31"/>
      <c r="G743" s="7"/>
      <c r="H743" s="64">
        <f t="shared" si="464"/>
        <v>0</v>
      </c>
      <c r="I743" s="38">
        <f t="shared" si="465"/>
        <v>3</v>
      </c>
      <c r="J743" s="78">
        <v>45939</v>
      </c>
      <c r="L743" s="6"/>
      <c r="M743" s="25"/>
      <c r="N743" s="19"/>
      <c r="O743" s="55">
        <f t="shared" si="469"/>
        <v>0</v>
      </c>
      <c r="P743" s="31"/>
      <c r="Q743" s="7"/>
      <c r="R743" s="64">
        <f t="shared" si="470"/>
        <v>0</v>
      </c>
      <c r="S743" s="38">
        <f t="shared" si="471"/>
        <v>0</v>
      </c>
    </row>
    <row r="744" spans="2:19" x14ac:dyDescent="0.15">
      <c r="B744" s="6" t="s">
        <v>7</v>
      </c>
      <c r="C744" s="28"/>
      <c r="D744" s="22">
        <v>1</v>
      </c>
      <c r="E744" s="55">
        <f t="shared" si="454"/>
        <v>1</v>
      </c>
      <c r="F744" s="33"/>
      <c r="G744" s="8"/>
      <c r="H744" s="64">
        <f t="shared" si="455"/>
        <v>0</v>
      </c>
      <c r="I744" s="38">
        <f t="shared" si="456"/>
        <v>1</v>
      </c>
      <c r="J744" s="78">
        <v>45944</v>
      </c>
      <c r="L744" s="6"/>
      <c r="M744" s="25"/>
      <c r="N744" s="19"/>
      <c r="O744" s="55">
        <f t="shared" si="469"/>
        <v>0</v>
      </c>
      <c r="P744" s="31"/>
      <c r="Q744" s="7"/>
      <c r="R744" s="64">
        <f t="shared" si="470"/>
        <v>0</v>
      </c>
      <c r="S744" s="38">
        <f t="shared" si="471"/>
        <v>0</v>
      </c>
    </row>
    <row r="745" spans="2:19" x14ac:dyDescent="0.15">
      <c r="B745" s="6" t="s">
        <v>7</v>
      </c>
      <c r="C745" s="28"/>
      <c r="D745" s="22">
        <v>1</v>
      </c>
      <c r="E745" s="55">
        <f t="shared" si="454"/>
        <v>1</v>
      </c>
      <c r="F745" s="33"/>
      <c r="G745" s="8"/>
      <c r="H745" s="64">
        <f t="shared" si="455"/>
        <v>0</v>
      </c>
      <c r="I745" s="38">
        <f t="shared" si="456"/>
        <v>1</v>
      </c>
      <c r="J745" s="78">
        <v>45946</v>
      </c>
      <c r="L745" s="6"/>
      <c r="M745" s="28"/>
      <c r="N745" s="22"/>
      <c r="O745" s="55">
        <f t="shared" si="469"/>
        <v>0</v>
      </c>
      <c r="P745" s="33"/>
      <c r="Q745" s="8"/>
      <c r="R745" s="64">
        <f t="shared" si="470"/>
        <v>0</v>
      </c>
      <c r="S745" s="38">
        <f t="shared" si="471"/>
        <v>0</v>
      </c>
    </row>
    <row r="746" spans="2:19" x14ac:dyDescent="0.15">
      <c r="B746" s="6" t="s">
        <v>7</v>
      </c>
      <c r="C746" s="28">
        <v>1</v>
      </c>
      <c r="D746" s="22"/>
      <c r="E746" s="55">
        <f t="shared" si="454"/>
        <v>1</v>
      </c>
      <c r="F746" s="33"/>
      <c r="G746" s="8"/>
      <c r="H746" s="64">
        <f t="shared" si="455"/>
        <v>0</v>
      </c>
      <c r="I746" s="38">
        <f t="shared" si="456"/>
        <v>1</v>
      </c>
      <c r="J746" s="78">
        <v>45950</v>
      </c>
      <c r="L746" s="6"/>
      <c r="M746" s="28"/>
      <c r="N746" s="22"/>
      <c r="O746" s="55">
        <f t="shared" si="469"/>
        <v>0</v>
      </c>
      <c r="P746" s="33"/>
      <c r="Q746" s="8"/>
      <c r="R746" s="64">
        <f t="shared" si="470"/>
        <v>0</v>
      </c>
      <c r="S746" s="38">
        <f t="shared" si="471"/>
        <v>0</v>
      </c>
    </row>
    <row r="747" spans="2:19" x14ac:dyDescent="0.15">
      <c r="B747" s="6" t="s">
        <v>7</v>
      </c>
      <c r="C747" s="28"/>
      <c r="D747" s="22"/>
      <c r="E747" s="55">
        <f t="shared" si="454"/>
        <v>0</v>
      </c>
      <c r="F747" s="33"/>
      <c r="G747" s="8">
        <v>1</v>
      </c>
      <c r="H747" s="64">
        <f t="shared" si="455"/>
        <v>1</v>
      </c>
      <c r="I747" s="38">
        <f t="shared" si="456"/>
        <v>1</v>
      </c>
      <c r="J747" s="78">
        <v>45953</v>
      </c>
      <c r="L747" s="6"/>
      <c r="M747" s="28"/>
      <c r="N747" s="22"/>
      <c r="O747" s="55">
        <f t="shared" si="469"/>
        <v>0</v>
      </c>
      <c r="P747" s="33"/>
      <c r="Q747" s="8"/>
      <c r="R747" s="64">
        <f t="shared" si="470"/>
        <v>0</v>
      </c>
      <c r="S747" s="38">
        <f t="shared" si="471"/>
        <v>0</v>
      </c>
    </row>
    <row r="748" spans="2:19" x14ac:dyDescent="0.15">
      <c r="B748" s="6" t="s">
        <v>7</v>
      </c>
      <c r="C748" s="28"/>
      <c r="D748" s="22">
        <v>1</v>
      </c>
      <c r="E748" s="55">
        <f t="shared" si="454"/>
        <v>1</v>
      </c>
      <c r="F748" s="33"/>
      <c r="G748" s="8"/>
      <c r="H748" s="64">
        <f t="shared" si="455"/>
        <v>0</v>
      </c>
      <c r="I748" s="38">
        <f t="shared" si="456"/>
        <v>1</v>
      </c>
      <c r="J748" s="78">
        <v>45978</v>
      </c>
      <c r="L748" s="6"/>
      <c r="M748" s="28"/>
      <c r="N748" s="22"/>
      <c r="O748" s="55">
        <f t="shared" si="469"/>
        <v>0</v>
      </c>
      <c r="P748" s="33"/>
      <c r="Q748" s="8"/>
      <c r="R748" s="64">
        <f t="shared" si="470"/>
        <v>0</v>
      </c>
      <c r="S748" s="38">
        <f t="shared" si="471"/>
        <v>0</v>
      </c>
    </row>
    <row r="749" spans="2:19" x14ac:dyDescent="0.15">
      <c r="B749" s="6" t="s">
        <v>7</v>
      </c>
      <c r="C749" s="28"/>
      <c r="D749" s="22">
        <v>1</v>
      </c>
      <c r="E749" s="55">
        <f t="shared" si="454"/>
        <v>1</v>
      </c>
      <c r="F749" s="33"/>
      <c r="G749" s="8"/>
      <c r="H749" s="64">
        <f t="shared" si="455"/>
        <v>0</v>
      </c>
      <c r="I749" s="38">
        <f t="shared" si="456"/>
        <v>1</v>
      </c>
      <c r="J749" s="78">
        <v>45986</v>
      </c>
      <c r="L749" s="6"/>
      <c r="M749" s="28"/>
      <c r="N749" s="22"/>
      <c r="O749" s="55">
        <f t="shared" si="469"/>
        <v>0</v>
      </c>
      <c r="P749" s="33"/>
      <c r="Q749" s="8"/>
      <c r="R749" s="64">
        <f t="shared" si="470"/>
        <v>0</v>
      </c>
      <c r="S749" s="38">
        <f t="shared" si="471"/>
        <v>0</v>
      </c>
    </row>
    <row r="750" spans="2:19" x14ac:dyDescent="0.15">
      <c r="B750" s="6" t="s">
        <v>7</v>
      </c>
      <c r="C750" s="28"/>
      <c r="D750" s="22">
        <v>1</v>
      </c>
      <c r="E750" s="55">
        <f t="shared" si="454"/>
        <v>1</v>
      </c>
      <c r="F750" s="33"/>
      <c r="G750" s="8"/>
      <c r="H750" s="64">
        <f t="shared" si="455"/>
        <v>0</v>
      </c>
      <c r="I750" s="38">
        <f t="shared" si="456"/>
        <v>1</v>
      </c>
      <c r="J750" s="78">
        <v>45992</v>
      </c>
      <c r="L750" s="6"/>
      <c r="M750" s="28"/>
      <c r="N750" s="22"/>
      <c r="O750" s="55">
        <f t="shared" si="469"/>
        <v>0</v>
      </c>
      <c r="P750" s="33"/>
      <c r="Q750" s="8"/>
      <c r="R750" s="64">
        <f t="shared" si="470"/>
        <v>0</v>
      </c>
      <c r="S750" s="38">
        <f t="shared" si="471"/>
        <v>0</v>
      </c>
    </row>
    <row r="751" spans="2:19" x14ac:dyDescent="0.15">
      <c r="B751" s="6" t="s">
        <v>135</v>
      </c>
      <c r="C751" s="25"/>
      <c r="D751" s="19"/>
      <c r="E751" s="55">
        <f t="shared" si="454"/>
        <v>0</v>
      </c>
      <c r="F751" s="31">
        <v>1</v>
      </c>
      <c r="G751" s="7"/>
      <c r="H751" s="64">
        <f t="shared" si="455"/>
        <v>1</v>
      </c>
      <c r="I751" s="38">
        <f t="shared" si="456"/>
        <v>1</v>
      </c>
      <c r="J751" s="78">
        <v>45996</v>
      </c>
      <c r="L751" s="6"/>
      <c r="M751" s="28"/>
      <c r="N751" s="22"/>
      <c r="O751" s="55">
        <f t="shared" si="469"/>
        <v>0</v>
      </c>
      <c r="P751" s="33"/>
      <c r="Q751" s="8"/>
      <c r="R751" s="64">
        <f t="shared" si="470"/>
        <v>0</v>
      </c>
      <c r="S751" s="38">
        <f t="shared" si="471"/>
        <v>0</v>
      </c>
    </row>
    <row r="752" spans="2:19" x14ac:dyDescent="0.15">
      <c r="B752" s="6" t="s">
        <v>7</v>
      </c>
      <c r="C752" s="28"/>
      <c r="D752" s="22"/>
      <c r="E752" s="55">
        <f t="shared" si="454"/>
        <v>0</v>
      </c>
      <c r="F752" s="33">
        <v>1</v>
      </c>
      <c r="G752" s="8"/>
      <c r="H752" s="64">
        <f t="shared" si="455"/>
        <v>1</v>
      </c>
      <c r="I752" s="38">
        <f t="shared" si="456"/>
        <v>1</v>
      </c>
      <c r="J752" s="78">
        <v>46002</v>
      </c>
      <c r="L752" s="6"/>
      <c r="M752" s="28"/>
      <c r="N752" s="22"/>
      <c r="O752" s="55">
        <f t="shared" si="469"/>
        <v>0</v>
      </c>
      <c r="P752" s="33"/>
      <c r="Q752" s="8"/>
      <c r="R752" s="64">
        <f t="shared" si="470"/>
        <v>0</v>
      </c>
      <c r="S752" s="38">
        <f t="shared" si="471"/>
        <v>0</v>
      </c>
    </row>
    <row r="753" spans="2:20" x14ac:dyDescent="0.15">
      <c r="B753" s="6" t="s">
        <v>7</v>
      </c>
      <c r="C753" s="28"/>
      <c r="D753" s="22"/>
      <c r="E753" s="55">
        <f t="shared" si="454"/>
        <v>0</v>
      </c>
      <c r="F753" s="33"/>
      <c r="G753" s="8">
        <v>1</v>
      </c>
      <c r="H753" s="64">
        <f t="shared" si="455"/>
        <v>1</v>
      </c>
      <c r="I753" s="38">
        <f t="shared" si="456"/>
        <v>1</v>
      </c>
      <c r="J753" s="78">
        <v>46011</v>
      </c>
      <c r="L753" s="6"/>
      <c r="M753" s="28"/>
      <c r="N753" s="22"/>
      <c r="O753" s="55">
        <f t="shared" si="469"/>
        <v>0</v>
      </c>
      <c r="P753" s="33"/>
      <c r="Q753" s="8"/>
      <c r="R753" s="64">
        <f t="shared" si="470"/>
        <v>0</v>
      </c>
      <c r="S753" s="38">
        <f t="shared" si="471"/>
        <v>0</v>
      </c>
    </row>
    <row r="754" spans="2:20" x14ac:dyDescent="0.15">
      <c r="B754" s="6" t="s">
        <v>7</v>
      </c>
      <c r="C754" s="28"/>
      <c r="D754" s="22">
        <v>1</v>
      </c>
      <c r="E754" s="55">
        <f t="shared" si="454"/>
        <v>1</v>
      </c>
      <c r="F754" s="33"/>
      <c r="G754" s="8"/>
      <c r="H754" s="64">
        <f t="shared" si="455"/>
        <v>0</v>
      </c>
      <c r="I754" s="38">
        <f t="shared" si="456"/>
        <v>1</v>
      </c>
      <c r="J754" s="78">
        <v>46031</v>
      </c>
      <c r="L754" s="6"/>
      <c r="M754" s="28"/>
      <c r="N754" s="22"/>
      <c r="O754" s="55">
        <f t="shared" si="469"/>
        <v>0</v>
      </c>
      <c r="P754" s="33"/>
      <c r="Q754" s="8"/>
      <c r="R754" s="64">
        <f t="shared" si="470"/>
        <v>0</v>
      </c>
      <c r="S754" s="38">
        <f t="shared" si="471"/>
        <v>0</v>
      </c>
    </row>
    <row r="755" spans="2:20" x14ac:dyDescent="0.15">
      <c r="B755" s="6" t="s">
        <v>7</v>
      </c>
      <c r="C755" s="28"/>
      <c r="D755" s="22">
        <v>1</v>
      </c>
      <c r="E755" s="55">
        <f t="shared" si="454"/>
        <v>1</v>
      </c>
      <c r="F755" s="33"/>
      <c r="G755" s="8">
        <v>1</v>
      </c>
      <c r="H755" s="64">
        <f t="shared" si="455"/>
        <v>1</v>
      </c>
      <c r="I755" s="38">
        <f t="shared" si="456"/>
        <v>2</v>
      </c>
      <c r="J755" s="78">
        <v>46048</v>
      </c>
      <c r="L755" s="6"/>
      <c r="M755" s="28"/>
      <c r="N755" s="22"/>
      <c r="O755" s="55">
        <f t="shared" ref="O755" si="475">SUM(M755:N755)</f>
        <v>0</v>
      </c>
      <c r="P755" s="33"/>
      <c r="Q755" s="8"/>
      <c r="R755" s="64">
        <f t="shared" ref="R755" si="476">SUM(P755:Q755)</f>
        <v>0</v>
      </c>
      <c r="S755" s="38">
        <f t="shared" ref="S755" si="477">O755+R755</f>
        <v>0</v>
      </c>
    </row>
    <row r="756" spans="2:20" ht="14.25" thickBot="1" x14ac:dyDescent="0.2">
      <c r="B756" s="6" t="s">
        <v>7</v>
      </c>
      <c r="C756" s="25">
        <v>1</v>
      </c>
      <c r="D756" s="19"/>
      <c r="E756" s="55">
        <f t="shared" si="454"/>
        <v>1</v>
      </c>
      <c r="F756" s="31">
        <v>1</v>
      </c>
      <c r="G756" s="7"/>
      <c r="H756" s="64">
        <f t="shared" si="455"/>
        <v>1</v>
      </c>
      <c r="I756" s="38">
        <f t="shared" si="456"/>
        <v>2</v>
      </c>
      <c r="J756" s="36">
        <v>46055</v>
      </c>
      <c r="L756" s="6" t="s">
        <v>172</v>
      </c>
      <c r="M756" s="25"/>
      <c r="N756" s="19"/>
      <c r="O756" s="55">
        <f t="shared" si="469"/>
        <v>0</v>
      </c>
      <c r="P756" s="31"/>
      <c r="Q756" s="7"/>
      <c r="R756" s="64">
        <f t="shared" si="470"/>
        <v>0</v>
      </c>
      <c r="S756" s="38">
        <f t="shared" si="471"/>
        <v>0</v>
      </c>
      <c r="T756" t="s">
        <v>173</v>
      </c>
    </row>
    <row r="757" spans="2:20" ht="14.25" thickBot="1" x14ac:dyDescent="0.2">
      <c r="B757" s="4" t="s">
        <v>1</v>
      </c>
      <c r="C757" s="27">
        <f>SUM(C732:C756)</f>
        <v>4</v>
      </c>
      <c r="D757" s="21">
        <f>SUM(D732:D756)</f>
        <v>20</v>
      </c>
      <c r="E757" s="57">
        <f t="shared" si="454"/>
        <v>24</v>
      </c>
      <c r="F757" s="27">
        <f>SUM(F732:F756)</f>
        <v>3</v>
      </c>
      <c r="G757" s="21">
        <f>SUM(G732:G756)</f>
        <v>8</v>
      </c>
      <c r="H757" s="66">
        <f t="shared" si="455"/>
        <v>11</v>
      </c>
      <c r="I757" s="40">
        <f t="shared" si="456"/>
        <v>35</v>
      </c>
      <c r="L757" s="4" t="s">
        <v>1</v>
      </c>
      <c r="M757" s="27">
        <f>SUM(M732:M756)</f>
        <v>0</v>
      </c>
      <c r="N757" s="21">
        <f t="shared" ref="N757" si="478">SUM(N732:N756)</f>
        <v>8</v>
      </c>
      <c r="O757" s="57">
        <f t="shared" ref="O757" si="479">SUM(O732:O756)</f>
        <v>8</v>
      </c>
      <c r="P757" s="27">
        <f t="shared" ref="P757" si="480">SUM(P732:P756)</f>
        <v>0</v>
      </c>
      <c r="Q757" s="21">
        <f t="shared" ref="Q757" si="481">SUM(Q732:Q756)</f>
        <v>0</v>
      </c>
      <c r="R757" s="66">
        <f t="shared" ref="R757" si="482">SUM(R732:R756)</f>
        <v>0</v>
      </c>
      <c r="S757" s="40">
        <f t="shared" ref="S757" si="483">SUM(S732:S756)</f>
        <v>8</v>
      </c>
    </row>
    <row r="758" spans="2:20" ht="14.25" thickBot="1" x14ac:dyDescent="0.2">
      <c r="B758" s="3" t="s">
        <v>0</v>
      </c>
      <c r="C758" s="30">
        <f>+C731-C757</f>
        <v>7</v>
      </c>
      <c r="D758" s="2">
        <f>+D731-D757</f>
        <v>4</v>
      </c>
      <c r="E758" s="58">
        <f t="shared" si="454"/>
        <v>11</v>
      </c>
      <c r="F758" s="30">
        <f>+F731-F757</f>
        <v>11</v>
      </c>
      <c r="G758" s="2">
        <f>+G731-G757</f>
        <v>5</v>
      </c>
      <c r="H758" s="67">
        <f t="shared" si="455"/>
        <v>16</v>
      </c>
      <c r="I758" s="42">
        <f t="shared" si="456"/>
        <v>27</v>
      </c>
      <c r="L758" s="3" t="s">
        <v>0</v>
      </c>
      <c r="M758" s="30">
        <f>+M731-M757</f>
        <v>75</v>
      </c>
      <c r="N758" s="2">
        <f t="shared" ref="N758" si="484">+N731-N757</f>
        <v>105</v>
      </c>
      <c r="O758" s="58">
        <f t="shared" ref="O758" si="485">+O731-O757</f>
        <v>180</v>
      </c>
      <c r="P758" s="30">
        <f t="shared" ref="P758" si="486">+P731-P757</f>
        <v>41</v>
      </c>
      <c r="Q758" s="2">
        <f t="shared" ref="Q758" si="487">+Q731-Q757</f>
        <v>16</v>
      </c>
      <c r="R758" s="67">
        <f t="shared" ref="R758" si="488">+R731-R757</f>
        <v>57</v>
      </c>
      <c r="S758" s="42">
        <f t="shared" ref="S758" si="489">+S731-S757</f>
        <v>237</v>
      </c>
    </row>
    <row r="761" spans="2:20" ht="18.75" x14ac:dyDescent="0.2">
      <c r="B761" s="16" t="s">
        <v>21</v>
      </c>
      <c r="C761" s="15"/>
      <c r="D761" s="15"/>
      <c r="E761" s="15"/>
      <c r="F761" s="15"/>
      <c r="G761" s="15"/>
      <c r="H761" s="15"/>
      <c r="I761" s="15"/>
      <c r="L761" s="71" t="s">
        <v>22</v>
      </c>
      <c r="M761" s="72"/>
      <c r="N761" s="72"/>
      <c r="O761" s="72"/>
      <c r="P761" s="72"/>
      <c r="Q761" s="72"/>
      <c r="R761" s="72"/>
      <c r="S761" s="72"/>
    </row>
    <row r="762" spans="2:20" ht="18" thickBot="1" x14ac:dyDescent="0.25">
      <c r="B762" s="17" t="s">
        <v>23</v>
      </c>
      <c r="C762" s="15"/>
      <c r="D762" s="15"/>
      <c r="E762" s="15"/>
      <c r="F762" s="15"/>
      <c r="G762" s="15"/>
      <c r="H762" s="15"/>
      <c r="I762" s="15"/>
      <c r="L762" s="73" t="s">
        <v>23</v>
      </c>
      <c r="M762" s="72"/>
      <c r="N762" s="72"/>
      <c r="O762" s="72"/>
      <c r="P762" s="72"/>
      <c r="Q762" s="72"/>
      <c r="R762" s="72"/>
      <c r="S762" s="72"/>
    </row>
    <row r="763" spans="2:20" ht="14.25" thickBot="1" x14ac:dyDescent="0.2">
      <c r="B763" s="14"/>
      <c r="C763" s="113" t="s">
        <v>12</v>
      </c>
      <c r="D763" s="114"/>
      <c r="E763" s="115"/>
      <c r="F763" s="116" t="s">
        <v>11</v>
      </c>
      <c r="G763" s="117"/>
      <c r="H763" s="118"/>
      <c r="I763" s="13" t="s">
        <v>19</v>
      </c>
      <c r="L763" s="14"/>
      <c r="M763" s="113" t="s">
        <v>12</v>
      </c>
      <c r="N763" s="114"/>
      <c r="O763" s="115"/>
      <c r="P763" s="116" t="s">
        <v>11</v>
      </c>
      <c r="Q763" s="117"/>
      <c r="R763" s="118"/>
      <c r="S763" s="13" t="s">
        <v>19</v>
      </c>
    </row>
    <row r="764" spans="2:20" ht="14.25" thickBot="1" x14ac:dyDescent="0.2">
      <c r="B764" s="13"/>
      <c r="C764" s="23" t="s">
        <v>6</v>
      </c>
      <c r="D764" s="12" t="s">
        <v>5</v>
      </c>
      <c r="E764" s="50" t="s">
        <v>4</v>
      </c>
      <c r="F764" s="23" t="s">
        <v>6</v>
      </c>
      <c r="G764" s="12" t="s">
        <v>5</v>
      </c>
      <c r="H764" s="59" t="s">
        <v>4</v>
      </c>
      <c r="I764" s="49"/>
      <c r="L764" s="13"/>
      <c r="M764" s="23" t="s">
        <v>6</v>
      </c>
      <c r="N764" s="12" t="s">
        <v>5</v>
      </c>
      <c r="O764" s="50" t="s">
        <v>4</v>
      </c>
      <c r="P764" s="23" t="s">
        <v>6</v>
      </c>
      <c r="Q764" s="12" t="s">
        <v>5</v>
      </c>
      <c r="R764" s="59" t="s">
        <v>4</v>
      </c>
      <c r="S764" s="49"/>
    </row>
    <row r="765" spans="2:20" x14ac:dyDescent="0.15">
      <c r="B765" s="46" t="s">
        <v>0</v>
      </c>
      <c r="C765" s="47">
        <f t="shared" ref="C765:H765" si="490">C758</f>
        <v>7</v>
      </c>
      <c r="D765" s="48">
        <f t="shared" si="490"/>
        <v>4</v>
      </c>
      <c r="E765" s="68">
        <f t="shared" si="490"/>
        <v>11</v>
      </c>
      <c r="F765" s="47">
        <f t="shared" si="490"/>
        <v>11</v>
      </c>
      <c r="G765" s="48">
        <f t="shared" si="490"/>
        <v>5</v>
      </c>
      <c r="H765" s="69">
        <f t="shared" si="490"/>
        <v>16</v>
      </c>
      <c r="I765" s="41">
        <f>E765+H765</f>
        <v>27</v>
      </c>
      <c r="L765" s="46" t="s">
        <v>0</v>
      </c>
      <c r="M765" s="47">
        <f>M758</f>
        <v>75</v>
      </c>
      <c r="N765" s="48">
        <f t="shared" ref="N765:S765" si="491">N758</f>
        <v>105</v>
      </c>
      <c r="O765" s="68">
        <f t="shared" si="491"/>
        <v>180</v>
      </c>
      <c r="P765" s="47">
        <f t="shared" si="491"/>
        <v>41</v>
      </c>
      <c r="Q765" s="48">
        <f t="shared" si="491"/>
        <v>16</v>
      </c>
      <c r="R765" s="69">
        <f t="shared" si="491"/>
        <v>57</v>
      </c>
      <c r="S765" s="41">
        <f t="shared" si="491"/>
        <v>237</v>
      </c>
    </row>
    <row r="766" spans="2:20" x14ac:dyDescent="0.15">
      <c r="B766" s="90" t="s">
        <v>72</v>
      </c>
      <c r="C766" s="91">
        <v>0</v>
      </c>
      <c r="D766" s="92">
        <v>0</v>
      </c>
      <c r="E766" s="93">
        <f t="shared" ref="E766:E798" si="492">SUM(C766:D766)</f>
        <v>0</v>
      </c>
      <c r="F766" s="94">
        <v>0</v>
      </c>
      <c r="G766" s="95">
        <v>0</v>
      </c>
      <c r="H766" s="96">
        <f t="shared" ref="H766:H798" si="493">SUM(F766:G766)</f>
        <v>0</v>
      </c>
      <c r="I766" s="97">
        <f t="shared" ref="I766:I798" si="494">E766+H766</f>
        <v>0</v>
      </c>
      <c r="J766" s="98">
        <v>46079</v>
      </c>
      <c r="L766" s="11" t="s">
        <v>3</v>
      </c>
      <c r="M766" s="25"/>
      <c r="N766" s="19"/>
      <c r="O766" s="52">
        <f t="shared" ref="O766:O770" si="495">SUM(M766:N766)</f>
        <v>0</v>
      </c>
      <c r="P766" s="31"/>
      <c r="Q766" s="7"/>
      <c r="R766" s="61">
        <f t="shared" ref="R766:R770" si="496">SUM(P766:Q766)</f>
        <v>0</v>
      </c>
      <c r="S766" s="38">
        <f t="shared" ref="S766:S770" si="497">O766+R766</f>
        <v>0</v>
      </c>
    </row>
    <row r="767" spans="2:20" x14ac:dyDescent="0.15">
      <c r="B767" s="11" t="s">
        <v>3</v>
      </c>
      <c r="C767" s="25"/>
      <c r="D767" s="19"/>
      <c r="E767" s="52">
        <f t="shared" si="492"/>
        <v>0</v>
      </c>
      <c r="F767" s="31"/>
      <c r="G767" s="7">
        <v>3</v>
      </c>
      <c r="H767" s="61">
        <f t="shared" si="493"/>
        <v>3</v>
      </c>
      <c r="I767" s="38">
        <f t="shared" si="494"/>
        <v>3</v>
      </c>
      <c r="J767" s="78">
        <v>46083</v>
      </c>
      <c r="L767" s="11" t="s">
        <v>3</v>
      </c>
      <c r="M767" s="25"/>
      <c r="N767" s="19"/>
      <c r="O767" s="52">
        <f t="shared" si="495"/>
        <v>0</v>
      </c>
      <c r="P767" s="31"/>
      <c r="Q767" s="7"/>
      <c r="R767" s="61">
        <f t="shared" si="496"/>
        <v>0</v>
      </c>
      <c r="S767" s="38">
        <f t="shared" si="497"/>
        <v>0</v>
      </c>
    </row>
    <row r="768" spans="2:20" x14ac:dyDescent="0.15">
      <c r="B768" s="90" t="s">
        <v>3</v>
      </c>
      <c r="C768" s="25"/>
      <c r="D768" s="19"/>
      <c r="E768" s="52">
        <f t="shared" ref="E768" si="498">SUM(C768:D768)</f>
        <v>0</v>
      </c>
      <c r="F768" s="31"/>
      <c r="G768" s="7"/>
      <c r="H768" s="61">
        <f t="shared" ref="H768" si="499">SUM(F768:G768)</f>
        <v>0</v>
      </c>
      <c r="I768" s="38">
        <f t="shared" ref="I768" si="500">E768+H768</f>
        <v>0</v>
      </c>
      <c r="J768"/>
      <c r="L768" s="11" t="s">
        <v>3</v>
      </c>
      <c r="M768" s="25"/>
      <c r="N768" s="19"/>
      <c r="O768" s="52">
        <f t="shared" si="495"/>
        <v>0</v>
      </c>
      <c r="P768" s="31"/>
      <c r="Q768" s="7"/>
      <c r="R768" s="61">
        <f t="shared" si="496"/>
        <v>0</v>
      </c>
      <c r="S768" s="38">
        <f t="shared" si="497"/>
        <v>0</v>
      </c>
    </row>
    <row r="769" spans="2:20" x14ac:dyDescent="0.15">
      <c r="B769" s="90" t="s">
        <v>3</v>
      </c>
      <c r="C769" s="25"/>
      <c r="D769" s="19"/>
      <c r="E769" s="52">
        <f t="shared" si="492"/>
        <v>0</v>
      </c>
      <c r="F769" s="31"/>
      <c r="G769" s="7"/>
      <c r="H769" s="61">
        <f t="shared" si="493"/>
        <v>0</v>
      </c>
      <c r="I769" s="38">
        <f t="shared" si="494"/>
        <v>0</v>
      </c>
      <c r="J769"/>
      <c r="L769" s="11" t="s">
        <v>3</v>
      </c>
      <c r="M769" s="25"/>
      <c r="N769" s="19"/>
      <c r="O769" s="52">
        <f t="shared" si="495"/>
        <v>0</v>
      </c>
      <c r="P769" s="31"/>
      <c r="Q769" s="7"/>
      <c r="R769" s="61">
        <f t="shared" si="496"/>
        <v>0</v>
      </c>
      <c r="S769" s="38">
        <f t="shared" si="497"/>
        <v>0</v>
      </c>
    </row>
    <row r="770" spans="2:20" ht="14.25" thickBot="1" x14ac:dyDescent="0.2">
      <c r="B770" s="11" t="s">
        <v>3</v>
      </c>
      <c r="C770" s="25"/>
      <c r="D770" s="19"/>
      <c r="E770" s="52">
        <f t="shared" si="492"/>
        <v>0</v>
      </c>
      <c r="F770" s="31"/>
      <c r="G770" s="7"/>
      <c r="H770" s="61">
        <f t="shared" si="493"/>
        <v>0</v>
      </c>
      <c r="I770" s="38">
        <f t="shared" si="494"/>
        <v>0</v>
      </c>
      <c r="J770"/>
      <c r="L770" s="11" t="s">
        <v>3</v>
      </c>
      <c r="M770" s="25"/>
      <c r="N770" s="19"/>
      <c r="O770" s="52">
        <f t="shared" si="495"/>
        <v>0</v>
      </c>
      <c r="P770" s="31"/>
      <c r="Q770" s="7"/>
      <c r="R770" s="61">
        <f t="shared" si="496"/>
        <v>0</v>
      </c>
      <c r="S770" s="38">
        <f t="shared" si="497"/>
        <v>0</v>
      </c>
    </row>
    <row r="771" spans="2:20" ht="14.25" thickBot="1" x14ac:dyDescent="0.2">
      <c r="B771" s="43" t="s">
        <v>2</v>
      </c>
      <c r="C771" s="44">
        <f>SUM(C765:C770)</f>
        <v>7</v>
      </c>
      <c r="D771" s="45">
        <f>SUM(D765:D770)</f>
        <v>4</v>
      </c>
      <c r="E771" s="83">
        <f t="shared" si="492"/>
        <v>11</v>
      </c>
      <c r="F771" s="44">
        <f>SUM(F765:F770)</f>
        <v>11</v>
      </c>
      <c r="G771" s="45">
        <f>SUM(G765:G770)</f>
        <v>8</v>
      </c>
      <c r="H771" s="84">
        <f t="shared" si="493"/>
        <v>19</v>
      </c>
      <c r="I771" s="42">
        <f t="shared" si="494"/>
        <v>30</v>
      </c>
      <c r="L771" s="43" t="s">
        <v>2</v>
      </c>
      <c r="M771" s="44">
        <f>SUM(M765:M770)</f>
        <v>75</v>
      </c>
      <c r="N771" s="45">
        <f t="shared" ref="N771:S771" si="501">SUM(N765:N770)</f>
        <v>105</v>
      </c>
      <c r="O771" s="83">
        <f t="shared" si="501"/>
        <v>180</v>
      </c>
      <c r="P771" s="44">
        <f t="shared" si="501"/>
        <v>41</v>
      </c>
      <c r="Q771" s="45">
        <f t="shared" si="501"/>
        <v>16</v>
      </c>
      <c r="R771" s="84">
        <f t="shared" si="501"/>
        <v>57</v>
      </c>
      <c r="S771" s="42">
        <f t="shared" si="501"/>
        <v>237</v>
      </c>
    </row>
    <row r="772" spans="2:20" x14ac:dyDescent="0.15">
      <c r="B772" s="6" t="s">
        <v>7</v>
      </c>
      <c r="C772" s="25"/>
      <c r="D772" s="19"/>
      <c r="E772" s="55">
        <f t="shared" si="492"/>
        <v>0</v>
      </c>
      <c r="F772" s="31"/>
      <c r="G772" s="7">
        <v>1</v>
      </c>
      <c r="H772" s="64">
        <f t="shared" si="493"/>
        <v>1</v>
      </c>
      <c r="I772" s="38">
        <f t="shared" si="494"/>
        <v>1</v>
      </c>
      <c r="J772" s="78">
        <v>46056</v>
      </c>
      <c r="L772" s="99" t="s">
        <v>32</v>
      </c>
      <c r="M772" s="25"/>
      <c r="N772" s="19"/>
      <c r="O772" s="55">
        <f t="shared" ref="O772:O773" si="502">SUM(M772:N772)</f>
        <v>0</v>
      </c>
      <c r="P772" s="31"/>
      <c r="Q772" s="7">
        <v>3</v>
      </c>
      <c r="R772" s="64">
        <f t="shared" ref="R772:R773" si="503">SUM(P772:Q772)</f>
        <v>3</v>
      </c>
      <c r="S772" s="38">
        <f t="shared" ref="S772:S773" si="504">O772+R772</f>
        <v>3</v>
      </c>
      <c r="T772" s="78">
        <v>46083</v>
      </c>
    </row>
    <row r="773" spans="2:20" x14ac:dyDescent="0.15">
      <c r="B773" s="6" t="s">
        <v>7</v>
      </c>
      <c r="C773" s="25"/>
      <c r="D773" s="19"/>
      <c r="E773" s="55">
        <f t="shared" si="492"/>
        <v>0</v>
      </c>
      <c r="F773" s="31"/>
      <c r="G773" s="7">
        <v>1</v>
      </c>
      <c r="H773" s="64">
        <f t="shared" si="493"/>
        <v>1</v>
      </c>
      <c r="I773" s="38">
        <f t="shared" si="494"/>
        <v>1</v>
      </c>
      <c r="J773" s="78">
        <v>46066</v>
      </c>
      <c r="L773" s="6"/>
      <c r="M773" s="25"/>
      <c r="N773" s="19"/>
      <c r="O773" s="55">
        <f t="shared" si="502"/>
        <v>0</v>
      </c>
      <c r="P773" s="31"/>
      <c r="Q773" s="7"/>
      <c r="R773" s="64">
        <f t="shared" si="503"/>
        <v>0</v>
      </c>
      <c r="S773" s="38">
        <f t="shared" si="504"/>
        <v>0</v>
      </c>
    </row>
    <row r="774" spans="2:20" x14ac:dyDescent="0.15">
      <c r="B774" s="6" t="s">
        <v>7</v>
      </c>
      <c r="C774" s="28"/>
      <c r="D774" s="22"/>
      <c r="E774" s="55">
        <f t="shared" si="492"/>
        <v>0</v>
      </c>
      <c r="F774" s="33"/>
      <c r="G774" s="8">
        <v>1</v>
      </c>
      <c r="H774" s="64">
        <f t="shared" si="493"/>
        <v>1</v>
      </c>
      <c r="I774" s="38">
        <f t="shared" si="494"/>
        <v>1</v>
      </c>
      <c r="J774" s="78">
        <v>46077</v>
      </c>
      <c r="L774" s="6"/>
      <c r="M774" s="25"/>
      <c r="N774" s="19"/>
      <c r="O774" s="55">
        <f t="shared" ref="O774" si="505">SUM(M774:N774)</f>
        <v>0</v>
      </c>
      <c r="P774" s="31"/>
      <c r="Q774" s="7"/>
      <c r="R774" s="64">
        <f t="shared" ref="R774" si="506">SUM(P774:Q774)</f>
        <v>0</v>
      </c>
      <c r="S774" s="38">
        <f t="shared" ref="S774" si="507">O774+R774</f>
        <v>0</v>
      </c>
    </row>
    <row r="775" spans="2:20" x14ac:dyDescent="0.15">
      <c r="B775" s="6" t="s">
        <v>7</v>
      </c>
      <c r="C775" s="25">
        <v>1</v>
      </c>
      <c r="D775" s="19"/>
      <c r="E775" s="55">
        <f t="shared" si="492"/>
        <v>1</v>
      </c>
      <c r="F775" s="31"/>
      <c r="G775" s="7"/>
      <c r="H775" s="64">
        <f t="shared" si="493"/>
        <v>0</v>
      </c>
      <c r="I775" s="38">
        <f t="shared" si="494"/>
        <v>1</v>
      </c>
      <c r="J775" s="78">
        <v>46083</v>
      </c>
      <c r="L775" s="6"/>
      <c r="M775" s="25"/>
      <c r="N775" s="19"/>
      <c r="O775" s="55">
        <f t="shared" ref="O775:O794" si="508">SUM(M775:N775)</f>
        <v>0</v>
      </c>
      <c r="P775" s="31"/>
      <c r="Q775" s="7"/>
      <c r="R775" s="64">
        <f t="shared" ref="R775:R794" si="509">SUM(P775:Q775)</f>
        <v>0</v>
      </c>
      <c r="S775" s="38">
        <f t="shared" ref="S775:S794" si="510">O775+R775</f>
        <v>0</v>
      </c>
    </row>
    <row r="776" spans="2:20" x14ac:dyDescent="0.15">
      <c r="B776" s="6"/>
      <c r="C776" s="25"/>
      <c r="D776" s="19"/>
      <c r="E776" s="55">
        <f t="shared" si="492"/>
        <v>0</v>
      </c>
      <c r="F776" s="31"/>
      <c r="G776" s="7"/>
      <c r="H776" s="64">
        <f t="shared" si="493"/>
        <v>0</v>
      </c>
      <c r="I776" s="38">
        <f t="shared" si="494"/>
        <v>0</v>
      </c>
      <c r="J776" s="78"/>
      <c r="L776" s="6"/>
      <c r="M776" s="25"/>
      <c r="N776" s="19"/>
      <c r="O776" s="55">
        <f t="shared" si="508"/>
        <v>0</v>
      </c>
      <c r="P776" s="31"/>
      <c r="Q776" s="7"/>
      <c r="R776" s="64">
        <f t="shared" si="509"/>
        <v>0</v>
      </c>
      <c r="S776" s="38">
        <f t="shared" si="510"/>
        <v>0</v>
      </c>
    </row>
    <row r="777" spans="2:20" x14ac:dyDescent="0.15">
      <c r="B777" s="6"/>
      <c r="C777" s="25"/>
      <c r="D777" s="19"/>
      <c r="E777" s="55">
        <f t="shared" si="492"/>
        <v>0</v>
      </c>
      <c r="F777" s="31"/>
      <c r="G777" s="7"/>
      <c r="H777" s="64">
        <f t="shared" si="493"/>
        <v>0</v>
      </c>
      <c r="I777" s="38">
        <f t="shared" si="494"/>
        <v>0</v>
      </c>
      <c r="J777" s="78"/>
      <c r="L777" s="6"/>
      <c r="M777" s="25"/>
      <c r="N777" s="19"/>
      <c r="O777" s="55">
        <f t="shared" si="508"/>
        <v>0</v>
      </c>
      <c r="P777" s="31"/>
      <c r="Q777" s="7"/>
      <c r="R777" s="64">
        <f t="shared" si="509"/>
        <v>0</v>
      </c>
      <c r="S777" s="38">
        <f t="shared" si="510"/>
        <v>0</v>
      </c>
    </row>
    <row r="778" spans="2:20" x14ac:dyDescent="0.15">
      <c r="B778" s="6"/>
      <c r="C778" s="25"/>
      <c r="D778" s="19"/>
      <c r="E778" s="55">
        <f t="shared" si="492"/>
        <v>0</v>
      </c>
      <c r="F778" s="31"/>
      <c r="G778" s="7"/>
      <c r="H778" s="64">
        <f t="shared" si="493"/>
        <v>0</v>
      </c>
      <c r="I778" s="38">
        <f t="shared" si="494"/>
        <v>0</v>
      </c>
      <c r="J778" s="78"/>
      <c r="L778" s="6"/>
      <c r="M778" s="25"/>
      <c r="N778" s="19"/>
      <c r="O778" s="55">
        <f t="shared" si="508"/>
        <v>0</v>
      </c>
      <c r="P778" s="31"/>
      <c r="Q778" s="7"/>
      <c r="R778" s="64">
        <f t="shared" si="509"/>
        <v>0</v>
      </c>
      <c r="S778" s="38">
        <f t="shared" si="510"/>
        <v>0</v>
      </c>
    </row>
    <row r="779" spans="2:20" x14ac:dyDescent="0.15">
      <c r="B779" s="6"/>
      <c r="C779" s="28"/>
      <c r="D779" s="22"/>
      <c r="E779" s="55">
        <f t="shared" si="492"/>
        <v>0</v>
      </c>
      <c r="F779" s="33"/>
      <c r="G779" s="8"/>
      <c r="H779" s="64">
        <f t="shared" si="493"/>
        <v>0</v>
      </c>
      <c r="I779" s="38">
        <f t="shared" si="494"/>
        <v>0</v>
      </c>
      <c r="J779" s="78"/>
      <c r="L779" s="6"/>
      <c r="M779" s="25"/>
      <c r="N779" s="19"/>
      <c r="O779" s="55">
        <f t="shared" si="508"/>
        <v>0</v>
      </c>
      <c r="P779" s="31"/>
      <c r="Q779" s="7"/>
      <c r="R779" s="64">
        <f t="shared" si="509"/>
        <v>0</v>
      </c>
      <c r="S779" s="38">
        <f t="shared" si="510"/>
        <v>0</v>
      </c>
    </row>
    <row r="780" spans="2:20" x14ac:dyDescent="0.15">
      <c r="B780" s="6"/>
      <c r="C780" s="25"/>
      <c r="D780" s="19"/>
      <c r="E780" s="55">
        <f t="shared" si="492"/>
        <v>0</v>
      </c>
      <c r="F780" s="31"/>
      <c r="G780" s="7"/>
      <c r="H780" s="64">
        <f t="shared" si="493"/>
        <v>0</v>
      </c>
      <c r="I780" s="38">
        <f t="shared" si="494"/>
        <v>0</v>
      </c>
      <c r="J780" s="78"/>
      <c r="L780" s="6"/>
      <c r="M780" s="25"/>
      <c r="N780" s="19"/>
      <c r="O780" s="55">
        <f t="shared" si="508"/>
        <v>0</v>
      </c>
      <c r="P780" s="31"/>
      <c r="Q780" s="7"/>
      <c r="R780" s="64">
        <f t="shared" si="509"/>
        <v>0</v>
      </c>
      <c r="S780" s="38">
        <f t="shared" si="510"/>
        <v>0</v>
      </c>
    </row>
    <row r="781" spans="2:20" x14ac:dyDescent="0.15">
      <c r="B781" s="6"/>
      <c r="C781" s="25"/>
      <c r="D781" s="19"/>
      <c r="E781" s="55">
        <f t="shared" si="492"/>
        <v>0</v>
      </c>
      <c r="F781" s="31"/>
      <c r="G781" s="7"/>
      <c r="H781" s="64">
        <f t="shared" si="493"/>
        <v>0</v>
      </c>
      <c r="I781" s="38">
        <f t="shared" si="494"/>
        <v>0</v>
      </c>
      <c r="J781" s="78"/>
      <c r="L781" s="6"/>
      <c r="M781" s="25"/>
      <c r="N781" s="19"/>
      <c r="O781" s="55">
        <f t="shared" si="508"/>
        <v>0</v>
      </c>
      <c r="P781" s="31"/>
      <c r="Q781" s="7"/>
      <c r="R781" s="64">
        <f t="shared" si="509"/>
        <v>0</v>
      </c>
      <c r="S781" s="38">
        <f t="shared" si="510"/>
        <v>0</v>
      </c>
    </row>
    <row r="782" spans="2:20" x14ac:dyDescent="0.15">
      <c r="B782" s="6"/>
      <c r="C782" s="25"/>
      <c r="D782" s="19"/>
      <c r="E782" s="55">
        <f t="shared" si="492"/>
        <v>0</v>
      </c>
      <c r="F782" s="31"/>
      <c r="G782" s="7"/>
      <c r="H782" s="64">
        <f t="shared" si="493"/>
        <v>0</v>
      </c>
      <c r="I782" s="38">
        <f t="shared" si="494"/>
        <v>0</v>
      </c>
      <c r="J782" s="78"/>
      <c r="L782" s="6"/>
      <c r="M782" s="25"/>
      <c r="N782" s="19"/>
      <c r="O782" s="55">
        <f t="shared" si="508"/>
        <v>0</v>
      </c>
      <c r="P782" s="31"/>
      <c r="Q782" s="7"/>
      <c r="R782" s="64">
        <f t="shared" si="509"/>
        <v>0</v>
      </c>
      <c r="S782" s="38">
        <f t="shared" si="510"/>
        <v>0</v>
      </c>
    </row>
    <row r="783" spans="2:20" x14ac:dyDescent="0.15">
      <c r="B783" s="6"/>
      <c r="C783" s="25"/>
      <c r="D783" s="19"/>
      <c r="E783" s="55">
        <f t="shared" si="492"/>
        <v>0</v>
      </c>
      <c r="F783" s="31"/>
      <c r="G783" s="7"/>
      <c r="H783" s="64">
        <f t="shared" si="493"/>
        <v>0</v>
      </c>
      <c r="I783" s="38">
        <f t="shared" si="494"/>
        <v>0</v>
      </c>
      <c r="J783" s="78"/>
      <c r="L783" s="6"/>
      <c r="M783" s="25"/>
      <c r="N783" s="19"/>
      <c r="O783" s="55">
        <f t="shared" si="508"/>
        <v>0</v>
      </c>
      <c r="P783" s="31"/>
      <c r="Q783" s="7"/>
      <c r="R783" s="64">
        <f t="shared" si="509"/>
        <v>0</v>
      </c>
      <c r="S783" s="38">
        <f t="shared" si="510"/>
        <v>0</v>
      </c>
    </row>
    <row r="784" spans="2:20" x14ac:dyDescent="0.15">
      <c r="B784" s="6"/>
      <c r="C784" s="28"/>
      <c r="D784" s="22"/>
      <c r="E784" s="55">
        <f t="shared" si="492"/>
        <v>0</v>
      </c>
      <c r="F784" s="33"/>
      <c r="G784" s="8"/>
      <c r="H784" s="64">
        <f t="shared" si="493"/>
        <v>0</v>
      </c>
      <c r="I784" s="38">
        <f t="shared" si="494"/>
        <v>0</v>
      </c>
      <c r="J784" s="78"/>
      <c r="L784" s="6"/>
      <c r="M784" s="25"/>
      <c r="N784" s="19"/>
      <c r="O784" s="55">
        <f t="shared" si="508"/>
        <v>0</v>
      </c>
      <c r="P784" s="31"/>
      <c r="Q784" s="7"/>
      <c r="R784" s="64">
        <f t="shared" si="509"/>
        <v>0</v>
      </c>
      <c r="S784" s="38">
        <f t="shared" si="510"/>
        <v>0</v>
      </c>
    </row>
    <row r="785" spans="2:19" x14ac:dyDescent="0.15">
      <c r="B785" s="6"/>
      <c r="C785" s="28"/>
      <c r="D785" s="22"/>
      <c r="E785" s="55">
        <f t="shared" si="492"/>
        <v>0</v>
      </c>
      <c r="F785" s="33"/>
      <c r="G785" s="8"/>
      <c r="H785" s="64">
        <f t="shared" si="493"/>
        <v>0</v>
      </c>
      <c r="I785" s="38">
        <f t="shared" si="494"/>
        <v>0</v>
      </c>
      <c r="J785" s="78"/>
      <c r="L785" s="6"/>
      <c r="M785" s="28"/>
      <c r="N785" s="22"/>
      <c r="O785" s="55">
        <f t="shared" si="508"/>
        <v>0</v>
      </c>
      <c r="P785" s="33"/>
      <c r="Q785" s="8"/>
      <c r="R785" s="64">
        <f t="shared" si="509"/>
        <v>0</v>
      </c>
      <c r="S785" s="38">
        <f t="shared" si="510"/>
        <v>0</v>
      </c>
    </row>
    <row r="786" spans="2:19" x14ac:dyDescent="0.15">
      <c r="B786" s="6"/>
      <c r="C786" s="28"/>
      <c r="D786" s="22"/>
      <c r="E786" s="55">
        <f t="shared" si="492"/>
        <v>0</v>
      </c>
      <c r="F786" s="33"/>
      <c r="G786" s="8"/>
      <c r="H786" s="64">
        <f t="shared" si="493"/>
        <v>0</v>
      </c>
      <c r="I786" s="38">
        <f t="shared" si="494"/>
        <v>0</v>
      </c>
      <c r="J786" s="78"/>
      <c r="L786" s="6"/>
      <c r="M786" s="28"/>
      <c r="N786" s="22"/>
      <c r="O786" s="55">
        <f t="shared" si="508"/>
        <v>0</v>
      </c>
      <c r="P786" s="33"/>
      <c r="Q786" s="8"/>
      <c r="R786" s="64">
        <f t="shared" si="509"/>
        <v>0</v>
      </c>
      <c r="S786" s="38">
        <f t="shared" si="510"/>
        <v>0</v>
      </c>
    </row>
    <row r="787" spans="2:19" x14ac:dyDescent="0.15">
      <c r="B787" s="6"/>
      <c r="C787" s="28"/>
      <c r="D787" s="22"/>
      <c r="E787" s="55">
        <f t="shared" si="492"/>
        <v>0</v>
      </c>
      <c r="F787" s="33"/>
      <c r="G787" s="8"/>
      <c r="H787" s="64">
        <f t="shared" si="493"/>
        <v>0</v>
      </c>
      <c r="I787" s="38">
        <f t="shared" si="494"/>
        <v>0</v>
      </c>
      <c r="J787" s="78"/>
      <c r="L787" s="6"/>
      <c r="M787" s="28"/>
      <c r="N787" s="22"/>
      <c r="O787" s="55">
        <f t="shared" si="508"/>
        <v>0</v>
      </c>
      <c r="P787" s="33"/>
      <c r="Q787" s="8"/>
      <c r="R787" s="64">
        <f t="shared" si="509"/>
        <v>0</v>
      </c>
      <c r="S787" s="38">
        <f t="shared" si="510"/>
        <v>0</v>
      </c>
    </row>
    <row r="788" spans="2:19" x14ac:dyDescent="0.15">
      <c r="B788" s="6"/>
      <c r="C788" s="28"/>
      <c r="D788" s="22"/>
      <c r="E788" s="55">
        <f t="shared" si="492"/>
        <v>0</v>
      </c>
      <c r="F788" s="33"/>
      <c r="G788" s="8"/>
      <c r="H788" s="64">
        <f t="shared" si="493"/>
        <v>0</v>
      </c>
      <c r="I788" s="38">
        <f t="shared" si="494"/>
        <v>0</v>
      </c>
      <c r="J788" s="78"/>
      <c r="L788" s="6"/>
      <c r="M788" s="28"/>
      <c r="N788" s="22"/>
      <c r="O788" s="55">
        <f t="shared" si="508"/>
        <v>0</v>
      </c>
      <c r="P788" s="33"/>
      <c r="Q788" s="8"/>
      <c r="R788" s="64">
        <f t="shared" si="509"/>
        <v>0</v>
      </c>
      <c r="S788" s="38">
        <f t="shared" si="510"/>
        <v>0</v>
      </c>
    </row>
    <row r="789" spans="2:19" x14ac:dyDescent="0.15">
      <c r="B789" s="6"/>
      <c r="C789" s="28"/>
      <c r="D789" s="22"/>
      <c r="E789" s="55">
        <f t="shared" si="492"/>
        <v>0</v>
      </c>
      <c r="F789" s="33"/>
      <c r="G789" s="8"/>
      <c r="H789" s="64">
        <f t="shared" si="493"/>
        <v>0</v>
      </c>
      <c r="I789" s="38">
        <f t="shared" si="494"/>
        <v>0</v>
      </c>
      <c r="J789" s="78"/>
      <c r="L789" s="6"/>
      <c r="M789" s="28"/>
      <c r="N789" s="22"/>
      <c r="O789" s="55">
        <f t="shared" si="508"/>
        <v>0</v>
      </c>
      <c r="P789" s="33"/>
      <c r="Q789" s="8"/>
      <c r="R789" s="64">
        <f t="shared" si="509"/>
        <v>0</v>
      </c>
      <c r="S789" s="38">
        <f t="shared" si="510"/>
        <v>0</v>
      </c>
    </row>
    <row r="790" spans="2:19" x14ac:dyDescent="0.15">
      <c r="B790" s="6"/>
      <c r="C790" s="28"/>
      <c r="D790" s="22"/>
      <c r="E790" s="55">
        <f t="shared" si="492"/>
        <v>0</v>
      </c>
      <c r="F790" s="33"/>
      <c r="G790" s="8"/>
      <c r="H790" s="64">
        <f t="shared" si="493"/>
        <v>0</v>
      </c>
      <c r="I790" s="38">
        <f t="shared" si="494"/>
        <v>0</v>
      </c>
      <c r="J790" s="78"/>
      <c r="L790" s="6"/>
      <c r="M790" s="28"/>
      <c r="N790" s="22"/>
      <c r="O790" s="55">
        <f t="shared" si="508"/>
        <v>0</v>
      </c>
      <c r="P790" s="33"/>
      <c r="Q790" s="8"/>
      <c r="R790" s="64">
        <f t="shared" si="509"/>
        <v>0</v>
      </c>
      <c r="S790" s="38">
        <f t="shared" si="510"/>
        <v>0</v>
      </c>
    </row>
    <row r="791" spans="2:19" x14ac:dyDescent="0.15">
      <c r="B791" s="6"/>
      <c r="C791" s="25"/>
      <c r="D791" s="19"/>
      <c r="E791" s="55">
        <f t="shared" si="492"/>
        <v>0</v>
      </c>
      <c r="F791" s="31"/>
      <c r="G791" s="7"/>
      <c r="H791" s="64">
        <f t="shared" si="493"/>
        <v>0</v>
      </c>
      <c r="I791" s="38">
        <f t="shared" si="494"/>
        <v>0</v>
      </c>
      <c r="J791" s="78"/>
      <c r="L791" s="6"/>
      <c r="M791" s="28"/>
      <c r="N791" s="22"/>
      <c r="O791" s="55">
        <f t="shared" si="508"/>
        <v>0</v>
      </c>
      <c r="P791" s="33"/>
      <c r="Q791" s="8"/>
      <c r="R791" s="64">
        <f t="shared" si="509"/>
        <v>0</v>
      </c>
      <c r="S791" s="38">
        <f t="shared" si="510"/>
        <v>0</v>
      </c>
    </row>
    <row r="792" spans="2:19" x14ac:dyDescent="0.15">
      <c r="B792" s="6"/>
      <c r="C792" s="28"/>
      <c r="D792" s="22"/>
      <c r="E792" s="55">
        <f t="shared" si="492"/>
        <v>0</v>
      </c>
      <c r="F792" s="33"/>
      <c r="G792" s="8"/>
      <c r="H792" s="64">
        <f t="shared" si="493"/>
        <v>0</v>
      </c>
      <c r="I792" s="38">
        <f t="shared" si="494"/>
        <v>0</v>
      </c>
      <c r="J792" s="78"/>
      <c r="L792" s="6"/>
      <c r="M792" s="28"/>
      <c r="N792" s="22"/>
      <c r="O792" s="55">
        <f t="shared" si="508"/>
        <v>0</v>
      </c>
      <c r="P792" s="33"/>
      <c r="Q792" s="8"/>
      <c r="R792" s="64">
        <f t="shared" si="509"/>
        <v>0</v>
      </c>
      <c r="S792" s="38">
        <f t="shared" si="510"/>
        <v>0</v>
      </c>
    </row>
    <row r="793" spans="2:19" x14ac:dyDescent="0.15">
      <c r="B793" s="6"/>
      <c r="C793" s="28"/>
      <c r="D793" s="22"/>
      <c r="E793" s="55">
        <f t="shared" si="492"/>
        <v>0</v>
      </c>
      <c r="F793" s="33"/>
      <c r="G793" s="8"/>
      <c r="H793" s="64">
        <f t="shared" si="493"/>
        <v>0</v>
      </c>
      <c r="I793" s="38">
        <f t="shared" si="494"/>
        <v>0</v>
      </c>
      <c r="J793" s="78"/>
      <c r="L793" s="6"/>
      <c r="M793" s="28"/>
      <c r="N793" s="22"/>
      <c r="O793" s="55">
        <f t="shared" si="508"/>
        <v>0</v>
      </c>
      <c r="P793" s="33"/>
      <c r="Q793" s="8"/>
      <c r="R793" s="64">
        <f t="shared" si="509"/>
        <v>0</v>
      </c>
      <c r="S793" s="38">
        <f t="shared" si="510"/>
        <v>0</v>
      </c>
    </row>
    <row r="794" spans="2:19" x14ac:dyDescent="0.15">
      <c r="B794" s="6"/>
      <c r="C794" s="28"/>
      <c r="D794" s="22"/>
      <c r="E794" s="55">
        <f t="shared" si="492"/>
        <v>0</v>
      </c>
      <c r="F794" s="33"/>
      <c r="G794" s="8"/>
      <c r="H794" s="64">
        <f t="shared" si="493"/>
        <v>0</v>
      </c>
      <c r="I794" s="38">
        <f t="shared" si="494"/>
        <v>0</v>
      </c>
      <c r="J794" s="78"/>
      <c r="L794" s="6"/>
      <c r="M794" s="28"/>
      <c r="N794" s="22"/>
      <c r="O794" s="55">
        <f t="shared" si="508"/>
        <v>0</v>
      </c>
      <c r="P794" s="33"/>
      <c r="Q794" s="8"/>
      <c r="R794" s="64">
        <f t="shared" si="509"/>
        <v>0</v>
      </c>
      <c r="S794" s="38">
        <f t="shared" si="510"/>
        <v>0</v>
      </c>
    </row>
    <row r="795" spans="2:19" x14ac:dyDescent="0.15">
      <c r="B795" s="6"/>
      <c r="C795" s="28"/>
      <c r="D795" s="22"/>
      <c r="E795" s="55">
        <f t="shared" si="492"/>
        <v>0</v>
      </c>
      <c r="F795" s="33"/>
      <c r="G795" s="8"/>
      <c r="H795" s="64">
        <f t="shared" si="493"/>
        <v>0</v>
      </c>
      <c r="I795" s="38">
        <f t="shared" si="494"/>
        <v>0</v>
      </c>
      <c r="J795"/>
      <c r="L795" s="6"/>
      <c r="M795" s="28"/>
      <c r="N795" s="22"/>
      <c r="O795" s="55">
        <f t="shared" ref="O795:O796" si="511">SUM(M795:N795)</f>
        <v>0</v>
      </c>
      <c r="P795" s="33"/>
      <c r="Q795" s="8"/>
      <c r="R795" s="64">
        <f t="shared" ref="R795:R796" si="512">SUM(P795:Q795)</f>
        <v>0</v>
      </c>
      <c r="S795" s="38">
        <f t="shared" ref="S795:S796" si="513">O795+R795</f>
        <v>0</v>
      </c>
    </row>
    <row r="796" spans="2:19" ht="14.25" thickBot="1" x14ac:dyDescent="0.2">
      <c r="B796" s="6"/>
      <c r="C796" s="25"/>
      <c r="D796" s="19"/>
      <c r="E796" s="55">
        <f t="shared" si="492"/>
        <v>0</v>
      </c>
      <c r="F796" s="31"/>
      <c r="G796" s="7"/>
      <c r="H796" s="64">
        <f t="shared" si="493"/>
        <v>0</v>
      </c>
      <c r="I796" s="38">
        <f t="shared" si="494"/>
        <v>0</v>
      </c>
      <c r="L796" s="6"/>
      <c r="M796" s="28"/>
      <c r="N796" s="22"/>
      <c r="O796" s="55">
        <f t="shared" si="511"/>
        <v>0</v>
      </c>
      <c r="P796" s="33"/>
      <c r="Q796" s="8"/>
      <c r="R796" s="64">
        <f t="shared" si="512"/>
        <v>0</v>
      </c>
      <c r="S796" s="38">
        <f t="shared" si="513"/>
        <v>0</v>
      </c>
    </row>
    <row r="797" spans="2:19" ht="14.25" thickBot="1" x14ac:dyDescent="0.2">
      <c r="B797" s="4" t="s">
        <v>1</v>
      </c>
      <c r="C797" s="27">
        <f>SUM(C772:C796)</f>
        <v>1</v>
      </c>
      <c r="D797" s="21">
        <f>SUM(D772:D796)</f>
        <v>0</v>
      </c>
      <c r="E797" s="57">
        <f t="shared" si="492"/>
        <v>1</v>
      </c>
      <c r="F797" s="27">
        <f>SUM(F772:F796)</f>
        <v>0</v>
      </c>
      <c r="G797" s="21">
        <f>SUM(G772:G796)</f>
        <v>3</v>
      </c>
      <c r="H797" s="66">
        <f t="shared" si="493"/>
        <v>3</v>
      </c>
      <c r="I797" s="40">
        <f t="shared" si="494"/>
        <v>4</v>
      </c>
      <c r="L797" s="4" t="s">
        <v>1</v>
      </c>
      <c r="M797" s="27">
        <f>SUM(M772:M796)</f>
        <v>0</v>
      </c>
      <c r="N797" s="21">
        <f t="shared" ref="N797:S797" si="514">SUM(N772:N796)</f>
        <v>0</v>
      </c>
      <c r="O797" s="57">
        <f t="shared" si="514"/>
        <v>0</v>
      </c>
      <c r="P797" s="27">
        <f t="shared" si="514"/>
        <v>0</v>
      </c>
      <c r="Q797" s="21">
        <f t="shared" si="514"/>
        <v>3</v>
      </c>
      <c r="R797" s="66">
        <f t="shared" si="514"/>
        <v>3</v>
      </c>
      <c r="S797" s="40">
        <f t="shared" si="514"/>
        <v>3</v>
      </c>
    </row>
    <row r="798" spans="2:19" ht="14.25" thickBot="1" x14ac:dyDescent="0.2">
      <c r="B798" s="3" t="s">
        <v>0</v>
      </c>
      <c r="C798" s="30">
        <f>+C771-C797</f>
        <v>6</v>
      </c>
      <c r="D798" s="2">
        <f>+D771-D797</f>
        <v>4</v>
      </c>
      <c r="E798" s="58">
        <f t="shared" si="492"/>
        <v>10</v>
      </c>
      <c r="F798" s="30">
        <f>+F771-F797</f>
        <v>11</v>
      </c>
      <c r="G798" s="2">
        <f>+G771-G797</f>
        <v>5</v>
      </c>
      <c r="H798" s="67">
        <f t="shared" si="493"/>
        <v>16</v>
      </c>
      <c r="I798" s="42">
        <f t="shared" si="494"/>
        <v>26</v>
      </c>
      <c r="L798" s="3" t="s">
        <v>0</v>
      </c>
      <c r="M798" s="30">
        <f>+M771-M797</f>
        <v>75</v>
      </c>
      <c r="N798" s="2">
        <f t="shared" ref="N798:S798" si="515">+N771-N797</f>
        <v>105</v>
      </c>
      <c r="O798" s="58">
        <f t="shared" si="515"/>
        <v>180</v>
      </c>
      <c r="P798" s="30">
        <f t="shared" si="515"/>
        <v>41</v>
      </c>
      <c r="Q798" s="2">
        <f t="shared" si="515"/>
        <v>13</v>
      </c>
      <c r="R798" s="67">
        <f t="shared" si="515"/>
        <v>54</v>
      </c>
      <c r="S798" s="42">
        <f t="shared" si="515"/>
        <v>234</v>
      </c>
    </row>
    <row r="801" spans="2:20" ht="18.75" x14ac:dyDescent="0.2">
      <c r="B801" s="16" t="s">
        <v>21</v>
      </c>
      <c r="C801" s="15"/>
      <c r="D801" s="15"/>
      <c r="E801" s="15"/>
      <c r="F801" s="15"/>
      <c r="G801" s="15"/>
      <c r="H801" s="15"/>
      <c r="I801" s="15"/>
      <c r="L801" s="71" t="s">
        <v>22</v>
      </c>
      <c r="M801" s="72"/>
      <c r="N801" s="72"/>
      <c r="O801" s="72"/>
      <c r="P801" s="72"/>
      <c r="Q801" s="72"/>
      <c r="R801" s="72"/>
      <c r="S801" s="72"/>
    </row>
    <row r="802" spans="2:20" ht="18" thickBot="1" x14ac:dyDescent="0.25">
      <c r="B802" s="17" t="s">
        <v>23</v>
      </c>
      <c r="C802" s="15"/>
      <c r="D802" s="15"/>
      <c r="E802" s="15"/>
      <c r="F802" s="15"/>
      <c r="G802" s="15"/>
      <c r="H802" s="15"/>
      <c r="I802" s="15"/>
      <c r="L802" s="73" t="s">
        <v>23</v>
      </c>
      <c r="M802" s="72"/>
      <c r="N802" s="72"/>
      <c r="O802" s="72"/>
      <c r="P802" s="72"/>
      <c r="Q802" s="72"/>
      <c r="R802" s="72"/>
      <c r="S802" s="72"/>
    </row>
    <row r="803" spans="2:20" ht="14.25" thickBot="1" x14ac:dyDescent="0.2">
      <c r="B803" s="14"/>
      <c r="C803" s="113" t="s">
        <v>12</v>
      </c>
      <c r="D803" s="114"/>
      <c r="E803" s="115"/>
      <c r="F803" s="116" t="s">
        <v>11</v>
      </c>
      <c r="G803" s="117"/>
      <c r="H803" s="118"/>
      <c r="I803" s="13" t="s">
        <v>19</v>
      </c>
      <c r="L803" s="14"/>
      <c r="M803" s="113" t="s">
        <v>12</v>
      </c>
      <c r="N803" s="114"/>
      <c r="O803" s="115"/>
      <c r="P803" s="116" t="s">
        <v>11</v>
      </c>
      <c r="Q803" s="117"/>
      <c r="R803" s="118"/>
      <c r="S803" s="13" t="s">
        <v>19</v>
      </c>
    </row>
    <row r="804" spans="2:20" ht="14.25" thickBot="1" x14ac:dyDescent="0.2">
      <c r="B804" s="13"/>
      <c r="C804" s="23" t="s">
        <v>6</v>
      </c>
      <c r="D804" s="12" t="s">
        <v>5</v>
      </c>
      <c r="E804" s="50" t="s">
        <v>4</v>
      </c>
      <c r="F804" s="23" t="s">
        <v>6</v>
      </c>
      <c r="G804" s="12" t="s">
        <v>5</v>
      </c>
      <c r="H804" s="59" t="s">
        <v>4</v>
      </c>
      <c r="I804" s="49"/>
      <c r="L804" s="13"/>
      <c r="M804" s="23" t="s">
        <v>6</v>
      </c>
      <c r="N804" s="12" t="s">
        <v>5</v>
      </c>
      <c r="O804" s="50" t="s">
        <v>4</v>
      </c>
      <c r="P804" s="23" t="s">
        <v>6</v>
      </c>
      <c r="Q804" s="12" t="s">
        <v>5</v>
      </c>
      <c r="R804" s="59" t="s">
        <v>4</v>
      </c>
      <c r="S804" s="49"/>
    </row>
    <row r="805" spans="2:20" x14ac:dyDescent="0.15">
      <c r="B805" s="46" t="s">
        <v>0</v>
      </c>
      <c r="C805" s="47">
        <f t="shared" ref="C805:H805" si="516">C798</f>
        <v>6</v>
      </c>
      <c r="D805" s="48">
        <f t="shared" si="516"/>
        <v>4</v>
      </c>
      <c r="E805" s="68">
        <f t="shared" si="516"/>
        <v>10</v>
      </c>
      <c r="F805" s="47">
        <f t="shared" si="516"/>
        <v>11</v>
      </c>
      <c r="G805" s="48">
        <f t="shared" si="516"/>
        <v>5</v>
      </c>
      <c r="H805" s="69">
        <f t="shared" si="516"/>
        <v>16</v>
      </c>
      <c r="I805" s="41">
        <f>E805+H805</f>
        <v>26</v>
      </c>
      <c r="L805" s="46" t="s">
        <v>0</v>
      </c>
      <c r="M805" s="47">
        <f>M798</f>
        <v>75</v>
      </c>
      <c r="N805" s="48">
        <f t="shared" ref="N805:S805" si="517">N798</f>
        <v>105</v>
      </c>
      <c r="O805" s="68">
        <f t="shared" si="517"/>
        <v>180</v>
      </c>
      <c r="P805" s="47">
        <f t="shared" si="517"/>
        <v>41</v>
      </c>
      <c r="Q805" s="48">
        <f t="shared" si="517"/>
        <v>13</v>
      </c>
      <c r="R805" s="69">
        <f t="shared" si="517"/>
        <v>54</v>
      </c>
      <c r="S805" s="41">
        <f t="shared" si="517"/>
        <v>234</v>
      </c>
    </row>
    <row r="806" spans="2:20" x14ac:dyDescent="0.15">
      <c r="B806" s="90" t="s">
        <v>3</v>
      </c>
      <c r="C806" s="91">
        <v>5</v>
      </c>
      <c r="D806" s="92">
        <v>5</v>
      </c>
      <c r="E806" s="93">
        <f t="shared" ref="E806:E838" si="518">SUM(C806:D806)</f>
        <v>10</v>
      </c>
      <c r="F806" s="94"/>
      <c r="G806" s="95">
        <v>5</v>
      </c>
      <c r="H806" s="96">
        <f t="shared" ref="H806:H838" si="519">SUM(F806:G806)</f>
        <v>5</v>
      </c>
      <c r="I806" s="97">
        <f t="shared" ref="I806:I838" si="520">E806+H806</f>
        <v>15</v>
      </c>
      <c r="J806" s="98">
        <v>46098</v>
      </c>
      <c r="L806" s="11" t="s">
        <v>3</v>
      </c>
      <c r="M806" s="25"/>
      <c r="N806" s="19"/>
      <c r="O806" s="52">
        <f t="shared" ref="O806:O810" si="521">SUM(M806:N806)</f>
        <v>0</v>
      </c>
      <c r="P806" s="31"/>
      <c r="Q806" s="7"/>
      <c r="R806" s="61">
        <f t="shared" ref="R806:R810" si="522">SUM(P806:Q806)</f>
        <v>0</v>
      </c>
      <c r="S806" s="38">
        <f t="shared" ref="S806:S810" si="523">O806+R806</f>
        <v>0</v>
      </c>
    </row>
    <row r="807" spans="2:20" x14ac:dyDescent="0.15">
      <c r="B807" s="11" t="s">
        <v>3</v>
      </c>
      <c r="C807" s="25"/>
      <c r="D807" s="19">
        <v>5</v>
      </c>
      <c r="E807" s="52">
        <f t="shared" si="518"/>
        <v>5</v>
      </c>
      <c r="F807" s="31"/>
      <c r="G807" s="7"/>
      <c r="H807" s="61">
        <f t="shared" si="519"/>
        <v>0</v>
      </c>
      <c r="I807" s="38">
        <f t="shared" si="520"/>
        <v>5</v>
      </c>
      <c r="J807" s="78">
        <v>46102</v>
      </c>
      <c r="L807" s="11" t="s">
        <v>3</v>
      </c>
      <c r="M807" s="25"/>
      <c r="N807" s="19"/>
      <c r="O807" s="52">
        <f t="shared" si="521"/>
        <v>0</v>
      </c>
      <c r="P807" s="31">
        <v>50</v>
      </c>
      <c r="Q807" s="7">
        <v>100</v>
      </c>
      <c r="R807" s="61">
        <f t="shared" si="522"/>
        <v>150</v>
      </c>
      <c r="S807" s="38">
        <f t="shared" si="523"/>
        <v>150</v>
      </c>
      <c r="T807" s="78" t="s">
        <v>185</v>
      </c>
    </row>
    <row r="808" spans="2:20" x14ac:dyDescent="0.15">
      <c r="B808" s="90" t="s">
        <v>3</v>
      </c>
      <c r="C808" s="91"/>
      <c r="D808" s="92">
        <v>3</v>
      </c>
      <c r="E808" s="93">
        <f t="shared" si="518"/>
        <v>3</v>
      </c>
      <c r="F808" s="94"/>
      <c r="G808" s="95"/>
      <c r="H808" s="96">
        <f t="shared" si="519"/>
        <v>0</v>
      </c>
      <c r="I808" s="97">
        <f t="shared" si="520"/>
        <v>3</v>
      </c>
      <c r="J808" s="98">
        <v>46128</v>
      </c>
      <c r="L808" s="11" t="s">
        <v>3</v>
      </c>
      <c r="M808" s="25"/>
      <c r="N808" s="19"/>
      <c r="O808" s="52">
        <f t="shared" si="521"/>
        <v>0</v>
      </c>
      <c r="P808" s="31"/>
      <c r="Q808" s="7"/>
      <c r="R808" s="61">
        <f t="shared" si="522"/>
        <v>0</v>
      </c>
      <c r="S808" s="38">
        <f t="shared" si="523"/>
        <v>0</v>
      </c>
    </row>
    <row r="809" spans="2:20" x14ac:dyDescent="0.15">
      <c r="B809" s="90" t="s">
        <v>3</v>
      </c>
      <c r="C809" s="91"/>
      <c r="D809" s="92">
        <v>5</v>
      </c>
      <c r="E809" s="93">
        <f t="shared" si="518"/>
        <v>5</v>
      </c>
      <c r="F809" s="94"/>
      <c r="G809" s="95"/>
      <c r="H809" s="96">
        <f t="shared" si="519"/>
        <v>0</v>
      </c>
      <c r="I809" s="97">
        <f t="shared" si="520"/>
        <v>5</v>
      </c>
      <c r="J809" s="98">
        <v>46133</v>
      </c>
      <c r="L809" s="11" t="s">
        <v>3</v>
      </c>
      <c r="M809" s="25"/>
      <c r="N809" s="19"/>
      <c r="O809" s="52">
        <f t="shared" si="521"/>
        <v>0</v>
      </c>
      <c r="P809" s="31"/>
      <c r="Q809" s="7"/>
      <c r="R809" s="61">
        <f t="shared" si="522"/>
        <v>0</v>
      </c>
      <c r="S809" s="38">
        <f t="shared" si="523"/>
        <v>0</v>
      </c>
    </row>
    <row r="810" spans="2:20" ht="14.25" thickBot="1" x14ac:dyDescent="0.2">
      <c r="B810" s="90" t="s">
        <v>3</v>
      </c>
      <c r="C810" s="91"/>
      <c r="D810" s="92">
        <v>5</v>
      </c>
      <c r="E810" s="93">
        <f t="shared" si="518"/>
        <v>5</v>
      </c>
      <c r="F810" s="94"/>
      <c r="G810" s="95"/>
      <c r="H810" s="96">
        <f t="shared" si="519"/>
        <v>0</v>
      </c>
      <c r="I810" s="97">
        <f t="shared" si="520"/>
        <v>5</v>
      </c>
      <c r="J810" s="98">
        <v>46135</v>
      </c>
      <c r="L810" s="11" t="s">
        <v>3</v>
      </c>
      <c r="M810" s="25"/>
      <c r="N810" s="19"/>
      <c r="O810" s="52">
        <f t="shared" si="521"/>
        <v>0</v>
      </c>
      <c r="P810" s="31"/>
      <c r="Q810" s="7"/>
      <c r="R810" s="61">
        <f t="shared" si="522"/>
        <v>0</v>
      </c>
      <c r="S810" s="38">
        <f t="shared" si="523"/>
        <v>0</v>
      </c>
    </row>
    <row r="811" spans="2:20" ht="14.25" thickBot="1" x14ac:dyDescent="0.2">
      <c r="B811" s="43" t="s">
        <v>2</v>
      </c>
      <c r="C811" s="44">
        <f>SUM(C805:C810)</f>
        <v>11</v>
      </c>
      <c r="D811" s="45">
        <f>SUM(D805:D810)</f>
        <v>27</v>
      </c>
      <c r="E811" s="83">
        <f t="shared" si="518"/>
        <v>38</v>
      </c>
      <c r="F811" s="44">
        <f>SUM(F805:F810)</f>
        <v>11</v>
      </c>
      <c r="G811" s="45">
        <f>SUM(G805:G810)</f>
        <v>10</v>
      </c>
      <c r="H811" s="84">
        <f t="shared" si="519"/>
        <v>21</v>
      </c>
      <c r="I811" s="42">
        <f t="shared" si="520"/>
        <v>59</v>
      </c>
      <c r="L811" s="43" t="s">
        <v>2</v>
      </c>
      <c r="M811" s="44">
        <f>SUM(M805:M810)</f>
        <v>75</v>
      </c>
      <c r="N811" s="45">
        <f t="shared" ref="N811:S811" si="524">SUM(N805:N810)</f>
        <v>105</v>
      </c>
      <c r="O811" s="83">
        <f t="shared" si="524"/>
        <v>180</v>
      </c>
      <c r="P811" s="44">
        <f t="shared" si="524"/>
        <v>91</v>
      </c>
      <c r="Q811" s="45">
        <f t="shared" si="524"/>
        <v>113</v>
      </c>
      <c r="R811" s="84">
        <f t="shared" si="524"/>
        <v>204</v>
      </c>
      <c r="S811" s="42">
        <f t="shared" si="524"/>
        <v>384</v>
      </c>
    </row>
    <row r="812" spans="2:20" x14ac:dyDescent="0.15">
      <c r="B812" s="6" t="s">
        <v>186</v>
      </c>
      <c r="C812" s="25">
        <v>1</v>
      </c>
      <c r="D812" s="19"/>
      <c r="E812" s="55">
        <f t="shared" si="518"/>
        <v>1</v>
      </c>
      <c r="F812" s="31"/>
      <c r="G812" s="7"/>
      <c r="H812" s="64">
        <f t="shared" si="519"/>
        <v>0</v>
      </c>
      <c r="I812" s="38">
        <f t="shared" si="520"/>
        <v>1</v>
      </c>
      <c r="J812" s="78">
        <v>46097</v>
      </c>
      <c r="L812" s="6" t="s">
        <v>184</v>
      </c>
      <c r="M812" s="25"/>
      <c r="N812" s="19">
        <v>5</v>
      </c>
      <c r="O812" s="55">
        <f t="shared" ref="O812" si="525">SUM(M812:N812)</f>
        <v>5</v>
      </c>
      <c r="P812" s="31"/>
      <c r="Q812" s="7">
        <v>5</v>
      </c>
      <c r="R812" s="64">
        <f t="shared" ref="R812" si="526">SUM(P812:Q812)</f>
        <v>5</v>
      </c>
      <c r="S812" s="38">
        <f t="shared" ref="S812" si="527">O812+R812</f>
        <v>10</v>
      </c>
      <c r="T812" s="78">
        <v>46094</v>
      </c>
    </row>
    <row r="813" spans="2:20" x14ac:dyDescent="0.15">
      <c r="B813" s="6" t="s">
        <v>188</v>
      </c>
      <c r="C813" s="25"/>
      <c r="D813" s="19">
        <v>4</v>
      </c>
      <c r="E813" s="55">
        <f t="shared" si="518"/>
        <v>4</v>
      </c>
      <c r="F813" s="31"/>
      <c r="G813" s="7"/>
      <c r="H813" s="64">
        <f t="shared" si="519"/>
        <v>0</v>
      </c>
      <c r="I813" s="38">
        <f t="shared" si="520"/>
        <v>4</v>
      </c>
      <c r="J813" s="78">
        <v>46097</v>
      </c>
      <c r="L813" s="99" t="s">
        <v>187</v>
      </c>
      <c r="M813" s="91">
        <v>5</v>
      </c>
      <c r="N813" s="92">
        <v>5</v>
      </c>
      <c r="O813" s="100">
        <f t="shared" ref="O813:O834" si="528">SUM(M813:N813)</f>
        <v>10</v>
      </c>
      <c r="P813" s="94"/>
      <c r="Q813" s="95">
        <v>5</v>
      </c>
      <c r="R813" s="101">
        <f t="shared" ref="R813:R834" si="529">SUM(P813:Q813)</f>
        <v>5</v>
      </c>
      <c r="S813" s="97">
        <f t="shared" ref="S813:S834" si="530">O813+R813</f>
        <v>15</v>
      </c>
      <c r="T813" s="98">
        <v>46098</v>
      </c>
    </row>
    <row r="814" spans="2:20" x14ac:dyDescent="0.15">
      <c r="B814" s="6" t="s">
        <v>184</v>
      </c>
      <c r="C814" s="25">
        <v>1</v>
      </c>
      <c r="D814" s="19"/>
      <c r="E814" s="55">
        <f t="shared" si="518"/>
        <v>1</v>
      </c>
      <c r="F814" s="31">
        <v>1</v>
      </c>
      <c r="G814" s="7"/>
      <c r="H814" s="64">
        <f t="shared" si="519"/>
        <v>1</v>
      </c>
      <c r="I814" s="38">
        <f t="shared" si="520"/>
        <v>2</v>
      </c>
      <c r="J814" s="78">
        <v>46100</v>
      </c>
      <c r="L814" s="6" t="s">
        <v>189</v>
      </c>
      <c r="M814" s="25"/>
      <c r="N814" s="19">
        <v>5</v>
      </c>
      <c r="O814" s="55">
        <f t="shared" si="528"/>
        <v>5</v>
      </c>
      <c r="P814" s="31"/>
      <c r="Q814" s="7"/>
      <c r="R814" s="64">
        <f t="shared" si="529"/>
        <v>0</v>
      </c>
      <c r="S814" s="38">
        <f t="shared" si="530"/>
        <v>5</v>
      </c>
      <c r="T814" s="78">
        <v>46102</v>
      </c>
    </row>
    <row r="815" spans="2:20" x14ac:dyDescent="0.15">
      <c r="B815" s="6" t="s">
        <v>7</v>
      </c>
      <c r="C815" s="25"/>
      <c r="D815" s="19">
        <v>1</v>
      </c>
      <c r="E815" s="55">
        <f t="shared" si="518"/>
        <v>1</v>
      </c>
      <c r="F815" s="31"/>
      <c r="G815" s="7"/>
      <c r="H815" s="64">
        <f t="shared" si="519"/>
        <v>0</v>
      </c>
      <c r="I815" s="38">
        <f t="shared" si="520"/>
        <v>1</v>
      </c>
      <c r="J815" s="78">
        <v>46100</v>
      </c>
      <c r="L815" s="99" t="s">
        <v>189</v>
      </c>
      <c r="M815" s="91"/>
      <c r="N815" s="92">
        <v>3</v>
      </c>
      <c r="O815" s="100">
        <f t="shared" si="528"/>
        <v>3</v>
      </c>
      <c r="P815" s="94"/>
      <c r="Q815" s="95"/>
      <c r="R815" s="101">
        <f t="shared" si="529"/>
        <v>0</v>
      </c>
      <c r="S815" s="97">
        <f t="shared" si="530"/>
        <v>3</v>
      </c>
      <c r="T815" s="98">
        <v>46128</v>
      </c>
    </row>
    <row r="816" spans="2:20" x14ac:dyDescent="0.15">
      <c r="B816" s="6" t="s">
        <v>184</v>
      </c>
      <c r="C816" s="25">
        <v>2</v>
      </c>
      <c r="D816" s="19"/>
      <c r="E816" s="55">
        <f t="shared" si="518"/>
        <v>2</v>
      </c>
      <c r="F816" s="31"/>
      <c r="G816" s="7">
        <v>1</v>
      </c>
      <c r="H816" s="64">
        <f t="shared" si="519"/>
        <v>1</v>
      </c>
      <c r="I816" s="38">
        <f t="shared" si="520"/>
        <v>3</v>
      </c>
      <c r="J816" s="78">
        <v>46106</v>
      </c>
      <c r="L816" s="99" t="s">
        <v>189</v>
      </c>
      <c r="M816" s="91"/>
      <c r="N816" s="92">
        <v>5</v>
      </c>
      <c r="O816" s="100">
        <f t="shared" si="528"/>
        <v>5</v>
      </c>
      <c r="P816" s="94"/>
      <c r="Q816" s="95"/>
      <c r="R816" s="101">
        <f t="shared" si="529"/>
        <v>0</v>
      </c>
      <c r="S816" s="97">
        <f t="shared" si="530"/>
        <v>5</v>
      </c>
      <c r="T816" s="98">
        <v>46133</v>
      </c>
    </row>
    <row r="817" spans="2:20" x14ac:dyDescent="0.15">
      <c r="B817" s="6" t="s">
        <v>7</v>
      </c>
      <c r="C817" s="25"/>
      <c r="D817" s="19">
        <v>1</v>
      </c>
      <c r="E817" s="55">
        <f t="shared" si="518"/>
        <v>1</v>
      </c>
      <c r="F817" s="31"/>
      <c r="G817" s="7">
        <v>3</v>
      </c>
      <c r="H817" s="64">
        <f t="shared" si="519"/>
        <v>3</v>
      </c>
      <c r="I817" s="38">
        <f t="shared" si="520"/>
        <v>4</v>
      </c>
      <c r="J817" s="78">
        <v>46104</v>
      </c>
      <c r="L817" s="99" t="s">
        <v>189</v>
      </c>
      <c r="M817" s="91"/>
      <c r="N817" s="92">
        <v>5</v>
      </c>
      <c r="O817" s="100">
        <f t="shared" si="528"/>
        <v>5</v>
      </c>
      <c r="P817" s="94"/>
      <c r="Q817" s="95"/>
      <c r="R817" s="101">
        <f t="shared" si="529"/>
        <v>0</v>
      </c>
      <c r="S817" s="97">
        <f t="shared" si="530"/>
        <v>5</v>
      </c>
      <c r="T817" s="98">
        <v>46135</v>
      </c>
    </row>
    <row r="818" spans="2:20" x14ac:dyDescent="0.15">
      <c r="B818" s="6" t="s">
        <v>184</v>
      </c>
      <c r="C818" s="25"/>
      <c r="D818" s="19">
        <v>1</v>
      </c>
      <c r="E818" s="55">
        <f t="shared" si="518"/>
        <v>1</v>
      </c>
      <c r="F818" s="31">
        <v>1</v>
      </c>
      <c r="G818" s="7"/>
      <c r="H818" s="64">
        <f t="shared" si="519"/>
        <v>1</v>
      </c>
      <c r="I818" s="38">
        <f t="shared" si="520"/>
        <v>2</v>
      </c>
      <c r="J818" s="78">
        <v>46108</v>
      </c>
      <c r="L818" s="6" t="s">
        <v>189</v>
      </c>
      <c r="M818" s="25"/>
      <c r="N818" s="19"/>
      <c r="O818" s="55">
        <f t="shared" si="528"/>
        <v>0</v>
      </c>
      <c r="P818" s="31"/>
      <c r="Q818" s="7">
        <v>3</v>
      </c>
      <c r="R818" s="64">
        <f t="shared" si="529"/>
        <v>3</v>
      </c>
      <c r="S818" s="38">
        <f t="shared" si="530"/>
        <v>3</v>
      </c>
      <c r="T818" s="78">
        <v>46142</v>
      </c>
    </row>
    <row r="819" spans="2:20" x14ac:dyDescent="0.15">
      <c r="B819" s="6" t="s">
        <v>7</v>
      </c>
      <c r="C819" s="28">
        <v>1</v>
      </c>
      <c r="D819" s="22"/>
      <c r="E819" s="55">
        <f t="shared" si="518"/>
        <v>1</v>
      </c>
      <c r="F819" s="33">
        <v>1</v>
      </c>
      <c r="G819" s="8"/>
      <c r="H819" s="64">
        <f t="shared" si="519"/>
        <v>1</v>
      </c>
      <c r="I819" s="38">
        <f t="shared" si="520"/>
        <v>2</v>
      </c>
      <c r="J819" s="78">
        <v>46106</v>
      </c>
      <c r="L819" s="6"/>
      <c r="M819" s="25"/>
      <c r="N819" s="19"/>
      <c r="O819" s="55">
        <f t="shared" ref="O819" si="531">SUM(M819:N819)</f>
        <v>0</v>
      </c>
      <c r="P819" s="31"/>
      <c r="Q819" s="7"/>
      <c r="R819" s="64">
        <f t="shared" ref="R819" si="532">SUM(P819:Q819)</f>
        <v>0</v>
      </c>
      <c r="S819" s="38">
        <f t="shared" ref="S819" si="533">O819+R819</f>
        <v>0</v>
      </c>
    </row>
    <row r="820" spans="2:20" x14ac:dyDescent="0.15">
      <c r="B820" s="6" t="s">
        <v>7</v>
      </c>
      <c r="C820" s="25"/>
      <c r="D820" s="19">
        <v>1</v>
      </c>
      <c r="E820" s="55">
        <f t="shared" si="518"/>
        <v>1</v>
      </c>
      <c r="F820" s="31"/>
      <c r="G820" s="7"/>
      <c r="H820" s="64">
        <f t="shared" si="519"/>
        <v>0</v>
      </c>
      <c r="I820" s="38">
        <f t="shared" si="520"/>
        <v>1</v>
      </c>
      <c r="J820" s="78">
        <v>46107</v>
      </c>
      <c r="L820" s="6"/>
      <c r="M820" s="25"/>
      <c r="N820" s="19"/>
      <c r="O820" s="55">
        <f t="shared" si="528"/>
        <v>0</v>
      </c>
      <c r="P820" s="31"/>
      <c r="Q820" s="7"/>
      <c r="R820" s="64">
        <f t="shared" si="529"/>
        <v>0</v>
      </c>
      <c r="S820" s="38">
        <f t="shared" si="530"/>
        <v>0</v>
      </c>
    </row>
    <row r="821" spans="2:20" x14ac:dyDescent="0.15">
      <c r="B821" s="6" t="s">
        <v>7</v>
      </c>
      <c r="C821" s="25"/>
      <c r="D821" s="19">
        <v>2</v>
      </c>
      <c r="E821" s="55">
        <f t="shared" si="518"/>
        <v>2</v>
      </c>
      <c r="F821" s="31"/>
      <c r="G821" s="7"/>
      <c r="H821" s="64">
        <f t="shared" si="519"/>
        <v>0</v>
      </c>
      <c r="I821" s="38">
        <f t="shared" si="520"/>
        <v>2</v>
      </c>
      <c r="J821" s="78">
        <v>46108</v>
      </c>
      <c r="L821" s="6"/>
      <c r="M821" s="25"/>
      <c r="N821" s="19"/>
      <c r="O821" s="55">
        <f t="shared" si="528"/>
        <v>0</v>
      </c>
      <c r="P821" s="31"/>
      <c r="Q821" s="7"/>
      <c r="R821" s="64">
        <f t="shared" si="529"/>
        <v>0</v>
      </c>
      <c r="S821" s="38">
        <f t="shared" si="530"/>
        <v>0</v>
      </c>
    </row>
    <row r="822" spans="2:20" x14ac:dyDescent="0.15">
      <c r="B822" s="6" t="s">
        <v>7</v>
      </c>
      <c r="C822" s="25"/>
      <c r="D822" s="19">
        <v>1</v>
      </c>
      <c r="E822" s="55">
        <f t="shared" si="518"/>
        <v>1</v>
      </c>
      <c r="F822" s="31"/>
      <c r="G822" s="7"/>
      <c r="H822" s="64">
        <f t="shared" si="519"/>
        <v>0</v>
      </c>
      <c r="I822" s="38">
        <f t="shared" si="520"/>
        <v>1</v>
      </c>
      <c r="J822" s="78">
        <v>46126</v>
      </c>
      <c r="L822" s="6"/>
      <c r="M822" s="25"/>
      <c r="N822" s="19"/>
      <c r="O822" s="55">
        <f t="shared" si="528"/>
        <v>0</v>
      </c>
      <c r="P822" s="31"/>
      <c r="Q822" s="7"/>
      <c r="R822" s="64">
        <f t="shared" si="529"/>
        <v>0</v>
      </c>
      <c r="S822" s="38">
        <f t="shared" si="530"/>
        <v>0</v>
      </c>
    </row>
    <row r="823" spans="2:20" x14ac:dyDescent="0.15">
      <c r="B823" s="6" t="s">
        <v>7</v>
      </c>
      <c r="C823" s="25"/>
      <c r="D823" s="19">
        <v>2</v>
      </c>
      <c r="E823" s="55">
        <f t="shared" si="518"/>
        <v>2</v>
      </c>
      <c r="F823" s="31"/>
      <c r="G823" s="7"/>
      <c r="H823" s="64">
        <f t="shared" si="519"/>
        <v>0</v>
      </c>
      <c r="I823" s="38">
        <f t="shared" si="520"/>
        <v>2</v>
      </c>
      <c r="J823" s="78">
        <v>46127</v>
      </c>
      <c r="L823" s="6"/>
      <c r="M823" s="25"/>
      <c r="N823" s="19"/>
      <c r="O823" s="55">
        <f t="shared" si="528"/>
        <v>0</v>
      </c>
      <c r="P823" s="31"/>
      <c r="Q823" s="7"/>
      <c r="R823" s="64">
        <f t="shared" si="529"/>
        <v>0</v>
      </c>
      <c r="S823" s="38">
        <f t="shared" si="530"/>
        <v>0</v>
      </c>
    </row>
    <row r="824" spans="2:20" x14ac:dyDescent="0.15">
      <c r="B824" s="6" t="s">
        <v>7</v>
      </c>
      <c r="C824" s="28"/>
      <c r="D824" s="22">
        <v>1</v>
      </c>
      <c r="E824" s="55">
        <f t="shared" si="518"/>
        <v>1</v>
      </c>
      <c r="F824" s="33"/>
      <c r="G824" s="8"/>
      <c r="H824" s="64">
        <f t="shared" si="519"/>
        <v>0</v>
      </c>
      <c r="I824" s="38">
        <f t="shared" si="520"/>
        <v>1</v>
      </c>
      <c r="J824" s="78">
        <v>46128</v>
      </c>
      <c r="L824" s="6"/>
      <c r="M824" s="25"/>
      <c r="N824" s="19"/>
      <c r="O824" s="55">
        <f t="shared" si="528"/>
        <v>0</v>
      </c>
      <c r="P824" s="31"/>
      <c r="Q824" s="7"/>
      <c r="R824" s="64">
        <f t="shared" si="529"/>
        <v>0</v>
      </c>
      <c r="S824" s="38">
        <f t="shared" si="530"/>
        <v>0</v>
      </c>
    </row>
    <row r="825" spans="2:20" x14ac:dyDescent="0.15">
      <c r="B825" s="6" t="s">
        <v>7</v>
      </c>
      <c r="C825" s="28"/>
      <c r="D825" s="22">
        <v>1</v>
      </c>
      <c r="E825" s="55">
        <f t="shared" si="518"/>
        <v>1</v>
      </c>
      <c r="F825" s="33"/>
      <c r="G825" s="8"/>
      <c r="H825" s="64">
        <f t="shared" si="519"/>
        <v>0</v>
      </c>
      <c r="I825" s="38">
        <f t="shared" si="520"/>
        <v>1</v>
      </c>
      <c r="J825" s="78">
        <v>46129</v>
      </c>
      <c r="L825" s="6"/>
      <c r="M825" s="28"/>
      <c r="N825" s="22"/>
      <c r="O825" s="55">
        <f t="shared" si="528"/>
        <v>0</v>
      </c>
      <c r="P825" s="33"/>
      <c r="Q825" s="8"/>
      <c r="R825" s="64">
        <f t="shared" si="529"/>
        <v>0</v>
      </c>
      <c r="S825" s="38">
        <f t="shared" si="530"/>
        <v>0</v>
      </c>
    </row>
    <row r="826" spans="2:20" x14ac:dyDescent="0.15">
      <c r="B826" s="6" t="s">
        <v>7</v>
      </c>
      <c r="C826" s="28"/>
      <c r="D826" s="22">
        <v>1</v>
      </c>
      <c r="E826" s="55">
        <f t="shared" si="518"/>
        <v>1</v>
      </c>
      <c r="F826" s="33"/>
      <c r="G826" s="8"/>
      <c r="H826" s="64">
        <f t="shared" si="519"/>
        <v>0</v>
      </c>
      <c r="I826" s="38">
        <f t="shared" si="520"/>
        <v>1</v>
      </c>
      <c r="J826" s="78">
        <v>46132</v>
      </c>
      <c r="L826" s="6"/>
      <c r="M826" s="28"/>
      <c r="N826" s="22"/>
      <c r="O826" s="55">
        <f t="shared" si="528"/>
        <v>0</v>
      </c>
      <c r="P826" s="33"/>
      <c r="Q826" s="8"/>
      <c r="R826" s="64">
        <f t="shared" si="529"/>
        <v>0</v>
      </c>
      <c r="S826" s="38">
        <f t="shared" si="530"/>
        <v>0</v>
      </c>
    </row>
    <row r="827" spans="2:20" x14ac:dyDescent="0.15">
      <c r="B827" s="6" t="s">
        <v>184</v>
      </c>
      <c r="C827" s="25"/>
      <c r="D827" s="19"/>
      <c r="E827" s="55">
        <f t="shared" si="518"/>
        <v>0</v>
      </c>
      <c r="F827" s="31">
        <v>1</v>
      </c>
      <c r="G827" s="7"/>
      <c r="H827" s="64">
        <f t="shared" si="519"/>
        <v>1</v>
      </c>
      <c r="I827" s="38">
        <f t="shared" si="520"/>
        <v>1</v>
      </c>
      <c r="J827" s="78">
        <v>46135</v>
      </c>
      <c r="L827" s="6"/>
      <c r="M827" s="28"/>
      <c r="N827" s="22"/>
      <c r="O827" s="55">
        <f t="shared" si="528"/>
        <v>0</v>
      </c>
      <c r="P827" s="33"/>
      <c r="Q827" s="8"/>
      <c r="R827" s="64">
        <f t="shared" si="529"/>
        <v>0</v>
      </c>
      <c r="S827" s="38">
        <f t="shared" si="530"/>
        <v>0</v>
      </c>
    </row>
    <row r="828" spans="2:20" x14ac:dyDescent="0.15">
      <c r="B828" s="6" t="s">
        <v>7</v>
      </c>
      <c r="C828" s="28"/>
      <c r="D828" s="22">
        <v>4</v>
      </c>
      <c r="E828" s="55">
        <f t="shared" si="518"/>
        <v>4</v>
      </c>
      <c r="F828" s="33"/>
      <c r="G828" s="8"/>
      <c r="H828" s="64">
        <f t="shared" si="519"/>
        <v>0</v>
      </c>
      <c r="I828" s="38">
        <f t="shared" si="520"/>
        <v>4</v>
      </c>
      <c r="J828" s="78">
        <v>46134</v>
      </c>
      <c r="L828" s="6"/>
      <c r="M828" s="28"/>
      <c r="N828" s="22"/>
      <c r="O828" s="55">
        <f t="shared" si="528"/>
        <v>0</v>
      </c>
      <c r="P828" s="33"/>
      <c r="Q828" s="8"/>
      <c r="R828" s="64">
        <f t="shared" si="529"/>
        <v>0</v>
      </c>
      <c r="S828" s="38">
        <f t="shared" si="530"/>
        <v>0</v>
      </c>
    </row>
    <row r="829" spans="2:20" x14ac:dyDescent="0.15">
      <c r="B829" s="6" t="s">
        <v>184</v>
      </c>
      <c r="C829" s="25"/>
      <c r="D829" s="19">
        <v>2</v>
      </c>
      <c r="E829" s="55">
        <f t="shared" si="518"/>
        <v>2</v>
      </c>
      <c r="F829" s="31"/>
      <c r="G829" s="7"/>
      <c r="H829" s="64">
        <f t="shared" si="519"/>
        <v>0</v>
      </c>
      <c r="I829" s="38">
        <f t="shared" si="520"/>
        <v>2</v>
      </c>
      <c r="J829" s="78">
        <v>46140</v>
      </c>
      <c r="L829" s="6"/>
      <c r="M829" s="28"/>
      <c r="N829" s="22"/>
      <c r="O829" s="55">
        <f t="shared" si="528"/>
        <v>0</v>
      </c>
      <c r="P829" s="33"/>
      <c r="Q829" s="8"/>
      <c r="R829" s="64">
        <f t="shared" si="529"/>
        <v>0</v>
      </c>
      <c r="S829" s="38">
        <f t="shared" si="530"/>
        <v>0</v>
      </c>
    </row>
    <row r="830" spans="2:20" x14ac:dyDescent="0.15">
      <c r="B830" s="6" t="s">
        <v>184</v>
      </c>
      <c r="C830" s="25"/>
      <c r="D830" s="19"/>
      <c r="E830" s="55">
        <f t="shared" si="518"/>
        <v>0</v>
      </c>
      <c r="F830" s="31"/>
      <c r="G830" s="7">
        <v>4</v>
      </c>
      <c r="H830" s="64">
        <f t="shared" si="519"/>
        <v>4</v>
      </c>
      <c r="I830" s="38">
        <f t="shared" si="520"/>
        <v>4</v>
      </c>
      <c r="J830" s="78">
        <v>46142</v>
      </c>
      <c r="L830" s="6"/>
      <c r="M830" s="28"/>
      <c r="N830" s="22"/>
      <c r="O830" s="55">
        <f t="shared" si="528"/>
        <v>0</v>
      </c>
      <c r="P830" s="33"/>
      <c r="Q830" s="8"/>
      <c r="R830" s="64">
        <f t="shared" si="529"/>
        <v>0</v>
      </c>
      <c r="S830" s="38">
        <f t="shared" si="530"/>
        <v>0</v>
      </c>
    </row>
    <row r="831" spans="2:20" x14ac:dyDescent="0.15">
      <c r="B831" s="6" t="s">
        <v>7</v>
      </c>
      <c r="C831" s="25"/>
      <c r="D831" s="19"/>
      <c r="E831" s="55">
        <f t="shared" si="518"/>
        <v>0</v>
      </c>
      <c r="F831" s="31">
        <v>1</v>
      </c>
      <c r="G831" s="7">
        <v>1</v>
      </c>
      <c r="H831" s="64">
        <f t="shared" si="519"/>
        <v>2</v>
      </c>
      <c r="I831" s="38">
        <f t="shared" si="520"/>
        <v>2</v>
      </c>
      <c r="J831" s="78">
        <v>46142</v>
      </c>
      <c r="L831" s="6"/>
      <c r="M831" s="28"/>
      <c r="N831" s="22"/>
      <c r="O831" s="55">
        <f t="shared" si="528"/>
        <v>0</v>
      </c>
      <c r="P831" s="33"/>
      <c r="Q831" s="8"/>
      <c r="R831" s="64">
        <f t="shared" si="529"/>
        <v>0</v>
      </c>
      <c r="S831" s="38">
        <f t="shared" si="530"/>
        <v>0</v>
      </c>
    </row>
    <row r="832" spans="2:20" x14ac:dyDescent="0.15">
      <c r="B832" s="6" t="s">
        <v>7</v>
      </c>
      <c r="C832" s="28">
        <v>1</v>
      </c>
      <c r="D832" s="22"/>
      <c r="E832" s="55">
        <f t="shared" si="518"/>
        <v>1</v>
      </c>
      <c r="F832" s="33"/>
      <c r="G832" s="8"/>
      <c r="H832" s="64">
        <f t="shared" si="519"/>
        <v>0</v>
      </c>
      <c r="I832" s="38">
        <f t="shared" si="520"/>
        <v>1</v>
      </c>
      <c r="J832" s="78">
        <v>46143</v>
      </c>
      <c r="L832" s="6"/>
      <c r="M832" s="28"/>
      <c r="N832" s="22"/>
      <c r="O832" s="55">
        <f t="shared" si="528"/>
        <v>0</v>
      </c>
      <c r="P832" s="33"/>
      <c r="Q832" s="8"/>
      <c r="R832" s="64">
        <f t="shared" si="529"/>
        <v>0</v>
      </c>
      <c r="S832" s="38">
        <f t="shared" si="530"/>
        <v>0</v>
      </c>
    </row>
    <row r="833" spans="2:20" x14ac:dyDescent="0.15">
      <c r="B833" s="6" t="s">
        <v>7</v>
      </c>
      <c r="C833" s="28"/>
      <c r="D833" s="22">
        <v>3</v>
      </c>
      <c r="E833" s="55">
        <f t="shared" si="518"/>
        <v>3</v>
      </c>
      <c r="F833" s="33">
        <v>1</v>
      </c>
      <c r="G833" s="8">
        <v>3</v>
      </c>
      <c r="H833" s="64">
        <f t="shared" si="519"/>
        <v>4</v>
      </c>
      <c r="I833" s="38">
        <f t="shared" si="520"/>
        <v>7</v>
      </c>
      <c r="J833" s="78">
        <v>46149</v>
      </c>
      <c r="L833" s="6"/>
      <c r="M833" s="28"/>
      <c r="N833" s="22"/>
      <c r="O833" s="55">
        <f t="shared" si="528"/>
        <v>0</v>
      </c>
      <c r="P833" s="33"/>
      <c r="Q833" s="8"/>
      <c r="R833" s="64">
        <f t="shared" si="529"/>
        <v>0</v>
      </c>
      <c r="S833" s="38">
        <f t="shared" si="530"/>
        <v>0</v>
      </c>
    </row>
    <row r="834" spans="2:20" x14ac:dyDescent="0.15">
      <c r="B834" s="6"/>
      <c r="C834" s="28"/>
      <c r="D834" s="22"/>
      <c r="E834" s="55">
        <f t="shared" si="518"/>
        <v>0</v>
      </c>
      <c r="F834" s="33"/>
      <c r="G834" s="8"/>
      <c r="H834" s="64">
        <f t="shared" si="519"/>
        <v>0</v>
      </c>
      <c r="I834" s="38">
        <f t="shared" si="520"/>
        <v>0</v>
      </c>
      <c r="J834" s="78"/>
      <c r="L834" s="6"/>
      <c r="M834" s="28"/>
      <c r="N834" s="22"/>
      <c r="O834" s="55">
        <f t="shared" si="528"/>
        <v>0</v>
      </c>
      <c r="P834" s="33"/>
      <c r="Q834" s="8"/>
      <c r="R834" s="64">
        <f t="shared" si="529"/>
        <v>0</v>
      </c>
      <c r="S834" s="38">
        <f t="shared" si="530"/>
        <v>0</v>
      </c>
    </row>
    <row r="835" spans="2:20" x14ac:dyDescent="0.15">
      <c r="B835" s="6"/>
      <c r="C835" s="28"/>
      <c r="D835" s="22"/>
      <c r="E835" s="55">
        <f t="shared" si="518"/>
        <v>0</v>
      </c>
      <c r="F835" s="33"/>
      <c r="G835" s="8"/>
      <c r="H835" s="64">
        <f t="shared" si="519"/>
        <v>0</v>
      </c>
      <c r="I835" s="38">
        <f t="shared" si="520"/>
        <v>0</v>
      </c>
      <c r="J835"/>
      <c r="L835" s="6"/>
      <c r="M835" s="28"/>
      <c r="N835" s="22"/>
      <c r="O835" s="55">
        <f t="shared" ref="O835:O836" si="534">SUM(M835:N835)</f>
        <v>0</v>
      </c>
      <c r="P835" s="33"/>
      <c r="Q835" s="8"/>
      <c r="R835" s="64">
        <f t="shared" ref="R835:R836" si="535">SUM(P835:Q835)</f>
        <v>0</v>
      </c>
      <c r="S835" s="38">
        <f t="shared" ref="S835:S836" si="536">O835+R835</f>
        <v>0</v>
      </c>
    </row>
    <row r="836" spans="2:20" ht="14.25" thickBot="1" x14ac:dyDescent="0.2">
      <c r="B836" s="6"/>
      <c r="C836" s="25"/>
      <c r="D836" s="19"/>
      <c r="E836" s="55">
        <f t="shared" si="518"/>
        <v>0</v>
      </c>
      <c r="F836" s="31"/>
      <c r="G836" s="7"/>
      <c r="H836" s="64">
        <f t="shared" si="519"/>
        <v>0</v>
      </c>
      <c r="I836" s="38">
        <f t="shared" si="520"/>
        <v>0</v>
      </c>
      <c r="L836" s="6" t="s">
        <v>179</v>
      </c>
      <c r="M836" s="25"/>
      <c r="N836" s="19"/>
      <c r="O836" s="55">
        <f t="shared" si="534"/>
        <v>0</v>
      </c>
      <c r="P836" s="31"/>
      <c r="Q836" s="7"/>
      <c r="R836" s="64">
        <f t="shared" si="535"/>
        <v>0</v>
      </c>
      <c r="S836" s="38">
        <f t="shared" si="536"/>
        <v>0</v>
      </c>
      <c r="T836" t="s">
        <v>180</v>
      </c>
    </row>
    <row r="837" spans="2:20" ht="14.25" thickBot="1" x14ac:dyDescent="0.2">
      <c r="B837" s="4" t="s">
        <v>1</v>
      </c>
      <c r="C837" s="27">
        <f>SUM(C812:C836)</f>
        <v>6</v>
      </c>
      <c r="D837" s="21">
        <f>SUM(D812:D836)</f>
        <v>25</v>
      </c>
      <c r="E837" s="57">
        <f t="shared" si="518"/>
        <v>31</v>
      </c>
      <c r="F837" s="27">
        <f>SUM(F812:F836)</f>
        <v>6</v>
      </c>
      <c r="G837" s="21">
        <f>SUM(G812:G836)</f>
        <v>12</v>
      </c>
      <c r="H837" s="66">
        <f t="shared" si="519"/>
        <v>18</v>
      </c>
      <c r="I837" s="40">
        <f t="shared" si="520"/>
        <v>49</v>
      </c>
      <c r="L837" s="4" t="s">
        <v>1</v>
      </c>
      <c r="M837" s="27">
        <f>SUM(M812:M836)</f>
        <v>5</v>
      </c>
      <c r="N837" s="21">
        <f t="shared" ref="N837:S837" si="537">SUM(N812:N836)</f>
        <v>28</v>
      </c>
      <c r="O837" s="57">
        <f t="shared" si="537"/>
        <v>33</v>
      </c>
      <c r="P837" s="27">
        <f t="shared" si="537"/>
        <v>0</v>
      </c>
      <c r="Q837" s="21">
        <f t="shared" si="537"/>
        <v>13</v>
      </c>
      <c r="R837" s="66">
        <f t="shared" si="537"/>
        <v>13</v>
      </c>
      <c r="S837" s="40">
        <f t="shared" si="537"/>
        <v>46</v>
      </c>
    </row>
    <row r="838" spans="2:20" ht="14.25" thickBot="1" x14ac:dyDescent="0.2">
      <c r="B838" s="3" t="s">
        <v>0</v>
      </c>
      <c r="C838" s="30">
        <f>+C811-C837</f>
        <v>5</v>
      </c>
      <c r="D838" s="2">
        <f>+D811-D837</f>
        <v>2</v>
      </c>
      <c r="E838" s="58">
        <f t="shared" si="518"/>
        <v>7</v>
      </c>
      <c r="F838" s="30">
        <f>+F811-F837</f>
        <v>5</v>
      </c>
      <c r="G838" s="2">
        <f>+G811-G837</f>
        <v>-2</v>
      </c>
      <c r="H838" s="67">
        <f t="shared" si="519"/>
        <v>3</v>
      </c>
      <c r="I838" s="42">
        <f t="shared" si="520"/>
        <v>10</v>
      </c>
      <c r="L838" s="3" t="s">
        <v>0</v>
      </c>
      <c r="M838" s="30">
        <f>+M811-M837</f>
        <v>70</v>
      </c>
      <c r="N838" s="2">
        <f t="shared" ref="N838:S838" si="538">+N811-N837</f>
        <v>77</v>
      </c>
      <c r="O838" s="58">
        <f t="shared" si="538"/>
        <v>147</v>
      </c>
      <c r="P838" s="30">
        <f t="shared" si="538"/>
        <v>91</v>
      </c>
      <c r="Q838" s="2">
        <f t="shared" si="538"/>
        <v>100</v>
      </c>
      <c r="R838" s="67">
        <f t="shared" si="538"/>
        <v>191</v>
      </c>
      <c r="S838" s="42">
        <f t="shared" si="538"/>
        <v>338</v>
      </c>
    </row>
    <row r="841" spans="2:20" ht="18.75" x14ac:dyDescent="0.2">
      <c r="B841" s="16" t="s">
        <v>21</v>
      </c>
      <c r="C841" s="15"/>
      <c r="D841" s="15"/>
      <c r="E841" s="15"/>
      <c r="F841" s="15"/>
      <c r="G841" s="15"/>
      <c r="H841" s="15"/>
      <c r="I841" s="15"/>
      <c r="L841" s="71" t="s">
        <v>22</v>
      </c>
      <c r="M841" s="72"/>
      <c r="N841" s="72"/>
      <c r="O841" s="72"/>
      <c r="P841" s="72"/>
      <c r="Q841" s="72"/>
      <c r="R841" s="72"/>
      <c r="S841" s="72"/>
    </row>
    <row r="842" spans="2:20" ht="18" thickBot="1" x14ac:dyDescent="0.25">
      <c r="B842" s="17" t="s">
        <v>23</v>
      </c>
      <c r="C842" s="15"/>
      <c r="D842" s="15"/>
      <c r="E842" s="15"/>
      <c r="F842" s="15"/>
      <c r="G842" s="15"/>
      <c r="H842" s="15"/>
      <c r="I842" s="15"/>
      <c r="L842" s="73" t="s">
        <v>23</v>
      </c>
      <c r="M842" s="72"/>
      <c r="N842" s="72"/>
      <c r="O842" s="72"/>
      <c r="P842" s="72"/>
      <c r="Q842" s="72"/>
      <c r="R842" s="72"/>
      <c r="S842" s="72"/>
    </row>
    <row r="843" spans="2:20" ht="14.25" thickBot="1" x14ac:dyDescent="0.2">
      <c r="B843" s="14"/>
      <c r="C843" s="113" t="s">
        <v>12</v>
      </c>
      <c r="D843" s="114"/>
      <c r="E843" s="115"/>
      <c r="F843" s="116" t="s">
        <v>11</v>
      </c>
      <c r="G843" s="117"/>
      <c r="H843" s="118"/>
      <c r="I843" s="13" t="s">
        <v>19</v>
      </c>
      <c r="L843" s="14"/>
      <c r="M843" s="113" t="s">
        <v>12</v>
      </c>
      <c r="N843" s="114"/>
      <c r="O843" s="115"/>
      <c r="P843" s="116" t="s">
        <v>11</v>
      </c>
      <c r="Q843" s="117"/>
      <c r="R843" s="118"/>
      <c r="S843" s="13" t="s">
        <v>19</v>
      </c>
    </row>
    <row r="844" spans="2:20" ht="14.25" thickBot="1" x14ac:dyDescent="0.2">
      <c r="B844" s="13"/>
      <c r="C844" s="23" t="s">
        <v>6</v>
      </c>
      <c r="D844" s="12" t="s">
        <v>5</v>
      </c>
      <c r="E844" s="50" t="s">
        <v>4</v>
      </c>
      <c r="F844" s="23" t="s">
        <v>6</v>
      </c>
      <c r="G844" s="12" t="s">
        <v>5</v>
      </c>
      <c r="H844" s="59" t="s">
        <v>4</v>
      </c>
      <c r="I844" s="49"/>
      <c r="L844" s="13"/>
      <c r="M844" s="23" t="s">
        <v>6</v>
      </c>
      <c r="N844" s="12" t="s">
        <v>5</v>
      </c>
      <c r="O844" s="50" t="s">
        <v>4</v>
      </c>
      <c r="P844" s="23" t="s">
        <v>6</v>
      </c>
      <c r="Q844" s="12" t="s">
        <v>5</v>
      </c>
      <c r="R844" s="59" t="s">
        <v>4</v>
      </c>
      <c r="S844" s="49"/>
    </row>
    <row r="845" spans="2:20" x14ac:dyDescent="0.15">
      <c r="B845" s="46" t="s">
        <v>0</v>
      </c>
      <c r="C845" s="47">
        <f t="shared" ref="C845:H845" si="539">C838</f>
        <v>5</v>
      </c>
      <c r="D845" s="48">
        <f t="shared" si="539"/>
        <v>2</v>
      </c>
      <c r="E845" s="68">
        <f t="shared" si="539"/>
        <v>7</v>
      </c>
      <c r="F845" s="47">
        <f t="shared" si="539"/>
        <v>5</v>
      </c>
      <c r="G845" s="48">
        <f t="shared" si="539"/>
        <v>-2</v>
      </c>
      <c r="H845" s="69">
        <f t="shared" si="539"/>
        <v>3</v>
      </c>
      <c r="I845" s="41">
        <f>E845+H845</f>
        <v>10</v>
      </c>
      <c r="L845" s="46" t="s">
        <v>0</v>
      </c>
      <c r="M845" s="47">
        <f>M838</f>
        <v>70</v>
      </c>
      <c r="N845" s="48">
        <f t="shared" ref="N845:S845" si="540">N838</f>
        <v>77</v>
      </c>
      <c r="O845" s="68">
        <f t="shared" si="540"/>
        <v>147</v>
      </c>
      <c r="P845" s="47">
        <f t="shared" si="540"/>
        <v>91</v>
      </c>
      <c r="Q845" s="48">
        <f t="shared" si="540"/>
        <v>100</v>
      </c>
      <c r="R845" s="69">
        <f t="shared" si="540"/>
        <v>191</v>
      </c>
      <c r="S845" s="41">
        <f t="shared" si="540"/>
        <v>338</v>
      </c>
    </row>
    <row r="846" spans="2:20" x14ac:dyDescent="0.15">
      <c r="B846" s="11" t="s">
        <v>3</v>
      </c>
      <c r="C846" s="25"/>
      <c r="D846" s="19"/>
      <c r="E846" s="52">
        <f t="shared" ref="E846:E878" si="541">SUM(C846:D846)</f>
        <v>0</v>
      </c>
      <c r="F846" s="31"/>
      <c r="G846" s="7">
        <v>3</v>
      </c>
      <c r="H846" s="61">
        <f t="shared" ref="H846:H878" si="542">SUM(F846:G846)</f>
        <v>3</v>
      </c>
      <c r="I846" s="38">
        <f t="shared" ref="I846:I878" si="543">E846+H846</f>
        <v>3</v>
      </c>
      <c r="J846" s="78">
        <v>46142</v>
      </c>
      <c r="L846" s="11" t="s">
        <v>3</v>
      </c>
      <c r="M846" s="25"/>
      <c r="N846" s="19"/>
      <c r="O846" s="52">
        <f t="shared" ref="O846:O850" si="544">SUM(M846:N846)</f>
        <v>0</v>
      </c>
      <c r="P846" s="31"/>
      <c r="Q846" s="7"/>
      <c r="R846" s="61">
        <f t="shared" ref="R846:R850" si="545">SUM(P846:Q846)</f>
        <v>0</v>
      </c>
      <c r="S846" s="38">
        <f t="shared" ref="S846:S850" si="546">O846+R846</f>
        <v>0</v>
      </c>
    </row>
    <row r="847" spans="2:20" x14ac:dyDescent="0.15">
      <c r="B847" s="11" t="s">
        <v>3</v>
      </c>
      <c r="C847" s="25"/>
      <c r="D847" s="19">
        <v>5</v>
      </c>
      <c r="E847" s="52">
        <f t="shared" si="541"/>
        <v>5</v>
      </c>
      <c r="F847" s="31"/>
      <c r="G847" s="7">
        <v>5</v>
      </c>
      <c r="H847" s="61">
        <f t="shared" si="542"/>
        <v>5</v>
      </c>
      <c r="I847" s="38">
        <f t="shared" si="543"/>
        <v>10</v>
      </c>
      <c r="J847" s="78">
        <v>46150</v>
      </c>
      <c r="L847" s="11" t="s">
        <v>3</v>
      </c>
      <c r="M847" s="25"/>
      <c r="N847" s="19"/>
      <c r="O847" s="52">
        <f t="shared" si="544"/>
        <v>0</v>
      </c>
      <c r="P847" s="31"/>
      <c r="Q847" s="7"/>
      <c r="R847" s="61">
        <f t="shared" si="545"/>
        <v>0</v>
      </c>
      <c r="S847" s="38">
        <f t="shared" si="546"/>
        <v>0</v>
      </c>
    </row>
    <row r="848" spans="2:20" x14ac:dyDescent="0.15">
      <c r="B848" s="90" t="s">
        <v>3</v>
      </c>
      <c r="C848" s="91">
        <v>5</v>
      </c>
      <c r="D848" s="92">
        <v>5</v>
      </c>
      <c r="E848" s="93">
        <f t="shared" si="541"/>
        <v>10</v>
      </c>
      <c r="F848" s="94">
        <v>5</v>
      </c>
      <c r="G848" s="95">
        <v>5</v>
      </c>
      <c r="H848" s="96">
        <f t="shared" si="542"/>
        <v>10</v>
      </c>
      <c r="I848" s="97">
        <f t="shared" si="543"/>
        <v>20</v>
      </c>
      <c r="J848" s="98">
        <v>46155</v>
      </c>
      <c r="L848" s="11" t="s">
        <v>3</v>
      </c>
      <c r="M848" s="25"/>
      <c r="N848" s="19"/>
      <c r="O848" s="52">
        <f t="shared" si="544"/>
        <v>0</v>
      </c>
      <c r="P848" s="31"/>
      <c r="Q848" s="7"/>
      <c r="R848" s="61">
        <f t="shared" si="545"/>
        <v>0</v>
      </c>
      <c r="S848" s="38">
        <f t="shared" si="546"/>
        <v>0</v>
      </c>
    </row>
    <row r="849" spans="2:21" x14ac:dyDescent="0.15">
      <c r="B849" s="11" t="s">
        <v>3</v>
      </c>
      <c r="C849" s="25"/>
      <c r="D849" s="19">
        <v>5</v>
      </c>
      <c r="E849" s="52">
        <f t="shared" si="541"/>
        <v>5</v>
      </c>
      <c r="F849" s="31"/>
      <c r="G849" s="7"/>
      <c r="H849" s="61">
        <f t="shared" si="542"/>
        <v>0</v>
      </c>
      <c r="I849" s="38">
        <f t="shared" si="543"/>
        <v>5</v>
      </c>
      <c r="J849" s="78">
        <v>46157</v>
      </c>
      <c r="L849" s="11" t="s">
        <v>3</v>
      </c>
      <c r="M849" s="25"/>
      <c r="N849" s="19"/>
      <c r="O849" s="52">
        <f t="shared" si="544"/>
        <v>0</v>
      </c>
      <c r="P849" s="31"/>
      <c r="Q849" s="7"/>
      <c r="R849" s="61">
        <f t="shared" si="545"/>
        <v>0</v>
      </c>
      <c r="S849" s="38">
        <f t="shared" si="546"/>
        <v>0</v>
      </c>
    </row>
    <row r="850" spans="2:21" ht="14.25" thickBot="1" x14ac:dyDescent="0.2">
      <c r="B850" s="11" t="s">
        <v>3</v>
      </c>
      <c r="C850" s="25">
        <v>9</v>
      </c>
      <c r="D850" s="19">
        <v>5</v>
      </c>
      <c r="E850" s="52">
        <f t="shared" si="541"/>
        <v>14</v>
      </c>
      <c r="F850" s="31"/>
      <c r="G850" s="7"/>
      <c r="H850" s="61">
        <f t="shared" si="542"/>
        <v>0</v>
      </c>
      <c r="I850" s="38">
        <f t="shared" si="543"/>
        <v>14</v>
      </c>
      <c r="J850" s="78">
        <v>46169</v>
      </c>
      <c r="L850" s="11" t="s">
        <v>3</v>
      </c>
      <c r="M850" s="25"/>
      <c r="N850" s="19"/>
      <c r="O850" s="52">
        <f t="shared" si="544"/>
        <v>0</v>
      </c>
      <c r="P850" s="31"/>
      <c r="Q850" s="7"/>
      <c r="R850" s="61">
        <f t="shared" si="545"/>
        <v>0</v>
      </c>
      <c r="S850" s="38">
        <f t="shared" si="546"/>
        <v>0</v>
      </c>
    </row>
    <row r="851" spans="2:21" ht="14.25" thickBot="1" x14ac:dyDescent="0.2">
      <c r="B851" s="43" t="s">
        <v>2</v>
      </c>
      <c r="C851" s="44">
        <f>SUM(C845:C850)</f>
        <v>19</v>
      </c>
      <c r="D851" s="45">
        <f>SUM(D845:D850)</f>
        <v>22</v>
      </c>
      <c r="E851" s="83">
        <f t="shared" si="541"/>
        <v>41</v>
      </c>
      <c r="F851" s="44">
        <f>SUM(F845:F850)</f>
        <v>10</v>
      </c>
      <c r="G851" s="45">
        <f>SUM(G845:G850)</f>
        <v>11</v>
      </c>
      <c r="H851" s="84">
        <f t="shared" si="542"/>
        <v>21</v>
      </c>
      <c r="I851" s="42">
        <f t="shared" si="543"/>
        <v>62</v>
      </c>
      <c r="L851" s="43" t="s">
        <v>2</v>
      </c>
      <c r="M851" s="44">
        <f>SUM(M845:M850)</f>
        <v>70</v>
      </c>
      <c r="N851" s="45">
        <f t="shared" ref="N851:S851" si="547">SUM(N845:N850)</f>
        <v>77</v>
      </c>
      <c r="O851" s="83">
        <f t="shared" si="547"/>
        <v>147</v>
      </c>
      <c r="P851" s="44">
        <f t="shared" si="547"/>
        <v>91</v>
      </c>
      <c r="Q851" s="45">
        <f t="shared" si="547"/>
        <v>100</v>
      </c>
      <c r="R851" s="84">
        <f t="shared" si="547"/>
        <v>191</v>
      </c>
      <c r="S851" s="42">
        <f t="shared" si="547"/>
        <v>338</v>
      </c>
    </row>
    <row r="852" spans="2:21" x14ac:dyDescent="0.15">
      <c r="B852" s="6" t="s">
        <v>192</v>
      </c>
      <c r="C852" s="25"/>
      <c r="D852" s="19"/>
      <c r="E852" s="55">
        <f t="shared" si="541"/>
        <v>0</v>
      </c>
      <c r="F852" s="31"/>
      <c r="G852" s="7">
        <v>3</v>
      </c>
      <c r="H852" s="64">
        <f t="shared" si="542"/>
        <v>3</v>
      </c>
      <c r="I852" s="38">
        <f t="shared" si="543"/>
        <v>3</v>
      </c>
      <c r="J852" s="78">
        <v>46153</v>
      </c>
      <c r="L852" s="6" t="s">
        <v>184</v>
      </c>
      <c r="M852" s="25"/>
      <c r="N852" s="19">
        <v>6</v>
      </c>
      <c r="O852" s="55">
        <f t="shared" ref="O852" si="548">SUM(M852:N852)</f>
        <v>6</v>
      </c>
      <c r="P852" s="31">
        <v>1</v>
      </c>
      <c r="Q852" s="7">
        <v>1</v>
      </c>
      <c r="R852" s="64">
        <f t="shared" ref="R852" si="549">SUM(P852:Q852)</f>
        <v>2</v>
      </c>
      <c r="S852" s="38">
        <f t="shared" ref="S852" si="550">O852+R852</f>
        <v>8</v>
      </c>
      <c r="T852" s="78">
        <v>46149</v>
      </c>
    </row>
    <row r="853" spans="2:21" x14ac:dyDescent="0.15">
      <c r="B853" s="6" t="s">
        <v>7</v>
      </c>
      <c r="C853" s="25">
        <v>1</v>
      </c>
      <c r="D853" s="19">
        <v>2</v>
      </c>
      <c r="E853" s="55">
        <f t="shared" si="541"/>
        <v>3</v>
      </c>
      <c r="F853" s="31"/>
      <c r="G853" s="7"/>
      <c r="H853" s="64">
        <f t="shared" si="542"/>
        <v>0</v>
      </c>
      <c r="I853" s="38">
        <f t="shared" si="543"/>
        <v>3</v>
      </c>
      <c r="J853" s="78">
        <v>46153</v>
      </c>
      <c r="L853" s="6" t="s">
        <v>184</v>
      </c>
      <c r="M853" s="25">
        <v>9</v>
      </c>
      <c r="N853" s="19"/>
      <c r="O853" s="55">
        <f t="shared" ref="O853:O872" si="551">SUM(M853:N853)</f>
        <v>9</v>
      </c>
      <c r="P853" s="31"/>
      <c r="Q853" s="7"/>
      <c r="R853" s="64">
        <f t="shared" ref="R853:R872" si="552">SUM(P853:Q853)</f>
        <v>0</v>
      </c>
      <c r="S853" s="38">
        <f t="shared" ref="S853:S872" si="553">O853+R853</f>
        <v>9</v>
      </c>
      <c r="T853" s="78">
        <v>46153</v>
      </c>
    </row>
    <row r="854" spans="2:21" x14ac:dyDescent="0.15">
      <c r="B854" s="6" t="s">
        <v>184</v>
      </c>
      <c r="C854" s="25"/>
      <c r="D854" s="19">
        <v>1</v>
      </c>
      <c r="E854" s="55">
        <f t="shared" si="541"/>
        <v>1</v>
      </c>
      <c r="F854" s="31">
        <v>1</v>
      </c>
      <c r="G854" s="7"/>
      <c r="H854" s="64">
        <f t="shared" si="542"/>
        <v>1</v>
      </c>
      <c r="I854" s="38">
        <f t="shared" si="543"/>
        <v>2</v>
      </c>
      <c r="J854" s="78">
        <v>46156</v>
      </c>
      <c r="L854" s="6" t="s">
        <v>189</v>
      </c>
      <c r="M854" s="25"/>
      <c r="N854" s="19">
        <v>5</v>
      </c>
      <c r="O854" s="55">
        <f t="shared" si="551"/>
        <v>5</v>
      </c>
      <c r="P854" s="31"/>
      <c r="Q854" s="7">
        <v>5</v>
      </c>
      <c r="R854" s="64">
        <f t="shared" si="552"/>
        <v>5</v>
      </c>
      <c r="S854" s="38">
        <f t="shared" si="553"/>
        <v>10</v>
      </c>
      <c r="T854" s="78">
        <v>46150</v>
      </c>
    </row>
    <row r="855" spans="2:21" x14ac:dyDescent="0.15">
      <c r="B855" s="6" t="s">
        <v>7</v>
      </c>
      <c r="C855" s="25"/>
      <c r="D855" s="19">
        <v>1</v>
      </c>
      <c r="E855" s="55">
        <f t="shared" si="541"/>
        <v>1</v>
      </c>
      <c r="F855" s="31"/>
      <c r="G855" s="7"/>
      <c r="H855" s="64">
        <f t="shared" si="542"/>
        <v>0</v>
      </c>
      <c r="I855" s="38">
        <f t="shared" si="543"/>
        <v>1</v>
      </c>
      <c r="J855" s="78">
        <v>46154</v>
      </c>
      <c r="L855" s="6" t="s">
        <v>184</v>
      </c>
      <c r="M855" s="25">
        <v>2</v>
      </c>
      <c r="N855" s="19"/>
      <c r="O855" s="55">
        <f t="shared" si="551"/>
        <v>2</v>
      </c>
      <c r="P855" s="31">
        <v>2</v>
      </c>
      <c r="Q855" s="7">
        <v>1</v>
      </c>
      <c r="R855" s="64">
        <f t="shared" si="552"/>
        <v>3</v>
      </c>
      <c r="S855" s="38">
        <f t="shared" si="553"/>
        <v>5</v>
      </c>
      <c r="T855" s="78">
        <v>46155</v>
      </c>
    </row>
    <row r="856" spans="2:21" x14ac:dyDescent="0.15">
      <c r="B856" s="6" t="s">
        <v>184</v>
      </c>
      <c r="C856" s="25"/>
      <c r="D856" s="19">
        <v>3</v>
      </c>
      <c r="E856" s="55">
        <f t="shared" si="541"/>
        <v>3</v>
      </c>
      <c r="F856" s="31"/>
      <c r="G856" s="7"/>
      <c r="H856" s="64">
        <f t="shared" si="542"/>
        <v>0</v>
      </c>
      <c r="I856" s="38">
        <f t="shared" si="543"/>
        <v>3</v>
      </c>
      <c r="J856" s="78">
        <v>46157</v>
      </c>
      <c r="L856" s="99" t="s">
        <v>189</v>
      </c>
      <c r="M856" s="91">
        <v>5</v>
      </c>
      <c r="N856" s="92">
        <v>5</v>
      </c>
      <c r="O856" s="100">
        <f t="shared" si="551"/>
        <v>10</v>
      </c>
      <c r="P856" s="94">
        <v>5</v>
      </c>
      <c r="Q856" s="95">
        <v>5</v>
      </c>
      <c r="R856" s="101">
        <f t="shared" si="552"/>
        <v>10</v>
      </c>
      <c r="S856" s="97">
        <f t="shared" si="553"/>
        <v>20</v>
      </c>
      <c r="T856" s="98">
        <v>46155</v>
      </c>
      <c r="U856" s="111"/>
    </row>
    <row r="857" spans="2:21" x14ac:dyDescent="0.15">
      <c r="B857" s="6" t="s">
        <v>7</v>
      </c>
      <c r="C857" s="25">
        <v>1</v>
      </c>
      <c r="D857" s="19"/>
      <c r="E857" s="55">
        <f t="shared" si="541"/>
        <v>1</v>
      </c>
      <c r="F857" s="31"/>
      <c r="G857" s="7"/>
      <c r="H857" s="64">
        <f t="shared" si="542"/>
        <v>0</v>
      </c>
      <c r="I857" s="38">
        <f t="shared" si="543"/>
        <v>1</v>
      </c>
      <c r="J857" s="78">
        <v>46155</v>
      </c>
      <c r="L857" s="6" t="s">
        <v>189</v>
      </c>
      <c r="M857" s="25"/>
      <c r="N857" s="19">
        <v>5</v>
      </c>
      <c r="O857" s="55">
        <f t="shared" si="551"/>
        <v>5</v>
      </c>
      <c r="P857" s="31"/>
      <c r="Q857" s="7"/>
      <c r="R857" s="64">
        <f t="shared" si="552"/>
        <v>0</v>
      </c>
      <c r="S857" s="38">
        <f t="shared" si="553"/>
        <v>5</v>
      </c>
      <c r="T857" s="78">
        <v>46157</v>
      </c>
    </row>
    <row r="858" spans="2:21" x14ac:dyDescent="0.15">
      <c r="B858" s="6" t="s">
        <v>184</v>
      </c>
      <c r="C858" s="25"/>
      <c r="D858" s="19">
        <v>1</v>
      </c>
      <c r="E858" s="55">
        <f t="shared" si="541"/>
        <v>1</v>
      </c>
      <c r="F858" s="31"/>
      <c r="G858" s="7"/>
      <c r="H858" s="64">
        <f t="shared" si="542"/>
        <v>0</v>
      </c>
      <c r="I858" s="38">
        <f t="shared" si="543"/>
        <v>1</v>
      </c>
      <c r="J858" s="78">
        <v>46158</v>
      </c>
      <c r="L858" s="6" t="s">
        <v>189</v>
      </c>
      <c r="M858" s="25">
        <v>9</v>
      </c>
      <c r="N858" s="19">
        <v>5</v>
      </c>
      <c r="O858" s="55">
        <f t="shared" si="551"/>
        <v>14</v>
      </c>
      <c r="P858" s="31"/>
      <c r="Q858" s="7"/>
      <c r="R858" s="64">
        <f t="shared" si="552"/>
        <v>0</v>
      </c>
      <c r="S858" s="38">
        <f t="shared" si="553"/>
        <v>14</v>
      </c>
      <c r="T858" s="78">
        <v>46169</v>
      </c>
    </row>
    <row r="859" spans="2:21" x14ac:dyDescent="0.15">
      <c r="B859" s="6" t="s">
        <v>184</v>
      </c>
      <c r="C859" s="25">
        <v>3</v>
      </c>
      <c r="D859" s="19"/>
      <c r="E859" s="55">
        <f t="shared" si="541"/>
        <v>3</v>
      </c>
      <c r="F859" s="31"/>
      <c r="G859" s="7"/>
      <c r="H859" s="64">
        <f t="shared" si="542"/>
        <v>0</v>
      </c>
      <c r="I859" s="38">
        <f t="shared" si="543"/>
        <v>3</v>
      </c>
      <c r="J859" s="78">
        <v>46160</v>
      </c>
      <c r="L859" s="6"/>
      <c r="M859" s="25"/>
      <c r="N859" s="19"/>
      <c r="O859" s="55">
        <f t="shared" si="551"/>
        <v>0</v>
      </c>
      <c r="P859" s="31"/>
      <c r="Q859" s="7"/>
      <c r="R859" s="64">
        <f t="shared" si="552"/>
        <v>0</v>
      </c>
      <c r="S859" s="38">
        <f t="shared" si="553"/>
        <v>0</v>
      </c>
    </row>
    <row r="860" spans="2:21" x14ac:dyDescent="0.15">
      <c r="B860" s="6" t="s">
        <v>7</v>
      </c>
      <c r="C860" s="25"/>
      <c r="D860" s="19">
        <v>1</v>
      </c>
      <c r="E860" s="55">
        <f t="shared" si="541"/>
        <v>1</v>
      </c>
      <c r="F860" s="31"/>
      <c r="G860" s="7">
        <v>1</v>
      </c>
      <c r="H860" s="64">
        <f t="shared" si="542"/>
        <v>1</v>
      </c>
      <c r="I860" s="38">
        <f t="shared" si="543"/>
        <v>2</v>
      </c>
      <c r="J860" s="78">
        <v>46160</v>
      </c>
      <c r="L860" s="6"/>
      <c r="M860" s="25"/>
      <c r="N860" s="19"/>
      <c r="O860" s="55">
        <f t="shared" si="551"/>
        <v>0</v>
      </c>
      <c r="P860" s="31"/>
      <c r="Q860" s="7"/>
      <c r="R860" s="64">
        <f t="shared" si="552"/>
        <v>0</v>
      </c>
      <c r="S860" s="38">
        <f t="shared" si="553"/>
        <v>0</v>
      </c>
    </row>
    <row r="861" spans="2:21" x14ac:dyDescent="0.15">
      <c r="B861" s="6" t="s">
        <v>184</v>
      </c>
      <c r="C861" s="25"/>
      <c r="D861" s="19"/>
      <c r="E861" s="55">
        <f t="shared" si="541"/>
        <v>0</v>
      </c>
      <c r="F861" s="31">
        <v>1</v>
      </c>
      <c r="G861" s="7"/>
      <c r="H861" s="64">
        <f t="shared" si="542"/>
        <v>1</v>
      </c>
      <c r="I861" s="38">
        <f t="shared" si="543"/>
        <v>1</v>
      </c>
      <c r="J861" s="78">
        <v>46163</v>
      </c>
      <c r="L861" s="6"/>
      <c r="M861" s="25"/>
      <c r="N861" s="19"/>
      <c r="O861" s="55">
        <f t="shared" si="551"/>
        <v>0</v>
      </c>
      <c r="P861" s="31"/>
      <c r="Q861" s="7"/>
      <c r="R861" s="64">
        <f t="shared" si="552"/>
        <v>0</v>
      </c>
      <c r="S861" s="38">
        <f t="shared" si="553"/>
        <v>0</v>
      </c>
    </row>
    <row r="862" spans="2:21" x14ac:dyDescent="0.15">
      <c r="B862" s="6" t="s">
        <v>197</v>
      </c>
      <c r="C862" s="25"/>
      <c r="D862" s="19"/>
      <c r="E862" s="55">
        <f t="shared" si="541"/>
        <v>0</v>
      </c>
      <c r="F862" s="31"/>
      <c r="G862" s="7">
        <v>1</v>
      </c>
      <c r="H862" s="64">
        <f t="shared" si="542"/>
        <v>1</v>
      </c>
      <c r="I862" s="38">
        <f t="shared" si="543"/>
        <v>1</v>
      </c>
      <c r="J862" s="78">
        <v>46162</v>
      </c>
      <c r="L862" s="6"/>
      <c r="M862" s="25"/>
      <c r="N862" s="19"/>
      <c r="O862" s="55">
        <f t="shared" si="551"/>
        <v>0</v>
      </c>
      <c r="P862" s="31"/>
      <c r="Q862" s="7"/>
      <c r="R862" s="64">
        <f t="shared" si="552"/>
        <v>0</v>
      </c>
      <c r="S862" s="38">
        <f t="shared" si="553"/>
        <v>0</v>
      </c>
    </row>
    <row r="863" spans="2:21" x14ac:dyDescent="0.15">
      <c r="B863" s="6" t="s">
        <v>7</v>
      </c>
      <c r="C863" s="25">
        <v>1</v>
      </c>
      <c r="D863" s="19"/>
      <c r="E863" s="55">
        <f t="shared" si="541"/>
        <v>1</v>
      </c>
      <c r="F863" s="31"/>
      <c r="G863" s="7"/>
      <c r="H863" s="64">
        <f t="shared" si="542"/>
        <v>0</v>
      </c>
      <c r="I863" s="38">
        <f t="shared" si="543"/>
        <v>1</v>
      </c>
      <c r="J863" s="78">
        <v>46161</v>
      </c>
      <c r="L863" s="6"/>
      <c r="M863" s="25"/>
      <c r="N863" s="19"/>
      <c r="O863" s="55">
        <f t="shared" si="551"/>
        <v>0</v>
      </c>
      <c r="P863" s="31"/>
      <c r="Q863" s="7"/>
      <c r="R863" s="64">
        <f t="shared" si="552"/>
        <v>0</v>
      </c>
      <c r="S863" s="38">
        <f t="shared" si="553"/>
        <v>0</v>
      </c>
    </row>
    <row r="864" spans="2:21" x14ac:dyDescent="0.15">
      <c r="B864" s="6" t="s">
        <v>7</v>
      </c>
      <c r="C864" s="28"/>
      <c r="D864" s="22">
        <v>1</v>
      </c>
      <c r="E864" s="55">
        <f t="shared" si="541"/>
        <v>1</v>
      </c>
      <c r="F864" s="33"/>
      <c r="G864" s="8"/>
      <c r="H864" s="64">
        <f t="shared" si="542"/>
        <v>0</v>
      </c>
      <c r="I864" s="38">
        <f t="shared" si="543"/>
        <v>1</v>
      </c>
      <c r="J864" s="78">
        <v>46162</v>
      </c>
      <c r="L864" s="6"/>
      <c r="M864" s="25"/>
      <c r="N864" s="19"/>
      <c r="O864" s="55">
        <f t="shared" si="551"/>
        <v>0</v>
      </c>
      <c r="P864" s="31"/>
      <c r="Q864" s="7"/>
      <c r="R864" s="64">
        <f t="shared" si="552"/>
        <v>0</v>
      </c>
      <c r="S864" s="38">
        <f t="shared" si="553"/>
        <v>0</v>
      </c>
    </row>
    <row r="865" spans="2:20" x14ac:dyDescent="0.15">
      <c r="B865" s="6" t="s">
        <v>7</v>
      </c>
      <c r="C865" s="25">
        <v>1</v>
      </c>
      <c r="D865" s="19"/>
      <c r="E865" s="55">
        <f t="shared" si="541"/>
        <v>1</v>
      </c>
      <c r="F865" s="31"/>
      <c r="G865" s="7"/>
      <c r="H865" s="64">
        <f t="shared" si="542"/>
        <v>0</v>
      </c>
      <c r="I865" s="38">
        <f t="shared" si="543"/>
        <v>1</v>
      </c>
      <c r="J865" s="78">
        <v>46164</v>
      </c>
      <c r="L865" s="6"/>
      <c r="M865" s="28"/>
      <c r="N865" s="22"/>
      <c r="O865" s="55">
        <f t="shared" si="551"/>
        <v>0</v>
      </c>
      <c r="P865" s="33"/>
      <c r="Q865" s="8"/>
      <c r="R865" s="64">
        <f t="shared" si="552"/>
        <v>0</v>
      </c>
      <c r="S865" s="38">
        <f t="shared" si="553"/>
        <v>0</v>
      </c>
    </row>
    <row r="866" spans="2:20" x14ac:dyDescent="0.15">
      <c r="B866" s="6" t="s">
        <v>198</v>
      </c>
      <c r="C866" s="25">
        <v>1</v>
      </c>
      <c r="D866" s="19">
        <v>2</v>
      </c>
      <c r="E866" s="55">
        <f t="shared" si="541"/>
        <v>3</v>
      </c>
      <c r="F866" s="31"/>
      <c r="G866" s="7"/>
      <c r="H866" s="64">
        <f t="shared" si="542"/>
        <v>0</v>
      </c>
      <c r="I866" s="38">
        <f t="shared" si="543"/>
        <v>3</v>
      </c>
      <c r="J866" s="78">
        <v>46169</v>
      </c>
      <c r="L866" s="6"/>
      <c r="M866" s="28"/>
      <c r="N866" s="22"/>
      <c r="O866" s="55">
        <f t="shared" si="551"/>
        <v>0</v>
      </c>
      <c r="P866" s="33"/>
      <c r="Q866" s="8"/>
      <c r="R866" s="64">
        <f t="shared" si="552"/>
        <v>0</v>
      </c>
      <c r="S866" s="38">
        <f t="shared" si="553"/>
        <v>0</v>
      </c>
    </row>
    <row r="867" spans="2:20" x14ac:dyDescent="0.15">
      <c r="B867" s="6" t="s">
        <v>7</v>
      </c>
      <c r="C867" s="28">
        <v>1</v>
      </c>
      <c r="D867" s="22">
        <v>1</v>
      </c>
      <c r="E867" s="55">
        <f t="shared" si="541"/>
        <v>2</v>
      </c>
      <c r="F867" s="33"/>
      <c r="G867" s="8"/>
      <c r="H867" s="64">
        <f t="shared" si="542"/>
        <v>0</v>
      </c>
      <c r="I867" s="38">
        <f t="shared" si="543"/>
        <v>2</v>
      </c>
      <c r="J867" s="78">
        <v>46167</v>
      </c>
      <c r="L867" s="6"/>
      <c r="M867" s="28"/>
      <c r="N867" s="22"/>
      <c r="O867" s="55">
        <f t="shared" si="551"/>
        <v>0</v>
      </c>
      <c r="P867" s="33"/>
      <c r="Q867" s="8"/>
      <c r="R867" s="64">
        <f t="shared" si="552"/>
        <v>0</v>
      </c>
      <c r="S867" s="38">
        <f t="shared" si="553"/>
        <v>0</v>
      </c>
    </row>
    <row r="868" spans="2:20" x14ac:dyDescent="0.15">
      <c r="B868" s="6" t="s">
        <v>184</v>
      </c>
      <c r="C868" s="25">
        <v>1</v>
      </c>
      <c r="D868" s="19"/>
      <c r="E868" s="55">
        <f t="shared" si="541"/>
        <v>1</v>
      </c>
      <c r="F868" s="31"/>
      <c r="G868" s="7">
        <v>1</v>
      </c>
      <c r="H868" s="64">
        <f t="shared" si="542"/>
        <v>1</v>
      </c>
      <c r="I868" s="38">
        <f t="shared" si="543"/>
        <v>2</v>
      </c>
      <c r="J868" s="78">
        <v>46170</v>
      </c>
      <c r="L868" s="6"/>
      <c r="M868" s="28"/>
      <c r="N868" s="22"/>
      <c r="O868" s="55">
        <f t="shared" si="551"/>
        <v>0</v>
      </c>
      <c r="P868" s="33"/>
      <c r="Q868" s="8"/>
      <c r="R868" s="64">
        <f t="shared" si="552"/>
        <v>0</v>
      </c>
      <c r="S868" s="38">
        <f t="shared" si="553"/>
        <v>0</v>
      </c>
    </row>
    <row r="869" spans="2:20" x14ac:dyDescent="0.15">
      <c r="B869" s="6" t="s">
        <v>199</v>
      </c>
      <c r="C869" s="25"/>
      <c r="D869" s="19"/>
      <c r="E869" s="55">
        <f t="shared" si="541"/>
        <v>0</v>
      </c>
      <c r="F869" s="31"/>
      <c r="G869" s="7">
        <v>1</v>
      </c>
      <c r="H869" s="64">
        <f t="shared" si="542"/>
        <v>1</v>
      </c>
      <c r="I869" s="38">
        <f t="shared" si="543"/>
        <v>1</v>
      </c>
      <c r="J869" s="78">
        <v>46169</v>
      </c>
      <c r="L869" s="6"/>
      <c r="M869" s="28"/>
      <c r="N869" s="22"/>
      <c r="O869" s="55">
        <f t="shared" si="551"/>
        <v>0</v>
      </c>
      <c r="P869" s="33"/>
      <c r="Q869" s="8"/>
      <c r="R869" s="64">
        <f t="shared" si="552"/>
        <v>0</v>
      </c>
      <c r="S869" s="38">
        <f t="shared" si="553"/>
        <v>0</v>
      </c>
    </row>
    <row r="870" spans="2:20" x14ac:dyDescent="0.15">
      <c r="B870" s="6" t="s">
        <v>7</v>
      </c>
      <c r="C870" s="28"/>
      <c r="D870" s="22">
        <v>1</v>
      </c>
      <c r="E870" s="55">
        <f t="shared" si="541"/>
        <v>1</v>
      </c>
      <c r="F870" s="33"/>
      <c r="G870" s="8"/>
      <c r="H870" s="64">
        <f t="shared" si="542"/>
        <v>0</v>
      </c>
      <c r="I870" s="38">
        <f t="shared" si="543"/>
        <v>1</v>
      </c>
      <c r="J870" s="78">
        <v>46168</v>
      </c>
      <c r="L870" s="6"/>
      <c r="M870" s="28"/>
      <c r="N870" s="22"/>
      <c r="O870" s="55">
        <f t="shared" si="551"/>
        <v>0</v>
      </c>
      <c r="P870" s="33"/>
      <c r="Q870" s="8"/>
      <c r="R870" s="64">
        <f t="shared" si="552"/>
        <v>0</v>
      </c>
      <c r="S870" s="38">
        <f t="shared" si="553"/>
        <v>0</v>
      </c>
    </row>
    <row r="871" spans="2:20" x14ac:dyDescent="0.15">
      <c r="B871" s="6" t="s">
        <v>7</v>
      </c>
      <c r="C871" s="25">
        <v>1</v>
      </c>
      <c r="D871" s="19"/>
      <c r="E871" s="55">
        <f t="shared" si="541"/>
        <v>1</v>
      </c>
      <c r="F871" s="31"/>
      <c r="G871" s="7"/>
      <c r="H871" s="64">
        <f t="shared" si="542"/>
        <v>0</v>
      </c>
      <c r="I871" s="38">
        <f t="shared" si="543"/>
        <v>1</v>
      </c>
      <c r="J871" s="78">
        <v>46169</v>
      </c>
      <c r="L871" s="6"/>
      <c r="M871" s="28"/>
      <c r="N871" s="22"/>
      <c r="O871" s="55">
        <f t="shared" si="551"/>
        <v>0</v>
      </c>
      <c r="P871" s="33"/>
      <c r="Q871" s="8"/>
      <c r="R871" s="64">
        <f t="shared" si="552"/>
        <v>0</v>
      </c>
      <c r="S871" s="38">
        <f t="shared" si="553"/>
        <v>0</v>
      </c>
    </row>
    <row r="872" spans="2:20" x14ac:dyDescent="0.15">
      <c r="B872" s="6" t="s">
        <v>200</v>
      </c>
      <c r="C872" s="25">
        <v>1</v>
      </c>
      <c r="D872" s="19"/>
      <c r="E872" s="55">
        <f t="shared" si="541"/>
        <v>1</v>
      </c>
      <c r="F872" s="31"/>
      <c r="G872" s="7"/>
      <c r="H872" s="64">
        <f t="shared" si="542"/>
        <v>0</v>
      </c>
      <c r="I872" s="38">
        <f t="shared" si="543"/>
        <v>1</v>
      </c>
      <c r="J872" s="78">
        <v>46172</v>
      </c>
      <c r="L872" s="6"/>
      <c r="M872" s="28"/>
      <c r="N872" s="22"/>
      <c r="O872" s="55">
        <f t="shared" si="551"/>
        <v>0</v>
      </c>
      <c r="P872" s="33"/>
      <c r="Q872" s="8"/>
      <c r="R872" s="64">
        <f t="shared" si="552"/>
        <v>0</v>
      </c>
      <c r="S872" s="38">
        <f t="shared" si="553"/>
        <v>0</v>
      </c>
    </row>
    <row r="873" spans="2:20" x14ac:dyDescent="0.15">
      <c r="B873" s="6" t="s">
        <v>8</v>
      </c>
      <c r="C873" s="25">
        <v>1</v>
      </c>
      <c r="D873" s="19"/>
      <c r="E873" s="55">
        <f t="shared" ref="E873" si="554">SUM(C873:D873)</f>
        <v>1</v>
      </c>
      <c r="F873" s="31"/>
      <c r="G873" s="7"/>
      <c r="H873" s="64">
        <f t="shared" ref="H873" si="555">SUM(F873:G873)</f>
        <v>0</v>
      </c>
      <c r="I873" s="38">
        <f t="shared" ref="I873" si="556">E873+H873</f>
        <v>1</v>
      </c>
      <c r="J873" s="78">
        <v>46175</v>
      </c>
      <c r="L873" s="6"/>
      <c r="M873" s="28"/>
      <c r="N873" s="22"/>
      <c r="O873" s="55">
        <f t="shared" ref="O873:O875" si="557">SUM(M873:N873)</f>
        <v>0</v>
      </c>
      <c r="P873" s="33"/>
      <c r="Q873" s="8"/>
      <c r="R873" s="64">
        <f t="shared" ref="R873:R875" si="558">SUM(P873:Q873)</f>
        <v>0</v>
      </c>
      <c r="S873" s="38">
        <f t="shared" ref="S873:S875" si="559">O873+R873</f>
        <v>0</v>
      </c>
    </row>
    <row r="874" spans="2:20" x14ac:dyDescent="0.15">
      <c r="B874" s="6" t="s">
        <v>7</v>
      </c>
      <c r="C874" s="28">
        <v>1</v>
      </c>
      <c r="D874" s="22">
        <v>2</v>
      </c>
      <c r="E874" s="55">
        <f t="shared" si="541"/>
        <v>3</v>
      </c>
      <c r="F874" s="33">
        <v>1</v>
      </c>
      <c r="G874" s="8"/>
      <c r="H874" s="64">
        <f t="shared" si="542"/>
        <v>1</v>
      </c>
      <c r="I874" s="38">
        <f t="shared" si="543"/>
        <v>4</v>
      </c>
      <c r="J874" s="78">
        <v>46174</v>
      </c>
      <c r="L874" s="6"/>
      <c r="M874" s="28"/>
      <c r="N874" s="22"/>
      <c r="O874" s="55">
        <f t="shared" si="557"/>
        <v>0</v>
      </c>
      <c r="P874" s="33"/>
      <c r="Q874" s="8"/>
      <c r="R874" s="64">
        <f t="shared" si="558"/>
        <v>0</v>
      </c>
      <c r="S874" s="38">
        <f t="shared" si="559"/>
        <v>0</v>
      </c>
    </row>
    <row r="875" spans="2:20" x14ac:dyDescent="0.15">
      <c r="B875" s="6" t="s">
        <v>7</v>
      </c>
      <c r="C875" s="25">
        <v>2</v>
      </c>
      <c r="D875" s="19"/>
      <c r="E875" s="55">
        <f t="shared" si="541"/>
        <v>2</v>
      </c>
      <c r="F875" s="31"/>
      <c r="G875" s="7"/>
      <c r="H875" s="64">
        <f t="shared" si="542"/>
        <v>0</v>
      </c>
      <c r="I875" s="38">
        <f t="shared" si="543"/>
        <v>2</v>
      </c>
      <c r="J875" s="78">
        <v>46175</v>
      </c>
      <c r="L875" s="6"/>
      <c r="M875" s="28"/>
      <c r="N875" s="22"/>
      <c r="O875" s="55">
        <f t="shared" si="557"/>
        <v>0</v>
      </c>
      <c r="P875" s="33"/>
      <c r="Q875" s="8"/>
      <c r="R875" s="64">
        <f t="shared" si="558"/>
        <v>0</v>
      </c>
      <c r="S875" s="38">
        <f t="shared" si="559"/>
        <v>0</v>
      </c>
    </row>
    <row r="876" spans="2:20" ht="14.25" thickBot="1" x14ac:dyDescent="0.2">
      <c r="B876" s="6" t="s">
        <v>200</v>
      </c>
      <c r="C876" s="25">
        <v>1</v>
      </c>
      <c r="D876" s="19"/>
      <c r="E876" s="55">
        <f t="shared" si="541"/>
        <v>1</v>
      </c>
      <c r="F876" s="31"/>
      <c r="G876" s="7"/>
      <c r="H876" s="64">
        <f t="shared" si="542"/>
        <v>0</v>
      </c>
      <c r="I876" s="38">
        <f t="shared" si="543"/>
        <v>1</v>
      </c>
      <c r="J876" s="112">
        <v>46178</v>
      </c>
      <c r="L876" s="6" t="s">
        <v>181</v>
      </c>
      <c r="M876" s="25"/>
      <c r="N876" s="19"/>
      <c r="O876" s="55">
        <f t="shared" ref="O876" si="560">SUM(M876:N876)</f>
        <v>0</v>
      </c>
      <c r="P876" s="31"/>
      <c r="Q876" s="7"/>
      <c r="R876" s="64">
        <f t="shared" ref="R876" si="561">SUM(P876:Q876)</f>
        <v>0</v>
      </c>
      <c r="S876" s="38">
        <f t="shared" ref="S876" si="562">O876+R876</f>
        <v>0</v>
      </c>
      <c r="T876" t="s">
        <v>182</v>
      </c>
    </row>
    <row r="877" spans="2:20" ht="14.25" thickBot="1" x14ac:dyDescent="0.2">
      <c r="B877" s="4" t="s">
        <v>1</v>
      </c>
      <c r="C877" s="27">
        <f>SUM(C852:C876)</f>
        <v>17</v>
      </c>
      <c r="D877" s="21">
        <f>SUM(D852:D876)</f>
        <v>16</v>
      </c>
      <c r="E877" s="57">
        <f t="shared" si="541"/>
        <v>33</v>
      </c>
      <c r="F877" s="27">
        <f>SUM(F852:F876)</f>
        <v>3</v>
      </c>
      <c r="G877" s="21">
        <f>SUM(G852:G876)</f>
        <v>7</v>
      </c>
      <c r="H877" s="66">
        <f t="shared" si="542"/>
        <v>10</v>
      </c>
      <c r="I877" s="40">
        <f t="shared" si="543"/>
        <v>43</v>
      </c>
      <c r="L877" s="4" t="s">
        <v>1</v>
      </c>
      <c r="M877" s="27">
        <f>SUM(M852:M876)</f>
        <v>25</v>
      </c>
      <c r="N877" s="21">
        <f t="shared" ref="N877:S877" si="563">SUM(N852:N876)</f>
        <v>26</v>
      </c>
      <c r="O877" s="57">
        <f t="shared" si="563"/>
        <v>51</v>
      </c>
      <c r="P877" s="27">
        <f t="shared" si="563"/>
        <v>8</v>
      </c>
      <c r="Q877" s="21">
        <f t="shared" si="563"/>
        <v>12</v>
      </c>
      <c r="R877" s="66">
        <f t="shared" si="563"/>
        <v>20</v>
      </c>
      <c r="S877" s="40">
        <f t="shared" si="563"/>
        <v>71</v>
      </c>
    </row>
    <row r="878" spans="2:20" ht="14.25" thickBot="1" x14ac:dyDescent="0.2">
      <c r="B878" s="3" t="s">
        <v>0</v>
      </c>
      <c r="C878" s="30">
        <f>+C851-C877</f>
        <v>2</v>
      </c>
      <c r="D878" s="2">
        <f>+D851-D877</f>
        <v>6</v>
      </c>
      <c r="E878" s="58">
        <f t="shared" si="541"/>
        <v>8</v>
      </c>
      <c r="F878" s="30">
        <f>+F851-F877</f>
        <v>7</v>
      </c>
      <c r="G878" s="2">
        <f>+G851-G877</f>
        <v>4</v>
      </c>
      <c r="H878" s="67">
        <f t="shared" si="542"/>
        <v>11</v>
      </c>
      <c r="I878" s="42">
        <f t="shared" si="543"/>
        <v>19</v>
      </c>
      <c r="L878" s="3" t="s">
        <v>0</v>
      </c>
      <c r="M878" s="30">
        <f>+M851-M877</f>
        <v>45</v>
      </c>
      <c r="N878" s="2">
        <f t="shared" ref="N878:S878" si="564">+N851-N877</f>
        <v>51</v>
      </c>
      <c r="O878" s="58">
        <f t="shared" si="564"/>
        <v>96</v>
      </c>
      <c r="P878" s="30">
        <f t="shared" si="564"/>
        <v>83</v>
      </c>
      <c r="Q878" s="2">
        <f t="shared" si="564"/>
        <v>88</v>
      </c>
      <c r="R878" s="67">
        <f t="shared" si="564"/>
        <v>171</v>
      </c>
      <c r="S878" s="42">
        <f t="shared" si="564"/>
        <v>267</v>
      </c>
      <c r="T878" s="110" t="s">
        <v>183</v>
      </c>
    </row>
    <row r="881" spans="2:20" ht="18.75" x14ac:dyDescent="0.2">
      <c r="B881" s="16" t="s">
        <v>21</v>
      </c>
      <c r="C881" s="15"/>
      <c r="D881" s="15"/>
      <c r="E881" s="15"/>
      <c r="F881" s="15"/>
      <c r="G881" s="15"/>
      <c r="H881" s="15"/>
      <c r="I881" s="15"/>
      <c r="L881" s="71" t="s">
        <v>22</v>
      </c>
      <c r="M881" s="72"/>
      <c r="N881" s="72"/>
      <c r="O881" s="72"/>
      <c r="P881" s="72"/>
      <c r="Q881" s="72"/>
      <c r="R881" s="72"/>
      <c r="S881" s="72"/>
    </row>
    <row r="882" spans="2:20" ht="18" thickBot="1" x14ac:dyDescent="0.25">
      <c r="B882" s="17" t="s">
        <v>23</v>
      </c>
      <c r="C882" s="15"/>
      <c r="D882" s="15"/>
      <c r="E882" s="15"/>
      <c r="F882" s="15"/>
      <c r="G882" s="15"/>
      <c r="H882" s="15"/>
      <c r="I882" s="15"/>
      <c r="L882" s="73" t="s">
        <v>23</v>
      </c>
      <c r="M882" s="72"/>
      <c r="N882" s="72"/>
      <c r="O882" s="72"/>
      <c r="P882" s="72"/>
      <c r="Q882" s="72"/>
      <c r="R882" s="72"/>
      <c r="S882" s="72"/>
    </row>
    <row r="883" spans="2:20" ht="14.25" thickBot="1" x14ac:dyDescent="0.2">
      <c r="B883" s="14"/>
      <c r="C883" s="113" t="s">
        <v>12</v>
      </c>
      <c r="D883" s="114"/>
      <c r="E883" s="115"/>
      <c r="F883" s="116" t="s">
        <v>11</v>
      </c>
      <c r="G883" s="117"/>
      <c r="H883" s="118"/>
      <c r="I883" s="13" t="s">
        <v>19</v>
      </c>
      <c r="L883" s="14"/>
      <c r="M883" s="113" t="s">
        <v>12</v>
      </c>
      <c r="N883" s="114"/>
      <c r="O883" s="115"/>
      <c r="P883" s="116" t="s">
        <v>11</v>
      </c>
      <c r="Q883" s="117"/>
      <c r="R883" s="118"/>
      <c r="S883" s="13" t="s">
        <v>19</v>
      </c>
    </row>
    <row r="884" spans="2:20" ht="14.25" thickBot="1" x14ac:dyDescent="0.2">
      <c r="B884" s="13"/>
      <c r="C884" s="23" t="s">
        <v>6</v>
      </c>
      <c r="D884" s="12" t="s">
        <v>5</v>
      </c>
      <c r="E884" s="50" t="s">
        <v>4</v>
      </c>
      <c r="F884" s="23" t="s">
        <v>6</v>
      </c>
      <c r="G884" s="12" t="s">
        <v>5</v>
      </c>
      <c r="H884" s="59" t="s">
        <v>4</v>
      </c>
      <c r="I884" s="49"/>
      <c r="L884" s="13"/>
      <c r="M884" s="23" t="s">
        <v>6</v>
      </c>
      <c r="N884" s="12" t="s">
        <v>5</v>
      </c>
      <c r="O884" s="50" t="s">
        <v>4</v>
      </c>
      <c r="P884" s="23" t="s">
        <v>6</v>
      </c>
      <c r="Q884" s="12" t="s">
        <v>5</v>
      </c>
      <c r="R884" s="59" t="s">
        <v>4</v>
      </c>
      <c r="S884" s="49"/>
    </row>
    <row r="885" spans="2:20" x14ac:dyDescent="0.15">
      <c r="B885" s="46" t="s">
        <v>0</v>
      </c>
      <c r="C885" s="47">
        <f t="shared" ref="C885:H885" si="565">C878</f>
        <v>2</v>
      </c>
      <c r="D885" s="48">
        <f t="shared" si="565"/>
        <v>6</v>
      </c>
      <c r="E885" s="68">
        <f t="shared" si="565"/>
        <v>8</v>
      </c>
      <c r="F885" s="47">
        <f t="shared" si="565"/>
        <v>7</v>
      </c>
      <c r="G885" s="48">
        <f t="shared" si="565"/>
        <v>4</v>
      </c>
      <c r="H885" s="69">
        <f t="shared" si="565"/>
        <v>11</v>
      </c>
      <c r="I885" s="41">
        <f>E885+H885</f>
        <v>19</v>
      </c>
      <c r="L885" s="46" t="s">
        <v>0</v>
      </c>
      <c r="M885" s="47">
        <f>M878</f>
        <v>45</v>
      </c>
      <c r="N885" s="48">
        <f t="shared" ref="N885:S885" si="566">N878</f>
        <v>51</v>
      </c>
      <c r="O885" s="68">
        <f t="shared" si="566"/>
        <v>96</v>
      </c>
      <c r="P885" s="47">
        <f t="shared" si="566"/>
        <v>83</v>
      </c>
      <c r="Q885" s="48">
        <f t="shared" si="566"/>
        <v>88</v>
      </c>
      <c r="R885" s="69">
        <f t="shared" si="566"/>
        <v>171</v>
      </c>
      <c r="S885" s="41">
        <f t="shared" si="566"/>
        <v>267</v>
      </c>
    </row>
    <row r="886" spans="2:20" x14ac:dyDescent="0.15">
      <c r="B886" s="90" t="s">
        <v>3</v>
      </c>
      <c r="C886" s="91">
        <v>10</v>
      </c>
      <c r="D886" s="92"/>
      <c r="E886" s="93">
        <f t="shared" ref="E886:E918" si="567">SUM(C886:D886)</f>
        <v>10</v>
      </c>
      <c r="F886" s="94"/>
      <c r="G886" s="95"/>
      <c r="H886" s="96">
        <f t="shared" ref="H886:H918" si="568">SUM(F886:G886)</f>
        <v>0</v>
      </c>
      <c r="I886" s="97">
        <f t="shared" ref="I886:I918" si="569">E886+H886</f>
        <v>10</v>
      </c>
      <c r="J886" s="98">
        <v>46177</v>
      </c>
      <c r="L886" s="11" t="s">
        <v>3</v>
      </c>
      <c r="M886" s="25"/>
      <c r="N886" s="19"/>
      <c r="O886" s="52">
        <f t="shared" ref="O886:O890" si="570">SUM(M886:N886)</f>
        <v>0</v>
      </c>
      <c r="P886" s="31"/>
      <c r="Q886" s="7"/>
      <c r="R886" s="61">
        <f t="shared" ref="R886:R890" si="571">SUM(P886:Q886)</f>
        <v>0</v>
      </c>
      <c r="S886" s="38">
        <f t="shared" ref="S886:S890" si="572">O886+R886</f>
        <v>0</v>
      </c>
    </row>
    <row r="887" spans="2:20" x14ac:dyDescent="0.15">
      <c r="B887" s="11" t="s">
        <v>3</v>
      </c>
      <c r="C887" s="25"/>
      <c r="D887" s="19">
        <v>5</v>
      </c>
      <c r="E887" s="52">
        <f t="shared" si="567"/>
        <v>5</v>
      </c>
      <c r="F887" s="31"/>
      <c r="G887" s="7">
        <v>5</v>
      </c>
      <c r="H887" s="61">
        <f t="shared" si="568"/>
        <v>5</v>
      </c>
      <c r="I887" s="38">
        <f t="shared" si="569"/>
        <v>10</v>
      </c>
      <c r="J887" s="78">
        <v>46179</v>
      </c>
      <c r="L887" s="11" t="s">
        <v>3</v>
      </c>
      <c r="M887" s="25"/>
      <c r="N887" s="19"/>
      <c r="O887" s="52">
        <f t="shared" si="570"/>
        <v>0</v>
      </c>
      <c r="P887" s="31"/>
      <c r="Q887" s="7"/>
      <c r="R887" s="61">
        <f t="shared" si="571"/>
        <v>0</v>
      </c>
      <c r="S887" s="38">
        <f t="shared" si="572"/>
        <v>0</v>
      </c>
    </row>
    <row r="888" spans="2:20" x14ac:dyDescent="0.15">
      <c r="B888" s="90" t="s">
        <v>3</v>
      </c>
      <c r="C888" s="91"/>
      <c r="D888" s="92"/>
      <c r="E888" s="93">
        <f t="shared" si="567"/>
        <v>0</v>
      </c>
      <c r="F888" s="94">
        <v>5</v>
      </c>
      <c r="G888" s="95"/>
      <c r="H888" s="96">
        <f t="shared" si="568"/>
        <v>5</v>
      </c>
      <c r="I888" s="97">
        <f t="shared" si="569"/>
        <v>5</v>
      </c>
      <c r="J888" s="98">
        <v>46183</v>
      </c>
      <c r="K888" s="111"/>
      <c r="L888" s="11" t="s">
        <v>3</v>
      </c>
      <c r="M888" s="25"/>
      <c r="N888" s="19"/>
      <c r="O888" s="52">
        <f t="shared" si="570"/>
        <v>0</v>
      </c>
      <c r="P888" s="31"/>
      <c r="Q888" s="7"/>
      <c r="R888" s="61">
        <f t="shared" si="571"/>
        <v>0</v>
      </c>
      <c r="S888" s="38">
        <f t="shared" si="572"/>
        <v>0</v>
      </c>
    </row>
    <row r="889" spans="2:20" x14ac:dyDescent="0.15">
      <c r="B889" s="11" t="s">
        <v>69</v>
      </c>
      <c r="C889" s="25">
        <v>1</v>
      </c>
      <c r="D889" s="19">
        <v>1</v>
      </c>
      <c r="E889" s="52">
        <f t="shared" si="567"/>
        <v>2</v>
      </c>
      <c r="F889" s="31"/>
      <c r="G889" s="7">
        <v>1</v>
      </c>
      <c r="H889" s="61">
        <f t="shared" si="568"/>
        <v>1</v>
      </c>
      <c r="I889" s="38">
        <f t="shared" si="569"/>
        <v>3</v>
      </c>
      <c r="J889" s="78">
        <v>46181</v>
      </c>
      <c r="L889" s="11" t="s">
        <v>3</v>
      </c>
      <c r="M889" s="25"/>
      <c r="N889" s="19"/>
      <c r="O889" s="52">
        <f t="shared" si="570"/>
        <v>0</v>
      </c>
      <c r="P889" s="31"/>
      <c r="Q889" s="7"/>
      <c r="R889" s="61">
        <f t="shared" si="571"/>
        <v>0</v>
      </c>
      <c r="S889" s="38">
        <f t="shared" si="572"/>
        <v>0</v>
      </c>
    </row>
    <row r="890" spans="2:20" ht="14.25" thickBot="1" x14ac:dyDescent="0.2">
      <c r="B890" s="11" t="s">
        <v>3</v>
      </c>
      <c r="C890" s="25"/>
      <c r="D890" s="19"/>
      <c r="E890" s="52">
        <f t="shared" si="567"/>
        <v>0</v>
      </c>
      <c r="F890" s="31"/>
      <c r="G890" s="7"/>
      <c r="H890" s="61">
        <f t="shared" si="568"/>
        <v>0</v>
      </c>
      <c r="I890" s="38">
        <f t="shared" si="569"/>
        <v>0</v>
      </c>
      <c r="J890" s="78"/>
      <c r="L890" s="11" t="s">
        <v>3</v>
      </c>
      <c r="M890" s="25"/>
      <c r="N890" s="19"/>
      <c r="O890" s="52">
        <f t="shared" si="570"/>
        <v>0</v>
      </c>
      <c r="P890" s="31"/>
      <c r="Q890" s="7"/>
      <c r="R890" s="61">
        <f t="shared" si="571"/>
        <v>0</v>
      </c>
      <c r="S890" s="38">
        <f t="shared" si="572"/>
        <v>0</v>
      </c>
    </row>
    <row r="891" spans="2:20" ht="14.25" thickBot="1" x14ac:dyDescent="0.2">
      <c r="B891" s="43" t="s">
        <v>2</v>
      </c>
      <c r="C891" s="44">
        <f>SUM(C885:C890)</f>
        <v>13</v>
      </c>
      <c r="D891" s="45">
        <f>SUM(D885:D890)</f>
        <v>12</v>
      </c>
      <c r="E891" s="83">
        <f t="shared" si="567"/>
        <v>25</v>
      </c>
      <c r="F891" s="44">
        <f>SUM(F885:F890)</f>
        <v>12</v>
      </c>
      <c r="G891" s="45">
        <f>SUM(G885:G890)</f>
        <v>10</v>
      </c>
      <c r="H891" s="84">
        <f t="shared" si="568"/>
        <v>22</v>
      </c>
      <c r="I891" s="42">
        <f t="shared" si="569"/>
        <v>47</v>
      </c>
      <c r="L891" s="43" t="s">
        <v>2</v>
      </c>
      <c r="M891" s="44">
        <f>SUM(M885:M890)</f>
        <v>45</v>
      </c>
      <c r="N891" s="45">
        <f t="shared" ref="N891:S891" si="573">SUM(N885:N890)</f>
        <v>51</v>
      </c>
      <c r="O891" s="83">
        <f t="shared" si="573"/>
        <v>96</v>
      </c>
      <c r="P891" s="44">
        <f t="shared" si="573"/>
        <v>83</v>
      </c>
      <c r="Q891" s="45">
        <f t="shared" si="573"/>
        <v>88</v>
      </c>
      <c r="R891" s="84">
        <f t="shared" si="573"/>
        <v>171</v>
      </c>
      <c r="S891" s="42">
        <f t="shared" si="573"/>
        <v>267</v>
      </c>
    </row>
    <row r="892" spans="2:20" x14ac:dyDescent="0.15">
      <c r="B892" s="6" t="s">
        <v>202</v>
      </c>
      <c r="C892" s="28">
        <v>1</v>
      </c>
      <c r="D892" s="22"/>
      <c r="E892" s="55">
        <f t="shared" ref="E892:E912" si="574">SUM(C892:D892)</f>
        <v>1</v>
      </c>
      <c r="F892" s="33"/>
      <c r="G892" s="8"/>
      <c r="H892" s="64">
        <f t="shared" ref="H892:H912" si="575">SUM(F892:G892)</f>
        <v>0</v>
      </c>
      <c r="I892" s="38">
        <f t="shared" ref="I892:I912" si="576">E892+H892</f>
        <v>1</v>
      </c>
      <c r="J892" s="78">
        <v>46176</v>
      </c>
      <c r="L892" s="99" t="s">
        <v>201</v>
      </c>
      <c r="M892" s="91">
        <v>10</v>
      </c>
      <c r="N892" s="92"/>
      <c r="O892" s="100">
        <f t="shared" ref="O892:O898" si="577">SUM(M892:N892)</f>
        <v>10</v>
      </c>
      <c r="P892" s="94"/>
      <c r="Q892" s="95"/>
      <c r="R892" s="101">
        <f t="shared" ref="R892:R898" si="578">SUM(P892:Q892)</f>
        <v>0</v>
      </c>
      <c r="S892" s="97">
        <f t="shared" ref="S892:S898" si="579">O892+R892</f>
        <v>10</v>
      </c>
      <c r="T892" s="98">
        <v>46177</v>
      </c>
    </row>
    <row r="893" spans="2:20" x14ac:dyDescent="0.15">
      <c r="B893" s="6" t="s">
        <v>7</v>
      </c>
      <c r="C893" s="28"/>
      <c r="D893" s="22">
        <v>1</v>
      </c>
      <c r="E893" s="55">
        <f t="shared" si="574"/>
        <v>1</v>
      </c>
      <c r="F893" s="33"/>
      <c r="G893" s="8">
        <v>1</v>
      </c>
      <c r="H893" s="64">
        <f t="shared" si="575"/>
        <v>1</v>
      </c>
      <c r="I893" s="38">
        <f t="shared" si="576"/>
        <v>2</v>
      </c>
      <c r="J893" s="78">
        <v>46177</v>
      </c>
      <c r="L893" s="6" t="s">
        <v>187</v>
      </c>
      <c r="M893" s="25"/>
      <c r="N893" s="19">
        <v>5</v>
      </c>
      <c r="O893" s="55">
        <f t="shared" si="577"/>
        <v>5</v>
      </c>
      <c r="P893" s="31"/>
      <c r="Q893" s="7">
        <v>5</v>
      </c>
      <c r="R893" s="64">
        <f t="shared" si="578"/>
        <v>5</v>
      </c>
      <c r="S893" s="38">
        <f t="shared" si="579"/>
        <v>10</v>
      </c>
      <c r="T893" s="78">
        <v>46179</v>
      </c>
    </row>
    <row r="894" spans="2:20" x14ac:dyDescent="0.15">
      <c r="B894" s="6" t="s">
        <v>203</v>
      </c>
      <c r="C894" s="25"/>
      <c r="D894" s="19">
        <v>2</v>
      </c>
      <c r="E894" s="55">
        <f t="shared" si="574"/>
        <v>2</v>
      </c>
      <c r="F894" s="31"/>
      <c r="G894" s="7"/>
      <c r="H894" s="64">
        <f t="shared" si="575"/>
        <v>0</v>
      </c>
      <c r="I894" s="38">
        <f t="shared" si="576"/>
        <v>2</v>
      </c>
      <c r="J894" s="78">
        <v>46181</v>
      </c>
      <c r="L894" s="99" t="s">
        <v>189</v>
      </c>
      <c r="M894" s="91"/>
      <c r="N894" s="92"/>
      <c r="O894" s="100">
        <f t="shared" si="577"/>
        <v>0</v>
      </c>
      <c r="P894" s="94">
        <v>5</v>
      </c>
      <c r="Q894" s="95"/>
      <c r="R894" s="101">
        <f t="shared" si="578"/>
        <v>5</v>
      </c>
      <c r="S894" s="97">
        <f t="shared" si="579"/>
        <v>5</v>
      </c>
      <c r="T894" s="98">
        <v>46183</v>
      </c>
    </row>
    <row r="895" spans="2:20" x14ac:dyDescent="0.15">
      <c r="B895" s="6" t="s">
        <v>184</v>
      </c>
      <c r="C895" s="25"/>
      <c r="D895" s="19"/>
      <c r="E895" s="55">
        <f t="shared" si="574"/>
        <v>0</v>
      </c>
      <c r="F895" s="31">
        <v>1</v>
      </c>
      <c r="G895" s="7"/>
      <c r="H895" s="64">
        <f t="shared" si="575"/>
        <v>1</v>
      </c>
      <c r="I895" s="38">
        <f t="shared" si="576"/>
        <v>1</v>
      </c>
      <c r="J895" s="78">
        <v>46183</v>
      </c>
      <c r="L895" s="6" t="s">
        <v>184</v>
      </c>
      <c r="M895" s="25"/>
      <c r="N895" s="19"/>
      <c r="O895" s="55">
        <f t="shared" si="577"/>
        <v>0</v>
      </c>
      <c r="P895" s="31">
        <v>5</v>
      </c>
      <c r="Q895" s="7">
        <v>1</v>
      </c>
      <c r="R895" s="64">
        <f t="shared" si="578"/>
        <v>6</v>
      </c>
      <c r="S895" s="38">
        <f t="shared" si="579"/>
        <v>6</v>
      </c>
      <c r="T895" s="78">
        <v>46185</v>
      </c>
    </row>
    <row r="896" spans="2:20" x14ac:dyDescent="0.15">
      <c r="B896" s="6" t="s">
        <v>7</v>
      </c>
      <c r="C896" s="25"/>
      <c r="D896" s="19">
        <v>1</v>
      </c>
      <c r="E896" s="55">
        <f t="shared" si="574"/>
        <v>1</v>
      </c>
      <c r="F896" s="31">
        <v>1</v>
      </c>
      <c r="G896" s="7"/>
      <c r="H896" s="64">
        <f t="shared" si="575"/>
        <v>1</v>
      </c>
      <c r="I896" s="38">
        <f t="shared" si="576"/>
        <v>2</v>
      </c>
      <c r="J896" s="78">
        <v>46181</v>
      </c>
      <c r="L896" s="6" t="s">
        <v>184</v>
      </c>
      <c r="M896" s="25">
        <v>3</v>
      </c>
      <c r="N896" s="19">
        <v>4</v>
      </c>
      <c r="O896" s="55">
        <f t="shared" si="577"/>
        <v>7</v>
      </c>
      <c r="P896" s="31">
        <v>2</v>
      </c>
      <c r="Q896" s="7">
        <v>3</v>
      </c>
      <c r="R896" s="64">
        <f t="shared" si="578"/>
        <v>5</v>
      </c>
      <c r="S896" s="38">
        <f t="shared" si="579"/>
        <v>12</v>
      </c>
      <c r="T896" s="78">
        <v>46190</v>
      </c>
    </row>
    <row r="897" spans="2:20" x14ac:dyDescent="0.15">
      <c r="B897" s="6" t="s">
        <v>184</v>
      </c>
      <c r="C897" s="25">
        <v>1</v>
      </c>
      <c r="D897" s="19"/>
      <c r="E897" s="55">
        <f t="shared" si="574"/>
        <v>1</v>
      </c>
      <c r="F897" s="31">
        <v>2</v>
      </c>
      <c r="G897" s="7">
        <v>1</v>
      </c>
      <c r="H897" s="64">
        <f t="shared" si="575"/>
        <v>3</v>
      </c>
      <c r="I897" s="38">
        <f t="shared" si="576"/>
        <v>4</v>
      </c>
      <c r="J897" s="78">
        <v>46184</v>
      </c>
      <c r="L897" s="6" t="s">
        <v>184</v>
      </c>
      <c r="M897" s="25"/>
      <c r="N897" s="19">
        <v>5</v>
      </c>
      <c r="O897" s="55">
        <f t="shared" si="577"/>
        <v>5</v>
      </c>
      <c r="P897" s="31"/>
      <c r="Q897" s="7">
        <v>5</v>
      </c>
      <c r="R897" s="64">
        <f t="shared" si="578"/>
        <v>5</v>
      </c>
      <c r="S897" s="38">
        <f t="shared" si="579"/>
        <v>10</v>
      </c>
      <c r="T897" s="78">
        <v>46191</v>
      </c>
    </row>
    <row r="898" spans="2:20" x14ac:dyDescent="0.15">
      <c r="B898" s="6" t="s">
        <v>7</v>
      </c>
      <c r="C898" s="25">
        <v>1</v>
      </c>
      <c r="D898" s="19"/>
      <c r="E898" s="55">
        <f t="shared" si="574"/>
        <v>1</v>
      </c>
      <c r="F898" s="31"/>
      <c r="G898" s="7"/>
      <c r="H898" s="64">
        <f t="shared" si="575"/>
        <v>0</v>
      </c>
      <c r="I898" s="38">
        <f t="shared" si="576"/>
        <v>1</v>
      </c>
      <c r="J898" s="78">
        <v>46184</v>
      </c>
      <c r="L898" s="6" t="s">
        <v>184</v>
      </c>
      <c r="M898" s="25"/>
      <c r="N898" s="19">
        <v>3</v>
      </c>
      <c r="O898" s="55">
        <f t="shared" si="577"/>
        <v>3</v>
      </c>
      <c r="P898" s="31"/>
      <c r="Q898" s="7">
        <v>2</v>
      </c>
      <c r="R898" s="64">
        <f t="shared" si="578"/>
        <v>2</v>
      </c>
      <c r="S898" s="38">
        <f t="shared" si="579"/>
        <v>5</v>
      </c>
      <c r="T898" s="78">
        <v>46192</v>
      </c>
    </row>
    <row r="899" spans="2:20" x14ac:dyDescent="0.15">
      <c r="B899" s="6" t="s">
        <v>184</v>
      </c>
      <c r="C899" s="25">
        <v>1</v>
      </c>
      <c r="D899" s="19"/>
      <c r="E899" s="55">
        <f t="shared" si="574"/>
        <v>1</v>
      </c>
      <c r="F899" s="31">
        <v>1</v>
      </c>
      <c r="G899" s="7">
        <v>1</v>
      </c>
      <c r="H899" s="64">
        <f t="shared" si="575"/>
        <v>2</v>
      </c>
      <c r="I899" s="38">
        <f t="shared" si="576"/>
        <v>3</v>
      </c>
      <c r="J899" s="78">
        <v>46188</v>
      </c>
      <c r="L899" s="102" t="s">
        <v>184</v>
      </c>
      <c r="M899" s="103"/>
      <c r="N899" s="104">
        <v>1</v>
      </c>
      <c r="O899" s="105">
        <f t="shared" ref="O899:O912" si="580">SUM(M899:N899)</f>
        <v>1</v>
      </c>
      <c r="P899" s="106">
        <v>4</v>
      </c>
      <c r="Q899" s="107"/>
      <c r="R899" s="108">
        <f t="shared" ref="R899:R912" si="581">SUM(P899:Q899)</f>
        <v>4</v>
      </c>
      <c r="S899" s="41">
        <f t="shared" ref="S899:S912" si="582">O899+R899</f>
        <v>5</v>
      </c>
      <c r="T899" s="123">
        <v>46192</v>
      </c>
    </row>
    <row r="900" spans="2:20" x14ac:dyDescent="0.15">
      <c r="B900" s="6" t="s">
        <v>204</v>
      </c>
      <c r="C900" s="28">
        <v>1</v>
      </c>
      <c r="D900" s="22"/>
      <c r="E900" s="55">
        <f t="shared" si="574"/>
        <v>1</v>
      </c>
      <c r="F900" s="33">
        <v>-1</v>
      </c>
      <c r="G900" s="8"/>
      <c r="H900" s="64">
        <f t="shared" si="575"/>
        <v>-1</v>
      </c>
      <c r="I900" s="38">
        <f t="shared" si="576"/>
        <v>0</v>
      </c>
      <c r="J900" s="78">
        <v>46185</v>
      </c>
      <c r="L900" s="6"/>
      <c r="M900" s="25"/>
      <c r="N900" s="19"/>
      <c r="O900" s="55">
        <f t="shared" si="580"/>
        <v>0</v>
      </c>
      <c r="P900" s="31"/>
      <c r="Q900" s="7"/>
      <c r="R900" s="64">
        <f t="shared" si="581"/>
        <v>0</v>
      </c>
      <c r="S900" s="38">
        <f t="shared" si="582"/>
        <v>0</v>
      </c>
    </row>
    <row r="901" spans="2:20" x14ac:dyDescent="0.15">
      <c r="B901" s="6" t="s">
        <v>7</v>
      </c>
      <c r="C901" s="28"/>
      <c r="D901" s="22">
        <v>1</v>
      </c>
      <c r="E901" s="55">
        <f t="shared" si="574"/>
        <v>1</v>
      </c>
      <c r="F901" s="33"/>
      <c r="G901" s="8"/>
      <c r="H901" s="64">
        <f t="shared" si="575"/>
        <v>0</v>
      </c>
      <c r="I901" s="38">
        <f t="shared" si="576"/>
        <v>1</v>
      </c>
      <c r="J901" s="78">
        <v>46188</v>
      </c>
      <c r="L901" s="6"/>
      <c r="M901" s="25"/>
      <c r="N901" s="19"/>
      <c r="O901" s="55">
        <f t="shared" si="580"/>
        <v>0</v>
      </c>
      <c r="P901" s="31"/>
      <c r="Q901" s="7"/>
      <c r="R901" s="64">
        <f t="shared" si="581"/>
        <v>0</v>
      </c>
      <c r="S901" s="38">
        <f t="shared" si="582"/>
        <v>0</v>
      </c>
    </row>
    <row r="902" spans="2:20" x14ac:dyDescent="0.15">
      <c r="B902" s="6" t="s">
        <v>7</v>
      </c>
      <c r="C902" s="28">
        <v>1</v>
      </c>
      <c r="D902" s="22"/>
      <c r="E902" s="55">
        <f t="shared" si="574"/>
        <v>1</v>
      </c>
      <c r="F902" s="33"/>
      <c r="G902" s="8"/>
      <c r="H902" s="64">
        <f t="shared" si="575"/>
        <v>0</v>
      </c>
      <c r="I902" s="38">
        <f t="shared" si="576"/>
        <v>1</v>
      </c>
      <c r="J902" s="78">
        <v>46190</v>
      </c>
      <c r="L902" s="6"/>
      <c r="M902" s="25"/>
      <c r="N902" s="19"/>
      <c r="O902" s="55">
        <f t="shared" si="580"/>
        <v>0</v>
      </c>
      <c r="P902" s="31"/>
      <c r="Q902" s="7"/>
      <c r="R902" s="64">
        <f t="shared" si="581"/>
        <v>0</v>
      </c>
      <c r="S902" s="38">
        <f t="shared" si="582"/>
        <v>0</v>
      </c>
    </row>
    <row r="903" spans="2:20" x14ac:dyDescent="0.15">
      <c r="B903" s="6"/>
      <c r="C903" s="28"/>
      <c r="D903" s="22"/>
      <c r="E903" s="55">
        <f t="shared" si="574"/>
        <v>0</v>
      </c>
      <c r="F903" s="33"/>
      <c r="G903" s="8"/>
      <c r="H903" s="64">
        <f t="shared" si="575"/>
        <v>0</v>
      </c>
      <c r="I903" s="38">
        <f t="shared" si="576"/>
        <v>0</v>
      </c>
      <c r="J903" s="78"/>
      <c r="L903" s="6"/>
      <c r="M903" s="25"/>
      <c r="N903" s="19"/>
      <c r="O903" s="55">
        <f t="shared" si="580"/>
        <v>0</v>
      </c>
      <c r="P903" s="31"/>
      <c r="Q903" s="7"/>
      <c r="R903" s="64">
        <f t="shared" si="581"/>
        <v>0</v>
      </c>
      <c r="S903" s="38">
        <f t="shared" si="582"/>
        <v>0</v>
      </c>
    </row>
    <row r="904" spans="2:20" x14ac:dyDescent="0.15">
      <c r="B904" s="6"/>
      <c r="C904" s="28"/>
      <c r="D904" s="22"/>
      <c r="E904" s="55">
        <f t="shared" si="574"/>
        <v>0</v>
      </c>
      <c r="F904" s="33"/>
      <c r="G904" s="8"/>
      <c r="H904" s="64">
        <f t="shared" si="575"/>
        <v>0</v>
      </c>
      <c r="I904" s="38">
        <f t="shared" si="576"/>
        <v>0</v>
      </c>
      <c r="J904" s="78"/>
      <c r="L904" s="6"/>
      <c r="M904" s="25"/>
      <c r="N904" s="19"/>
      <c r="O904" s="55">
        <f t="shared" si="580"/>
        <v>0</v>
      </c>
      <c r="P904" s="31"/>
      <c r="Q904" s="7"/>
      <c r="R904" s="64">
        <f t="shared" si="581"/>
        <v>0</v>
      </c>
      <c r="S904" s="38">
        <f t="shared" si="582"/>
        <v>0</v>
      </c>
    </row>
    <row r="905" spans="2:20" x14ac:dyDescent="0.15">
      <c r="B905" s="6"/>
      <c r="C905" s="28"/>
      <c r="D905" s="22"/>
      <c r="E905" s="55">
        <f t="shared" si="574"/>
        <v>0</v>
      </c>
      <c r="F905" s="33"/>
      <c r="G905" s="8"/>
      <c r="H905" s="64">
        <f t="shared" si="575"/>
        <v>0</v>
      </c>
      <c r="I905" s="38">
        <f t="shared" si="576"/>
        <v>0</v>
      </c>
      <c r="J905" s="78"/>
      <c r="L905" s="6"/>
      <c r="M905" s="28"/>
      <c r="N905" s="22"/>
      <c r="O905" s="55">
        <f t="shared" si="580"/>
        <v>0</v>
      </c>
      <c r="P905" s="33"/>
      <c r="Q905" s="8"/>
      <c r="R905" s="64">
        <f t="shared" si="581"/>
        <v>0</v>
      </c>
      <c r="S905" s="38">
        <f t="shared" si="582"/>
        <v>0</v>
      </c>
    </row>
    <row r="906" spans="2:20" x14ac:dyDescent="0.15">
      <c r="B906" s="6"/>
      <c r="C906" s="28"/>
      <c r="D906" s="22"/>
      <c r="E906" s="55">
        <f t="shared" si="574"/>
        <v>0</v>
      </c>
      <c r="F906" s="33"/>
      <c r="G906" s="8"/>
      <c r="H906" s="64">
        <f t="shared" si="575"/>
        <v>0</v>
      </c>
      <c r="I906" s="38">
        <f t="shared" si="576"/>
        <v>0</v>
      </c>
      <c r="J906" s="78"/>
      <c r="L906" s="6"/>
      <c r="M906" s="28"/>
      <c r="N906" s="22"/>
      <c r="O906" s="55">
        <f t="shared" si="580"/>
        <v>0</v>
      </c>
      <c r="P906" s="33"/>
      <c r="Q906" s="8"/>
      <c r="R906" s="64">
        <f t="shared" si="581"/>
        <v>0</v>
      </c>
      <c r="S906" s="38">
        <f t="shared" si="582"/>
        <v>0</v>
      </c>
    </row>
    <row r="907" spans="2:20" x14ac:dyDescent="0.15">
      <c r="B907" s="6"/>
      <c r="C907" s="28"/>
      <c r="D907" s="22"/>
      <c r="E907" s="55">
        <f t="shared" si="574"/>
        <v>0</v>
      </c>
      <c r="F907" s="33"/>
      <c r="G907" s="8"/>
      <c r="H907" s="64">
        <f t="shared" si="575"/>
        <v>0</v>
      </c>
      <c r="I907" s="38">
        <f t="shared" si="576"/>
        <v>0</v>
      </c>
      <c r="J907" s="78"/>
      <c r="L907" s="6"/>
      <c r="M907" s="28"/>
      <c r="N907" s="22"/>
      <c r="O907" s="55">
        <f t="shared" si="580"/>
        <v>0</v>
      </c>
      <c r="P907" s="33"/>
      <c r="Q907" s="8"/>
      <c r="R907" s="64">
        <f t="shared" si="581"/>
        <v>0</v>
      </c>
      <c r="S907" s="38">
        <f t="shared" si="582"/>
        <v>0</v>
      </c>
    </row>
    <row r="908" spans="2:20" x14ac:dyDescent="0.15">
      <c r="B908" s="6"/>
      <c r="C908" s="28"/>
      <c r="D908" s="22"/>
      <c r="E908" s="55">
        <f t="shared" si="574"/>
        <v>0</v>
      </c>
      <c r="F908" s="33"/>
      <c r="G908" s="8"/>
      <c r="H908" s="64">
        <f t="shared" si="575"/>
        <v>0</v>
      </c>
      <c r="I908" s="38">
        <f t="shared" si="576"/>
        <v>0</v>
      </c>
      <c r="J908" s="78"/>
      <c r="L908" s="6"/>
      <c r="M908" s="28"/>
      <c r="N908" s="22"/>
      <c r="O908" s="55">
        <f t="shared" si="580"/>
        <v>0</v>
      </c>
      <c r="P908" s="33"/>
      <c r="Q908" s="8"/>
      <c r="R908" s="64">
        <f t="shared" si="581"/>
        <v>0</v>
      </c>
      <c r="S908" s="38">
        <f t="shared" si="582"/>
        <v>0</v>
      </c>
    </row>
    <row r="909" spans="2:20" x14ac:dyDescent="0.15">
      <c r="B909" s="6"/>
      <c r="C909" s="28"/>
      <c r="D909" s="22"/>
      <c r="E909" s="55">
        <f t="shared" si="574"/>
        <v>0</v>
      </c>
      <c r="F909" s="33"/>
      <c r="G909" s="8"/>
      <c r="H909" s="64">
        <f t="shared" si="575"/>
        <v>0</v>
      </c>
      <c r="I909" s="38">
        <f t="shared" si="576"/>
        <v>0</v>
      </c>
      <c r="J909" s="78"/>
      <c r="L909" s="6"/>
      <c r="M909" s="28"/>
      <c r="N909" s="22"/>
      <c r="O909" s="55">
        <f t="shared" si="580"/>
        <v>0</v>
      </c>
      <c r="P909" s="33"/>
      <c r="Q909" s="8"/>
      <c r="R909" s="64">
        <f t="shared" si="581"/>
        <v>0</v>
      </c>
      <c r="S909" s="38">
        <f t="shared" si="582"/>
        <v>0</v>
      </c>
    </row>
    <row r="910" spans="2:20" x14ac:dyDescent="0.15">
      <c r="B910" s="6"/>
      <c r="C910" s="28"/>
      <c r="D910" s="22"/>
      <c r="E910" s="55">
        <f t="shared" si="574"/>
        <v>0</v>
      </c>
      <c r="F910" s="33"/>
      <c r="G910" s="8"/>
      <c r="H910" s="64">
        <f t="shared" si="575"/>
        <v>0</v>
      </c>
      <c r="I910" s="38">
        <f t="shared" si="576"/>
        <v>0</v>
      </c>
      <c r="J910" s="78"/>
      <c r="L910" s="6"/>
      <c r="M910" s="28"/>
      <c r="N910" s="22"/>
      <c r="O910" s="55">
        <f t="shared" si="580"/>
        <v>0</v>
      </c>
      <c r="P910" s="33"/>
      <c r="Q910" s="8"/>
      <c r="R910" s="64">
        <f t="shared" si="581"/>
        <v>0</v>
      </c>
      <c r="S910" s="38">
        <f t="shared" si="582"/>
        <v>0</v>
      </c>
    </row>
    <row r="911" spans="2:20" x14ac:dyDescent="0.15">
      <c r="B911" s="6"/>
      <c r="C911" s="28"/>
      <c r="D911" s="22"/>
      <c r="E911" s="55">
        <f t="shared" si="574"/>
        <v>0</v>
      </c>
      <c r="F911" s="33"/>
      <c r="G911" s="8"/>
      <c r="H911" s="64">
        <f t="shared" si="575"/>
        <v>0</v>
      </c>
      <c r="I911" s="38">
        <f t="shared" si="576"/>
        <v>0</v>
      </c>
      <c r="J911" s="78"/>
      <c r="L911" s="6"/>
      <c r="M911" s="28"/>
      <c r="N911" s="22"/>
      <c r="O911" s="55">
        <f t="shared" si="580"/>
        <v>0</v>
      </c>
      <c r="P911" s="33"/>
      <c r="Q911" s="8"/>
      <c r="R911" s="64">
        <f t="shared" si="581"/>
        <v>0</v>
      </c>
      <c r="S911" s="38">
        <f t="shared" si="582"/>
        <v>0</v>
      </c>
    </row>
    <row r="912" spans="2:20" x14ac:dyDescent="0.15">
      <c r="B912" s="6"/>
      <c r="C912" s="28"/>
      <c r="D912" s="22"/>
      <c r="E912" s="55">
        <f t="shared" si="574"/>
        <v>0</v>
      </c>
      <c r="F912" s="33"/>
      <c r="G912" s="8"/>
      <c r="H912" s="64">
        <f t="shared" si="575"/>
        <v>0</v>
      </c>
      <c r="I912" s="38">
        <f t="shared" si="576"/>
        <v>0</v>
      </c>
      <c r="J912" s="78"/>
      <c r="L912" s="6"/>
      <c r="M912" s="28"/>
      <c r="N912" s="22"/>
      <c r="O912" s="55">
        <f t="shared" si="580"/>
        <v>0</v>
      </c>
      <c r="P912" s="33"/>
      <c r="Q912" s="8"/>
      <c r="R912" s="64">
        <f t="shared" si="581"/>
        <v>0</v>
      </c>
      <c r="S912" s="38">
        <f t="shared" si="582"/>
        <v>0</v>
      </c>
    </row>
    <row r="913" spans="2:20" x14ac:dyDescent="0.15">
      <c r="B913" s="6"/>
      <c r="C913" s="28"/>
      <c r="D913" s="22"/>
      <c r="E913" s="55">
        <f t="shared" si="567"/>
        <v>0</v>
      </c>
      <c r="F913" s="33"/>
      <c r="G913" s="8"/>
      <c r="H913" s="64">
        <f t="shared" si="568"/>
        <v>0</v>
      </c>
      <c r="I913" s="38">
        <f t="shared" si="569"/>
        <v>0</v>
      </c>
      <c r="J913" s="78"/>
      <c r="L913" s="6"/>
      <c r="M913" s="28"/>
      <c r="N913" s="22"/>
      <c r="O913" s="55">
        <f t="shared" ref="O913:O916" si="583">SUM(M913:N913)</f>
        <v>0</v>
      </c>
      <c r="P913" s="33"/>
      <c r="Q913" s="8"/>
      <c r="R913" s="64">
        <f t="shared" ref="R913:R916" si="584">SUM(P913:Q913)</f>
        <v>0</v>
      </c>
      <c r="S913" s="38">
        <f t="shared" ref="S913:S916" si="585">O913+R913</f>
        <v>0</v>
      </c>
    </row>
    <row r="914" spans="2:20" x14ac:dyDescent="0.15">
      <c r="B914" s="6"/>
      <c r="C914" s="28"/>
      <c r="D914" s="22"/>
      <c r="E914" s="55">
        <f t="shared" si="567"/>
        <v>0</v>
      </c>
      <c r="F914" s="33"/>
      <c r="G914" s="8"/>
      <c r="H914" s="64">
        <f t="shared" si="568"/>
        <v>0</v>
      </c>
      <c r="I914" s="38">
        <f t="shared" si="569"/>
        <v>0</v>
      </c>
      <c r="J914" s="78"/>
      <c r="L914" s="6" t="s">
        <v>190</v>
      </c>
      <c r="M914" s="25"/>
      <c r="N914" s="19"/>
      <c r="O914" s="55">
        <f t="shared" si="583"/>
        <v>0</v>
      </c>
      <c r="P914" s="31"/>
      <c r="Q914" s="7"/>
      <c r="R914" s="64">
        <f t="shared" si="584"/>
        <v>0</v>
      </c>
      <c r="S914" s="38">
        <f t="shared" si="585"/>
        <v>0</v>
      </c>
      <c r="T914" t="s">
        <v>191</v>
      </c>
    </row>
    <row r="915" spans="2:20" x14ac:dyDescent="0.15">
      <c r="B915" s="6"/>
      <c r="C915" s="28"/>
      <c r="D915" s="22"/>
      <c r="E915" s="55">
        <f t="shared" si="567"/>
        <v>0</v>
      </c>
      <c r="F915" s="33"/>
      <c r="G915" s="8"/>
      <c r="H915" s="64">
        <f t="shared" si="568"/>
        <v>0</v>
      </c>
      <c r="I915" s="38">
        <f t="shared" si="569"/>
        <v>0</v>
      </c>
      <c r="J915"/>
      <c r="L915" s="102" t="s">
        <v>193</v>
      </c>
      <c r="M915" s="103">
        <v>15</v>
      </c>
      <c r="N915" s="104">
        <v>15</v>
      </c>
      <c r="O915" s="105">
        <f t="shared" si="583"/>
        <v>30</v>
      </c>
      <c r="P915" s="106">
        <v>10</v>
      </c>
      <c r="Q915" s="107">
        <v>10</v>
      </c>
      <c r="R915" s="108">
        <f t="shared" si="584"/>
        <v>20</v>
      </c>
      <c r="S915" s="41">
        <f t="shared" si="585"/>
        <v>50</v>
      </c>
      <c r="T915" s="109" t="s">
        <v>194</v>
      </c>
    </row>
    <row r="916" spans="2:20" ht="14.25" thickBot="1" x14ac:dyDescent="0.2">
      <c r="B916" s="6"/>
      <c r="C916" s="25"/>
      <c r="D916" s="19"/>
      <c r="E916" s="55">
        <f t="shared" si="567"/>
        <v>0</v>
      </c>
      <c r="F916" s="31"/>
      <c r="G916" s="7"/>
      <c r="H916" s="64">
        <f t="shared" si="568"/>
        <v>0</v>
      </c>
      <c r="I916" s="38">
        <f t="shared" si="569"/>
        <v>0</v>
      </c>
      <c r="L916" s="102" t="s">
        <v>195</v>
      </c>
      <c r="M916" s="103">
        <v>15</v>
      </c>
      <c r="N916" s="104">
        <v>15</v>
      </c>
      <c r="O916" s="105">
        <f t="shared" si="583"/>
        <v>30</v>
      </c>
      <c r="P916" s="106">
        <v>15</v>
      </c>
      <c r="Q916" s="107">
        <v>15</v>
      </c>
      <c r="R916" s="108">
        <f t="shared" si="584"/>
        <v>30</v>
      </c>
      <c r="S916" s="41">
        <f t="shared" si="585"/>
        <v>60</v>
      </c>
      <c r="T916" s="109" t="s">
        <v>196</v>
      </c>
    </row>
    <row r="917" spans="2:20" ht="14.25" thickBot="1" x14ac:dyDescent="0.2">
      <c r="B917" s="4" t="s">
        <v>1</v>
      </c>
      <c r="C917" s="27">
        <f>SUM(C892:C916)</f>
        <v>6</v>
      </c>
      <c r="D917" s="21">
        <f>SUM(D892:D916)</f>
        <v>5</v>
      </c>
      <c r="E917" s="57">
        <f t="shared" si="567"/>
        <v>11</v>
      </c>
      <c r="F917" s="27">
        <f>SUM(F892:F916)</f>
        <v>4</v>
      </c>
      <c r="G917" s="21">
        <f>SUM(G892:G916)</f>
        <v>3</v>
      </c>
      <c r="H917" s="66">
        <f t="shared" si="568"/>
        <v>7</v>
      </c>
      <c r="I917" s="40">
        <f t="shared" si="569"/>
        <v>18</v>
      </c>
      <c r="L917" s="4" t="s">
        <v>1</v>
      </c>
      <c r="M917" s="27">
        <f>SUM(M892:M916)</f>
        <v>43</v>
      </c>
      <c r="N917" s="21">
        <f t="shared" ref="N917:S917" si="586">SUM(N892:N916)</f>
        <v>48</v>
      </c>
      <c r="O917" s="57">
        <f t="shared" si="586"/>
        <v>91</v>
      </c>
      <c r="P917" s="27">
        <f t="shared" si="586"/>
        <v>41</v>
      </c>
      <c r="Q917" s="21">
        <f t="shared" si="586"/>
        <v>41</v>
      </c>
      <c r="R917" s="66">
        <f t="shared" si="586"/>
        <v>82</v>
      </c>
      <c r="S917" s="40">
        <f t="shared" si="586"/>
        <v>173</v>
      </c>
    </row>
    <row r="918" spans="2:20" ht="14.25" thickBot="1" x14ac:dyDescent="0.2">
      <c r="B918" s="3" t="s">
        <v>0</v>
      </c>
      <c r="C918" s="30">
        <f>+C891-C917</f>
        <v>7</v>
      </c>
      <c r="D918" s="2">
        <f>+D891-D917</f>
        <v>7</v>
      </c>
      <c r="E918" s="58">
        <f t="shared" si="567"/>
        <v>14</v>
      </c>
      <c r="F918" s="30">
        <f>+F891-F917</f>
        <v>8</v>
      </c>
      <c r="G918" s="2">
        <f>+G891-G917</f>
        <v>7</v>
      </c>
      <c r="H918" s="67">
        <f t="shared" si="568"/>
        <v>15</v>
      </c>
      <c r="I918" s="42">
        <f t="shared" si="569"/>
        <v>29</v>
      </c>
      <c r="L918" s="3" t="s">
        <v>0</v>
      </c>
      <c r="M918" s="30">
        <f>+M891-M917</f>
        <v>2</v>
      </c>
      <c r="N918" s="2">
        <f t="shared" ref="N918:S918" si="587">+N891-N917</f>
        <v>3</v>
      </c>
      <c r="O918" s="58">
        <f t="shared" si="587"/>
        <v>5</v>
      </c>
      <c r="P918" s="30">
        <f t="shared" si="587"/>
        <v>42</v>
      </c>
      <c r="Q918" s="2">
        <f t="shared" si="587"/>
        <v>47</v>
      </c>
      <c r="R918" s="67">
        <f t="shared" si="587"/>
        <v>89</v>
      </c>
      <c r="S918" s="42">
        <f t="shared" si="587"/>
        <v>94</v>
      </c>
      <c r="T918" s="110"/>
    </row>
  </sheetData>
  <mergeCells count="100">
    <mergeCell ref="C763:E763"/>
    <mergeCell ref="F763:H763"/>
    <mergeCell ref="M763:O763"/>
    <mergeCell ref="P763:R763"/>
    <mergeCell ref="C483:E483"/>
    <mergeCell ref="F483:H483"/>
    <mergeCell ref="M483:O483"/>
    <mergeCell ref="P483:R483"/>
    <mergeCell ref="C523:E523"/>
    <mergeCell ref="F523:H523"/>
    <mergeCell ref="M523:O523"/>
    <mergeCell ref="P523:R523"/>
    <mergeCell ref="C643:E643"/>
    <mergeCell ref="F643:H643"/>
    <mergeCell ref="M643:O643"/>
    <mergeCell ref="P643:R643"/>
    <mergeCell ref="C363:E363"/>
    <mergeCell ref="F363:H363"/>
    <mergeCell ref="M363:O363"/>
    <mergeCell ref="P363:R363"/>
    <mergeCell ref="C443:E443"/>
    <mergeCell ref="F443:H443"/>
    <mergeCell ref="M443:O443"/>
    <mergeCell ref="P443:R443"/>
    <mergeCell ref="C403:E403"/>
    <mergeCell ref="F403:H403"/>
    <mergeCell ref="M403:O403"/>
    <mergeCell ref="P403:R403"/>
    <mergeCell ref="C323:E323"/>
    <mergeCell ref="F323:H323"/>
    <mergeCell ref="M323:O323"/>
    <mergeCell ref="P323:R323"/>
    <mergeCell ref="C283:E283"/>
    <mergeCell ref="F283:H283"/>
    <mergeCell ref="M283:O283"/>
    <mergeCell ref="P283:R283"/>
    <mergeCell ref="P243:R243"/>
    <mergeCell ref="C163:E163"/>
    <mergeCell ref="F163:H163"/>
    <mergeCell ref="M163:O163"/>
    <mergeCell ref="P163:R163"/>
    <mergeCell ref="C203:E203"/>
    <mergeCell ref="F203:H203"/>
    <mergeCell ref="M203:O203"/>
    <mergeCell ref="P203:R203"/>
    <mergeCell ref="C243:E243"/>
    <mergeCell ref="F243:H243"/>
    <mergeCell ref="M243:O243"/>
    <mergeCell ref="A200:T200"/>
    <mergeCell ref="I3:I4"/>
    <mergeCell ref="I43:I44"/>
    <mergeCell ref="I83:I84"/>
    <mergeCell ref="P123:R123"/>
    <mergeCell ref="C3:E3"/>
    <mergeCell ref="F3:H3"/>
    <mergeCell ref="C43:E43"/>
    <mergeCell ref="F43:H43"/>
    <mergeCell ref="C123:E123"/>
    <mergeCell ref="F123:H123"/>
    <mergeCell ref="M123:O123"/>
    <mergeCell ref="C83:E83"/>
    <mergeCell ref="F83:H83"/>
    <mergeCell ref="S3:S4"/>
    <mergeCell ref="M43:O43"/>
    <mergeCell ref="P43:R43"/>
    <mergeCell ref="S43:S44"/>
    <mergeCell ref="M83:O83"/>
    <mergeCell ref="P83:R83"/>
    <mergeCell ref="S83:S84"/>
    <mergeCell ref="M3:O3"/>
    <mergeCell ref="P3:R3"/>
    <mergeCell ref="C603:E603"/>
    <mergeCell ref="F603:H603"/>
    <mergeCell ref="M603:O603"/>
    <mergeCell ref="P603:R603"/>
    <mergeCell ref="A560:S560"/>
    <mergeCell ref="M563:O563"/>
    <mergeCell ref="P563:R563"/>
    <mergeCell ref="C563:E563"/>
    <mergeCell ref="F563:H563"/>
    <mergeCell ref="C723:E723"/>
    <mergeCell ref="F723:H723"/>
    <mergeCell ref="M723:O723"/>
    <mergeCell ref="P723:R723"/>
    <mergeCell ref="C683:E683"/>
    <mergeCell ref="F683:H683"/>
    <mergeCell ref="M683:O683"/>
    <mergeCell ref="P683:R683"/>
    <mergeCell ref="C883:E883"/>
    <mergeCell ref="F883:H883"/>
    <mergeCell ref="M883:O883"/>
    <mergeCell ref="P883:R883"/>
    <mergeCell ref="C803:E803"/>
    <mergeCell ref="F803:H803"/>
    <mergeCell ref="M803:O803"/>
    <mergeCell ref="P803:R803"/>
    <mergeCell ref="C843:E843"/>
    <mergeCell ref="F843:H843"/>
    <mergeCell ref="M843:O843"/>
    <mergeCell ref="P843:R843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ﾁｭｰﾙﾚｷﾞﾝｽ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dcterms:created xsi:type="dcterms:W3CDTF">2023-04-17T08:28:36Z</dcterms:created>
  <dcterms:modified xsi:type="dcterms:W3CDTF">2026-06-18T00:23:24Z</dcterms:modified>
</cp:coreProperties>
</file>