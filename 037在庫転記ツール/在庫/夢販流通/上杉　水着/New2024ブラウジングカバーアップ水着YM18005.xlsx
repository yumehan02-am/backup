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8BFC3071-FCE5-42F4-8586-C28F0292BF11}" xr6:coauthVersionLast="47" xr6:coauthVersionMax="47" xr10:uidLastSave="{00000000-0000-0000-0000-000000000000}"/>
  <bookViews>
    <workbookView xWindow="14580" yWindow="1305" windowWidth="13335" windowHeight="12450" tabRatio="602" xr2:uid="{00000000-000D-0000-FFFF-FFFF00000000}"/>
  </bookViews>
  <sheets>
    <sheet name="新ブラウジン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42" i="2" l="1"/>
  <c r="U541" i="2"/>
  <c r="AH542" i="2"/>
  <c r="AB542" i="2"/>
  <c r="AB543" i="2" s="1"/>
  <c r="Z542" i="2"/>
  <c r="Z543" i="2" s="1"/>
  <c r="Y542" i="2"/>
  <c r="AC542" i="2" s="1"/>
  <c r="X542" i="2"/>
  <c r="AG541" i="2"/>
  <c r="AF541" i="2"/>
  <c r="AE541" i="2"/>
  <c r="AD541" i="2"/>
  <c r="AH541" i="2" s="1"/>
  <c r="AC541" i="2"/>
  <c r="W541" i="2"/>
  <c r="T541" i="2"/>
  <c r="X541" i="2" s="1"/>
  <c r="AI541" i="2" s="1"/>
  <c r="X525" i="2"/>
  <c r="AC525" i="2"/>
  <c r="AH525" i="2"/>
  <c r="AI525" i="2"/>
  <c r="F510" i="2"/>
  <c r="K510" i="2"/>
  <c r="P510" i="2"/>
  <c r="Q510" i="2"/>
  <c r="X517" i="2"/>
  <c r="AC517" i="2"/>
  <c r="AH517" i="2"/>
  <c r="AI517" i="2" s="1"/>
  <c r="X518" i="2"/>
  <c r="AC518" i="2"/>
  <c r="AH518" i="2"/>
  <c r="AI518" i="2"/>
  <c r="X519" i="2"/>
  <c r="AC519" i="2"/>
  <c r="AH519" i="2"/>
  <c r="AI519" i="2"/>
  <c r="X520" i="2"/>
  <c r="AC520" i="2"/>
  <c r="AH520" i="2"/>
  <c r="AI520" i="2"/>
  <c r="X521" i="2"/>
  <c r="AC521" i="2"/>
  <c r="AH521" i="2"/>
  <c r="AI521" i="2"/>
  <c r="X522" i="2"/>
  <c r="AC522" i="2"/>
  <c r="AH522" i="2"/>
  <c r="AI522" i="2"/>
  <c r="X523" i="2"/>
  <c r="AC523" i="2"/>
  <c r="AH523" i="2"/>
  <c r="AI523" i="2"/>
  <c r="X524" i="2"/>
  <c r="AC524" i="2"/>
  <c r="AH524" i="2"/>
  <c r="AI524" i="2"/>
  <c r="X526" i="2"/>
  <c r="AC526" i="2"/>
  <c r="AH526" i="2"/>
  <c r="AI526" i="2"/>
  <c r="X527" i="2"/>
  <c r="AC527" i="2"/>
  <c r="AH527" i="2"/>
  <c r="AI527" i="2"/>
  <c r="X528" i="2"/>
  <c r="AC528" i="2"/>
  <c r="AH528" i="2"/>
  <c r="AI528" i="2"/>
  <c r="X529" i="2"/>
  <c r="AC529" i="2"/>
  <c r="AH529" i="2"/>
  <c r="AI529" i="2"/>
  <c r="X530" i="2"/>
  <c r="AC530" i="2"/>
  <c r="AH530" i="2"/>
  <c r="AI530" i="2"/>
  <c r="X531" i="2"/>
  <c r="AC531" i="2"/>
  <c r="AH531" i="2"/>
  <c r="AI531" i="2"/>
  <c r="X532" i="2"/>
  <c r="AC532" i="2"/>
  <c r="AH532" i="2"/>
  <c r="AI532" i="2"/>
  <c r="X533" i="2"/>
  <c r="AC533" i="2"/>
  <c r="AH533" i="2"/>
  <c r="AI533" i="2"/>
  <c r="X534" i="2"/>
  <c r="AC534" i="2"/>
  <c r="AH534" i="2"/>
  <c r="AI534" i="2"/>
  <c r="X535" i="2"/>
  <c r="AC535" i="2"/>
  <c r="AH535" i="2"/>
  <c r="AI535" i="2"/>
  <c r="X536" i="2"/>
  <c r="AC536" i="2"/>
  <c r="AH536" i="2"/>
  <c r="AI536" i="2"/>
  <c r="X537" i="2"/>
  <c r="AC537" i="2"/>
  <c r="AH537" i="2"/>
  <c r="AI537" i="2"/>
  <c r="X538" i="2"/>
  <c r="AC538" i="2"/>
  <c r="AH538" i="2"/>
  <c r="AI538" i="2"/>
  <c r="X539" i="2"/>
  <c r="AC539" i="2"/>
  <c r="AH539" i="2"/>
  <c r="AI539" i="2"/>
  <c r="F509" i="2"/>
  <c r="K509" i="2"/>
  <c r="P509" i="2"/>
  <c r="Q509" i="2"/>
  <c r="F511" i="2"/>
  <c r="K511" i="2"/>
  <c r="P511" i="2"/>
  <c r="Q511" i="2"/>
  <c r="F512" i="2"/>
  <c r="K512" i="2"/>
  <c r="P512" i="2"/>
  <c r="Q512" i="2"/>
  <c r="F517" i="2"/>
  <c r="K517" i="2"/>
  <c r="P517" i="2"/>
  <c r="Q517" i="2"/>
  <c r="F518" i="2"/>
  <c r="K518" i="2"/>
  <c r="Q518" i="2" s="1"/>
  <c r="P518" i="2"/>
  <c r="F519" i="2"/>
  <c r="K519" i="2"/>
  <c r="Q519" i="2" s="1"/>
  <c r="P519" i="2"/>
  <c r="F520" i="2"/>
  <c r="K520" i="2"/>
  <c r="P520" i="2"/>
  <c r="Q520" i="2"/>
  <c r="F521" i="2"/>
  <c r="K521" i="2"/>
  <c r="P521" i="2"/>
  <c r="Q521" i="2"/>
  <c r="F522" i="2"/>
  <c r="K522" i="2"/>
  <c r="Q522" i="2" s="1"/>
  <c r="P522" i="2"/>
  <c r="F523" i="2"/>
  <c r="Q523" i="2" s="1"/>
  <c r="K523" i="2"/>
  <c r="P523" i="2"/>
  <c r="F524" i="2"/>
  <c r="K524" i="2"/>
  <c r="P524" i="2"/>
  <c r="Q524" i="2"/>
  <c r="F525" i="2"/>
  <c r="K525" i="2"/>
  <c r="P525" i="2"/>
  <c r="F526" i="2"/>
  <c r="K526" i="2"/>
  <c r="P526" i="2"/>
  <c r="Q526" i="2"/>
  <c r="F527" i="2"/>
  <c r="K527" i="2"/>
  <c r="P527" i="2"/>
  <c r="Q527" i="2"/>
  <c r="AF543" i="2"/>
  <c r="V543" i="2"/>
  <c r="U543" i="2"/>
  <c r="O543" i="2"/>
  <c r="N543" i="2"/>
  <c r="M543" i="2"/>
  <c r="L543" i="2"/>
  <c r="J543" i="2"/>
  <c r="I543" i="2"/>
  <c r="H543" i="2"/>
  <c r="G543" i="2"/>
  <c r="E543" i="2"/>
  <c r="D543" i="2"/>
  <c r="C543" i="2"/>
  <c r="B543" i="2"/>
  <c r="AA543" i="2"/>
  <c r="Y543" i="2"/>
  <c r="P542" i="2"/>
  <c r="K542" i="2"/>
  <c r="F542" i="2"/>
  <c r="Q542" i="2" s="1"/>
  <c r="AG543" i="2"/>
  <c r="AE543" i="2"/>
  <c r="AD543" i="2"/>
  <c r="W543" i="2"/>
  <c r="T543" i="2"/>
  <c r="P541" i="2"/>
  <c r="K541" i="2"/>
  <c r="F541" i="2"/>
  <c r="Q541" i="2" s="1"/>
  <c r="AH540" i="2"/>
  <c r="AC540" i="2"/>
  <c r="X540" i="2"/>
  <c r="AI540" i="2" s="1"/>
  <c r="P540" i="2"/>
  <c r="K540" i="2"/>
  <c r="F540" i="2"/>
  <c r="Q540" i="2" s="1"/>
  <c r="P539" i="2"/>
  <c r="K539" i="2"/>
  <c r="F539" i="2"/>
  <c r="Q539" i="2" s="1"/>
  <c r="P538" i="2"/>
  <c r="K538" i="2"/>
  <c r="F538" i="2"/>
  <c r="Q538" i="2" s="1"/>
  <c r="P537" i="2"/>
  <c r="K537" i="2"/>
  <c r="F537" i="2"/>
  <c r="Q537" i="2" s="1"/>
  <c r="P536" i="2"/>
  <c r="K536" i="2"/>
  <c r="F536" i="2"/>
  <c r="Q536" i="2" s="1"/>
  <c r="P535" i="2"/>
  <c r="K535" i="2"/>
  <c r="F535" i="2"/>
  <c r="Q535" i="2" s="1"/>
  <c r="P534" i="2"/>
  <c r="K534" i="2"/>
  <c r="F534" i="2"/>
  <c r="Q534" i="2" s="1"/>
  <c r="P533" i="2"/>
  <c r="K533" i="2"/>
  <c r="F533" i="2"/>
  <c r="Q533" i="2" s="1"/>
  <c r="P532" i="2"/>
  <c r="K532" i="2"/>
  <c r="F532" i="2"/>
  <c r="Q532" i="2" s="1"/>
  <c r="P531" i="2"/>
  <c r="K531" i="2"/>
  <c r="F531" i="2"/>
  <c r="Q531" i="2" s="1"/>
  <c r="P530" i="2"/>
  <c r="K530" i="2"/>
  <c r="F530" i="2"/>
  <c r="Q530" i="2" s="1"/>
  <c r="P529" i="2"/>
  <c r="K529" i="2"/>
  <c r="F529" i="2"/>
  <c r="Q529" i="2" s="1"/>
  <c r="P528" i="2"/>
  <c r="K528" i="2"/>
  <c r="F528" i="2"/>
  <c r="Q528" i="2" s="1"/>
  <c r="P543" i="2"/>
  <c r="AH515" i="2"/>
  <c r="AC515" i="2"/>
  <c r="AI515" i="2" s="1"/>
  <c r="X515" i="2"/>
  <c r="P515" i="2"/>
  <c r="K515" i="2"/>
  <c r="Q515" i="2" s="1"/>
  <c r="F515" i="2"/>
  <c r="AH514" i="2"/>
  <c r="AC514" i="2"/>
  <c r="AI514" i="2" s="1"/>
  <c r="X514" i="2"/>
  <c r="P514" i="2"/>
  <c r="K514" i="2"/>
  <c r="Q514" i="2" s="1"/>
  <c r="F514" i="2"/>
  <c r="AH513" i="2"/>
  <c r="AC513" i="2"/>
  <c r="AI513" i="2" s="1"/>
  <c r="X513" i="2"/>
  <c r="P513" i="2"/>
  <c r="K513" i="2"/>
  <c r="Q513" i="2" s="1"/>
  <c r="F513" i="2"/>
  <c r="AH512" i="2"/>
  <c r="AC512" i="2"/>
  <c r="AI512" i="2" s="1"/>
  <c r="X512" i="2"/>
  <c r="AH511" i="2"/>
  <c r="AC511" i="2"/>
  <c r="AI511" i="2" s="1"/>
  <c r="X511" i="2"/>
  <c r="AH510" i="2"/>
  <c r="AC510" i="2"/>
  <c r="AI510" i="2" s="1"/>
  <c r="X510" i="2"/>
  <c r="AH509" i="2"/>
  <c r="AC509" i="2"/>
  <c r="AI509" i="2" s="1"/>
  <c r="X509" i="2"/>
  <c r="P508" i="2"/>
  <c r="P516" i="2" s="1"/>
  <c r="P544" i="2" s="1"/>
  <c r="O508" i="2"/>
  <c r="O516" i="2" s="1"/>
  <c r="O544" i="2" s="1"/>
  <c r="N508" i="2"/>
  <c r="N516" i="2" s="1"/>
  <c r="N544" i="2" s="1"/>
  <c r="M508" i="2"/>
  <c r="M516" i="2" s="1"/>
  <c r="M544" i="2" s="1"/>
  <c r="L508" i="2"/>
  <c r="L516" i="2" s="1"/>
  <c r="L544" i="2" s="1"/>
  <c r="F508" i="2"/>
  <c r="F516" i="2" s="1"/>
  <c r="E508" i="2"/>
  <c r="E516" i="2" s="1"/>
  <c r="D508" i="2"/>
  <c r="D516" i="2" s="1"/>
  <c r="D544" i="2" s="1"/>
  <c r="C508" i="2"/>
  <c r="C516" i="2" s="1"/>
  <c r="C544" i="2" s="1"/>
  <c r="B508" i="2"/>
  <c r="B516" i="2" s="1"/>
  <c r="F467" i="2"/>
  <c r="K467" i="2"/>
  <c r="P467" i="2"/>
  <c r="Q467" i="2"/>
  <c r="F468" i="2"/>
  <c r="K468" i="2"/>
  <c r="Q468" i="2" s="1"/>
  <c r="P468" i="2"/>
  <c r="F469" i="2"/>
  <c r="K469" i="2"/>
  <c r="P469" i="2"/>
  <c r="Q469" i="2"/>
  <c r="F470" i="2"/>
  <c r="Q470" i="2" s="1"/>
  <c r="K470" i="2"/>
  <c r="P470" i="2"/>
  <c r="F471" i="2"/>
  <c r="K471" i="2"/>
  <c r="P471" i="2"/>
  <c r="Q471" i="2"/>
  <c r="F475" i="2"/>
  <c r="K475" i="2"/>
  <c r="P475" i="2"/>
  <c r="Q475" i="2"/>
  <c r="F476" i="2"/>
  <c r="K476" i="2"/>
  <c r="P476" i="2"/>
  <c r="Q476" i="2"/>
  <c r="F477" i="2"/>
  <c r="K477" i="2"/>
  <c r="P477" i="2"/>
  <c r="Q477" i="2"/>
  <c r="F478" i="2"/>
  <c r="K478" i="2"/>
  <c r="Q478" i="2" s="1"/>
  <c r="P478" i="2"/>
  <c r="F479" i="2"/>
  <c r="K479" i="2"/>
  <c r="Q479" i="2" s="1"/>
  <c r="P479" i="2"/>
  <c r="F480" i="2"/>
  <c r="K480" i="2"/>
  <c r="Q480" i="2" s="1"/>
  <c r="P480" i="2"/>
  <c r="F481" i="2"/>
  <c r="K481" i="2"/>
  <c r="P481" i="2"/>
  <c r="Q481" i="2"/>
  <c r="F482" i="2"/>
  <c r="K482" i="2"/>
  <c r="Q482" i="2" s="1"/>
  <c r="P482" i="2"/>
  <c r="F483" i="2"/>
  <c r="K483" i="2"/>
  <c r="P483" i="2"/>
  <c r="Q483" i="2"/>
  <c r="F484" i="2"/>
  <c r="K484" i="2"/>
  <c r="P484" i="2"/>
  <c r="Q484" i="2"/>
  <c r="F485" i="2"/>
  <c r="K485" i="2"/>
  <c r="P485" i="2"/>
  <c r="Q485" i="2"/>
  <c r="F486" i="2"/>
  <c r="K486" i="2"/>
  <c r="Q486" i="2" s="1"/>
  <c r="P486" i="2"/>
  <c r="F487" i="2"/>
  <c r="K487" i="2"/>
  <c r="P487" i="2"/>
  <c r="Q487" i="2"/>
  <c r="F488" i="2"/>
  <c r="K488" i="2"/>
  <c r="Q488" i="2" s="1"/>
  <c r="P488" i="2"/>
  <c r="F489" i="2"/>
  <c r="K489" i="2"/>
  <c r="P489" i="2"/>
  <c r="Q489" i="2"/>
  <c r="F490" i="2"/>
  <c r="K490" i="2"/>
  <c r="P490" i="2"/>
  <c r="Q490" i="2"/>
  <c r="F491" i="2"/>
  <c r="K491" i="2"/>
  <c r="P491" i="2"/>
  <c r="Q491" i="2"/>
  <c r="F492" i="2"/>
  <c r="K492" i="2"/>
  <c r="P492" i="2"/>
  <c r="Q492" i="2"/>
  <c r="F493" i="2"/>
  <c r="K493" i="2"/>
  <c r="P493" i="2"/>
  <c r="Q493" i="2"/>
  <c r="F494" i="2"/>
  <c r="K494" i="2"/>
  <c r="P494" i="2"/>
  <c r="P501" i="2" s="1"/>
  <c r="Q494" i="2"/>
  <c r="F495" i="2"/>
  <c r="K495" i="2"/>
  <c r="P495" i="2"/>
  <c r="Q495" i="2"/>
  <c r="F496" i="2"/>
  <c r="K496" i="2"/>
  <c r="P496" i="2"/>
  <c r="Q496" i="2"/>
  <c r="O501" i="2"/>
  <c r="N501" i="2"/>
  <c r="M501" i="2"/>
  <c r="L501" i="2"/>
  <c r="J501" i="2"/>
  <c r="I501" i="2"/>
  <c r="H501" i="2"/>
  <c r="G501" i="2"/>
  <c r="E501" i="2"/>
  <c r="D501" i="2"/>
  <c r="C501" i="2"/>
  <c r="B501" i="2"/>
  <c r="P500" i="2"/>
  <c r="K500" i="2"/>
  <c r="F500" i="2"/>
  <c r="Q500" i="2" s="1"/>
  <c r="P499" i="2"/>
  <c r="K499" i="2"/>
  <c r="F499" i="2"/>
  <c r="Q499" i="2" s="1"/>
  <c r="P498" i="2"/>
  <c r="K498" i="2"/>
  <c r="F498" i="2"/>
  <c r="Q498" i="2" s="1"/>
  <c r="P497" i="2"/>
  <c r="K497" i="2"/>
  <c r="F497" i="2"/>
  <c r="Q497" i="2" s="1"/>
  <c r="P473" i="2"/>
  <c r="K473" i="2"/>
  <c r="F473" i="2"/>
  <c r="Q473" i="2" s="1"/>
  <c r="P472" i="2"/>
  <c r="K472" i="2"/>
  <c r="F472" i="2"/>
  <c r="Q472" i="2" s="1"/>
  <c r="X457" i="2"/>
  <c r="AI457" i="2" s="1"/>
  <c r="AC457" i="2"/>
  <c r="AH457" i="2"/>
  <c r="X458" i="2"/>
  <c r="AI458" i="2" s="1"/>
  <c r="AC458" i="2"/>
  <c r="AH458" i="2"/>
  <c r="X475" i="2"/>
  <c r="AC475" i="2"/>
  <c r="AH475" i="2"/>
  <c r="AI475" i="2"/>
  <c r="X476" i="2"/>
  <c r="AC476" i="2"/>
  <c r="AH476" i="2"/>
  <c r="AI476" i="2"/>
  <c r="X477" i="2"/>
  <c r="AC477" i="2"/>
  <c r="AH477" i="2"/>
  <c r="AI477" i="2"/>
  <c r="X478" i="2"/>
  <c r="AC478" i="2"/>
  <c r="AH478" i="2"/>
  <c r="AI478" i="2"/>
  <c r="X479" i="2"/>
  <c r="AC479" i="2"/>
  <c r="AH479" i="2"/>
  <c r="AI479" i="2"/>
  <c r="X480" i="2"/>
  <c r="AC480" i="2"/>
  <c r="AH480" i="2"/>
  <c r="AI480" i="2"/>
  <c r="X481" i="2"/>
  <c r="AC481" i="2"/>
  <c r="AH481" i="2"/>
  <c r="AI481" i="2"/>
  <c r="X482" i="2"/>
  <c r="AC482" i="2"/>
  <c r="AH482" i="2"/>
  <c r="AI482" i="2"/>
  <c r="X483" i="2"/>
  <c r="AC483" i="2"/>
  <c r="AH483" i="2"/>
  <c r="AI483" i="2"/>
  <c r="X484" i="2"/>
  <c r="AC484" i="2"/>
  <c r="AH484" i="2"/>
  <c r="AI484" i="2" s="1"/>
  <c r="X485" i="2"/>
  <c r="AC485" i="2"/>
  <c r="AH485" i="2"/>
  <c r="AI485" i="2" s="1"/>
  <c r="X486" i="2"/>
  <c r="AC486" i="2"/>
  <c r="AI486" i="2" s="1"/>
  <c r="AH486" i="2"/>
  <c r="X487" i="2"/>
  <c r="AC487" i="2"/>
  <c r="AH487" i="2"/>
  <c r="AI487" i="2"/>
  <c r="X488" i="2"/>
  <c r="AC488" i="2"/>
  <c r="AH488" i="2"/>
  <c r="AI488" i="2"/>
  <c r="X489" i="2"/>
  <c r="AC489" i="2"/>
  <c r="AH489" i="2"/>
  <c r="AI489" i="2"/>
  <c r="X490" i="2"/>
  <c r="AC490" i="2"/>
  <c r="AH490" i="2"/>
  <c r="AI490" i="2"/>
  <c r="X491" i="2"/>
  <c r="AI491" i="2" s="1"/>
  <c r="AC491" i="2"/>
  <c r="AH491" i="2"/>
  <c r="X492" i="2"/>
  <c r="AC492" i="2"/>
  <c r="AH492" i="2"/>
  <c r="AI492" i="2"/>
  <c r="X493" i="2"/>
  <c r="AC493" i="2"/>
  <c r="AH493" i="2"/>
  <c r="AI493" i="2"/>
  <c r="X494" i="2"/>
  <c r="AC494" i="2"/>
  <c r="AH494" i="2"/>
  <c r="AI494" i="2" s="1"/>
  <c r="X495" i="2"/>
  <c r="AC495" i="2"/>
  <c r="AH495" i="2"/>
  <c r="AI495" i="2"/>
  <c r="X467" i="2"/>
  <c r="AC467" i="2"/>
  <c r="AH467" i="2"/>
  <c r="AI467" i="2"/>
  <c r="X468" i="2"/>
  <c r="AC468" i="2"/>
  <c r="AH468" i="2"/>
  <c r="AI468" i="2"/>
  <c r="AG501" i="2"/>
  <c r="AF501" i="2"/>
  <c r="AE501" i="2"/>
  <c r="AD501" i="2"/>
  <c r="AB501" i="2"/>
  <c r="AA501" i="2"/>
  <c r="Z501" i="2"/>
  <c r="Y501" i="2"/>
  <c r="W501" i="2"/>
  <c r="V501" i="2"/>
  <c r="U501" i="2"/>
  <c r="T501" i="2"/>
  <c r="AH500" i="2"/>
  <c r="AC500" i="2"/>
  <c r="X500" i="2"/>
  <c r="AH499" i="2"/>
  <c r="AC499" i="2"/>
  <c r="X499" i="2"/>
  <c r="AI499" i="2" s="1"/>
  <c r="AH498" i="2"/>
  <c r="AC498" i="2"/>
  <c r="X498" i="2"/>
  <c r="AI498" i="2" s="1"/>
  <c r="AH497" i="2"/>
  <c r="AC497" i="2"/>
  <c r="X497" i="2"/>
  <c r="AH496" i="2"/>
  <c r="AC496" i="2"/>
  <c r="X496" i="2"/>
  <c r="AI496" i="2" s="1"/>
  <c r="AH473" i="2"/>
  <c r="AC473" i="2"/>
  <c r="X473" i="2"/>
  <c r="AI473" i="2" s="1"/>
  <c r="AH472" i="2"/>
  <c r="AC472" i="2"/>
  <c r="X472" i="2"/>
  <c r="AI472" i="2" s="1"/>
  <c r="AH471" i="2"/>
  <c r="AC471" i="2"/>
  <c r="X471" i="2"/>
  <c r="AI471" i="2" s="1"/>
  <c r="AH470" i="2"/>
  <c r="AC470" i="2"/>
  <c r="X470" i="2"/>
  <c r="AI470" i="2" s="1"/>
  <c r="AH469" i="2"/>
  <c r="AC469" i="2"/>
  <c r="X469" i="2"/>
  <c r="AI469" i="2" s="1"/>
  <c r="AH426" i="2"/>
  <c r="AC426" i="2"/>
  <c r="X426" i="2"/>
  <c r="AI426" i="2" s="1"/>
  <c r="AH440" i="2"/>
  <c r="AC440" i="2"/>
  <c r="X440" i="2"/>
  <c r="X405" i="2"/>
  <c r="AC405" i="2"/>
  <c r="AH405" i="2"/>
  <c r="X406" i="2"/>
  <c r="AC406" i="2"/>
  <c r="AH406" i="2"/>
  <c r="X407" i="2"/>
  <c r="AC407" i="2"/>
  <c r="AH407" i="2"/>
  <c r="X408" i="2"/>
  <c r="AC408" i="2"/>
  <c r="AH408" i="2"/>
  <c r="X409" i="2"/>
  <c r="AC409" i="2"/>
  <c r="AH409" i="2"/>
  <c r="AH438" i="2"/>
  <c r="AC438" i="2"/>
  <c r="AI438" i="2" s="1"/>
  <c r="X438" i="2"/>
  <c r="AH437" i="2"/>
  <c r="AC437" i="2"/>
  <c r="X437" i="2"/>
  <c r="AH436" i="2"/>
  <c r="AC436" i="2"/>
  <c r="AI436" i="2" s="1"/>
  <c r="X436" i="2"/>
  <c r="AH435" i="2"/>
  <c r="AC435" i="2"/>
  <c r="X435" i="2"/>
  <c r="AH434" i="2"/>
  <c r="AC434" i="2"/>
  <c r="AI434" i="2" s="1"/>
  <c r="X434" i="2"/>
  <c r="I411" i="2"/>
  <c r="I417" i="2" s="1"/>
  <c r="D410" i="2"/>
  <c r="AH383" i="2"/>
  <c r="AC383" i="2"/>
  <c r="X383" i="2"/>
  <c r="AI383" i="2" s="1"/>
  <c r="AH433" i="2"/>
  <c r="AC433" i="2"/>
  <c r="X433" i="2"/>
  <c r="P431" i="2"/>
  <c r="K431" i="2"/>
  <c r="F431" i="2"/>
  <c r="P430" i="2"/>
  <c r="K430" i="2"/>
  <c r="F430" i="2"/>
  <c r="P429" i="2"/>
  <c r="K429" i="2"/>
  <c r="F429" i="2"/>
  <c r="P428" i="2"/>
  <c r="K428" i="2"/>
  <c r="Q428" i="2" s="1"/>
  <c r="F428" i="2"/>
  <c r="P427" i="2"/>
  <c r="K427" i="2"/>
  <c r="F427" i="2"/>
  <c r="P426" i="2"/>
  <c r="K426" i="2"/>
  <c r="F426" i="2"/>
  <c r="P425" i="2"/>
  <c r="K425" i="2"/>
  <c r="F425" i="2"/>
  <c r="AH456" i="2"/>
  <c r="AC456" i="2"/>
  <c r="X456" i="2"/>
  <c r="AH455" i="2"/>
  <c r="AC455" i="2"/>
  <c r="X455" i="2"/>
  <c r="AH454" i="2"/>
  <c r="AC454" i="2"/>
  <c r="X454" i="2"/>
  <c r="AH453" i="2"/>
  <c r="AC453" i="2"/>
  <c r="X453" i="2"/>
  <c r="AH452" i="2"/>
  <c r="AC452" i="2"/>
  <c r="X452" i="2"/>
  <c r="AH451" i="2"/>
  <c r="AC451" i="2"/>
  <c r="X451" i="2"/>
  <c r="AH450" i="2"/>
  <c r="AC450" i="2"/>
  <c r="X450" i="2"/>
  <c r="AH449" i="2"/>
  <c r="AC449" i="2"/>
  <c r="X449" i="2"/>
  <c r="AH448" i="2"/>
  <c r="AC448" i="2"/>
  <c r="X448" i="2"/>
  <c r="AH447" i="2"/>
  <c r="AC447" i="2"/>
  <c r="X447" i="2"/>
  <c r="AH446" i="2"/>
  <c r="AC446" i="2"/>
  <c r="AI446" i="2" s="1"/>
  <c r="X446" i="2"/>
  <c r="AH445" i="2"/>
  <c r="AC445" i="2"/>
  <c r="X445" i="2"/>
  <c r="AH444" i="2"/>
  <c r="AC444" i="2"/>
  <c r="X444" i="2"/>
  <c r="AH443" i="2"/>
  <c r="AC443" i="2"/>
  <c r="X443" i="2"/>
  <c r="AH442" i="2"/>
  <c r="AC442" i="2"/>
  <c r="X442" i="2"/>
  <c r="AH441" i="2"/>
  <c r="AC441" i="2"/>
  <c r="X441" i="2"/>
  <c r="AH439" i="2"/>
  <c r="AC439" i="2"/>
  <c r="X439" i="2"/>
  <c r="F433" i="2"/>
  <c r="K433" i="2"/>
  <c r="P433" i="2"/>
  <c r="F434" i="2"/>
  <c r="K434" i="2"/>
  <c r="Q434" i="2" s="1"/>
  <c r="P434" i="2"/>
  <c r="F435" i="2"/>
  <c r="K435" i="2"/>
  <c r="P435" i="2"/>
  <c r="F436" i="2"/>
  <c r="K436" i="2"/>
  <c r="P436" i="2"/>
  <c r="F437" i="2"/>
  <c r="K437" i="2"/>
  <c r="P437" i="2"/>
  <c r="F438" i="2"/>
  <c r="K438" i="2"/>
  <c r="P438" i="2"/>
  <c r="F439" i="2"/>
  <c r="K439" i="2"/>
  <c r="P439" i="2"/>
  <c r="Q439" i="2" s="1"/>
  <c r="F440" i="2"/>
  <c r="K440" i="2"/>
  <c r="P440" i="2"/>
  <c r="F441" i="2"/>
  <c r="K441" i="2"/>
  <c r="P441" i="2"/>
  <c r="F442" i="2"/>
  <c r="K442" i="2"/>
  <c r="P442" i="2"/>
  <c r="F443" i="2"/>
  <c r="K443" i="2"/>
  <c r="P443" i="2"/>
  <c r="F444" i="2"/>
  <c r="K444" i="2"/>
  <c r="P444" i="2"/>
  <c r="F445" i="2"/>
  <c r="K445" i="2"/>
  <c r="P445" i="2"/>
  <c r="F446" i="2"/>
  <c r="K446" i="2"/>
  <c r="P446" i="2"/>
  <c r="F447" i="2"/>
  <c r="K447" i="2"/>
  <c r="P447" i="2"/>
  <c r="AG459" i="2"/>
  <c r="AF459" i="2"/>
  <c r="AE459" i="2"/>
  <c r="AD459" i="2"/>
  <c r="AB459" i="2"/>
  <c r="AA459" i="2"/>
  <c r="Z459" i="2"/>
  <c r="Y459" i="2"/>
  <c r="W459" i="2"/>
  <c r="V459" i="2"/>
  <c r="U459" i="2"/>
  <c r="T459" i="2"/>
  <c r="O459" i="2"/>
  <c r="N459" i="2"/>
  <c r="M459" i="2"/>
  <c r="L459" i="2"/>
  <c r="J459" i="2"/>
  <c r="I459" i="2"/>
  <c r="H459" i="2"/>
  <c r="G459" i="2"/>
  <c r="E459" i="2"/>
  <c r="D459" i="2"/>
  <c r="C459" i="2"/>
  <c r="B459" i="2"/>
  <c r="P458" i="2"/>
  <c r="K458" i="2"/>
  <c r="F458" i="2"/>
  <c r="P456" i="2"/>
  <c r="K456" i="2"/>
  <c r="F456" i="2"/>
  <c r="P455" i="2"/>
  <c r="K455" i="2"/>
  <c r="F455" i="2"/>
  <c r="Q455" i="2" s="1"/>
  <c r="P454" i="2"/>
  <c r="K454" i="2"/>
  <c r="F454" i="2"/>
  <c r="P453" i="2"/>
  <c r="K453" i="2"/>
  <c r="F453" i="2"/>
  <c r="P452" i="2"/>
  <c r="K452" i="2"/>
  <c r="F452" i="2"/>
  <c r="P451" i="2"/>
  <c r="K451" i="2"/>
  <c r="F451" i="2"/>
  <c r="P450" i="2"/>
  <c r="K450" i="2"/>
  <c r="F450" i="2"/>
  <c r="P449" i="2"/>
  <c r="K449" i="2"/>
  <c r="F449" i="2"/>
  <c r="P448" i="2"/>
  <c r="K448" i="2"/>
  <c r="F448" i="2"/>
  <c r="AH431" i="2"/>
  <c r="AC431" i="2"/>
  <c r="X431" i="2"/>
  <c r="AI431" i="2" s="1"/>
  <c r="AH430" i="2"/>
  <c r="AC430" i="2"/>
  <c r="AI430" i="2" s="1"/>
  <c r="X430" i="2"/>
  <c r="AH429" i="2"/>
  <c r="AC429" i="2"/>
  <c r="X429" i="2"/>
  <c r="AH428" i="2"/>
  <c r="AC428" i="2"/>
  <c r="X428" i="2"/>
  <c r="AH427" i="2"/>
  <c r="AC427" i="2"/>
  <c r="X427" i="2"/>
  <c r="AH425" i="2"/>
  <c r="AC425" i="2"/>
  <c r="X425" i="2"/>
  <c r="AH256" i="2"/>
  <c r="AE264" i="2"/>
  <c r="AD264" i="2"/>
  <c r="AG264" i="2"/>
  <c r="AF264" i="2"/>
  <c r="AB123" i="2"/>
  <c r="AA123" i="2"/>
  <c r="Z123" i="2"/>
  <c r="Y123" i="2"/>
  <c r="W123" i="2"/>
  <c r="V123" i="2"/>
  <c r="U123" i="2"/>
  <c r="T123" i="2"/>
  <c r="AB165" i="2"/>
  <c r="AA165" i="2"/>
  <c r="Z165" i="2"/>
  <c r="Y165" i="2"/>
  <c r="W165" i="2"/>
  <c r="V165" i="2"/>
  <c r="U165" i="2"/>
  <c r="T165" i="2"/>
  <c r="AB207" i="2"/>
  <c r="AA207" i="2"/>
  <c r="Z207" i="2"/>
  <c r="Y207" i="2"/>
  <c r="W207" i="2"/>
  <c r="V207" i="2"/>
  <c r="U207" i="2"/>
  <c r="T207" i="2"/>
  <c r="AB249" i="2"/>
  <c r="AA249" i="2"/>
  <c r="Z249" i="2"/>
  <c r="Y249" i="2"/>
  <c r="W249" i="2"/>
  <c r="V249" i="2"/>
  <c r="U249" i="2"/>
  <c r="T249" i="2"/>
  <c r="AF291" i="2"/>
  <c r="AE291" i="2"/>
  <c r="AD291" i="2"/>
  <c r="AB291" i="2"/>
  <c r="AA291" i="2"/>
  <c r="Z291" i="2"/>
  <c r="Y291" i="2"/>
  <c r="W291" i="2"/>
  <c r="V291" i="2"/>
  <c r="U291" i="2"/>
  <c r="T291" i="2"/>
  <c r="AG333" i="2"/>
  <c r="AE333" i="2"/>
  <c r="Y333" i="2"/>
  <c r="U333" i="2"/>
  <c r="AG375" i="2"/>
  <c r="AF375" i="2"/>
  <c r="AE375" i="2"/>
  <c r="AD375" i="2"/>
  <c r="AB375" i="2"/>
  <c r="AA375" i="2"/>
  <c r="Z375" i="2"/>
  <c r="Y375" i="2"/>
  <c r="W375" i="2"/>
  <c r="V375" i="2"/>
  <c r="U375" i="2"/>
  <c r="T375" i="2"/>
  <c r="AG417" i="2"/>
  <c r="AF417" i="2"/>
  <c r="AE417" i="2"/>
  <c r="AD417" i="2"/>
  <c r="AB417" i="2"/>
  <c r="AA417" i="2"/>
  <c r="Z417" i="2"/>
  <c r="Y417" i="2"/>
  <c r="U417" i="2"/>
  <c r="V417" i="2"/>
  <c r="W417" i="2"/>
  <c r="T417" i="2"/>
  <c r="AH404" i="2"/>
  <c r="AC404" i="2"/>
  <c r="X404" i="2"/>
  <c r="P389" i="2"/>
  <c r="K389" i="2"/>
  <c r="F389" i="2"/>
  <c r="P388" i="2"/>
  <c r="K388" i="2"/>
  <c r="F388" i="2"/>
  <c r="P387" i="2"/>
  <c r="K387" i="2"/>
  <c r="F387" i="2"/>
  <c r="P386" i="2"/>
  <c r="K386" i="2"/>
  <c r="F386" i="2"/>
  <c r="Q386" i="2" s="1"/>
  <c r="P385" i="2"/>
  <c r="K385" i="2"/>
  <c r="F385" i="2"/>
  <c r="AH398" i="2"/>
  <c r="AC398" i="2"/>
  <c r="X398" i="2"/>
  <c r="AH397" i="2"/>
  <c r="AC397" i="2"/>
  <c r="X397" i="2"/>
  <c r="AH394" i="2"/>
  <c r="AC394" i="2"/>
  <c r="X394" i="2"/>
  <c r="AH370" i="2"/>
  <c r="AC370" i="2"/>
  <c r="X370" i="2"/>
  <c r="X411" i="2"/>
  <c r="AC411" i="2"/>
  <c r="AH411" i="2"/>
  <c r="X412" i="2"/>
  <c r="AC412" i="2"/>
  <c r="AH412" i="2"/>
  <c r="X413" i="2"/>
  <c r="AC413" i="2"/>
  <c r="AH413" i="2"/>
  <c r="X414" i="2"/>
  <c r="AC414" i="2"/>
  <c r="AH414" i="2"/>
  <c r="X415" i="2"/>
  <c r="AC415" i="2"/>
  <c r="AH415" i="2"/>
  <c r="X416" i="2"/>
  <c r="AC416" i="2"/>
  <c r="AH416" i="2"/>
  <c r="X391" i="2"/>
  <c r="AC391" i="2"/>
  <c r="AH391" i="2"/>
  <c r="X392" i="2"/>
  <c r="AC392" i="2"/>
  <c r="AH392" i="2"/>
  <c r="X393" i="2"/>
  <c r="AC393" i="2"/>
  <c r="AH393" i="2"/>
  <c r="X395" i="2"/>
  <c r="AC395" i="2"/>
  <c r="AH395" i="2"/>
  <c r="X396" i="2"/>
  <c r="AC396" i="2"/>
  <c r="AH396" i="2"/>
  <c r="X399" i="2"/>
  <c r="AC399" i="2"/>
  <c r="AH399" i="2"/>
  <c r="X400" i="2"/>
  <c r="AC400" i="2"/>
  <c r="AH400" i="2"/>
  <c r="X401" i="2"/>
  <c r="AC401" i="2"/>
  <c r="AH401" i="2"/>
  <c r="X402" i="2"/>
  <c r="AC402" i="2"/>
  <c r="AH402" i="2"/>
  <c r="X403" i="2"/>
  <c r="AC403" i="2"/>
  <c r="AH403" i="2"/>
  <c r="F391" i="2"/>
  <c r="K391" i="2"/>
  <c r="P391" i="2"/>
  <c r="F392" i="2"/>
  <c r="K392" i="2"/>
  <c r="P392" i="2"/>
  <c r="F393" i="2"/>
  <c r="K393" i="2"/>
  <c r="P393" i="2"/>
  <c r="F394" i="2"/>
  <c r="K394" i="2"/>
  <c r="P394" i="2"/>
  <c r="F395" i="2"/>
  <c r="K395" i="2"/>
  <c r="P395" i="2"/>
  <c r="F396" i="2"/>
  <c r="K396" i="2"/>
  <c r="P396" i="2"/>
  <c r="F397" i="2"/>
  <c r="K397" i="2"/>
  <c r="P397" i="2"/>
  <c r="F398" i="2"/>
  <c r="K398" i="2"/>
  <c r="P398" i="2"/>
  <c r="F383" i="2"/>
  <c r="K383" i="2"/>
  <c r="P383" i="2"/>
  <c r="F384" i="2"/>
  <c r="K384" i="2"/>
  <c r="P384" i="2"/>
  <c r="O417" i="2"/>
  <c r="N417" i="2"/>
  <c r="M417" i="2"/>
  <c r="L417" i="2"/>
  <c r="J417" i="2"/>
  <c r="H417" i="2"/>
  <c r="G417" i="2"/>
  <c r="E417" i="2"/>
  <c r="D417" i="2"/>
  <c r="C417" i="2"/>
  <c r="B417" i="2"/>
  <c r="P416" i="2"/>
  <c r="K416" i="2"/>
  <c r="F416" i="2"/>
  <c r="P415" i="2"/>
  <c r="K415" i="2"/>
  <c r="Q415" i="2" s="1"/>
  <c r="F415" i="2"/>
  <c r="P414" i="2"/>
  <c r="K414" i="2"/>
  <c r="F414" i="2"/>
  <c r="P413" i="2"/>
  <c r="K413" i="2"/>
  <c r="Q413" i="2" s="1"/>
  <c r="F413" i="2"/>
  <c r="P412" i="2"/>
  <c r="K412" i="2"/>
  <c r="F412" i="2"/>
  <c r="P411" i="2"/>
  <c r="F411" i="2"/>
  <c r="AH410" i="2"/>
  <c r="AC410" i="2"/>
  <c r="X410" i="2"/>
  <c r="P410" i="2"/>
  <c r="K410" i="2"/>
  <c r="F410" i="2"/>
  <c r="P409" i="2"/>
  <c r="K409" i="2"/>
  <c r="F409" i="2"/>
  <c r="Q409" i="2" s="1"/>
  <c r="P408" i="2"/>
  <c r="K408" i="2"/>
  <c r="F408" i="2"/>
  <c r="P407" i="2"/>
  <c r="K407" i="2"/>
  <c r="F407" i="2"/>
  <c r="P406" i="2"/>
  <c r="K406" i="2"/>
  <c r="Q406" i="2" s="1"/>
  <c r="F406" i="2"/>
  <c r="P405" i="2"/>
  <c r="K405" i="2"/>
  <c r="F405" i="2"/>
  <c r="P404" i="2"/>
  <c r="K404" i="2"/>
  <c r="Q404" i="2" s="1"/>
  <c r="F404" i="2"/>
  <c r="P403" i="2"/>
  <c r="K403" i="2"/>
  <c r="F403" i="2"/>
  <c r="P402" i="2"/>
  <c r="K402" i="2"/>
  <c r="F402" i="2"/>
  <c r="P401" i="2"/>
  <c r="K401" i="2"/>
  <c r="F401" i="2"/>
  <c r="P400" i="2"/>
  <c r="K400" i="2"/>
  <c r="Q400" i="2" s="1"/>
  <c r="F400" i="2"/>
  <c r="P399" i="2"/>
  <c r="K399" i="2"/>
  <c r="F399" i="2"/>
  <c r="AH389" i="2"/>
  <c r="AC389" i="2"/>
  <c r="X389" i="2"/>
  <c r="AH388" i="2"/>
  <c r="AC388" i="2"/>
  <c r="X388" i="2"/>
  <c r="AH387" i="2"/>
  <c r="AC387" i="2"/>
  <c r="X387" i="2"/>
  <c r="AH386" i="2"/>
  <c r="AC386" i="2"/>
  <c r="X386" i="2"/>
  <c r="AH385" i="2"/>
  <c r="AC385" i="2"/>
  <c r="X385" i="2"/>
  <c r="AH384" i="2"/>
  <c r="AC384" i="2"/>
  <c r="X384" i="2"/>
  <c r="AH365" i="2"/>
  <c r="AC365" i="2"/>
  <c r="X365" i="2"/>
  <c r="F343" i="2"/>
  <c r="K343" i="2"/>
  <c r="P343" i="2"/>
  <c r="T332" i="2"/>
  <c r="V332" i="2"/>
  <c r="V333" i="2" s="1"/>
  <c r="W332" i="2"/>
  <c r="W333" i="2" s="1"/>
  <c r="AH356" i="2"/>
  <c r="AC356" i="2"/>
  <c r="X356" i="2"/>
  <c r="AH354" i="2"/>
  <c r="AC354" i="2"/>
  <c r="X354" i="2"/>
  <c r="AH353" i="2"/>
  <c r="AC353" i="2"/>
  <c r="X353" i="2"/>
  <c r="AD332" i="2"/>
  <c r="AD333" i="2" s="1"/>
  <c r="AB332" i="2"/>
  <c r="AB333" i="2" s="1"/>
  <c r="AH352" i="2"/>
  <c r="AC352" i="2"/>
  <c r="X352" i="2"/>
  <c r="AH351" i="2"/>
  <c r="AC351" i="2"/>
  <c r="X351" i="2"/>
  <c r="X327" i="2"/>
  <c r="AC327" i="2"/>
  <c r="AH327" i="2"/>
  <c r="X328" i="2"/>
  <c r="AC328" i="2"/>
  <c r="AH328" i="2"/>
  <c r="X329" i="2"/>
  <c r="AC329" i="2"/>
  <c r="AH329" i="2"/>
  <c r="X330" i="2"/>
  <c r="AC330" i="2"/>
  <c r="AH330" i="2"/>
  <c r="X331" i="2"/>
  <c r="AC331" i="2"/>
  <c r="AH331" i="2"/>
  <c r="Y332" i="2"/>
  <c r="Z332" i="2"/>
  <c r="Z333" i="2" s="1"/>
  <c r="AA332" i="2"/>
  <c r="AA333" i="2" s="1"/>
  <c r="AF332" i="2"/>
  <c r="AF333" i="2" s="1"/>
  <c r="AG332" i="2"/>
  <c r="AH332" i="2" s="1"/>
  <c r="X326" i="2"/>
  <c r="AC326" i="2"/>
  <c r="AH326" i="2"/>
  <c r="X349" i="2"/>
  <c r="AC349" i="2"/>
  <c r="AH349" i="2"/>
  <c r="X350" i="2"/>
  <c r="AC350" i="2"/>
  <c r="AH350" i="2"/>
  <c r="X355" i="2"/>
  <c r="AC355" i="2"/>
  <c r="AH355" i="2"/>
  <c r="X357" i="2"/>
  <c r="AC357" i="2"/>
  <c r="AH357" i="2"/>
  <c r="X358" i="2"/>
  <c r="AC358" i="2"/>
  <c r="AH358" i="2"/>
  <c r="X359" i="2"/>
  <c r="AC359" i="2"/>
  <c r="AH359" i="2"/>
  <c r="X360" i="2"/>
  <c r="AC360" i="2"/>
  <c r="AH360" i="2"/>
  <c r="X361" i="2"/>
  <c r="AC361" i="2"/>
  <c r="AH361" i="2"/>
  <c r="X362" i="2"/>
  <c r="AC362" i="2"/>
  <c r="AH362" i="2"/>
  <c r="X363" i="2"/>
  <c r="AC363" i="2"/>
  <c r="AH363" i="2"/>
  <c r="X364" i="2"/>
  <c r="AC364" i="2"/>
  <c r="AH364" i="2"/>
  <c r="X366" i="2"/>
  <c r="AC366" i="2"/>
  <c r="AH366" i="2"/>
  <c r="X368" i="2"/>
  <c r="AC368" i="2"/>
  <c r="AH368" i="2"/>
  <c r="X369" i="2"/>
  <c r="AC369" i="2"/>
  <c r="AH369" i="2"/>
  <c r="X371" i="2"/>
  <c r="AC371" i="2"/>
  <c r="AH371" i="2"/>
  <c r="X372" i="2"/>
  <c r="AC372" i="2"/>
  <c r="AH372" i="2"/>
  <c r="AH373" i="2"/>
  <c r="AC373" i="2"/>
  <c r="X373" i="2"/>
  <c r="F349" i="2"/>
  <c r="K349" i="2"/>
  <c r="P349" i="2"/>
  <c r="F350" i="2"/>
  <c r="K350" i="2"/>
  <c r="P350" i="2"/>
  <c r="F351" i="2"/>
  <c r="K351" i="2"/>
  <c r="P351" i="2"/>
  <c r="F352" i="2"/>
  <c r="K352" i="2"/>
  <c r="P352" i="2"/>
  <c r="F341" i="2"/>
  <c r="K341" i="2"/>
  <c r="P341" i="2"/>
  <c r="F342" i="2"/>
  <c r="K342" i="2"/>
  <c r="P342" i="2"/>
  <c r="O375" i="2"/>
  <c r="N375" i="2"/>
  <c r="M375" i="2"/>
  <c r="L375" i="2"/>
  <c r="J375" i="2"/>
  <c r="I375" i="2"/>
  <c r="H375" i="2"/>
  <c r="G375" i="2"/>
  <c r="E375" i="2"/>
  <c r="D375" i="2"/>
  <c r="C375" i="2"/>
  <c r="B375" i="2"/>
  <c r="AH374" i="2"/>
  <c r="AC374" i="2"/>
  <c r="X374" i="2"/>
  <c r="P374" i="2"/>
  <c r="K374" i="2"/>
  <c r="F374" i="2"/>
  <c r="Q374" i="2" s="1"/>
  <c r="P373" i="2"/>
  <c r="K373" i="2"/>
  <c r="F373" i="2"/>
  <c r="P372" i="2"/>
  <c r="K372" i="2"/>
  <c r="F372" i="2"/>
  <c r="Q372" i="2" s="1"/>
  <c r="P371" i="2"/>
  <c r="K371" i="2"/>
  <c r="F371" i="2"/>
  <c r="P370" i="2"/>
  <c r="K370" i="2"/>
  <c r="F370" i="2"/>
  <c r="Q370" i="2" s="1"/>
  <c r="P369" i="2"/>
  <c r="K369" i="2"/>
  <c r="F369" i="2"/>
  <c r="P368" i="2"/>
  <c r="K368" i="2"/>
  <c r="F368" i="2"/>
  <c r="Q368" i="2" s="1"/>
  <c r="AH367" i="2"/>
  <c r="AC367" i="2"/>
  <c r="X367" i="2"/>
  <c r="P367" i="2"/>
  <c r="K367" i="2"/>
  <c r="F367" i="2"/>
  <c r="P366" i="2"/>
  <c r="K366" i="2"/>
  <c r="Q366" i="2" s="1"/>
  <c r="F366" i="2"/>
  <c r="P365" i="2"/>
  <c r="K365" i="2"/>
  <c r="F365" i="2"/>
  <c r="P364" i="2"/>
  <c r="K364" i="2"/>
  <c r="F364" i="2"/>
  <c r="P363" i="2"/>
  <c r="K363" i="2"/>
  <c r="F363" i="2"/>
  <c r="P362" i="2"/>
  <c r="K362" i="2"/>
  <c r="F362" i="2"/>
  <c r="P361" i="2"/>
  <c r="K361" i="2"/>
  <c r="F361" i="2"/>
  <c r="P360" i="2"/>
  <c r="K360" i="2"/>
  <c r="F360" i="2"/>
  <c r="P359" i="2"/>
  <c r="K359" i="2"/>
  <c r="F359" i="2"/>
  <c r="P358" i="2"/>
  <c r="K358" i="2"/>
  <c r="F358" i="2"/>
  <c r="P357" i="2"/>
  <c r="K357" i="2"/>
  <c r="F357" i="2"/>
  <c r="P356" i="2"/>
  <c r="K356" i="2"/>
  <c r="F356" i="2"/>
  <c r="P355" i="2"/>
  <c r="K355" i="2"/>
  <c r="F355" i="2"/>
  <c r="P354" i="2"/>
  <c r="K354" i="2"/>
  <c r="F354" i="2"/>
  <c r="P353" i="2"/>
  <c r="K353" i="2"/>
  <c r="F353" i="2"/>
  <c r="AH347" i="2"/>
  <c r="AC347" i="2"/>
  <c r="X347" i="2"/>
  <c r="P347" i="2"/>
  <c r="K347" i="2"/>
  <c r="F347" i="2"/>
  <c r="AH346" i="2"/>
  <c r="AC346" i="2"/>
  <c r="X346" i="2"/>
  <c r="P346" i="2"/>
  <c r="K346" i="2"/>
  <c r="F346" i="2"/>
  <c r="AH345" i="2"/>
  <c r="AC345" i="2"/>
  <c r="X345" i="2"/>
  <c r="P345" i="2"/>
  <c r="K345" i="2"/>
  <c r="F345" i="2"/>
  <c r="AH344" i="2"/>
  <c r="AC344" i="2"/>
  <c r="X344" i="2"/>
  <c r="P344" i="2"/>
  <c r="K344" i="2"/>
  <c r="F344" i="2"/>
  <c r="AH343" i="2"/>
  <c r="AC343" i="2"/>
  <c r="X343" i="2"/>
  <c r="AH342" i="2"/>
  <c r="AC342" i="2"/>
  <c r="X342" i="2"/>
  <c r="AH341" i="2"/>
  <c r="AC341" i="2"/>
  <c r="X341" i="2"/>
  <c r="X320" i="2"/>
  <c r="AC320" i="2"/>
  <c r="AH320" i="2"/>
  <c r="P310" i="2"/>
  <c r="K310" i="2"/>
  <c r="F310" i="2"/>
  <c r="F272" i="2"/>
  <c r="K272" i="2"/>
  <c r="P272" i="2"/>
  <c r="F273" i="2"/>
  <c r="K273" i="2"/>
  <c r="P273" i="2"/>
  <c r="F274" i="2"/>
  <c r="K274" i="2"/>
  <c r="P274" i="2"/>
  <c r="P309" i="2"/>
  <c r="K309" i="2"/>
  <c r="F309" i="2"/>
  <c r="P308" i="2"/>
  <c r="K308" i="2"/>
  <c r="F308" i="2"/>
  <c r="P307" i="2"/>
  <c r="K307" i="2"/>
  <c r="Q307" i="2" s="1"/>
  <c r="F307" i="2"/>
  <c r="AH318" i="2"/>
  <c r="AC318" i="2"/>
  <c r="X318" i="2"/>
  <c r="AI318" i="2" s="1"/>
  <c r="X325" i="2"/>
  <c r="AC325" i="2"/>
  <c r="AI325" i="2" s="1"/>
  <c r="AH325" i="2"/>
  <c r="X307" i="2"/>
  <c r="AC307" i="2"/>
  <c r="AH307" i="2"/>
  <c r="X308" i="2"/>
  <c r="AC308" i="2"/>
  <c r="AH308" i="2"/>
  <c r="X309" i="2"/>
  <c r="AC309" i="2"/>
  <c r="AH309" i="2"/>
  <c r="AI309" i="2" s="1"/>
  <c r="X310" i="2"/>
  <c r="AC310" i="2"/>
  <c r="AH310" i="2"/>
  <c r="X311" i="2"/>
  <c r="AC311" i="2"/>
  <c r="AH311" i="2"/>
  <c r="AH290" i="2"/>
  <c r="AC290" i="2"/>
  <c r="X290" i="2"/>
  <c r="AH289" i="2"/>
  <c r="AC289" i="2"/>
  <c r="X289" i="2"/>
  <c r="AH288" i="2"/>
  <c r="AC288" i="2"/>
  <c r="X288" i="2"/>
  <c r="AH287" i="2"/>
  <c r="AC287" i="2"/>
  <c r="X287" i="2"/>
  <c r="AG286" i="2"/>
  <c r="AC286" i="2"/>
  <c r="X286" i="2"/>
  <c r="AH283" i="2"/>
  <c r="AC283" i="2"/>
  <c r="X283" i="2"/>
  <c r="X285" i="2"/>
  <c r="AC285" i="2"/>
  <c r="AH285" i="2"/>
  <c r="AC227" i="2"/>
  <c r="X227" i="2"/>
  <c r="X284" i="2"/>
  <c r="AC284" i="2"/>
  <c r="AH284" i="2"/>
  <c r="AC226" i="2"/>
  <c r="X226" i="2"/>
  <c r="AD226" i="2" s="1"/>
  <c r="J232" i="2"/>
  <c r="AC225" i="2"/>
  <c r="X225" i="2"/>
  <c r="AC224" i="2"/>
  <c r="X224" i="2"/>
  <c r="F216" i="2"/>
  <c r="K216" i="2"/>
  <c r="AC223" i="2"/>
  <c r="X223" i="2"/>
  <c r="AD238" i="2"/>
  <c r="X241" i="2"/>
  <c r="AD241" i="2" s="1"/>
  <c r="AC241" i="2"/>
  <c r="X242" i="2"/>
  <c r="AD242" i="2" s="1"/>
  <c r="AC242" i="2"/>
  <c r="X243" i="2"/>
  <c r="AD243" i="2" s="1"/>
  <c r="AC243" i="2"/>
  <c r="X244" i="2"/>
  <c r="AD244" i="2" s="1"/>
  <c r="AC244" i="2"/>
  <c r="X245" i="2"/>
  <c r="AD245" i="2" s="1"/>
  <c r="AC245" i="2"/>
  <c r="X246" i="2"/>
  <c r="AD246" i="2" s="1"/>
  <c r="AC246" i="2"/>
  <c r="X247" i="2"/>
  <c r="AD247" i="2" s="1"/>
  <c r="AC247" i="2"/>
  <c r="X248" i="2"/>
  <c r="AD248" i="2" s="1"/>
  <c r="AC248" i="2"/>
  <c r="X216" i="2"/>
  <c r="AD216" i="2" s="1"/>
  <c r="AC216" i="2"/>
  <c r="X217" i="2"/>
  <c r="AD217" i="2" s="1"/>
  <c r="AC217" i="2"/>
  <c r="X238" i="2"/>
  <c r="AC238" i="2"/>
  <c r="X239" i="2"/>
  <c r="AD239" i="2" s="1"/>
  <c r="AC239" i="2"/>
  <c r="X240" i="2"/>
  <c r="AD240" i="2" s="1"/>
  <c r="AC240" i="2"/>
  <c r="X258" i="2"/>
  <c r="AC258" i="2"/>
  <c r="AH258" i="2"/>
  <c r="X259" i="2"/>
  <c r="AC259" i="2"/>
  <c r="AH259" i="2"/>
  <c r="AI259" i="2"/>
  <c r="AC294" i="2"/>
  <c r="O291" i="2"/>
  <c r="N291" i="2"/>
  <c r="M291" i="2"/>
  <c r="L291" i="2"/>
  <c r="J291" i="2"/>
  <c r="I291" i="2"/>
  <c r="H291" i="2"/>
  <c r="G291" i="2"/>
  <c r="E291" i="2"/>
  <c r="D291" i="2"/>
  <c r="C291" i="2"/>
  <c r="B291" i="2"/>
  <c r="P290" i="2"/>
  <c r="K290" i="2"/>
  <c r="F290" i="2"/>
  <c r="P289" i="2"/>
  <c r="K289" i="2"/>
  <c r="F289" i="2"/>
  <c r="P288" i="2"/>
  <c r="K288" i="2"/>
  <c r="F288" i="2"/>
  <c r="P287" i="2"/>
  <c r="K287" i="2"/>
  <c r="Q287" i="2" s="1"/>
  <c r="F287" i="2"/>
  <c r="P286" i="2"/>
  <c r="K286" i="2"/>
  <c r="F286" i="2"/>
  <c r="Q286" i="2" s="1"/>
  <c r="P285" i="2"/>
  <c r="K285" i="2"/>
  <c r="Q285" i="2" s="1"/>
  <c r="F285" i="2"/>
  <c r="P284" i="2"/>
  <c r="K284" i="2"/>
  <c r="F284" i="2"/>
  <c r="P283" i="2"/>
  <c r="K283" i="2"/>
  <c r="F283" i="2"/>
  <c r="AH282" i="2"/>
  <c r="AC282" i="2"/>
  <c r="X282" i="2"/>
  <c r="P282" i="2"/>
  <c r="K282" i="2"/>
  <c r="F282" i="2"/>
  <c r="AH281" i="2"/>
  <c r="AC281" i="2"/>
  <c r="X281" i="2"/>
  <c r="P281" i="2"/>
  <c r="K281" i="2"/>
  <c r="Q281" i="2" s="1"/>
  <c r="F281" i="2"/>
  <c r="AH280" i="2"/>
  <c r="AC280" i="2"/>
  <c r="X280" i="2"/>
  <c r="P280" i="2"/>
  <c r="K280" i="2"/>
  <c r="F280" i="2"/>
  <c r="AH279" i="2"/>
  <c r="AC279" i="2"/>
  <c r="X279" i="2"/>
  <c r="P279" i="2"/>
  <c r="K279" i="2"/>
  <c r="Q279" i="2" s="1"/>
  <c r="F279" i="2"/>
  <c r="AH278" i="2"/>
  <c r="AC278" i="2"/>
  <c r="X278" i="2"/>
  <c r="AI278" i="2" s="1"/>
  <c r="P278" i="2"/>
  <c r="K278" i="2"/>
  <c r="F278" i="2"/>
  <c r="AH277" i="2"/>
  <c r="AC277" i="2"/>
  <c r="X277" i="2"/>
  <c r="P277" i="2"/>
  <c r="K277" i="2"/>
  <c r="F277" i="2"/>
  <c r="AH276" i="2"/>
  <c r="AC276" i="2"/>
  <c r="X276" i="2"/>
  <c r="P276" i="2"/>
  <c r="K276" i="2"/>
  <c r="F276" i="2"/>
  <c r="AH275" i="2"/>
  <c r="AC275" i="2"/>
  <c r="X275" i="2"/>
  <c r="P275" i="2"/>
  <c r="K275" i="2"/>
  <c r="Q275" i="2" s="1"/>
  <c r="F275" i="2"/>
  <c r="AH274" i="2"/>
  <c r="AC274" i="2"/>
  <c r="X274" i="2"/>
  <c r="AH273" i="2"/>
  <c r="AC273" i="2"/>
  <c r="X273" i="2"/>
  <c r="AH272" i="2"/>
  <c r="AC272" i="2"/>
  <c r="X272" i="2"/>
  <c r="AH271" i="2"/>
  <c r="AC271" i="2"/>
  <c r="X271" i="2"/>
  <c r="P271" i="2"/>
  <c r="K271" i="2"/>
  <c r="F271" i="2"/>
  <c r="Q271" i="2" s="1"/>
  <c r="AH270" i="2"/>
  <c r="AC270" i="2"/>
  <c r="AI270" i="2" s="1"/>
  <c r="X270" i="2"/>
  <c r="P270" i="2"/>
  <c r="K270" i="2"/>
  <c r="F270" i="2"/>
  <c r="AH269" i="2"/>
  <c r="AC269" i="2"/>
  <c r="X269" i="2"/>
  <c r="P269" i="2"/>
  <c r="K269" i="2"/>
  <c r="F269" i="2"/>
  <c r="AH268" i="2"/>
  <c r="AC268" i="2"/>
  <c r="X268" i="2"/>
  <c r="P268" i="2"/>
  <c r="K268" i="2"/>
  <c r="F268" i="2"/>
  <c r="Q268" i="2" s="1"/>
  <c r="AH267" i="2"/>
  <c r="AC267" i="2"/>
  <c r="AI267" i="2" s="1"/>
  <c r="X267" i="2"/>
  <c r="P267" i="2"/>
  <c r="K267" i="2"/>
  <c r="F267" i="2"/>
  <c r="AH266" i="2"/>
  <c r="AC266" i="2"/>
  <c r="X266" i="2"/>
  <c r="P266" i="2"/>
  <c r="K266" i="2"/>
  <c r="F266" i="2"/>
  <c r="AH265" i="2"/>
  <c r="AC265" i="2"/>
  <c r="X265" i="2"/>
  <c r="P265" i="2"/>
  <c r="K265" i="2"/>
  <c r="F265" i="2"/>
  <c r="O264" i="2"/>
  <c r="N264" i="2"/>
  <c r="N292" i="2" s="1"/>
  <c r="N298" i="2" s="1"/>
  <c r="N306" i="2" s="1"/>
  <c r="M264" i="2"/>
  <c r="L264" i="2"/>
  <c r="L292" i="2" s="1"/>
  <c r="L298" i="2" s="1"/>
  <c r="L306" i="2" s="1"/>
  <c r="AH263" i="2"/>
  <c r="AC263" i="2"/>
  <c r="X263" i="2"/>
  <c r="P263" i="2"/>
  <c r="K263" i="2"/>
  <c r="F263" i="2"/>
  <c r="AH262" i="2"/>
  <c r="AC262" i="2"/>
  <c r="X262" i="2"/>
  <c r="P262" i="2"/>
  <c r="K262" i="2"/>
  <c r="F262" i="2"/>
  <c r="AH261" i="2"/>
  <c r="AC261" i="2"/>
  <c r="X261" i="2"/>
  <c r="P261" i="2"/>
  <c r="K261" i="2"/>
  <c r="F261" i="2"/>
  <c r="AH260" i="2"/>
  <c r="AC260" i="2"/>
  <c r="X260" i="2"/>
  <c r="P260" i="2"/>
  <c r="K260" i="2"/>
  <c r="Q260" i="2" s="1"/>
  <c r="F260" i="2"/>
  <c r="P259" i="2"/>
  <c r="K259" i="2"/>
  <c r="F259" i="2"/>
  <c r="P258" i="2"/>
  <c r="K258" i="2"/>
  <c r="F258" i="2"/>
  <c r="AH257" i="2"/>
  <c r="AC257" i="2"/>
  <c r="X257" i="2"/>
  <c r="AI257" i="2" s="1"/>
  <c r="P257" i="2"/>
  <c r="K257" i="2"/>
  <c r="F257" i="2"/>
  <c r="P256" i="2"/>
  <c r="O333" i="2"/>
  <c r="N333" i="2"/>
  <c r="M333" i="2"/>
  <c r="L333" i="2"/>
  <c r="J333" i="2"/>
  <c r="I333" i="2"/>
  <c r="H333" i="2"/>
  <c r="G333" i="2"/>
  <c r="E333" i="2"/>
  <c r="D333" i="2"/>
  <c r="C333" i="2"/>
  <c r="B333" i="2"/>
  <c r="P332" i="2"/>
  <c r="K332" i="2"/>
  <c r="F332" i="2"/>
  <c r="P331" i="2"/>
  <c r="K331" i="2"/>
  <c r="F331" i="2"/>
  <c r="Q331" i="2" s="1"/>
  <c r="P330" i="2"/>
  <c r="K330" i="2"/>
  <c r="F330" i="2"/>
  <c r="P329" i="2"/>
  <c r="K329" i="2"/>
  <c r="F329" i="2"/>
  <c r="Q329" i="2" s="1"/>
  <c r="P328" i="2"/>
  <c r="K328" i="2"/>
  <c r="F328" i="2"/>
  <c r="P327" i="2"/>
  <c r="K327" i="2"/>
  <c r="F327" i="2"/>
  <c r="Q327" i="2" s="1"/>
  <c r="P326" i="2"/>
  <c r="K326" i="2"/>
  <c r="F326" i="2"/>
  <c r="P325" i="2"/>
  <c r="K325" i="2"/>
  <c r="F325" i="2"/>
  <c r="Q325" i="2" s="1"/>
  <c r="AH324" i="2"/>
  <c r="AC324" i="2"/>
  <c r="X324" i="2"/>
  <c r="P324" i="2"/>
  <c r="K324" i="2"/>
  <c r="F324" i="2"/>
  <c r="Q324" i="2" s="1"/>
  <c r="AH323" i="2"/>
  <c r="AC323" i="2"/>
  <c r="X323" i="2"/>
  <c r="P323" i="2"/>
  <c r="K323" i="2"/>
  <c r="F323" i="2"/>
  <c r="Q323" i="2" s="1"/>
  <c r="AH322" i="2"/>
  <c r="AC322" i="2"/>
  <c r="X322" i="2"/>
  <c r="P322" i="2"/>
  <c r="K322" i="2"/>
  <c r="F322" i="2"/>
  <c r="Q322" i="2" s="1"/>
  <c r="AH321" i="2"/>
  <c r="AC321" i="2"/>
  <c r="X321" i="2"/>
  <c r="P321" i="2"/>
  <c r="K321" i="2"/>
  <c r="F321" i="2"/>
  <c r="Q321" i="2" s="1"/>
  <c r="P320" i="2"/>
  <c r="K320" i="2"/>
  <c r="F320" i="2"/>
  <c r="AH319" i="2"/>
  <c r="AC319" i="2"/>
  <c r="X319" i="2"/>
  <c r="AI319" i="2" s="1"/>
  <c r="P319" i="2"/>
  <c r="K319" i="2"/>
  <c r="F319" i="2"/>
  <c r="P318" i="2"/>
  <c r="K318" i="2"/>
  <c r="F318" i="2"/>
  <c r="AH317" i="2"/>
  <c r="AC317" i="2"/>
  <c r="X317" i="2"/>
  <c r="P317" i="2"/>
  <c r="K317" i="2"/>
  <c r="F317" i="2"/>
  <c r="AH316" i="2"/>
  <c r="AC316" i="2"/>
  <c r="X316" i="2"/>
  <c r="P316" i="2"/>
  <c r="K316" i="2"/>
  <c r="F316" i="2"/>
  <c r="AH315" i="2"/>
  <c r="AC315" i="2"/>
  <c r="X315" i="2"/>
  <c r="P315" i="2"/>
  <c r="K315" i="2"/>
  <c r="F315" i="2"/>
  <c r="AH314" i="2"/>
  <c r="AC314" i="2"/>
  <c r="X314" i="2"/>
  <c r="P314" i="2"/>
  <c r="K314" i="2"/>
  <c r="F314" i="2"/>
  <c r="AH313" i="2"/>
  <c r="AC313" i="2"/>
  <c r="X313" i="2"/>
  <c r="P313" i="2"/>
  <c r="K313" i="2"/>
  <c r="F313" i="2"/>
  <c r="AH312" i="2"/>
  <c r="AC312" i="2"/>
  <c r="X312" i="2"/>
  <c r="P312" i="2"/>
  <c r="K312" i="2"/>
  <c r="F312" i="2"/>
  <c r="P311" i="2"/>
  <c r="K311" i="2"/>
  <c r="F311" i="2"/>
  <c r="AH305" i="2"/>
  <c r="AC305" i="2"/>
  <c r="X305" i="2"/>
  <c r="AI305" i="2" s="1"/>
  <c r="P305" i="2"/>
  <c r="K305" i="2"/>
  <c r="F305" i="2"/>
  <c r="AH304" i="2"/>
  <c r="AC304" i="2"/>
  <c r="X304" i="2"/>
  <c r="AI304" i="2" s="1"/>
  <c r="P304" i="2"/>
  <c r="K304" i="2"/>
  <c r="F304" i="2"/>
  <c r="AH303" i="2"/>
  <c r="AC303" i="2"/>
  <c r="X303" i="2"/>
  <c r="AI303" i="2" s="1"/>
  <c r="P303" i="2"/>
  <c r="K303" i="2"/>
  <c r="F303" i="2"/>
  <c r="AH302" i="2"/>
  <c r="AC302" i="2"/>
  <c r="X302" i="2"/>
  <c r="AI302" i="2" s="1"/>
  <c r="P302" i="2"/>
  <c r="K302" i="2"/>
  <c r="F302" i="2"/>
  <c r="AH301" i="2"/>
  <c r="AC301" i="2"/>
  <c r="X301" i="2"/>
  <c r="AI301" i="2" s="1"/>
  <c r="P301" i="2"/>
  <c r="K301" i="2"/>
  <c r="F301" i="2"/>
  <c r="AH300" i="2"/>
  <c r="AC300" i="2"/>
  <c r="X300" i="2"/>
  <c r="AI300" i="2" s="1"/>
  <c r="P300" i="2"/>
  <c r="K300" i="2"/>
  <c r="F300" i="2"/>
  <c r="AH299" i="2"/>
  <c r="AC299" i="2"/>
  <c r="X299" i="2"/>
  <c r="AI299" i="2" s="1"/>
  <c r="P299" i="2"/>
  <c r="K299" i="2"/>
  <c r="F299" i="2"/>
  <c r="F215" i="2"/>
  <c r="K215" i="2"/>
  <c r="AC178" i="2"/>
  <c r="X178" i="2"/>
  <c r="AD178" i="2" s="1"/>
  <c r="AC177" i="2"/>
  <c r="X177" i="2"/>
  <c r="AD177" i="2" s="1"/>
  <c r="F192" i="2"/>
  <c r="F178" i="2"/>
  <c r="Q525" i="2" l="1"/>
  <c r="E544" i="2"/>
  <c r="B544" i="2"/>
  <c r="AI542" i="2"/>
  <c r="K543" i="2"/>
  <c r="AH543" i="2"/>
  <c r="F543" i="2"/>
  <c r="Q543" i="2" s="1"/>
  <c r="AC543" i="2"/>
  <c r="AI497" i="2"/>
  <c r="AC501" i="2"/>
  <c r="AH501" i="2"/>
  <c r="K501" i="2"/>
  <c r="AI500" i="2"/>
  <c r="F501" i="2"/>
  <c r="X501" i="2"/>
  <c r="AI452" i="2"/>
  <c r="Q429" i="2"/>
  <c r="Q449" i="2"/>
  <c r="Q445" i="2"/>
  <c r="Q273" i="2"/>
  <c r="Q349" i="2"/>
  <c r="AI363" i="2"/>
  <c r="AI361" i="2"/>
  <c r="AI359" i="2"/>
  <c r="AI357" i="2"/>
  <c r="AI350" i="2"/>
  <c r="AI326" i="2"/>
  <c r="AI391" i="2"/>
  <c r="AI415" i="2"/>
  <c r="AI413" i="2"/>
  <c r="AI411" i="2"/>
  <c r="AI261" i="2"/>
  <c r="P291" i="2"/>
  <c r="AI320" i="2"/>
  <c r="AI364" i="2"/>
  <c r="AI362" i="2"/>
  <c r="AI360" i="2"/>
  <c r="AI358" i="2"/>
  <c r="AI355" i="2"/>
  <c r="AI349" i="2"/>
  <c r="K411" i="2"/>
  <c r="Q411" i="2" s="1"/>
  <c r="AI416" i="2"/>
  <c r="AI414" i="2"/>
  <c r="AI412" i="2"/>
  <c r="AI263" i="2"/>
  <c r="M292" i="2"/>
  <c r="M298" i="2" s="1"/>
  <c r="M306" i="2" s="1"/>
  <c r="X291" i="2"/>
  <c r="Q266" i="2"/>
  <c r="Q277" i="2"/>
  <c r="AI277" i="2"/>
  <c r="Q278" i="2"/>
  <c r="AI282" i="2"/>
  <c r="Q283" i="2"/>
  <c r="Q284" i="2"/>
  <c r="Q288" i="2"/>
  <c r="Q289" i="2"/>
  <c r="Q290" i="2"/>
  <c r="AI283" i="2"/>
  <c r="AI288" i="2"/>
  <c r="AI290" i="2"/>
  <c r="AI342" i="2"/>
  <c r="Q344" i="2"/>
  <c r="Q345" i="2"/>
  <c r="Q346" i="2"/>
  <c r="Q347" i="2"/>
  <c r="Q353" i="2"/>
  <c r="P375" i="2"/>
  <c r="Q355" i="2"/>
  <c r="Q357" i="2"/>
  <c r="Q359" i="2"/>
  <c r="Q361" i="2"/>
  <c r="Q363" i="2"/>
  <c r="Q365" i="2"/>
  <c r="Q367" i="2"/>
  <c r="Q369" i="2"/>
  <c r="Q371" i="2"/>
  <c r="Q373" i="2"/>
  <c r="Q342" i="2"/>
  <c r="Q341" i="2"/>
  <c r="Q352" i="2"/>
  <c r="Q350" i="2"/>
  <c r="AI373" i="2"/>
  <c r="X375" i="2"/>
  <c r="AI354" i="2"/>
  <c r="AI365" i="2"/>
  <c r="AI384" i="2"/>
  <c r="AI386" i="2"/>
  <c r="AI388" i="2"/>
  <c r="Q410" i="2"/>
  <c r="AI410" i="2"/>
  <c r="Q398" i="2"/>
  <c r="Q396" i="2"/>
  <c r="AI370" i="2"/>
  <c r="AI394" i="2"/>
  <c r="Q387" i="2"/>
  <c r="AI404" i="2"/>
  <c r="Q452" i="2"/>
  <c r="Q458" i="2"/>
  <c r="X459" i="2"/>
  <c r="AI443" i="2"/>
  <c r="AI449" i="2"/>
  <c r="AI455" i="2"/>
  <c r="AI435" i="2"/>
  <c r="AI437" i="2"/>
  <c r="AI427" i="2"/>
  <c r="AI428" i="2"/>
  <c r="AI429" i="2"/>
  <c r="AI285" i="2"/>
  <c r="AH286" i="2"/>
  <c r="AH291" i="2" s="1"/>
  <c r="AF293" i="2" s="1"/>
  <c r="AG291" i="2"/>
  <c r="AI372" i="2"/>
  <c r="AI369" i="2"/>
  <c r="AH375" i="2"/>
  <c r="AI375" i="2" s="1"/>
  <c r="AI330" i="2"/>
  <c r="AI328" i="2"/>
  <c r="AI402" i="2"/>
  <c r="AI400" i="2"/>
  <c r="AI396" i="2"/>
  <c r="AI393" i="2"/>
  <c r="AI398" i="2"/>
  <c r="AI258" i="2"/>
  <c r="AI284" i="2"/>
  <c r="AI311" i="2"/>
  <c r="AH333" i="2"/>
  <c r="X333" i="2"/>
  <c r="Q272" i="2"/>
  <c r="F375" i="2"/>
  <c r="AI371" i="2"/>
  <c r="AI368" i="2"/>
  <c r="AC375" i="2"/>
  <c r="AI331" i="2"/>
  <c r="AI329" i="2"/>
  <c r="AI327" i="2"/>
  <c r="X332" i="2"/>
  <c r="T333" i="2"/>
  <c r="AD292" i="2"/>
  <c r="AD298" i="2" s="1"/>
  <c r="AH264" i="2"/>
  <c r="AH292" i="2" s="1"/>
  <c r="AH298" i="2" s="1"/>
  <c r="Q447" i="2"/>
  <c r="Q443" i="2"/>
  <c r="Q441" i="2"/>
  <c r="Q437" i="2"/>
  <c r="Q435" i="2"/>
  <c r="P459" i="2"/>
  <c r="AI409" i="2"/>
  <c r="AI407" i="2"/>
  <c r="AI405" i="2"/>
  <c r="L215" i="2"/>
  <c r="Q300" i="2"/>
  <c r="Q302" i="2"/>
  <c r="Q305" i="2"/>
  <c r="Q311" i="2"/>
  <c r="AI312" i="2"/>
  <c r="AI313" i="2"/>
  <c r="AI315" i="2"/>
  <c r="AI316" i="2"/>
  <c r="Q320" i="2"/>
  <c r="AI322" i="2"/>
  <c r="Q326" i="2"/>
  <c r="Q328" i="2"/>
  <c r="Q330" i="2"/>
  <c r="Q332" i="2"/>
  <c r="AI260" i="2"/>
  <c r="Q261" i="2"/>
  <c r="Q262" i="2"/>
  <c r="AI262" i="2"/>
  <c r="Q265" i="2"/>
  <c r="AC291" i="2"/>
  <c r="AI291" i="2" s="1"/>
  <c r="Q267" i="2"/>
  <c r="Q269" i="2"/>
  <c r="AI269" i="2"/>
  <c r="Q270" i="2"/>
  <c r="AI275" i="2"/>
  <c r="Q276" i="2"/>
  <c r="AI279" i="2"/>
  <c r="Q280" i="2"/>
  <c r="AI281" i="2"/>
  <c r="Q282" i="2"/>
  <c r="AD223" i="2"/>
  <c r="AD224" i="2"/>
  <c r="AD225" i="2"/>
  <c r="AD227" i="2"/>
  <c r="AI287" i="2"/>
  <c r="AI289" i="2"/>
  <c r="AI310" i="2"/>
  <c r="AI308" i="2"/>
  <c r="Q308" i="2"/>
  <c r="Q309" i="2"/>
  <c r="Q274" i="2"/>
  <c r="Q310" i="2"/>
  <c r="AI341" i="2"/>
  <c r="AI343" i="2"/>
  <c r="AI344" i="2"/>
  <c r="AI345" i="2"/>
  <c r="AI346" i="2"/>
  <c r="AI347" i="2"/>
  <c r="Q354" i="2"/>
  <c r="Q356" i="2"/>
  <c r="Q360" i="2"/>
  <c r="Q362" i="2"/>
  <c r="Q364" i="2"/>
  <c r="AI367" i="2"/>
  <c r="Q351" i="2"/>
  <c r="AI366" i="2"/>
  <c r="AC332" i="2"/>
  <c r="AI332" i="2" s="1"/>
  <c r="AI351" i="2"/>
  <c r="AI352" i="2"/>
  <c r="AI353" i="2"/>
  <c r="AI356" i="2"/>
  <c r="AI385" i="2"/>
  <c r="AI387" i="2"/>
  <c r="AI389" i="2"/>
  <c r="Q399" i="2"/>
  <c r="Q403" i="2"/>
  <c r="Q407" i="2"/>
  <c r="Q416" i="2"/>
  <c r="AI403" i="2"/>
  <c r="AI399" i="2"/>
  <c r="AI395" i="2"/>
  <c r="X417" i="2"/>
  <c r="AI439" i="2"/>
  <c r="AI442" i="2"/>
  <c r="AI445" i="2"/>
  <c r="AI448" i="2"/>
  <c r="AI451" i="2"/>
  <c r="AI454" i="2"/>
  <c r="Q427" i="2"/>
  <c r="AI408" i="2"/>
  <c r="AI406" i="2"/>
  <c r="Q412" i="2"/>
  <c r="Q414" i="2"/>
  <c r="Q395" i="2"/>
  <c r="Q394" i="2"/>
  <c r="Q393" i="2"/>
  <c r="Q392" i="2"/>
  <c r="AI401" i="2"/>
  <c r="AI392" i="2"/>
  <c r="AI397" i="2"/>
  <c r="Q385" i="2"/>
  <c r="Q388" i="2"/>
  <c r="AE292" i="2"/>
  <c r="AE298" i="2" s="1"/>
  <c r="Q448" i="2"/>
  <c r="Q450" i="2"/>
  <c r="Q451" i="2"/>
  <c r="Q453" i="2"/>
  <c r="Q454" i="2"/>
  <c r="Q456" i="2"/>
  <c r="Q446" i="2"/>
  <c r="Q444" i="2"/>
  <c r="Q440" i="2"/>
  <c r="Q438" i="2"/>
  <c r="AI444" i="2"/>
  <c r="AI447" i="2"/>
  <c r="AI450" i="2"/>
  <c r="AI453" i="2"/>
  <c r="AI456" i="2"/>
  <c r="Q425" i="2"/>
  <c r="Q426" i="2"/>
  <c r="Q430" i="2"/>
  <c r="Q431" i="2"/>
  <c r="AI433" i="2"/>
  <c r="AI440" i="2"/>
  <c r="Q442" i="2"/>
  <c r="AI425" i="2"/>
  <c r="Q436" i="2"/>
  <c r="AI441" i="2"/>
  <c r="AH459" i="2"/>
  <c r="Q433" i="2"/>
  <c r="AC417" i="2"/>
  <c r="Q408" i="2"/>
  <c r="P417" i="2"/>
  <c r="AH417" i="2"/>
  <c r="Q405" i="2"/>
  <c r="K459" i="2"/>
  <c r="F459" i="2"/>
  <c r="AC459" i="2"/>
  <c r="AF292" i="2"/>
  <c r="AF298" i="2" s="1"/>
  <c r="AG292" i="2"/>
  <c r="AG298" i="2" s="1"/>
  <c r="AG306" i="2" s="1"/>
  <c r="Q389" i="2"/>
  <c r="Q402" i="2"/>
  <c r="Q401" i="2"/>
  <c r="Q397" i="2"/>
  <c r="Q384" i="2"/>
  <c r="F417" i="2"/>
  <c r="K417" i="2"/>
  <c r="Q391" i="2"/>
  <c r="Q383" i="2"/>
  <c r="Q358" i="2"/>
  <c r="Q343" i="2"/>
  <c r="AI374" i="2"/>
  <c r="K375" i="2"/>
  <c r="Q375" i="2" s="1"/>
  <c r="Q304" i="2"/>
  <c r="Q319" i="2"/>
  <c r="Q318" i="2"/>
  <c r="Q303" i="2"/>
  <c r="Q317" i="2"/>
  <c r="Q316" i="2"/>
  <c r="Q315" i="2"/>
  <c r="Q314" i="2"/>
  <c r="Q313" i="2"/>
  <c r="Q312" i="2"/>
  <c r="AI324" i="2"/>
  <c r="AI323" i="2"/>
  <c r="Q301" i="2"/>
  <c r="AI321" i="2"/>
  <c r="M334" i="2"/>
  <c r="M340" i="2" s="1"/>
  <c r="M348" i="2" s="1"/>
  <c r="M376" i="2" s="1"/>
  <c r="M382" i="2" s="1"/>
  <c r="M390" i="2" s="1"/>
  <c r="M418" i="2" s="1"/>
  <c r="M424" i="2" s="1"/>
  <c r="M432" i="2" s="1"/>
  <c r="M460" i="2" s="1"/>
  <c r="M466" i="2" s="1"/>
  <c r="M474" i="2" s="1"/>
  <c r="M502" i="2" s="1"/>
  <c r="P333" i="2"/>
  <c r="L334" i="2"/>
  <c r="L340" i="2" s="1"/>
  <c r="O292" i="2"/>
  <c r="O298" i="2" s="1"/>
  <c r="O306" i="2" s="1"/>
  <c r="O334" i="2" s="1"/>
  <c r="O340" i="2" s="1"/>
  <c r="O348" i="2" s="1"/>
  <c r="O376" i="2" s="1"/>
  <c r="O382" i="2" s="1"/>
  <c r="O390" i="2" s="1"/>
  <c r="O418" i="2" s="1"/>
  <c r="O424" i="2" s="1"/>
  <c r="O432" i="2" s="1"/>
  <c r="O460" i="2" s="1"/>
  <c r="O466" i="2" s="1"/>
  <c r="O474" i="2" s="1"/>
  <c r="O502" i="2" s="1"/>
  <c r="N334" i="2"/>
  <c r="N340" i="2" s="1"/>
  <c r="N348" i="2" s="1"/>
  <c r="N376" i="2" s="1"/>
  <c r="N382" i="2" s="1"/>
  <c r="N390" i="2" s="1"/>
  <c r="N418" i="2" s="1"/>
  <c r="N424" i="2" s="1"/>
  <c r="N432" i="2" s="1"/>
  <c r="N460" i="2" s="1"/>
  <c r="N466" i="2" s="1"/>
  <c r="N474" i="2" s="1"/>
  <c r="N502" i="2" s="1"/>
  <c r="K333" i="2"/>
  <c r="Q299" i="2"/>
  <c r="AI317" i="2"/>
  <c r="P264" i="2"/>
  <c r="AI314" i="2"/>
  <c r="Q259" i="2"/>
  <c r="K291" i="2"/>
  <c r="AI307" i="2"/>
  <c r="Q258" i="2"/>
  <c r="Q263" i="2"/>
  <c r="AI280" i="2"/>
  <c r="AI276" i="2"/>
  <c r="AI274" i="2"/>
  <c r="AI273" i="2"/>
  <c r="AI272" i="2"/>
  <c r="AI271" i="2"/>
  <c r="AI268" i="2"/>
  <c r="AD306" i="2"/>
  <c r="Z293" i="2"/>
  <c r="AE306" i="2"/>
  <c r="T293" i="2"/>
  <c r="L216" i="2"/>
  <c r="Q257" i="2"/>
  <c r="AI265" i="2"/>
  <c r="F291" i="2"/>
  <c r="AI266" i="2"/>
  <c r="F333" i="2"/>
  <c r="AC176" i="2"/>
  <c r="X176" i="2"/>
  <c r="X175" i="2"/>
  <c r="X189" i="2"/>
  <c r="K178" i="2"/>
  <c r="AC189" i="2"/>
  <c r="AC188" i="2"/>
  <c r="X188" i="2"/>
  <c r="AC187" i="2"/>
  <c r="X187" i="2"/>
  <c r="K173" i="2"/>
  <c r="F173" i="2"/>
  <c r="F155" i="2"/>
  <c r="K155" i="2"/>
  <c r="AC131" i="2"/>
  <c r="X131" i="2"/>
  <c r="J249" i="2"/>
  <c r="I249" i="2"/>
  <c r="H249" i="2"/>
  <c r="G249" i="2"/>
  <c r="E249" i="2"/>
  <c r="D249" i="2"/>
  <c r="C249" i="2"/>
  <c r="B249" i="2"/>
  <c r="K248" i="2"/>
  <c r="F248" i="2"/>
  <c r="K247" i="2"/>
  <c r="F247" i="2"/>
  <c r="K246" i="2"/>
  <c r="F246" i="2"/>
  <c r="K245" i="2"/>
  <c r="F245" i="2"/>
  <c r="K244" i="2"/>
  <c r="F244" i="2"/>
  <c r="K243" i="2"/>
  <c r="F243" i="2"/>
  <c r="K242" i="2"/>
  <c r="F242" i="2"/>
  <c r="K241" i="2"/>
  <c r="F241" i="2"/>
  <c r="K240" i="2"/>
  <c r="F240" i="2"/>
  <c r="K239" i="2"/>
  <c r="F239" i="2"/>
  <c r="K238" i="2"/>
  <c r="F238" i="2"/>
  <c r="AC237" i="2"/>
  <c r="X237" i="2"/>
  <c r="K237" i="2"/>
  <c r="F237" i="2"/>
  <c r="AC236" i="2"/>
  <c r="X236" i="2"/>
  <c r="K236" i="2"/>
  <c r="F236" i="2"/>
  <c r="AC235" i="2"/>
  <c r="X235" i="2"/>
  <c r="K235" i="2"/>
  <c r="F235" i="2"/>
  <c r="AC234" i="2"/>
  <c r="X234" i="2"/>
  <c r="K234" i="2"/>
  <c r="F234" i="2"/>
  <c r="AC233" i="2"/>
  <c r="X233" i="2"/>
  <c r="K233" i="2"/>
  <c r="F233" i="2"/>
  <c r="AC232" i="2"/>
  <c r="X232" i="2"/>
  <c r="K232" i="2"/>
  <c r="F232" i="2"/>
  <c r="AC231" i="2"/>
  <c r="X231" i="2"/>
  <c r="K231" i="2"/>
  <c r="F231" i="2"/>
  <c r="AC230" i="2"/>
  <c r="X230" i="2"/>
  <c r="K230" i="2"/>
  <c r="F230" i="2"/>
  <c r="AC229" i="2"/>
  <c r="X229" i="2"/>
  <c r="K229" i="2"/>
  <c r="F229" i="2"/>
  <c r="AC228" i="2"/>
  <c r="AC249" i="2" s="1"/>
  <c r="X228" i="2"/>
  <c r="X249" i="2" s="1"/>
  <c r="K228" i="2"/>
  <c r="F228" i="2"/>
  <c r="K227" i="2"/>
  <c r="F227" i="2"/>
  <c r="K226" i="2"/>
  <c r="F226" i="2"/>
  <c r="K225" i="2"/>
  <c r="F225" i="2"/>
  <c r="K224" i="2"/>
  <c r="F224" i="2"/>
  <c r="K223" i="2"/>
  <c r="F223" i="2"/>
  <c r="AC221" i="2"/>
  <c r="X221" i="2"/>
  <c r="K221" i="2"/>
  <c r="F221" i="2"/>
  <c r="AC220" i="2"/>
  <c r="X220" i="2"/>
  <c r="K220" i="2"/>
  <c r="F220" i="2"/>
  <c r="AC219" i="2"/>
  <c r="X219" i="2"/>
  <c r="K219" i="2"/>
  <c r="F219" i="2"/>
  <c r="AC218" i="2"/>
  <c r="X218" i="2"/>
  <c r="K218" i="2"/>
  <c r="F218" i="2"/>
  <c r="K217" i="2"/>
  <c r="F217" i="2"/>
  <c r="AC215" i="2"/>
  <c r="X215" i="2"/>
  <c r="AC158" i="2"/>
  <c r="X158" i="2"/>
  <c r="X201" i="2"/>
  <c r="AC201" i="2"/>
  <c r="X202" i="2"/>
  <c r="AC202" i="2"/>
  <c r="X203" i="2"/>
  <c r="AC203" i="2"/>
  <c r="X204" i="2"/>
  <c r="AC204" i="2"/>
  <c r="X205" i="2"/>
  <c r="AC205" i="2"/>
  <c r="X206" i="2"/>
  <c r="AC206" i="2"/>
  <c r="X181" i="2"/>
  <c r="AC181" i="2"/>
  <c r="X182" i="2"/>
  <c r="AC182" i="2"/>
  <c r="X183" i="2"/>
  <c r="AC183" i="2"/>
  <c r="X184" i="2"/>
  <c r="AC184" i="2"/>
  <c r="X185" i="2"/>
  <c r="AC185" i="2"/>
  <c r="X186" i="2"/>
  <c r="AC186" i="2"/>
  <c r="X190" i="2"/>
  <c r="AC190" i="2"/>
  <c r="X191" i="2"/>
  <c r="AC191" i="2"/>
  <c r="X192" i="2"/>
  <c r="AC192" i="2"/>
  <c r="X193" i="2"/>
  <c r="AC193" i="2"/>
  <c r="X194" i="2"/>
  <c r="AC194" i="2"/>
  <c r="X195" i="2"/>
  <c r="AC195" i="2"/>
  <c r="X196" i="2"/>
  <c r="AC196" i="2"/>
  <c r="X197" i="2"/>
  <c r="AC197" i="2"/>
  <c r="X198" i="2"/>
  <c r="AC198" i="2"/>
  <c r="X199" i="2"/>
  <c r="AC199" i="2"/>
  <c r="F181" i="2"/>
  <c r="K181" i="2"/>
  <c r="F182" i="2"/>
  <c r="K182" i="2"/>
  <c r="F183" i="2"/>
  <c r="K183" i="2"/>
  <c r="F184" i="2"/>
  <c r="K184" i="2"/>
  <c r="F185" i="2"/>
  <c r="K185" i="2"/>
  <c r="F186" i="2"/>
  <c r="K186" i="2"/>
  <c r="F187" i="2"/>
  <c r="K187" i="2"/>
  <c r="F188" i="2"/>
  <c r="K188" i="2"/>
  <c r="F189" i="2"/>
  <c r="K189" i="2"/>
  <c r="F174" i="2"/>
  <c r="K174" i="2"/>
  <c r="F175" i="2"/>
  <c r="K175" i="2"/>
  <c r="F176" i="2"/>
  <c r="K176" i="2"/>
  <c r="F177" i="2"/>
  <c r="K177" i="2"/>
  <c r="I207" i="2"/>
  <c r="H207" i="2"/>
  <c r="G207" i="2"/>
  <c r="E207" i="2"/>
  <c r="D207" i="2"/>
  <c r="C207" i="2"/>
  <c r="B207" i="2"/>
  <c r="K206" i="2"/>
  <c r="F206" i="2"/>
  <c r="K205" i="2"/>
  <c r="F205" i="2"/>
  <c r="K204" i="2"/>
  <c r="F204" i="2"/>
  <c r="K203" i="2"/>
  <c r="F203" i="2"/>
  <c r="K202" i="2"/>
  <c r="F202" i="2"/>
  <c r="K201" i="2"/>
  <c r="F201" i="2"/>
  <c r="AC200" i="2"/>
  <c r="X200" i="2"/>
  <c r="K200" i="2"/>
  <c r="F200" i="2"/>
  <c r="K199" i="2"/>
  <c r="F199" i="2"/>
  <c r="K198" i="2"/>
  <c r="F198" i="2"/>
  <c r="K197" i="2"/>
  <c r="F197" i="2"/>
  <c r="K196" i="2"/>
  <c r="F196" i="2"/>
  <c r="K195" i="2"/>
  <c r="F195" i="2"/>
  <c r="K194" i="2"/>
  <c r="F194" i="2"/>
  <c r="K193" i="2"/>
  <c r="F193" i="2"/>
  <c r="K192" i="2"/>
  <c r="K191" i="2"/>
  <c r="F191" i="2"/>
  <c r="K190" i="2"/>
  <c r="F190" i="2"/>
  <c r="AC179" i="2"/>
  <c r="X179" i="2"/>
  <c r="K179" i="2"/>
  <c r="F179" i="2"/>
  <c r="AC175" i="2"/>
  <c r="AC174" i="2"/>
  <c r="X174" i="2"/>
  <c r="AC173" i="2"/>
  <c r="X173" i="2"/>
  <c r="AC147" i="2"/>
  <c r="X147" i="2"/>
  <c r="J140" i="2"/>
  <c r="K140" i="2" s="1"/>
  <c r="AC145" i="2"/>
  <c r="X145" i="2"/>
  <c r="AC122" i="2"/>
  <c r="X122" i="2"/>
  <c r="AC121" i="2"/>
  <c r="X121" i="2"/>
  <c r="I108" i="2"/>
  <c r="AC120" i="2"/>
  <c r="X120" i="2"/>
  <c r="X118" i="2"/>
  <c r="AC118" i="2"/>
  <c r="X119" i="2"/>
  <c r="AC119" i="2"/>
  <c r="X139" i="2"/>
  <c r="AC139" i="2"/>
  <c r="X140" i="2"/>
  <c r="AC140" i="2"/>
  <c r="X141" i="2"/>
  <c r="AC141" i="2"/>
  <c r="X142" i="2"/>
  <c r="AC142" i="2"/>
  <c r="X143" i="2"/>
  <c r="AC143" i="2"/>
  <c r="X144" i="2"/>
  <c r="AC144" i="2"/>
  <c r="X146" i="2"/>
  <c r="AC146" i="2"/>
  <c r="X148" i="2"/>
  <c r="AC148" i="2"/>
  <c r="X149" i="2"/>
  <c r="AC149" i="2"/>
  <c r="X150" i="2"/>
  <c r="AC150" i="2"/>
  <c r="X151" i="2"/>
  <c r="AC151" i="2"/>
  <c r="X152" i="2"/>
  <c r="AC152" i="2"/>
  <c r="X153" i="2"/>
  <c r="AC153" i="2"/>
  <c r="X154" i="2"/>
  <c r="AC154" i="2"/>
  <c r="X155" i="2"/>
  <c r="AC155" i="2"/>
  <c r="X156" i="2"/>
  <c r="AC156" i="2"/>
  <c r="X157" i="2"/>
  <c r="AC157" i="2"/>
  <c r="F131" i="2"/>
  <c r="K131" i="2"/>
  <c r="F132" i="2"/>
  <c r="K132" i="2"/>
  <c r="F133" i="2"/>
  <c r="K133" i="2"/>
  <c r="F134" i="2"/>
  <c r="K134" i="2"/>
  <c r="F139" i="2"/>
  <c r="K139" i="2"/>
  <c r="F140" i="2"/>
  <c r="F141" i="2"/>
  <c r="K141" i="2"/>
  <c r="F142" i="2"/>
  <c r="K142" i="2"/>
  <c r="F143" i="2"/>
  <c r="K143" i="2"/>
  <c r="F144" i="2"/>
  <c r="K144" i="2"/>
  <c r="F145" i="2"/>
  <c r="K145" i="2"/>
  <c r="F146" i="2"/>
  <c r="K146" i="2"/>
  <c r="F147" i="2"/>
  <c r="K147" i="2"/>
  <c r="F148" i="2"/>
  <c r="K148" i="2"/>
  <c r="F149" i="2"/>
  <c r="K149" i="2"/>
  <c r="E165" i="2"/>
  <c r="D165" i="2"/>
  <c r="C165" i="2"/>
  <c r="B165" i="2"/>
  <c r="AC164" i="2"/>
  <c r="X164" i="2"/>
  <c r="K164" i="2"/>
  <c r="F164" i="2"/>
  <c r="AC163" i="2"/>
  <c r="X163" i="2"/>
  <c r="K163" i="2"/>
  <c r="F163" i="2"/>
  <c r="AC162" i="2"/>
  <c r="X162" i="2"/>
  <c r="K162" i="2"/>
  <c r="F162" i="2"/>
  <c r="AC161" i="2"/>
  <c r="X161" i="2"/>
  <c r="K161" i="2"/>
  <c r="F161" i="2"/>
  <c r="AC160" i="2"/>
  <c r="X160" i="2"/>
  <c r="K160" i="2"/>
  <c r="F160" i="2"/>
  <c r="AC159" i="2"/>
  <c r="X159" i="2"/>
  <c r="K159" i="2"/>
  <c r="F159" i="2"/>
  <c r="K158" i="2"/>
  <c r="F158" i="2"/>
  <c r="K157" i="2"/>
  <c r="F157" i="2"/>
  <c r="K156" i="2"/>
  <c r="F156" i="2"/>
  <c r="K154" i="2"/>
  <c r="F154" i="2"/>
  <c r="K153" i="2"/>
  <c r="F153" i="2"/>
  <c r="K152" i="2"/>
  <c r="F152" i="2"/>
  <c r="K151" i="2"/>
  <c r="F151" i="2"/>
  <c r="K150" i="2"/>
  <c r="F150" i="2"/>
  <c r="G165" i="2"/>
  <c r="I165" i="2"/>
  <c r="AC137" i="2"/>
  <c r="X137" i="2"/>
  <c r="K137" i="2"/>
  <c r="F137" i="2"/>
  <c r="AC136" i="2"/>
  <c r="X136" i="2"/>
  <c r="K136" i="2"/>
  <c r="F136" i="2"/>
  <c r="AC135" i="2"/>
  <c r="X135" i="2"/>
  <c r="K135" i="2"/>
  <c r="F135" i="2"/>
  <c r="AC134" i="2"/>
  <c r="X134" i="2"/>
  <c r="AC133" i="2"/>
  <c r="X133" i="2"/>
  <c r="AC132" i="2"/>
  <c r="X132" i="2"/>
  <c r="AC79" i="2"/>
  <c r="X79" i="2"/>
  <c r="AC78" i="2"/>
  <c r="X78" i="2"/>
  <c r="AC77" i="2"/>
  <c r="X77" i="2"/>
  <c r="AC76" i="2"/>
  <c r="X76" i="2"/>
  <c r="AC75" i="2"/>
  <c r="X75" i="2"/>
  <c r="AC74" i="2"/>
  <c r="X74" i="2"/>
  <c r="AC73" i="2"/>
  <c r="X73" i="2"/>
  <c r="AC72" i="2"/>
  <c r="X72" i="2"/>
  <c r="AC71" i="2"/>
  <c r="X71" i="2"/>
  <c r="AC70" i="2"/>
  <c r="X70" i="2"/>
  <c r="AC69" i="2"/>
  <c r="X69" i="2"/>
  <c r="AC68" i="2"/>
  <c r="X68" i="2"/>
  <c r="AC67" i="2"/>
  <c r="X67" i="2"/>
  <c r="AC66" i="2"/>
  <c r="X66" i="2"/>
  <c r="AC65" i="2"/>
  <c r="X65" i="2"/>
  <c r="AC64" i="2"/>
  <c r="X64" i="2"/>
  <c r="AC63" i="2"/>
  <c r="X63" i="2"/>
  <c r="AC62" i="2"/>
  <c r="X62" i="2"/>
  <c r="AC61" i="2"/>
  <c r="X61" i="2"/>
  <c r="AC60" i="2"/>
  <c r="X60" i="2"/>
  <c r="AC59" i="2"/>
  <c r="X59" i="2"/>
  <c r="AC58" i="2"/>
  <c r="X58" i="2"/>
  <c r="AC57" i="2"/>
  <c r="X57" i="2"/>
  <c r="AC115" i="2"/>
  <c r="X115" i="2"/>
  <c r="J107" i="2"/>
  <c r="G106" i="2"/>
  <c r="H105" i="2"/>
  <c r="AC113" i="2"/>
  <c r="X113" i="2"/>
  <c r="AC107" i="2"/>
  <c r="X107" i="2"/>
  <c r="I101" i="2"/>
  <c r="H76" i="2"/>
  <c r="AC98" i="2"/>
  <c r="X98" i="2"/>
  <c r="J67" i="2"/>
  <c r="X80" i="2"/>
  <c r="AC80" i="2"/>
  <c r="F49" i="2"/>
  <c r="F50" i="2"/>
  <c r="AC38" i="2"/>
  <c r="X38" i="2"/>
  <c r="F27" i="2"/>
  <c r="K27" i="2"/>
  <c r="F28" i="2"/>
  <c r="K28" i="2"/>
  <c r="AC31" i="2"/>
  <c r="X31" i="2"/>
  <c r="X36" i="2"/>
  <c r="AC36" i="2"/>
  <c r="X37" i="2"/>
  <c r="AC37" i="2"/>
  <c r="AC29" i="2"/>
  <c r="X29" i="2"/>
  <c r="AC28" i="2"/>
  <c r="X28" i="2"/>
  <c r="F19" i="2"/>
  <c r="K19" i="2"/>
  <c r="AC27" i="2"/>
  <c r="X27" i="2"/>
  <c r="X35" i="2"/>
  <c r="AC35" i="2"/>
  <c r="AC15" i="2"/>
  <c r="X15" i="2"/>
  <c r="AC20" i="2"/>
  <c r="X20" i="2"/>
  <c r="AC19" i="2"/>
  <c r="X19" i="2"/>
  <c r="AC18" i="2"/>
  <c r="X18" i="2"/>
  <c r="AC17" i="2"/>
  <c r="X17" i="2"/>
  <c r="AC16" i="2"/>
  <c r="X16" i="2"/>
  <c r="AC14" i="2"/>
  <c r="X14" i="2"/>
  <c r="AC13" i="2"/>
  <c r="X13" i="2"/>
  <c r="K14" i="2"/>
  <c r="F14" i="2"/>
  <c r="K13" i="2"/>
  <c r="F13" i="2"/>
  <c r="K4" i="2"/>
  <c r="F4" i="2"/>
  <c r="X48" i="2"/>
  <c r="AC48" i="2"/>
  <c r="X52" i="2"/>
  <c r="AC52" i="2"/>
  <c r="X49" i="2"/>
  <c r="AC49" i="2"/>
  <c r="AC6" i="2"/>
  <c r="X6" i="2"/>
  <c r="X543" i="2" l="1"/>
  <c r="F544" i="2"/>
  <c r="AI501" i="2"/>
  <c r="Q501" i="2"/>
  <c r="AD196" i="2"/>
  <c r="AD190" i="2"/>
  <c r="AD186" i="2"/>
  <c r="L223" i="2"/>
  <c r="L249" i="2" s="1"/>
  <c r="L224" i="2"/>
  <c r="L226" i="2"/>
  <c r="L227" i="2"/>
  <c r="L229" i="2"/>
  <c r="L230" i="2"/>
  <c r="L231" i="2"/>
  <c r="L232" i="2"/>
  <c r="L233" i="2"/>
  <c r="L235" i="2"/>
  <c r="L236" i="2"/>
  <c r="L240" i="2"/>
  <c r="L241" i="2"/>
  <c r="L244" i="2"/>
  <c r="L245" i="2"/>
  <c r="L246" i="2"/>
  <c r="L247" i="2"/>
  <c r="L248" i="2"/>
  <c r="P292" i="2"/>
  <c r="P298" i="2" s="1"/>
  <c r="P306" i="2" s="1"/>
  <c r="P334" i="2" s="1"/>
  <c r="P340" i="2" s="1"/>
  <c r="AI459" i="2"/>
  <c r="AC165" i="2"/>
  <c r="X207" i="2"/>
  <c r="AC333" i="2"/>
  <c r="AI333" i="2" s="1"/>
  <c r="L14" i="2"/>
  <c r="AD35" i="2"/>
  <c r="AD36" i="2"/>
  <c r="L27" i="2"/>
  <c r="AD58" i="2"/>
  <c r="AD61" i="2"/>
  <c r="AD64" i="2"/>
  <c r="AD67" i="2"/>
  <c r="AD70" i="2"/>
  <c r="AD73" i="2"/>
  <c r="AD76" i="2"/>
  <c r="L143" i="2"/>
  <c r="X165" i="2"/>
  <c r="AD122" i="2"/>
  <c r="AD191" i="2"/>
  <c r="AC207" i="2"/>
  <c r="AD205" i="2"/>
  <c r="AD202" i="2"/>
  <c r="AD215" i="2"/>
  <c r="AD218" i="2"/>
  <c r="AD219" i="2"/>
  <c r="L220" i="2"/>
  <c r="AD220" i="2"/>
  <c r="L221" i="2"/>
  <c r="AD221" i="2"/>
  <c r="L225" i="2"/>
  <c r="L228" i="2"/>
  <c r="AD228" i="2"/>
  <c r="AD229" i="2"/>
  <c r="AD230" i="2"/>
  <c r="AD231" i="2"/>
  <c r="AD232" i="2"/>
  <c r="AD233" i="2"/>
  <c r="L234" i="2"/>
  <c r="AD234" i="2"/>
  <c r="AD235" i="2"/>
  <c r="AD236" i="2"/>
  <c r="L237" i="2"/>
  <c r="AD237" i="2"/>
  <c r="L238" i="2"/>
  <c r="L239" i="2"/>
  <c r="L242" i="2"/>
  <c r="L243" i="2"/>
  <c r="AD131" i="2"/>
  <c r="L155" i="2"/>
  <c r="AD187" i="2"/>
  <c r="AD188" i="2"/>
  <c r="AD189" i="2"/>
  <c r="AD176" i="2"/>
  <c r="AI286" i="2"/>
  <c r="Q459" i="2"/>
  <c r="AI417" i="2"/>
  <c r="AF306" i="2"/>
  <c r="AF334" i="2" s="1"/>
  <c r="AF340" i="2" s="1"/>
  <c r="AE334" i="2"/>
  <c r="AE340" i="2" s="1"/>
  <c r="AD334" i="2"/>
  <c r="AD340" i="2" s="1"/>
  <c r="AG334" i="2"/>
  <c r="AG340" i="2" s="1"/>
  <c r="Q417" i="2"/>
  <c r="L348" i="2"/>
  <c r="L376" i="2" s="1"/>
  <c r="L382" i="2" s="1"/>
  <c r="L390" i="2" s="1"/>
  <c r="L418" i="2" s="1"/>
  <c r="L424" i="2" s="1"/>
  <c r="L432" i="2" s="1"/>
  <c r="L460" i="2" s="1"/>
  <c r="L466" i="2" s="1"/>
  <c r="L474" i="2" s="1"/>
  <c r="L502" i="2" s="1"/>
  <c r="Q333" i="2"/>
  <c r="Q291" i="2"/>
  <c r="L219" i="2"/>
  <c r="L218" i="2"/>
  <c r="AH293" i="2"/>
  <c r="Y293" i="2"/>
  <c r="AB293" i="2"/>
  <c r="AC293" i="2"/>
  <c r="AD293" i="2"/>
  <c r="AG293" i="2"/>
  <c r="AE293" i="2"/>
  <c r="AH306" i="2"/>
  <c r="AA293" i="2"/>
  <c r="U293" i="2"/>
  <c r="W293" i="2"/>
  <c r="V293" i="2"/>
  <c r="X293" i="2"/>
  <c r="L217" i="2"/>
  <c r="L178" i="2"/>
  <c r="L188" i="2"/>
  <c r="L173" i="2"/>
  <c r="AD142" i="2"/>
  <c r="AD144" i="2"/>
  <c r="AD119" i="2"/>
  <c r="L184" i="2"/>
  <c r="L4" i="2"/>
  <c r="AD13" i="2"/>
  <c r="AD17" i="2"/>
  <c r="AD20" i="2"/>
  <c r="AD27" i="2"/>
  <c r="AD29" i="2"/>
  <c r="AD31" i="2"/>
  <c r="AD38" i="2"/>
  <c r="AD115" i="2"/>
  <c r="AD59" i="2"/>
  <c r="AD62" i="2"/>
  <c r="AD65" i="2"/>
  <c r="AD68" i="2"/>
  <c r="AD71" i="2"/>
  <c r="AD74" i="2"/>
  <c r="AD77" i="2"/>
  <c r="AD134" i="2"/>
  <c r="L136" i="2"/>
  <c r="AD137" i="2"/>
  <c r="L142" i="2"/>
  <c r="AD145" i="2"/>
  <c r="L189" i="2"/>
  <c r="L186" i="2"/>
  <c r="AD199" i="2"/>
  <c r="AD201" i="2"/>
  <c r="L13" i="2"/>
  <c r="AD14" i="2"/>
  <c r="AD15" i="2"/>
  <c r="L19" i="2"/>
  <c r="L28" i="2"/>
  <c r="AD121" i="2"/>
  <c r="AD198" i="2"/>
  <c r="AD195" i="2"/>
  <c r="AD192" i="2"/>
  <c r="AD143" i="2"/>
  <c r="AD140" i="2"/>
  <c r="AD118" i="2"/>
  <c r="AD79" i="2"/>
  <c r="AD148" i="2"/>
  <c r="AD184" i="2"/>
  <c r="AD204" i="2"/>
  <c r="AD146" i="2"/>
  <c r="AD139" i="2"/>
  <c r="AD120" i="2"/>
  <c r="L176" i="2"/>
  <c r="L181" i="2"/>
  <c r="AD183" i="2"/>
  <c r="AD206" i="2"/>
  <c r="AD158" i="2"/>
  <c r="AD194" i="2"/>
  <c r="AD57" i="2"/>
  <c r="AD60" i="2"/>
  <c r="AD63" i="2"/>
  <c r="AD66" i="2"/>
  <c r="AD69" i="2"/>
  <c r="AD72" i="2"/>
  <c r="AD75" i="2"/>
  <c r="AD78" i="2"/>
  <c r="L144" i="2"/>
  <c r="L141" i="2"/>
  <c r="L177" i="2"/>
  <c r="L174" i="2"/>
  <c r="L185" i="2"/>
  <c r="AD182" i="2"/>
  <c r="AD98" i="2"/>
  <c r="AD113" i="2"/>
  <c r="L154" i="2"/>
  <c r="L157" i="2"/>
  <c r="AD159" i="2"/>
  <c r="L161" i="2"/>
  <c r="AD162" i="2"/>
  <c r="L164" i="2"/>
  <c r="L148" i="2"/>
  <c r="L139" i="2"/>
  <c r="L132" i="2"/>
  <c r="AD156" i="2"/>
  <c r="AD153" i="2"/>
  <c r="AD150" i="2"/>
  <c r="AD175" i="2"/>
  <c r="AD179" i="2"/>
  <c r="L192" i="2"/>
  <c r="L195" i="2"/>
  <c r="L198" i="2"/>
  <c r="AD200" i="2"/>
  <c r="L203" i="2"/>
  <c r="L206" i="2"/>
  <c r="F207" i="2"/>
  <c r="AD193" i="2"/>
  <c r="AD181" i="2"/>
  <c r="F249" i="2"/>
  <c r="L140" i="2"/>
  <c r="K249" i="2"/>
  <c r="F165" i="2"/>
  <c r="AD52" i="2"/>
  <c r="AD132" i="2"/>
  <c r="L135" i="2"/>
  <c r="AD136" i="2"/>
  <c r="L152" i="2"/>
  <c r="L158" i="2"/>
  <c r="L160" i="2"/>
  <c r="AD161" i="2"/>
  <c r="L163" i="2"/>
  <c r="AD164" i="2"/>
  <c r="L147" i="2"/>
  <c r="L134" i="2"/>
  <c r="L131" i="2"/>
  <c r="AD155" i="2"/>
  <c r="AD152" i="2"/>
  <c r="AD149" i="2"/>
  <c r="AD147" i="2"/>
  <c r="L190" i="2"/>
  <c r="L193" i="2"/>
  <c r="L196" i="2"/>
  <c r="L199" i="2"/>
  <c r="L201" i="2"/>
  <c r="L204" i="2"/>
  <c r="L183" i="2"/>
  <c r="AD197" i="2"/>
  <c r="AD185" i="2"/>
  <c r="AD48" i="2"/>
  <c r="AD107" i="2"/>
  <c r="AD133" i="2"/>
  <c r="AD135" i="2"/>
  <c r="L137" i="2"/>
  <c r="L150" i="2"/>
  <c r="L153" i="2"/>
  <c r="L156" i="2"/>
  <c r="L159" i="2"/>
  <c r="AD160" i="2"/>
  <c r="L162" i="2"/>
  <c r="AD163" i="2"/>
  <c r="L149" i="2"/>
  <c r="L146" i="2"/>
  <c r="AD157" i="2"/>
  <c r="AD154" i="2"/>
  <c r="AD151" i="2"/>
  <c r="AD141" i="2"/>
  <c r="AD174" i="2"/>
  <c r="L179" i="2"/>
  <c r="L191" i="2"/>
  <c r="L194" i="2"/>
  <c r="L197" i="2"/>
  <c r="L200" i="2"/>
  <c r="L202" i="2"/>
  <c r="L205" i="2"/>
  <c r="L175" i="2"/>
  <c r="L187" i="2"/>
  <c r="L182" i="2"/>
  <c r="AD203" i="2"/>
  <c r="L151" i="2"/>
  <c r="AD173" i="2"/>
  <c r="J207" i="2"/>
  <c r="K207" i="2"/>
  <c r="L145" i="2"/>
  <c r="L133" i="2"/>
  <c r="K165" i="2"/>
  <c r="H165" i="2"/>
  <c r="J165" i="2"/>
  <c r="AD80" i="2"/>
  <c r="AD37" i="2"/>
  <c r="AD28" i="2"/>
  <c r="AD19" i="2"/>
  <c r="AD18" i="2"/>
  <c r="AD16" i="2"/>
  <c r="AD49" i="2"/>
  <c r="AD6" i="2"/>
  <c r="J123" i="2"/>
  <c r="I123" i="2"/>
  <c r="H123" i="2"/>
  <c r="G123" i="2"/>
  <c r="E123" i="2"/>
  <c r="D123" i="2"/>
  <c r="C123" i="2"/>
  <c r="B123" i="2"/>
  <c r="K122" i="2"/>
  <c r="F122" i="2"/>
  <c r="K121" i="2"/>
  <c r="F121" i="2"/>
  <c r="K120" i="2"/>
  <c r="F120" i="2"/>
  <c r="K119" i="2"/>
  <c r="F119" i="2"/>
  <c r="K118" i="2"/>
  <c r="F118" i="2"/>
  <c r="AC117" i="2"/>
  <c r="X117" i="2"/>
  <c r="K117" i="2"/>
  <c r="F117" i="2"/>
  <c r="AC116" i="2"/>
  <c r="X116" i="2"/>
  <c r="K116" i="2"/>
  <c r="F116" i="2"/>
  <c r="K115" i="2"/>
  <c r="F115" i="2"/>
  <c r="AC114" i="2"/>
  <c r="X114" i="2"/>
  <c r="K114" i="2"/>
  <c r="F114" i="2"/>
  <c r="K113" i="2"/>
  <c r="F113" i="2"/>
  <c r="AC112" i="2"/>
  <c r="X112" i="2"/>
  <c r="K112" i="2"/>
  <c r="F112" i="2"/>
  <c r="AC111" i="2"/>
  <c r="X111" i="2"/>
  <c r="K111" i="2"/>
  <c r="F111" i="2"/>
  <c r="AC110" i="2"/>
  <c r="X110" i="2"/>
  <c r="K110" i="2"/>
  <c r="F110" i="2"/>
  <c r="AC109" i="2"/>
  <c r="X109" i="2"/>
  <c r="K109" i="2"/>
  <c r="F109" i="2"/>
  <c r="AC108" i="2"/>
  <c r="X108" i="2"/>
  <c r="K108" i="2"/>
  <c r="F108" i="2"/>
  <c r="K107" i="2"/>
  <c r="F107" i="2"/>
  <c r="AC106" i="2"/>
  <c r="X106" i="2"/>
  <c r="K106" i="2"/>
  <c r="F106" i="2"/>
  <c r="AC105" i="2"/>
  <c r="X105" i="2"/>
  <c r="K105" i="2"/>
  <c r="F105" i="2"/>
  <c r="AC104" i="2"/>
  <c r="X104" i="2"/>
  <c r="K104" i="2"/>
  <c r="F104" i="2"/>
  <c r="AC103" i="2"/>
  <c r="X103" i="2"/>
  <c r="K103" i="2"/>
  <c r="F103" i="2"/>
  <c r="AC102" i="2"/>
  <c r="X102" i="2"/>
  <c r="K102" i="2"/>
  <c r="F102" i="2"/>
  <c r="AC101" i="2"/>
  <c r="X101" i="2"/>
  <c r="K101" i="2"/>
  <c r="F101" i="2"/>
  <c r="AC100" i="2"/>
  <c r="X100" i="2"/>
  <c r="K100" i="2"/>
  <c r="F100" i="2"/>
  <c r="AC99" i="2"/>
  <c r="X99" i="2"/>
  <c r="K99" i="2"/>
  <c r="F99" i="2"/>
  <c r="K98" i="2"/>
  <c r="F98" i="2"/>
  <c r="AC97" i="2"/>
  <c r="AC123" i="2" s="1"/>
  <c r="X97" i="2"/>
  <c r="X123" i="2" s="1"/>
  <c r="K97" i="2"/>
  <c r="F97" i="2"/>
  <c r="AC95" i="2"/>
  <c r="X95" i="2"/>
  <c r="K95" i="2"/>
  <c r="F95" i="2"/>
  <c r="AC94" i="2"/>
  <c r="X94" i="2"/>
  <c r="K94" i="2"/>
  <c r="F94" i="2"/>
  <c r="AC93" i="2"/>
  <c r="X93" i="2"/>
  <c r="K93" i="2"/>
  <c r="F93" i="2"/>
  <c r="AC92" i="2"/>
  <c r="X92" i="2"/>
  <c r="K92" i="2"/>
  <c r="F92" i="2"/>
  <c r="AC91" i="2"/>
  <c r="X91" i="2"/>
  <c r="K91" i="2"/>
  <c r="F91" i="2"/>
  <c r="AC90" i="2"/>
  <c r="X90" i="2"/>
  <c r="K90" i="2"/>
  <c r="F90" i="2"/>
  <c r="AC89" i="2"/>
  <c r="X89" i="2"/>
  <c r="K89" i="2"/>
  <c r="F89" i="2"/>
  <c r="AB81" i="2"/>
  <c r="AA81" i="2"/>
  <c r="Z81" i="2"/>
  <c r="Y81" i="2"/>
  <c r="W81" i="2"/>
  <c r="V81" i="2"/>
  <c r="U81" i="2"/>
  <c r="T81" i="2"/>
  <c r="J81" i="2"/>
  <c r="I81" i="2"/>
  <c r="H81" i="2"/>
  <c r="G81" i="2"/>
  <c r="E81" i="2"/>
  <c r="D81" i="2"/>
  <c r="C81" i="2"/>
  <c r="B81" i="2"/>
  <c r="K80" i="2"/>
  <c r="F80" i="2"/>
  <c r="K79" i="2"/>
  <c r="F79" i="2"/>
  <c r="K78" i="2"/>
  <c r="F78" i="2"/>
  <c r="K77" i="2"/>
  <c r="F77" i="2"/>
  <c r="K76" i="2"/>
  <c r="F76" i="2"/>
  <c r="K75" i="2"/>
  <c r="F75" i="2"/>
  <c r="K74" i="2"/>
  <c r="F74" i="2"/>
  <c r="K73" i="2"/>
  <c r="F73" i="2"/>
  <c r="K72" i="2"/>
  <c r="F72" i="2"/>
  <c r="K71" i="2"/>
  <c r="F71" i="2"/>
  <c r="K70" i="2"/>
  <c r="F70" i="2"/>
  <c r="K69" i="2"/>
  <c r="F69" i="2"/>
  <c r="K68" i="2"/>
  <c r="F68" i="2"/>
  <c r="K67" i="2"/>
  <c r="F67" i="2"/>
  <c r="K66" i="2"/>
  <c r="F66" i="2"/>
  <c r="K65" i="2"/>
  <c r="F65" i="2"/>
  <c r="K64" i="2"/>
  <c r="F64" i="2"/>
  <c r="K63" i="2"/>
  <c r="F63" i="2"/>
  <c r="K62" i="2"/>
  <c r="F62" i="2"/>
  <c r="K61" i="2"/>
  <c r="F61" i="2"/>
  <c r="K60" i="2"/>
  <c r="F60" i="2"/>
  <c r="K59" i="2"/>
  <c r="F59" i="2"/>
  <c r="K58" i="2"/>
  <c r="F58" i="2"/>
  <c r="K57" i="2"/>
  <c r="F57" i="2"/>
  <c r="AC56" i="2"/>
  <c r="X56" i="2"/>
  <c r="K56" i="2"/>
  <c r="F56" i="2"/>
  <c r="AC55" i="2"/>
  <c r="X55" i="2"/>
  <c r="K55" i="2"/>
  <c r="F55" i="2"/>
  <c r="AC53" i="2"/>
  <c r="X53" i="2"/>
  <c r="K53" i="2"/>
  <c r="F53" i="2"/>
  <c r="K52" i="2"/>
  <c r="F52" i="2"/>
  <c r="AC51" i="2"/>
  <c r="X51" i="2"/>
  <c r="K51" i="2"/>
  <c r="F51" i="2"/>
  <c r="AC50" i="2"/>
  <c r="X50" i="2"/>
  <c r="K50" i="2"/>
  <c r="K49" i="2"/>
  <c r="K48" i="2"/>
  <c r="F48" i="2"/>
  <c r="AC47" i="2"/>
  <c r="X47" i="2"/>
  <c r="K47" i="2"/>
  <c r="F47" i="2"/>
  <c r="AI543" i="2" l="1"/>
  <c r="AD207" i="2"/>
  <c r="AD165" i="2"/>
  <c r="L56" i="2"/>
  <c r="L73" i="2"/>
  <c r="L79" i="2"/>
  <c r="L115" i="2"/>
  <c r="L117" i="2"/>
  <c r="L119" i="2"/>
  <c r="L122" i="2"/>
  <c r="AD249" i="2"/>
  <c r="AG348" i="2"/>
  <c r="AG376" i="2" s="1"/>
  <c r="AF348" i="2"/>
  <c r="AF376" i="2" s="1"/>
  <c r="AD348" i="2"/>
  <c r="AD376" i="2" s="1"/>
  <c r="AE348" i="2"/>
  <c r="AE376" i="2" s="1"/>
  <c r="AH334" i="2"/>
  <c r="AH340" i="2" s="1"/>
  <c r="P348" i="2"/>
  <c r="P376" i="2" s="1"/>
  <c r="P382" i="2" s="1"/>
  <c r="P390" i="2" s="1"/>
  <c r="P418" i="2" s="1"/>
  <c r="P424" i="2" s="1"/>
  <c r="P432" i="2" s="1"/>
  <c r="P460" i="2" s="1"/>
  <c r="P466" i="2" s="1"/>
  <c r="P474" i="2" s="1"/>
  <c r="P502" i="2" s="1"/>
  <c r="L121" i="2"/>
  <c r="AD50" i="2"/>
  <c r="L71" i="2"/>
  <c r="L77" i="2"/>
  <c r="AD99" i="2"/>
  <c r="AD110" i="2"/>
  <c r="L116" i="2"/>
  <c r="L120" i="2"/>
  <c r="L207" i="2"/>
  <c r="AD89" i="2"/>
  <c r="AD95" i="2"/>
  <c r="L106" i="2"/>
  <c r="L67" i="2"/>
  <c r="L55" i="2"/>
  <c r="L59" i="2"/>
  <c r="AD93" i="2"/>
  <c r="L104" i="2"/>
  <c r="L114" i="2"/>
  <c r="L66" i="2"/>
  <c r="L78" i="2"/>
  <c r="L111" i="2"/>
  <c r="L165" i="2"/>
  <c r="L113" i="2"/>
  <c r="L94" i="2"/>
  <c r="AD116" i="2"/>
  <c r="L92" i="2"/>
  <c r="L107" i="2"/>
  <c r="L105" i="2"/>
  <c r="L103" i="2"/>
  <c r="AD108" i="2"/>
  <c r="L90" i="2"/>
  <c r="L101" i="2"/>
  <c r="L97" i="2"/>
  <c r="L89" i="2"/>
  <c r="L75" i="2"/>
  <c r="L74" i="2"/>
  <c r="L53" i="2"/>
  <c r="L70" i="2"/>
  <c r="AD97" i="2"/>
  <c r="L69" i="2"/>
  <c r="L68" i="2"/>
  <c r="AD55" i="2"/>
  <c r="L118" i="2"/>
  <c r="L109" i="2"/>
  <c r="L62" i="2"/>
  <c r="L80" i="2"/>
  <c r="L60" i="2"/>
  <c r="L100" i="2"/>
  <c r="L112" i="2"/>
  <c r="L64" i="2"/>
  <c r="L63" i="2"/>
  <c r="L65" i="2"/>
  <c r="L72" i="2"/>
  <c r="L76" i="2"/>
  <c r="AD102" i="2"/>
  <c r="AD117" i="2"/>
  <c r="L61" i="2"/>
  <c r="AD90" i="2"/>
  <c r="AD92" i="2"/>
  <c r="AD94" i="2"/>
  <c r="L91" i="2"/>
  <c r="L93" i="2"/>
  <c r="L95" i="2"/>
  <c r="AD103" i="2"/>
  <c r="AD112" i="2"/>
  <c r="AD53" i="2"/>
  <c r="K81" i="2"/>
  <c r="L98" i="2"/>
  <c r="AD109" i="2"/>
  <c r="AD114" i="2"/>
  <c r="L50" i="2"/>
  <c r="L52" i="2"/>
  <c r="AD56" i="2"/>
  <c r="AD100" i="2"/>
  <c r="AD111" i="2"/>
  <c r="L57" i="2"/>
  <c r="AD106" i="2"/>
  <c r="L108" i="2"/>
  <c r="L110" i="2"/>
  <c r="AD51" i="2"/>
  <c r="AD47" i="2"/>
  <c r="AC81" i="2"/>
  <c r="L48" i="2"/>
  <c r="L51" i="2"/>
  <c r="AD91" i="2"/>
  <c r="AD105" i="2"/>
  <c r="AD101" i="2"/>
  <c r="AD104" i="2"/>
  <c r="K123" i="2"/>
  <c r="L99" i="2"/>
  <c r="L102" i="2"/>
  <c r="F123" i="2"/>
  <c r="L49" i="2"/>
  <c r="L58" i="2"/>
  <c r="F81" i="2"/>
  <c r="X81" i="2"/>
  <c r="L47" i="2"/>
  <c r="AD123" i="2" l="1"/>
  <c r="AD382" i="2"/>
  <c r="AD390" i="2" s="1"/>
  <c r="AD418" i="2" s="1"/>
  <c r="AD424" i="2" s="1"/>
  <c r="AD432" i="2" s="1"/>
  <c r="AD460" i="2" s="1"/>
  <c r="AD466" i="2" s="1"/>
  <c r="AD474" i="2" s="1"/>
  <c r="AD502" i="2" s="1"/>
  <c r="AF382" i="2"/>
  <c r="AF390" i="2" s="1"/>
  <c r="AF418" i="2" s="1"/>
  <c r="AF424" i="2" s="1"/>
  <c r="AF432" i="2" s="1"/>
  <c r="AF460" i="2" s="1"/>
  <c r="AF466" i="2" s="1"/>
  <c r="AF474" i="2" s="1"/>
  <c r="AF502" i="2" s="1"/>
  <c r="AG382" i="2"/>
  <c r="AG390" i="2" s="1"/>
  <c r="AG418" i="2" s="1"/>
  <c r="AG424" i="2" s="1"/>
  <c r="AG432" i="2" s="1"/>
  <c r="AG460" i="2" s="1"/>
  <c r="AG466" i="2" s="1"/>
  <c r="AG474" i="2" s="1"/>
  <c r="AG502" i="2" s="1"/>
  <c r="AE382" i="2"/>
  <c r="AE390" i="2" s="1"/>
  <c r="AE418" i="2" s="1"/>
  <c r="AE424" i="2" s="1"/>
  <c r="AE432" i="2" s="1"/>
  <c r="AE460" i="2" s="1"/>
  <c r="AE466" i="2" s="1"/>
  <c r="AE474" i="2" s="1"/>
  <c r="AE502" i="2" s="1"/>
  <c r="AH348" i="2"/>
  <c r="AH376" i="2" s="1"/>
  <c r="L81" i="2"/>
  <c r="L123" i="2"/>
  <c r="AD81" i="2"/>
  <c r="AB39" i="2"/>
  <c r="AA39" i="2"/>
  <c r="Z39" i="2"/>
  <c r="Y39" i="2"/>
  <c r="W39" i="2"/>
  <c r="V39" i="2"/>
  <c r="U39" i="2"/>
  <c r="T39" i="2"/>
  <c r="AC34" i="2"/>
  <c r="X34" i="2"/>
  <c r="AC33" i="2"/>
  <c r="X33" i="2"/>
  <c r="AC32" i="2"/>
  <c r="X32" i="2"/>
  <c r="AC30" i="2"/>
  <c r="X30" i="2"/>
  <c r="AC26" i="2"/>
  <c r="X26" i="2"/>
  <c r="AC25" i="2"/>
  <c r="X25" i="2"/>
  <c r="AC24" i="2"/>
  <c r="X24" i="2"/>
  <c r="AC23" i="2"/>
  <c r="X23" i="2"/>
  <c r="AC22" i="2"/>
  <c r="X22" i="2"/>
  <c r="AC21" i="2"/>
  <c r="X21" i="2"/>
  <c r="AB12" i="2"/>
  <c r="AA12" i="2"/>
  <c r="Z12" i="2"/>
  <c r="Y12" i="2"/>
  <c r="W12" i="2"/>
  <c r="V12" i="2"/>
  <c r="U12" i="2"/>
  <c r="T12" i="2"/>
  <c r="AC11" i="2"/>
  <c r="X11" i="2"/>
  <c r="AC10" i="2"/>
  <c r="X10" i="2"/>
  <c r="AC9" i="2"/>
  <c r="X9" i="2"/>
  <c r="AC8" i="2"/>
  <c r="X8" i="2"/>
  <c r="AC7" i="2"/>
  <c r="X7" i="2"/>
  <c r="AC5" i="2"/>
  <c r="X5" i="2"/>
  <c r="AC4" i="2"/>
  <c r="X4" i="2"/>
  <c r="C39" i="2"/>
  <c r="D39" i="2"/>
  <c r="E39" i="2"/>
  <c r="G39" i="2"/>
  <c r="H39" i="2"/>
  <c r="I39" i="2"/>
  <c r="J39" i="2"/>
  <c r="B39" i="2"/>
  <c r="F15" i="2"/>
  <c r="K15" i="2"/>
  <c r="F16" i="2"/>
  <c r="K16" i="2"/>
  <c r="F17" i="2"/>
  <c r="K17" i="2"/>
  <c r="F18" i="2"/>
  <c r="K18" i="2"/>
  <c r="F20" i="2"/>
  <c r="K20" i="2"/>
  <c r="F21" i="2"/>
  <c r="K21" i="2"/>
  <c r="F22" i="2"/>
  <c r="K22" i="2"/>
  <c r="F23" i="2"/>
  <c r="K23" i="2"/>
  <c r="F24" i="2"/>
  <c r="K24" i="2"/>
  <c r="F25" i="2"/>
  <c r="K25" i="2"/>
  <c r="F26" i="2"/>
  <c r="K26" i="2"/>
  <c r="F29" i="2"/>
  <c r="K29" i="2"/>
  <c r="F30" i="2"/>
  <c r="K30" i="2"/>
  <c r="F31" i="2"/>
  <c r="K31" i="2"/>
  <c r="F32" i="2"/>
  <c r="K32" i="2"/>
  <c r="F33" i="2"/>
  <c r="K33" i="2"/>
  <c r="F34" i="2"/>
  <c r="K34" i="2"/>
  <c r="F35" i="2"/>
  <c r="K35" i="2"/>
  <c r="F36" i="2"/>
  <c r="K36" i="2"/>
  <c r="F37" i="2"/>
  <c r="K37" i="2"/>
  <c r="F38" i="2"/>
  <c r="K38" i="2"/>
  <c r="C12" i="2"/>
  <c r="D12" i="2"/>
  <c r="E12" i="2"/>
  <c r="G12" i="2"/>
  <c r="H12" i="2"/>
  <c r="I12" i="2"/>
  <c r="J12" i="2"/>
  <c r="B12" i="2"/>
  <c r="F6" i="2"/>
  <c r="F7" i="2"/>
  <c r="F8" i="2"/>
  <c r="F9" i="2"/>
  <c r="F10" i="2"/>
  <c r="F11" i="2"/>
  <c r="F5" i="2"/>
  <c r="AG503" i="2" l="1"/>
  <c r="AG508" i="2"/>
  <c r="AG516" i="2" s="1"/>
  <c r="AG544" i="2" s="1"/>
  <c r="AD503" i="2"/>
  <c r="AD508" i="2"/>
  <c r="AD516" i="2" s="1"/>
  <c r="AD544" i="2" s="1"/>
  <c r="AF503" i="2"/>
  <c r="AF508" i="2"/>
  <c r="AF516" i="2" s="1"/>
  <c r="AF544" i="2" s="1"/>
  <c r="AE503" i="2"/>
  <c r="AE508" i="2"/>
  <c r="AE516" i="2" s="1"/>
  <c r="AE544" i="2" s="1"/>
  <c r="L32" i="2"/>
  <c r="T167" i="2"/>
  <c r="V167" i="2"/>
  <c r="Y167" i="2"/>
  <c r="AA167" i="2"/>
  <c r="U167" i="2"/>
  <c r="W167" i="2"/>
  <c r="Z167" i="2"/>
  <c r="AB167" i="2"/>
  <c r="AH382" i="2"/>
  <c r="AH390" i="2" s="1"/>
  <c r="AH418" i="2" s="1"/>
  <c r="AH424" i="2" s="1"/>
  <c r="AH432" i="2" s="1"/>
  <c r="AH460" i="2" s="1"/>
  <c r="AH466" i="2" s="1"/>
  <c r="AH474" i="2" s="1"/>
  <c r="AH502" i="2" s="1"/>
  <c r="AD23" i="2"/>
  <c r="L30" i="2"/>
  <c r="L26" i="2"/>
  <c r="L16" i="2"/>
  <c r="AB40" i="2"/>
  <c r="AB46" i="2" s="1"/>
  <c r="AA40" i="2"/>
  <c r="AA46" i="2" s="1"/>
  <c r="T40" i="2"/>
  <c r="T46" i="2" s="1"/>
  <c r="L33" i="2"/>
  <c r="L18" i="2"/>
  <c r="AD33" i="2"/>
  <c r="L36" i="2"/>
  <c r="L25" i="2"/>
  <c r="L21" i="2"/>
  <c r="L17" i="2"/>
  <c r="W40" i="2"/>
  <c r="W46" i="2" s="1"/>
  <c r="L24" i="2"/>
  <c r="L20" i="2"/>
  <c r="L37" i="2"/>
  <c r="L22" i="2"/>
  <c r="L38" i="2"/>
  <c r="L34" i="2"/>
  <c r="L23" i="2"/>
  <c r="AD11" i="2"/>
  <c r="AD21" i="2"/>
  <c r="AD25" i="2"/>
  <c r="X39" i="2"/>
  <c r="X167" i="2" s="1"/>
  <c r="AD22" i="2"/>
  <c r="L29" i="2"/>
  <c r="AD34" i="2"/>
  <c r="L35" i="2"/>
  <c r="AD10" i="2"/>
  <c r="L31" i="2"/>
  <c r="L15" i="2"/>
  <c r="AD9" i="2"/>
  <c r="AD5" i="2"/>
  <c r="AD4" i="2"/>
  <c r="Z40" i="2"/>
  <c r="Z46" i="2" s="1"/>
  <c r="B40" i="2"/>
  <c r="B46" i="2" s="1"/>
  <c r="B54" i="2" s="1"/>
  <c r="B82" i="2" s="1"/>
  <c r="B88" i="2" s="1"/>
  <c r="B96" i="2" s="1"/>
  <c r="B124" i="2" s="1"/>
  <c r="B130" i="2" s="1"/>
  <c r="B138" i="2" s="1"/>
  <c r="B166" i="2" s="1"/>
  <c r="B172" i="2" s="1"/>
  <c r="C40" i="2"/>
  <c r="C46" i="2" s="1"/>
  <c r="C54" i="2" s="1"/>
  <c r="C82" i="2" s="1"/>
  <c r="C88" i="2" s="1"/>
  <c r="C96" i="2" s="1"/>
  <c r="C124" i="2" s="1"/>
  <c r="C130" i="2" s="1"/>
  <c r="C138" i="2" s="1"/>
  <c r="C166" i="2" s="1"/>
  <c r="C172" i="2" s="1"/>
  <c r="C180" i="2" s="1"/>
  <c r="C208" i="2" s="1"/>
  <c r="C214" i="2" s="1"/>
  <c r="C222" i="2" s="1"/>
  <c r="C250" i="2" s="1"/>
  <c r="C256" i="2" s="1"/>
  <c r="C264" i="2" s="1"/>
  <c r="C292" i="2" s="1"/>
  <c r="C298" i="2" s="1"/>
  <c r="C306" i="2" s="1"/>
  <c r="C334" i="2" s="1"/>
  <c r="C340" i="2" s="1"/>
  <c r="C348" i="2" s="1"/>
  <c r="C376" i="2" s="1"/>
  <c r="C382" i="2" s="1"/>
  <c r="C390" i="2" s="1"/>
  <c r="C418" i="2" s="1"/>
  <c r="C424" i="2" s="1"/>
  <c r="C432" i="2" s="1"/>
  <c r="C460" i="2" s="1"/>
  <c r="C466" i="2" s="1"/>
  <c r="C474" i="2" s="1"/>
  <c r="C502" i="2" s="1"/>
  <c r="U40" i="2"/>
  <c r="U46" i="2" s="1"/>
  <c r="V40" i="2"/>
  <c r="V46" i="2" s="1"/>
  <c r="Y40" i="2"/>
  <c r="Y46" i="2" s="1"/>
  <c r="J40" i="2"/>
  <c r="J46" i="2" s="1"/>
  <c r="J54" i="2" s="1"/>
  <c r="J82" i="2" s="1"/>
  <c r="J88" i="2" s="1"/>
  <c r="J96" i="2" s="1"/>
  <c r="J124" i="2" s="1"/>
  <c r="J130" i="2" s="1"/>
  <c r="J138" i="2" s="1"/>
  <c r="J166" i="2" s="1"/>
  <c r="J172" i="2" s="1"/>
  <c r="J180" i="2" s="1"/>
  <c r="J208" i="2" s="1"/>
  <c r="J214" i="2" s="1"/>
  <c r="J222" i="2" s="1"/>
  <c r="J250" i="2" s="1"/>
  <c r="J256" i="2" s="1"/>
  <c r="J264" i="2" s="1"/>
  <c r="J292" i="2" s="1"/>
  <c r="J298" i="2" s="1"/>
  <c r="J306" i="2" s="1"/>
  <c r="J334" i="2" s="1"/>
  <c r="J340" i="2" s="1"/>
  <c r="J348" i="2" s="1"/>
  <c r="J376" i="2" s="1"/>
  <c r="J382" i="2" s="1"/>
  <c r="J390" i="2" s="1"/>
  <c r="J418" i="2" s="1"/>
  <c r="J424" i="2" s="1"/>
  <c r="J432" i="2" s="1"/>
  <c r="J460" i="2" s="1"/>
  <c r="J466" i="2" s="1"/>
  <c r="J474" i="2" s="1"/>
  <c r="J502" i="2" s="1"/>
  <c r="J508" i="2" s="1"/>
  <c r="J516" i="2" s="1"/>
  <c r="J544" i="2" s="1"/>
  <c r="K39" i="2"/>
  <c r="I40" i="2"/>
  <c r="I46" i="2" s="1"/>
  <c r="I54" i="2" s="1"/>
  <c r="I82" i="2" s="1"/>
  <c r="I88" i="2" s="1"/>
  <c r="I96" i="2" s="1"/>
  <c r="I124" i="2" s="1"/>
  <c r="I130" i="2" s="1"/>
  <c r="I138" i="2" s="1"/>
  <c r="I166" i="2" s="1"/>
  <c r="I172" i="2" s="1"/>
  <c r="I180" i="2" s="1"/>
  <c r="I208" i="2" s="1"/>
  <c r="I214" i="2" s="1"/>
  <c r="I222" i="2" s="1"/>
  <c r="I250" i="2" s="1"/>
  <c r="I256" i="2" s="1"/>
  <c r="I264" i="2" s="1"/>
  <c r="I292" i="2" s="1"/>
  <c r="I298" i="2" s="1"/>
  <c r="I306" i="2" s="1"/>
  <c r="I334" i="2" s="1"/>
  <c r="I340" i="2" s="1"/>
  <c r="I348" i="2" s="1"/>
  <c r="I376" i="2" s="1"/>
  <c r="I382" i="2" s="1"/>
  <c r="I390" i="2" s="1"/>
  <c r="I418" i="2" s="1"/>
  <c r="I424" i="2" s="1"/>
  <c r="I432" i="2" s="1"/>
  <c r="I460" i="2" s="1"/>
  <c r="I466" i="2" s="1"/>
  <c r="I474" i="2" s="1"/>
  <c r="I502" i="2" s="1"/>
  <c r="I508" i="2" s="1"/>
  <c r="I516" i="2" s="1"/>
  <c r="I544" i="2" s="1"/>
  <c r="H40" i="2"/>
  <c r="H46" i="2" s="1"/>
  <c r="H54" i="2" s="1"/>
  <c r="H82" i="2" s="1"/>
  <c r="H88" i="2" s="1"/>
  <c r="H96" i="2" s="1"/>
  <c r="H124" i="2" s="1"/>
  <c r="H130" i="2" s="1"/>
  <c r="H138" i="2" s="1"/>
  <c r="H166" i="2" s="1"/>
  <c r="H172" i="2" s="1"/>
  <c r="H180" i="2" s="1"/>
  <c r="H208" i="2" s="1"/>
  <c r="H214" i="2" s="1"/>
  <c r="H222" i="2" s="1"/>
  <c r="H250" i="2" s="1"/>
  <c r="H256" i="2" s="1"/>
  <c r="H264" i="2" s="1"/>
  <c r="H292" i="2" s="1"/>
  <c r="H298" i="2" s="1"/>
  <c r="H306" i="2" s="1"/>
  <c r="H334" i="2" s="1"/>
  <c r="H340" i="2" s="1"/>
  <c r="H348" i="2" s="1"/>
  <c r="H376" i="2" s="1"/>
  <c r="H382" i="2" s="1"/>
  <c r="H390" i="2" s="1"/>
  <c r="H418" i="2" s="1"/>
  <c r="H424" i="2" s="1"/>
  <c r="H432" i="2" s="1"/>
  <c r="H460" i="2" s="1"/>
  <c r="H466" i="2" s="1"/>
  <c r="H474" i="2" s="1"/>
  <c r="H502" i="2" s="1"/>
  <c r="H508" i="2" s="1"/>
  <c r="H516" i="2" s="1"/>
  <c r="H544" i="2" s="1"/>
  <c r="G40" i="2"/>
  <c r="G46" i="2" s="1"/>
  <c r="G54" i="2" s="1"/>
  <c r="G82" i="2" s="1"/>
  <c r="G88" i="2" s="1"/>
  <c r="G96" i="2" s="1"/>
  <c r="G124" i="2" s="1"/>
  <c r="G130" i="2" s="1"/>
  <c r="G138" i="2" s="1"/>
  <c r="G166" i="2" s="1"/>
  <c r="G172" i="2" s="1"/>
  <c r="G180" i="2" s="1"/>
  <c r="G208" i="2" s="1"/>
  <c r="G214" i="2" s="1"/>
  <c r="G222" i="2" s="1"/>
  <c r="G250" i="2" s="1"/>
  <c r="G256" i="2" s="1"/>
  <c r="G264" i="2" s="1"/>
  <c r="G292" i="2" s="1"/>
  <c r="G298" i="2" s="1"/>
  <c r="G306" i="2" s="1"/>
  <c r="G334" i="2" s="1"/>
  <c r="G340" i="2" s="1"/>
  <c r="G348" i="2" s="1"/>
  <c r="G376" i="2" s="1"/>
  <c r="G382" i="2" s="1"/>
  <c r="G390" i="2" s="1"/>
  <c r="G418" i="2" s="1"/>
  <c r="G424" i="2" s="1"/>
  <c r="G432" i="2" s="1"/>
  <c r="G460" i="2" s="1"/>
  <c r="G466" i="2" s="1"/>
  <c r="G474" i="2" s="1"/>
  <c r="G502" i="2" s="1"/>
  <c r="G508" i="2" s="1"/>
  <c r="G516" i="2" s="1"/>
  <c r="G544" i="2" s="1"/>
  <c r="F39" i="2"/>
  <c r="D40" i="2"/>
  <c r="D46" i="2" s="1"/>
  <c r="D54" i="2" s="1"/>
  <c r="D82" i="2" s="1"/>
  <c r="D88" i="2" s="1"/>
  <c r="D96" i="2" s="1"/>
  <c r="D124" i="2" s="1"/>
  <c r="D130" i="2" s="1"/>
  <c r="D138" i="2" s="1"/>
  <c r="D166" i="2" s="1"/>
  <c r="D172" i="2" s="1"/>
  <c r="D180" i="2" s="1"/>
  <c r="D208" i="2" s="1"/>
  <c r="D214" i="2" s="1"/>
  <c r="D222" i="2" s="1"/>
  <c r="D250" i="2" s="1"/>
  <c r="D256" i="2" s="1"/>
  <c r="D264" i="2" s="1"/>
  <c r="D292" i="2" s="1"/>
  <c r="D298" i="2" s="1"/>
  <c r="D306" i="2" s="1"/>
  <c r="D334" i="2" s="1"/>
  <c r="D340" i="2" s="1"/>
  <c r="D348" i="2" s="1"/>
  <c r="D376" i="2" s="1"/>
  <c r="D382" i="2" s="1"/>
  <c r="D390" i="2" s="1"/>
  <c r="D418" i="2" s="1"/>
  <c r="D424" i="2" s="1"/>
  <c r="D432" i="2" s="1"/>
  <c r="D460" i="2" s="1"/>
  <c r="D466" i="2" s="1"/>
  <c r="D474" i="2" s="1"/>
  <c r="D502" i="2" s="1"/>
  <c r="E40" i="2"/>
  <c r="E46" i="2" s="1"/>
  <c r="E54" i="2" s="1"/>
  <c r="E82" i="2" s="1"/>
  <c r="E88" i="2" s="1"/>
  <c r="E96" i="2" s="1"/>
  <c r="E124" i="2" s="1"/>
  <c r="E130" i="2" s="1"/>
  <c r="E138" i="2" s="1"/>
  <c r="E166" i="2" s="1"/>
  <c r="E172" i="2" s="1"/>
  <c r="E180" i="2" s="1"/>
  <c r="E208" i="2" s="1"/>
  <c r="E214" i="2" s="1"/>
  <c r="E222" i="2" s="1"/>
  <c r="E250" i="2" s="1"/>
  <c r="E256" i="2" s="1"/>
  <c r="E264" i="2" s="1"/>
  <c r="E292" i="2" s="1"/>
  <c r="E298" i="2" s="1"/>
  <c r="E306" i="2" s="1"/>
  <c r="E334" i="2" s="1"/>
  <c r="E340" i="2" s="1"/>
  <c r="E348" i="2" s="1"/>
  <c r="E376" i="2" s="1"/>
  <c r="E382" i="2" s="1"/>
  <c r="E390" i="2" s="1"/>
  <c r="E418" i="2" s="1"/>
  <c r="E424" i="2" s="1"/>
  <c r="E432" i="2" s="1"/>
  <c r="E460" i="2" s="1"/>
  <c r="E466" i="2" s="1"/>
  <c r="E474" i="2" s="1"/>
  <c r="E502" i="2" s="1"/>
  <c r="AD26" i="2"/>
  <c r="AD7" i="2"/>
  <c r="AC12" i="2"/>
  <c r="AD24" i="2"/>
  <c r="AD32" i="2"/>
  <c r="AC39" i="2"/>
  <c r="AC167" i="2" s="1"/>
  <c r="AD8" i="2"/>
  <c r="AD30" i="2"/>
  <c r="X12" i="2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F12" i="2"/>
  <c r="AH503" i="2" l="1"/>
  <c r="AH508" i="2"/>
  <c r="AH516" i="2" s="1"/>
  <c r="AB168" i="2"/>
  <c r="AC168" i="2"/>
  <c r="Y54" i="2"/>
  <c r="Y82" i="2" s="1"/>
  <c r="Y88" i="2" s="1"/>
  <c r="Y96" i="2" s="1"/>
  <c r="Y124" i="2" s="1"/>
  <c r="Y130" i="2" s="1"/>
  <c r="Y138" i="2" s="1"/>
  <c r="Y166" i="2" s="1"/>
  <c r="Y172" i="2" s="1"/>
  <c r="U54" i="2"/>
  <c r="U82" i="2" s="1"/>
  <c r="U88" i="2" s="1"/>
  <c r="U96" i="2" s="1"/>
  <c r="U124" i="2" s="1"/>
  <c r="U130" i="2" s="1"/>
  <c r="U138" i="2" s="1"/>
  <c r="U166" i="2" s="1"/>
  <c r="U172" i="2" s="1"/>
  <c r="B180" i="2"/>
  <c r="B208" i="2" s="1"/>
  <c r="B214" i="2" s="1"/>
  <c r="B222" i="2" s="1"/>
  <c r="B250" i="2" s="1"/>
  <c r="B256" i="2" s="1"/>
  <c r="B264" i="2" s="1"/>
  <c r="B292" i="2" s="1"/>
  <c r="B298" i="2" s="1"/>
  <c r="B306" i="2" s="1"/>
  <c r="B334" i="2" s="1"/>
  <c r="B340" i="2" s="1"/>
  <c r="B348" i="2" s="1"/>
  <c r="B376" i="2" s="1"/>
  <c r="B382" i="2" s="1"/>
  <c r="B390" i="2" s="1"/>
  <c r="B418" i="2" s="1"/>
  <c r="B424" i="2" s="1"/>
  <c r="B432" i="2" s="1"/>
  <c r="B460" i="2" s="1"/>
  <c r="B466" i="2" s="1"/>
  <c r="B474" i="2" s="1"/>
  <c r="B502" i="2" s="1"/>
  <c r="V168" i="2"/>
  <c r="X168" i="2"/>
  <c r="AA54" i="2"/>
  <c r="AA82" i="2" s="1"/>
  <c r="AA88" i="2" s="1"/>
  <c r="AA96" i="2" s="1"/>
  <c r="AA124" i="2" s="1"/>
  <c r="AA130" i="2" s="1"/>
  <c r="AA138" i="2" s="1"/>
  <c r="AA166" i="2" s="1"/>
  <c r="AA172" i="2" s="1"/>
  <c r="Z168" i="2"/>
  <c r="U168" i="2"/>
  <c r="Y168" i="2"/>
  <c r="T168" i="2"/>
  <c r="V54" i="2"/>
  <c r="V82" i="2" s="1"/>
  <c r="V88" i="2" s="1"/>
  <c r="V96" i="2" s="1"/>
  <c r="V124" i="2" s="1"/>
  <c r="V130" i="2" s="1"/>
  <c r="V138" i="2" s="1"/>
  <c r="V166" i="2" s="1"/>
  <c r="V172" i="2" s="1"/>
  <c r="Z54" i="2"/>
  <c r="Z82" i="2" s="1"/>
  <c r="Z88" i="2" s="1"/>
  <c r="Z96" i="2" s="1"/>
  <c r="Z124" i="2" s="1"/>
  <c r="Z130" i="2" s="1"/>
  <c r="Z138" i="2" s="1"/>
  <c r="Z166" i="2" s="1"/>
  <c r="Z172" i="2" s="1"/>
  <c r="W54" i="2"/>
  <c r="W82" i="2" s="1"/>
  <c r="W88" i="2" s="1"/>
  <c r="W96" i="2" s="1"/>
  <c r="W124" i="2" s="1"/>
  <c r="W130" i="2" s="1"/>
  <c r="W138" i="2" s="1"/>
  <c r="W166" i="2" s="1"/>
  <c r="W172" i="2" s="1"/>
  <c r="T54" i="2"/>
  <c r="T82" i="2" s="1"/>
  <c r="T88" i="2" s="1"/>
  <c r="T96" i="2" s="1"/>
  <c r="T124" i="2" s="1"/>
  <c r="T130" i="2" s="1"/>
  <c r="T138" i="2" s="1"/>
  <c r="T166" i="2" s="1"/>
  <c r="T172" i="2" s="1"/>
  <c r="AB54" i="2"/>
  <c r="AB82" i="2" s="1"/>
  <c r="AB88" i="2" s="1"/>
  <c r="AB96" i="2" s="1"/>
  <c r="AB124" i="2" s="1"/>
  <c r="AB130" i="2" s="1"/>
  <c r="AB138" i="2" s="1"/>
  <c r="AB166" i="2" s="1"/>
  <c r="AB172" i="2" s="1"/>
  <c r="W168" i="2"/>
  <c r="AA168" i="2"/>
  <c r="X40" i="2"/>
  <c r="X46" i="2" s="1"/>
  <c r="L39" i="2"/>
  <c r="AD12" i="2"/>
  <c r="K12" i="2"/>
  <c r="K40" i="2" s="1"/>
  <c r="K46" i="2" s="1"/>
  <c r="K54" i="2" s="1"/>
  <c r="K82" i="2" s="1"/>
  <c r="K88" i="2" s="1"/>
  <c r="K96" i="2" s="1"/>
  <c r="K124" i="2" s="1"/>
  <c r="K130" i="2" s="1"/>
  <c r="K138" i="2" s="1"/>
  <c r="K166" i="2" s="1"/>
  <c r="K172" i="2" s="1"/>
  <c r="K180" i="2" s="1"/>
  <c r="K208" i="2" s="1"/>
  <c r="K214" i="2" s="1"/>
  <c r="AC40" i="2"/>
  <c r="AC46" i="2" s="1"/>
  <c r="F40" i="2"/>
  <c r="F46" i="2" s="1"/>
  <c r="F54" i="2" s="1"/>
  <c r="F82" i="2" s="1"/>
  <c r="F88" i="2" s="1"/>
  <c r="F96" i="2" s="1"/>
  <c r="F124" i="2" s="1"/>
  <c r="F130" i="2" s="1"/>
  <c r="F138" i="2" s="1"/>
  <c r="F166" i="2" s="1"/>
  <c r="F172" i="2" s="1"/>
  <c r="F180" i="2" s="1"/>
  <c r="F208" i="2" s="1"/>
  <c r="F214" i="2" s="1"/>
  <c r="F222" i="2" s="1"/>
  <c r="F250" i="2" s="1"/>
  <c r="F256" i="2" s="1"/>
  <c r="F264" i="2" s="1"/>
  <c r="F292" i="2" s="1"/>
  <c r="F298" i="2" s="1"/>
  <c r="F306" i="2" s="1"/>
  <c r="F334" i="2" s="1"/>
  <c r="F340" i="2" s="1"/>
  <c r="AD39" i="2"/>
  <c r="AD167" i="2" s="1"/>
  <c r="L12" i="2"/>
  <c r="AH544" i="2" l="1"/>
  <c r="AC54" i="2"/>
  <c r="AC82" i="2" s="1"/>
  <c r="AC88" i="2" s="1"/>
  <c r="AC96" i="2" s="1"/>
  <c r="AC124" i="2" s="1"/>
  <c r="AC130" i="2" s="1"/>
  <c r="AC138" i="2" s="1"/>
  <c r="AC166" i="2" s="1"/>
  <c r="AC172" i="2" s="1"/>
  <c r="X54" i="2"/>
  <c r="X82" i="2" s="1"/>
  <c r="X88" i="2" s="1"/>
  <c r="X96" i="2" s="1"/>
  <c r="X124" i="2" s="1"/>
  <c r="X130" i="2" s="1"/>
  <c r="X138" i="2" s="1"/>
  <c r="X166" i="2" s="1"/>
  <c r="X172" i="2" s="1"/>
  <c r="V180" i="2"/>
  <c r="V208" i="2" s="1"/>
  <c r="V214" i="2" s="1"/>
  <c r="V222" i="2" s="1"/>
  <c r="V250" i="2" s="1"/>
  <c r="AA180" i="2"/>
  <c r="AA208" i="2" s="1"/>
  <c r="AA214" i="2" s="1"/>
  <c r="AA222" i="2" s="1"/>
  <c r="AA250" i="2" s="1"/>
  <c r="W180" i="2"/>
  <c r="W208" i="2" s="1"/>
  <c r="W214" i="2" s="1"/>
  <c r="W222" i="2" s="1"/>
  <c r="W250" i="2" s="1"/>
  <c r="Y180" i="2"/>
  <c r="Y208" i="2" s="1"/>
  <c r="Y214" i="2" s="1"/>
  <c r="Y222" i="2" s="1"/>
  <c r="Y250" i="2" s="1"/>
  <c r="U180" i="2"/>
  <c r="U208" i="2" s="1"/>
  <c r="U214" i="2" s="1"/>
  <c r="U222" i="2" s="1"/>
  <c r="U250" i="2" s="1"/>
  <c r="T180" i="2"/>
  <c r="T208" i="2" s="1"/>
  <c r="T214" i="2" s="1"/>
  <c r="T222" i="2" s="1"/>
  <c r="T250" i="2" s="1"/>
  <c r="Z180" i="2"/>
  <c r="Z208" i="2" s="1"/>
  <c r="Z214" i="2" s="1"/>
  <c r="Z222" i="2" s="1"/>
  <c r="Z250" i="2" s="1"/>
  <c r="AB180" i="2"/>
  <c r="AB208" i="2" s="1"/>
  <c r="AB214" i="2" s="1"/>
  <c r="AB222" i="2" s="1"/>
  <c r="AB250" i="2" s="1"/>
  <c r="F348" i="2"/>
  <c r="K222" i="2"/>
  <c r="L40" i="2"/>
  <c r="L46" i="2" s="1"/>
  <c r="L54" i="2" s="1"/>
  <c r="L82" i="2" s="1"/>
  <c r="L88" i="2" s="1"/>
  <c r="L96" i="2" s="1"/>
  <c r="L124" i="2" s="1"/>
  <c r="L130" i="2" s="1"/>
  <c r="L138" i="2" s="1"/>
  <c r="L166" i="2" s="1"/>
  <c r="L172" i="2" s="1"/>
  <c r="L180" i="2" s="1"/>
  <c r="L208" i="2" s="1"/>
  <c r="L214" i="2" s="1"/>
  <c r="L222" i="2" s="1"/>
  <c r="L250" i="2" s="1"/>
  <c r="AD40" i="2"/>
  <c r="AB256" i="2" l="1"/>
  <c r="AB264" i="2" s="1"/>
  <c r="AB292" i="2" s="1"/>
  <c r="AB298" i="2" s="1"/>
  <c r="AB306" i="2" s="1"/>
  <c r="AB334" i="2" s="1"/>
  <c r="AB340" i="2" s="1"/>
  <c r="AB348" i="2" s="1"/>
  <c r="AB376" i="2" s="1"/>
  <c r="AB382" i="2" s="1"/>
  <c r="AB390" i="2" s="1"/>
  <c r="AB418" i="2" s="1"/>
  <c r="AB424" i="2" s="1"/>
  <c r="AB432" i="2" s="1"/>
  <c r="AB460" i="2" s="1"/>
  <c r="AB466" i="2" s="1"/>
  <c r="AB474" i="2" s="1"/>
  <c r="AB502" i="2" s="1"/>
  <c r="T256" i="2"/>
  <c r="T264" i="2" s="1"/>
  <c r="T292" i="2" s="1"/>
  <c r="T298" i="2" s="1"/>
  <c r="T306" i="2" s="1"/>
  <c r="T334" i="2" s="1"/>
  <c r="Y256" i="2"/>
  <c r="Y264" i="2" s="1"/>
  <c r="Y292" i="2" s="1"/>
  <c r="Y298" i="2" s="1"/>
  <c r="Y306" i="2" s="1"/>
  <c r="Y334" i="2" s="1"/>
  <c r="Y340" i="2" s="1"/>
  <c r="Y348" i="2" s="1"/>
  <c r="Y376" i="2" s="1"/>
  <c r="Y382" i="2" s="1"/>
  <c r="Y390" i="2" s="1"/>
  <c r="Y418" i="2" s="1"/>
  <c r="Y424" i="2" s="1"/>
  <c r="Y432" i="2" s="1"/>
  <c r="Y460" i="2" s="1"/>
  <c r="Y466" i="2" s="1"/>
  <c r="Y474" i="2" s="1"/>
  <c r="Y502" i="2" s="1"/>
  <c r="AA256" i="2"/>
  <c r="AA264" i="2" s="1"/>
  <c r="AA292" i="2" s="1"/>
  <c r="AA298" i="2" s="1"/>
  <c r="AA306" i="2" s="1"/>
  <c r="AA334" i="2" s="1"/>
  <c r="AA340" i="2" s="1"/>
  <c r="AA348" i="2" s="1"/>
  <c r="AA376" i="2" s="1"/>
  <c r="AA382" i="2" s="1"/>
  <c r="AA390" i="2" s="1"/>
  <c r="AA418" i="2" s="1"/>
  <c r="AA424" i="2" s="1"/>
  <c r="AA432" i="2" s="1"/>
  <c r="AA460" i="2" s="1"/>
  <c r="AA466" i="2" s="1"/>
  <c r="AA474" i="2" s="1"/>
  <c r="AA502" i="2" s="1"/>
  <c r="Z256" i="2"/>
  <c r="Z264" i="2" s="1"/>
  <c r="Z292" i="2" s="1"/>
  <c r="Z298" i="2" s="1"/>
  <c r="Z306" i="2" s="1"/>
  <c r="Z334" i="2" s="1"/>
  <c r="Z340" i="2" s="1"/>
  <c r="Z348" i="2" s="1"/>
  <c r="Z376" i="2" s="1"/>
  <c r="Z382" i="2" s="1"/>
  <c r="Z390" i="2" s="1"/>
  <c r="Z418" i="2" s="1"/>
  <c r="Z424" i="2" s="1"/>
  <c r="Z432" i="2" s="1"/>
  <c r="Z460" i="2" s="1"/>
  <c r="Z466" i="2" s="1"/>
  <c r="Z474" i="2" s="1"/>
  <c r="Z502" i="2" s="1"/>
  <c r="U256" i="2"/>
  <c r="U264" i="2" s="1"/>
  <c r="U292" i="2" s="1"/>
  <c r="U298" i="2" s="1"/>
  <c r="U306" i="2" s="1"/>
  <c r="U334" i="2" s="1"/>
  <c r="U340" i="2" s="1"/>
  <c r="U348" i="2" s="1"/>
  <c r="U376" i="2" s="1"/>
  <c r="U382" i="2" s="1"/>
  <c r="U390" i="2" s="1"/>
  <c r="U418" i="2" s="1"/>
  <c r="U424" i="2" s="1"/>
  <c r="U432" i="2" s="1"/>
  <c r="U460" i="2" s="1"/>
  <c r="U466" i="2" s="1"/>
  <c r="U474" i="2" s="1"/>
  <c r="U502" i="2" s="1"/>
  <c r="W256" i="2"/>
  <c r="W264" i="2" s="1"/>
  <c r="W292" i="2" s="1"/>
  <c r="W298" i="2" s="1"/>
  <c r="W306" i="2" s="1"/>
  <c r="W334" i="2" s="1"/>
  <c r="W340" i="2" s="1"/>
  <c r="W348" i="2" s="1"/>
  <c r="W376" i="2" s="1"/>
  <c r="W382" i="2" s="1"/>
  <c r="W390" i="2" s="1"/>
  <c r="W418" i="2" s="1"/>
  <c r="W424" i="2" s="1"/>
  <c r="W432" i="2" s="1"/>
  <c r="W460" i="2" s="1"/>
  <c r="W466" i="2" s="1"/>
  <c r="W474" i="2" s="1"/>
  <c r="W502" i="2" s="1"/>
  <c r="V256" i="2"/>
  <c r="V264" i="2" s="1"/>
  <c r="V292" i="2" s="1"/>
  <c r="V298" i="2" s="1"/>
  <c r="V306" i="2" s="1"/>
  <c r="V334" i="2" s="1"/>
  <c r="V340" i="2" s="1"/>
  <c r="V348" i="2" s="1"/>
  <c r="V376" i="2" s="1"/>
  <c r="V382" i="2" s="1"/>
  <c r="V390" i="2" s="1"/>
  <c r="V418" i="2" s="1"/>
  <c r="V424" i="2" s="1"/>
  <c r="V432" i="2" s="1"/>
  <c r="V460" i="2" s="1"/>
  <c r="V466" i="2" s="1"/>
  <c r="V474" i="2" s="1"/>
  <c r="V502" i="2" s="1"/>
  <c r="AC180" i="2"/>
  <c r="AC208" i="2" s="1"/>
  <c r="AC214" i="2" s="1"/>
  <c r="AC222" i="2" s="1"/>
  <c r="AC250" i="2" s="1"/>
  <c r="X180" i="2"/>
  <c r="X208" i="2" s="1"/>
  <c r="X214" i="2" s="1"/>
  <c r="X222" i="2" s="1"/>
  <c r="X250" i="2" s="1"/>
  <c r="F376" i="2"/>
  <c r="F382" i="2" s="1"/>
  <c r="F390" i="2" s="1"/>
  <c r="F418" i="2" s="1"/>
  <c r="F424" i="2" s="1"/>
  <c r="F432" i="2" s="1"/>
  <c r="F460" i="2" s="1"/>
  <c r="F466" i="2" s="1"/>
  <c r="K250" i="2"/>
  <c r="K256" i="2" s="1"/>
  <c r="AD46" i="2"/>
  <c r="Y503" i="2" l="1"/>
  <c r="Y508" i="2"/>
  <c r="Y516" i="2" s="1"/>
  <c r="Y544" i="2" s="1"/>
  <c r="V508" i="2"/>
  <c r="V516" i="2" s="1"/>
  <c r="V544" i="2" s="1"/>
  <c r="V503" i="2"/>
  <c r="U508" i="2"/>
  <c r="U516" i="2" s="1"/>
  <c r="U544" i="2" s="1"/>
  <c r="U503" i="2"/>
  <c r="W503" i="2"/>
  <c r="W508" i="2"/>
  <c r="W516" i="2" s="1"/>
  <c r="W544" i="2" s="1"/>
  <c r="AB503" i="2"/>
  <c r="AB508" i="2"/>
  <c r="AB516" i="2" s="1"/>
  <c r="AB544" i="2" s="1"/>
  <c r="Z503" i="2"/>
  <c r="Z508" i="2"/>
  <c r="Z516" i="2" s="1"/>
  <c r="Z544" i="2" s="1"/>
  <c r="AA503" i="2"/>
  <c r="AA508" i="2"/>
  <c r="AA516" i="2" s="1"/>
  <c r="AA544" i="2" s="1"/>
  <c r="F474" i="2"/>
  <c r="AC256" i="2"/>
  <c r="AC264" i="2" s="1"/>
  <c r="AC292" i="2" s="1"/>
  <c r="AC298" i="2" s="1"/>
  <c r="AC306" i="2" s="1"/>
  <c r="AC334" i="2" s="1"/>
  <c r="AC340" i="2" s="1"/>
  <c r="AC348" i="2" s="1"/>
  <c r="AC376" i="2" s="1"/>
  <c r="AC382" i="2" s="1"/>
  <c r="AC390" i="2" s="1"/>
  <c r="AC418" i="2" s="1"/>
  <c r="AC424" i="2" s="1"/>
  <c r="AC432" i="2" s="1"/>
  <c r="AC460" i="2" s="1"/>
  <c r="AC466" i="2" s="1"/>
  <c r="AC474" i="2" s="1"/>
  <c r="AC502" i="2" s="1"/>
  <c r="AC508" i="2" s="1"/>
  <c r="AC516" i="2" s="1"/>
  <c r="AD54" i="2"/>
  <c r="AD82" i="2" s="1"/>
  <c r="AD88" i="2" s="1"/>
  <c r="AD96" i="2" s="1"/>
  <c r="AD124" i="2" s="1"/>
  <c r="AD130" i="2" s="1"/>
  <c r="AD138" i="2" s="1"/>
  <c r="AD166" i="2" s="1"/>
  <c r="AD172" i="2" s="1"/>
  <c r="X256" i="2"/>
  <c r="AI256" i="2" s="1"/>
  <c r="T340" i="2"/>
  <c r="T348" i="2" s="1"/>
  <c r="T376" i="2" s="1"/>
  <c r="T382" i="2" s="1"/>
  <c r="T390" i="2" s="1"/>
  <c r="T418" i="2" s="1"/>
  <c r="T424" i="2" s="1"/>
  <c r="T432" i="2" s="1"/>
  <c r="T460" i="2" s="1"/>
  <c r="T466" i="2" s="1"/>
  <c r="T474" i="2" s="1"/>
  <c r="T502" i="2" s="1"/>
  <c r="K264" i="2"/>
  <c r="Q256" i="2"/>
  <c r="T503" i="2" l="1"/>
  <c r="T508" i="2"/>
  <c r="T516" i="2" s="1"/>
  <c r="T544" i="2" s="1"/>
  <c r="AC544" i="2"/>
  <c r="F502" i="2"/>
  <c r="X264" i="2"/>
  <c r="AD180" i="2"/>
  <c r="AD208" i="2" s="1"/>
  <c r="AD214" i="2" s="1"/>
  <c r="AD222" i="2" s="1"/>
  <c r="AD250" i="2" s="1"/>
  <c r="K292" i="2"/>
  <c r="Q264" i="2"/>
  <c r="X292" i="2" l="1"/>
  <c r="AI264" i="2"/>
  <c r="K298" i="2"/>
  <c r="Q292" i="2"/>
  <c r="X298" i="2" l="1"/>
  <c r="X306" i="2" s="1"/>
  <c r="AI292" i="2"/>
  <c r="AI298" i="2" s="1"/>
  <c r="K306" i="2"/>
  <c r="Q298" i="2"/>
  <c r="AI306" i="2" l="1"/>
  <c r="X334" i="2"/>
  <c r="K334" i="2"/>
  <c r="Q306" i="2"/>
  <c r="AI334" i="2" l="1"/>
  <c r="AI340" i="2" s="1"/>
  <c r="X340" i="2"/>
  <c r="X348" i="2" s="1"/>
  <c r="AI348" i="2" s="1"/>
  <c r="Q334" i="2"/>
  <c r="K340" i="2"/>
  <c r="X376" i="2" l="1"/>
  <c r="AI376" i="2" s="1"/>
  <c r="AI382" i="2" s="1"/>
  <c r="X382" i="2"/>
  <c r="K348" i="2"/>
  <c r="Q340" i="2"/>
  <c r="X390" i="2" l="1"/>
  <c r="AI390" i="2" s="1"/>
  <c r="K376" i="2"/>
  <c r="Q348" i="2"/>
  <c r="Q376" i="2" l="1"/>
  <c r="K382" i="2"/>
  <c r="X418" i="2"/>
  <c r="AI418" i="2" l="1"/>
  <c r="AI424" i="2" s="1"/>
  <c r="X424" i="2"/>
  <c r="X432" i="2" s="1"/>
  <c r="K390" i="2"/>
  <c r="Q382" i="2"/>
  <c r="AI432" i="2" l="1"/>
  <c r="X460" i="2"/>
  <c r="Q390" i="2"/>
  <c r="K418" i="2"/>
  <c r="AI460" i="2" l="1"/>
  <c r="AI466" i="2" s="1"/>
  <c r="X466" i="2"/>
  <c r="X474" i="2" s="1"/>
  <c r="Q418" i="2"/>
  <c r="K424" i="2"/>
  <c r="AI474" i="2" l="1"/>
  <c r="X502" i="2"/>
  <c r="X508" i="2" s="1"/>
  <c r="X516" i="2" s="1"/>
  <c r="K432" i="2"/>
  <c r="Q424" i="2"/>
  <c r="X544" i="2" l="1"/>
  <c r="AI544" i="2" s="1"/>
  <c r="AI516" i="2"/>
  <c r="AI502" i="2"/>
  <c r="AI508" i="2" s="1"/>
  <c r="X503" i="2"/>
  <c r="Q432" i="2"/>
  <c r="K460" i="2"/>
  <c r="Q460" i="2" l="1"/>
  <c r="K466" i="2"/>
  <c r="K474" i="2" l="1"/>
  <c r="Q466" i="2"/>
  <c r="K502" i="2" l="1"/>
  <c r="K508" i="2" s="1"/>
  <c r="Q474" i="2"/>
  <c r="K516" i="2" l="1"/>
  <c r="Q508" i="2"/>
  <c r="AC503" i="2"/>
  <c r="Q502" i="2"/>
  <c r="AI503" i="2" s="1"/>
  <c r="K544" i="2" l="1"/>
  <c r="Q544" i="2" s="1"/>
  <c r="Q516" i="2"/>
</calcChain>
</file>

<file path=xl/sharedStrings.xml><?xml version="1.0" encoding="utf-8"?>
<sst xmlns="http://schemas.openxmlformats.org/spreadsheetml/2006/main" count="1310" uniqueCount="281">
  <si>
    <t>計</t>
    <rPh sb="0" eb="1">
      <t>ケイ</t>
    </rPh>
    <phoneticPr fontId="3"/>
  </si>
  <si>
    <t>YM18005ブラウジングカバーアップ（夢販在庫）</t>
    <phoneticPr fontId="9"/>
  </si>
  <si>
    <t>サイズ</t>
    <phoneticPr fontId="2"/>
  </si>
  <si>
    <t>9M</t>
  </si>
  <si>
    <t>11L</t>
  </si>
  <si>
    <t>13L</t>
  </si>
  <si>
    <t>15LL</t>
  </si>
  <si>
    <t>総合計</t>
    <rPh sb="0" eb="1">
      <t>ソウ</t>
    </rPh>
    <rPh sb="1" eb="3">
      <t>ゴウケイ</t>
    </rPh>
    <phoneticPr fontId="2"/>
  </si>
  <si>
    <t>YM18005ブラウジングカバーアップ（KPORT在庫）</t>
    <phoneticPr fontId="9"/>
  </si>
  <si>
    <t>カラー</t>
    <phoneticPr fontId="2"/>
  </si>
  <si>
    <t>パープルリーフ</t>
    <phoneticPr fontId="9"/>
  </si>
  <si>
    <t>インディゴボタニカル</t>
    <phoneticPr fontId="9"/>
  </si>
  <si>
    <t>初回</t>
    <rPh sb="0" eb="2">
      <t>ショカイ</t>
    </rPh>
    <phoneticPr fontId="9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</si>
  <si>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</si>
  <si>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</si>
  <si>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</si>
  <si>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</si>
  <si>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</t>
    <rPh sb="0" eb="2">
      <t>ツイカ</t>
    </rPh>
    <phoneticPr fontId="9"/>
  </si>
  <si>
    <t>初回　　3-1</t>
    <rPh sb="0" eb="2">
      <t>ショカイ</t>
    </rPh>
    <phoneticPr fontId="9"/>
  </si>
  <si>
    <t>4/2～</t>
    <phoneticPr fontId="9"/>
  </si>
  <si>
    <t>5/16～</t>
    <phoneticPr fontId="9"/>
  </si>
  <si>
    <t>ディノス24夏号　上下セット</t>
    <rPh sb="6" eb="8">
      <t>ナツゴウ</t>
    </rPh>
    <rPh sb="9" eb="11">
      <t>ジョウゲ</t>
    </rPh>
    <phoneticPr fontId="9"/>
  </si>
  <si>
    <t>ディノス24夏号　3点セット</t>
    <rPh sb="6" eb="8">
      <t>ナツゴウ</t>
    </rPh>
    <rPh sb="10" eb="11">
      <t>テン</t>
    </rPh>
    <phoneticPr fontId="9"/>
  </si>
  <si>
    <t>ディノス24盛夏号　上下セット</t>
    <rPh sb="6" eb="8">
      <t>セイカ</t>
    </rPh>
    <rPh sb="8" eb="9">
      <t>ゴウ</t>
    </rPh>
    <rPh sb="10" eb="12">
      <t>ジョウゲ</t>
    </rPh>
    <phoneticPr fontId="9"/>
  </si>
  <si>
    <t>ディノス24盛夏号　3点セット</t>
    <rPh sb="6" eb="8">
      <t>セイカ</t>
    </rPh>
    <rPh sb="8" eb="9">
      <t>ゴウ</t>
    </rPh>
    <rPh sb="11" eb="12">
      <t>テン</t>
    </rPh>
    <phoneticPr fontId="9"/>
  </si>
  <si>
    <t>2回目　3-2</t>
    <rPh sb="1" eb="3">
      <t>カイメ</t>
    </rPh>
    <phoneticPr fontId="9"/>
  </si>
  <si>
    <t>3回目　3-3</t>
    <rPh sb="1" eb="3">
      <t>カイメ</t>
    </rPh>
    <phoneticPr fontId="9"/>
  </si>
  <si>
    <t>ディノス24夏号　上下セット①</t>
    <rPh sb="6" eb="8">
      <t>ナツゴウ</t>
    </rPh>
    <rPh sb="9" eb="11">
      <t>ジョウゲ</t>
    </rPh>
    <phoneticPr fontId="9"/>
  </si>
  <si>
    <t>ディノス24夏号　3点セット②</t>
    <rPh sb="6" eb="8">
      <t>ナツゴウ</t>
    </rPh>
    <rPh sb="10" eb="11">
      <t>テン</t>
    </rPh>
    <phoneticPr fontId="9"/>
  </si>
  <si>
    <t>ディノス24夏号　3点セット①</t>
    <rPh sb="6" eb="8">
      <t>ナツゴウ</t>
    </rPh>
    <rPh sb="10" eb="11">
      <t>テン</t>
    </rPh>
    <phoneticPr fontId="9"/>
  </si>
  <si>
    <t>ディノス24夏号　上下セット②</t>
    <rPh sb="6" eb="8">
      <t>ナツゴウ</t>
    </rPh>
    <rPh sb="9" eb="11">
      <t>ジョウゲ</t>
    </rPh>
    <phoneticPr fontId="9"/>
  </si>
  <si>
    <t>夢販</t>
    <rPh sb="0" eb="2">
      <t>ユメハン</t>
    </rPh>
    <phoneticPr fontId="9"/>
  </si>
  <si>
    <t>ディノス発注数調整分</t>
    <rPh sb="4" eb="6">
      <t>ハッチュウ</t>
    </rPh>
    <rPh sb="6" eb="7">
      <t>スウ</t>
    </rPh>
    <rPh sb="7" eb="9">
      <t>チョウセイ</t>
    </rPh>
    <rPh sb="9" eb="10">
      <t>ブン</t>
    </rPh>
    <phoneticPr fontId="9"/>
  </si>
  <si>
    <t>2023/3/10済</t>
    <rPh sb="9" eb="10">
      <t>スミ</t>
    </rPh>
    <phoneticPr fontId="9"/>
  </si>
  <si>
    <t>ディノス返品</t>
    <rPh sb="4" eb="6">
      <t>ヘンピン</t>
    </rPh>
    <phoneticPr fontId="9"/>
  </si>
  <si>
    <t>追加</t>
    <rPh sb="0" eb="2">
      <t>ツイカ</t>
    </rPh>
    <phoneticPr fontId="9"/>
  </si>
  <si>
    <t>夢販</t>
    <rPh sb="0" eb="2">
      <t>ユメハン</t>
    </rPh>
    <phoneticPr fontId="9"/>
  </si>
  <si>
    <t>ネット</t>
    <phoneticPr fontId="9"/>
  </si>
  <si>
    <t>3/26済伝　３/末</t>
    <rPh sb="4" eb="5">
      <t>スミ</t>
    </rPh>
    <rPh sb="5" eb="6">
      <t>デン</t>
    </rPh>
    <rPh sb="9" eb="10">
      <t>マツ</t>
    </rPh>
    <phoneticPr fontId="9"/>
  </si>
  <si>
    <t>ディノス24夏号　上下セット③</t>
    <rPh sb="6" eb="8">
      <t>ナツゴウ</t>
    </rPh>
    <rPh sb="9" eb="11">
      <t>ジョウゲ</t>
    </rPh>
    <phoneticPr fontId="9"/>
  </si>
  <si>
    <t>3/26入荷済　５月初旬</t>
    <rPh sb="4" eb="6">
      <t>ニュウカ</t>
    </rPh>
    <rPh sb="6" eb="7">
      <t>スミ</t>
    </rPh>
    <rPh sb="9" eb="10">
      <t>ガツ</t>
    </rPh>
    <rPh sb="10" eb="12">
      <t>ショジュン</t>
    </rPh>
    <phoneticPr fontId="9"/>
  </si>
  <si>
    <t>ディノス24夏号　上下セット④</t>
    <rPh sb="6" eb="8">
      <t>ナツゴウ</t>
    </rPh>
    <rPh sb="9" eb="11">
      <t>ジョウゲ</t>
    </rPh>
    <phoneticPr fontId="9"/>
  </si>
  <si>
    <t>ディノス24夏号　上下セット⑤</t>
    <rPh sb="6" eb="8">
      <t>ナツゴウ</t>
    </rPh>
    <rPh sb="9" eb="11">
      <t>ジョウゲ</t>
    </rPh>
    <phoneticPr fontId="9"/>
  </si>
  <si>
    <t>ディノス24夏号　上下セット⑥</t>
    <rPh sb="6" eb="8">
      <t>ナツゴウ</t>
    </rPh>
    <rPh sb="9" eb="11">
      <t>ジョウゲ</t>
    </rPh>
    <phoneticPr fontId="9"/>
  </si>
  <si>
    <t>ディノス24夏号　上下セット⑦</t>
    <rPh sb="6" eb="8">
      <t>ナツゴウ</t>
    </rPh>
    <rPh sb="9" eb="11">
      <t>ジョウゲ</t>
    </rPh>
    <phoneticPr fontId="9"/>
  </si>
  <si>
    <t>ディノス24夏号　上下セット⑧</t>
    <rPh sb="6" eb="8">
      <t>ナツゴウ</t>
    </rPh>
    <rPh sb="9" eb="11">
      <t>ジョウゲ</t>
    </rPh>
    <phoneticPr fontId="9"/>
  </si>
  <si>
    <t>ディノス24夏号　上下セット⑨</t>
    <rPh sb="6" eb="8">
      <t>ナツゴウ</t>
    </rPh>
    <rPh sb="9" eb="11">
      <t>ジョウゲ</t>
    </rPh>
    <phoneticPr fontId="9"/>
  </si>
  <si>
    <t>ディノス24夏号　上下セット⑩</t>
    <rPh sb="6" eb="8">
      <t>ナツゴウ</t>
    </rPh>
    <rPh sb="9" eb="11">
      <t>ジョウゲ</t>
    </rPh>
    <phoneticPr fontId="9"/>
  </si>
  <si>
    <t>ディノス24夏号　上下セット⑪</t>
    <rPh sb="6" eb="8">
      <t>ナツゴウ</t>
    </rPh>
    <rPh sb="9" eb="11">
      <t>ジョウゲ</t>
    </rPh>
    <phoneticPr fontId="9"/>
  </si>
  <si>
    <t>ディノス24夏号　上下セット⑫</t>
    <rPh sb="6" eb="8">
      <t>ナツゴウ</t>
    </rPh>
    <rPh sb="9" eb="11">
      <t>ジョウゲ</t>
    </rPh>
    <phoneticPr fontId="9"/>
  </si>
  <si>
    <t>かりん</t>
    <phoneticPr fontId="9"/>
  </si>
  <si>
    <t>ディノス24夏号　上下セット⑬</t>
    <rPh sb="6" eb="8">
      <t>ナツゴウ</t>
    </rPh>
    <rPh sb="9" eb="11">
      <t>ジョウゲ</t>
    </rPh>
    <phoneticPr fontId="9"/>
  </si>
  <si>
    <t>ディノス24夏号　上下セット⑭</t>
    <rPh sb="6" eb="8">
      <t>ナツゴウ</t>
    </rPh>
    <rPh sb="9" eb="11">
      <t>ジョウゲ</t>
    </rPh>
    <phoneticPr fontId="9"/>
  </si>
  <si>
    <t>在庫確認</t>
    <rPh sb="0" eb="4">
      <t>ザイコカクニン</t>
    </rPh>
    <phoneticPr fontId="9"/>
  </si>
  <si>
    <t>ディノス24夏号　上下セット⑮</t>
    <rPh sb="6" eb="8">
      <t>ナツゴウ</t>
    </rPh>
    <rPh sb="9" eb="11">
      <t>ジョウゲ</t>
    </rPh>
    <phoneticPr fontId="9"/>
  </si>
  <si>
    <t>ディノス24夏号　上下セット⑯</t>
    <rPh sb="6" eb="8">
      <t>ナツゴウ</t>
    </rPh>
    <rPh sb="9" eb="11">
      <t>ジョウゲ</t>
    </rPh>
    <phoneticPr fontId="9"/>
  </si>
  <si>
    <t>ディノス24夏号　上下セット⑰</t>
    <rPh sb="6" eb="8">
      <t>ナツゴウ</t>
    </rPh>
    <rPh sb="9" eb="11">
      <t>ジョウゲ</t>
    </rPh>
    <phoneticPr fontId="9"/>
  </si>
  <si>
    <t>ディノス24夏号　3点セット③</t>
    <rPh sb="6" eb="8">
      <t>ナツゴウ</t>
    </rPh>
    <rPh sb="10" eb="11">
      <t>テン</t>
    </rPh>
    <phoneticPr fontId="9"/>
  </si>
  <si>
    <t>千趣会3点セット①GYパーカー</t>
    <rPh sb="0" eb="3">
      <t>センシュカイ</t>
    </rPh>
    <rPh sb="4" eb="5">
      <t>テン</t>
    </rPh>
    <phoneticPr fontId="9"/>
  </si>
  <si>
    <t>千趣会3点セット①WHパーカー</t>
    <rPh sb="0" eb="3">
      <t>センシュカイ</t>
    </rPh>
    <rPh sb="4" eb="5">
      <t>テン</t>
    </rPh>
    <phoneticPr fontId="9"/>
  </si>
  <si>
    <t>ディノス24夏号　上下セット⑱</t>
    <rPh sb="6" eb="8">
      <t>ナツゴウ</t>
    </rPh>
    <rPh sb="9" eb="11">
      <t>ジョウゲ</t>
    </rPh>
    <phoneticPr fontId="9"/>
  </si>
  <si>
    <t>ディノス24夏号　上下セット⑲</t>
    <rPh sb="6" eb="8">
      <t>ナツゴウ</t>
    </rPh>
    <rPh sb="9" eb="11">
      <t>ジョウゲ</t>
    </rPh>
    <phoneticPr fontId="9"/>
  </si>
  <si>
    <t>ディノス24夏号　上下セット⑳</t>
    <rPh sb="6" eb="8">
      <t>ナツゴウ</t>
    </rPh>
    <rPh sb="9" eb="11">
      <t>ジョウゲ</t>
    </rPh>
    <phoneticPr fontId="9"/>
  </si>
  <si>
    <t>ディノス24夏号　上下セット㉑</t>
    <rPh sb="6" eb="8">
      <t>ナツゴウ</t>
    </rPh>
    <rPh sb="9" eb="11">
      <t>ジョウゲ</t>
    </rPh>
    <phoneticPr fontId="9"/>
  </si>
  <si>
    <t>ディノス24夏号　上下セット㉒</t>
    <rPh sb="6" eb="8">
      <t>ナツゴウ</t>
    </rPh>
    <rPh sb="9" eb="11">
      <t>ジョウゲ</t>
    </rPh>
    <phoneticPr fontId="9"/>
  </si>
  <si>
    <t>かりん</t>
    <phoneticPr fontId="9"/>
  </si>
  <si>
    <t>ディノス24夏号　上下セット㉓</t>
    <rPh sb="6" eb="8">
      <t>ナツゴウ</t>
    </rPh>
    <rPh sb="9" eb="11">
      <t>ジョウゲ</t>
    </rPh>
    <phoneticPr fontId="9"/>
  </si>
  <si>
    <t>ディノス24夏号　3点セット④</t>
    <rPh sb="6" eb="8">
      <t>ナツゴウ</t>
    </rPh>
    <rPh sb="10" eb="11">
      <t>テン</t>
    </rPh>
    <phoneticPr fontId="9"/>
  </si>
  <si>
    <t>ディノス24夏号　3点セット⑤</t>
    <rPh sb="6" eb="8">
      <t>ナツゴウ</t>
    </rPh>
    <rPh sb="10" eb="11">
      <t>テン</t>
    </rPh>
    <phoneticPr fontId="9"/>
  </si>
  <si>
    <t>千趣会3点セット②GYパーカー</t>
    <rPh sb="0" eb="3">
      <t>センシュカイ</t>
    </rPh>
    <rPh sb="4" eb="5">
      <t>テン</t>
    </rPh>
    <phoneticPr fontId="9"/>
  </si>
  <si>
    <t>ディノス24夏号　上下セット㉔</t>
    <rPh sb="6" eb="8">
      <t>ナツゴウ</t>
    </rPh>
    <rPh sb="9" eb="11">
      <t>ジョウゲ</t>
    </rPh>
    <phoneticPr fontId="9"/>
  </si>
  <si>
    <t>ディノス24夏号　3点セット⑥</t>
    <rPh sb="6" eb="8">
      <t>ナツゴウ</t>
    </rPh>
    <rPh sb="10" eb="11">
      <t>テン</t>
    </rPh>
    <phoneticPr fontId="9"/>
  </si>
  <si>
    <t>ディノス24夏号　3点セット⑦</t>
    <rPh sb="6" eb="8">
      <t>ナツゴウ</t>
    </rPh>
    <rPh sb="10" eb="11">
      <t>テン</t>
    </rPh>
    <phoneticPr fontId="9"/>
  </si>
  <si>
    <t>ディノス24夏号　3点セット⑧</t>
    <rPh sb="6" eb="8">
      <t>ナツゴウ</t>
    </rPh>
    <rPh sb="10" eb="11">
      <t>テン</t>
    </rPh>
    <phoneticPr fontId="9"/>
  </si>
  <si>
    <t>ディノス24夏号　上下セット㉕</t>
    <rPh sb="6" eb="8">
      <t>ナツゴウ</t>
    </rPh>
    <rPh sb="9" eb="11">
      <t>ジョウゲ</t>
    </rPh>
    <phoneticPr fontId="9"/>
  </si>
  <si>
    <t>ディノス24夏号　上下セット㉖</t>
    <rPh sb="6" eb="8">
      <t>ナツゴウ</t>
    </rPh>
    <rPh sb="9" eb="11">
      <t>ジョウゲ</t>
    </rPh>
    <phoneticPr fontId="9"/>
  </si>
  <si>
    <t>千趣会3点セット③GYパーカー</t>
    <rPh sb="0" eb="3">
      <t>センシュカイ</t>
    </rPh>
    <rPh sb="4" eb="5">
      <t>テン</t>
    </rPh>
    <phoneticPr fontId="9"/>
  </si>
  <si>
    <t>千趣会3点セット②WHパーカー</t>
    <rPh sb="0" eb="3">
      <t>センシュカイ</t>
    </rPh>
    <rPh sb="4" eb="5">
      <t>テン</t>
    </rPh>
    <phoneticPr fontId="9"/>
  </si>
  <si>
    <t>千趣会上下セット②</t>
    <rPh sb="0" eb="3">
      <t>センシュカイ</t>
    </rPh>
    <rPh sb="3" eb="5">
      <t>ジョウゲ</t>
    </rPh>
    <phoneticPr fontId="9"/>
  </si>
  <si>
    <t>ディノス24夏号　上下セット㉗</t>
    <rPh sb="6" eb="8">
      <t>ナツゴウ</t>
    </rPh>
    <rPh sb="9" eb="11">
      <t>ジョウゲ</t>
    </rPh>
    <phoneticPr fontId="9"/>
  </si>
  <si>
    <t>千趣会3点セット③WHパーカー</t>
    <rPh sb="0" eb="3">
      <t>センシュカイ</t>
    </rPh>
    <rPh sb="4" eb="5">
      <t>テン</t>
    </rPh>
    <phoneticPr fontId="9"/>
  </si>
  <si>
    <t>ディノス24夏号　上下セット㉘</t>
    <rPh sb="6" eb="8">
      <t>ナツゴウ</t>
    </rPh>
    <rPh sb="9" eb="11">
      <t>ジョウゲ</t>
    </rPh>
    <phoneticPr fontId="9"/>
  </si>
  <si>
    <t>千趣会3点セット④WHパーカー</t>
    <rPh sb="0" eb="3">
      <t>センシュカイ</t>
    </rPh>
    <rPh sb="4" eb="5">
      <t>テン</t>
    </rPh>
    <phoneticPr fontId="9"/>
  </si>
  <si>
    <t>千趣会上下セット③</t>
    <rPh sb="0" eb="3">
      <t>センシュカイ</t>
    </rPh>
    <rPh sb="3" eb="5">
      <t>ジョウゲ</t>
    </rPh>
    <phoneticPr fontId="9"/>
  </si>
  <si>
    <t>ディノス24夏号　上下セット㉙</t>
    <rPh sb="6" eb="8">
      <t>ナツゴウ</t>
    </rPh>
    <rPh sb="9" eb="11">
      <t>ジョウゲ</t>
    </rPh>
    <phoneticPr fontId="9"/>
  </si>
  <si>
    <t>ディノス24夏号　上下セット㉚</t>
    <rPh sb="6" eb="8">
      <t>ナツゴウ</t>
    </rPh>
    <rPh sb="9" eb="11">
      <t>ジョウゲ</t>
    </rPh>
    <phoneticPr fontId="9"/>
  </si>
  <si>
    <t>ネット交換</t>
    <rPh sb="3" eb="5">
      <t>コウカン</t>
    </rPh>
    <phoneticPr fontId="9"/>
  </si>
  <si>
    <t>ディノス24夏号　上下セット㉛</t>
    <rPh sb="6" eb="8">
      <t>ナツゴウ</t>
    </rPh>
    <rPh sb="9" eb="11">
      <t>ジョウゲ</t>
    </rPh>
    <phoneticPr fontId="9"/>
  </si>
  <si>
    <t>千趣会3点セット⑤WHパーカー</t>
    <rPh sb="0" eb="3">
      <t>センシュカイ</t>
    </rPh>
    <rPh sb="4" eb="5">
      <t>テン</t>
    </rPh>
    <phoneticPr fontId="9"/>
  </si>
  <si>
    <t>千趣会上下セット④</t>
    <rPh sb="0" eb="3">
      <t>センシュカイ</t>
    </rPh>
    <rPh sb="3" eb="5">
      <t>ジョウゲ</t>
    </rPh>
    <phoneticPr fontId="9"/>
  </si>
  <si>
    <t>千趣会3点セット⑥WHパーカー</t>
    <rPh sb="0" eb="3">
      <t>センシュカイ</t>
    </rPh>
    <rPh sb="4" eb="5">
      <t>テン</t>
    </rPh>
    <phoneticPr fontId="9"/>
  </si>
  <si>
    <t>ディノス24夏号　上下セット㉜</t>
    <rPh sb="6" eb="8">
      <t>ナツゴウ</t>
    </rPh>
    <rPh sb="9" eb="11">
      <t>ジョウゲ</t>
    </rPh>
    <phoneticPr fontId="9"/>
  </si>
  <si>
    <t>ディノス24夏号　3点セット⑨</t>
    <rPh sb="6" eb="8">
      <t>ナツゴウ</t>
    </rPh>
    <rPh sb="10" eb="11">
      <t>テン</t>
    </rPh>
    <phoneticPr fontId="9"/>
  </si>
  <si>
    <t>ディノス24夏号　3点セット⑩</t>
    <rPh sb="6" eb="8">
      <t>ナツゴウ</t>
    </rPh>
    <rPh sb="10" eb="11">
      <t>テン</t>
    </rPh>
    <phoneticPr fontId="9"/>
  </si>
  <si>
    <t>千趣会3点セット⑦WHパーカー</t>
    <rPh sb="0" eb="3">
      <t>センシュカイ</t>
    </rPh>
    <rPh sb="4" eb="5">
      <t>テン</t>
    </rPh>
    <phoneticPr fontId="9"/>
  </si>
  <si>
    <t>千趣会3点セット④GYパーカー</t>
    <rPh sb="0" eb="3">
      <t>センシュカイ</t>
    </rPh>
    <rPh sb="4" eb="5">
      <t>テン</t>
    </rPh>
    <phoneticPr fontId="9"/>
  </si>
  <si>
    <t>千趣会上下セット⑤</t>
    <rPh sb="0" eb="3">
      <t>センシュカイ</t>
    </rPh>
    <rPh sb="3" eb="5">
      <t>ジョウゲ</t>
    </rPh>
    <phoneticPr fontId="9"/>
  </si>
  <si>
    <t>ディノス24夏号　上下セット㉝</t>
    <rPh sb="6" eb="8">
      <t>ナツゴウ</t>
    </rPh>
    <rPh sb="9" eb="11">
      <t>ジョウゲ</t>
    </rPh>
    <phoneticPr fontId="9"/>
  </si>
  <si>
    <t>ディノス24夏号　上下セット㉞</t>
    <rPh sb="6" eb="8">
      <t>ナツゴウ</t>
    </rPh>
    <rPh sb="9" eb="11">
      <t>ジョウゲ</t>
    </rPh>
    <phoneticPr fontId="9"/>
  </si>
  <si>
    <t>ディノス24夏号　3点セット⑪</t>
    <rPh sb="6" eb="8">
      <t>ナツゴウ</t>
    </rPh>
    <rPh sb="10" eb="11">
      <t>テン</t>
    </rPh>
    <phoneticPr fontId="9"/>
  </si>
  <si>
    <t>千趣会3点セット⑤GYパーカー</t>
    <rPh sb="0" eb="3">
      <t>センシュカイ</t>
    </rPh>
    <rPh sb="4" eb="5">
      <t>テン</t>
    </rPh>
    <phoneticPr fontId="9"/>
  </si>
  <si>
    <t>千趣会3点セット⑧WHパーカー</t>
    <rPh sb="0" eb="3">
      <t>センシュカイ</t>
    </rPh>
    <rPh sb="4" eb="5">
      <t>テン</t>
    </rPh>
    <phoneticPr fontId="9"/>
  </si>
  <si>
    <t>千趣会上下セット⑥</t>
    <rPh sb="0" eb="3">
      <t>センシュカイ</t>
    </rPh>
    <rPh sb="3" eb="5">
      <t>ジョウゲ</t>
    </rPh>
    <phoneticPr fontId="9"/>
  </si>
  <si>
    <t>追加</t>
    <rPh sb="0" eb="2">
      <t>ツイカ</t>
    </rPh>
    <phoneticPr fontId="9"/>
  </si>
  <si>
    <t>ディノス24夏号　上下セット㉟</t>
    <rPh sb="6" eb="8">
      <t>ナツゴウ</t>
    </rPh>
    <rPh sb="9" eb="11">
      <t>ジョウゲ</t>
    </rPh>
    <phoneticPr fontId="9"/>
  </si>
  <si>
    <t>ディノス24夏号　3点セット⑫</t>
    <rPh sb="6" eb="8">
      <t>ナツゴウ</t>
    </rPh>
    <rPh sb="10" eb="11">
      <t>テン</t>
    </rPh>
    <phoneticPr fontId="9"/>
  </si>
  <si>
    <t>千趣会3点セット⑨WHパーカー</t>
    <rPh sb="0" eb="3">
      <t>センシュカイ</t>
    </rPh>
    <rPh sb="4" eb="5">
      <t>テン</t>
    </rPh>
    <phoneticPr fontId="9"/>
  </si>
  <si>
    <t>千趣会3点セット⑥GYパーカー</t>
    <rPh sb="0" eb="3">
      <t>センシュカイ</t>
    </rPh>
    <rPh sb="4" eb="5">
      <t>テン</t>
    </rPh>
    <phoneticPr fontId="9"/>
  </si>
  <si>
    <t>千趣会上下セット⑦</t>
    <rPh sb="0" eb="3">
      <t>センシュカイ</t>
    </rPh>
    <rPh sb="3" eb="5">
      <t>ジョウゲ</t>
    </rPh>
    <phoneticPr fontId="9"/>
  </si>
  <si>
    <t>2024/6/7数伝</t>
    <rPh sb="8" eb="9">
      <t>スウ</t>
    </rPh>
    <rPh sb="9" eb="10">
      <t>デン</t>
    </rPh>
    <phoneticPr fontId="9"/>
  </si>
  <si>
    <t>千趣会3点セット⑦GYパーカー</t>
    <rPh sb="0" eb="3">
      <t>センシュカイ</t>
    </rPh>
    <rPh sb="4" eb="5">
      <t>テン</t>
    </rPh>
    <phoneticPr fontId="9"/>
  </si>
  <si>
    <t>千趣会3点セット⑩WHパーカー</t>
    <rPh sb="0" eb="3">
      <t>センシュカイ</t>
    </rPh>
    <rPh sb="4" eb="5">
      <t>テン</t>
    </rPh>
    <phoneticPr fontId="9"/>
  </si>
  <si>
    <t>千趣会上下セット⑧</t>
    <rPh sb="0" eb="3">
      <t>センシュカイ</t>
    </rPh>
    <rPh sb="3" eb="5">
      <t>ジョウゲ</t>
    </rPh>
    <phoneticPr fontId="9"/>
  </si>
  <si>
    <t>ディノス24夏号　上下セット㊱</t>
    <rPh sb="6" eb="8">
      <t>ナツゴウ</t>
    </rPh>
    <rPh sb="9" eb="11">
      <t>ジョウゲ</t>
    </rPh>
    <phoneticPr fontId="9"/>
  </si>
  <si>
    <t>ディノス24夏号　3点セット⑬</t>
    <rPh sb="6" eb="8">
      <t>ナツゴウ</t>
    </rPh>
    <rPh sb="10" eb="11">
      <t>テン</t>
    </rPh>
    <phoneticPr fontId="9"/>
  </si>
  <si>
    <t>ディノス24夏号　上下セット㊲</t>
    <rPh sb="6" eb="8">
      <t>ナツゴウ</t>
    </rPh>
    <rPh sb="9" eb="11">
      <t>ジョウゲ</t>
    </rPh>
    <phoneticPr fontId="9"/>
  </si>
  <si>
    <t>千趣会</t>
    <rPh sb="0" eb="3">
      <t>センシュカイ</t>
    </rPh>
    <phoneticPr fontId="9"/>
  </si>
  <si>
    <t>K-PORT</t>
    <phoneticPr fontId="9"/>
  </si>
  <si>
    <t>夢販</t>
    <rPh sb="0" eb="1">
      <t>ユメ</t>
    </rPh>
    <rPh sb="1" eb="2">
      <t>ハン</t>
    </rPh>
    <phoneticPr fontId="9"/>
  </si>
  <si>
    <t>ディノス24夏号　上下セット㊳</t>
    <rPh sb="6" eb="8">
      <t>ナツゴウ</t>
    </rPh>
    <rPh sb="9" eb="11">
      <t>ジョウゲ</t>
    </rPh>
    <phoneticPr fontId="9"/>
  </si>
  <si>
    <t>ディノス24夏号　上下セット㊴</t>
    <rPh sb="6" eb="8">
      <t>ナツゴウ</t>
    </rPh>
    <rPh sb="9" eb="11">
      <t>ジョウゲ</t>
    </rPh>
    <phoneticPr fontId="9"/>
  </si>
  <si>
    <t>かりん</t>
    <phoneticPr fontId="9"/>
  </si>
  <si>
    <t>ディノス24夏号　上下セット㊵</t>
    <rPh sb="6" eb="8">
      <t>ナツゴウ</t>
    </rPh>
    <rPh sb="9" eb="11">
      <t>ジョウゲ</t>
    </rPh>
    <phoneticPr fontId="9"/>
  </si>
  <si>
    <t>ディノス24夏号　3点セット⑭</t>
    <rPh sb="6" eb="8">
      <t>ナツゴウ</t>
    </rPh>
    <rPh sb="10" eb="11">
      <t>テン</t>
    </rPh>
    <phoneticPr fontId="9"/>
  </si>
  <si>
    <t>千趣会返品</t>
    <rPh sb="0" eb="3">
      <t>センシュカイ</t>
    </rPh>
    <rPh sb="3" eb="5">
      <t>ヘンピン</t>
    </rPh>
    <phoneticPr fontId="9"/>
  </si>
  <si>
    <t>ディノスsample</t>
    <phoneticPr fontId="9"/>
  </si>
  <si>
    <t>事前3/10～、受注4/1～</t>
    <rPh sb="0" eb="2">
      <t>ジゼン</t>
    </rPh>
    <rPh sb="8" eb="10">
      <t>ジュチュウ</t>
    </rPh>
    <phoneticPr fontId="9"/>
  </si>
  <si>
    <t>ネット返品</t>
    <rPh sb="3" eb="5">
      <t>ヘンピン</t>
    </rPh>
    <phoneticPr fontId="9"/>
  </si>
  <si>
    <t>千趣会返品3点セット WHパーカー</t>
    <rPh sb="0" eb="3">
      <t>センシュカイ</t>
    </rPh>
    <rPh sb="3" eb="5">
      <t>ヘンピン</t>
    </rPh>
    <phoneticPr fontId="9"/>
  </si>
  <si>
    <t>千趣会返品3点セット GYパーカー</t>
    <rPh sb="0" eb="3">
      <t>センシュカイ</t>
    </rPh>
    <rPh sb="3" eb="5">
      <t>ヘンピン</t>
    </rPh>
    <phoneticPr fontId="9"/>
  </si>
  <si>
    <t>伝票2回分納希望(3月・5月）</t>
    <rPh sb="0" eb="2">
      <t>デンピョウ</t>
    </rPh>
    <rPh sb="3" eb="4">
      <t>カイ</t>
    </rPh>
    <rPh sb="4" eb="6">
      <t>ブンノウ</t>
    </rPh>
    <rPh sb="6" eb="8">
      <t>キボウ</t>
    </rPh>
    <rPh sb="10" eb="11">
      <t>ガツ</t>
    </rPh>
    <rPh sb="13" eb="14">
      <t>ガツ</t>
    </rPh>
    <phoneticPr fontId="9"/>
  </si>
  <si>
    <t>ブラックボタニカル</t>
    <phoneticPr fontId="9"/>
  </si>
  <si>
    <t>K-PORT</t>
    <phoneticPr fontId="9"/>
  </si>
  <si>
    <t>夢販移動</t>
    <rPh sb="0" eb="4">
      <t>ユメハンイドウ</t>
    </rPh>
    <phoneticPr fontId="9"/>
  </si>
  <si>
    <t>追加</t>
    <rPh sb="0" eb="2">
      <t>ツイカ</t>
    </rPh>
    <phoneticPr fontId="9"/>
  </si>
  <si>
    <t>ディノス返品　単品</t>
  </si>
  <si>
    <t>ディノス返品　ﾊﾟｰｶｰｾｯﾄ</t>
  </si>
  <si>
    <t>ディノス夏号</t>
    <rPh sb="4" eb="5">
      <t>ナツ</t>
    </rPh>
    <rPh sb="5" eb="6">
      <t>ゴウ</t>
    </rPh>
    <phoneticPr fontId="9"/>
  </si>
  <si>
    <t>ディノス夏号　差分予測</t>
    <rPh sb="4" eb="5">
      <t>ナツ</t>
    </rPh>
    <rPh sb="5" eb="6">
      <t>ゴウ</t>
    </rPh>
    <rPh sb="7" eb="9">
      <t>サブン</t>
    </rPh>
    <rPh sb="9" eb="11">
      <t>ヨソク</t>
    </rPh>
    <phoneticPr fontId="9"/>
  </si>
  <si>
    <t>ディノス盛夏号　差分予測</t>
    <rPh sb="4" eb="6">
      <t>セイカ</t>
    </rPh>
    <rPh sb="6" eb="7">
      <t>ゴウ</t>
    </rPh>
    <rPh sb="8" eb="10">
      <t>サブン</t>
    </rPh>
    <rPh sb="10" eb="12">
      <t>ヨソク</t>
    </rPh>
    <phoneticPr fontId="9"/>
  </si>
  <si>
    <t>ディノス盛夏号</t>
    <rPh sb="4" eb="6">
      <t>セイカ</t>
    </rPh>
    <rPh sb="6" eb="7">
      <t>ゴウ</t>
    </rPh>
    <phoneticPr fontId="9"/>
  </si>
  <si>
    <t>事前4/中旬～、受注5/13～</t>
    <rPh sb="0" eb="2">
      <t>ジゼン</t>
    </rPh>
    <rPh sb="4" eb="6">
      <t>チュウジュン</t>
    </rPh>
    <rPh sb="8" eb="10">
      <t>ジュチュウ</t>
    </rPh>
    <phoneticPr fontId="9"/>
  </si>
  <si>
    <t>納前分</t>
    <rPh sb="0" eb="2">
      <t>ノウマエ</t>
    </rPh>
    <rPh sb="2" eb="3">
      <t>ブン</t>
    </rPh>
    <phoneticPr fontId="9"/>
  </si>
  <si>
    <t>ディノス夏号上下セット①</t>
    <rPh sb="4" eb="5">
      <t>ナツ</t>
    </rPh>
    <rPh sb="5" eb="6">
      <t>ゴウ</t>
    </rPh>
    <rPh sb="6" eb="8">
      <t>ジョウゲ</t>
    </rPh>
    <phoneticPr fontId="9"/>
  </si>
  <si>
    <t>ディノス夏号パーカーセット①</t>
    <rPh sb="4" eb="5">
      <t>ナツ</t>
    </rPh>
    <rPh sb="5" eb="6">
      <t>ゴウ</t>
    </rPh>
    <phoneticPr fontId="9"/>
  </si>
  <si>
    <t>2025/2/28数伝</t>
    <rPh sb="9" eb="10">
      <t>スウ</t>
    </rPh>
    <rPh sb="10" eb="11">
      <t>デン</t>
    </rPh>
    <phoneticPr fontId="9"/>
  </si>
  <si>
    <t>7/1～</t>
    <phoneticPr fontId="9"/>
  </si>
  <si>
    <t>ディノス7月チラシ（カタログ掲載アイテム）</t>
    <rPh sb="5" eb="6">
      <t>ガツ</t>
    </rPh>
    <rPh sb="14" eb="16">
      <t>ケイサイ</t>
    </rPh>
    <phoneticPr fontId="9"/>
  </si>
  <si>
    <t>ディノス夏号上下セット②</t>
    <rPh sb="4" eb="5">
      <t>ナツ</t>
    </rPh>
    <rPh sb="5" eb="6">
      <t>ゴウ</t>
    </rPh>
    <rPh sb="6" eb="8">
      <t>ジョウゲ</t>
    </rPh>
    <phoneticPr fontId="9"/>
  </si>
  <si>
    <t>ディノス夏号パーカーセット②</t>
    <rPh sb="4" eb="5">
      <t>ナツ</t>
    </rPh>
    <rPh sb="5" eb="6">
      <t>ゴウ</t>
    </rPh>
    <phoneticPr fontId="9"/>
  </si>
  <si>
    <t>ディノス夏号上下セット③</t>
    <rPh sb="4" eb="5">
      <t>ナツ</t>
    </rPh>
    <rPh sb="5" eb="6">
      <t>ゴウ</t>
    </rPh>
    <rPh sb="6" eb="8">
      <t>ジョウゲ</t>
    </rPh>
    <phoneticPr fontId="9"/>
  </si>
  <si>
    <t>ディノス夏号パーカーセット③</t>
    <rPh sb="4" eb="5">
      <t>ナツ</t>
    </rPh>
    <rPh sb="5" eb="6">
      <t>ゴウ</t>
    </rPh>
    <phoneticPr fontId="9"/>
  </si>
  <si>
    <t>ディノス夏号上下セット④</t>
    <rPh sb="4" eb="5">
      <t>ナツ</t>
    </rPh>
    <rPh sb="5" eb="6">
      <t>ゴウ</t>
    </rPh>
    <rPh sb="6" eb="8">
      <t>ジョウゲ</t>
    </rPh>
    <phoneticPr fontId="9"/>
  </si>
  <si>
    <t>ディノス夏号パーカーセット④</t>
    <rPh sb="4" eb="5">
      <t>ナツ</t>
    </rPh>
    <rPh sb="5" eb="6">
      <t>ゴウ</t>
    </rPh>
    <phoneticPr fontId="9"/>
  </si>
  <si>
    <t>ディノス夏号上下セット⑤</t>
    <rPh sb="4" eb="5">
      <t>ナツ</t>
    </rPh>
    <rPh sb="5" eb="6">
      <t>ゴウ</t>
    </rPh>
    <rPh sb="6" eb="8">
      <t>ジョウゲ</t>
    </rPh>
    <phoneticPr fontId="9"/>
  </si>
  <si>
    <t>ディノス夏号パーカーセット⑤</t>
    <rPh sb="4" eb="5">
      <t>ナツ</t>
    </rPh>
    <rPh sb="5" eb="6">
      <t>ゴウ</t>
    </rPh>
    <phoneticPr fontId="9"/>
  </si>
  <si>
    <t>ディノス夏号上下セット⑥</t>
    <rPh sb="4" eb="5">
      <t>ナツ</t>
    </rPh>
    <rPh sb="5" eb="6">
      <t>ゴウ</t>
    </rPh>
    <rPh sb="6" eb="8">
      <t>ジョウゲ</t>
    </rPh>
    <phoneticPr fontId="9"/>
  </si>
  <si>
    <t>ディノス夏号パーカーセット⑥</t>
    <rPh sb="4" eb="5">
      <t>ナツ</t>
    </rPh>
    <rPh sb="5" eb="6">
      <t>ゴウ</t>
    </rPh>
    <phoneticPr fontId="9"/>
  </si>
  <si>
    <t>ディノス夏号パーカーセット⑦</t>
    <rPh sb="4" eb="5">
      <t>ナツ</t>
    </rPh>
    <rPh sb="5" eb="6">
      <t>ゴウ</t>
    </rPh>
    <phoneticPr fontId="9"/>
  </si>
  <si>
    <t>ディノス夏号パーカーセット⑧</t>
    <rPh sb="4" eb="5">
      <t>ナツ</t>
    </rPh>
    <rPh sb="5" eb="6">
      <t>ゴウ</t>
    </rPh>
    <phoneticPr fontId="9"/>
  </si>
  <si>
    <t>ディノス夏号上下セット⑦</t>
    <rPh sb="4" eb="5">
      <t>ナツ</t>
    </rPh>
    <rPh sb="5" eb="6">
      <t>ゴウ</t>
    </rPh>
    <rPh sb="6" eb="8">
      <t>ジョウゲ</t>
    </rPh>
    <phoneticPr fontId="9"/>
  </si>
  <si>
    <t>ディノス夏号パーカーセット⑨</t>
    <rPh sb="4" eb="5">
      <t>ナツ</t>
    </rPh>
    <rPh sb="5" eb="6">
      <t>ゴウ</t>
    </rPh>
    <phoneticPr fontId="9"/>
  </si>
  <si>
    <t>ディノス盛夏号上下セット①</t>
    <rPh sb="4" eb="6">
      <t>セイカ</t>
    </rPh>
    <rPh sb="6" eb="7">
      <t>ゴウ</t>
    </rPh>
    <rPh sb="7" eb="9">
      <t>ジョウゲ</t>
    </rPh>
    <phoneticPr fontId="9"/>
  </si>
  <si>
    <t>ディノス盛夏号パーカーセット①</t>
    <rPh sb="4" eb="6">
      <t>セイカ</t>
    </rPh>
    <rPh sb="6" eb="7">
      <t>ゴウ</t>
    </rPh>
    <phoneticPr fontId="9"/>
  </si>
  <si>
    <t>ディノス盛夏号上下セット②</t>
    <rPh sb="4" eb="6">
      <t>セイカ</t>
    </rPh>
    <rPh sb="6" eb="7">
      <t>ゴウ</t>
    </rPh>
    <rPh sb="7" eb="9">
      <t>ジョウゲ</t>
    </rPh>
    <phoneticPr fontId="9"/>
  </si>
  <si>
    <t>ディノス盛夏号パーカーセット②</t>
    <rPh sb="4" eb="6">
      <t>セイカ</t>
    </rPh>
    <rPh sb="6" eb="7">
      <t>ゴウ</t>
    </rPh>
    <phoneticPr fontId="9"/>
  </si>
  <si>
    <t>ディノス盛夏号上下セット③</t>
    <rPh sb="4" eb="6">
      <t>セイカ</t>
    </rPh>
    <rPh sb="6" eb="7">
      <t>ゴウ</t>
    </rPh>
    <rPh sb="7" eb="9">
      <t>ジョウゲ</t>
    </rPh>
    <phoneticPr fontId="9"/>
  </si>
  <si>
    <t>ディノス盛夏号上下セット④</t>
    <rPh sb="4" eb="6">
      <t>セイカ</t>
    </rPh>
    <rPh sb="6" eb="7">
      <t>ゴウ</t>
    </rPh>
    <rPh sb="7" eb="9">
      <t>ジョウゲ</t>
    </rPh>
    <phoneticPr fontId="9"/>
  </si>
  <si>
    <t>ディノス盛夏号パーカーセット③</t>
    <rPh sb="4" eb="6">
      <t>セイカ</t>
    </rPh>
    <rPh sb="6" eb="7">
      <t>ゴウ</t>
    </rPh>
    <phoneticPr fontId="9"/>
  </si>
  <si>
    <t>ディノス盛夏号上下セット⑤</t>
    <rPh sb="4" eb="6">
      <t>セイカ</t>
    </rPh>
    <rPh sb="6" eb="7">
      <t>ゴウ</t>
    </rPh>
    <rPh sb="7" eb="9">
      <t>ジョウゲ</t>
    </rPh>
    <phoneticPr fontId="9"/>
  </si>
  <si>
    <t>ディノス盛夏号パーカーセット④</t>
    <rPh sb="4" eb="6">
      <t>セイカ</t>
    </rPh>
    <rPh sb="6" eb="7">
      <t>ゴウ</t>
    </rPh>
    <phoneticPr fontId="9"/>
  </si>
  <si>
    <t>ディノス盛夏号上下セット⑥</t>
    <rPh sb="4" eb="6">
      <t>セイカ</t>
    </rPh>
    <rPh sb="6" eb="7">
      <t>ゴウ</t>
    </rPh>
    <rPh sb="7" eb="9">
      <t>ジョウゲ</t>
    </rPh>
    <phoneticPr fontId="9"/>
  </si>
  <si>
    <t>ディノス盛夏号パーカーセット⑤</t>
    <rPh sb="4" eb="6">
      <t>セイカ</t>
    </rPh>
    <rPh sb="6" eb="7">
      <t>ゴウ</t>
    </rPh>
    <phoneticPr fontId="9"/>
  </si>
  <si>
    <t>ディノス盛夏号パーカーセット⑥</t>
    <rPh sb="4" eb="6">
      <t>セイカ</t>
    </rPh>
    <rPh sb="6" eb="7">
      <t>ゴウ</t>
    </rPh>
    <phoneticPr fontId="9"/>
  </si>
  <si>
    <t>ディノス盛夏号上下セット⑦</t>
    <rPh sb="4" eb="6">
      <t>セイカ</t>
    </rPh>
    <rPh sb="6" eb="7">
      <t>ゴウ</t>
    </rPh>
    <rPh sb="7" eb="9">
      <t>ジョウゲ</t>
    </rPh>
    <phoneticPr fontId="9"/>
  </si>
  <si>
    <t>ディノス盛夏号パーカーセット⑦</t>
    <rPh sb="4" eb="6">
      <t>セイカ</t>
    </rPh>
    <rPh sb="6" eb="7">
      <t>ゴウ</t>
    </rPh>
    <phoneticPr fontId="9"/>
  </si>
  <si>
    <t>ディノス盛夏号上下セット⑧</t>
    <rPh sb="4" eb="6">
      <t>セイカ</t>
    </rPh>
    <rPh sb="6" eb="7">
      <t>ゴウ</t>
    </rPh>
    <rPh sb="7" eb="9">
      <t>ジョウゲ</t>
    </rPh>
    <phoneticPr fontId="9"/>
  </si>
  <si>
    <t>ディノス盛夏号上下セット⑨</t>
    <rPh sb="4" eb="6">
      <t>セイカ</t>
    </rPh>
    <rPh sb="6" eb="7">
      <t>ゴウ</t>
    </rPh>
    <rPh sb="7" eb="9">
      <t>ジョウゲ</t>
    </rPh>
    <phoneticPr fontId="9"/>
  </si>
  <si>
    <t>ディノス盛夏号上下セット⑩</t>
    <rPh sb="4" eb="6">
      <t>セイカ</t>
    </rPh>
    <rPh sb="6" eb="7">
      <t>ゴウ</t>
    </rPh>
    <rPh sb="7" eb="9">
      <t>ジョウゲ</t>
    </rPh>
    <phoneticPr fontId="9"/>
  </si>
  <si>
    <t>ディノス盛夏号パーカーセット⑧</t>
    <rPh sb="4" eb="6">
      <t>セイカ</t>
    </rPh>
    <rPh sb="6" eb="7">
      <t>ゴウ</t>
    </rPh>
    <phoneticPr fontId="9"/>
  </si>
  <si>
    <t>ディノス盛夏号上下セット⑪</t>
    <rPh sb="4" eb="6">
      <t>セイカ</t>
    </rPh>
    <rPh sb="6" eb="7">
      <t>ゴウ</t>
    </rPh>
    <rPh sb="7" eb="9">
      <t>ジョウゲ</t>
    </rPh>
    <phoneticPr fontId="9"/>
  </si>
  <si>
    <t>ディノス盛夏号パーカーセット⑨</t>
    <rPh sb="4" eb="6">
      <t>セイカ</t>
    </rPh>
    <rPh sb="6" eb="7">
      <t>ゴウ</t>
    </rPh>
    <phoneticPr fontId="9"/>
  </si>
  <si>
    <t>ディノス盛夏号パーカーセット⑩</t>
    <rPh sb="4" eb="6">
      <t>セイカ</t>
    </rPh>
    <rPh sb="6" eb="7">
      <t>ゴウ</t>
    </rPh>
    <phoneticPr fontId="9"/>
  </si>
  <si>
    <t>ディノス盛夏号上下セット⑫</t>
    <rPh sb="4" eb="6">
      <t>セイカ</t>
    </rPh>
    <rPh sb="6" eb="7">
      <t>ゴウ</t>
    </rPh>
    <rPh sb="7" eb="9">
      <t>ジョウゲ</t>
    </rPh>
    <phoneticPr fontId="9"/>
  </si>
  <si>
    <t>ディノス盛夏号上下セット⑬</t>
    <rPh sb="4" eb="6">
      <t>セイカ</t>
    </rPh>
    <rPh sb="6" eb="7">
      <t>ゴウ</t>
    </rPh>
    <rPh sb="7" eb="9">
      <t>ジョウゲ</t>
    </rPh>
    <phoneticPr fontId="9"/>
  </si>
  <si>
    <t>ディノス盛夏号パーカーセット⑪</t>
    <rPh sb="4" eb="6">
      <t>セイカ</t>
    </rPh>
    <rPh sb="6" eb="7">
      <t>ゴウ</t>
    </rPh>
    <phoneticPr fontId="9"/>
  </si>
  <si>
    <t>ディノス盛夏号上下セット⑭</t>
    <rPh sb="4" eb="6">
      <t>セイカ</t>
    </rPh>
    <rPh sb="6" eb="7">
      <t>ゴウ</t>
    </rPh>
    <rPh sb="7" eb="9">
      <t>ジョウゲ</t>
    </rPh>
    <phoneticPr fontId="9"/>
  </si>
  <si>
    <t>ディノス盛夏号パーカーセット⑬</t>
    <rPh sb="4" eb="6">
      <t>セイカ</t>
    </rPh>
    <rPh sb="6" eb="7">
      <t>ゴウ</t>
    </rPh>
    <phoneticPr fontId="9"/>
  </si>
  <si>
    <t>ディノス盛夏号パーカーセット⑭</t>
    <rPh sb="4" eb="6">
      <t>セイカ</t>
    </rPh>
    <rPh sb="6" eb="7">
      <t>ゴウ</t>
    </rPh>
    <phoneticPr fontId="9"/>
  </si>
  <si>
    <t>ディノス盛夏号上下セット⑮</t>
    <rPh sb="4" eb="6">
      <t>セイカ</t>
    </rPh>
    <rPh sb="6" eb="7">
      <t>ゴウ</t>
    </rPh>
    <rPh sb="7" eb="9">
      <t>ジョウゲ</t>
    </rPh>
    <phoneticPr fontId="9"/>
  </si>
  <si>
    <t>ディノス盛夏号パーカーセット⑮</t>
    <rPh sb="4" eb="6">
      <t>セイカ</t>
    </rPh>
    <rPh sb="6" eb="7">
      <t>ゴウ</t>
    </rPh>
    <phoneticPr fontId="9"/>
  </si>
  <si>
    <t>ディノス盛夏号パーカーセット⑯</t>
    <rPh sb="4" eb="6">
      <t>セイカ</t>
    </rPh>
    <rPh sb="6" eb="7">
      <t>ゴウ</t>
    </rPh>
    <phoneticPr fontId="9"/>
  </si>
  <si>
    <t>かりん</t>
    <phoneticPr fontId="9"/>
  </si>
  <si>
    <t>ディノス盛夏号上下セット⑯</t>
    <rPh sb="4" eb="6">
      <t>セイカ</t>
    </rPh>
    <rPh sb="6" eb="7">
      <t>ゴウ</t>
    </rPh>
    <rPh sb="7" eb="9">
      <t>ジョウゲ</t>
    </rPh>
    <phoneticPr fontId="9"/>
  </si>
  <si>
    <t>ディノス盛夏号パーカーセット⑰</t>
    <rPh sb="4" eb="6">
      <t>セイカ</t>
    </rPh>
    <rPh sb="6" eb="7">
      <t>ゴウ</t>
    </rPh>
    <phoneticPr fontId="9"/>
  </si>
  <si>
    <t>ディノス盛夏号パーカーセット⑱</t>
    <rPh sb="4" eb="6">
      <t>セイカ</t>
    </rPh>
    <rPh sb="6" eb="7">
      <t>ゴウ</t>
    </rPh>
    <phoneticPr fontId="9"/>
  </si>
  <si>
    <t>ディノス盛夏号上下セット⑰</t>
    <rPh sb="4" eb="6">
      <t>セイカ</t>
    </rPh>
    <rPh sb="6" eb="7">
      <t>ゴウ</t>
    </rPh>
    <rPh sb="7" eb="9">
      <t>ジョウゲ</t>
    </rPh>
    <phoneticPr fontId="9"/>
  </si>
  <si>
    <t>ディノス盛夏号パーカーセット⑲</t>
    <rPh sb="4" eb="6">
      <t>セイカ</t>
    </rPh>
    <rPh sb="6" eb="7">
      <t>ゴウ</t>
    </rPh>
    <phoneticPr fontId="9"/>
  </si>
  <si>
    <t>ディノス盛夏号パーカーセット⑳</t>
    <rPh sb="4" eb="6">
      <t>セイカ</t>
    </rPh>
    <rPh sb="6" eb="7">
      <t>ゴウ</t>
    </rPh>
    <phoneticPr fontId="9"/>
  </si>
  <si>
    <t>ディノス盛夏号パーカーセット㉑</t>
    <rPh sb="4" eb="6">
      <t>セイカ</t>
    </rPh>
    <rPh sb="6" eb="7">
      <t>ゴウ</t>
    </rPh>
    <phoneticPr fontId="9"/>
  </si>
  <si>
    <t>ディノス盛夏号上下セット⑱</t>
    <rPh sb="4" eb="6">
      <t>セイカ</t>
    </rPh>
    <rPh sb="6" eb="7">
      <t>ゴウ</t>
    </rPh>
    <rPh sb="7" eb="9">
      <t>ジョウゲ</t>
    </rPh>
    <phoneticPr fontId="9"/>
  </si>
  <si>
    <t>ディノス盛夏号パーカーセット㉒</t>
    <rPh sb="4" eb="6">
      <t>セイカ</t>
    </rPh>
    <rPh sb="6" eb="7">
      <t>ゴウ</t>
    </rPh>
    <phoneticPr fontId="9"/>
  </si>
  <si>
    <t>ディノス盛夏号上下セット⑲</t>
    <rPh sb="4" eb="6">
      <t>セイカ</t>
    </rPh>
    <rPh sb="6" eb="7">
      <t>ゴウ</t>
    </rPh>
    <rPh sb="7" eb="9">
      <t>ジョウゲ</t>
    </rPh>
    <phoneticPr fontId="9"/>
  </si>
  <si>
    <t>ディノス盛夏号パーカーセット㉓</t>
    <rPh sb="4" eb="6">
      <t>セイカ</t>
    </rPh>
    <rPh sb="6" eb="7">
      <t>ゴウ</t>
    </rPh>
    <phoneticPr fontId="9"/>
  </si>
  <si>
    <t>ディノス盛夏号パーカーセット㉔</t>
    <rPh sb="4" eb="6">
      <t>セイカ</t>
    </rPh>
    <rPh sb="6" eb="7">
      <t>ゴウ</t>
    </rPh>
    <phoneticPr fontId="9"/>
  </si>
  <si>
    <t>ディノス盛夏号上下セット⑳</t>
    <rPh sb="4" eb="6">
      <t>セイカ</t>
    </rPh>
    <rPh sb="6" eb="7">
      <t>ゴウ</t>
    </rPh>
    <rPh sb="7" eb="9">
      <t>ジョウゲ</t>
    </rPh>
    <phoneticPr fontId="9"/>
  </si>
  <si>
    <t>ディノス盛夏号上下セット㉑</t>
    <rPh sb="4" eb="6">
      <t>セイカ</t>
    </rPh>
    <rPh sb="6" eb="7">
      <t>ゴウ</t>
    </rPh>
    <rPh sb="7" eb="9">
      <t>ジョウゲ</t>
    </rPh>
    <phoneticPr fontId="9"/>
  </si>
  <si>
    <t>ディノス盛夏号パーカーセット㉕</t>
    <rPh sb="4" eb="6">
      <t>セイカ</t>
    </rPh>
    <rPh sb="6" eb="7">
      <t>ゴウ</t>
    </rPh>
    <phoneticPr fontId="9"/>
  </si>
  <si>
    <t>ディノス盛夏号上下セット㉒</t>
    <rPh sb="4" eb="6">
      <t>セイカ</t>
    </rPh>
    <rPh sb="6" eb="7">
      <t>ゴウ</t>
    </rPh>
    <rPh sb="7" eb="9">
      <t>ジョウゲ</t>
    </rPh>
    <phoneticPr fontId="9"/>
  </si>
  <si>
    <t>ディノス盛夏号パーカーセット㉖</t>
    <rPh sb="4" eb="6">
      <t>セイカ</t>
    </rPh>
    <rPh sb="6" eb="7">
      <t>ゴウ</t>
    </rPh>
    <phoneticPr fontId="9"/>
  </si>
  <si>
    <t>ディノス盛夏号上下セット㉓</t>
    <rPh sb="4" eb="6">
      <t>セイカ</t>
    </rPh>
    <rPh sb="6" eb="7">
      <t>ゴウ</t>
    </rPh>
    <rPh sb="7" eb="9">
      <t>ジョウゲ</t>
    </rPh>
    <phoneticPr fontId="9"/>
  </si>
  <si>
    <t>ディノス盛夏号パーカーセット㉗</t>
    <rPh sb="4" eb="6">
      <t>セイカ</t>
    </rPh>
    <rPh sb="6" eb="7">
      <t>ゴウ</t>
    </rPh>
    <phoneticPr fontId="9"/>
  </si>
  <si>
    <t>ディノス盛夏号パーカーセット㉘</t>
    <rPh sb="4" eb="6">
      <t>セイカ</t>
    </rPh>
    <rPh sb="6" eb="7">
      <t>ゴウ</t>
    </rPh>
    <phoneticPr fontId="9"/>
  </si>
  <si>
    <t>ディノス盛夏号上下セット㉔</t>
    <rPh sb="4" eb="6">
      <t>セイカ</t>
    </rPh>
    <rPh sb="6" eb="7">
      <t>ゴウ</t>
    </rPh>
    <rPh sb="7" eb="9">
      <t>ジョウゲ</t>
    </rPh>
    <phoneticPr fontId="9"/>
  </si>
  <si>
    <t>ディノス盛夏号パーカーセット㉙</t>
    <rPh sb="4" eb="6">
      <t>セイカ</t>
    </rPh>
    <rPh sb="6" eb="7">
      <t>ゴウ</t>
    </rPh>
    <phoneticPr fontId="9"/>
  </si>
  <si>
    <t>ディノス盛夏号パーカーセット㉚</t>
    <rPh sb="4" eb="6">
      <t>セイカ</t>
    </rPh>
    <rPh sb="6" eb="7">
      <t>ゴウ</t>
    </rPh>
    <phoneticPr fontId="9"/>
  </si>
  <si>
    <t>ディノス盛夏号上下セット㉕</t>
    <rPh sb="4" eb="6">
      <t>セイカ</t>
    </rPh>
    <rPh sb="6" eb="7">
      <t>ゴウ</t>
    </rPh>
    <rPh sb="7" eb="9">
      <t>ジョウゲ</t>
    </rPh>
    <phoneticPr fontId="9"/>
  </si>
  <si>
    <t>ディノス盛夏号上下セット㉖</t>
    <rPh sb="4" eb="6">
      <t>セイカ</t>
    </rPh>
    <rPh sb="6" eb="7">
      <t>ゴウ</t>
    </rPh>
    <rPh sb="7" eb="9">
      <t>ジョウゲ</t>
    </rPh>
    <phoneticPr fontId="9"/>
  </si>
  <si>
    <t>ディノス盛夏号上下セット㉗</t>
    <rPh sb="4" eb="6">
      <t>セイカ</t>
    </rPh>
    <rPh sb="6" eb="7">
      <t>ゴウ</t>
    </rPh>
    <rPh sb="7" eb="9">
      <t>ジョウゲ</t>
    </rPh>
    <phoneticPr fontId="9"/>
  </si>
  <si>
    <t>ディノス盛夏号上下セット㉘</t>
    <rPh sb="4" eb="6">
      <t>セイカ</t>
    </rPh>
    <rPh sb="6" eb="7">
      <t>ゴウ</t>
    </rPh>
    <rPh sb="7" eb="9">
      <t>ジョウゲ</t>
    </rPh>
    <phoneticPr fontId="9"/>
  </si>
  <si>
    <t>←ここまで式確認2025/8/28</t>
    <rPh sb="0" eb="8">
      <t>&lt;-ココマデシキカクニン</t>
    </rPh>
    <phoneticPr fontId="9"/>
  </si>
  <si>
    <t>ディノス盛夏号上下セット㉙</t>
    <rPh sb="4" eb="6">
      <t>セイカ</t>
    </rPh>
    <rPh sb="6" eb="7">
      <t>ゴウ</t>
    </rPh>
    <rPh sb="7" eb="9">
      <t>ジョウゲ</t>
    </rPh>
    <phoneticPr fontId="9"/>
  </si>
  <si>
    <t>ディノス盛夏号上下セット㉚</t>
    <rPh sb="4" eb="6">
      <t>セイカ</t>
    </rPh>
    <rPh sb="6" eb="7">
      <t>ゴウ</t>
    </rPh>
    <rPh sb="7" eb="9">
      <t>ジョウゲ</t>
    </rPh>
    <phoneticPr fontId="9"/>
  </si>
  <si>
    <t>KPORT</t>
    <phoneticPr fontId="9"/>
  </si>
  <si>
    <t>ディノス盛夏号上下セット㉛</t>
    <rPh sb="4" eb="6">
      <t>セイカ</t>
    </rPh>
    <rPh sb="6" eb="7">
      <t>ゴウ</t>
    </rPh>
    <rPh sb="7" eb="9">
      <t>ジョウゲ</t>
    </rPh>
    <phoneticPr fontId="9"/>
  </si>
  <si>
    <t>追加</t>
    <rPh sb="0" eb="2">
      <t>ツイカ</t>
    </rPh>
    <phoneticPr fontId="9"/>
  </si>
  <si>
    <t>ディノス盛夏号上下セット㉜</t>
    <rPh sb="4" eb="6">
      <t>セイカ</t>
    </rPh>
    <rPh sb="6" eb="7">
      <t>ゴウ</t>
    </rPh>
    <rPh sb="7" eb="9">
      <t>ジョウゲ</t>
    </rPh>
    <phoneticPr fontId="9"/>
  </si>
  <si>
    <t>ディノス盛夏号上下セット㉝</t>
    <rPh sb="4" eb="6">
      <t>セイカ</t>
    </rPh>
    <rPh sb="6" eb="7">
      <t>ゴウ</t>
    </rPh>
    <rPh sb="7" eb="9">
      <t>ジョウゲ</t>
    </rPh>
    <phoneticPr fontId="9"/>
  </si>
  <si>
    <t>ディノス盛夏号パーカーセット㉛</t>
    <rPh sb="4" eb="6">
      <t>セイカ</t>
    </rPh>
    <rPh sb="6" eb="7">
      <t>ゴウ</t>
    </rPh>
    <phoneticPr fontId="9"/>
  </si>
  <si>
    <t>ディノス盛夏号上下セット㉞</t>
    <rPh sb="4" eb="6">
      <t>セイカ</t>
    </rPh>
    <rPh sb="6" eb="7">
      <t>ゴウ</t>
    </rPh>
    <rPh sb="7" eb="9">
      <t>ジョウゲ</t>
    </rPh>
    <phoneticPr fontId="9"/>
  </si>
  <si>
    <t>ディノス盛夏号パーカーセット㉜</t>
    <rPh sb="4" eb="6">
      <t>セイカ</t>
    </rPh>
    <rPh sb="6" eb="7">
      <t>ゴウ</t>
    </rPh>
    <phoneticPr fontId="9"/>
  </si>
  <si>
    <t>ディノス盛夏号パーカーセット㉝</t>
    <rPh sb="4" eb="6">
      <t>セイカ</t>
    </rPh>
    <rPh sb="6" eb="7">
      <t>ゴウ</t>
    </rPh>
    <phoneticPr fontId="9"/>
  </si>
  <si>
    <t>ディノス盛夏号上下セット㉟</t>
    <rPh sb="4" eb="6">
      <t>セイカ</t>
    </rPh>
    <rPh sb="6" eb="7">
      <t>ゴウ</t>
    </rPh>
    <rPh sb="7" eb="9">
      <t>ジョウゲ</t>
    </rPh>
    <phoneticPr fontId="9"/>
  </si>
  <si>
    <t>ディノス盛夏号パーカーセット㉞</t>
    <rPh sb="4" eb="6">
      <t>セイカ</t>
    </rPh>
    <rPh sb="6" eb="7">
      <t>ゴウ</t>
    </rPh>
    <phoneticPr fontId="9"/>
  </si>
  <si>
    <t>ネット返品</t>
    <rPh sb="3" eb="5">
      <t>ヘンピン</t>
    </rPh>
    <phoneticPr fontId="9"/>
  </si>
  <si>
    <t>KPORT</t>
    <phoneticPr fontId="9"/>
  </si>
  <si>
    <t>ディノス盛夏号上下セット㊱</t>
    <rPh sb="4" eb="6">
      <t>セイカ</t>
    </rPh>
    <rPh sb="6" eb="7">
      <t>ゴウ</t>
    </rPh>
    <rPh sb="7" eb="9">
      <t>ジョウゲ</t>
    </rPh>
    <phoneticPr fontId="9"/>
  </si>
  <si>
    <t>夢販</t>
    <rPh sb="0" eb="2">
      <t>ユメハン</t>
    </rPh>
    <phoneticPr fontId="9"/>
  </si>
  <si>
    <t>ディノス26年夏号（紙面）確保</t>
    <rPh sb="6" eb="7">
      <t>ネン</t>
    </rPh>
    <rPh sb="7" eb="9">
      <t>ナツゴウ</t>
    </rPh>
    <rPh sb="10" eb="12">
      <t>シメン</t>
    </rPh>
    <rPh sb="13" eb="15">
      <t>カクホ</t>
    </rPh>
    <phoneticPr fontId="9"/>
  </si>
  <si>
    <t>ディノス26年夏号（WEB）</t>
    <rPh sb="6" eb="7">
      <t>ネン</t>
    </rPh>
    <rPh sb="7" eb="9">
      <t>ナツゴウ</t>
    </rPh>
    <phoneticPr fontId="9"/>
  </si>
  <si>
    <t>事前搬入3/6、受注期間3/30～10/31</t>
    <rPh sb="0" eb="4">
      <t>ジゼンハンニュウ</t>
    </rPh>
    <rPh sb="8" eb="17">
      <t>ジュチュウキカン3/30カラ</t>
    </rPh>
    <phoneticPr fontId="9"/>
  </si>
  <si>
    <t>ディノス盛夏号上下セット㊲</t>
    <rPh sb="4" eb="6">
      <t>セイカ</t>
    </rPh>
    <rPh sb="6" eb="7">
      <t>ゴウ</t>
    </rPh>
    <rPh sb="7" eb="9">
      <t>ジョウゲ</t>
    </rPh>
    <phoneticPr fontId="9"/>
  </si>
  <si>
    <t>ディノス盛夏号パーカーセット㉟</t>
    <rPh sb="4" eb="6">
      <t>セイカ</t>
    </rPh>
    <rPh sb="6" eb="7">
      <t>ゴウ</t>
    </rPh>
    <phoneticPr fontId="9"/>
  </si>
  <si>
    <t>夢販</t>
    <rPh sb="0" eb="2">
      <t>y</t>
    </rPh>
    <phoneticPr fontId="9"/>
  </si>
  <si>
    <t>ディノス盛夏号パーカーセット㊱</t>
    <rPh sb="4" eb="6">
      <t>セイカ</t>
    </rPh>
    <rPh sb="6" eb="7">
      <t>ゴウ</t>
    </rPh>
    <phoneticPr fontId="9"/>
  </si>
  <si>
    <t>ディノス盛夏号パーカーセット㊲</t>
    <rPh sb="4" eb="6">
      <t>セイカ</t>
    </rPh>
    <rPh sb="6" eb="7">
      <t>ゴウ</t>
    </rPh>
    <phoneticPr fontId="9"/>
  </si>
  <si>
    <t>ディノス26年夏号（紙面）①</t>
    <rPh sb="6" eb="7">
      <t>ネン</t>
    </rPh>
    <rPh sb="7" eb="9">
      <t>ナツゴウ</t>
    </rPh>
    <rPh sb="10" eb="12">
      <t>シメン</t>
    </rPh>
    <phoneticPr fontId="9"/>
  </si>
  <si>
    <t>ディノス26年夏号（WEB）①</t>
    <rPh sb="6" eb="7">
      <t>ネン</t>
    </rPh>
    <rPh sb="7" eb="9">
      <t>ナツゴウ</t>
    </rPh>
    <phoneticPr fontId="9"/>
  </si>
  <si>
    <t>ディノス26年夏号（紙面）②</t>
    <rPh sb="6" eb="7">
      <t>ネン</t>
    </rPh>
    <rPh sb="7" eb="9">
      <t>ナツゴウ</t>
    </rPh>
    <rPh sb="10" eb="12">
      <t>シメン</t>
    </rPh>
    <phoneticPr fontId="9"/>
  </si>
  <si>
    <t>ディノス26年夏号（紙面）③</t>
    <rPh sb="6" eb="7">
      <t>ネン</t>
    </rPh>
    <rPh sb="7" eb="9">
      <t>ナツゴウ</t>
    </rPh>
    <rPh sb="10" eb="12">
      <t>シメン</t>
    </rPh>
    <phoneticPr fontId="9"/>
  </si>
  <si>
    <t>ディノス26年夏号（WEB）②</t>
    <rPh sb="6" eb="7">
      <t>ネン</t>
    </rPh>
    <rPh sb="7" eb="9">
      <t>ナツゴウ</t>
    </rPh>
    <phoneticPr fontId="9"/>
  </si>
  <si>
    <t>ディノス26年夏号（紙面）上下③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</si>
  <si>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ディノス26年夏号（紙面）3点セット④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</si>
  <si>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ディノス26年夏号（紙面）3点セット⑤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</si>
  <si>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ディノス26年夏号（紙面）上下④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</si>
  <si>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ディノス26年夏号（紙面）上下⑤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</si>
  <si>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ディノス26年夏号（紙面）上下⑥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</si>
  <si>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ディノス26年夏号（紙面）3点セット⑥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</si>
  <si>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ディノス26年夏号（紙面）上下⑦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</si>
  <si>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ディノス26年夏号（紙面）3点セット⑦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</si>
  <si>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ディノス26年夏号（紙面）上下⑧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</si>
  <si>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ディノス26年夏号（紙面）3点セット⑧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</si>
  <si>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ディノス26年夏号（紙面）3点セット⑨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</si>
  <si>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ディノス26年夏号（紙面）上下⑨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</si>
  <si>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ディノス26年夏号（紙面）上下⑩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</si>
  <si>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ディノス26年夏号（紙面）3点セット⑩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</si>
  <si>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ディノス26年夏号（紙面）3点セット⑪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</si>
  <si>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ディノス26年夏号（紙面）上下⑪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</si>
  <si>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ディノス26年夏号（紙面）上下⑫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</si>
  <si>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ディノス26年夏号（紙面）3点セット⑫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</si>
  <si>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ネット</t>
    <phoneticPr fontId="9"/>
  </si>
  <si>
    <t>ディノス26年夏号（紙面）上下⑬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</si>
  <si>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在庫確認</t>
    <rPh sb="0" eb="4">
      <t>ザイコカクニン</t>
    </rPh>
    <phoneticPr fontId="9"/>
  </si>
  <si>
    <t>ゆめはん</t>
    <phoneticPr fontId="9"/>
  </si>
  <si>
    <t>ディノス26年夏号（紙面）上下⑭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</si>
  <si>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ディノス26年夏号（紙面）3点セット⑬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</si>
  <si>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ディノス26年夏号（紙面）上下⑮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</si>
  <si>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ディノス26年夏号（紙面）3点セット⑭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</si>
  <si>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ディノス26年夏号（紙面）上下⑯</t>
    <rPh sb="6" eb="7">
      <t>ネン</t>
    </rPh>
    <rPh sb="7" eb="9">
      <t>ナツゴウ</t>
    </rPh>
    <rPh sb="10" eb="12">
      <t>シメン</t>
    </rPh>
    <rPh sb="13" eb="15">
      <t>ジョウゲ</t>
    </rPh>
    <phoneticPr fontId="9"/>
  </si>
  <si>
    <t>ディノス26年夏号（紙面）3点セット⑮</t>
    <rPh sb="6" eb="7">
      <t>ネン</t>
    </rPh>
    <rPh sb="7" eb="9">
      <t>ナツゴウ</t>
    </rPh>
    <rPh sb="10" eb="12">
      <t>シメン</t>
    </rPh>
    <rPh sb="14" eb="15">
      <t>テン</t>
    </rPh>
    <phoneticPr fontId="9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</si>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</sst>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22" x14ac:knownFonts="1"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9" xfId="0" applyFont="1" applyBorder="1" applyAlignment="1"/>
    <xf numFmtId="0" fontId="7" fillId="0" borderId="10" xfId="0" applyFont="1" applyBorder="1" applyAlignment="1"/>
    <xf numFmtId="0" fontId="0" fillId="0" borderId="13" xfId="0" applyBorder="1" applyAlignment="1"/>
    <xf numFmtId="0" fontId="7" fillId="0" borderId="14" xfId="0" applyFont="1" applyBorder="1" applyAlignment="1"/>
    <xf numFmtId="0" fontId="7" fillId="0" borderId="15" xfId="0" applyFont="1" applyBorder="1" applyAlignment="1"/>
    <xf numFmtId="0" fontId="7" fillId="0" borderId="16" xfId="0" applyFont="1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/>
    <xf numFmtId="0" fontId="8" fillId="0" borderId="12" xfId="0" applyFont="1" applyBorder="1" applyAlignment="1"/>
    <xf numFmtId="0" fontId="8" fillId="0" borderId="20" xfId="0" applyFont="1" applyBorder="1" applyAlignment="1"/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8" xfId="0" applyFont="1" applyBorder="1" applyAlignment="1"/>
    <xf numFmtId="0" fontId="6" fillId="0" borderId="8" xfId="0" applyFont="1" applyBorder="1" applyAlignment="1">
      <alignment horizontal="center" vertical="center"/>
    </xf>
    <xf numFmtId="0" fontId="12" fillId="0" borderId="9" xfId="0" applyFont="1" applyBorder="1" applyAlignment="1"/>
    <xf numFmtId="0" fontId="12" fillId="0" borderId="10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  <xf numFmtId="0" fontId="12" fillId="0" borderId="16" xfId="0" applyFont="1" applyBorder="1" applyAlignment="1"/>
    <xf numFmtId="0" fontId="12" fillId="0" borderId="11" xfId="0" applyFont="1" applyBorder="1" applyAlignment="1"/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1" fillId="0" borderId="7" xfId="0" applyFont="1" applyBorder="1" applyAlignment="1"/>
    <xf numFmtId="0" fontId="11" fillId="0" borderId="23" xfId="0" applyFont="1" applyBorder="1" applyAlignment="1"/>
    <xf numFmtId="0" fontId="11" fillId="0" borderId="2" xfId="0" applyFont="1" applyBorder="1" applyAlignment="1"/>
    <xf numFmtId="0" fontId="6" fillId="0" borderId="24" xfId="0" applyFont="1" applyBorder="1" applyAlignment="1">
      <alignment horizontal="center" vertical="center"/>
    </xf>
    <xf numFmtId="0" fontId="12" fillId="0" borderId="26" xfId="0" applyFont="1" applyBorder="1" applyAlignment="1"/>
    <xf numFmtId="0" fontId="12" fillId="0" borderId="27" xfId="0" applyFont="1" applyBorder="1" applyAlignment="1"/>
    <xf numFmtId="0" fontId="11" fillId="0" borderId="28" xfId="0" applyFont="1" applyBorder="1" applyAlignment="1"/>
    <xf numFmtId="0" fontId="12" fillId="0" borderId="29" xfId="0" applyFont="1" applyBorder="1" applyAlignment="1"/>
    <xf numFmtId="0" fontId="12" fillId="0" borderId="30" xfId="0" applyFont="1" applyBorder="1" applyAlignment="1"/>
    <xf numFmtId="0" fontId="12" fillId="0" borderId="31" xfId="0" applyFont="1" applyBorder="1" applyAlignment="1"/>
    <xf numFmtId="0" fontId="12" fillId="0" borderId="32" xfId="0" applyFont="1" applyBorder="1" applyAlignment="1"/>
    <xf numFmtId="0" fontId="12" fillId="0" borderId="25" xfId="0" applyFont="1" applyBorder="1" applyAlignment="1"/>
    <xf numFmtId="0" fontId="8" fillId="0" borderId="33" xfId="0" applyFont="1" applyBorder="1" applyAlignment="1"/>
    <xf numFmtId="0" fontId="13" fillId="0" borderId="2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0" fontId="11" fillId="0" borderId="12" xfId="0" applyFont="1" applyBorder="1" applyAlignment="1"/>
    <xf numFmtId="0" fontId="11" fillId="0" borderId="35" xfId="0" applyFont="1" applyBorder="1" applyAlignment="1"/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shrinkToFit="1"/>
    </xf>
    <xf numFmtId="56" fontId="12" fillId="0" borderId="0" xfId="0" applyNumberFormat="1" applyFont="1" applyAlignment="1">
      <alignment horizontal="left" vertical="center" shrinkToFit="1"/>
    </xf>
    <xf numFmtId="0" fontId="10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4" borderId="0" xfId="0" applyFont="1" applyFill="1" applyAlignment="1"/>
    <xf numFmtId="0" fontId="0" fillId="4" borderId="0" xfId="0" applyFill="1" applyAlignment="1"/>
    <xf numFmtId="56" fontId="11" fillId="0" borderId="0" xfId="0" applyNumberFormat="1" applyFont="1" applyAlignment="1">
      <alignment horizontal="left" vertical="center" shrinkToFit="1"/>
    </xf>
    <xf numFmtId="0" fontId="6" fillId="0" borderId="36" xfId="0" applyFont="1" applyBorder="1" applyAlignment="1">
      <alignment horizontal="center" vertical="center"/>
    </xf>
    <xf numFmtId="0" fontId="11" fillId="0" borderId="14" xfId="0" applyFont="1" applyBorder="1" applyAlignment="1"/>
    <xf numFmtId="56" fontId="11" fillId="0" borderId="0" xfId="0" applyNumberFormat="1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177" fontId="11" fillId="0" borderId="0" xfId="0" applyNumberFormat="1" applyFont="1">
      <alignment vertical="center"/>
    </xf>
    <xf numFmtId="177" fontId="15" fillId="0" borderId="0" xfId="0" applyNumberFormat="1" applyFont="1">
      <alignment vertical="center"/>
    </xf>
    <xf numFmtId="0" fontId="16" fillId="0" borderId="0" xfId="0" applyFont="1">
      <alignment vertical="center"/>
    </xf>
    <xf numFmtId="0" fontId="7" fillId="6" borderId="9" xfId="0" applyFont="1" applyFill="1" applyBorder="1" applyAlignment="1"/>
    <xf numFmtId="0" fontId="7" fillId="6" borderId="14" xfId="0" applyFont="1" applyFill="1" applyBorder="1" applyAlignment="1"/>
    <xf numFmtId="0" fontId="12" fillId="6" borderId="14" xfId="0" applyFont="1" applyFill="1" applyBorder="1" applyAlignme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7" fillId="6" borderId="10" xfId="0" applyFont="1" applyFill="1" applyBorder="1" applyAlignment="1"/>
    <xf numFmtId="0" fontId="7" fillId="0" borderId="2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9" xfId="0" applyFont="1" applyBorder="1" applyAlignment="1"/>
    <xf numFmtId="0" fontId="17" fillId="0" borderId="10" xfId="0" applyFont="1" applyBorder="1" applyAlignment="1"/>
    <xf numFmtId="0" fontId="17" fillId="0" borderId="14" xfId="0" applyFont="1" applyBorder="1" applyAlignment="1"/>
    <xf numFmtId="0" fontId="18" fillId="0" borderId="14" xfId="0" applyFont="1" applyBorder="1" applyAlignment="1">
      <alignment horizontal="center" vertical="center"/>
    </xf>
    <xf numFmtId="0" fontId="18" fillId="0" borderId="9" xfId="0" applyFont="1" applyBorder="1" applyAlignment="1"/>
    <xf numFmtId="0" fontId="18" fillId="0" borderId="10" xfId="0" applyFont="1" applyBorder="1" applyAlignment="1"/>
    <xf numFmtId="0" fontId="18" fillId="0" borderId="14" xfId="0" applyFont="1" applyBorder="1" applyAlignment="1"/>
    <xf numFmtId="0" fontId="15" fillId="0" borderId="14" xfId="0" applyFont="1" applyBorder="1" applyAlignment="1"/>
    <xf numFmtId="0" fontId="0" fillId="0" borderId="0" xfId="0" applyAlignment="1">
      <alignment vertical="center" shrinkToFit="1"/>
    </xf>
    <xf numFmtId="0" fontId="6" fillId="0" borderId="14" xfId="0" applyFont="1" applyBorder="1" applyAlignment="1">
      <alignment horizontal="center" vertical="center"/>
    </xf>
    <xf numFmtId="56" fontId="12" fillId="0" borderId="0" xfId="0" applyNumberFormat="1" applyFont="1" applyAlignment="1">
      <alignment vertical="center" shrinkToFit="1"/>
    </xf>
    <xf numFmtId="56" fontId="0" fillId="0" borderId="0" xfId="0" applyNumberFormat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4" xfId="0" applyFont="1" applyBorder="1" applyAlignment="1"/>
    <xf numFmtId="0" fontId="19" fillId="0" borderId="14" xfId="0" applyFont="1" applyBorder="1" applyAlignment="1"/>
    <xf numFmtId="0" fontId="7" fillId="7" borderId="9" xfId="0" applyFont="1" applyFill="1" applyBorder="1" applyAlignment="1"/>
    <xf numFmtId="0" fontId="7" fillId="7" borderId="10" xfId="0" applyFont="1" applyFill="1" applyBorder="1" applyAlignment="1"/>
    <xf numFmtId="0" fontId="7" fillId="7" borderId="14" xfId="0" applyFont="1" applyFill="1" applyBorder="1" applyAlignment="1"/>
    <xf numFmtId="56" fontId="0" fillId="0" borderId="0" xfId="0" applyNumberForma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4" xfId="0" applyBorder="1" applyAlignment="1"/>
    <xf numFmtId="0" fontId="17" fillId="0" borderId="6" xfId="0" applyFont="1" applyBorder="1" applyAlignment="1">
      <alignment horizontal="center" vertical="center"/>
    </xf>
    <xf numFmtId="0" fontId="17" fillId="0" borderId="15" xfId="0" applyFont="1" applyBorder="1" applyAlignment="1"/>
    <xf numFmtId="0" fontId="17" fillId="0" borderId="16" xfId="0" applyFont="1" applyBorder="1" applyAlignment="1"/>
    <xf numFmtId="0" fontId="11" fillId="0" borderId="25" xfId="0" applyFont="1" applyBorder="1" applyAlignment="1"/>
    <xf numFmtId="0" fontId="17" fillId="8" borderId="15" xfId="0" applyFont="1" applyFill="1" applyBorder="1" applyAlignment="1"/>
    <xf numFmtId="0" fontId="17" fillId="8" borderId="16" xfId="0" applyFont="1" applyFill="1" applyBorder="1" applyAlignment="1"/>
    <xf numFmtId="56" fontId="0" fillId="0" borderId="0" xfId="0" applyNumberFormat="1">
      <alignment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8" borderId="9" xfId="0" applyFont="1" applyFill="1" applyBorder="1" applyAlignment="1"/>
    <xf numFmtId="0" fontId="11" fillId="8" borderId="10" xfId="0" applyFont="1" applyFill="1" applyBorder="1" applyAlignment="1"/>
    <xf numFmtId="0" fontId="10" fillId="0" borderId="3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31" xfId="0" applyBorder="1" applyAlignment="1"/>
    <xf numFmtId="0" fontId="0" fillId="9" borderId="17" xfId="0" applyFill="1" applyBorder="1" applyAlignment="1"/>
    <xf numFmtId="0" fontId="0" fillId="9" borderId="18" xfId="0" applyFill="1" applyBorder="1" applyAlignment="1"/>
    <xf numFmtId="0" fontId="0" fillId="9" borderId="19" xfId="0" applyFill="1" applyBorder="1" applyAlignment="1"/>
    <xf numFmtId="0" fontId="8" fillId="9" borderId="3" xfId="0" applyFont="1" applyFill="1" applyBorder="1" applyAlignment="1"/>
    <xf numFmtId="0" fontId="8" fillId="9" borderId="12" xfId="0" applyFont="1" applyFill="1" applyBorder="1" applyAlignment="1"/>
    <xf numFmtId="0" fontId="8" fillId="9" borderId="20" xfId="0" applyFont="1" applyFill="1" applyBorder="1" applyAlignment="1"/>
    <xf numFmtId="0" fontId="0" fillId="0" borderId="15" xfId="0" applyBorder="1" applyAlignment="1"/>
    <xf numFmtId="0" fontId="0" fillId="0" borderId="16" xfId="0" applyBorder="1" applyAlignment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56" fontId="12" fillId="0" borderId="37" xfId="0" applyNumberFormat="1" applyFont="1" applyBorder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4"/>
  <sheetViews>
    <sheetView tabSelected="1" topLeftCell="A517" zoomScale="90" zoomScaleNormal="90" workbookViewId="0">
      <selection activeCell="A525" sqref="A525"/>
    </sheetView>
  </sheetViews>
  <sheetFormatPr defaultRowHeight="13.5" x14ac:dyDescent="0.15"/>
  <cols>
    <col min="1" max="1" width="33" customWidth="1"/>
    <col min="2" max="17" width="6.375" customWidth="1"/>
    <col min="18" max="18" width="18" style="53" customWidth="1"/>
    <col min="19" max="19" width="34.5" customWidth="1"/>
    <col min="20" max="30" width="8.5" customWidth="1"/>
    <col min="31" max="33" width="8.5" style="73" customWidth="1"/>
    <col min="34" max="35" width="8.5" customWidth="1"/>
    <col min="36" max="36" width="22.375" customWidth="1"/>
  </cols>
  <sheetData>
    <row r="1" spans="1:34" ht="19.5" thickBot="1" x14ac:dyDescent="0.25">
      <c r="A1" s="58" t="s">
        <v>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4"/>
      <c r="S1" s="58" t="s">
        <v>8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3"/>
      <c r="AF1" s="53"/>
    </row>
    <row r="2" spans="1:34" ht="14.25" thickBot="1" x14ac:dyDescent="0.2">
      <c r="A2" s="52" t="s">
        <v>9</v>
      </c>
      <c r="B2" s="130" t="s">
        <v>10</v>
      </c>
      <c r="C2" s="131"/>
      <c r="D2" s="131"/>
      <c r="E2" s="131"/>
      <c r="F2" s="132"/>
      <c r="G2" s="133" t="s">
        <v>11</v>
      </c>
      <c r="H2" s="134"/>
      <c r="I2" s="134"/>
      <c r="J2" s="134"/>
      <c r="K2" s="135"/>
      <c r="L2" s="139" t="s">
        <v>7</v>
      </c>
      <c r="M2" s="54"/>
      <c r="S2" s="52" t="s">
        <v>9</v>
      </c>
      <c r="T2" s="130" t="s">
        <v>10</v>
      </c>
      <c r="U2" s="131"/>
      <c r="V2" s="131"/>
      <c r="W2" s="131"/>
      <c r="X2" s="132"/>
      <c r="Y2" s="133" t="s">
        <v>11</v>
      </c>
      <c r="Z2" s="134"/>
      <c r="AA2" s="134"/>
      <c r="AB2" s="134"/>
      <c r="AC2" s="135"/>
      <c r="AD2" s="139" t="s">
        <v>7</v>
      </c>
      <c r="AE2" s="53"/>
      <c r="AF2" s="53"/>
    </row>
    <row r="3" spans="1:34" ht="14.25" thickBot="1" x14ac:dyDescent="0.2">
      <c r="A3" s="52" t="s">
        <v>2</v>
      </c>
      <c r="B3" s="2" t="s">
        <v>3</v>
      </c>
      <c r="C3" s="3" t="s">
        <v>4</v>
      </c>
      <c r="D3" s="3" t="s">
        <v>5</v>
      </c>
      <c r="E3" s="4" t="s">
        <v>6</v>
      </c>
      <c r="F3" s="1" t="s">
        <v>0</v>
      </c>
      <c r="G3" s="2" t="s">
        <v>3</v>
      </c>
      <c r="H3" s="3" t="s">
        <v>4</v>
      </c>
      <c r="I3" s="3" t="s">
        <v>5</v>
      </c>
      <c r="J3" s="4" t="s">
        <v>6</v>
      </c>
      <c r="K3" s="1" t="s">
        <v>0</v>
      </c>
      <c r="L3" s="140"/>
      <c r="M3" s="54"/>
      <c r="S3" s="52" t="s">
        <v>2</v>
      </c>
      <c r="T3" s="2" t="s">
        <v>3</v>
      </c>
      <c r="U3" s="3" t="s">
        <v>4</v>
      </c>
      <c r="V3" s="3" t="s">
        <v>5</v>
      </c>
      <c r="W3" s="4" t="s">
        <v>6</v>
      </c>
      <c r="X3" s="1" t="s">
        <v>0</v>
      </c>
      <c r="Y3" s="2" t="s">
        <v>3</v>
      </c>
      <c r="Z3" s="3" t="s">
        <v>4</v>
      </c>
      <c r="AA3" s="3" t="s">
        <v>5</v>
      </c>
      <c r="AB3" s="4" t="s">
        <v>6</v>
      </c>
      <c r="AC3" s="1" t="s">
        <v>0</v>
      </c>
      <c r="AD3" s="140"/>
      <c r="AE3" s="53"/>
      <c r="AF3" s="53"/>
    </row>
    <row r="4" spans="1:34" s="50" customFormat="1" ht="14.25" x14ac:dyDescent="0.15">
      <c r="A4" s="45" t="s">
        <v>18</v>
      </c>
      <c r="B4" s="32">
        <v>5</v>
      </c>
      <c r="C4" s="32">
        <v>5</v>
      </c>
      <c r="D4" s="32">
        <v>5</v>
      </c>
      <c r="E4" s="38">
        <v>5</v>
      </c>
      <c r="F4" s="33">
        <f t="shared" ref="F4" si="0">SUM(B4:E4)</f>
        <v>20</v>
      </c>
      <c r="G4" s="32">
        <v>5</v>
      </c>
      <c r="H4" s="32">
        <v>5</v>
      </c>
      <c r="I4" s="32">
        <v>5</v>
      </c>
      <c r="J4" s="38">
        <v>5</v>
      </c>
      <c r="K4" s="33">
        <f t="shared" ref="K4" si="1">SUM(G4:J4)</f>
        <v>20</v>
      </c>
      <c r="L4" s="33">
        <f t="shared" ref="L4:L11" si="2">F4+K4</f>
        <v>40</v>
      </c>
      <c r="M4" s="60" t="s">
        <v>33</v>
      </c>
      <c r="N4"/>
      <c r="O4"/>
      <c r="P4"/>
      <c r="R4" s="65"/>
      <c r="S4" s="45" t="s">
        <v>12</v>
      </c>
      <c r="T4" s="32">
        <v>0</v>
      </c>
      <c r="U4" s="32">
        <v>0</v>
      </c>
      <c r="V4" s="32">
        <v>0</v>
      </c>
      <c r="W4" s="38">
        <v>0</v>
      </c>
      <c r="X4" s="33">
        <f t="shared" ref="X4" si="3">SUM(T4:W4)</f>
        <v>0</v>
      </c>
      <c r="Y4" s="32">
        <v>0</v>
      </c>
      <c r="Z4" s="32">
        <v>0</v>
      </c>
      <c r="AA4" s="32">
        <v>0</v>
      </c>
      <c r="AB4" s="38">
        <v>0</v>
      </c>
      <c r="AC4" s="33">
        <f t="shared" ref="AC4:AC11" si="4">SUM(Y4:AB4)</f>
        <v>0</v>
      </c>
      <c r="AD4" s="33">
        <f t="shared" ref="AD4:AD11" si="5">X4+AC4</f>
        <v>0</v>
      </c>
      <c r="AE4" s="63"/>
      <c r="AF4" s="53"/>
      <c r="AG4" s="73"/>
      <c r="AH4"/>
    </row>
    <row r="5" spans="1:34" s="50" customFormat="1" x14ac:dyDescent="0.15">
      <c r="A5" s="23" t="s">
        <v>34</v>
      </c>
      <c r="B5" s="25"/>
      <c r="C5" s="25"/>
      <c r="D5" s="25"/>
      <c r="E5" s="39"/>
      <c r="F5" s="22">
        <f>SUM(B5:E5)</f>
        <v>0</v>
      </c>
      <c r="G5" s="25">
        <v>1</v>
      </c>
      <c r="H5" s="25"/>
      <c r="I5" s="25"/>
      <c r="J5" s="39"/>
      <c r="K5" s="22">
        <f t="shared" ref="K5:K11" si="6">SUM(G5:J5)</f>
        <v>1</v>
      </c>
      <c r="L5" s="26">
        <f t="shared" si="2"/>
        <v>1</v>
      </c>
      <c r="M5" s="55">
        <v>45380</v>
      </c>
      <c r="N5"/>
      <c r="O5"/>
      <c r="P5"/>
      <c r="R5" s="65"/>
      <c r="S5" s="23" t="s">
        <v>17</v>
      </c>
      <c r="T5" s="25"/>
      <c r="U5" s="25"/>
      <c r="V5" s="25"/>
      <c r="W5" s="39"/>
      <c r="X5" s="22">
        <f>SUM(T5:W5)</f>
        <v>0</v>
      </c>
      <c r="Y5" s="25"/>
      <c r="Z5" s="25"/>
      <c r="AA5" s="25"/>
      <c r="AB5" s="39"/>
      <c r="AC5" s="22">
        <f t="shared" si="4"/>
        <v>0</v>
      </c>
      <c r="AD5" s="26">
        <f t="shared" si="5"/>
        <v>0</v>
      </c>
      <c r="AE5" s="64"/>
      <c r="AF5" s="53"/>
      <c r="AG5" s="73"/>
      <c r="AH5"/>
    </row>
    <row r="6" spans="1:34" s="50" customFormat="1" x14ac:dyDescent="0.15">
      <c r="A6" s="23" t="s">
        <v>35</v>
      </c>
      <c r="B6" s="25">
        <v>3</v>
      </c>
      <c r="C6" s="25">
        <v>3</v>
      </c>
      <c r="D6" s="25">
        <v>3</v>
      </c>
      <c r="E6" s="39">
        <v>3</v>
      </c>
      <c r="F6" s="22">
        <f t="shared" ref="F6:F11" si="7">SUM(B6:E6)</f>
        <v>12</v>
      </c>
      <c r="G6" s="25">
        <v>3</v>
      </c>
      <c r="H6" s="25">
        <v>3</v>
      </c>
      <c r="I6" s="25">
        <v>3</v>
      </c>
      <c r="J6" s="39">
        <v>3</v>
      </c>
      <c r="K6" s="22">
        <f t="shared" si="6"/>
        <v>12</v>
      </c>
      <c r="L6" s="26">
        <f t="shared" si="2"/>
        <v>24</v>
      </c>
      <c r="M6" s="55">
        <v>45381</v>
      </c>
      <c r="N6"/>
      <c r="O6"/>
      <c r="P6"/>
      <c r="R6" s="65"/>
      <c r="S6" s="23" t="s">
        <v>25</v>
      </c>
      <c r="T6" s="25">
        <v>40</v>
      </c>
      <c r="U6" s="25">
        <v>60</v>
      </c>
      <c r="V6" s="25">
        <v>40</v>
      </c>
      <c r="W6" s="39">
        <v>35</v>
      </c>
      <c r="X6" s="22">
        <f>SUM(T6:W6)</f>
        <v>175</v>
      </c>
      <c r="Y6" s="25">
        <v>50</v>
      </c>
      <c r="Z6" s="25">
        <v>65</v>
      </c>
      <c r="AA6" s="25">
        <v>45</v>
      </c>
      <c r="AB6" s="39">
        <v>40</v>
      </c>
      <c r="AC6" s="22">
        <f t="shared" ref="AC6" si="8">SUM(Y6:AB6)</f>
        <v>200</v>
      </c>
      <c r="AD6" s="26">
        <f t="shared" si="5"/>
        <v>375</v>
      </c>
      <c r="AE6" s="64" t="s">
        <v>38</v>
      </c>
      <c r="AF6" s="53"/>
      <c r="AG6" s="73"/>
      <c r="AH6"/>
    </row>
    <row r="7" spans="1:34" s="50" customFormat="1" x14ac:dyDescent="0.15">
      <c r="A7" s="23" t="s">
        <v>35</v>
      </c>
      <c r="B7" s="25"/>
      <c r="C7" s="25">
        <v>3</v>
      </c>
      <c r="D7" s="25">
        <v>3</v>
      </c>
      <c r="E7" s="39"/>
      <c r="F7" s="22">
        <f t="shared" si="7"/>
        <v>6</v>
      </c>
      <c r="G7" s="25"/>
      <c r="H7" s="25"/>
      <c r="I7" s="25"/>
      <c r="J7" s="39"/>
      <c r="K7" s="22">
        <f t="shared" si="6"/>
        <v>0</v>
      </c>
      <c r="L7" s="26">
        <f t="shared" si="2"/>
        <v>6</v>
      </c>
      <c r="M7" s="55">
        <v>45398</v>
      </c>
      <c r="N7"/>
      <c r="O7"/>
      <c r="P7"/>
      <c r="R7" s="65"/>
      <c r="S7" s="23" t="s">
        <v>17</v>
      </c>
      <c r="T7" s="25"/>
      <c r="U7" s="25"/>
      <c r="V7" s="25"/>
      <c r="W7" s="39"/>
      <c r="X7" s="22">
        <f t="shared" ref="X7:X11" si="9">SUM(T7:W7)</f>
        <v>0</v>
      </c>
      <c r="Y7" s="25"/>
      <c r="Z7" s="25"/>
      <c r="AA7" s="25"/>
      <c r="AB7" s="39"/>
      <c r="AC7" s="22">
        <f t="shared" si="4"/>
        <v>0</v>
      </c>
      <c r="AD7" s="26">
        <f t="shared" si="5"/>
        <v>0</v>
      </c>
      <c r="AE7" s="64"/>
      <c r="AF7" s="53"/>
      <c r="AG7" s="73"/>
      <c r="AH7"/>
    </row>
    <row r="8" spans="1:34" s="50" customFormat="1" x14ac:dyDescent="0.15">
      <c r="A8" s="23" t="s">
        <v>35</v>
      </c>
      <c r="B8" s="28">
        <v>2</v>
      </c>
      <c r="C8" s="28"/>
      <c r="D8" s="28"/>
      <c r="E8" s="40">
        <v>2</v>
      </c>
      <c r="F8" s="29">
        <f t="shared" si="7"/>
        <v>4</v>
      </c>
      <c r="G8" s="28"/>
      <c r="H8" s="28"/>
      <c r="I8" s="28"/>
      <c r="J8" s="40"/>
      <c r="K8" s="29">
        <f t="shared" si="6"/>
        <v>0</v>
      </c>
      <c r="L8" s="26">
        <f t="shared" si="2"/>
        <v>4</v>
      </c>
      <c r="M8" s="55">
        <v>45412</v>
      </c>
      <c r="N8"/>
      <c r="O8"/>
      <c r="P8"/>
      <c r="R8" s="65"/>
      <c r="S8" s="23" t="s">
        <v>17</v>
      </c>
      <c r="T8" s="28"/>
      <c r="U8" s="28"/>
      <c r="V8" s="28"/>
      <c r="W8" s="40"/>
      <c r="X8" s="29">
        <f t="shared" si="9"/>
        <v>0</v>
      </c>
      <c r="Y8" s="28"/>
      <c r="Z8" s="28"/>
      <c r="AA8" s="28"/>
      <c r="AB8" s="40"/>
      <c r="AC8" s="29">
        <f t="shared" si="4"/>
        <v>0</v>
      </c>
      <c r="AD8" s="26">
        <f t="shared" si="5"/>
        <v>0</v>
      </c>
      <c r="AE8" s="64"/>
      <c r="AF8" s="53"/>
      <c r="AG8" s="73"/>
      <c r="AH8"/>
    </row>
    <row r="9" spans="1:34" s="50" customFormat="1" x14ac:dyDescent="0.15">
      <c r="A9" s="23" t="s">
        <v>35</v>
      </c>
      <c r="B9" s="25"/>
      <c r="C9" s="36">
        <v>3</v>
      </c>
      <c r="D9" s="36">
        <v>3</v>
      </c>
      <c r="E9" s="41"/>
      <c r="F9" s="26">
        <f t="shared" si="7"/>
        <v>6</v>
      </c>
      <c r="G9" s="25">
        <v>3</v>
      </c>
      <c r="H9" s="36"/>
      <c r="I9" s="36">
        <v>3</v>
      </c>
      <c r="J9" s="41">
        <v>3</v>
      </c>
      <c r="K9" s="26">
        <f t="shared" si="6"/>
        <v>9</v>
      </c>
      <c r="L9" s="26">
        <f t="shared" si="2"/>
        <v>15</v>
      </c>
      <c r="M9" s="55">
        <v>45413</v>
      </c>
      <c r="N9"/>
      <c r="O9"/>
      <c r="P9"/>
      <c r="R9" s="65"/>
      <c r="S9" s="23" t="s">
        <v>26</v>
      </c>
      <c r="T9" s="25">
        <v>45</v>
      </c>
      <c r="U9" s="36">
        <v>65</v>
      </c>
      <c r="V9" s="36">
        <v>45</v>
      </c>
      <c r="W9" s="41">
        <v>40</v>
      </c>
      <c r="X9" s="26">
        <f t="shared" si="9"/>
        <v>195</v>
      </c>
      <c r="Y9" s="25">
        <v>55</v>
      </c>
      <c r="Z9" s="36">
        <v>70</v>
      </c>
      <c r="AA9" s="36">
        <v>50</v>
      </c>
      <c r="AB9" s="41">
        <v>45</v>
      </c>
      <c r="AC9" s="26">
        <f t="shared" si="4"/>
        <v>220</v>
      </c>
      <c r="AD9" s="26">
        <f t="shared" si="5"/>
        <v>415</v>
      </c>
      <c r="AE9" s="64" t="s">
        <v>40</v>
      </c>
      <c r="AF9" s="53"/>
      <c r="AG9" s="73"/>
      <c r="AH9"/>
    </row>
    <row r="10" spans="1:34" s="50" customFormat="1" x14ac:dyDescent="0.15">
      <c r="A10" s="23" t="s">
        <v>34</v>
      </c>
      <c r="B10" s="25"/>
      <c r="C10" s="36"/>
      <c r="D10" s="36"/>
      <c r="E10" s="41"/>
      <c r="F10" s="26">
        <f t="shared" si="7"/>
        <v>0</v>
      </c>
      <c r="G10" s="25"/>
      <c r="H10" s="36"/>
      <c r="I10" s="36"/>
      <c r="J10" s="41">
        <v>1</v>
      </c>
      <c r="K10" s="26">
        <f t="shared" si="6"/>
        <v>1</v>
      </c>
      <c r="L10" s="26">
        <f t="shared" si="2"/>
        <v>1</v>
      </c>
      <c r="M10" s="55">
        <v>45426</v>
      </c>
      <c r="N10"/>
      <c r="O10"/>
      <c r="P10"/>
      <c r="R10" s="65"/>
      <c r="S10" s="23" t="s">
        <v>17</v>
      </c>
      <c r="T10" s="25"/>
      <c r="U10" s="36"/>
      <c r="V10" s="36"/>
      <c r="W10" s="41"/>
      <c r="X10" s="26">
        <f t="shared" si="9"/>
        <v>0</v>
      </c>
      <c r="Y10" s="25"/>
      <c r="Z10" s="36"/>
      <c r="AA10" s="36"/>
      <c r="AB10" s="41"/>
      <c r="AC10" s="26">
        <f t="shared" si="4"/>
        <v>0</v>
      </c>
      <c r="AD10" s="26">
        <f t="shared" si="5"/>
        <v>0</v>
      </c>
      <c r="AE10" s="64"/>
      <c r="AF10" s="53"/>
      <c r="AG10" s="73"/>
      <c r="AH10"/>
    </row>
    <row r="11" spans="1:34" s="50" customFormat="1" ht="14.25" thickBot="1" x14ac:dyDescent="0.2">
      <c r="A11" s="61" t="s">
        <v>35</v>
      </c>
      <c r="B11" s="28"/>
      <c r="C11" s="37"/>
      <c r="D11" s="37"/>
      <c r="E11" s="42"/>
      <c r="F11" s="43">
        <f t="shared" si="7"/>
        <v>0</v>
      </c>
      <c r="G11" s="28">
        <v>2</v>
      </c>
      <c r="H11" s="37">
        <v>2</v>
      </c>
      <c r="I11" s="37"/>
      <c r="J11" s="42"/>
      <c r="K11" s="43">
        <f t="shared" si="6"/>
        <v>4</v>
      </c>
      <c r="L11" s="43">
        <f t="shared" si="2"/>
        <v>4</v>
      </c>
      <c r="M11" s="55">
        <v>45430</v>
      </c>
      <c r="N11"/>
      <c r="O11"/>
      <c r="P11"/>
      <c r="R11" s="65"/>
      <c r="S11" s="23" t="s">
        <v>17</v>
      </c>
      <c r="T11" s="28"/>
      <c r="U11" s="37"/>
      <c r="V11" s="37"/>
      <c r="W11" s="42"/>
      <c r="X11" s="43">
        <f t="shared" si="9"/>
        <v>0</v>
      </c>
      <c r="Y11" s="28"/>
      <c r="Z11" s="37"/>
      <c r="AA11" s="37"/>
      <c r="AB11" s="42"/>
      <c r="AC11" s="43">
        <f t="shared" si="4"/>
        <v>0</v>
      </c>
      <c r="AD11" s="43">
        <f t="shared" si="5"/>
        <v>0</v>
      </c>
      <c r="AE11" s="65"/>
      <c r="AF11" s="53"/>
      <c r="AG11" s="73"/>
      <c r="AH11"/>
    </row>
    <row r="12" spans="1:34" ht="15" thickBot="1" x14ac:dyDescent="0.2">
      <c r="A12" s="46" t="s">
        <v>13</v>
      </c>
      <c r="B12" s="47">
        <f>SUM(B4:B11)</f>
        <v>10</v>
      </c>
      <c r="C12" s="48">
        <f t="shared" ref="C12:K12" si="10">SUM(C4:C11)</f>
        <v>14</v>
      </c>
      <c r="D12" s="48">
        <f t="shared" si="10"/>
        <v>14</v>
      </c>
      <c r="E12" s="49">
        <f t="shared" si="10"/>
        <v>10</v>
      </c>
      <c r="F12" s="34">
        <f t="shared" si="10"/>
        <v>48</v>
      </c>
      <c r="G12" s="47">
        <f t="shared" si="10"/>
        <v>14</v>
      </c>
      <c r="H12" s="48">
        <f t="shared" si="10"/>
        <v>10</v>
      </c>
      <c r="I12" s="48">
        <f t="shared" si="10"/>
        <v>11</v>
      </c>
      <c r="J12" s="49">
        <f t="shared" si="10"/>
        <v>12</v>
      </c>
      <c r="K12" s="34">
        <f t="shared" si="10"/>
        <v>47</v>
      </c>
      <c r="L12" s="34">
        <f>SUM(L4:L11)</f>
        <v>95</v>
      </c>
      <c r="M12" s="54"/>
      <c r="S12" s="46" t="s">
        <v>13</v>
      </c>
      <c r="T12" s="47">
        <f>SUM(T4:T11)</f>
        <v>85</v>
      </c>
      <c r="U12" s="48">
        <f t="shared" ref="U12" si="11">SUM(U4:U11)</f>
        <v>125</v>
      </c>
      <c r="V12" s="48">
        <f t="shared" ref="V12" si="12">SUM(V4:V11)</f>
        <v>85</v>
      </c>
      <c r="W12" s="49">
        <f t="shared" ref="W12" si="13">SUM(W4:W11)</f>
        <v>75</v>
      </c>
      <c r="X12" s="34">
        <f t="shared" ref="X12" si="14">SUM(X4:X11)</f>
        <v>370</v>
      </c>
      <c r="Y12" s="47">
        <f t="shared" ref="Y12" si="15">SUM(Y4:Y11)</f>
        <v>105</v>
      </c>
      <c r="Z12" s="48">
        <f t="shared" ref="Z12" si="16">SUM(Z4:Z11)</f>
        <v>135</v>
      </c>
      <c r="AA12" s="48">
        <f t="shared" ref="AA12" si="17">SUM(AA4:AA11)</f>
        <v>95</v>
      </c>
      <c r="AB12" s="49">
        <f t="shared" ref="AB12" si="18">SUM(AB4:AB11)</f>
        <v>85</v>
      </c>
      <c r="AC12" s="34">
        <f t="shared" ref="AC12" si="19">SUM(AC4:AC11)</f>
        <v>420</v>
      </c>
      <c r="AD12" s="34">
        <f>SUM(AD4:AD11)</f>
        <v>790</v>
      </c>
      <c r="AE12" s="53"/>
      <c r="AF12" s="53"/>
    </row>
    <row r="13" spans="1:34" s="50" customFormat="1" x14ac:dyDescent="0.15">
      <c r="A13" s="31" t="s">
        <v>27</v>
      </c>
      <c r="B13" s="19">
        <v>2</v>
      </c>
      <c r="C13" s="20">
        <v>2</v>
      </c>
      <c r="D13" s="20">
        <v>2</v>
      </c>
      <c r="E13" s="20">
        <v>2</v>
      </c>
      <c r="F13" s="21">
        <f t="shared" ref="F13:F14" si="20">SUM(B13:E13)</f>
        <v>8</v>
      </c>
      <c r="G13" s="19">
        <v>2</v>
      </c>
      <c r="H13" s="20">
        <v>2</v>
      </c>
      <c r="I13" s="20">
        <v>2</v>
      </c>
      <c r="J13" s="20">
        <v>2</v>
      </c>
      <c r="K13" s="26">
        <f>SUM(G13:J13)</f>
        <v>8</v>
      </c>
      <c r="L13" s="22">
        <f t="shared" ref="L13:L38" si="21">F13+K13</f>
        <v>16</v>
      </c>
      <c r="M13" s="55">
        <v>45370</v>
      </c>
      <c r="N13"/>
      <c r="O13"/>
      <c r="P13"/>
      <c r="R13" s="65"/>
      <c r="S13" s="31" t="s">
        <v>30</v>
      </c>
      <c r="T13" s="24">
        <v>3</v>
      </c>
      <c r="U13" s="25">
        <v>3</v>
      </c>
      <c r="V13" s="25">
        <v>3</v>
      </c>
      <c r="W13" s="25">
        <v>3</v>
      </c>
      <c r="X13" s="26">
        <f t="shared" ref="X13:X20" si="22">SUM(T13:W13)</f>
        <v>12</v>
      </c>
      <c r="Y13" s="24">
        <v>5</v>
      </c>
      <c r="Z13" s="25">
        <v>5</v>
      </c>
      <c r="AA13" s="25">
        <v>3</v>
      </c>
      <c r="AB13" s="25">
        <v>3</v>
      </c>
      <c r="AC13" s="26">
        <f t="shared" ref="AC13:AC20" si="23">SUM(Y13:AB13)</f>
        <v>16</v>
      </c>
      <c r="AD13" s="26">
        <f t="shared" ref="AD13:AD38" si="24">X13+AC13</f>
        <v>28</v>
      </c>
      <c r="AE13" s="141">
        <v>45385</v>
      </c>
      <c r="AF13" s="142"/>
      <c r="AG13" s="73"/>
      <c r="AH13"/>
    </row>
    <row r="14" spans="1:34" s="50" customFormat="1" x14ac:dyDescent="0.15">
      <c r="A14" s="31" t="s">
        <v>29</v>
      </c>
      <c r="B14" s="24">
        <v>3</v>
      </c>
      <c r="C14" s="25">
        <v>3</v>
      </c>
      <c r="D14" s="25">
        <v>3</v>
      </c>
      <c r="E14" s="25">
        <v>3</v>
      </c>
      <c r="F14" s="26">
        <f t="shared" si="20"/>
        <v>12</v>
      </c>
      <c r="G14" s="24">
        <v>3</v>
      </c>
      <c r="H14" s="25">
        <v>3</v>
      </c>
      <c r="I14" s="25">
        <v>3</v>
      </c>
      <c r="J14" s="25">
        <v>3</v>
      </c>
      <c r="K14" s="26">
        <f t="shared" ref="K14" si="25">SUM(G14:J14)</f>
        <v>12</v>
      </c>
      <c r="L14" s="26">
        <f t="shared" si="21"/>
        <v>24</v>
      </c>
      <c r="M14" s="55">
        <v>45370</v>
      </c>
      <c r="N14"/>
      <c r="O14"/>
      <c r="P14"/>
      <c r="R14" s="65"/>
      <c r="S14" s="31" t="s">
        <v>28</v>
      </c>
      <c r="T14" s="24">
        <v>11</v>
      </c>
      <c r="U14" s="25">
        <v>11</v>
      </c>
      <c r="V14" s="25">
        <v>4</v>
      </c>
      <c r="W14" s="25">
        <v>4</v>
      </c>
      <c r="X14" s="26">
        <f t="shared" si="22"/>
        <v>30</v>
      </c>
      <c r="Y14" s="24">
        <v>14</v>
      </c>
      <c r="Z14" s="25">
        <v>14</v>
      </c>
      <c r="AA14" s="25">
        <v>11</v>
      </c>
      <c r="AB14" s="25">
        <v>11</v>
      </c>
      <c r="AC14" s="26">
        <f t="shared" si="23"/>
        <v>50</v>
      </c>
      <c r="AD14" s="26">
        <f t="shared" si="24"/>
        <v>80</v>
      </c>
      <c r="AE14" s="141">
        <v>45385</v>
      </c>
      <c r="AF14" s="142"/>
      <c r="AG14" s="73"/>
      <c r="AH14"/>
    </row>
    <row r="15" spans="1:34" s="50" customFormat="1" x14ac:dyDescent="0.15">
      <c r="A15" s="35" t="s">
        <v>37</v>
      </c>
      <c r="B15" s="24"/>
      <c r="C15" s="25"/>
      <c r="D15" s="25"/>
      <c r="E15" s="25"/>
      <c r="F15" s="26">
        <f t="shared" ref="F15:F38" si="26">SUM(B15:E15)</f>
        <v>0</v>
      </c>
      <c r="G15" s="24"/>
      <c r="H15" s="25"/>
      <c r="I15" s="25">
        <v>1</v>
      </c>
      <c r="J15" s="25"/>
      <c r="K15" s="26">
        <f t="shared" ref="K15:K38" si="27">SUM(G15:J15)</f>
        <v>1</v>
      </c>
      <c r="L15" s="26">
        <f t="shared" si="21"/>
        <v>1</v>
      </c>
      <c r="M15" s="55">
        <v>45390</v>
      </c>
      <c r="N15"/>
      <c r="O15"/>
      <c r="P15"/>
      <c r="R15" s="65"/>
      <c r="S15" s="30" t="s">
        <v>36</v>
      </c>
      <c r="T15" s="24">
        <v>3</v>
      </c>
      <c r="U15" s="25">
        <v>3</v>
      </c>
      <c r="V15" s="25">
        <v>3</v>
      </c>
      <c r="W15" s="25">
        <v>3</v>
      </c>
      <c r="X15" s="26">
        <f t="shared" si="22"/>
        <v>12</v>
      </c>
      <c r="Y15" s="24">
        <v>3</v>
      </c>
      <c r="Z15" s="25">
        <v>3</v>
      </c>
      <c r="AA15" s="25">
        <v>3</v>
      </c>
      <c r="AB15" s="25">
        <v>3</v>
      </c>
      <c r="AC15" s="26">
        <f t="shared" si="23"/>
        <v>12</v>
      </c>
      <c r="AD15" s="26">
        <f t="shared" si="24"/>
        <v>24</v>
      </c>
      <c r="AE15" s="141">
        <v>45381</v>
      </c>
      <c r="AF15" s="142"/>
      <c r="AG15" s="73"/>
      <c r="AH15"/>
    </row>
    <row r="16" spans="1:34" s="50" customFormat="1" x14ac:dyDescent="0.15">
      <c r="A16" s="35" t="s">
        <v>37</v>
      </c>
      <c r="B16" s="24"/>
      <c r="C16" s="25"/>
      <c r="D16" s="25"/>
      <c r="E16" s="25"/>
      <c r="F16" s="26">
        <f t="shared" si="26"/>
        <v>0</v>
      </c>
      <c r="G16" s="24"/>
      <c r="H16" s="25">
        <v>1</v>
      </c>
      <c r="I16" s="25">
        <v>1</v>
      </c>
      <c r="J16" s="25"/>
      <c r="K16" s="26">
        <f t="shared" si="27"/>
        <v>2</v>
      </c>
      <c r="L16" s="26">
        <f t="shared" si="21"/>
        <v>2</v>
      </c>
      <c r="M16" s="55">
        <v>45397</v>
      </c>
      <c r="N16"/>
      <c r="O16"/>
      <c r="P16"/>
      <c r="R16" s="65"/>
      <c r="S16" s="31" t="s">
        <v>39</v>
      </c>
      <c r="T16" s="24"/>
      <c r="U16" s="25"/>
      <c r="V16" s="25"/>
      <c r="W16" s="25"/>
      <c r="X16" s="26">
        <f t="shared" si="22"/>
        <v>0</v>
      </c>
      <c r="Y16" s="24"/>
      <c r="Z16" s="25">
        <v>1</v>
      </c>
      <c r="AA16" s="25"/>
      <c r="AB16" s="25">
        <v>2</v>
      </c>
      <c r="AC16" s="26">
        <f t="shared" si="23"/>
        <v>3</v>
      </c>
      <c r="AD16" s="26">
        <f t="shared" si="24"/>
        <v>3</v>
      </c>
      <c r="AE16" s="141">
        <v>45394</v>
      </c>
      <c r="AF16" s="142"/>
      <c r="AG16" s="73"/>
      <c r="AH16"/>
    </row>
    <row r="17" spans="1:34" s="50" customFormat="1" x14ac:dyDescent="0.15">
      <c r="A17" s="35" t="s">
        <v>37</v>
      </c>
      <c r="B17" s="24"/>
      <c r="C17" s="25"/>
      <c r="D17" s="25"/>
      <c r="E17" s="25"/>
      <c r="F17" s="26">
        <f t="shared" si="26"/>
        <v>0</v>
      </c>
      <c r="G17" s="24">
        <v>2</v>
      </c>
      <c r="H17" s="25"/>
      <c r="I17" s="25"/>
      <c r="J17" s="25">
        <v>1</v>
      </c>
      <c r="K17" s="26">
        <f t="shared" si="27"/>
        <v>3</v>
      </c>
      <c r="L17" s="26">
        <f t="shared" si="21"/>
        <v>3</v>
      </c>
      <c r="M17" s="55">
        <v>45404</v>
      </c>
      <c r="N17"/>
      <c r="O17"/>
      <c r="P17"/>
      <c r="R17" s="65"/>
      <c r="S17" s="31" t="s">
        <v>41</v>
      </c>
      <c r="T17" s="24"/>
      <c r="U17" s="25"/>
      <c r="V17" s="25"/>
      <c r="W17" s="25"/>
      <c r="X17" s="26">
        <f t="shared" si="22"/>
        <v>0</v>
      </c>
      <c r="Y17" s="24">
        <v>1</v>
      </c>
      <c r="Z17" s="25">
        <v>2</v>
      </c>
      <c r="AA17" s="25"/>
      <c r="AB17" s="25">
        <v>1</v>
      </c>
      <c r="AC17" s="26">
        <f t="shared" si="23"/>
        <v>4</v>
      </c>
      <c r="AD17" s="26">
        <f t="shared" si="24"/>
        <v>4</v>
      </c>
      <c r="AE17" s="141">
        <v>45397</v>
      </c>
      <c r="AF17" s="142"/>
      <c r="AG17" s="73"/>
      <c r="AH17"/>
    </row>
    <row r="18" spans="1:34" s="50" customFormat="1" x14ac:dyDescent="0.15">
      <c r="A18" s="35" t="s">
        <v>37</v>
      </c>
      <c r="B18" s="24"/>
      <c r="C18" s="25"/>
      <c r="D18" s="25"/>
      <c r="E18" s="25"/>
      <c r="F18" s="26">
        <f t="shared" si="26"/>
        <v>0</v>
      </c>
      <c r="G18" s="24">
        <v>1</v>
      </c>
      <c r="H18" s="25"/>
      <c r="I18" s="25"/>
      <c r="J18" s="25"/>
      <c r="K18" s="26">
        <f t="shared" si="27"/>
        <v>1</v>
      </c>
      <c r="L18" s="26">
        <f t="shared" si="21"/>
        <v>1</v>
      </c>
      <c r="M18" s="55">
        <v>45406</v>
      </c>
      <c r="N18"/>
      <c r="O18"/>
      <c r="P18"/>
      <c r="R18" s="65"/>
      <c r="S18" s="31" t="s">
        <v>42</v>
      </c>
      <c r="T18" s="24"/>
      <c r="U18" s="25"/>
      <c r="V18" s="25"/>
      <c r="W18" s="25"/>
      <c r="X18" s="26">
        <f t="shared" si="22"/>
        <v>0</v>
      </c>
      <c r="Y18" s="24">
        <v>2</v>
      </c>
      <c r="Z18" s="25"/>
      <c r="AA18" s="25"/>
      <c r="AB18" s="25"/>
      <c r="AC18" s="26">
        <f t="shared" si="23"/>
        <v>2</v>
      </c>
      <c r="AD18" s="26">
        <f t="shared" si="24"/>
        <v>2</v>
      </c>
      <c r="AE18" s="141">
        <v>45398</v>
      </c>
      <c r="AF18" s="142"/>
      <c r="AG18" s="73"/>
      <c r="AH18"/>
    </row>
    <row r="19" spans="1:34" s="50" customFormat="1" x14ac:dyDescent="0.15">
      <c r="A19" s="35" t="s">
        <v>37</v>
      </c>
      <c r="B19" s="24"/>
      <c r="C19" s="25">
        <v>1</v>
      </c>
      <c r="D19" s="25"/>
      <c r="E19" s="25"/>
      <c r="F19" s="26">
        <f t="shared" ref="F19" si="28">SUM(B19:E19)</f>
        <v>1</v>
      </c>
      <c r="G19" s="24"/>
      <c r="H19" s="25"/>
      <c r="I19" s="25"/>
      <c r="J19" s="25"/>
      <c r="K19" s="26">
        <f t="shared" ref="K19" si="29">SUM(G19:J19)</f>
        <v>0</v>
      </c>
      <c r="L19" s="26">
        <f t="shared" si="21"/>
        <v>1</v>
      </c>
      <c r="M19" s="55">
        <v>45408</v>
      </c>
      <c r="N19"/>
      <c r="O19"/>
      <c r="P19"/>
      <c r="R19" s="65"/>
      <c r="S19" s="31" t="s">
        <v>43</v>
      </c>
      <c r="T19" s="6">
        <v>2</v>
      </c>
      <c r="U19" s="7"/>
      <c r="V19" s="7"/>
      <c r="W19" s="7"/>
      <c r="X19" s="9">
        <f t="shared" si="22"/>
        <v>2</v>
      </c>
      <c r="Y19" s="6">
        <v>1</v>
      </c>
      <c r="Z19" s="7"/>
      <c r="AA19" s="7"/>
      <c r="AB19" s="7"/>
      <c r="AC19" s="9">
        <f t="shared" si="23"/>
        <v>1</v>
      </c>
      <c r="AD19" s="26">
        <f t="shared" si="24"/>
        <v>3</v>
      </c>
      <c r="AE19" s="141">
        <v>45399</v>
      </c>
      <c r="AF19" s="142"/>
      <c r="AG19" s="73"/>
      <c r="AH19"/>
    </row>
    <row r="20" spans="1:34" s="50" customFormat="1" x14ac:dyDescent="0.15">
      <c r="A20" s="35" t="s">
        <v>37</v>
      </c>
      <c r="B20" s="24"/>
      <c r="C20" s="25"/>
      <c r="D20" s="25"/>
      <c r="E20" s="25"/>
      <c r="F20" s="26">
        <f t="shared" si="26"/>
        <v>0</v>
      </c>
      <c r="G20" s="24"/>
      <c r="H20" s="25">
        <v>1</v>
      </c>
      <c r="I20" s="25">
        <v>1</v>
      </c>
      <c r="J20" s="25"/>
      <c r="K20" s="26">
        <f t="shared" si="27"/>
        <v>2</v>
      </c>
      <c r="L20" s="26">
        <f t="shared" si="21"/>
        <v>2</v>
      </c>
      <c r="M20" s="55">
        <v>45412</v>
      </c>
      <c r="N20"/>
      <c r="O20"/>
      <c r="P20"/>
      <c r="R20" s="65"/>
      <c r="S20" s="31" t="s">
        <v>44</v>
      </c>
      <c r="T20" s="24">
        <v>2</v>
      </c>
      <c r="U20" s="25"/>
      <c r="V20" s="25"/>
      <c r="W20" s="25"/>
      <c r="X20" s="26">
        <f t="shared" si="22"/>
        <v>2</v>
      </c>
      <c r="Y20" s="24"/>
      <c r="Z20" s="25"/>
      <c r="AA20" s="25"/>
      <c r="AB20" s="25"/>
      <c r="AC20" s="26">
        <f t="shared" si="23"/>
        <v>0</v>
      </c>
      <c r="AD20" s="26">
        <f t="shared" si="24"/>
        <v>2</v>
      </c>
      <c r="AE20" s="141">
        <v>45399</v>
      </c>
      <c r="AF20" s="142"/>
      <c r="AG20" s="73"/>
      <c r="AH20"/>
    </row>
    <row r="21" spans="1:34" s="50" customFormat="1" x14ac:dyDescent="0.15">
      <c r="A21" s="35" t="s">
        <v>37</v>
      </c>
      <c r="B21" s="6"/>
      <c r="C21" s="7"/>
      <c r="D21" s="7">
        <v>1</v>
      </c>
      <c r="E21" s="7"/>
      <c r="F21" s="9">
        <f t="shared" si="26"/>
        <v>1</v>
      </c>
      <c r="G21" s="6"/>
      <c r="H21" s="7"/>
      <c r="I21" s="7"/>
      <c r="J21" s="7"/>
      <c r="K21" s="9">
        <f t="shared" si="27"/>
        <v>0</v>
      </c>
      <c r="L21" s="26">
        <f t="shared" si="21"/>
        <v>1</v>
      </c>
      <c r="M21" s="55">
        <v>45419</v>
      </c>
      <c r="N21"/>
      <c r="O21"/>
      <c r="P21"/>
      <c r="R21" s="65"/>
      <c r="S21" s="31" t="s">
        <v>45</v>
      </c>
      <c r="T21" s="6"/>
      <c r="U21" s="7"/>
      <c r="V21" s="7"/>
      <c r="W21" s="7"/>
      <c r="X21" s="9">
        <f t="shared" ref="X21:X34" si="30">SUM(T21:W21)</f>
        <v>0</v>
      </c>
      <c r="Y21" s="6"/>
      <c r="Z21" s="7">
        <v>2</v>
      </c>
      <c r="AA21" s="7"/>
      <c r="AB21" s="7"/>
      <c r="AC21" s="9">
        <f t="shared" ref="AC21:AC34" si="31">SUM(Y21:AB21)</f>
        <v>2</v>
      </c>
      <c r="AD21" s="26">
        <f t="shared" si="24"/>
        <v>2</v>
      </c>
      <c r="AE21" s="141">
        <v>45401</v>
      </c>
      <c r="AF21" s="142"/>
      <c r="AG21" s="73"/>
      <c r="AH21"/>
    </row>
    <row r="22" spans="1:34" s="50" customFormat="1" x14ac:dyDescent="0.15">
      <c r="A22" s="35" t="s">
        <v>37</v>
      </c>
      <c r="B22" s="24"/>
      <c r="C22" s="25"/>
      <c r="D22" s="25"/>
      <c r="E22" s="25"/>
      <c r="F22" s="26">
        <f t="shared" si="26"/>
        <v>0</v>
      </c>
      <c r="G22" s="24"/>
      <c r="H22" s="25"/>
      <c r="I22" s="25"/>
      <c r="J22" s="25">
        <v>1</v>
      </c>
      <c r="K22" s="26">
        <f t="shared" si="27"/>
        <v>1</v>
      </c>
      <c r="L22" s="26">
        <f t="shared" si="21"/>
        <v>1</v>
      </c>
      <c r="M22" s="55">
        <v>45425</v>
      </c>
      <c r="N22"/>
      <c r="O22"/>
      <c r="P22"/>
      <c r="R22" s="65"/>
      <c r="S22" s="30" t="s">
        <v>31</v>
      </c>
      <c r="T22" s="24"/>
      <c r="U22" s="25">
        <v>3</v>
      </c>
      <c r="V22" s="25">
        <v>3</v>
      </c>
      <c r="W22" s="25"/>
      <c r="X22" s="26">
        <f t="shared" si="30"/>
        <v>6</v>
      </c>
      <c r="Y22" s="24"/>
      <c r="Z22" s="25"/>
      <c r="AA22" s="25"/>
      <c r="AB22" s="25"/>
      <c r="AC22" s="26">
        <f t="shared" si="31"/>
        <v>0</v>
      </c>
      <c r="AD22" s="26">
        <f t="shared" si="24"/>
        <v>6</v>
      </c>
      <c r="AE22" s="141">
        <v>45398</v>
      </c>
      <c r="AF22" s="142"/>
      <c r="AG22" s="73"/>
      <c r="AH22"/>
    </row>
    <row r="23" spans="1:34" s="50" customFormat="1" x14ac:dyDescent="0.15">
      <c r="A23" s="35" t="s">
        <v>37</v>
      </c>
      <c r="B23" s="24"/>
      <c r="C23" s="25"/>
      <c r="D23" s="25"/>
      <c r="E23" s="25"/>
      <c r="F23" s="26">
        <f t="shared" si="26"/>
        <v>0</v>
      </c>
      <c r="G23" s="24">
        <v>1</v>
      </c>
      <c r="H23" s="25"/>
      <c r="I23" s="25"/>
      <c r="J23" s="25"/>
      <c r="K23" s="26">
        <f t="shared" si="27"/>
        <v>1</v>
      </c>
      <c r="L23" s="26">
        <f t="shared" si="21"/>
        <v>1</v>
      </c>
      <c r="M23" s="55">
        <v>45426</v>
      </c>
      <c r="N23"/>
      <c r="O23"/>
      <c r="P23"/>
      <c r="R23" s="65"/>
      <c r="S23" s="31" t="s">
        <v>46</v>
      </c>
      <c r="T23" s="24"/>
      <c r="U23" s="25">
        <v>3</v>
      </c>
      <c r="V23" s="25"/>
      <c r="W23" s="25"/>
      <c r="X23" s="26">
        <f t="shared" si="30"/>
        <v>3</v>
      </c>
      <c r="Y23" s="24"/>
      <c r="Z23" s="25"/>
      <c r="AA23" s="25"/>
      <c r="AB23" s="25"/>
      <c r="AC23" s="26">
        <f t="shared" si="31"/>
        <v>0</v>
      </c>
      <c r="AD23" s="26">
        <f t="shared" si="24"/>
        <v>3</v>
      </c>
      <c r="AE23" s="141">
        <v>45406</v>
      </c>
      <c r="AF23" s="142"/>
      <c r="AG23" s="73"/>
      <c r="AH23"/>
    </row>
    <row r="24" spans="1:34" s="50" customFormat="1" x14ac:dyDescent="0.15">
      <c r="A24" s="35" t="s">
        <v>37</v>
      </c>
      <c r="B24" s="24"/>
      <c r="C24" s="25"/>
      <c r="D24" s="25"/>
      <c r="E24" s="25"/>
      <c r="F24" s="26">
        <f t="shared" si="26"/>
        <v>0</v>
      </c>
      <c r="G24" s="24"/>
      <c r="H24" s="25"/>
      <c r="I24" s="25"/>
      <c r="J24" s="25">
        <v>1</v>
      </c>
      <c r="K24" s="26">
        <f t="shared" si="27"/>
        <v>1</v>
      </c>
      <c r="L24" s="26">
        <f t="shared" si="21"/>
        <v>1</v>
      </c>
      <c r="M24" s="55">
        <v>45428</v>
      </c>
      <c r="N24"/>
      <c r="O24"/>
      <c r="P24"/>
      <c r="R24" s="65"/>
      <c r="S24" s="31" t="s">
        <v>47</v>
      </c>
      <c r="T24" s="24"/>
      <c r="U24" s="25"/>
      <c r="V24" s="25"/>
      <c r="W24" s="25"/>
      <c r="X24" s="26">
        <f t="shared" si="30"/>
        <v>0</v>
      </c>
      <c r="Y24" s="24">
        <v>3</v>
      </c>
      <c r="Z24" s="25"/>
      <c r="AA24" s="25"/>
      <c r="AB24" s="25">
        <v>3</v>
      </c>
      <c r="AC24" s="26">
        <f t="shared" si="31"/>
        <v>6</v>
      </c>
      <c r="AD24" s="26">
        <f t="shared" si="24"/>
        <v>6</v>
      </c>
      <c r="AE24" s="141">
        <v>45406</v>
      </c>
      <c r="AF24" s="142"/>
      <c r="AG24" s="73"/>
      <c r="AH24"/>
    </row>
    <row r="25" spans="1:34" s="50" customFormat="1" x14ac:dyDescent="0.15">
      <c r="A25" s="35" t="s">
        <v>37</v>
      </c>
      <c r="B25" s="24"/>
      <c r="C25" s="25"/>
      <c r="D25" s="25"/>
      <c r="E25" s="25"/>
      <c r="F25" s="26">
        <f t="shared" si="26"/>
        <v>0</v>
      </c>
      <c r="G25" s="24">
        <v>1</v>
      </c>
      <c r="H25" s="25">
        <v>1</v>
      </c>
      <c r="I25" s="25"/>
      <c r="J25" s="25"/>
      <c r="K25" s="26">
        <f t="shared" si="27"/>
        <v>2</v>
      </c>
      <c r="L25" s="26">
        <f t="shared" si="21"/>
        <v>2</v>
      </c>
      <c r="M25" s="55">
        <v>45429</v>
      </c>
      <c r="N25"/>
      <c r="O25"/>
      <c r="P25"/>
      <c r="R25" s="65"/>
      <c r="S25" s="31" t="s">
        <v>48</v>
      </c>
      <c r="T25" s="24"/>
      <c r="U25" s="25"/>
      <c r="V25" s="25"/>
      <c r="W25" s="25"/>
      <c r="X25" s="26">
        <f t="shared" si="30"/>
        <v>0</v>
      </c>
      <c r="Y25" s="24">
        <v>4</v>
      </c>
      <c r="Z25" s="25">
        <v>2</v>
      </c>
      <c r="AA25" s="25"/>
      <c r="AB25" s="25">
        <v>2</v>
      </c>
      <c r="AC25" s="26">
        <f t="shared" si="31"/>
        <v>8</v>
      </c>
      <c r="AD25" s="26">
        <f t="shared" si="24"/>
        <v>8</v>
      </c>
      <c r="AE25" s="141">
        <v>45412</v>
      </c>
      <c r="AF25" s="142"/>
      <c r="AG25" s="73"/>
      <c r="AH25"/>
    </row>
    <row r="26" spans="1:34" s="50" customFormat="1" x14ac:dyDescent="0.15">
      <c r="A26" s="35" t="s">
        <v>53</v>
      </c>
      <c r="B26" s="24"/>
      <c r="C26" s="25"/>
      <c r="D26" s="25"/>
      <c r="E26" s="25"/>
      <c r="F26" s="26">
        <f t="shared" si="26"/>
        <v>0</v>
      </c>
      <c r="G26" s="24">
        <v>2</v>
      </c>
      <c r="H26" s="25">
        <v>2</v>
      </c>
      <c r="I26" s="25"/>
      <c r="J26" s="25">
        <v>1</v>
      </c>
      <c r="K26" s="26">
        <f t="shared" si="27"/>
        <v>5</v>
      </c>
      <c r="L26" s="26">
        <f t="shared" si="21"/>
        <v>5</v>
      </c>
      <c r="M26" s="55">
        <v>45430</v>
      </c>
      <c r="N26"/>
      <c r="O26"/>
      <c r="P26"/>
      <c r="R26" s="65"/>
      <c r="S26" s="31" t="s">
        <v>49</v>
      </c>
      <c r="T26" s="24"/>
      <c r="U26" s="25"/>
      <c r="V26" s="25"/>
      <c r="W26" s="25"/>
      <c r="X26" s="26">
        <f t="shared" si="30"/>
        <v>0</v>
      </c>
      <c r="Y26" s="24"/>
      <c r="Z26" s="25"/>
      <c r="AA26" s="25"/>
      <c r="AB26" s="25">
        <v>1</v>
      </c>
      <c r="AC26" s="26">
        <f t="shared" si="31"/>
        <v>1</v>
      </c>
      <c r="AD26" s="26">
        <f t="shared" si="24"/>
        <v>1</v>
      </c>
      <c r="AE26" s="141">
        <v>45412</v>
      </c>
      <c r="AF26" s="142"/>
      <c r="AG26" s="73"/>
      <c r="AH26"/>
    </row>
    <row r="27" spans="1:34" s="50" customFormat="1" x14ac:dyDescent="0.15">
      <c r="A27" s="35" t="s">
        <v>37</v>
      </c>
      <c r="B27" s="24"/>
      <c r="C27" s="25"/>
      <c r="D27" s="25"/>
      <c r="E27" s="25"/>
      <c r="F27" s="26">
        <f t="shared" ref="F27:F28" si="32">SUM(B27:E27)</f>
        <v>0</v>
      </c>
      <c r="G27" s="24"/>
      <c r="H27" s="25">
        <v>1</v>
      </c>
      <c r="I27" s="25"/>
      <c r="J27" s="25">
        <v>1</v>
      </c>
      <c r="K27" s="26">
        <f t="shared" ref="K27:K28" si="33">SUM(G27:J27)</f>
        <v>2</v>
      </c>
      <c r="L27" s="26">
        <f t="shared" si="21"/>
        <v>2</v>
      </c>
      <c r="M27" s="55">
        <v>45430</v>
      </c>
      <c r="N27"/>
      <c r="O27"/>
      <c r="P27"/>
      <c r="R27" s="65"/>
      <c r="S27" s="35" t="s">
        <v>50</v>
      </c>
      <c r="T27" s="24"/>
      <c r="U27" s="25"/>
      <c r="V27" s="25"/>
      <c r="W27" s="25"/>
      <c r="X27" s="26">
        <f t="shared" si="30"/>
        <v>0</v>
      </c>
      <c r="Y27" s="24"/>
      <c r="Z27" s="25"/>
      <c r="AA27" s="25"/>
      <c r="AB27" s="25">
        <v>1</v>
      </c>
      <c r="AC27" s="26">
        <f t="shared" si="31"/>
        <v>1</v>
      </c>
      <c r="AD27" s="26">
        <f t="shared" si="24"/>
        <v>1</v>
      </c>
      <c r="AE27" s="141">
        <v>45409</v>
      </c>
      <c r="AF27" s="142"/>
      <c r="AG27" s="73"/>
      <c r="AH27"/>
    </row>
    <row r="28" spans="1:34" s="50" customFormat="1" x14ac:dyDescent="0.15">
      <c r="A28" s="35" t="s">
        <v>17</v>
      </c>
      <c r="B28" s="24"/>
      <c r="C28" s="25"/>
      <c r="D28" s="25"/>
      <c r="E28" s="25"/>
      <c r="F28" s="26">
        <f t="shared" si="32"/>
        <v>0</v>
      </c>
      <c r="G28" s="24">
        <v>-2</v>
      </c>
      <c r="H28" s="25">
        <v>-5</v>
      </c>
      <c r="I28" s="25">
        <v>-2</v>
      </c>
      <c r="J28" s="25">
        <v>-2</v>
      </c>
      <c r="K28" s="26">
        <f t="shared" si="33"/>
        <v>-11</v>
      </c>
      <c r="L28" s="26">
        <f t="shared" si="21"/>
        <v>-11</v>
      </c>
      <c r="M28" s="55">
        <v>45430</v>
      </c>
      <c r="N28"/>
      <c r="O28"/>
      <c r="P28"/>
      <c r="R28" s="65"/>
      <c r="S28" s="30" t="s">
        <v>31</v>
      </c>
      <c r="T28" s="24">
        <v>2</v>
      </c>
      <c r="U28" s="25"/>
      <c r="V28" s="25"/>
      <c r="W28" s="25">
        <v>2</v>
      </c>
      <c r="X28" s="26">
        <f t="shared" si="30"/>
        <v>4</v>
      </c>
      <c r="Y28" s="24"/>
      <c r="Z28" s="25"/>
      <c r="AA28" s="25"/>
      <c r="AB28" s="25"/>
      <c r="AC28" s="26">
        <f t="shared" si="31"/>
        <v>0</v>
      </c>
      <c r="AD28" s="26">
        <f t="shared" si="24"/>
        <v>4</v>
      </c>
      <c r="AE28" s="141">
        <v>45412</v>
      </c>
      <c r="AF28" s="142"/>
      <c r="AG28" s="73"/>
      <c r="AH28"/>
    </row>
    <row r="29" spans="1:34" s="50" customFormat="1" x14ac:dyDescent="0.15">
      <c r="A29" s="35" t="s">
        <v>37</v>
      </c>
      <c r="B29" s="24"/>
      <c r="C29" s="25"/>
      <c r="D29" s="25"/>
      <c r="E29" s="25"/>
      <c r="F29" s="26">
        <f t="shared" si="26"/>
        <v>0</v>
      </c>
      <c r="G29" s="24"/>
      <c r="H29" s="25"/>
      <c r="I29" s="25"/>
      <c r="J29" s="25">
        <v>1</v>
      </c>
      <c r="K29" s="26">
        <f t="shared" si="27"/>
        <v>1</v>
      </c>
      <c r="L29" s="26">
        <f t="shared" si="21"/>
        <v>1</v>
      </c>
      <c r="M29" s="55">
        <v>45434</v>
      </c>
      <c r="N29"/>
      <c r="O29"/>
      <c r="P29"/>
      <c r="R29" s="65"/>
      <c r="S29" s="30" t="s">
        <v>31</v>
      </c>
      <c r="T29" s="24"/>
      <c r="U29" s="25">
        <v>3</v>
      </c>
      <c r="V29" s="25">
        <v>3</v>
      </c>
      <c r="W29" s="25"/>
      <c r="X29" s="26">
        <f t="shared" si="30"/>
        <v>6</v>
      </c>
      <c r="Y29" s="24">
        <v>3</v>
      </c>
      <c r="Z29" s="25"/>
      <c r="AA29" s="25">
        <v>3</v>
      </c>
      <c r="AB29" s="25">
        <v>3</v>
      </c>
      <c r="AC29" s="26">
        <f t="shared" si="31"/>
        <v>9</v>
      </c>
      <c r="AD29" s="26">
        <f t="shared" si="24"/>
        <v>15</v>
      </c>
      <c r="AE29" s="141">
        <v>45413</v>
      </c>
      <c r="AF29" s="142"/>
      <c r="AG29" s="73"/>
      <c r="AH29"/>
    </row>
    <row r="30" spans="1:34" s="50" customFormat="1" x14ac:dyDescent="0.15">
      <c r="A30" s="35" t="s">
        <v>37</v>
      </c>
      <c r="B30" s="24"/>
      <c r="C30" s="25">
        <v>1</v>
      </c>
      <c r="D30" s="25"/>
      <c r="E30" s="25"/>
      <c r="F30" s="26">
        <f t="shared" si="26"/>
        <v>1</v>
      </c>
      <c r="G30" s="24"/>
      <c r="H30" s="25">
        <v>1</v>
      </c>
      <c r="I30" s="25"/>
      <c r="J30" s="25"/>
      <c r="K30" s="26">
        <f t="shared" si="27"/>
        <v>1</v>
      </c>
      <c r="L30" s="26">
        <f t="shared" si="21"/>
        <v>2</v>
      </c>
      <c r="M30" s="55">
        <v>45436</v>
      </c>
      <c r="N30"/>
      <c r="O30"/>
      <c r="P30"/>
      <c r="R30" s="65"/>
      <c r="S30" s="31" t="s">
        <v>51</v>
      </c>
      <c r="T30" s="24"/>
      <c r="U30" s="25"/>
      <c r="V30" s="25"/>
      <c r="W30" s="25"/>
      <c r="X30" s="26">
        <f t="shared" si="30"/>
        <v>0</v>
      </c>
      <c r="Y30" s="24"/>
      <c r="Z30" s="25">
        <v>7</v>
      </c>
      <c r="AA30" s="25"/>
      <c r="AB30" s="25"/>
      <c r="AC30" s="26">
        <f t="shared" si="31"/>
        <v>7</v>
      </c>
      <c r="AD30" s="26">
        <f t="shared" si="24"/>
        <v>7</v>
      </c>
      <c r="AE30" s="141">
        <v>45427</v>
      </c>
      <c r="AF30" s="142"/>
      <c r="AG30" s="73"/>
      <c r="AH30"/>
    </row>
    <row r="31" spans="1:34" s="50" customFormat="1" x14ac:dyDescent="0.15">
      <c r="A31" s="35" t="s">
        <v>17</v>
      </c>
      <c r="B31" s="24"/>
      <c r="C31" s="25"/>
      <c r="D31" s="25"/>
      <c r="E31" s="25"/>
      <c r="F31" s="26">
        <f t="shared" si="26"/>
        <v>0</v>
      </c>
      <c r="G31" s="24"/>
      <c r="H31" s="25">
        <v>-2</v>
      </c>
      <c r="I31" s="25"/>
      <c r="J31" s="25">
        <v>-2</v>
      </c>
      <c r="K31" s="26">
        <f t="shared" si="27"/>
        <v>-4</v>
      </c>
      <c r="L31" s="26">
        <f t="shared" si="21"/>
        <v>-4</v>
      </c>
      <c r="M31" s="55">
        <v>45437</v>
      </c>
      <c r="N31"/>
      <c r="O31"/>
      <c r="P31"/>
      <c r="R31" s="65"/>
      <c r="S31" s="30" t="s">
        <v>31</v>
      </c>
      <c r="T31" s="24"/>
      <c r="U31" s="25"/>
      <c r="V31" s="25"/>
      <c r="W31" s="25"/>
      <c r="X31" s="26">
        <f t="shared" si="30"/>
        <v>0</v>
      </c>
      <c r="Y31" s="24">
        <v>2</v>
      </c>
      <c r="Z31" s="25">
        <v>2</v>
      </c>
      <c r="AA31" s="25"/>
      <c r="AB31" s="25"/>
      <c r="AC31" s="26">
        <f t="shared" si="31"/>
        <v>4</v>
      </c>
      <c r="AD31" s="26">
        <f t="shared" si="24"/>
        <v>4</v>
      </c>
      <c r="AE31" s="141">
        <v>45430</v>
      </c>
      <c r="AF31" s="142"/>
      <c r="AG31" s="73"/>
      <c r="AH31"/>
    </row>
    <row r="32" spans="1:34" s="50" customFormat="1" x14ac:dyDescent="0.15">
      <c r="A32" s="35" t="s">
        <v>37</v>
      </c>
      <c r="B32" s="6"/>
      <c r="C32" s="7"/>
      <c r="D32" s="7"/>
      <c r="E32" s="7"/>
      <c r="F32" s="9">
        <f t="shared" si="26"/>
        <v>0</v>
      </c>
      <c r="G32" s="6"/>
      <c r="H32" s="7"/>
      <c r="I32" s="7"/>
      <c r="J32" s="7">
        <v>1</v>
      </c>
      <c r="K32" s="9">
        <f t="shared" si="27"/>
        <v>1</v>
      </c>
      <c r="L32" s="26">
        <f t="shared" si="21"/>
        <v>1</v>
      </c>
      <c r="M32" s="55">
        <v>45439</v>
      </c>
      <c r="N32"/>
      <c r="O32"/>
      <c r="P32"/>
      <c r="R32" s="65"/>
      <c r="S32" s="31" t="s">
        <v>52</v>
      </c>
      <c r="T32" s="6"/>
      <c r="U32" s="7"/>
      <c r="V32" s="7"/>
      <c r="W32" s="7"/>
      <c r="X32" s="9">
        <f t="shared" si="30"/>
        <v>0</v>
      </c>
      <c r="Y32" s="6"/>
      <c r="Z32" s="7"/>
      <c r="AA32" s="7">
        <v>4</v>
      </c>
      <c r="AB32" s="7"/>
      <c r="AC32" s="9">
        <f t="shared" si="31"/>
        <v>4</v>
      </c>
      <c r="AD32" s="26">
        <f t="shared" si="24"/>
        <v>4</v>
      </c>
      <c r="AE32" s="141">
        <v>45434</v>
      </c>
      <c r="AF32" s="142"/>
      <c r="AG32" s="73"/>
      <c r="AH32"/>
    </row>
    <row r="33" spans="1:34" s="50" customFormat="1" x14ac:dyDescent="0.15">
      <c r="A33" s="35" t="s">
        <v>50</v>
      </c>
      <c r="B33" s="24"/>
      <c r="C33" s="25"/>
      <c r="D33" s="25"/>
      <c r="E33" s="25"/>
      <c r="F33" s="26">
        <f t="shared" si="26"/>
        <v>0</v>
      </c>
      <c r="G33" s="24"/>
      <c r="H33" s="25">
        <v>1</v>
      </c>
      <c r="I33" s="25"/>
      <c r="J33" s="25"/>
      <c r="K33" s="26">
        <f t="shared" si="27"/>
        <v>1</v>
      </c>
      <c r="L33" s="26">
        <f t="shared" si="21"/>
        <v>1</v>
      </c>
      <c r="M33" s="55">
        <v>45441</v>
      </c>
      <c r="N33"/>
      <c r="O33"/>
      <c r="P33"/>
      <c r="R33" s="65"/>
      <c r="S33" s="30" t="s">
        <v>31</v>
      </c>
      <c r="T33" s="24"/>
      <c r="U33" s="25"/>
      <c r="V33" s="25"/>
      <c r="W33" s="25"/>
      <c r="X33" s="26">
        <f t="shared" si="30"/>
        <v>0</v>
      </c>
      <c r="Y33" s="24">
        <v>2</v>
      </c>
      <c r="Z33" s="25">
        <v>5</v>
      </c>
      <c r="AA33" s="25">
        <v>2</v>
      </c>
      <c r="AB33" s="25">
        <v>2</v>
      </c>
      <c r="AC33" s="26">
        <f t="shared" si="31"/>
        <v>11</v>
      </c>
      <c r="AD33" s="26">
        <f t="shared" si="24"/>
        <v>11</v>
      </c>
      <c r="AE33" s="141">
        <v>45430</v>
      </c>
      <c r="AF33" s="142"/>
      <c r="AG33" s="73"/>
      <c r="AH33"/>
    </row>
    <row r="34" spans="1:34" s="50" customFormat="1" x14ac:dyDescent="0.15">
      <c r="A34" s="35" t="s">
        <v>37</v>
      </c>
      <c r="B34" s="27"/>
      <c r="C34" s="28"/>
      <c r="D34" s="28"/>
      <c r="E34" s="28"/>
      <c r="F34" s="26">
        <f t="shared" si="26"/>
        <v>0</v>
      </c>
      <c r="G34" s="27"/>
      <c r="H34" s="28"/>
      <c r="I34" s="28">
        <v>1</v>
      </c>
      <c r="J34" s="28"/>
      <c r="K34" s="26">
        <f t="shared" si="27"/>
        <v>1</v>
      </c>
      <c r="L34" s="26">
        <f t="shared" si="21"/>
        <v>1</v>
      </c>
      <c r="M34" s="55">
        <v>45441</v>
      </c>
      <c r="N34"/>
      <c r="O34"/>
      <c r="P34"/>
      <c r="R34" s="65"/>
      <c r="S34" s="31" t="s">
        <v>54</v>
      </c>
      <c r="T34" s="27"/>
      <c r="U34" s="28"/>
      <c r="V34" s="28"/>
      <c r="W34" s="28">
        <v>7</v>
      </c>
      <c r="X34" s="26">
        <f t="shared" si="30"/>
        <v>7</v>
      </c>
      <c r="Y34" s="27">
        <v>6</v>
      </c>
      <c r="Z34" s="28"/>
      <c r="AA34" s="28">
        <v>2</v>
      </c>
      <c r="AB34" s="28"/>
      <c r="AC34" s="26">
        <f t="shared" si="31"/>
        <v>8</v>
      </c>
      <c r="AD34" s="26">
        <f t="shared" si="24"/>
        <v>15</v>
      </c>
      <c r="AE34" s="141">
        <v>45436</v>
      </c>
      <c r="AF34" s="142"/>
      <c r="AG34" s="73"/>
      <c r="AH34"/>
    </row>
    <row r="35" spans="1:34" s="50" customFormat="1" x14ac:dyDescent="0.15">
      <c r="A35" s="35" t="s">
        <v>37</v>
      </c>
      <c r="B35" s="24"/>
      <c r="C35" s="25"/>
      <c r="D35" s="25"/>
      <c r="E35" s="25">
        <v>1</v>
      </c>
      <c r="F35" s="26">
        <f t="shared" si="26"/>
        <v>1</v>
      </c>
      <c r="G35" s="24"/>
      <c r="H35" s="25"/>
      <c r="I35" s="25"/>
      <c r="J35" s="25"/>
      <c r="K35" s="26">
        <f t="shared" si="27"/>
        <v>0</v>
      </c>
      <c r="L35" s="26">
        <f t="shared" si="21"/>
        <v>1</v>
      </c>
      <c r="M35" s="55">
        <v>45444</v>
      </c>
      <c r="N35"/>
      <c r="O35"/>
      <c r="P35"/>
      <c r="R35" s="65"/>
      <c r="S35" s="31" t="s">
        <v>55</v>
      </c>
      <c r="T35" s="27"/>
      <c r="U35" s="28"/>
      <c r="V35" s="28"/>
      <c r="W35" s="28"/>
      <c r="X35" s="26">
        <f t="shared" ref="X35" si="34">SUM(T35:W35)</f>
        <v>0</v>
      </c>
      <c r="Y35" s="27"/>
      <c r="Z35" s="28"/>
      <c r="AA35" s="28">
        <v>3</v>
      </c>
      <c r="AB35" s="28"/>
      <c r="AC35" s="26">
        <f t="shared" ref="AC35" si="35">SUM(Y35:AB35)</f>
        <v>3</v>
      </c>
      <c r="AD35" s="26">
        <f t="shared" si="24"/>
        <v>3</v>
      </c>
      <c r="AE35" s="141">
        <v>45439</v>
      </c>
      <c r="AF35" s="142"/>
      <c r="AG35" s="73"/>
      <c r="AH35"/>
    </row>
    <row r="36" spans="1:34" s="50" customFormat="1" x14ac:dyDescent="0.15">
      <c r="A36" s="35" t="s">
        <v>37</v>
      </c>
      <c r="B36" s="24"/>
      <c r="C36" s="25"/>
      <c r="D36" s="25"/>
      <c r="E36" s="25">
        <v>1</v>
      </c>
      <c r="F36" s="26">
        <f t="shared" si="26"/>
        <v>1</v>
      </c>
      <c r="G36" s="24"/>
      <c r="H36" s="25"/>
      <c r="I36" s="25">
        <v>1</v>
      </c>
      <c r="J36" s="25">
        <v>1</v>
      </c>
      <c r="K36" s="26">
        <f t="shared" si="27"/>
        <v>2</v>
      </c>
      <c r="L36" s="26">
        <f t="shared" si="21"/>
        <v>3</v>
      </c>
      <c r="M36" s="55">
        <v>45446</v>
      </c>
      <c r="N36"/>
      <c r="O36"/>
      <c r="P36"/>
      <c r="R36" s="65"/>
      <c r="S36" s="31" t="s">
        <v>56</v>
      </c>
      <c r="T36" s="27"/>
      <c r="U36" s="28"/>
      <c r="V36" s="28"/>
      <c r="W36" s="28"/>
      <c r="X36" s="26">
        <f t="shared" ref="X36:X38" si="36">SUM(T36:W36)</f>
        <v>0</v>
      </c>
      <c r="Y36" s="27"/>
      <c r="Z36" s="28">
        <v>4</v>
      </c>
      <c r="AA36" s="28"/>
      <c r="AB36" s="28"/>
      <c r="AC36" s="26">
        <f t="shared" ref="AC36:AC38" si="37">SUM(Y36:AB36)</f>
        <v>4</v>
      </c>
      <c r="AD36" s="26">
        <f t="shared" si="24"/>
        <v>4</v>
      </c>
      <c r="AE36" s="141">
        <v>45446</v>
      </c>
      <c r="AF36" s="142"/>
      <c r="AG36" s="73"/>
      <c r="AH36"/>
    </row>
    <row r="37" spans="1:34" s="50" customFormat="1" x14ac:dyDescent="0.15">
      <c r="A37" s="35" t="s">
        <v>37</v>
      </c>
      <c r="B37" s="24"/>
      <c r="C37" s="25"/>
      <c r="D37" s="25"/>
      <c r="E37" s="25"/>
      <c r="F37" s="26">
        <f t="shared" si="26"/>
        <v>0</v>
      </c>
      <c r="G37" s="24">
        <v>1</v>
      </c>
      <c r="H37" s="25"/>
      <c r="I37" s="25"/>
      <c r="J37" s="25"/>
      <c r="K37" s="26">
        <f t="shared" si="27"/>
        <v>1</v>
      </c>
      <c r="L37" s="26">
        <f t="shared" si="21"/>
        <v>1</v>
      </c>
      <c r="M37" s="55">
        <v>45448</v>
      </c>
      <c r="N37"/>
      <c r="O37"/>
      <c r="P37"/>
      <c r="R37" s="65"/>
      <c r="S37" s="31" t="s">
        <v>57</v>
      </c>
      <c r="T37" s="27"/>
      <c r="U37" s="28"/>
      <c r="V37" s="28"/>
      <c r="W37" s="28"/>
      <c r="X37" s="26">
        <f t="shared" si="36"/>
        <v>0</v>
      </c>
      <c r="Y37" s="27"/>
      <c r="Z37" s="28">
        <v>5</v>
      </c>
      <c r="AA37" s="28">
        <v>7</v>
      </c>
      <c r="AB37" s="28"/>
      <c r="AC37" s="26">
        <f t="shared" si="37"/>
        <v>12</v>
      </c>
      <c r="AD37" s="26">
        <f t="shared" si="24"/>
        <v>12</v>
      </c>
      <c r="AE37" s="141">
        <v>45441</v>
      </c>
      <c r="AF37" s="142"/>
      <c r="AG37" s="73"/>
      <c r="AH37"/>
    </row>
    <row r="38" spans="1:34" s="50" customFormat="1" ht="14.25" thickBot="1" x14ac:dyDescent="0.2">
      <c r="A38" s="35" t="s">
        <v>37</v>
      </c>
      <c r="B38" s="10"/>
      <c r="C38" s="11"/>
      <c r="D38" s="11"/>
      <c r="E38" s="11"/>
      <c r="F38" s="9">
        <f t="shared" si="26"/>
        <v>0</v>
      </c>
      <c r="G38" s="10">
        <v>1</v>
      </c>
      <c r="H38" s="11">
        <v>1</v>
      </c>
      <c r="I38" s="11"/>
      <c r="J38" s="11"/>
      <c r="K38" s="9">
        <f t="shared" si="27"/>
        <v>2</v>
      </c>
      <c r="L38" s="43">
        <f t="shared" si="21"/>
        <v>2</v>
      </c>
      <c r="M38" s="55">
        <v>45449</v>
      </c>
      <c r="N38"/>
      <c r="O38"/>
      <c r="P38"/>
      <c r="R38" s="65"/>
      <c r="S38" s="30" t="s">
        <v>31</v>
      </c>
      <c r="T38" s="27"/>
      <c r="U38" s="28"/>
      <c r="V38" s="28"/>
      <c r="W38" s="28"/>
      <c r="X38" s="26">
        <f t="shared" si="36"/>
        <v>0</v>
      </c>
      <c r="Y38" s="27"/>
      <c r="Z38" s="28">
        <v>2</v>
      </c>
      <c r="AA38" s="28"/>
      <c r="AB38" s="28">
        <v>2</v>
      </c>
      <c r="AC38" s="26">
        <f t="shared" si="37"/>
        <v>4</v>
      </c>
      <c r="AD38" s="26">
        <f t="shared" si="24"/>
        <v>4</v>
      </c>
      <c r="AE38" s="141">
        <v>45437</v>
      </c>
      <c r="AF38" s="142"/>
      <c r="AG38" s="73"/>
      <c r="AH38"/>
    </row>
    <row r="39" spans="1:34" ht="15" thickBot="1" x14ac:dyDescent="0.2">
      <c r="A39" s="5" t="s">
        <v>14</v>
      </c>
      <c r="B39" s="12">
        <f>SUM(B13:B38)</f>
        <v>5</v>
      </c>
      <c r="C39" s="13">
        <f t="shared" ref="C39:K39" si="38">SUM(C13:C38)</f>
        <v>7</v>
      </c>
      <c r="D39" s="13">
        <f t="shared" si="38"/>
        <v>6</v>
      </c>
      <c r="E39" s="14">
        <f t="shared" si="38"/>
        <v>7</v>
      </c>
      <c r="F39" s="8">
        <f t="shared" si="38"/>
        <v>25</v>
      </c>
      <c r="G39" s="12">
        <f t="shared" si="38"/>
        <v>12</v>
      </c>
      <c r="H39" s="13">
        <f t="shared" si="38"/>
        <v>7</v>
      </c>
      <c r="I39" s="13">
        <f t="shared" si="38"/>
        <v>8</v>
      </c>
      <c r="J39" s="14">
        <f t="shared" si="38"/>
        <v>9</v>
      </c>
      <c r="K39" s="8">
        <f t="shared" si="38"/>
        <v>36</v>
      </c>
      <c r="L39" s="34">
        <f>SUM(L13:L38)</f>
        <v>61</v>
      </c>
      <c r="M39" s="54"/>
      <c r="S39" s="5" t="s">
        <v>14</v>
      </c>
      <c r="T39" s="12">
        <f>SUM(T13:T38)</f>
        <v>23</v>
      </c>
      <c r="U39" s="13">
        <f t="shared" ref="U39" si="39">SUM(U13:U38)</f>
        <v>26</v>
      </c>
      <c r="V39" s="13">
        <f t="shared" ref="V39" si="40">SUM(V13:V38)</f>
        <v>16</v>
      </c>
      <c r="W39" s="14">
        <f t="shared" ref="W39" si="41">SUM(W13:W38)</f>
        <v>19</v>
      </c>
      <c r="X39" s="8">
        <f t="shared" ref="X39" si="42">SUM(X13:X38)</f>
        <v>84</v>
      </c>
      <c r="Y39" s="12">
        <f t="shared" ref="Y39" si="43">SUM(Y13:Y38)</f>
        <v>46</v>
      </c>
      <c r="Z39" s="13">
        <f t="shared" ref="Z39" si="44">SUM(Z13:Z38)</f>
        <v>54</v>
      </c>
      <c r="AA39" s="13">
        <f t="shared" ref="AA39" si="45">SUM(AA13:AA38)</f>
        <v>38</v>
      </c>
      <c r="AB39" s="14">
        <f t="shared" ref="AB39" si="46">SUM(AB13:AB38)</f>
        <v>34</v>
      </c>
      <c r="AC39" s="8">
        <f t="shared" ref="AC39" si="47">SUM(AC13:AC38)</f>
        <v>172</v>
      </c>
      <c r="AD39" s="34">
        <f t="shared" ref="AD39" si="48">SUM(AD13:AD38)</f>
        <v>256</v>
      </c>
      <c r="AE39" s="53"/>
      <c r="AF39" s="53"/>
    </row>
    <row r="40" spans="1:34" ht="14.25" thickBot="1" x14ac:dyDescent="0.2">
      <c r="A40" s="15" t="s">
        <v>15</v>
      </c>
      <c r="B40" s="16">
        <f>B12-B39</f>
        <v>5</v>
      </c>
      <c r="C40" s="17">
        <f>C12-C39</f>
        <v>7</v>
      </c>
      <c r="D40" s="17">
        <f t="shared" ref="D40" si="49">D12-D39</f>
        <v>8</v>
      </c>
      <c r="E40" s="18">
        <f t="shared" ref="E40:K40" si="50">E12-E39</f>
        <v>3</v>
      </c>
      <c r="F40" s="44">
        <f t="shared" si="50"/>
        <v>23</v>
      </c>
      <c r="G40" s="16">
        <f t="shared" si="50"/>
        <v>2</v>
      </c>
      <c r="H40" s="17">
        <f t="shared" si="50"/>
        <v>3</v>
      </c>
      <c r="I40" s="17">
        <f t="shared" si="50"/>
        <v>3</v>
      </c>
      <c r="J40" s="18">
        <f t="shared" si="50"/>
        <v>3</v>
      </c>
      <c r="K40" s="44">
        <f t="shared" si="50"/>
        <v>11</v>
      </c>
      <c r="L40" s="34">
        <f>L12-L39</f>
        <v>34</v>
      </c>
      <c r="M40" s="54"/>
      <c r="S40" s="15" t="s">
        <v>15</v>
      </c>
      <c r="T40" s="16">
        <f>T12-T39</f>
        <v>62</v>
      </c>
      <c r="U40" s="17">
        <f>U12-U39</f>
        <v>99</v>
      </c>
      <c r="V40" s="17">
        <f t="shared" ref="V40" si="51">V12-V39</f>
        <v>69</v>
      </c>
      <c r="W40" s="18">
        <f t="shared" ref="W40:AC40" si="52">W12-W39</f>
        <v>56</v>
      </c>
      <c r="X40" s="44">
        <f t="shared" si="52"/>
        <v>286</v>
      </c>
      <c r="Y40" s="16">
        <f t="shared" si="52"/>
        <v>59</v>
      </c>
      <c r="Z40" s="17">
        <f t="shared" si="52"/>
        <v>81</v>
      </c>
      <c r="AA40" s="17">
        <f t="shared" si="52"/>
        <v>57</v>
      </c>
      <c r="AB40" s="18">
        <f t="shared" si="52"/>
        <v>51</v>
      </c>
      <c r="AC40" s="44">
        <f t="shared" si="52"/>
        <v>248</v>
      </c>
      <c r="AD40" s="34">
        <f>AD12-AD39</f>
        <v>534</v>
      </c>
      <c r="AE40" s="53"/>
      <c r="AF40" s="53"/>
    </row>
    <row r="41" spans="1:34" x14ac:dyDescent="0.15">
      <c r="M41" s="54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E41" s="53"/>
      <c r="AF41" s="53"/>
    </row>
    <row r="42" spans="1:34" x14ac:dyDescent="0.15">
      <c r="M42" s="54"/>
      <c r="AE42" s="53"/>
      <c r="AF42" s="53"/>
    </row>
    <row r="43" spans="1:34" ht="19.5" thickBot="1" x14ac:dyDescent="0.25">
      <c r="A43" s="58" t="s">
        <v>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4"/>
      <c r="S43" s="58" t="s">
        <v>8</v>
      </c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3"/>
      <c r="AF43" s="53"/>
    </row>
    <row r="44" spans="1:34" ht="14.25" thickBot="1" x14ac:dyDescent="0.2">
      <c r="A44" s="52" t="s">
        <v>9</v>
      </c>
      <c r="B44" s="130" t="s">
        <v>10</v>
      </c>
      <c r="C44" s="131"/>
      <c r="D44" s="131"/>
      <c r="E44" s="131"/>
      <c r="F44" s="132"/>
      <c r="G44" s="133" t="s">
        <v>11</v>
      </c>
      <c r="H44" s="134"/>
      <c r="I44" s="134"/>
      <c r="J44" s="134"/>
      <c r="K44" s="135"/>
      <c r="L44" s="139" t="s">
        <v>7</v>
      </c>
      <c r="M44" s="54"/>
      <c r="S44" s="52" t="s">
        <v>9</v>
      </c>
      <c r="T44" s="130" t="s">
        <v>10</v>
      </c>
      <c r="U44" s="131"/>
      <c r="V44" s="131"/>
      <c r="W44" s="131"/>
      <c r="X44" s="132"/>
      <c r="Y44" s="133" t="s">
        <v>11</v>
      </c>
      <c r="Z44" s="134"/>
      <c r="AA44" s="134"/>
      <c r="AB44" s="134"/>
      <c r="AC44" s="135"/>
      <c r="AD44" s="139" t="s">
        <v>7</v>
      </c>
      <c r="AE44" s="53"/>
      <c r="AF44" s="53"/>
    </row>
    <row r="45" spans="1:34" ht="14.25" thickBot="1" x14ac:dyDescent="0.2">
      <c r="A45" s="52" t="s">
        <v>2</v>
      </c>
      <c r="B45" s="2" t="s">
        <v>3</v>
      </c>
      <c r="C45" s="3" t="s">
        <v>4</v>
      </c>
      <c r="D45" s="3" t="s">
        <v>5</v>
      </c>
      <c r="E45" s="4" t="s">
        <v>6</v>
      </c>
      <c r="F45" s="1" t="s">
        <v>0</v>
      </c>
      <c r="G45" s="2" t="s">
        <v>3</v>
      </c>
      <c r="H45" s="3" t="s">
        <v>4</v>
      </c>
      <c r="I45" s="3" t="s">
        <v>5</v>
      </c>
      <c r="J45" s="4" t="s">
        <v>6</v>
      </c>
      <c r="K45" s="1" t="s">
        <v>0</v>
      </c>
      <c r="L45" s="140"/>
      <c r="M45" s="54"/>
      <c r="S45" s="52" t="s">
        <v>2</v>
      </c>
      <c r="T45" s="2" t="s">
        <v>3</v>
      </c>
      <c r="U45" s="3" t="s">
        <v>4</v>
      </c>
      <c r="V45" s="3" t="s">
        <v>5</v>
      </c>
      <c r="W45" s="4" t="s">
        <v>6</v>
      </c>
      <c r="X45" s="1" t="s">
        <v>0</v>
      </c>
      <c r="Y45" s="2" t="s">
        <v>3</v>
      </c>
      <c r="Z45" s="3" t="s">
        <v>4</v>
      </c>
      <c r="AA45" s="3" t="s">
        <v>5</v>
      </c>
      <c r="AB45" s="4" t="s">
        <v>6</v>
      </c>
      <c r="AC45" s="1" t="s">
        <v>0</v>
      </c>
      <c r="AD45" s="140"/>
      <c r="AE45" s="53"/>
      <c r="AF45" s="53"/>
    </row>
    <row r="46" spans="1:34" ht="14.25" x14ac:dyDescent="0.15">
      <c r="A46" s="23" t="s">
        <v>17</v>
      </c>
      <c r="B46" s="32">
        <f>B40</f>
        <v>5</v>
      </c>
      <c r="C46" s="32">
        <f t="shared" ref="C46:K46" si="53">C40</f>
        <v>7</v>
      </c>
      <c r="D46" s="32">
        <f t="shared" si="53"/>
        <v>8</v>
      </c>
      <c r="E46" s="38">
        <f t="shared" si="53"/>
        <v>3</v>
      </c>
      <c r="F46" s="33">
        <f t="shared" si="53"/>
        <v>23</v>
      </c>
      <c r="G46" s="32">
        <f t="shared" si="53"/>
        <v>2</v>
      </c>
      <c r="H46" s="32">
        <f t="shared" si="53"/>
        <v>3</v>
      </c>
      <c r="I46" s="32">
        <f t="shared" si="53"/>
        <v>3</v>
      </c>
      <c r="J46" s="38">
        <f t="shared" si="53"/>
        <v>3</v>
      </c>
      <c r="K46" s="33">
        <f t="shared" si="53"/>
        <v>11</v>
      </c>
      <c r="L46" s="33">
        <f>L40</f>
        <v>34</v>
      </c>
      <c r="M46" s="54"/>
      <c r="S46" s="45" t="s">
        <v>16</v>
      </c>
      <c r="T46" s="32">
        <f>T40</f>
        <v>62</v>
      </c>
      <c r="U46" s="32">
        <f t="shared" ref="U46:AC46" si="54">U40</f>
        <v>99</v>
      </c>
      <c r="V46" s="32">
        <f t="shared" si="54"/>
        <v>69</v>
      </c>
      <c r="W46" s="38">
        <f t="shared" si="54"/>
        <v>56</v>
      </c>
      <c r="X46" s="33">
        <f t="shared" si="54"/>
        <v>286</v>
      </c>
      <c r="Y46" s="32">
        <f t="shared" si="54"/>
        <v>59</v>
      </c>
      <c r="Z46" s="32">
        <f t="shared" si="54"/>
        <v>81</v>
      </c>
      <c r="AA46" s="32">
        <f t="shared" si="54"/>
        <v>57</v>
      </c>
      <c r="AB46" s="38">
        <f t="shared" si="54"/>
        <v>51</v>
      </c>
      <c r="AC46" s="33">
        <f t="shared" si="54"/>
        <v>248</v>
      </c>
      <c r="AD46" s="33">
        <f>AD40</f>
        <v>534</v>
      </c>
      <c r="AE46" s="53"/>
      <c r="AF46" s="53"/>
    </row>
    <row r="47" spans="1:34" s="50" customFormat="1" x14ac:dyDescent="0.15">
      <c r="A47" s="23" t="s">
        <v>17</v>
      </c>
      <c r="B47" s="24"/>
      <c r="C47" s="25"/>
      <c r="D47" s="25"/>
      <c r="E47" s="39">
        <v>2</v>
      </c>
      <c r="F47" s="22">
        <f>SUM(B47:E47)</f>
        <v>2</v>
      </c>
      <c r="G47" s="25">
        <v>2</v>
      </c>
      <c r="H47" s="25">
        <v>2</v>
      </c>
      <c r="I47" s="25">
        <v>2</v>
      </c>
      <c r="J47" s="39">
        <v>2</v>
      </c>
      <c r="K47" s="22">
        <f t="shared" ref="K47:K53" si="55">SUM(G47:J47)</f>
        <v>8</v>
      </c>
      <c r="L47" s="26">
        <f t="shared" ref="L47:L53" si="56">F47+K47</f>
        <v>10</v>
      </c>
      <c r="M47" s="55">
        <v>45453</v>
      </c>
      <c r="N47"/>
      <c r="O47"/>
      <c r="P47"/>
      <c r="R47" s="65"/>
      <c r="S47" s="23" t="s">
        <v>17</v>
      </c>
      <c r="T47" s="25"/>
      <c r="U47" s="25"/>
      <c r="V47" s="25"/>
      <c r="W47" s="39"/>
      <c r="X47" s="22">
        <f>SUM(T47:W47)</f>
        <v>0</v>
      </c>
      <c r="Y47" s="25"/>
      <c r="Z47" s="25"/>
      <c r="AA47" s="25"/>
      <c r="AB47" s="39"/>
      <c r="AC47" s="22">
        <f t="shared" ref="AC47:AC53" si="57">SUM(Y47:AB47)</f>
        <v>0</v>
      </c>
      <c r="AD47" s="26">
        <f t="shared" ref="AD47:AD53" si="58">X47+AC47</f>
        <v>0</v>
      </c>
      <c r="AE47" s="64"/>
      <c r="AF47" s="53"/>
      <c r="AG47" s="73"/>
      <c r="AH47"/>
    </row>
    <row r="48" spans="1:34" s="50" customFormat="1" x14ac:dyDescent="0.15">
      <c r="A48" s="23" t="s">
        <v>34</v>
      </c>
      <c r="B48" s="24"/>
      <c r="C48" s="25"/>
      <c r="D48" s="25"/>
      <c r="E48" s="39"/>
      <c r="F48" s="22">
        <f t="shared" ref="F48:F53" si="59">SUM(B48:E48)</f>
        <v>0</v>
      </c>
      <c r="G48" s="25"/>
      <c r="H48" s="25">
        <v>1</v>
      </c>
      <c r="I48" s="25"/>
      <c r="J48" s="39"/>
      <c r="K48" s="22">
        <f t="shared" si="55"/>
        <v>1</v>
      </c>
      <c r="L48" s="26">
        <f t="shared" si="56"/>
        <v>1</v>
      </c>
      <c r="M48" s="55">
        <v>45455</v>
      </c>
      <c r="N48"/>
      <c r="O48"/>
      <c r="P48"/>
      <c r="R48" s="65"/>
      <c r="S48" s="23" t="s">
        <v>17</v>
      </c>
      <c r="T48" s="25"/>
      <c r="U48" s="25"/>
      <c r="V48" s="25"/>
      <c r="W48" s="39"/>
      <c r="X48" s="22">
        <f t="shared" ref="X48:X53" si="60">SUM(T48:W48)</f>
        <v>0</v>
      </c>
      <c r="Y48" s="25"/>
      <c r="Z48" s="25"/>
      <c r="AA48" s="25"/>
      <c r="AB48" s="39"/>
      <c r="AC48" s="22">
        <f t="shared" si="57"/>
        <v>0</v>
      </c>
      <c r="AD48" s="26">
        <f t="shared" si="58"/>
        <v>0</v>
      </c>
      <c r="AE48" s="64"/>
      <c r="AF48" s="53"/>
      <c r="AG48" s="73"/>
      <c r="AH48"/>
    </row>
    <row r="49" spans="1:34" s="50" customFormat="1" x14ac:dyDescent="0.15">
      <c r="A49" s="23" t="s">
        <v>17</v>
      </c>
      <c r="B49" s="24"/>
      <c r="C49" s="25"/>
      <c r="D49" s="25"/>
      <c r="E49" s="39">
        <v>3</v>
      </c>
      <c r="F49" s="22">
        <f t="shared" si="59"/>
        <v>3</v>
      </c>
      <c r="G49" s="25">
        <v>3</v>
      </c>
      <c r="H49" s="25"/>
      <c r="I49" s="25">
        <v>3</v>
      </c>
      <c r="J49" s="39">
        <v>3</v>
      </c>
      <c r="K49" s="22">
        <f t="shared" si="55"/>
        <v>9</v>
      </c>
      <c r="L49" s="26">
        <f t="shared" si="56"/>
        <v>12</v>
      </c>
      <c r="M49" s="55">
        <v>45468</v>
      </c>
      <c r="N49"/>
      <c r="O49"/>
      <c r="P49"/>
      <c r="R49" s="65"/>
      <c r="S49" s="23" t="s">
        <v>17</v>
      </c>
      <c r="T49" s="25">
        <v>60</v>
      </c>
      <c r="U49" s="25">
        <v>40</v>
      </c>
      <c r="V49" s="25">
        <v>30</v>
      </c>
      <c r="W49" s="39">
        <v>20</v>
      </c>
      <c r="X49" s="22">
        <f t="shared" si="60"/>
        <v>150</v>
      </c>
      <c r="Y49" s="25">
        <v>110</v>
      </c>
      <c r="Z49" s="25">
        <v>120</v>
      </c>
      <c r="AA49" s="25">
        <v>110</v>
      </c>
      <c r="AB49" s="39">
        <v>110</v>
      </c>
      <c r="AC49" s="22">
        <f t="shared" si="57"/>
        <v>450</v>
      </c>
      <c r="AD49" s="26">
        <f t="shared" si="58"/>
        <v>600</v>
      </c>
      <c r="AE49" s="64" t="s">
        <v>109</v>
      </c>
      <c r="AF49" s="53"/>
      <c r="AG49" s="73"/>
      <c r="AH49"/>
    </row>
    <row r="50" spans="1:34" s="50" customFormat="1" x14ac:dyDescent="0.15">
      <c r="A50" s="23" t="s">
        <v>17</v>
      </c>
      <c r="B50" s="27"/>
      <c r="C50" s="28"/>
      <c r="D50" s="28"/>
      <c r="E50" s="40"/>
      <c r="F50" s="22">
        <f t="shared" si="59"/>
        <v>0</v>
      </c>
      <c r="G50" s="28"/>
      <c r="H50" s="28">
        <v>3</v>
      </c>
      <c r="I50" s="28"/>
      <c r="J50" s="40"/>
      <c r="K50" s="29">
        <f t="shared" si="55"/>
        <v>3</v>
      </c>
      <c r="L50" s="26">
        <f t="shared" si="56"/>
        <v>3</v>
      </c>
      <c r="M50" s="55">
        <v>45469</v>
      </c>
      <c r="N50"/>
      <c r="O50"/>
      <c r="P50"/>
      <c r="R50" s="65"/>
      <c r="S50" s="23" t="s">
        <v>17</v>
      </c>
      <c r="T50" s="28"/>
      <c r="U50" s="28"/>
      <c r="V50" s="28"/>
      <c r="W50" s="40"/>
      <c r="X50" s="29">
        <f t="shared" si="60"/>
        <v>0</v>
      </c>
      <c r="Y50" s="28"/>
      <c r="Z50" s="28"/>
      <c r="AA50" s="28"/>
      <c r="AB50" s="40"/>
      <c r="AC50" s="29">
        <f t="shared" si="57"/>
        <v>0</v>
      </c>
      <c r="AD50" s="26">
        <f t="shared" si="58"/>
        <v>0</v>
      </c>
      <c r="AE50" s="64"/>
      <c r="AF50" s="53"/>
      <c r="AG50" s="73"/>
      <c r="AH50"/>
    </row>
    <row r="51" spans="1:34" s="50" customFormat="1" x14ac:dyDescent="0.15">
      <c r="A51" s="23" t="s">
        <v>17</v>
      </c>
      <c r="B51" s="24"/>
      <c r="C51" s="36"/>
      <c r="D51" s="36"/>
      <c r="E51" s="41"/>
      <c r="F51" s="26">
        <f t="shared" si="59"/>
        <v>0</v>
      </c>
      <c r="G51" s="25"/>
      <c r="H51" s="36"/>
      <c r="I51" s="36"/>
      <c r="J51" s="41">
        <v>3</v>
      </c>
      <c r="K51" s="26">
        <f t="shared" si="55"/>
        <v>3</v>
      </c>
      <c r="L51" s="26">
        <f t="shared" si="56"/>
        <v>3</v>
      </c>
      <c r="M51" s="55">
        <v>45472</v>
      </c>
      <c r="N51"/>
      <c r="O51"/>
      <c r="P51"/>
      <c r="R51" s="65"/>
      <c r="S51" s="23" t="s">
        <v>17</v>
      </c>
      <c r="T51" s="25"/>
      <c r="U51" s="36"/>
      <c r="V51" s="36"/>
      <c r="W51" s="41"/>
      <c r="X51" s="26">
        <f t="shared" si="60"/>
        <v>0</v>
      </c>
      <c r="Y51" s="25"/>
      <c r="Z51" s="36"/>
      <c r="AA51" s="36"/>
      <c r="AB51" s="41"/>
      <c r="AC51" s="26">
        <f t="shared" si="57"/>
        <v>0</v>
      </c>
      <c r="AD51" s="26">
        <f t="shared" si="58"/>
        <v>0</v>
      </c>
      <c r="AE51" s="64"/>
      <c r="AF51" s="53"/>
      <c r="AG51" s="73"/>
      <c r="AH51"/>
    </row>
    <row r="52" spans="1:34" s="50" customFormat="1" x14ac:dyDescent="0.15">
      <c r="A52" s="23" t="s">
        <v>17</v>
      </c>
      <c r="B52" s="24"/>
      <c r="C52" s="36"/>
      <c r="D52" s="36"/>
      <c r="E52" s="41"/>
      <c r="F52" s="26">
        <f t="shared" si="59"/>
        <v>0</v>
      </c>
      <c r="G52" s="25"/>
      <c r="H52" s="36">
        <v>3</v>
      </c>
      <c r="I52" s="36">
        <v>5</v>
      </c>
      <c r="J52" s="41">
        <v>3</v>
      </c>
      <c r="K52" s="26">
        <f t="shared" si="55"/>
        <v>11</v>
      </c>
      <c r="L52" s="26">
        <f t="shared" si="56"/>
        <v>11</v>
      </c>
      <c r="M52" s="55">
        <v>45474</v>
      </c>
      <c r="N52"/>
      <c r="O52"/>
      <c r="P52"/>
      <c r="R52" s="65"/>
      <c r="S52" s="23" t="s">
        <v>17</v>
      </c>
      <c r="T52" s="25"/>
      <c r="U52" s="36"/>
      <c r="V52" s="36"/>
      <c r="W52" s="41"/>
      <c r="X52" s="26">
        <f t="shared" si="60"/>
        <v>0</v>
      </c>
      <c r="Y52" s="25"/>
      <c r="Z52" s="36"/>
      <c r="AA52" s="36"/>
      <c r="AB52" s="41"/>
      <c r="AC52" s="26">
        <f t="shared" si="57"/>
        <v>0</v>
      </c>
      <c r="AD52" s="26">
        <f t="shared" si="58"/>
        <v>0</v>
      </c>
      <c r="AE52" s="64"/>
      <c r="AF52" s="53"/>
      <c r="AG52" s="73"/>
      <c r="AH52"/>
    </row>
    <row r="53" spans="1:34" s="50" customFormat="1" ht="14.25" thickBot="1" x14ac:dyDescent="0.2">
      <c r="A53" s="23" t="s">
        <v>17</v>
      </c>
      <c r="B53" s="27">
        <v>3</v>
      </c>
      <c r="C53" s="37">
        <v>3</v>
      </c>
      <c r="D53" s="37"/>
      <c r="E53" s="42"/>
      <c r="F53" s="43">
        <f t="shared" si="59"/>
        <v>6</v>
      </c>
      <c r="G53" s="28">
        <v>3</v>
      </c>
      <c r="H53" s="37">
        <v>5</v>
      </c>
      <c r="I53" s="37">
        <v>5</v>
      </c>
      <c r="J53" s="42">
        <v>5</v>
      </c>
      <c r="K53" s="43">
        <f t="shared" si="55"/>
        <v>18</v>
      </c>
      <c r="L53" s="43">
        <f t="shared" si="56"/>
        <v>24</v>
      </c>
      <c r="M53" s="55">
        <v>45482</v>
      </c>
      <c r="N53"/>
      <c r="O53"/>
      <c r="P53"/>
      <c r="R53" s="65"/>
      <c r="S53" s="23" t="s">
        <v>17</v>
      </c>
      <c r="T53" s="28"/>
      <c r="U53" s="37"/>
      <c r="V53" s="37"/>
      <c r="W53" s="42"/>
      <c r="X53" s="43">
        <f t="shared" si="60"/>
        <v>0</v>
      </c>
      <c r="Y53" s="28"/>
      <c r="Z53" s="37"/>
      <c r="AA53" s="37"/>
      <c r="AB53" s="42"/>
      <c r="AC53" s="43">
        <f t="shared" si="57"/>
        <v>0</v>
      </c>
      <c r="AD53" s="43">
        <f t="shared" si="58"/>
        <v>0</v>
      </c>
      <c r="AE53" s="65"/>
      <c r="AF53" s="53"/>
      <c r="AG53" s="73"/>
      <c r="AH53"/>
    </row>
    <row r="54" spans="1:34" ht="15" thickBot="1" x14ac:dyDescent="0.2">
      <c r="A54" s="46" t="s">
        <v>13</v>
      </c>
      <c r="B54" s="47">
        <f>SUM(B46:B53)</f>
        <v>8</v>
      </c>
      <c r="C54" s="48">
        <f t="shared" ref="C54" si="61">SUM(C46:C53)</f>
        <v>10</v>
      </c>
      <c r="D54" s="48">
        <f t="shared" ref="D54" si="62">SUM(D46:D53)</f>
        <v>8</v>
      </c>
      <c r="E54" s="49">
        <f t="shared" ref="E54" si="63">SUM(E46:E53)</f>
        <v>8</v>
      </c>
      <c r="F54" s="34">
        <f t="shared" ref="F54" si="64">SUM(F46:F53)</f>
        <v>34</v>
      </c>
      <c r="G54" s="47">
        <f t="shared" ref="G54" si="65">SUM(G46:G53)</f>
        <v>10</v>
      </c>
      <c r="H54" s="48">
        <f t="shared" ref="H54" si="66">SUM(H46:H53)</f>
        <v>17</v>
      </c>
      <c r="I54" s="48">
        <f t="shared" ref="I54" si="67">SUM(I46:I53)</f>
        <v>18</v>
      </c>
      <c r="J54" s="49">
        <f t="shared" ref="J54" si="68">SUM(J46:J53)</f>
        <v>19</v>
      </c>
      <c r="K54" s="34">
        <f t="shared" ref="K54" si="69">SUM(K46:K53)</f>
        <v>64</v>
      </c>
      <c r="L54" s="34">
        <f t="shared" ref="L54" si="70">SUM(L46:L53)</f>
        <v>98</v>
      </c>
      <c r="M54" s="54"/>
      <c r="S54" s="46" t="s">
        <v>13</v>
      </c>
      <c r="T54" s="47">
        <f>SUM(T46:T53)</f>
        <v>122</v>
      </c>
      <c r="U54" s="48">
        <f t="shared" ref="U54" si="71">SUM(U46:U53)</f>
        <v>139</v>
      </c>
      <c r="V54" s="48">
        <f t="shared" ref="V54" si="72">SUM(V46:V53)</f>
        <v>99</v>
      </c>
      <c r="W54" s="49">
        <f t="shared" ref="W54" si="73">SUM(W46:W53)</f>
        <v>76</v>
      </c>
      <c r="X54" s="34">
        <f>SUM(X46:X53)</f>
        <v>436</v>
      </c>
      <c r="Y54" s="47">
        <f>SUM(Y46:Y53)</f>
        <v>169</v>
      </c>
      <c r="Z54" s="48">
        <f t="shared" ref="Z54" si="74">SUM(Z46:Z53)</f>
        <v>201</v>
      </c>
      <c r="AA54" s="48">
        <f t="shared" ref="AA54" si="75">SUM(AA46:AA53)</f>
        <v>167</v>
      </c>
      <c r="AB54" s="49">
        <f t="shared" ref="AB54" si="76">SUM(AB46:AB53)</f>
        <v>161</v>
      </c>
      <c r="AC54" s="34">
        <f>SUM(AC46:AC53)</f>
        <v>698</v>
      </c>
      <c r="AD54" s="34">
        <f>SUM(AD46:AD53)</f>
        <v>1134</v>
      </c>
      <c r="AE54" s="53"/>
      <c r="AF54" s="53"/>
    </row>
    <row r="55" spans="1:34" s="50" customFormat="1" x14ac:dyDescent="0.15">
      <c r="A55" s="35" t="s">
        <v>37</v>
      </c>
      <c r="B55" s="19"/>
      <c r="C55" s="20"/>
      <c r="D55" s="20"/>
      <c r="E55" s="20"/>
      <c r="F55" s="21">
        <f t="shared" ref="F55:F80" si="77">SUM(B55:E55)</f>
        <v>0</v>
      </c>
      <c r="G55" s="19"/>
      <c r="H55" s="20"/>
      <c r="I55" s="20">
        <v>1</v>
      </c>
      <c r="J55" s="20">
        <v>1</v>
      </c>
      <c r="K55" s="26">
        <f>SUM(G55:J55)</f>
        <v>2</v>
      </c>
      <c r="L55" s="22">
        <f t="shared" ref="L55:L80" si="78">F55+K55</f>
        <v>2</v>
      </c>
      <c r="M55" s="55">
        <v>45453</v>
      </c>
      <c r="N55"/>
      <c r="O55"/>
      <c r="P55"/>
      <c r="R55" s="65"/>
      <c r="S55" s="30" t="s">
        <v>59</v>
      </c>
      <c r="T55" s="19">
        <v>5</v>
      </c>
      <c r="U55" s="20">
        <v>5</v>
      </c>
      <c r="V55" s="20">
        <v>2</v>
      </c>
      <c r="W55" s="20">
        <v>2</v>
      </c>
      <c r="X55" s="21">
        <f t="shared" ref="X55:X56" si="79">SUM(T55:W55)</f>
        <v>14</v>
      </c>
      <c r="Y55" s="19">
        <v>5</v>
      </c>
      <c r="Z55" s="20">
        <v>5</v>
      </c>
      <c r="AA55" s="20">
        <v>2</v>
      </c>
      <c r="AB55" s="20">
        <v>2</v>
      </c>
      <c r="AC55" s="26">
        <f>SUM(Y55:AB55)</f>
        <v>14</v>
      </c>
      <c r="AD55" s="22">
        <f t="shared" ref="AD55:AD80" si="80">X55+AC55</f>
        <v>28</v>
      </c>
      <c r="AE55" s="141">
        <v>45455</v>
      </c>
      <c r="AF55" s="142"/>
      <c r="AG55" s="73"/>
      <c r="AH55"/>
    </row>
    <row r="56" spans="1:34" s="50" customFormat="1" x14ac:dyDescent="0.15">
      <c r="A56" s="35" t="s">
        <v>37</v>
      </c>
      <c r="B56" s="24"/>
      <c r="C56" s="25"/>
      <c r="D56" s="25"/>
      <c r="E56" s="25">
        <v>1</v>
      </c>
      <c r="F56" s="26">
        <f t="shared" si="77"/>
        <v>1</v>
      </c>
      <c r="G56" s="24"/>
      <c r="H56" s="25"/>
      <c r="I56" s="25"/>
      <c r="J56" s="25"/>
      <c r="K56" s="26">
        <f t="shared" ref="K56:K80" si="81">SUM(G56:J56)</f>
        <v>0</v>
      </c>
      <c r="L56" s="26">
        <f t="shared" si="78"/>
        <v>1</v>
      </c>
      <c r="M56" s="55">
        <v>45455</v>
      </c>
      <c r="N56"/>
      <c r="O56"/>
      <c r="P56"/>
      <c r="R56" s="65"/>
      <c r="S56" s="30" t="s">
        <v>58</v>
      </c>
      <c r="T56" s="24">
        <v>5</v>
      </c>
      <c r="U56" s="25">
        <v>5</v>
      </c>
      <c r="V56" s="25">
        <v>2</v>
      </c>
      <c r="W56" s="25">
        <v>2</v>
      </c>
      <c r="X56" s="26">
        <f t="shared" si="79"/>
        <v>14</v>
      </c>
      <c r="Y56" s="24">
        <v>5</v>
      </c>
      <c r="Z56" s="25">
        <v>5</v>
      </c>
      <c r="AA56" s="25">
        <v>2</v>
      </c>
      <c r="AB56" s="25">
        <v>2</v>
      </c>
      <c r="AC56" s="26">
        <f t="shared" ref="AC56" si="82">SUM(Y56:AB56)</f>
        <v>14</v>
      </c>
      <c r="AD56" s="26">
        <f t="shared" si="80"/>
        <v>28</v>
      </c>
      <c r="AE56" s="141">
        <v>45455</v>
      </c>
      <c r="AF56" s="142"/>
      <c r="AG56" s="73"/>
      <c r="AH56"/>
    </row>
    <row r="57" spans="1:34" s="50" customFormat="1" x14ac:dyDescent="0.15">
      <c r="A57" s="35" t="s">
        <v>37</v>
      </c>
      <c r="B57" s="24"/>
      <c r="C57" s="25"/>
      <c r="D57" s="25"/>
      <c r="E57" s="25"/>
      <c r="F57" s="26">
        <f t="shared" si="77"/>
        <v>0</v>
      </c>
      <c r="G57" s="24"/>
      <c r="H57" s="25">
        <v>1</v>
      </c>
      <c r="I57" s="25"/>
      <c r="J57" s="25"/>
      <c r="K57" s="26">
        <f t="shared" si="81"/>
        <v>1</v>
      </c>
      <c r="L57" s="26">
        <f t="shared" si="78"/>
        <v>1</v>
      </c>
      <c r="M57" s="55">
        <v>45456</v>
      </c>
      <c r="N57"/>
      <c r="O57"/>
      <c r="P57"/>
      <c r="R57" s="65"/>
      <c r="S57" s="31" t="s">
        <v>60</v>
      </c>
      <c r="T57" s="24"/>
      <c r="U57" s="25"/>
      <c r="V57" s="25">
        <v>3</v>
      </c>
      <c r="W57" s="25"/>
      <c r="X57" s="26">
        <f t="shared" ref="X57:X60" si="83">SUM(T57:W57)</f>
        <v>3</v>
      </c>
      <c r="Y57" s="24"/>
      <c r="Z57" s="25"/>
      <c r="AA57" s="25"/>
      <c r="AB57" s="25"/>
      <c r="AC57" s="26">
        <f t="shared" ref="AC57:AC79" si="84">SUM(Y57:AB57)</f>
        <v>0</v>
      </c>
      <c r="AD57" s="26">
        <f t="shared" si="80"/>
        <v>3</v>
      </c>
      <c r="AE57" s="141">
        <v>45448</v>
      </c>
      <c r="AF57" s="142"/>
      <c r="AG57" s="73"/>
      <c r="AH57"/>
    </row>
    <row r="58" spans="1:34" s="50" customFormat="1" x14ac:dyDescent="0.15">
      <c r="A58" s="35" t="s">
        <v>37</v>
      </c>
      <c r="B58" s="24"/>
      <c r="C58" s="25"/>
      <c r="D58" s="25"/>
      <c r="E58" s="25"/>
      <c r="F58" s="26">
        <f t="shared" si="77"/>
        <v>0</v>
      </c>
      <c r="G58" s="24"/>
      <c r="H58" s="25">
        <v>1</v>
      </c>
      <c r="I58" s="25"/>
      <c r="J58" s="25"/>
      <c r="K58" s="26">
        <f t="shared" si="81"/>
        <v>1</v>
      </c>
      <c r="L58" s="26">
        <f t="shared" si="78"/>
        <v>1</v>
      </c>
      <c r="M58" s="55">
        <v>45457</v>
      </c>
      <c r="N58"/>
      <c r="O58"/>
      <c r="P58"/>
      <c r="R58" s="65"/>
      <c r="S58" s="31" t="s">
        <v>61</v>
      </c>
      <c r="T58" s="24"/>
      <c r="U58" s="25"/>
      <c r="V58" s="25"/>
      <c r="W58" s="25"/>
      <c r="X58" s="26">
        <f t="shared" si="83"/>
        <v>0</v>
      </c>
      <c r="Y58" s="24"/>
      <c r="Z58" s="25">
        <v>7</v>
      </c>
      <c r="AA58" s="25"/>
      <c r="AB58" s="25"/>
      <c r="AC58" s="26">
        <f t="shared" si="84"/>
        <v>7</v>
      </c>
      <c r="AD58" s="26">
        <f t="shared" si="80"/>
        <v>7</v>
      </c>
      <c r="AE58" s="141">
        <v>45450</v>
      </c>
      <c r="AF58" s="142"/>
      <c r="AG58" s="73"/>
      <c r="AH58"/>
    </row>
    <row r="59" spans="1:34" s="50" customFormat="1" x14ac:dyDescent="0.15">
      <c r="A59" s="35" t="s">
        <v>65</v>
      </c>
      <c r="B59" s="24"/>
      <c r="C59" s="25"/>
      <c r="D59" s="25"/>
      <c r="E59" s="25"/>
      <c r="F59" s="26">
        <f t="shared" si="77"/>
        <v>0</v>
      </c>
      <c r="G59" s="24"/>
      <c r="H59" s="25"/>
      <c r="I59" s="25">
        <v>1</v>
      </c>
      <c r="J59" s="25"/>
      <c r="K59" s="26">
        <f t="shared" si="81"/>
        <v>1</v>
      </c>
      <c r="L59" s="26">
        <f t="shared" si="78"/>
        <v>1</v>
      </c>
      <c r="M59" s="55">
        <v>45461</v>
      </c>
      <c r="N59"/>
      <c r="O59"/>
      <c r="P59"/>
      <c r="R59" s="65"/>
      <c r="S59" s="31" t="s">
        <v>62</v>
      </c>
      <c r="T59" s="24"/>
      <c r="U59" s="25"/>
      <c r="V59" s="25">
        <v>3</v>
      </c>
      <c r="W59" s="25"/>
      <c r="X59" s="26">
        <f t="shared" si="83"/>
        <v>3</v>
      </c>
      <c r="Y59" s="24"/>
      <c r="Z59" s="25"/>
      <c r="AA59" s="25"/>
      <c r="AB59" s="25"/>
      <c r="AC59" s="26">
        <f t="shared" si="84"/>
        <v>0</v>
      </c>
      <c r="AD59" s="26">
        <f t="shared" si="80"/>
        <v>3</v>
      </c>
      <c r="AE59" s="141">
        <v>45453</v>
      </c>
      <c r="AF59" s="142"/>
      <c r="AG59" s="73"/>
      <c r="AH59"/>
    </row>
    <row r="60" spans="1:34" s="50" customFormat="1" x14ac:dyDescent="0.15">
      <c r="A60" s="35" t="s">
        <v>37</v>
      </c>
      <c r="B60" s="24"/>
      <c r="C60" s="25">
        <v>1</v>
      </c>
      <c r="D60" s="25"/>
      <c r="E60" s="25"/>
      <c r="F60" s="26">
        <f t="shared" si="77"/>
        <v>1</v>
      </c>
      <c r="G60" s="24"/>
      <c r="H60" s="25"/>
      <c r="I60" s="25"/>
      <c r="J60" s="25"/>
      <c r="K60" s="26">
        <f t="shared" si="81"/>
        <v>0</v>
      </c>
      <c r="L60" s="26">
        <f t="shared" si="78"/>
        <v>1</v>
      </c>
      <c r="M60" s="55">
        <v>45464</v>
      </c>
      <c r="N60"/>
      <c r="O60"/>
      <c r="P60"/>
      <c r="R60" s="65"/>
      <c r="S60" s="31" t="s">
        <v>63</v>
      </c>
      <c r="T60" s="24"/>
      <c r="U60" s="25"/>
      <c r="V60" s="25"/>
      <c r="W60" s="25"/>
      <c r="X60" s="26">
        <f t="shared" si="83"/>
        <v>0</v>
      </c>
      <c r="Y60" s="24"/>
      <c r="Z60" s="25"/>
      <c r="AA60" s="25">
        <v>7</v>
      </c>
      <c r="AB60" s="25"/>
      <c r="AC60" s="26">
        <f t="shared" si="84"/>
        <v>7</v>
      </c>
      <c r="AD60" s="26">
        <f t="shared" si="80"/>
        <v>7</v>
      </c>
      <c r="AE60" s="141">
        <v>45454</v>
      </c>
      <c r="AF60" s="142"/>
      <c r="AG60" s="73"/>
      <c r="AH60"/>
    </row>
    <row r="61" spans="1:34" s="50" customFormat="1" x14ac:dyDescent="0.15">
      <c r="A61" s="35" t="s">
        <v>37</v>
      </c>
      <c r="B61" s="24"/>
      <c r="C61" s="25">
        <v>1</v>
      </c>
      <c r="D61" s="25"/>
      <c r="E61" s="25">
        <v>1</v>
      </c>
      <c r="F61" s="26">
        <f t="shared" si="77"/>
        <v>2</v>
      </c>
      <c r="G61" s="24">
        <v>1</v>
      </c>
      <c r="H61" s="25"/>
      <c r="I61" s="25"/>
      <c r="J61" s="25">
        <v>2</v>
      </c>
      <c r="K61" s="26">
        <f t="shared" si="81"/>
        <v>3</v>
      </c>
      <c r="L61" s="26">
        <f t="shared" si="78"/>
        <v>5</v>
      </c>
      <c r="M61" s="55">
        <v>45467</v>
      </c>
      <c r="N61"/>
      <c r="O61"/>
      <c r="P61"/>
      <c r="R61" s="65"/>
      <c r="S61" s="30" t="s">
        <v>31</v>
      </c>
      <c r="T61" s="24"/>
      <c r="U61" s="25"/>
      <c r="V61" s="25"/>
      <c r="W61" s="25">
        <v>2</v>
      </c>
      <c r="X61" s="26">
        <f>SUM(T61:W61)</f>
        <v>2</v>
      </c>
      <c r="Y61" s="24">
        <v>2</v>
      </c>
      <c r="Z61" s="25">
        <v>2</v>
      </c>
      <c r="AA61" s="25">
        <v>2</v>
      </c>
      <c r="AB61" s="25">
        <v>2</v>
      </c>
      <c r="AC61" s="26">
        <f t="shared" si="84"/>
        <v>8</v>
      </c>
      <c r="AD61" s="26">
        <f t="shared" si="80"/>
        <v>10</v>
      </c>
      <c r="AE61" s="141">
        <v>45453</v>
      </c>
      <c r="AF61" s="142"/>
      <c r="AG61" s="73"/>
      <c r="AH61"/>
    </row>
    <row r="62" spans="1:34" s="50" customFormat="1" x14ac:dyDescent="0.15">
      <c r="A62" s="35" t="s">
        <v>37</v>
      </c>
      <c r="B62" s="24"/>
      <c r="C62" s="25"/>
      <c r="D62" s="25"/>
      <c r="E62" s="25"/>
      <c r="F62" s="26">
        <f t="shared" si="77"/>
        <v>0</v>
      </c>
      <c r="G62" s="24">
        <v>1</v>
      </c>
      <c r="H62" s="25">
        <v>2</v>
      </c>
      <c r="I62" s="25">
        <v>1</v>
      </c>
      <c r="J62" s="25">
        <v>1</v>
      </c>
      <c r="K62" s="26">
        <f t="shared" si="81"/>
        <v>5</v>
      </c>
      <c r="L62" s="26">
        <f t="shared" si="78"/>
        <v>5</v>
      </c>
      <c r="M62" s="55">
        <v>45468</v>
      </c>
      <c r="N62"/>
      <c r="O62"/>
      <c r="P62"/>
      <c r="R62" s="65"/>
      <c r="S62" s="31" t="s">
        <v>64</v>
      </c>
      <c r="T62" s="6">
        <v>3</v>
      </c>
      <c r="U62" s="7"/>
      <c r="V62" s="7"/>
      <c r="W62" s="7"/>
      <c r="X62" s="9">
        <f t="shared" ref="X62:X79" si="85">SUM(T62:W62)</f>
        <v>3</v>
      </c>
      <c r="Y62" s="6"/>
      <c r="Z62" s="7"/>
      <c r="AA62" s="7"/>
      <c r="AB62" s="7"/>
      <c r="AC62" s="9">
        <f t="shared" si="84"/>
        <v>0</v>
      </c>
      <c r="AD62" s="26">
        <f t="shared" si="80"/>
        <v>3</v>
      </c>
      <c r="AE62" s="141">
        <v>45460</v>
      </c>
      <c r="AF62" s="142"/>
      <c r="AG62" s="73"/>
      <c r="AH62"/>
    </row>
    <row r="63" spans="1:34" s="50" customFormat="1" x14ac:dyDescent="0.15">
      <c r="A63" s="35" t="s">
        <v>37</v>
      </c>
      <c r="B63" s="6"/>
      <c r="C63" s="7"/>
      <c r="D63" s="7"/>
      <c r="E63" s="7"/>
      <c r="F63" s="9">
        <f t="shared" si="77"/>
        <v>0</v>
      </c>
      <c r="G63" s="6"/>
      <c r="H63" s="7">
        <v>1</v>
      </c>
      <c r="I63" s="7">
        <v>1</v>
      </c>
      <c r="J63" s="7">
        <v>1</v>
      </c>
      <c r="K63" s="9">
        <f t="shared" si="81"/>
        <v>3</v>
      </c>
      <c r="L63" s="26">
        <f t="shared" si="78"/>
        <v>3</v>
      </c>
      <c r="M63" s="55">
        <v>45469</v>
      </c>
      <c r="N63"/>
      <c r="O63"/>
      <c r="P63"/>
      <c r="R63" s="65"/>
      <c r="S63" s="31" t="s">
        <v>66</v>
      </c>
      <c r="T63" s="24"/>
      <c r="U63" s="25"/>
      <c r="V63" s="25"/>
      <c r="W63" s="25"/>
      <c r="X63" s="26">
        <f t="shared" si="85"/>
        <v>0</v>
      </c>
      <c r="Y63" s="24"/>
      <c r="Z63" s="25"/>
      <c r="AA63" s="25"/>
      <c r="AB63" s="25">
        <v>7</v>
      </c>
      <c r="AC63" s="26">
        <f t="shared" si="84"/>
        <v>7</v>
      </c>
      <c r="AD63" s="26">
        <f t="shared" si="80"/>
        <v>7</v>
      </c>
      <c r="AE63" s="141">
        <v>45462</v>
      </c>
      <c r="AF63" s="142"/>
      <c r="AG63" s="73"/>
      <c r="AH63"/>
    </row>
    <row r="64" spans="1:34" s="50" customFormat="1" x14ac:dyDescent="0.15">
      <c r="A64" s="35" t="s">
        <v>37</v>
      </c>
      <c r="B64" s="24">
        <v>1</v>
      </c>
      <c r="C64" s="25"/>
      <c r="D64" s="25"/>
      <c r="E64" s="25"/>
      <c r="F64" s="26">
        <f t="shared" si="77"/>
        <v>1</v>
      </c>
      <c r="G64" s="24"/>
      <c r="H64" s="25"/>
      <c r="I64" s="25"/>
      <c r="J64" s="25"/>
      <c r="K64" s="26">
        <f t="shared" si="81"/>
        <v>0</v>
      </c>
      <c r="L64" s="26">
        <f t="shared" si="78"/>
        <v>1</v>
      </c>
      <c r="M64" s="55">
        <v>45470</v>
      </c>
      <c r="N64"/>
      <c r="O64"/>
      <c r="P64"/>
      <c r="R64" s="65"/>
      <c r="S64" s="31" t="s">
        <v>67</v>
      </c>
      <c r="T64" s="24"/>
      <c r="U64" s="25"/>
      <c r="V64" s="25"/>
      <c r="W64" s="25"/>
      <c r="X64" s="26">
        <f t="shared" si="85"/>
        <v>0</v>
      </c>
      <c r="Y64" s="24"/>
      <c r="Z64" s="25">
        <v>7</v>
      </c>
      <c r="AA64" s="25"/>
      <c r="AB64" s="25"/>
      <c r="AC64" s="26">
        <f t="shared" si="84"/>
        <v>7</v>
      </c>
      <c r="AD64" s="26">
        <f t="shared" si="80"/>
        <v>7</v>
      </c>
      <c r="AE64" s="141">
        <v>45470</v>
      </c>
      <c r="AF64" s="142"/>
      <c r="AG64" s="73"/>
      <c r="AH64"/>
    </row>
    <row r="65" spans="1:34" s="50" customFormat="1" x14ac:dyDescent="0.15">
      <c r="A65" s="35" t="s">
        <v>37</v>
      </c>
      <c r="B65" s="24"/>
      <c r="C65" s="25"/>
      <c r="D65" s="25"/>
      <c r="E65" s="25"/>
      <c r="F65" s="26">
        <f t="shared" si="77"/>
        <v>0</v>
      </c>
      <c r="G65" s="24"/>
      <c r="H65" s="25"/>
      <c r="I65" s="25">
        <v>1</v>
      </c>
      <c r="J65" s="25"/>
      <c r="K65" s="26">
        <f t="shared" si="81"/>
        <v>1</v>
      </c>
      <c r="L65" s="26">
        <f t="shared" si="78"/>
        <v>1</v>
      </c>
      <c r="M65" s="55">
        <v>45471</v>
      </c>
      <c r="N65"/>
      <c r="O65"/>
      <c r="P65"/>
      <c r="R65" s="65"/>
      <c r="S65" s="31" t="s">
        <v>68</v>
      </c>
      <c r="T65" s="24"/>
      <c r="U65" s="25"/>
      <c r="V65" s="25"/>
      <c r="W65" s="25"/>
      <c r="X65" s="26">
        <f t="shared" si="85"/>
        <v>0</v>
      </c>
      <c r="Y65" s="24"/>
      <c r="Z65" s="25"/>
      <c r="AA65" s="25"/>
      <c r="AB65" s="25">
        <v>8</v>
      </c>
      <c r="AC65" s="26">
        <f t="shared" si="84"/>
        <v>8</v>
      </c>
      <c r="AD65" s="26">
        <f t="shared" si="80"/>
        <v>8</v>
      </c>
      <c r="AE65" s="141">
        <v>45470</v>
      </c>
      <c r="AF65" s="142"/>
      <c r="AG65" s="73"/>
      <c r="AH65"/>
    </row>
    <row r="66" spans="1:34" s="50" customFormat="1" x14ac:dyDescent="0.15">
      <c r="A66" s="35" t="s">
        <v>37</v>
      </c>
      <c r="B66" s="24"/>
      <c r="C66" s="25"/>
      <c r="D66" s="25"/>
      <c r="E66" s="25"/>
      <c r="F66" s="26">
        <f t="shared" si="77"/>
        <v>0</v>
      </c>
      <c r="G66" s="24"/>
      <c r="H66" s="25"/>
      <c r="I66" s="25">
        <v>1</v>
      </c>
      <c r="J66" s="25">
        <v>2</v>
      </c>
      <c r="K66" s="26">
        <f t="shared" si="81"/>
        <v>3</v>
      </c>
      <c r="L66" s="26">
        <f t="shared" si="78"/>
        <v>3</v>
      </c>
      <c r="M66" s="55">
        <v>45472</v>
      </c>
      <c r="N66"/>
      <c r="O66"/>
      <c r="P66"/>
      <c r="R66" s="65"/>
      <c r="S66" s="30" t="s">
        <v>31</v>
      </c>
      <c r="T66" s="24"/>
      <c r="U66" s="25"/>
      <c r="V66" s="25"/>
      <c r="W66" s="25">
        <v>3</v>
      </c>
      <c r="X66" s="26">
        <f t="shared" si="85"/>
        <v>3</v>
      </c>
      <c r="Y66" s="24">
        <v>3</v>
      </c>
      <c r="Z66" s="25"/>
      <c r="AA66" s="25">
        <v>3</v>
      </c>
      <c r="AB66" s="25">
        <v>3</v>
      </c>
      <c r="AC66" s="26">
        <f t="shared" si="84"/>
        <v>9</v>
      </c>
      <c r="AD66" s="26">
        <f t="shared" si="80"/>
        <v>12</v>
      </c>
      <c r="AE66" s="141">
        <v>45468</v>
      </c>
      <c r="AF66" s="142"/>
      <c r="AG66" s="73"/>
      <c r="AH66"/>
    </row>
    <row r="67" spans="1:34" s="50" customFormat="1" x14ac:dyDescent="0.15">
      <c r="A67" s="35" t="s">
        <v>37</v>
      </c>
      <c r="B67" s="24"/>
      <c r="C67" s="25"/>
      <c r="D67" s="25"/>
      <c r="E67" s="25"/>
      <c r="F67" s="26">
        <f t="shared" si="77"/>
        <v>0</v>
      </c>
      <c r="G67" s="24"/>
      <c r="H67" s="25">
        <v>1</v>
      </c>
      <c r="I67" s="25">
        <v>1</v>
      </c>
      <c r="J67" s="25">
        <f>1+1</f>
        <v>2</v>
      </c>
      <c r="K67" s="26">
        <f t="shared" si="81"/>
        <v>4</v>
      </c>
      <c r="L67" s="26">
        <f t="shared" si="78"/>
        <v>4</v>
      </c>
      <c r="M67" s="55">
        <v>45474</v>
      </c>
      <c r="N67"/>
      <c r="O67"/>
      <c r="P67"/>
      <c r="R67" s="65"/>
      <c r="S67" s="30" t="s">
        <v>69</v>
      </c>
      <c r="T67" s="24"/>
      <c r="U67" s="25"/>
      <c r="V67" s="25">
        <v>1</v>
      </c>
      <c r="W67" s="25"/>
      <c r="X67" s="26">
        <f t="shared" si="85"/>
        <v>1</v>
      </c>
      <c r="Y67" s="24"/>
      <c r="Z67" s="25"/>
      <c r="AA67" s="25"/>
      <c r="AB67" s="25"/>
      <c r="AC67" s="26">
        <f t="shared" si="84"/>
        <v>0</v>
      </c>
      <c r="AD67" s="26">
        <f t="shared" si="80"/>
        <v>1</v>
      </c>
      <c r="AE67" s="141">
        <v>45471</v>
      </c>
      <c r="AF67" s="142"/>
      <c r="AG67" s="73"/>
      <c r="AH67"/>
    </row>
    <row r="68" spans="1:34" s="50" customFormat="1" x14ac:dyDescent="0.15">
      <c r="A68" s="35" t="s">
        <v>37</v>
      </c>
      <c r="B68" s="24"/>
      <c r="C68" s="25"/>
      <c r="D68" s="25"/>
      <c r="E68" s="25"/>
      <c r="F68" s="26">
        <f t="shared" si="77"/>
        <v>0</v>
      </c>
      <c r="G68" s="24"/>
      <c r="H68" s="25">
        <v>1</v>
      </c>
      <c r="I68" s="25"/>
      <c r="J68" s="25">
        <v>1</v>
      </c>
      <c r="K68" s="26">
        <f t="shared" si="81"/>
        <v>2</v>
      </c>
      <c r="L68" s="26">
        <f t="shared" si="78"/>
        <v>2</v>
      </c>
      <c r="M68" s="55">
        <v>45475</v>
      </c>
      <c r="N68"/>
      <c r="O68"/>
      <c r="P68"/>
      <c r="R68" s="65"/>
      <c r="S68" s="30" t="s">
        <v>31</v>
      </c>
      <c r="T68" s="24"/>
      <c r="U68" s="25"/>
      <c r="V68" s="25"/>
      <c r="W68" s="25"/>
      <c r="X68" s="26">
        <f t="shared" si="85"/>
        <v>0</v>
      </c>
      <c r="Y68" s="24"/>
      <c r="Z68" s="25">
        <v>3</v>
      </c>
      <c r="AA68" s="25"/>
      <c r="AB68" s="25"/>
      <c r="AC68" s="26">
        <f t="shared" si="84"/>
        <v>3</v>
      </c>
      <c r="AD68" s="26">
        <f t="shared" si="80"/>
        <v>3</v>
      </c>
      <c r="AE68" s="141">
        <v>45469</v>
      </c>
      <c r="AF68" s="142"/>
      <c r="AG68" s="73"/>
      <c r="AH68"/>
    </row>
    <row r="69" spans="1:34" s="50" customFormat="1" x14ac:dyDescent="0.15">
      <c r="A69" s="35" t="s">
        <v>37</v>
      </c>
      <c r="B69" s="24"/>
      <c r="C69" s="25"/>
      <c r="D69" s="25"/>
      <c r="E69" s="25"/>
      <c r="F69" s="26">
        <f t="shared" si="77"/>
        <v>0</v>
      </c>
      <c r="G69" s="24"/>
      <c r="H69" s="25">
        <v>1</v>
      </c>
      <c r="I69" s="25">
        <v>1</v>
      </c>
      <c r="J69" s="25"/>
      <c r="K69" s="26">
        <f t="shared" si="81"/>
        <v>2</v>
      </c>
      <c r="L69" s="26">
        <f t="shared" si="78"/>
        <v>2</v>
      </c>
      <c r="M69" s="55">
        <v>45476</v>
      </c>
      <c r="N69"/>
      <c r="O69"/>
      <c r="P69"/>
      <c r="R69" s="65"/>
      <c r="S69" s="31" t="s">
        <v>70</v>
      </c>
      <c r="T69" s="24"/>
      <c r="U69" s="25">
        <v>3</v>
      </c>
      <c r="V69" s="25"/>
      <c r="W69" s="25"/>
      <c r="X69" s="26">
        <f t="shared" si="85"/>
        <v>3</v>
      </c>
      <c r="Y69" s="24"/>
      <c r="Z69" s="25"/>
      <c r="AA69" s="25"/>
      <c r="AB69" s="25"/>
      <c r="AC69" s="26">
        <f t="shared" si="84"/>
        <v>0</v>
      </c>
      <c r="AD69" s="26">
        <f t="shared" si="80"/>
        <v>3</v>
      </c>
      <c r="AE69" s="141">
        <v>45474</v>
      </c>
      <c r="AF69" s="142"/>
      <c r="AG69" s="73"/>
      <c r="AH69"/>
    </row>
    <row r="70" spans="1:34" s="50" customFormat="1" x14ac:dyDescent="0.15">
      <c r="A70" s="35" t="s">
        <v>37</v>
      </c>
      <c r="B70" s="24"/>
      <c r="C70" s="25"/>
      <c r="D70" s="25"/>
      <c r="E70" s="25"/>
      <c r="F70" s="26">
        <f t="shared" si="77"/>
        <v>0</v>
      </c>
      <c r="G70" s="24">
        <v>1</v>
      </c>
      <c r="H70" s="25"/>
      <c r="I70" s="25">
        <v>1</v>
      </c>
      <c r="J70" s="25"/>
      <c r="K70" s="26">
        <f t="shared" si="81"/>
        <v>2</v>
      </c>
      <c r="L70" s="26">
        <f t="shared" si="78"/>
        <v>2</v>
      </c>
      <c r="M70" s="55">
        <v>45477</v>
      </c>
      <c r="N70"/>
      <c r="O70"/>
      <c r="P70"/>
      <c r="R70" s="65"/>
      <c r="S70" s="31" t="s">
        <v>71</v>
      </c>
      <c r="T70" s="24"/>
      <c r="U70" s="25"/>
      <c r="V70" s="25"/>
      <c r="W70" s="25"/>
      <c r="X70" s="26">
        <f t="shared" si="85"/>
        <v>0</v>
      </c>
      <c r="Y70" s="24">
        <v>7</v>
      </c>
      <c r="Z70" s="25"/>
      <c r="AA70" s="25">
        <v>6</v>
      </c>
      <c r="AB70" s="25"/>
      <c r="AC70" s="26">
        <f t="shared" si="84"/>
        <v>13</v>
      </c>
      <c r="AD70" s="26">
        <f t="shared" si="80"/>
        <v>13</v>
      </c>
      <c r="AE70" s="141">
        <v>45474</v>
      </c>
      <c r="AF70" s="142"/>
      <c r="AG70" s="73"/>
      <c r="AH70"/>
    </row>
    <row r="71" spans="1:34" s="50" customFormat="1" x14ac:dyDescent="0.15">
      <c r="A71" s="35" t="s">
        <v>37</v>
      </c>
      <c r="B71" s="24">
        <v>1</v>
      </c>
      <c r="C71" s="25"/>
      <c r="D71" s="25"/>
      <c r="E71" s="25"/>
      <c r="F71" s="26">
        <f t="shared" si="77"/>
        <v>1</v>
      </c>
      <c r="G71" s="24"/>
      <c r="H71" s="25">
        <v>1</v>
      </c>
      <c r="I71" s="25"/>
      <c r="J71" s="25">
        <v>2</v>
      </c>
      <c r="K71" s="26">
        <f t="shared" si="81"/>
        <v>3</v>
      </c>
      <c r="L71" s="26">
        <f t="shared" si="78"/>
        <v>4</v>
      </c>
      <c r="M71" s="55">
        <v>45479</v>
      </c>
      <c r="N71"/>
      <c r="O71"/>
      <c r="P71"/>
      <c r="R71" s="65"/>
      <c r="S71" s="31" t="s">
        <v>72</v>
      </c>
      <c r="T71" s="24"/>
      <c r="U71" s="25"/>
      <c r="V71" s="25"/>
      <c r="W71" s="25"/>
      <c r="X71" s="26">
        <f t="shared" si="85"/>
        <v>0</v>
      </c>
      <c r="Y71" s="24"/>
      <c r="Z71" s="25">
        <v>4</v>
      </c>
      <c r="AA71" s="25"/>
      <c r="AB71" s="25"/>
      <c r="AC71" s="26">
        <f t="shared" si="84"/>
        <v>4</v>
      </c>
      <c r="AD71" s="26">
        <f t="shared" si="80"/>
        <v>4</v>
      </c>
      <c r="AE71" s="141">
        <v>45475</v>
      </c>
      <c r="AF71" s="142"/>
      <c r="AG71" s="73"/>
      <c r="AH71"/>
    </row>
    <row r="72" spans="1:34" s="50" customFormat="1" x14ac:dyDescent="0.15">
      <c r="A72" s="35" t="s">
        <v>37</v>
      </c>
      <c r="B72" s="24"/>
      <c r="C72" s="25">
        <v>2</v>
      </c>
      <c r="D72" s="25"/>
      <c r="E72" s="25"/>
      <c r="F72" s="26">
        <f t="shared" si="77"/>
        <v>2</v>
      </c>
      <c r="G72" s="24"/>
      <c r="H72" s="25"/>
      <c r="I72" s="25">
        <v>3</v>
      </c>
      <c r="J72" s="25"/>
      <c r="K72" s="26">
        <f t="shared" si="81"/>
        <v>3</v>
      </c>
      <c r="L72" s="26">
        <f t="shared" si="78"/>
        <v>5</v>
      </c>
      <c r="M72" s="55">
        <v>45481</v>
      </c>
      <c r="N72"/>
      <c r="O72"/>
      <c r="P72"/>
      <c r="R72" s="65"/>
      <c r="S72" s="31" t="s">
        <v>73</v>
      </c>
      <c r="T72" s="24"/>
      <c r="U72" s="25"/>
      <c r="V72" s="25"/>
      <c r="W72" s="25"/>
      <c r="X72" s="26">
        <f t="shared" si="85"/>
        <v>0</v>
      </c>
      <c r="Y72" s="24"/>
      <c r="Z72" s="25"/>
      <c r="AA72" s="25">
        <v>2</v>
      </c>
      <c r="AB72" s="25"/>
      <c r="AC72" s="26">
        <f t="shared" si="84"/>
        <v>2</v>
      </c>
      <c r="AD72" s="26">
        <f t="shared" si="80"/>
        <v>2</v>
      </c>
      <c r="AE72" s="141">
        <v>45475</v>
      </c>
      <c r="AF72" s="142"/>
      <c r="AG72" s="73"/>
      <c r="AH72"/>
    </row>
    <row r="73" spans="1:34" s="50" customFormat="1" x14ac:dyDescent="0.15">
      <c r="A73" s="35" t="s">
        <v>37</v>
      </c>
      <c r="B73" s="24"/>
      <c r="C73" s="25"/>
      <c r="D73" s="25"/>
      <c r="E73" s="25"/>
      <c r="F73" s="26">
        <f t="shared" si="77"/>
        <v>0</v>
      </c>
      <c r="G73" s="24">
        <v>1</v>
      </c>
      <c r="H73" s="25"/>
      <c r="I73" s="25"/>
      <c r="J73" s="25"/>
      <c r="K73" s="26">
        <f t="shared" si="81"/>
        <v>1</v>
      </c>
      <c r="L73" s="26">
        <f t="shared" si="78"/>
        <v>1</v>
      </c>
      <c r="M73" s="55">
        <v>45482</v>
      </c>
      <c r="N73"/>
      <c r="O73"/>
      <c r="P73"/>
      <c r="R73" s="65"/>
      <c r="S73" s="30" t="s">
        <v>31</v>
      </c>
      <c r="T73" s="6"/>
      <c r="U73" s="7"/>
      <c r="V73" s="7"/>
      <c r="W73" s="7"/>
      <c r="X73" s="9">
        <f t="shared" si="85"/>
        <v>0</v>
      </c>
      <c r="Y73" s="6"/>
      <c r="Z73" s="7"/>
      <c r="AA73" s="7"/>
      <c r="AB73" s="7">
        <v>3</v>
      </c>
      <c r="AC73" s="9">
        <f t="shared" si="84"/>
        <v>3</v>
      </c>
      <c r="AD73" s="26">
        <f t="shared" si="80"/>
        <v>3</v>
      </c>
      <c r="AE73" s="141">
        <v>45472</v>
      </c>
      <c r="AF73" s="142"/>
      <c r="AG73" s="73"/>
      <c r="AH73"/>
    </row>
    <row r="74" spans="1:34" s="50" customFormat="1" x14ac:dyDescent="0.15">
      <c r="A74" s="35" t="s">
        <v>37</v>
      </c>
      <c r="B74" s="6"/>
      <c r="C74" s="7"/>
      <c r="D74" s="7">
        <v>1</v>
      </c>
      <c r="E74" s="7">
        <v>1</v>
      </c>
      <c r="F74" s="9">
        <f t="shared" si="77"/>
        <v>2</v>
      </c>
      <c r="G74" s="6"/>
      <c r="H74" s="7"/>
      <c r="I74" s="7">
        <v>1</v>
      </c>
      <c r="J74" s="7">
        <v>1</v>
      </c>
      <c r="K74" s="9">
        <f t="shared" si="81"/>
        <v>2</v>
      </c>
      <c r="L74" s="26">
        <f t="shared" si="78"/>
        <v>4</v>
      </c>
      <c r="M74" s="55">
        <v>45483</v>
      </c>
      <c r="N74"/>
      <c r="O74"/>
      <c r="P74"/>
      <c r="R74" s="65"/>
      <c r="S74" s="31" t="s">
        <v>74</v>
      </c>
      <c r="T74" s="24"/>
      <c r="U74" s="25"/>
      <c r="V74" s="25"/>
      <c r="W74" s="25"/>
      <c r="X74" s="26">
        <f t="shared" si="85"/>
        <v>0</v>
      </c>
      <c r="Y74" s="24"/>
      <c r="Z74" s="25">
        <v>7</v>
      </c>
      <c r="AA74" s="25"/>
      <c r="AB74" s="25"/>
      <c r="AC74" s="26">
        <f t="shared" si="84"/>
        <v>7</v>
      </c>
      <c r="AD74" s="26">
        <f t="shared" si="80"/>
        <v>7</v>
      </c>
      <c r="AE74" s="141">
        <v>45477</v>
      </c>
      <c r="AF74" s="142"/>
      <c r="AG74" s="73"/>
      <c r="AH74"/>
    </row>
    <row r="75" spans="1:34" s="50" customFormat="1" x14ac:dyDescent="0.15">
      <c r="A75" s="35" t="s">
        <v>37</v>
      </c>
      <c r="B75" s="24"/>
      <c r="C75" s="25"/>
      <c r="D75" s="25"/>
      <c r="E75" s="25"/>
      <c r="F75" s="26">
        <f t="shared" si="77"/>
        <v>0</v>
      </c>
      <c r="G75" s="24"/>
      <c r="H75" s="25">
        <v>1</v>
      </c>
      <c r="I75" s="25"/>
      <c r="J75" s="25">
        <v>1</v>
      </c>
      <c r="K75" s="26">
        <f t="shared" si="81"/>
        <v>2</v>
      </c>
      <c r="L75" s="26">
        <f t="shared" si="78"/>
        <v>2</v>
      </c>
      <c r="M75" s="55">
        <v>45485</v>
      </c>
      <c r="N75"/>
      <c r="O75"/>
      <c r="P75"/>
      <c r="R75" s="65"/>
      <c r="S75" s="31" t="s">
        <v>75</v>
      </c>
      <c r="T75" s="24"/>
      <c r="U75" s="25">
        <v>2</v>
      </c>
      <c r="V75" s="25"/>
      <c r="W75" s="25"/>
      <c r="X75" s="26">
        <f t="shared" si="85"/>
        <v>2</v>
      </c>
      <c r="Y75" s="24"/>
      <c r="Z75" s="25"/>
      <c r="AA75" s="25"/>
      <c r="AB75" s="25"/>
      <c r="AC75" s="26">
        <f t="shared" si="84"/>
        <v>0</v>
      </c>
      <c r="AD75" s="26">
        <f t="shared" si="80"/>
        <v>2</v>
      </c>
      <c r="AE75" s="141">
        <v>45478</v>
      </c>
      <c r="AF75" s="142"/>
      <c r="AG75" s="73"/>
      <c r="AH75"/>
    </row>
    <row r="76" spans="1:34" s="50" customFormat="1" x14ac:dyDescent="0.15">
      <c r="A76" s="35" t="s">
        <v>37</v>
      </c>
      <c r="B76" s="27">
        <v>1</v>
      </c>
      <c r="C76" s="28">
        <v>1</v>
      </c>
      <c r="D76" s="28"/>
      <c r="E76" s="28"/>
      <c r="F76" s="26">
        <f t="shared" si="77"/>
        <v>2</v>
      </c>
      <c r="G76" s="27"/>
      <c r="H76" s="28">
        <f>1+1</f>
        <v>2</v>
      </c>
      <c r="I76" s="28">
        <v>1</v>
      </c>
      <c r="J76" s="28"/>
      <c r="K76" s="26">
        <f t="shared" si="81"/>
        <v>3</v>
      </c>
      <c r="L76" s="26">
        <f t="shared" si="78"/>
        <v>5</v>
      </c>
      <c r="M76" s="55">
        <v>45489</v>
      </c>
      <c r="N76"/>
      <c r="O76"/>
      <c r="P76"/>
      <c r="R76" s="65"/>
      <c r="S76" s="30" t="s">
        <v>31</v>
      </c>
      <c r="T76" s="24"/>
      <c r="U76" s="25"/>
      <c r="V76" s="25"/>
      <c r="W76" s="25"/>
      <c r="X76" s="26">
        <f t="shared" si="85"/>
        <v>0</v>
      </c>
      <c r="Y76" s="24"/>
      <c r="Z76" s="25">
        <v>3</v>
      </c>
      <c r="AA76" s="25">
        <v>5</v>
      </c>
      <c r="AB76" s="25">
        <v>3</v>
      </c>
      <c r="AC76" s="26">
        <f t="shared" si="84"/>
        <v>11</v>
      </c>
      <c r="AD76" s="26">
        <f t="shared" si="80"/>
        <v>11</v>
      </c>
      <c r="AE76" s="141">
        <v>45474</v>
      </c>
      <c r="AF76" s="142"/>
      <c r="AG76" s="73"/>
      <c r="AH76"/>
    </row>
    <row r="77" spans="1:34" s="50" customFormat="1" x14ac:dyDescent="0.15">
      <c r="A77" s="35"/>
      <c r="B77" s="24"/>
      <c r="C77" s="25"/>
      <c r="D77" s="25"/>
      <c r="E77" s="25"/>
      <c r="F77" s="26">
        <f t="shared" si="77"/>
        <v>0</v>
      </c>
      <c r="G77" s="24"/>
      <c r="H77" s="25"/>
      <c r="I77" s="25"/>
      <c r="J77" s="25"/>
      <c r="K77" s="26">
        <f t="shared" si="81"/>
        <v>0</v>
      </c>
      <c r="L77" s="26">
        <f t="shared" si="78"/>
        <v>0</v>
      </c>
      <c r="M77" s="55"/>
      <c r="N77"/>
      <c r="O77"/>
      <c r="P77"/>
      <c r="R77" s="65"/>
      <c r="S77" s="30" t="s">
        <v>77</v>
      </c>
      <c r="T77" s="24"/>
      <c r="U77" s="25"/>
      <c r="V77" s="25"/>
      <c r="W77" s="25"/>
      <c r="X77" s="26">
        <f t="shared" si="85"/>
        <v>0</v>
      </c>
      <c r="Y77" s="24"/>
      <c r="Z77" s="25"/>
      <c r="AA77" s="25">
        <v>1</v>
      </c>
      <c r="AB77" s="25">
        <v>1</v>
      </c>
      <c r="AC77" s="26">
        <f t="shared" si="84"/>
        <v>2</v>
      </c>
      <c r="AD77" s="26">
        <f t="shared" si="80"/>
        <v>2</v>
      </c>
      <c r="AE77" s="141">
        <v>45481</v>
      </c>
      <c r="AF77" s="142"/>
      <c r="AG77" s="73"/>
      <c r="AH77"/>
    </row>
    <row r="78" spans="1:34" s="50" customFormat="1" x14ac:dyDescent="0.15">
      <c r="A78" s="35"/>
      <c r="B78" s="24"/>
      <c r="C78" s="25"/>
      <c r="D78" s="25"/>
      <c r="E78" s="25"/>
      <c r="F78" s="26">
        <f t="shared" si="77"/>
        <v>0</v>
      </c>
      <c r="G78" s="24"/>
      <c r="H78" s="25"/>
      <c r="I78" s="25"/>
      <c r="J78" s="25"/>
      <c r="K78" s="26">
        <f t="shared" si="81"/>
        <v>0</v>
      </c>
      <c r="L78" s="26">
        <f t="shared" si="78"/>
        <v>0</v>
      </c>
      <c r="M78" s="55"/>
      <c r="N78"/>
      <c r="O78"/>
      <c r="P78"/>
      <c r="R78" s="65"/>
      <c r="S78" s="30" t="s">
        <v>76</v>
      </c>
      <c r="T78" s="24"/>
      <c r="U78" s="25"/>
      <c r="V78" s="25"/>
      <c r="W78" s="25"/>
      <c r="X78" s="26">
        <f t="shared" si="85"/>
        <v>0</v>
      </c>
      <c r="Y78" s="24"/>
      <c r="Z78" s="25"/>
      <c r="AA78" s="25">
        <v>1</v>
      </c>
      <c r="AB78" s="25"/>
      <c r="AC78" s="26">
        <f t="shared" si="84"/>
        <v>1</v>
      </c>
      <c r="AD78" s="26">
        <f t="shared" si="80"/>
        <v>1</v>
      </c>
      <c r="AE78" s="141">
        <v>45481</v>
      </c>
      <c r="AF78" s="142"/>
      <c r="AG78" s="73"/>
      <c r="AH78"/>
    </row>
    <row r="79" spans="1:34" s="50" customFormat="1" x14ac:dyDescent="0.15">
      <c r="A79" s="56"/>
      <c r="B79" s="24"/>
      <c r="C79" s="25"/>
      <c r="D79" s="25"/>
      <c r="E79" s="25"/>
      <c r="F79" s="26">
        <f t="shared" si="77"/>
        <v>0</v>
      </c>
      <c r="G79" s="24"/>
      <c r="H79" s="25"/>
      <c r="I79" s="25"/>
      <c r="J79" s="25"/>
      <c r="K79" s="26">
        <f t="shared" si="81"/>
        <v>0</v>
      </c>
      <c r="L79" s="26">
        <f t="shared" si="78"/>
        <v>0</v>
      </c>
      <c r="M79" s="55"/>
      <c r="N79"/>
      <c r="O79"/>
      <c r="P79"/>
      <c r="R79" s="65"/>
      <c r="S79" s="30" t="s">
        <v>78</v>
      </c>
      <c r="T79" s="24"/>
      <c r="U79" s="25"/>
      <c r="V79" s="25">
        <v>1</v>
      </c>
      <c r="W79" s="25"/>
      <c r="X79" s="26">
        <f t="shared" si="85"/>
        <v>1</v>
      </c>
      <c r="Y79" s="24"/>
      <c r="Z79" s="25"/>
      <c r="AA79" s="25">
        <v>2</v>
      </c>
      <c r="AB79" s="25">
        <v>1</v>
      </c>
      <c r="AC79" s="26">
        <f t="shared" si="84"/>
        <v>3</v>
      </c>
      <c r="AD79" s="26">
        <f t="shared" si="80"/>
        <v>4</v>
      </c>
      <c r="AE79" s="141">
        <v>45481</v>
      </c>
      <c r="AF79" s="142"/>
      <c r="AG79" s="73"/>
      <c r="AH79"/>
    </row>
    <row r="80" spans="1:34" s="50" customFormat="1" ht="14.25" thickBot="1" x14ac:dyDescent="0.2">
      <c r="A80" s="57"/>
      <c r="B80" s="10"/>
      <c r="C80" s="11"/>
      <c r="D80" s="11"/>
      <c r="E80" s="11"/>
      <c r="F80" s="9">
        <f t="shared" si="77"/>
        <v>0</v>
      </c>
      <c r="G80" s="10"/>
      <c r="H80" s="11"/>
      <c r="I80" s="11"/>
      <c r="J80" s="11"/>
      <c r="K80" s="9">
        <f t="shared" si="81"/>
        <v>0</v>
      </c>
      <c r="L80" s="43">
        <f t="shared" si="78"/>
        <v>0</v>
      </c>
      <c r="M80" s="55"/>
      <c r="N80"/>
      <c r="O80"/>
      <c r="P80"/>
      <c r="R80" s="65"/>
      <c r="S80" s="30"/>
      <c r="T80" s="24"/>
      <c r="U80" s="25"/>
      <c r="V80" s="25"/>
      <c r="W80" s="25"/>
      <c r="X80" s="26">
        <f t="shared" ref="X80" si="86">SUM(T80:W80)</f>
        <v>0</v>
      </c>
      <c r="Y80" s="24"/>
      <c r="Z80" s="25"/>
      <c r="AA80" s="25"/>
      <c r="AB80" s="25"/>
      <c r="AC80" s="26">
        <f t="shared" ref="AC80" si="87">SUM(Y80:AB80)</f>
        <v>0</v>
      </c>
      <c r="AD80" s="26">
        <f t="shared" si="80"/>
        <v>0</v>
      </c>
      <c r="AE80" s="141"/>
      <c r="AF80" s="142"/>
      <c r="AG80" s="73"/>
      <c r="AH80"/>
    </row>
    <row r="81" spans="1:34" ht="15" thickBot="1" x14ac:dyDescent="0.2">
      <c r="A81" s="5" t="s">
        <v>14</v>
      </c>
      <c r="B81" s="12">
        <f>SUM(B55:B80)</f>
        <v>3</v>
      </c>
      <c r="C81" s="13">
        <f t="shared" ref="C81" si="88">SUM(C55:C80)</f>
        <v>5</v>
      </c>
      <c r="D81" s="13">
        <f t="shared" ref="D81" si="89">SUM(D55:D80)</f>
        <v>1</v>
      </c>
      <c r="E81" s="14">
        <f t="shared" ref="E81" si="90">SUM(E55:E80)</f>
        <v>3</v>
      </c>
      <c r="F81" s="8">
        <f t="shared" ref="F81" si="91">SUM(F55:F80)</f>
        <v>12</v>
      </c>
      <c r="G81" s="12">
        <f t="shared" ref="G81" si="92">SUM(G55:G80)</f>
        <v>4</v>
      </c>
      <c r="H81" s="13">
        <f t="shared" ref="H81" si="93">SUM(H55:H80)</f>
        <v>12</v>
      </c>
      <c r="I81" s="13">
        <f t="shared" ref="I81" si="94">SUM(I55:I80)</f>
        <v>14</v>
      </c>
      <c r="J81" s="14">
        <f t="shared" ref="J81" si="95">SUM(J55:J80)</f>
        <v>14</v>
      </c>
      <c r="K81" s="8">
        <f t="shared" ref="K81" si="96">SUM(K55:K80)</f>
        <v>44</v>
      </c>
      <c r="L81" s="34">
        <f t="shared" ref="L81" si="97">SUM(L55:L80)</f>
        <v>56</v>
      </c>
      <c r="M81" s="54"/>
      <c r="S81" s="5" t="s">
        <v>14</v>
      </c>
      <c r="T81" s="12">
        <f>SUM(T55:T80)</f>
        <v>13</v>
      </c>
      <c r="U81" s="13">
        <f t="shared" ref="U81" si="98">SUM(U55:U80)</f>
        <v>15</v>
      </c>
      <c r="V81" s="13">
        <f t="shared" ref="V81" si="99">SUM(V55:V80)</f>
        <v>12</v>
      </c>
      <c r="W81" s="14">
        <f t="shared" ref="W81" si="100">SUM(W55:W80)</f>
        <v>9</v>
      </c>
      <c r="X81" s="8">
        <f t="shared" ref="X81" si="101">SUM(X55:X80)</f>
        <v>49</v>
      </c>
      <c r="Y81" s="12">
        <f t="shared" ref="Y81" si="102">SUM(Y55:Y80)</f>
        <v>22</v>
      </c>
      <c r="Z81" s="13">
        <f t="shared" ref="Z81" si="103">SUM(Z55:Z80)</f>
        <v>43</v>
      </c>
      <c r="AA81" s="13">
        <f t="shared" ref="AA81" si="104">SUM(AA55:AA80)</f>
        <v>33</v>
      </c>
      <c r="AB81" s="14">
        <f t="shared" ref="AB81" si="105">SUM(AB55:AB80)</f>
        <v>32</v>
      </c>
      <c r="AC81" s="8">
        <f t="shared" ref="AC81" si="106">SUM(AC55:AC80)</f>
        <v>130</v>
      </c>
      <c r="AD81" s="34">
        <f t="shared" ref="AD81" si="107">SUM(AD55:AD80)</f>
        <v>179</v>
      </c>
      <c r="AE81" s="53"/>
      <c r="AF81" s="53"/>
    </row>
    <row r="82" spans="1:34" ht="14.25" thickBot="1" x14ac:dyDescent="0.2">
      <c r="A82" s="15" t="s">
        <v>15</v>
      </c>
      <c r="B82" s="16">
        <f>B54-B81</f>
        <v>5</v>
      </c>
      <c r="C82" s="17">
        <f>C54-C81</f>
        <v>5</v>
      </c>
      <c r="D82" s="17">
        <f t="shared" ref="D82" si="108">D54-D81</f>
        <v>7</v>
      </c>
      <c r="E82" s="18">
        <f t="shared" ref="E82:K82" si="109">E54-E81</f>
        <v>5</v>
      </c>
      <c r="F82" s="44">
        <f t="shared" si="109"/>
        <v>22</v>
      </c>
      <c r="G82" s="16">
        <f t="shared" si="109"/>
        <v>6</v>
      </c>
      <c r="H82" s="17">
        <f t="shared" si="109"/>
        <v>5</v>
      </c>
      <c r="I82" s="17">
        <f t="shared" si="109"/>
        <v>4</v>
      </c>
      <c r="J82" s="18">
        <f t="shared" si="109"/>
        <v>5</v>
      </c>
      <c r="K82" s="44">
        <f t="shared" si="109"/>
        <v>20</v>
      </c>
      <c r="L82" s="34">
        <f>L54-L81</f>
        <v>42</v>
      </c>
      <c r="M82" s="54"/>
      <c r="S82" s="15" t="s">
        <v>15</v>
      </c>
      <c r="T82" s="16">
        <f>T54-T81</f>
        <v>109</v>
      </c>
      <c r="U82" s="17">
        <f>U54-U81</f>
        <v>124</v>
      </c>
      <c r="V82" s="17">
        <f t="shared" ref="V82" si="110">V54-V81</f>
        <v>87</v>
      </c>
      <c r="W82" s="18">
        <f t="shared" ref="W82:AC82" si="111">W54-W81</f>
        <v>67</v>
      </c>
      <c r="X82" s="44">
        <f t="shared" si="111"/>
        <v>387</v>
      </c>
      <c r="Y82" s="16">
        <f t="shared" si="111"/>
        <v>147</v>
      </c>
      <c r="Z82" s="17">
        <f t="shared" si="111"/>
        <v>158</v>
      </c>
      <c r="AA82" s="17">
        <f t="shared" si="111"/>
        <v>134</v>
      </c>
      <c r="AB82" s="18">
        <f t="shared" si="111"/>
        <v>129</v>
      </c>
      <c r="AC82" s="44">
        <f t="shared" si="111"/>
        <v>568</v>
      </c>
      <c r="AD82" s="34">
        <f>AD54-AD81</f>
        <v>955</v>
      </c>
      <c r="AE82" s="53"/>
      <c r="AF82" s="53"/>
    </row>
    <row r="83" spans="1:34" x14ac:dyDescent="0.15">
      <c r="M83" s="54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E83" s="53"/>
      <c r="AF83" s="53"/>
    </row>
    <row r="84" spans="1:34" x14ac:dyDescent="0.15">
      <c r="M84" s="54"/>
      <c r="AE84" s="53"/>
      <c r="AF84" s="53"/>
    </row>
    <row r="85" spans="1:34" ht="19.5" thickBot="1" x14ac:dyDescent="0.25">
      <c r="A85" s="58" t="s">
        <v>1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4"/>
      <c r="S85" s="58" t="s">
        <v>8</v>
      </c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3"/>
      <c r="AF85" s="53"/>
    </row>
    <row r="86" spans="1:34" ht="14.25" thickBot="1" x14ac:dyDescent="0.2">
      <c r="A86" s="52" t="s">
        <v>9</v>
      </c>
      <c r="B86" s="130" t="s">
        <v>10</v>
      </c>
      <c r="C86" s="131"/>
      <c r="D86" s="131"/>
      <c r="E86" s="131"/>
      <c r="F86" s="132"/>
      <c r="G86" s="133" t="s">
        <v>11</v>
      </c>
      <c r="H86" s="134"/>
      <c r="I86" s="134"/>
      <c r="J86" s="134"/>
      <c r="K86" s="135"/>
      <c r="L86" s="139" t="s">
        <v>7</v>
      </c>
      <c r="M86" s="54"/>
      <c r="S86" s="52" t="s">
        <v>9</v>
      </c>
      <c r="T86" s="130" t="s">
        <v>10</v>
      </c>
      <c r="U86" s="131"/>
      <c r="V86" s="131"/>
      <c r="W86" s="131"/>
      <c r="X86" s="132"/>
      <c r="Y86" s="133" t="s">
        <v>11</v>
      </c>
      <c r="Z86" s="134"/>
      <c r="AA86" s="134"/>
      <c r="AB86" s="134"/>
      <c r="AC86" s="135"/>
      <c r="AD86" s="139" t="s">
        <v>7</v>
      </c>
      <c r="AE86" s="53"/>
      <c r="AF86" s="53"/>
    </row>
    <row r="87" spans="1:34" ht="14.25" thickBot="1" x14ac:dyDescent="0.2">
      <c r="A87" s="52" t="s">
        <v>2</v>
      </c>
      <c r="B87" s="2" t="s">
        <v>3</v>
      </c>
      <c r="C87" s="3" t="s">
        <v>4</v>
      </c>
      <c r="D87" s="3" t="s">
        <v>5</v>
      </c>
      <c r="E87" s="4" t="s">
        <v>6</v>
      </c>
      <c r="F87" s="1" t="s">
        <v>0</v>
      </c>
      <c r="G87" s="2" t="s">
        <v>3</v>
      </c>
      <c r="H87" s="3" t="s">
        <v>4</v>
      </c>
      <c r="I87" s="3" t="s">
        <v>5</v>
      </c>
      <c r="J87" s="4" t="s">
        <v>6</v>
      </c>
      <c r="K87" s="1" t="s">
        <v>0</v>
      </c>
      <c r="L87" s="140"/>
      <c r="M87" s="54"/>
      <c r="S87" s="52" t="s">
        <v>2</v>
      </c>
      <c r="T87" s="2" t="s">
        <v>3</v>
      </c>
      <c r="U87" s="3" t="s">
        <v>4</v>
      </c>
      <c r="V87" s="3" t="s">
        <v>5</v>
      </c>
      <c r="W87" s="4" t="s">
        <v>6</v>
      </c>
      <c r="X87" s="1" t="s">
        <v>0</v>
      </c>
      <c r="Y87" s="2" t="s">
        <v>3</v>
      </c>
      <c r="Z87" s="3" t="s">
        <v>4</v>
      </c>
      <c r="AA87" s="3" t="s">
        <v>5</v>
      </c>
      <c r="AB87" s="4" t="s">
        <v>6</v>
      </c>
      <c r="AC87" s="1" t="s">
        <v>0</v>
      </c>
      <c r="AD87" s="140"/>
      <c r="AE87" s="53"/>
      <c r="AF87" s="53"/>
    </row>
    <row r="88" spans="1:34" ht="14.25" x14ac:dyDescent="0.15">
      <c r="A88" s="45" t="s">
        <v>16</v>
      </c>
      <c r="B88" s="32">
        <f>B82</f>
        <v>5</v>
      </c>
      <c r="C88" s="32">
        <f t="shared" ref="C88:K88" si="112">C82</f>
        <v>5</v>
      </c>
      <c r="D88" s="32">
        <f t="shared" si="112"/>
        <v>7</v>
      </c>
      <c r="E88" s="38">
        <f t="shared" si="112"/>
        <v>5</v>
      </c>
      <c r="F88" s="33">
        <f t="shared" si="112"/>
        <v>22</v>
      </c>
      <c r="G88" s="32">
        <f t="shared" si="112"/>
        <v>6</v>
      </c>
      <c r="H88" s="32">
        <f t="shared" si="112"/>
        <v>5</v>
      </c>
      <c r="I88" s="32">
        <f t="shared" si="112"/>
        <v>4</v>
      </c>
      <c r="J88" s="38">
        <f t="shared" si="112"/>
        <v>5</v>
      </c>
      <c r="K88" s="33">
        <f t="shared" si="112"/>
        <v>20</v>
      </c>
      <c r="L88" s="33">
        <f>L82</f>
        <v>42</v>
      </c>
      <c r="M88" s="54"/>
      <c r="S88" s="45" t="s">
        <v>16</v>
      </c>
      <c r="T88" s="32">
        <f>T82</f>
        <v>109</v>
      </c>
      <c r="U88" s="32">
        <f t="shared" ref="U88:AC88" si="113">U82</f>
        <v>124</v>
      </c>
      <c r="V88" s="32">
        <f t="shared" si="113"/>
        <v>87</v>
      </c>
      <c r="W88" s="38">
        <f t="shared" si="113"/>
        <v>67</v>
      </c>
      <c r="X88" s="33">
        <f t="shared" si="113"/>
        <v>387</v>
      </c>
      <c r="Y88" s="32">
        <f t="shared" si="113"/>
        <v>147</v>
      </c>
      <c r="Z88" s="32">
        <f t="shared" si="113"/>
        <v>158</v>
      </c>
      <c r="AA88" s="32">
        <f t="shared" si="113"/>
        <v>134</v>
      </c>
      <c r="AB88" s="38">
        <f t="shared" si="113"/>
        <v>129</v>
      </c>
      <c r="AC88" s="33">
        <f t="shared" si="113"/>
        <v>568</v>
      </c>
      <c r="AD88" s="33">
        <f>AD82</f>
        <v>955</v>
      </c>
      <c r="AE88" s="53"/>
      <c r="AF88" s="53"/>
    </row>
    <row r="89" spans="1:34" s="50" customFormat="1" x14ac:dyDescent="0.15">
      <c r="A89" s="23" t="s">
        <v>34</v>
      </c>
      <c r="B89" s="24"/>
      <c r="C89" s="25"/>
      <c r="D89" s="25"/>
      <c r="E89" s="39"/>
      <c r="F89" s="22">
        <f>SUM(B89:E89)</f>
        <v>0</v>
      </c>
      <c r="G89" s="25"/>
      <c r="H89" s="25"/>
      <c r="I89" s="25">
        <v>2</v>
      </c>
      <c r="J89" s="39"/>
      <c r="K89" s="22">
        <f t="shared" ref="K89:K95" si="114">SUM(G89:J89)</f>
        <v>2</v>
      </c>
      <c r="L89" s="26">
        <f t="shared" ref="L89:L95" si="115">F89+K89</f>
        <v>2</v>
      </c>
      <c r="M89" s="55">
        <v>45485</v>
      </c>
      <c r="N89"/>
      <c r="O89"/>
      <c r="P89"/>
      <c r="R89" s="65"/>
      <c r="S89" s="23" t="s">
        <v>17</v>
      </c>
      <c r="T89" s="25"/>
      <c r="U89" s="25"/>
      <c r="V89" s="25"/>
      <c r="W89" s="39"/>
      <c r="X89" s="22">
        <f>SUM(T89:W89)</f>
        <v>0</v>
      </c>
      <c r="Y89" s="25"/>
      <c r="Z89" s="25"/>
      <c r="AA89" s="25"/>
      <c r="AB89" s="39"/>
      <c r="AC89" s="22">
        <f t="shared" ref="AC89:AC95" si="116">SUM(Y89:AB89)</f>
        <v>0</v>
      </c>
      <c r="AD89" s="26">
        <f t="shared" ref="AD89:AD95" si="117">X89+AC89</f>
        <v>0</v>
      </c>
      <c r="AE89" s="64"/>
      <c r="AF89" s="53"/>
      <c r="AG89" s="73"/>
      <c r="AH89"/>
    </row>
    <row r="90" spans="1:34" s="50" customFormat="1" x14ac:dyDescent="0.15">
      <c r="A90" s="23" t="s">
        <v>17</v>
      </c>
      <c r="B90" s="24"/>
      <c r="C90" s="25"/>
      <c r="D90" s="25"/>
      <c r="E90" s="39"/>
      <c r="F90" s="22">
        <f t="shared" ref="F90:F95" si="118">SUM(B90:E90)</f>
        <v>0</v>
      </c>
      <c r="G90" s="25"/>
      <c r="H90" s="25">
        <v>5</v>
      </c>
      <c r="I90" s="25">
        <v>5</v>
      </c>
      <c r="J90" s="39">
        <v>5</v>
      </c>
      <c r="K90" s="22">
        <f t="shared" si="114"/>
        <v>15</v>
      </c>
      <c r="L90" s="26">
        <f t="shared" si="115"/>
        <v>15</v>
      </c>
      <c r="M90" s="55">
        <v>45496</v>
      </c>
      <c r="N90"/>
      <c r="O90"/>
      <c r="P90"/>
      <c r="R90" s="65"/>
      <c r="S90" s="23" t="s">
        <v>17</v>
      </c>
      <c r="T90" s="25"/>
      <c r="U90" s="25"/>
      <c r="V90" s="25"/>
      <c r="W90" s="39"/>
      <c r="X90" s="22">
        <f t="shared" ref="X90:X95" si="119">SUM(T90:W90)</f>
        <v>0</v>
      </c>
      <c r="Y90" s="25"/>
      <c r="Z90" s="25"/>
      <c r="AA90" s="25"/>
      <c r="AB90" s="39"/>
      <c r="AC90" s="22">
        <f t="shared" si="116"/>
        <v>0</v>
      </c>
      <c r="AD90" s="26">
        <f t="shared" si="117"/>
        <v>0</v>
      </c>
      <c r="AE90" s="64"/>
      <c r="AF90" s="53"/>
      <c r="AG90" s="73"/>
      <c r="AH90"/>
    </row>
    <row r="91" spans="1:34" s="50" customFormat="1" x14ac:dyDescent="0.15">
      <c r="A91" s="23" t="s">
        <v>17</v>
      </c>
      <c r="B91" s="24"/>
      <c r="C91" s="25"/>
      <c r="D91" s="25"/>
      <c r="E91" s="39"/>
      <c r="F91" s="22">
        <f t="shared" si="118"/>
        <v>0</v>
      </c>
      <c r="G91" s="25">
        <v>3</v>
      </c>
      <c r="H91" s="25"/>
      <c r="I91" s="25"/>
      <c r="J91" s="39"/>
      <c r="K91" s="22">
        <f t="shared" si="114"/>
        <v>3</v>
      </c>
      <c r="L91" s="26">
        <f t="shared" si="115"/>
        <v>3</v>
      </c>
      <c r="M91" s="55">
        <v>45498</v>
      </c>
      <c r="N91"/>
      <c r="O91"/>
      <c r="P91"/>
      <c r="R91" s="65"/>
      <c r="S91" s="23" t="s">
        <v>17</v>
      </c>
      <c r="T91" s="25"/>
      <c r="U91" s="25"/>
      <c r="V91" s="25"/>
      <c r="W91" s="39"/>
      <c r="X91" s="22">
        <f t="shared" si="119"/>
        <v>0</v>
      </c>
      <c r="Y91" s="25"/>
      <c r="Z91" s="25"/>
      <c r="AA91" s="25"/>
      <c r="AB91" s="39"/>
      <c r="AC91" s="22">
        <f t="shared" si="116"/>
        <v>0</v>
      </c>
      <c r="AD91" s="26">
        <f t="shared" si="117"/>
        <v>0</v>
      </c>
      <c r="AE91" s="64"/>
      <c r="AF91" s="53"/>
      <c r="AG91" s="73"/>
      <c r="AH91"/>
    </row>
    <row r="92" spans="1:34" s="50" customFormat="1" x14ac:dyDescent="0.15">
      <c r="A92" s="23" t="s">
        <v>17</v>
      </c>
      <c r="B92" s="27"/>
      <c r="C92" s="28"/>
      <c r="D92" s="28"/>
      <c r="E92" s="40">
        <v>3</v>
      </c>
      <c r="F92" s="29">
        <f t="shared" si="118"/>
        <v>3</v>
      </c>
      <c r="G92" s="28"/>
      <c r="H92" s="28"/>
      <c r="I92" s="28">
        <v>3</v>
      </c>
      <c r="J92" s="40"/>
      <c r="K92" s="29">
        <f t="shared" si="114"/>
        <v>3</v>
      </c>
      <c r="L92" s="26">
        <f t="shared" si="115"/>
        <v>6</v>
      </c>
      <c r="M92" s="55">
        <v>45503</v>
      </c>
      <c r="N92"/>
      <c r="O92"/>
      <c r="P92"/>
      <c r="R92" s="65"/>
      <c r="S92" s="23" t="s">
        <v>17</v>
      </c>
      <c r="T92" s="28"/>
      <c r="U92" s="28"/>
      <c r="V92" s="28"/>
      <c r="W92" s="40"/>
      <c r="X92" s="29">
        <f t="shared" si="119"/>
        <v>0</v>
      </c>
      <c r="Y92" s="28"/>
      <c r="Z92" s="28"/>
      <c r="AA92" s="28"/>
      <c r="AB92" s="40"/>
      <c r="AC92" s="29">
        <f t="shared" si="116"/>
        <v>0</v>
      </c>
      <c r="AD92" s="26">
        <f t="shared" si="117"/>
        <v>0</v>
      </c>
      <c r="AE92" s="64"/>
      <c r="AF92" s="53"/>
      <c r="AG92" s="73"/>
      <c r="AH92"/>
    </row>
    <row r="93" spans="1:34" s="50" customFormat="1" x14ac:dyDescent="0.15">
      <c r="A93" s="23" t="s">
        <v>17</v>
      </c>
      <c r="B93" s="24"/>
      <c r="C93" s="36"/>
      <c r="D93" s="36"/>
      <c r="E93" s="41"/>
      <c r="F93" s="26">
        <f t="shared" si="118"/>
        <v>0</v>
      </c>
      <c r="G93" s="25">
        <v>2</v>
      </c>
      <c r="H93" s="36">
        <v>2</v>
      </c>
      <c r="I93" s="36"/>
      <c r="J93" s="41">
        <v>2</v>
      </c>
      <c r="K93" s="26">
        <f t="shared" si="114"/>
        <v>6</v>
      </c>
      <c r="L93" s="26">
        <f t="shared" si="115"/>
        <v>6</v>
      </c>
      <c r="M93" s="55">
        <v>45505</v>
      </c>
      <c r="N93"/>
      <c r="O93"/>
      <c r="P93"/>
      <c r="R93" s="65"/>
      <c r="S93" s="23" t="s">
        <v>17</v>
      </c>
      <c r="T93" s="25"/>
      <c r="U93" s="36"/>
      <c r="V93" s="36"/>
      <c r="W93" s="41"/>
      <c r="X93" s="26">
        <f t="shared" si="119"/>
        <v>0</v>
      </c>
      <c r="Y93" s="25"/>
      <c r="Z93" s="36"/>
      <c r="AA93" s="36"/>
      <c r="AB93" s="41"/>
      <c r="AC93" s="26">
        <f t="shared" si="116"/>
        <v>0</v>
      </c>
      <c r="AD93" s="26">
        <f t="shared" si="117"/>
        <v>0</v>
      </c>
      <c r="AE93" s="64"/>
      <c r="AF93" s="53"/>
      <c r="AG93" s="73"/>
      <c r="AH93"/>
    </row>
    <row r="94" spans="1:34" s="50" customFormat="1" x14ac:dyDescent="0.15">
      <c r="A94" s="23" t="s">
        <v>17</v>
      </c>
      <c r="B94" s="24"/>
      <c r="C94" s="36"/>
      <c r="D94" s="36"/>
      <c r="E94" s="41"/>
      <c r="F94" s="26">
        <f t="shared" si="118"/>
        <v>0</v>
      </c>
      <c r="G94" s="25"/>
      <c r="H94" s="36">
        <v>3</v>
      </c>
      <c r="I94" s="36">
        <v>3</v>
      </c>
      <c r="J94" s="41"/>
      <c r="K94" s="26">
        <f t="shared" si="114"/>
        <v>6</v>
      </c>
      <c r="L94" s="26">
        <f t="shared" si="115"/>
        <v>6</v>
      </c>
      <c r="M94" s="55">
        <v>45506</v>
      </c>
      <c r="N94"/>
      <c r="O94"/>
      <c r="P94"/>
      <c r="R94" s="65"/>
      <c r="S94" s="23" t="s">
        <v>17</v>
      </c>
      <c r="T94" s="25"/>
      <c r="U94" s="36"/>
      <c r="V94" s="36"/>
      <c r="W94" s="41"/>
      <c r="X94" s="26">
        <f t="shared" si="119"/>
        <v>0</v>
      </c>
      <c r="Y94" s="25"/>
      <c r="Z94" s="36"/>
      <c r="AA94" s="36"/>
      <c r="AB94" s="41"/>
      <c r="AC94" s="26">
        <f t="shared" si="116"/>
        <v>0</v>
      </c>
      <c r="AD94" s="26">
        <f t="shared" si="117"/>
        <v>0</v>
      </c>
      <c r="AE94" s="64"/>
      <c r="AF94" s="53"/>
      <c r="AG94" s="73"/>
      <c r="AH94"/>
    </row>
    <row r="95" spans="1:34" s="50" customFormat="1" ht="14.25" thickBot="1" x14ac:dyDescent="0.2">
      <c r="A95" s="23" t="s">
        <v>17</v>
      </c>
      <c r="B95" s="27"/>
      <c r="C95" s="37">
        <v>3</v>
      </c>
      <c r="D95" s="37"/>
      <c r="E95" s="42"/>
      <c r="F95" s="43">
        <f t="shared" si="118"/>
        <v>3</v>
      </c>
      <c r="G95" s="28"/>
      <c r="H95" s="37">
        <v>3</v>
      </c>
      <c r="I95" s="37"/>
      <c r="J95" s="42"/>
      <c r="K95" s="43">
        <f t="shared" si="114"/>
        <v>3</v>
      </c>
      <c r="L95" s="43">
        <f t="shared" si="115"/>
        <v>6</v>
      </c>
      <c r="M95" s="55">
        <v>45510</v>
      </c>
      <c r="N95"/>
      <c r="O95"/>
      <c r="P95"/>
      <c r="R95" s="65"/>
      <c r="S95" s="23" t="s">
        <v>17</v>
      </c>
      <c r="T95" s="28"/>
      <c r="U95" s="37"/>
      <c r="V95" s="37"/>
      <c r="W95" s="42"/>
      <c r="X95" s="43">
        <f t="shared" si="119"/>
        <v>0</v>
      </c>
      <c r="Y95" s="28"/>
      <c r="Z95" s="37"/>
      <c r="AA95" s="37"/>
      <c r="AB95" s="42"/>
      <c r="AC95" s="43">
        <f t="shared" si="116"/>
        <v>0</v>
      </c>
      <c r="AD95" s="43">
        <f t="shared" si="117"/>
        <v>0</v>
      </c>
      <c r="AE95" s="65"/>
      <c r="AF95" s="53"/>
      <c r="AG95" s="73"/>
      <c r="AH95"/>
    </row>
    <row r="96" spans="1:34" ht="15" thickBot="1" x14ac:dyDescent="0.2">
      <c r="A96" s="46" t="s">
        <v>13</v>
      </c>
      <c r="B96" s="47">
        <f>SUM(B88:B95)</f>
        <v>5</v>
      </c>
      <c r="C96" s="48">
        <f t="shared" ref="C96" si="120">SUM(C88:C95)</f>
        <v>8</v>
      </c>
      <c r="D96" s="48">
        <f t="shared" ref="D96" si="121">SUM(D88:D95)</f>
        <v>7</v>
      </c>
      <c r="E96" s="49">
        <f t="shared" ref="E96" si="122">SUM(E88:E95)</f>
        <v>8</v>
      </c>
      <c r="F96" s="34">
        <f t="shared" ref="F96" si="123">SUM(F88:F95)</f>
        <v>28</v>
      </c>
      <c r="G96" s="47">
        <f t="shared" ref="G96" si="124">SUM(G88:G95)</f>
        <v>11</v>
      </c>
      <c r="H96" s="48">
        <f t="shared" ref="H96" si="125">SUM(H88:H95)</f>
        <v>18</v>
      </c>
      <c r="I96" s="48">
        <f t="shared" ref="I96" si="126">SUM(I88:I95)</f>
        <v>17</v>
      </c>
      <c r="J96" s="49">
        <f t="shared" ref="J96" si="127">SUM(J88:J95)</f>
        <v>12</v>
      </c>
      <c r="K96" s="34">
        <f t="shared" ref="K96" si="128">SUM(K88:K95)</f>
        <v>58</v>
      </c>
      <c r="L96" s="34">
        <f t="shared" ref="L96" si="129">SUM(L88:L95)</f>
        <v>86</v>
      </c>
      <c r="M96" s="54"/>
      <c r="S96" s="46" t="s">
        <v>13</v>
      </c>
      <c r="T96" s="47">
        <f>SUM(T88:T95)</f>
        <v>109</v>
      </c>
      <c r="U96" s="48">
        <f t="shared" ref="U96" si="130">SUM(U88:U95)</f>
        <v>124</v>
      </c>
      <c r="V96" s="48">
        <f t="shared" ref="V96" si="131">SUM(V88:V95)</f>
        <v>87</v>
      </c>
      <c r="W96" s="49">
        <f t="shared" ref="W96" si="132">SUM(W88:W95)</f>
        <v>67</v>
      </c>
      <c r="X96" s="34">
        <f>SUM(X88:X95)</f>
        <v>387</v>
      </c>
      <c r="Y96" s="47">
        <f>SUM(Y88:Y95)</f>
        <v>147</v>
      </c>
      <c r="Z96" s="48">
        <f t="shared" ref="Z96" si="133">SUM(Z88:Z95)</f>
        <v>158</v>
      </c>
      <c r="AA96" s="48">
        <f t="shared" ref="AA96" si="134">SUM(AA88:AA95)</f>
        <v>134</v>
      </c>
      <c r="AB96" s="49">
        <f t="shared" ref="AB96" si="135">SUM(AB88:AB95)</f>
        <v>129</v>
      </c>
      <c r="AC96" s="34">
        <f>SUM(AC88:AC95)</f>
        <v>568</v>
      </c>
      <c r="AD96" s="34">
        <f>SUM(AD88:AD95)</f>
        <v>955</v>
      </c>
      <c r="AE96" s="53"/>
      <c r="AF96" s="53"/>
    </row>
    <row r="97" spans="1:34" s="50" customFormat="1" x14ac:dyDescent="0.15">
      <c r="A97" s="35" t="s">
        <v>37</v>
      </c>
      <c r="B97" s="19"/>
      <c r="C97" s="20"/>
      <c r="D97" s="20"/>
      <c r="E97" s="20"/>
      <c r="F97" s="21">
        <f t="shared" ref="F97:F122" si="136">SUM(B97:E97)</f>
        <v>0</v>
      </c>
      <c r="G97" s="19">
        <v>1</v>
      </c>
      <c r="H97" s="20">
        <v>1</v>
      </c>
      <c r="I97" s="20"/>
      <c r="J97" s="20">
        <v>-1</v>
      </c>
      <c r="K97" s="26">
        <f>SUM(G97:J97)</f>
        <v>1</v>
      </c>
      <c r="L97" s="22">
        <f t="shared" ref="L97:L122" si="137">F97+K97</f>
        <v>1</v>
      </c>
      <c r="M97" s="55">
        <v>45490</v>
      </c>
      <c r="N97"/>
      <c r="O97"/>
      <c r="P97"/>
      <c r="R97" s="65"/>
      <c r="S97" s="31" t="s">
        <v>79</v>
      </c>
      <c r="T97" s="19"/>
      <c r="U97" s="20"/>
      <c r="V97" s="20"/>
      <c r="W97" s="20"/>
      <c r="X97" s="21">
        <f t="shared" ref="X97:X117" si="138">SUM(T97:W97)</f>
        <v>0</v>
      </c>
      <c r="Y97" s="19"/>
      <c r="Z97" s="20"/>
      <c r="AA97" s="20">
        <v>6</v>
      </c>
      <c r="AB97" s="20"/>
      <c r="AC97" s="26">
        <f>SUM(Y97:AB97)</f>
        <v>6</v>
      </c>
      <c r="AD97" s="22">
        <f t="shared" ref="AD97:AD122" si="139">X97+AC97</f>
        <v>6</v>
      </c>
      <c r="AE97" s="141">
        <v>45481</v>
      </c>
      <c r="AF97" s="142"/>
      <c r="AG97" s="73"/>
      <c r="AH97"/>
    </row>
    <row r="98" spans="1:34" s="50" customFormat="1" x14ac:dyDescent="0.15">
      <c r="A98" s="35" t="s">
        <v>37</v>
      </c>
      <c r="B98" s="24"/>
      <c r="C98" s="25">
        <v>1</v>
      </c>
      <c r="D98" s="25"/>
      <c r="E98" s="25"/>
      <c r="F98" s="26">
        <f t="shared" si="136"/>
        <v>1</v>
      </c>
      <c r="G98" s="24"/>
      <c r="H98" s="25"/>
      <c r="I98" s="25"/>
      <c r="J98" s="25">
        <v>1</v>
      </c>
      <c r="K98" s="26">
        <f t="shared" ref="K98:K122" si="140">SUM(G98:J98)</f>
        <v>1</v>
      </c>
      <c r="L98" s="26">
        <f t="shared" si="137"/>
        <v>2</v>
      </c>
      <c r="M98" s="55">
        <v>45491</v>
      </c>
      <c r="N98"/>
      <c r="O98"/>
      <c r="P98"/>
      <c r="R98" s="65"/>
      <c r="S98" s="30" t="s">
        <v>31</v>
      </c>
      <c r="T98" s="24">
        <v>3</v>
      </c>
      <c r="U98" s="25">
        <v>3</v>
      </c>
      <c r="V98" s="25"/>
      <c r="W98" s="25"/>
      <c r="X98" s="26">
        <f t="shared" si="138"/>
        <v>6</v>
      </c>
      <c r="Y98" s="24">
        <v>3</v>
      </c>
      <c r="Z98" s="25">
        <v>5</v>
      </c>
      <c r="AA98" s="25">
        <v>5</v>
      </c>
      <c r="AB98" s="25">
        <v>5</v>
      </c>
      <c r="AC98" s="26">
        <f t="shared" ref="AC98" si="141">SUM(Y98:AB98)</f>
        <v>18</v>
      </c>
      <c r="AD98" s="26">
        <f t="shared" si="139"/>
        <v>24</v>
      </c>
      <c r="AE98" s="141">
        <v>45482</v>
      </c>
      <c r="AF98" s="142"/>
      <c r="AG98" s="73"/>
      <c r="AH98"/>
    </row>
    <row r="99" spans="1:34" s="50" customFormat="1" x14ac:dyDescent="0.15">
      <c r="A99" s="35" t="s">
        <v>86</v>
      </c>
      <c r="B99" s="24"/>
      <c r="C99" s="25"/>
      <c r="D99" s="25"/>
      <c r="E99" s="25"/>
      <c r="F99" s="26">
        <f t="shared" si="136"/>
        <v>0</v>
      </c>
      <c r="G99" s="24"/>
      <c r="H99" s="25">
        <v>-1</v>
      </c>
      <c r="I99" s="25">
        <v>1</v>
      </c>
      <c r="J99" s="25"/>
      <c r="K99" s="26">
        <f t="shared" si="140"/>
        <v>0</v>
      </c>
      <c r="L99" s="26">
        <f t="shared" si="137"/>
        <v>0</v>
      </c>
      <c r="M99" s="55">
        <v>45492</v>
      </c>
      <c r="N99"/>
      <c r="O99"/>
      <c r="P99"/>
      <c r="R99" s="65"/>
      <c r="S99" s="30" t="s">
        <v>80</v>
      </c>
      <c r="T99" s="24"/>
      <c r="U99" s="25"/>
      <c r="V99" s="25"/>
      <c r="W99" s="25">
        <v>1</v>
      </c>
      <c r="X99" s="26">
        <f t="shared" si="138"/>
        <v>1</v>
      </c>
      <c r="Y99" s="24"/>
      <c r="Z99" s="25"/>
      <c r="AA99" s="25">
        <v>1</v>
      </c>
      <c r="AB99" s="25"/>
      <c r="AC99" s="26">
        <f t="shared" ref="AC99:AC117" si="142">SUM(Y99:AB99)</f>
        <v>1</v>
      </c>
      <c r="AD99" s="26">
        <f t="shared" si="139"/>
        <v>2</v>
      </c>
      <c r="AE99" s="141">
        <v>45485</v>
      </c>
      <c r="AF99" s="142"/>
      <c r="AG99" s="73"/>
      <c r="AH99"/>
    </row>
    <row r="100" spans="1:34" s="50" customFormat="1" x14ac:dyDescent="0.15">
      <c r="A100" s="35" t="s">
        <v>37</v>
      </c>
      <c r="B100" s="24"/>
      <c r="C100" s="25"/>
      <c r="D100" s="25"/>
      <c r="E100" s="25"/>
      <c r="F100" s="26">
        <f t="shared" si="136"/>
        <v>0</v>
      </c>
      <c r="G100" s="24"/>
      <c r="H100" s="25"/>
      <c r="I100" s="25"/>
      <c r="J100" s="25">
        <v>2</v>
      </c>
      <c r="K100" s="26">
        <f t="shared" si="140"/>
        <v>2</v>
      </c>
      <c r="L100" s="26">
        <f t="shared" si="137"/>
        <v>2</v>
      </c>
      <c r="M100" s="55">
        <v>45493</v>
      </c>
      <c r="N100"/>
      <c r="O100"/>
      <c r="P100"/>
      <c r="R100" s="65"/>
      <c r="S100" s="30" t="s">
        <v>78</v>
      </c>
      <c r="T100" s="24"/>
      <c r="U100" s="25"/>
      <c r="V100" s="25">
        <v>1</v>
      </c>
      <c r="W100" s="25"/>
      <c r="X100" s="26">
        <f t="shared" si="138"/>
        <v>1</v>
      </c>
      <c r="Y100" s="24">
        <v>2</v>
      </c>
      <c r="Z100" s="25">
        <v>4</v>
      </c>
      <c r="AA100" s="25"/>
      <c r="AB100" s="25">
        <v>1</v>
      </c>
      <c r="AC100" s="26">
        <f t="shared" si="142"/>
        <v>7</v>
      </c>
      <c r="AD100" s="26">
        <f t="shared" si="139"/>
        <v>8</v>
      </c>
      <c r="AE100" s="141">
        <v>45485</v>
      </c>
      <c r="AF100" s="142"/>
      <c r="AG100" s="73"/>
      <c r="AH100"/>
    </row>
    <row r="101" spans="1:34" s="50" customFormat="1" x14ac:dyDescent="0.15">
      <c r="A101" s="35" t="s">
        <v>37</v>
      </c>
      <c r="B101" s="24"/>
      <c r="C101" s="25"/>
      <c r="D101" s="25"/>
      <c r="E101" s="25"/>
      <c r="F101" s="26">
        <f t="shared" si="136"/>
        <v>0</v>
      </c>
      <c r="G101" s="24"/>
      <c r="H101" s="25">
        <v>2</v>
      </c>
      <c r="I101" s="25">
        <f>1+2</f>
        <v>3</v>
      </c>
      <c r="J101" s="25">
        <v>2</v>
      </c>
      <c r="K101" s="26">
        <f t="shared" si="140"/>
        <v>7</v>
      </c>
      <c r="L101" s="26">
        <f t="shared" si="137"/>
        <v>7</v>
      </c>
      <c r="M101" s="55">
        <v>45495</v>
      </c>
      <c r="N101"/>
      <c r="O101"/>
      <c r="P101"/>
      <c r="R101" s="65"/>
      <c r="S101" s="31" t="s">
        <v>81</v>
      </c>
      <c r="T101" s="24">
        <v>2</v>
      </c>
      <c r="U101" s="25"/>
      <c r="V101" s="25"/>
      <c r="W101" s="25"/>
      <c r="X101" s="26">
        <f t="shared" si="138"/>
        <v>2</v>
      </c>
      <c r="Y101" s="24"/>
      <c r="Z101" s="25"/>
      <c r="AA101" s="25"/>
      <c r="AB101" s="25">
        <v>2</v>
      </c>
      <c r="AC101" s="26">
        <f t="shared" si="142"/>
        <v>2</v>
      </c>
      <c r="AD101" s="26">
        <f t="shared" si="139"/>
        <v>4</v>
      </c>
      <c r="AE101" s="141">
        <v>45485</v>
      </c>
      <c r="AF101" s="142"/>
      <c r="AG101" s="73"/>
      <c r="AH101"/>
    </row>
    <row r="102" spans="1:34" s="50" customFormat="1" x14ac:dyDescent="0.15">
      <c r="A102" s="35" t="s">
        <v>37</v>
      </c>
      <c r="B102" s="24"/>
      <c r="C102" s="25"/>
      <c r="D102" s="25"/>
      <c r="E102" s="25">
        <v>1</v>
      </c>
      <c r="F102" s="26">
        <f t="shared" si="136"/>
        <v>1</v>
      </c>
      <c r="G102" s="24">
        <v>1</v>
      </c>
      <c r="H102" s="25">
        <v>1</v>
      </c>
      <c r="I102" s="25"/>
      <c r="J102" s="25"/>
      <c r="K102" s="26">
        <f t="shared" si="140"/>
        <v>2</v>
      </c>
      <c r="L102" s="26">
        <f t="shared" si="137"/>
        <v>3</v>
      </c>
      <c r="M102" s="55">
        <v>45495</v>
      </c>
      <c r="N102"/>
      <c r="O102"/>
      <c r="P102"/>
      <c r="R102" s="65"/>
      <c r="S102" s="30" t="s">
        <v>82</v>
      </c>
      <c r="T102" s="24"/>
      <c r="U102" s="25"/>
      <c r="V102" s="25"/>
      <c r="W102" s="25">
        <v>1</v>
      </c>
      <c r="X102" s="26">
        <f t="shared" si="138"/>
        <v>1</v>
      </c>
      <c r="Y102" s="24">
        <v>3</v>
      </c>
      <c r="Z102" s="25"/>
      <c r="AA102" s="25">
        <v>1</v>
      </c>
      <c r="AB102" s="25">
        <v>1</v>
      </c>
      <c r="AC102" s="26">
        <f t="shared" si="142"/>
        <v>5</v>
      </c>
      <c r="AD102" s="26">
        <f t="shared" si="139"/>
        <v>6</v>
      </c>
      <c r="AE102" s="141">
        <v>45495</v>
      </c>
      <c r="AF102" s="142"/>
      <c r="AG102" s="73"/>
      <c r="AH102"/>
    </row>
    <row r="103" spans="1:34" s="50" customFormat="1" x14ac:dyDescent="0.15">
      <c r="A103" s="35" t="s">
        <v>37</v>
      </c>
      <c r="B103" s="24"/>
      <c r="C103" s="25"/>
      <c r="D103" s="25"/>
      <c r="E103" s="25"/>
      <c r="F103" s="26">
        <f t="shared" si="136"/>
        <v>0</v>
      </c>
      <c r="G103" s="24"/>
      <c r="H103" s="25"/>
      <c r="I103" s="25">
        <v>1</v>
      </c>
      <c r="J103" s="25">
        <v>1</v>
      </c>
      <c r="K103" s="26">
        <f t="shared" si="140"/>
        <v>2</v>
      </c>
      <c r="L103" s="26">
        <f t="shared" si="137"/>
        <v>2</v>
      </c>
      <c r="M103" s="55">
        <v>45497</v>
      </c>
      <c r="N103"/>
      <c r="O103"/>
      <c r="P103"/>
      <c r="R103" s="65"/>
      <c r="S103" s="30" t="s">
        <v>83</v>
      </c>
      <c r="T103" s="24"/>
      <c r="U103" s="25"/>
      <c r="V103" s="25"/>
      <c r="W103" s="25"/>
      <c r="X103" s="26">
        <f t="shared" si="138"/>
        <v>0</v>
      </c>
      <c r="Y103" s="24">
        <v>1</v>
      </c>
      <c r="Z103" s="25"/>
      <c r="AA103" s="25">
        <v>2</v>
      </c>
      <c r="AB103" s="25">
        <v>1</v>
      </c>
      <c r="AC103" s="26">
        <f t="shared" si="142"/>
        <v>4</v>
      </c>
      <c r="AD103" s="26">
        <f t="shared" si="139"/>
        <v>4</v>
      </c>
      <c r="AE103" s="141">
        <v>45495</v>
      </c>
      <c r="AF103" s="142"/>
      <c r="AG103" s="73"/>
      <c r="AH103"/>
    </row>
    <row r="104" spans="1:34" s="50" customFormat="1" x14ac:dyDescent="0.15">
      <c r="A104" s="35" t="s">
        <v>86</v>
      </c>
      <c r="B104" s="24"/>
      <c r="C104" s="25"/>
      <c r="D104" s="25"/>
      <c r="E104" s="25"/>
      <c r="F104" s="26">
        <f t="shared" si="136"/>
        <v>0</v>
      </c>
      <c r="G104" s="24"/>
      <c r="H104" s="25"/>
      <c r="I104" s="25">
        <v>1</v>
      </c>
      <c r="J104" s="25">
        <v>-1</v>
      </c>
      <c r="K104" s="26">
        <f t="shared" si="140"/>
        <v>0</v>
      </c>
      <c r="L104" s="26">
        <f t="shared" si="137"/>
        <v>0</v>
      </c>
      <c r="M104" s="55">
        <v>45497</v>
      </c>
      <c r="N104"/>
      <c r="O104"/>
      <c r="P104"/>
      <c r="R104" s="65"/>
      <c r="S104" s="31" t="s">
        <v>84</v>
      </c>
      <c r="T104" s="24"/>
      <c r="U104" s="25"/>
      <c r="V104" s="25"/>
      <c r="W104" s="25"/>
      <c r="X104" s="26">
        <f t="shared" si="138"/>
        <v>0</v>
      </c>
      <c r="Y104" s="24"/>
      <c r="Z104" s="25">
        <v>6</v>
      </c>
      <c r="AA104" s="25"/>
      <c r="AB104" s="25">
        <v>9</v>
      </c>
      <c r="AC104" s="26">
        <f t="shared" si="142"/>
        <v>15</v>
      </c>
      <c r="AD104" s="26">
        <f t="shared" si="139"/>
        <v>15</v>
      </c>
      <c r="AE104" s="141">
        <v>45495</v>
      </c>
      <c r="AF104" s="142"/>
      <c r="AG104" s="73"/>
      <c r="AH104"/>
    </row>
    <row r="105" spans="1:34" s="50" customFormat="1" x14ac:dyDescent="0.15">
      <c r="A105" s="35" t="s">
        <v>37</v>
      </c>
      <c r="B105" s="6"/>
      <c r="C105" s="7"/>
      <c r="D105" s="7"/>
      <c r="E105" s="7">
        <v>1</v>
      </c>
      <c r="F105" s="9">
        <f t="shared" si="136"/>
        <v>1</v>
      </c>
      <c r="G105" s="6">
        <v>1</v>
      </c>
      <c r="H105" s="7">
        <f>1+1</f>
        <v>2</v>
      </c>
      <c r="I105" s="7"/>
      <c r="J105" s="7"/>
      <c r="K105" s="9">
        <f t="shared" si="140"/>
        <v>3</v>
      </c>
      <c r="L105" s="26">
        <f t="shared" si="137"/>
        <v>4</v>
      </c>
      <c r="M105" s="55">
        <v>45498</v>
      </c>
      <c r="N105"/>
      <c r="O105"/>
      <c r="P105"/>
      <c r="R105" s="65"/>
      <c r="S105" s="31" t="s">
        <v>85</v>
      </c>
      <c r="T105" s="6"/>
      <c r="U105" s="7"/>
      <c r="V105" s="7"/>
      <c r="W105" s="7"/>
      <c r="X105" s="9">
        <f t="shared" si="138"/>
        <v>0</v>
      </c>
      <c r="Y105" s="6"/>
      <c r="Z105" s="7"/>
      <c r="AA105" s="7">
        <v>2</v>
      </c>
      <c r="AB105" s="7"/>
      <c r="AC105" s="9">
        <f t="shared" si="142"/>
        <v>2</v>
      </c>
      <c r="AD105" s="26">
        <f t="shared" si="139"/>
        <v>2</v>
      </c>
      <c r="AE105" s="141">
        <v>45503</v>
      </c>
      <c r="AF105" s="142"/>
      <c r="AG105" s="73"/>
      <c r="AH105"/>
    </row>
    <row r="106" spans="1:34" s="50" customFormat="1" x14ac:dyDescent="0.15">
      <c r="A106" s="35" t="s">
        <v>37</v>
      </c>
      <c r="B106" s="24"/>
      <c r="C106" s="25"/>
      <c r="D106" s="25"/>
      <c r="E106" s="25"/>
      <c r="F106" s="26">
        <f t="shared" si="136"/>
        <v>0</v>
      </c>
      <c r="G106" s="24">
        <f>1+1</f>
        <v>2</v>
      </c>
      <c r="H106" s="25"/>
      <c r="I106" s="25">
        <v>1</v>
      </c>
      <c r="J106" s="25"/>
      <c r="K106" s="26">
        <f t="shared" si="140"/>
        <v>3</v>
      </c>
      <c r="L106" s="26">
        <f t="shared" si="137"/>
        <v>3</v>
      </c>
      <c r="M106" s="55">
        <v>45499</v>
      </c>
      <c r="N106"/>
      <c r="O106"/>
      <c r="P106"/>
      <c r="R106" s="65"/>
      <c r="S106" s="31" t="s">
        <v>87</v>
      </c>
      <c r="T106" s="24"/>
      <c r="U106" s="25"/>
      <c r="V106" s="25"/>
      <c r="W106" s="25"/>
      <c r="X106" s="26">
        <f t="shared" si="138"/>
        <v>0</v>
      </c>
      <c r="Y106" s="24">
        <v>9</v>
      </c>
      <c r="Z106" s="25"/>
      <c r="AA106" s="25"/>
      <c r="AB106" s="25"/>
      <c r="AC106" s="26">
        <f t="shared" si="142"/>
        <v>9</v>
      </c>
      <c r="AD106" s="26">
        <f t="shared" si="139"/>
        <v>9</v>
      </c>
      <c r="AE106" s="141">
        <v>45498</v>
      </c>
      <c r="AF106" s="142"/>
      <c r="AG106" s="73"/>
      <c r="AH106"/>
    </row>
    <row r="107" spans="1:34" s="50" customFormat="1" x14ac:dyDescent="0.15">
      <c r="A107" s="35" t="s">
        <v>37</v>
      </c>
      <c r="B107" s="24"/>
      <c r="C107" s="25"/>
      <c r="D107" s="25"/>
      <c r="E107" s="25"/>
      <c r="F107" s="26">
        <f t="shared" si="136"/>
        <v>0</v>
      </c>
      <c r="G107" s="24"/>
      <c r="H107" s="25">
        <v>1</v>
      </c>
      <c r="I107" s="25">
        <v>1</v>
      </c>
      <c r="J107" s="25">
        <f>1+1</f>
        <v>2</v>
      </c>
      <c r="K107" s="26">
        <f t="shared" si="140"/>
        <v>4</v>
      </c>
      <c r="L107" s="26">
        <f t="shared" si="137"/>
        <v>4</v>
      </c>
      <c r="M107" s="55">
        <v>45502</v>
      </c>
      <c r="N107"/>
      <c r="O107"/>
      <c r="P107"/>
      <c r="R107" s="65"/>
      <c r="S107" s="30" t="s">
        <v>31</v>
      </c>
      <c r="T107" s="24"/>
      <c r="U107" s="25"/>
      <c r="V107" s="25"/>
      <c r="W107" s="25"/>
      <c r="X107" s="26">
        <f t="shared" si="138"/>
        <v>0</v>
      </c>
      <c r="Y107" s="24"/>
      <c r="Z107" s="25">
        <v>5</v>
      </c>
      <c r="AA107" s="25">
        <v>5</v>
      </c>
      <c r="AB107" s="25">
        <v>5</v>
      </c>
      <c r="AC107" s="26">
        <f t="shared" si="142"/>
        <v>15</v>
      </c>
      <c r="AD107" s="26">
        <f t="shared" si="139"/>
        <v>15</v>
      </c>
      <c r="AE107" s="141">
        <v>45496</v>
      </c>
      <c r="AF107" s="142"/>
      <c r="AG107" s="73"/>
      <c r="AH107"/>
    </row>
    <row r="108" spans="1:34" s="50" customFormat="1" x14ac:dyDescent="0.15">
      <c r="A108" s="35" t="s">
        <v>37</v>
      </c>
      <c r="B108" s="24"/>
      <c r="C108" s="25"/>
      <c r="D108" s="25"/>
      <c r="E108" s="25"/>
      <c r="F108" s="26">
        <f t="shared" si="136"/>
        <v>0</v>
      </c>
      <c r="G108" s="24">
        <v>1</v>
      </c>
      <c r="H108" s="25">
        <v>3</v>
      </c>
      <c r="I108" s="25">
        <f>1+1</f>
        <v>2</v>
      </c>
      <c r="J108" s="25">
        <v>1</v>
      </c>
      <c r="K108" s="26">
        <f t="shared" si="140"/>
        <v>7</v>
      </c>
      <c r="L108" s="26">
        <f t="shared" si="137"/>
        <v>7</v>
      </c>
      <c r="M108" s="55">
        <v>45505</v>
      </c>
      <c r="N108"/>
      <c r="O108"/>
      <c r="P108"/>
      <c r="R108" s="65"/>
      <c r="S108" s="30" t="s">
        <v>88</v>
      </c>
      <c r="T108" s="24"/>
      <c r="U108" s="25"/>
      <c r="V108" s="25"/>
      <c r="W108" s="25"/>
      <c r="X108" s="26">
        <f t="shared" si="138"/>
        <v>0</v>
      </c>
      <c r="Y108" s="24"/>
      <c r="Z108" s="25"/>
      <c r="AA108" s="25"/>
      <c r="AB108" s="25">
        <v>1</v>
      </c>
      <c r="AC108" s="26">
        <f t="shared" si="142"/>
        <v>1</v>
      </c>
      <c r="AD108" s="26">
        <f t="shared" si="139"/>
        <v>1</v>
      </c>
      <c r="AE108" s="141">
        <v>45502</v>
      </c>
      <c r="AF108" s="142"/>
      <c r="AG108" s="73"/>
      <c r="AH108"/>
    </row>
    <row r="109" spans="1:34" s="50" customFormat="1" x14ac:dyDescent="0.15">
      <c r="A109" s="35" t="s">
        <v>37</v>
      </c>
      <c r="B109" s="24"/>
      <c r="C109" s="25">
        <v>1</v>
      </c>
      <c r="D109" s="25"/>
      <c r="E109" s="25">
        <v>1</v>
      </c>
      <c r="F109" s="26">
        <f t="shared" si="136"/>
        <v>2</v>
      </c>
      <c r="G109" s="24"/>
      <c r="H109" s="25">
        <v>1</v>
      </c>
      <c r="I109" s="25">
        <v>1</v>
      </c>
      <c r="J109" s="25">
        <v>1</v>
      </c>
      <c r="K109" s="26">
        <f t="shared" si="140"/>
        <v>3</v>
      </c>
      <c r="L109" s="26">
        <f t="shared" si="137"/>
        <v>5</v>
      </c>
      <c r="M109" s="55">
        <v>45506</v>
      </c>
      <c r="N109"/>
      <c r="O109"/>
      <c r="P109"/>
      <c r="R109" s="65"/>
      <c r="S109" s="30" t="s">
        <v>89</v>
      </c>
      <c r="T109" s="24"/>
      <c r="U109" s="25"/>
      <c r="V109" s="25"/>
      <c r="W109" s="25">
        <v>1</v>
      </c>
      <c r="X109" s="26">
        <f t="shared" si="138"/>
        <v>1</v>
      </c>
      <c r="Y109" s="24">
        <v>1</v>
      </c>
      <c r="Z109" s="25"/>
      <c r="AA109" s="25"/>
      <c r="AB109" s="25">
        <v>1</v>
      </c>
      <c r="AC109" s="26">
        <f t="shared" si="142"/>
        <v>2</v>
      </c>
      <c r="AD109" s="26">
        <f t="shared" si="139"/>
        <v>3</v>
      </c>
      <c r="AE109" s="141">
        <v>45502</v>
      </c>
      <c r="AF109" s="142"/>
      <c r="AG109" s="73"/>
      <c r="AH109"/>
    </row>
    <row r="110" spans="1:34" s="50" customFormat="1" x14ac:dyDescent="0.15">
      <c r="A110" s="35" t="s">
        <v>37</v>
      </c>
      <c r="B110" s="24"/>
      <c r="C110" s="25">
        <v>1</v>
      </c>
      <c r="D110" s="25"/>
      <c r="E110" s="25"/>
      <c r="F110" s="26">
        <f t="shared" si="136"/>
        <v>1</v>
      </c>
      <c r="G110" s="24">
        <v>1</v>
      </c>
      <c r="H110" s="25">
        <v>3</v>
      </c>
      <c r="I110" s="25"/>
      <c r="J110" s="25"/>
      <c r="K110" s="26">
        <f t="shared" si="140"/>
        <v>4</v>
      </c>
      <c r="L110" s="26">
        <f t="shared" si="137"/>
        <v>5</v>
      </c>
      <c r="M110" s="55">
        <v>45509</v>
      </c>
      <c r="N110"/>
      <c r="O110"/>
      <c r="P110"/>
      <c r="R110" s="65"/>
      <c r="S110" s="30" t="s">
        <v>90</v>
      </c>
      <c r="T110" s="24"/>
      <c r="U110" s="25"/>
      <c r="V110" s="25"/>
      <c r="W110" s="25"/>
      <c r="X110" s="26">
        <f t="shared" si="138"/>
        <v>0</v>
      </c>
      <c r="Y110" s="24"/>
      <c r="Z110" s="25"/>
      <c r="AA110" s="25"/>
      <c r="AB110" s="25">
        <v>6</v>
      </c>
      <c r="AC110" s="26">
        <f t="shared" si="142"/>
        <v>6</v>
      </c>
      <c r="AD110" s="26">
        <f t="shared" si="139"/>
        <v>6</v>
      </c>
      <c r="AE110" s="141">
        <v>45502</v>
      </c>
      <c r="AF110" s="142"/>
      <c r="AG110" s="73"/>
      <c r="AH110"/>
    </row>
    <row r="111" spans="1:34" s="50" customFormat="1" x14ac:dyDescent="0.15">
      <c r="A111" s="35" t="s">
        <v>37</v>
      </c>
      <c r="B111" s="24"/>
      <c r="C111" s="25">
        <v>1</v>
      </c>
      <c r="D111" s="25"/>
      <c r="E111" s="25">
        <v>1</v>
      </c>
      <c r="F111" s="26">
        <f t="shared" si="136"/>
        <v>2</v>
      </c>
      <c r="G111" s="24"/>
      <c r="H111" s="25"/>
      <c r="I111" s="25"/>
      <c r="J111" s="25"/>
      <c r="K111" s="26">
        <f t="shared" si="140"/>
        <v>0</v>
      </c>
      <c r="L111" s="26">
        <f t="shared" si="137"/>
        <v>2</v>
      </c>
      <c r="M111" s="55">
        <v>45509</v>
      </c>
      <c r="N111"/>
      <c r="O111"/>
      <c r="P111"/>
      <c r="R111" s="65"/>
      <c r="S111" s="31" t="s">
        <v>91</v>
      </c>
      <c r="T111" s="24"/>
      <c r="U111" s="25"/>
      <c r="V111" s="25"/>
      <c r="W111" s="25"/>
      <c r="X111" s="26">
        <f t="shared" si="138"/>
        <v>0</v>
      </c>
      <c r="Y111" s="24"/>
      <c r="Z111" s="25">
        <v>2</v>
      </c>
      <c r="AA111" s="25"/>
      <c r="AB111" s="25">
        <v>2</v>
      </c>
      <c r="AC111" s="26">
        <f t="shared" si="142"/>
        <v>4</v>
      </c>
      <c r="AD111" s="26">
        <f t="shared" si="139"/>
        <v>4</v>
      </c>
      <c r="AE111" s="141">
        <v>45509</v>
      </c>
      <c r="AF111" s="142"/>
      <c r="AG111" s="73"/>
      <c r="AH111"/>
    </row>
    <row r="112" spans="1:34" s="50" customFormat="1" x14ac:dyDescent="0.15">
      <c r="A112" s="35" t="s">
        <v>37</v>
      </c>
      <c r="B112" s="24"/>
      <c r="C112" s="25"/>
      <c r="D112" s="25">
        <v>1</v>
      </c>
      <c r="E112" s="25"/>
      <c r="F112" s="26">
        <f t="shared" si="136"/>
        <v>1</v>
      </c>
      <c r="G112" s="24">
        <v>1</v>
      </c>
      <c r="H112" s="25"/>
      <c r="I112" s="25"/>
      <c r="J112" s="25">
        <v>1</v>
      </c>
      <c r="K112" s="26">
        <f t="shared" si="140"/>
        <v>2</v>
      </c>
      <c r="L112" s="26">
        <f t="shared" si="137"/>
        <v>3</v>
      </c>
      <c r="M112" s="55">
        <v>45510</v>
      </c>
      <c r="N112"/>
      <c r="O112"/>
      <c r="P112"/>
      <c r="R112" s="65"/>
      <c r="S112" s="31" t="s">
        <v>92</v>
      </c>
      <c r="T112" s="24"/>
      <c r="U112" s="25"/>
      <c r="V112" s="25">
        <v>2</v>
      </c>
      <c r="W112" s="25"/>
      <c r="X112" s="26">
        <f t="shared" si="138"/>
        <v>2</v>
      </c>
      <c r="Y112" s="24"/>
      <c r="Z112" s="25"/>
      <c r="AA112" s="25"/>
      <c r="AB112" s="25"/>
      <c r="AC112" s="26">
        <f t="shared" si="142"/>
        <v>0</v>
      </c>
      <c r="AD112" s="26">
        <f t="shared" si="139"/>
        <v>2</v>
      </c>
      <c r="AE112" s="141">
        <v>45503</v>
      </c>
      <c r="AF112" s="142"/>
      <c r="AG112" s="73"/>
      <c r="AH112"/>
    </row>
    <row r="113" spans="1:34" s="50" customFormat="1" x14ac:dyDescent="0.15">
      <c r="A113" s="35" t="s">
        <v>103</v>
      </c>
      <c r="B113" s="24"/>
      <c r="C113" s="25"/>
      <c r="D113" s="25"/>
      <c r="E113" s="25"/>
      <c r="F113" s="26">
        <f t="shared" si="136"/>
        <v>0</v>
      </c>
      <c r="G113" s="24">
        <v>-2</v>
      </c>
      <c r="H113" s="25"/>
      <c r="I113" s="25"/>
      <c r="J113" s="25">
        <v>-2</v>
      </c>
      <c r="K113" s="26">
        <f t="shared" si="140"/>
        <v>-4</v>
      </c>
      <c r="L113" s="26">
        <f t="shared" si="137"/>
        <v>-4</v>
      </c>
      <c r="M113" s="55">
        <v>45511</v>
      </c>
      <c r="N113"/>
      <c r="O113"/>
      <c r="P113"/>
      <c r="R113" s="65"/>
      <c r="S113" s="30" t="s">
        <v>31</v>
      </c>
      <c r="T113" s="24"/>
      <c r="U113" s="25"/>
      <c r="V113" s="25"/>
      <c r="W113" s="25"/>
      <c r="X113" s="26">
        <f t="shared" si="138"/>
        <v>0</v>
      </c>
      <c r="Y113" s="24">
        <v>3</v>
      </c>
      <c r="Z113" s="25"/>
      <c r="AA113" s="25"/>
      <c r="AB113" s="25"/>
      <c r="AC113" s="26">
        <f t="shared" si="142"/>
        <v>3</v>
      </c>
      <c r="AD113" s="26">
        <f t="shared" si="139"/>
        <v>3</v>
      </c>
      <c r="AE113" s="141">
        <v>45498</v>
      </c>
      <c r="AF113" s="142"/>
      <c r="AG113" s="73"/>
      <c r="AH113"/>
    </row>
    <row r="114" spans="1:34" s="50" customFormat="1" x14ac:dyDescent="0.15">
      <c r="A114" s="35"/>
      <c r="B114" s="24"/>
      <c r="C114" s="25"/>
      <c r="D114" s="25"/>
      <c r="E114" s="25"/>
      <c r="F114" s="26">
        <f t="shared" si="136"/>
        <v>0</v>
      </c>
      <c r="G114" s="24"/>
      <c r="H114" s="25"/>
      <c r="I114" s="25"/>
      <c r="J114" s="25"/>
      <c r="K114" s="26">
        <f t="shared" si="140"/>
        <v>0</v>
      </c>
      <c r="L114" s="26">
        <f t="shared" si="137"/>
        <v>0</v>
      </c>
      <c r="M114" s="55"/>
      <c r="N114"/>
      <c r="O114"/>
      <c r="P114"/>
      <c r="R114" s="65"/>
      <c r="S114" s="31" t="s">
        <v>93</v>
      </c>
      <c r="T114" s="24"/>
      <c r="U114" s="25"/>
      <c r="V114" s="25"/>
      <c r="W114" s="25">
        <v>2</v>
      </c>
      <c r="X114" s="26">
        <f t="shared" si="138"/>
        <v>2</v>
      </c>
      <c r="Y114" s="24"/>
      <c r="Z114" s="25"/>
      <c r="AA114" s="25"/>
      <c r="AB114" s="25"/>
      <c r="AC114" s="26">
        <f t="shared" si="142"/>
        <v>0</v>
      </c>
      <c r="AD114" s="26">
        <f t="shared" si="139"/>
        <v>2</v>
      </c>
      <c r="AE114" s="141">
        <v>45503</v>
      </c>
      <c r="AF114" s="142"/>
      <c r="AG114" s="73"/>
      <c r="AH114"/>
    </row>
    <row r="115" spans="1:34" s="50" customFormat="1" x14ac:dyDescent="0.15">
      <c r="A115" s="35"/>
      <c r="B115" s="24"/>
      <c r="C115" s="25"/>
      <c r="D115" s="25"/>
      <c r="E115" s="25"/>
      <c r="F115" s="26">
        <f t="shared" si="136"/>
        <v>0</v>
      </c>
      <c r="G115" s="24"/>
      <c r="H115" s="25"/>
      <c r="I115" s="25"/>
      <c r="J115" s="25"/>
      <c r="K115" s="26">
        <f t="shared" si="140"/>
        <v>0</v>
      </c>
      <c r="L115" s="26">
        <f t="shared" si="137"/>
        <v>0</v>
      </c>
      <c r="M115" s="55"/>
      <c r="N115"/>
      <c r="O115"/>
      <c r="P115"/>
      <c r="R115" s="65"/>
      <c r="S115" s="30" t="s">
        <v>31</v>
      </c>
      <c r="T115" s="24"/>
      <c r="U115" s="25"/>
      <c r="V115" s="25"/>
      <c r="W115" s="25">
        <v>3</v>
      </c>
      <c r="X115" s="26">
        <f t="shared" si="138"/>
        <v>3</v>
      </c>
      <c r="Y115" s="24"/>
      <c r="Z115" s="25"/>
      <c r="AA115" s="25">
        <v>3</v>
      </c>
      <c r="AB115" s="25"/>
      <c r="AC115" s="26">
        <f t="shared" si="142"/>
        <v>3</v>
      </c>
      <c r="AD115" s="26">
        <f t="shared" si="139"/>
        <v>6</v>
      </c>
      <c r="AE115" s="141">
        <v>45503</v>
      </c>
      <c r="AF115" s="142"/>
      <c r="AG115" s="73"/>
      <c r="AH115"/>
    </row>
    <row r="116" spans="1:34" s="50" customFormat="1" x14ac:dyDescent="0.15">
      <c r="A116" s="35"/>
      <c r="B116" s="6"/>
      <c r="C116" s="7"/>
      <c r="D116" s="7"/>
      <c r="E116" s="7"/>
      <c r="F116" s="9">
        <f t="shared" si="136"/>
        <v>0</v>
      </c>
      <c r="G116" s="6"/>
      <c r="H116" s="7"/>
      <c r="I116" s="7"/>
      <c r="J116" s="7"/>
      <c r="K116" s="9">
        <f t="shared" si="140"/>
        <v>0</v>
      </c>
      <c r="L116" s="26">
        <f t="shared" si="137"/>
        <v>0</v>
      </c>
      <c r="M116" s="55"/>
      <c r="N116"/>
      <c r="O116"/>
      <c r="P116"/>
      <c r="R116" s="65"/>
      <c r="S116" s="30" t="s">
        <v>94</v>
      </c>
      <c r="T116" s="6"/>
      <c r="U116" s="7"/>
      <c r="V116" s="7"/>
      <c r="W116" s="7">
        <v>1</v>
      </c>
      <c r="X116" s="9">
        <f t="shared" si="138"/>
        <v>1</v>
      </c>
      <c r="Y116" s="6">
        <v>2</v>
      </c>
      <c r="Z116" s="7"/>
      <c r="AA116" s="7">
        <v>2</v>
      </c>
      <c r="AB116" s="7">
        <v>1</v>
      </c>
      <c r="AC116" s="9">
        <f t="shared" si="142"/>
        <v>5</v>
      </c>
      <c r="AD116" s="26">
        <f t="shared" si="139"/>
        <v>6</v>
      </c>
      <c r="AE116" s="141">
        <v>45509</v>
      </c>
      <c r="AF116" s="142"/>
      <c r="AG116" s="73"/>
      <c r="AH116"/>
    </row>
    <row r="117" spans="1:34" s="50" customFormat="1" x14ac:dyDescent="0.15">
      <c r="A117" s="35"/>
      <c r="B117" s="24"/>
      <c r="C117" s="25"/>
      <c r="D117" s="25"/>
      <c r="E117" s="25"/>
      <c r="F117" s="26">
        <f t="shared" si="136"/>
        <v>0</v>
      </c>
      <c r="G117" s="24"/>
      <c r="H117" s="25"/>
      <c r="I117" s="25"/>
      <c r="J117" s="25"/>
      <c r="K117" s="26">
        <f t="shared" si="140"/>
        <v>0</v>
      </c>
      <c r="L117" s="26">
        <f t="shared" si="137"/>
        <v>0</v>
      </c>
      <c r="M117" s="55"/>
      <c r="N117"/>
      <c r="O117"/>
      <c r="P117"/>
      <c r="R117" s="65"/>
      <c r="S117" s="30" t="s">
        <v>95</v>
      </c>
      <c r="T117" s="24"/>
      <c r="U117" s="25"/>
      <c r="V117" s="25"/>
      <c r="W117" s="25"/>
      <c r="X117" s="26">
        <f t="shared" si="138"/>
        <v>0</v>
      </c>
      <c r="Y117" s="24"/>
      <c r="Z117" s="25"/>
      <c r="AA117" s="25"/>
      <c r="AB117" s="25">
        <v>1</v>
      </c>
      <c r="AC117" s="26">
        <f t="shared" si="142"/>
        <v>1</v>
      </c>
      <c r="AD117" s="26">
        <f t="shared" si="139"/>
        <v>1</v>
      </c>
      <c r="AE117" s="141">
        <v>45509</v>
      </c>
      <c r="AF117" s="142"/>
      <c r="AG117" s="73"/>
      <c r="AH117"/>
    </row>
    <row r="118" spans="1:34" s="50" customFormat="1" x14ac:dyDescent="0.15">
      <c r="A118" s="35"/>
      <c r="B118" s="27"/>
      <c r="C118" s="28"/>
      <c r="D118" s="28"/>
      <c r="E118" s="28"/>
      <c r="F118" s="26">
        <f t="shared" si="136"/>
        <v>0</v>
      </c>
      <c r="G118" s="27"/>
      <c r="H118" s="28"/>
      <c r="I118" s="28"/>
      <c r="J118" s="28"/>
      <c r="K118" s="26">
        <f t="shared" si="140"/>
        <v>0</v>
      </c>
      <c r="L118" s="26">
        <f t="shared" si="137"/>
        <v>0</v>
      </c>
      <c r="M118" s="55"/>
      <c r="N118"/>
      <c r="O118"/>
      <c r="P118"/>
      <c r="R118" s="65"/>
      <c r="S118" s="30" t="s">
        <v>96</v>
      </c>
      <c r="T118" s="24"/>
      <c r="U118" s="25"/>
      <c r="V118" s="25"/>
      <c r="W118" s="25">
        <v>1</v>
      </c>
      <c r="X118" s="26">
        <f t="shared" ref="X118:X122" si="143">SUM(T118:W118)</f>
        <v>1</v>
      </c>
      <c r="Y118" s="24"/>
      <c r="Z118" s="25"/>
      <c r="AA118" s="25">
        <v>1</v>
      </c>
      <c r="AB118" s="25">
        <v>2</v>
      </c>
      <c r="AC118" s="26">
        <f t="shared" ref="AC118:AC122" si="144">SUM(Y118:AB118)</f>
        <v>3</v>
      </c>
      <c r="AD118" s="26">
        <f t="shared" si="139"/>
        <v>4</v>
      </c>
      <c r="AE118" s="141">
        <v>45509</v>
      </c>
      <c r="AF118" s="142"/>
      <c r="AG118" s="73"/>
      <c r="AH118"/>
    </row>
    <row r="119" spans="1:34" s="50" customFormat="1" x14ac:dyDescent="0.15">
      <c r="A119" s="35"/>
      <c r="B119" s="24"/>
      <c r="C119" s="25"/>
      <c r="D119" s="25"/>
      <c r="E119" s="25"/>
      <c r="F119" s="26">
        <f t="shared" si="136"/>
        <v>0</v>
      </c>
      <c r="G119" s="24"/>
      <c r="H119" s="25"/>
      <c r="I119" s="25"/>
      <c r="J119" s="25"/>
      <c r="K119" s="26">
        <f t="shared" si="140"/>
        <v>0</v>
      </c>
      <c r="L119" s="26">
        <f t="shared" si="137"/>
        <v>0</v>
      </c>
      <c r="M119" s="55"/>
      <c r="N119"/>
      <c r="O119"/>
      <c r="P119"/>
      <c r="R119" s="65"/>
      <c r="S119" s="31" t="s">
        <v>91</v>
      </c>
      <c r="T119" s="24"/>
      <c r="U119" s="25"/>
      <c r="V119" s="25"/>
      <c r="W119" s="25"/>
      <c r="X119" s="26">
        <f t="shared" si="143"/>
        <v>0</v>
      </c>
      <c r="Y119" s="24"/>
      <c r="Z119" s="25"/>
      <c r="AA119" s="25"/>
      <c r="AB119" s="25">
        <v>5</v>
      </c>
      <c r="AC119" s="26">
        <f t="shared" si="144"/>
        <v>5</v>
      </c>
      <c r="AD119" s="26">
        <f t="shared" si="139"/>
        <v>5</v>
      </c>
      <c r="AE119" s="141">
        <v>45506</v>
      </c>
      <c r="AF119" s="142"/>
      <c r="AG119" s="73"/>
      <c r="AH119"/>
    </row>
    <row r="120" spans="1:34" s="50" customFormat="1" x14ac:dyDescent="0.15">
      <c r="A120" s="35"/>
      <c r="B120" s="24"/>
      <c r="C120" s="25"/>
      <c r="D120" s="25"/>
      <c r="E120" s="25"/>
      <c r="F120" s="26">
        <f t="shared" si="136"/>
        <v>0</v>
      </c>
      <c r="G120" s="24"/>
      <c r="H120" s="25"/>
      <c r="I120" s="25"/>
      <c r="J120" s="25"/>
      <c r="K120" s="26">
        <f t="shared" si="140"/>
        <v>0</v>
      </c>
      <c r="L120" s="26">
        <f t="shared" si="137"/>
        <v>0</v>
      </c>
      <c r="M120" s="55"/>
      <c r="N120"/>
      <c r="O120"/>
      <c r="P120"/>
      <c r="R120" s="65"/>
      <c r="S120" s="30" t="s">
        <v>31</v>
      </c>
      <c r="T120" s="24"/>
      <c r="U120" s="25"/>
      <c r="V120" s="25"/>
      <c r="W120" s="25"/>
      <c r="X120" s="26">
        <f t="shared" si="143"/>
        <v>0</v>
      </c>
      <c r="Y120" s="24">
        <v>2</v>
      </c>
      <c r="Z120" s="25">
        <v>2</v>
      </c>
      <c r="AA120" s="25"/>
      <c r="AB120" s="25">
        <v>2</v>
      </c>
      <c r="AC120" s="26">
        <f t="shared" si="144"/>
        <v>6</v>
      </c>
      <c r="AD120" s="26">
        <f t="shared" si="139"/>
        <v>6</v>
      </c>
      <c r="AE120" s="141">
        <v>45505</v>
      </c>
      <c r="AF120" s="142"/>
      <c r="AG120" s="73"/>
      <c r="AH120"/>
    </row>
    <row r="121" spans="1:34" s="50" customFormat="1" x14ac:dyDescent="0.15">
      <c r="A121" s="56"/>
      <c r="B121" s="24"/>
      <c r="C121" s="25"/>
      <c r="D121" s="25"/>
      <c r="E121" s="25"/>
      <c r="F121" s="26">
        <f t="shared" si="136"/>
        <v>0</v>
      </c>
      <c r="G121" s="24"/>
      <c r="H121" s="25"/>
      <c r="I121" s="25"/>
      <c r="J121" s="25"/>
      <c r="K121" s="26">
        <f t="shared" si="140"/>
        <v>0</v>
      </c>
      <c r="L121" s="26">
        <f t="shared" si="137"/>
        <v>0</v>
      </c>
      <c r="M121" s="55"/>
      <c r="N121"/>
      <c r="O121"/>
      <c r="P121"/>
      <c r="R121" s="65"/>
      <c r="S121" s="30" t="s">
        <v>31</v>
      </c>
      <c r="T121" s="24"/>
      <c r="U121" s="25"/>
      <c r="V121" s="25"/>
      <c r="W121" s="25"/>
      <c r="X121" s="26">
        <f t="shared" si="143"/>
        <v>0</v>
      </c>
      <c r="Y121" s="24"/>
      <c r="Z121" s="25">
        <v>3</v>
      </c>
      <c r="AA121" s="25">
        <v>3</v>
      </c>
      <c r="AB121" s="25"/>
      <c r="AC121" s="26">
        <f t="shared" si="144"/>
        <v>6</v>
      </c>
      <c r="AD121" s="26">
        <f t="shared" si="139"/>
        <v>6</v>
      </c>
      <c r="AE121" s="141">
        <v>45506</v>
      </c>
      <c r="AF121" s="142"/>
      <c r="AG121" s="73"/>
      <c r="AH121"/>
    </row>
    <row r="122" spans="1:34" s="50" customFormat="1" ht="14.25" thickBot="1" x14ac:dyDescent="0.2">
      <c r="A122" s="57"/>
      <c r="B122" s="10"/>
      <c r="C122" s="11"/>
      <c r="D122" s="11"/>
      <c r="E122" s="11"/>
      <c r="F122" s="9">
        <f t="shared" si="136"/>
        <v>0</v>
      </c>
      <c r="G122" s="10"/>
      <c r="H122" s="11"/>
      <c r="I122" s="11"/>
      <c r="J122" s="11"/>
      <c r="K122" s="9">
        <f t="shared" si="140"/>
        <v>0</v>
      </c>
      <c r="L122" s="43">
        <f t="shared" si="137"/>
        <v>0</v>
      </c>
      <c r="M122" s="55"/>
      <c r="N122"/>
      <c r="O122"/>
      <c r="P122"/>
      <c r="R122" s="65"/>
      <c r="S122" s="30" t="s">
        <v>31</v>
      </c>
      <c r="T122" s="24"/>
      <c r="U122" s="25">
        <v>3</v>
      </c>
      <c r="V122" s="25"/>
      <c r="W122" s="25"/>
      <c r="X122" s="26">
        <f t="shared" si="143"/>
        <v>3</v>
      </c>
      <c r="Y122" s="24"/>
      <c r="Z122" s="25">
        <v>3</v>
      </c>
      <c r="AA122" s="25"/>
      <c r="AB122" s="25"/>
      <c r="AC122" s="26">
        <f t="shared" si="144"/>
        <v>3</v>
      </c>
      <c r="AD122" s="26">
        <f t="shared" si="139"/>
        <v>6</v>
      </c>
      <c r="AE122" s="141">
        <v>45510</v>
      </c>
      <c r="AF122" s="142"/>
      <c r="AG122" s="73"/>
      <c r="AH122"/>
    </row>
    <row r="123" spans="1:34" ht="15" thickBot="1" x14ac:dyDescent="0.2">
      <c r="A123" s="5" t="s">
        <v>14</v>
      </c>
      <c r="B123" s="12">
        <f>SUM(B97:B122)</f>
        <v>0</v>
      </c>
      <c r="C123" s="13">
        <f t="shared" ref="C123" si="145">SUM(C97:C122)</f>
        <v>4</v>
      </c>
      <c r="D123" s="13">
        <f t="shared" ref="D123" si="146">SUM(D97:D122)</f>
        <v>1</v>
      </c>
      <c r="E123" s="14">
        <f t="shared" ref="E123" si="147">SUM(E97:E122)</f>
        <v>4</v>
      </c>
      <c r="F123" s="8">
        <f t="shared" ref="F123" si="148">SUM(F97:F122)</f>
        <v>9</v>
      </c>
      <c r="G123" s="12">
        <f t="shared" ref="G123" si="149">SUM(G97:G122)</f>
        <v>6</v>
      </c>
      <c r="H123" s="13">
        <f t="shared" ref="H123" si="150">SUM(H97:H122)</f>
        <v>13</v>
      </c>
      <c r="I123" s="13">
        <f t="shared" ref="I123" si="151">SUM(I97:I122)</f>
        <v>11</v>
      </c>
      <c r="J123" s="14">
        <f t="shared" ref="J123" si="152">SUM(J97:J122)</f>
        <v>7</v>
      </c>
      <c r="K123" s="8">
        <f t="shared" ref="K123" si="153">SUM(K97:K122)</f>
        <v>37</v>
      </c>
      <c r="L123" s="34">
        <f t="shared" ref="L123" si="154">SUM(L97:L122)</f>
        <v>46</v>
      </c>
      <c r="M123" s="54"/>
      <c r="S123" s="5" t="s">
        <v>14</v>
      </c>
      <c r="T123" s="12">
        <f>SUM(T97:T122)</f>
        <v>5</v>
      </c>
      <c r="U123" s="13">
        <f t="shared" ref="U123" si="155">SUM(U97:U122)</f>
        <v>6</v>
      </c>
      <c r="V123" s="13">
        <f t="shared" ref="V123" si="156">SUM(V97:V122)</f>
        <v>3</v>
      </c>
      <c r="W123" s="14">
        <f t="shared" ref="W123" si="157">SUM(W97:W122)</f>
        <v>10</v>
      </c>
      <c r="X123" s="8">
        <f>SUM(X97:X122)</f>
        <v>24</v>
      </c>
      <c r="Y123" s="12">
        <f>SUM(Y97:Y122)</f>
        <v>26</v>
      </c>
      <c r="Z123" s="13">
        <f t="shared" ref="Z123" si="158">SUM(Z97:Z122)</f>
        <v>30</v>
      </c>
      <c r="AA123" s="13">
        <f t="shared" ref="AA123" si="159">SUM(AA97:AA122)</f>
        <v>31</v>
      </c>
      <c r="AB123" s="14">
        <f t="shared" ref="AB123" si="160">SUM(AB97:AB122)</f>
        <v>45</v>
      </c>
      <c r="AC123" s="8">
        <f>SUM(AC97:AC122)</f>
        <v>132</v>
      </c>
      <c r="AD123" s="34">
        <f>SUM(AD97:AD122)</f>
        <v>156</v>
      </c>
      <c r="AE123" s="53"/>
      <c r="AF123" s="53"/>
    </row>
    <row r="124" spans="1:34" ht="14.25" thickBot="1" x14ac:dyDescent="0.2">
      <c r="A124" s="15" t="s">
        <v>15</v>
      </c>
      <c r="B124" s="16">
        <f>B96-B123</f>
        <v>5</v>
      </c>
      <c r="C124" s="17">
        <f>C96-C123</f>
        <v>4</v>
      </c>
      <c r="D124" s="17">
        <f t="shared" ref="D124" si="161">D96-D123</f>
        <v>6</v>
      </c>
      <c r="E124" s="18">
        <f t="shared" ref="E124:K124" si="162">E96-E123</f>
        <v>4</v>
      </c>
      <c r="F124" s="44">
        <f t="shared" si="162"/>
        <v>19</v>
      </c>
      <c r="G124" s="16">
        <f t="shared" si="162"/>
        <v>5</v>
      </c>
      <c r="H124" s="17">
        <f t="shared" si="162"/>
        <v>5</v>
      </c>
      <c r="I124" s="17">
        <f t="shared" si="162"/>
        <v>6</v>
      </c>
      <c r="J124" s="18">
        <f t="shared" si="162"/>
        <v>5</v>
      </c>
      <c r="K124" s="44">
        <f t="shared" si="162"/>
        <v>21</v>
      </c>
      <c r="L124" s="34">
        <f>L96-L123</f>
        <v>40</v>
      </c>
      <c r="M124" s="54"/>
      <c r="S124" s="15" t="s">
        <v>15</v>
      </c>
      <c r="T124" s="16">
        <f>T96-T123</f>
        <v>104</v>
      </c>
      <c r="U124" s="17">
        <f t="shared" ref="U124" si="163">U96-U123</f>
        <v>118</v>
      </c>
      <c r="V124" s="17">
        <f t="shared" ref="V124" si="164">V96-V123</f>
        <v>84</v>
      </c>
      <c r="W124" s="18">
        <f t="shared" ref="W124" si="165">W96-W123</f>
        <v>57</v>
      </c>
      <c r="X124" s="44">
        <f>X96-X123</f>
        <v>363</v>
      </c>
      <c r="Y124" s="16">
        <f>Y96-Y123</f>
        <v>121</v>
      </c>
      <c r="Z124" s="17">
        <f t="shared" ref="Z124" si="166">Z96-Z123</f>
        <v>128</v>
      </c>
      <c r="AA124" s="17">
        <f t="shared" ref="AA124" si="167">AA96-AA123</f>
        <v>103</v>
      </c>
      <c r="AB124" s="18">
        <f t="shared" ref="AB124" si="168">AB96-AB123</f>
        <v>84</v>
      </c>
      <c r="AC124" s="44">
        <f>AC96-AC123</f>
        <v>436</v>
      </c>
      <c r="AD124" s="34">
        <f>AD96-AD123</f>
        <v>799</v>
      </c>
      <c r="AE124" s="53"/>
      <c r="AF124" s="53"/>
    </row>
    <row r="125" spans="1:34" x14ac:dyDescent="0.15">
      <c r="M125" s="54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spans="1:34" x14ac:dyDescent="0.15">
      <c r="M126" s="54"/>
    </row>
    <row r="127" spans="1:34" ht="19.5" thickBot="1" x14ac:dyDescent="0.25">
      <c r="A127" s="58" t="s">
        <v>1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4"/>
      <c r="S127" s="58" t="s">
        <v>8</v>
      </c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3"/>
      <c r="AF127" s="53"/>
    </row>
    <row r="128" spans="1:34" ht="14.25" thickBot="1" x14ac:dyDescent="0.2">
      <c r="A128" s="52" t="s">
        <v>9</v>
      </c>
      <c r="B128" s="130" t="s">
        <v>10</v>
      </c>
      <c r="C128" s="131"/>
      <c r="D128" s="131"/>
      <c r="E128" s="131"/>
      <c r="F128" s="132"/>
      <c r="G128" s="133" t="s">
        <v>11</v>
      </c>
      <c r="H128" s="134"/>
      <c r="I128" s="134"/>
      <c r="J128" s="134"/>
      <c r="K128" s="135"/>
      <c r="L128" s="139" t="s">
        <v>7</v>
      </c>
      <c r="M128" s="54"/>
      <c r="S128" s="52" t="s">
        <v>9</v>
      </c>
      <c r="T128" s="130" t="s">
        <v>10</v>
      </c>
      <c r="U128" s="131"/>
      <c r="V128" s="131"/>
      <c r="W128" s="131"/>
      <c r="X128" s="132"/>
      <c r="Y128" s="133" t="s">
        <v>11</v>
      </c>
      <c r="Z128" s="134"/>
      <c r="AA128" s="134"/>
      <c r="AB128" s="134"/>
      <c r="AC128" s="135"/>
      <c r="AD128" s="139" t="s">
        <v>7</v>
      </c>
      <c r="AE128" s="53"/>
      <c r="AF128" s="53"/>
    </row>
    <row r="129" spans="1:32" ht="14.25" thickBot="1" x14ac:dyDescent="0.2">
      <c r="A129" s="52" t="s">
        <v>2</v>
      </c>
      <c r="B129" s="2" t="s">
        <v>3</v>
      </c>
      <c r="C129" s="3" t="s">
        <v>4</v>
      </c>
      <c r="D129" s="3" t="s">
        <v>5</v>
      </c>
      <c r="E129" s="4" t="s">
        <v>6</v>
      </c>
      <c r="F129" s="1" t="s">
        <v>0</v>
      </c>
      <c r="G129" s="2" t="s">
        <v>3</v>
      </c>
      <c r="H129" s="3" t="s">
        <v>4</v>
      </c>
      <c r="I129" s="3" t="s">
        <v>5</v>
      </c>
      <c r="J129" s="4" t="s">
        <v>6</v>
      </c>
      <c r="K129" s="1" t="s">
        <v>0</v>
      </c>
      <c r="L129" s="140"/>
      <c r="M129" s="54"/>
      <c r="S129" s="52" t="s">
        <v>2</v>
      </c>
      <c r="T129" s="2" t="s">
        <v>3</v>
      </c>
      <c r="U129" s="3" t="s">
        <v>4</v>
      </c>
      <c r="V129" s="3" t="s">
        <v>5</v>
      </c>
      <c r="W129" s="4" t="s">
        <v>6</v>
      </c>
      <c r="X129" s="1" t="s">
        <v>0</v>
      </c>
      <c r="Y129" s="2" t="s">
        <v>3</v>
      </c>
      <c r="Z129" s="3" t="s">
        <v>4</v>
      </c>
      <c r="AA129" s="3" t="s">
        <v>5</v>
      </c>
      <c r="AB129" s="4" t="s">
        <v>6</v>
      </c>
      <c r="AC129" s="1" t="s">
        <v>0</v>
      </c>
      <c r="AD129" s="140"/>
      <c r="AE129" s="53"/>
      <c r="AF129" s="53"/>
    </row>
    <row r="130" spans="1:32" ht="14.25" x14ac:dyDescent="0.15">
      <c r="A130" s="45" t="s">
        <v>16</v>
      </c>
      <c r="B130" s="32">
        <f>B124</f>
        <v>5</v>
      </c>
      <c r="C130" s="32">
        <f t="shared" ref="C130:K130" si="169">C124</f>
        <v>4</v>
      </c>
      <c r="D130" s="32">
        <f t="shared" si="169"/>
        <v>6</v>
      </c>
      <c r="E130" s="38">
        <f t="shared" si="169"/>
        <v>4</v>
      </c>
      <c r="F130" s="33">
        <f t="shared" si="169"/>
        <v>19</v>
      </c>
      <c r="G130" s="32">
        <f t="shared" si="169"/>
        <v>5</v>
      </c>
      <c r="H130" s="32">
        <f t="shared" si="169"/>
        <v>5</v>
      </c>
      <c r="I130" s="32">
        <f t="shared" si="169"/>
        <v>6</v>
      </c>
      <c r="J130" s="38">
        <f t="shared" si="169"/>
        <v>5</v>
      </c>
      <c r="K130" s="33">
        <f t="shared" si="169"/>
        <v>21</v>
      </c>
      <c r="L130" s="33">
        <f>L124</f>
        <v>40</v>
      </c>
      <c r="M130" s="54"/>
      <c r="S130" s="45" t="s">
        <v>16</v>
      </c>
      <c r="T130" s="32">
        <f>T124</f>
        <v>104</v>
      </c>
      <c r="U130" s="32">
        <f t="shared" ref="U130:AC130" si="170">U124</f>
        <v>118</v>
      </c>
      <c r="V130" s="32">
        <f t="shared" si="170"/>
        <v>84</v>
      </c>
      <c r="W130" s="38">
        <f t="shared" si="170"/>
        <v>57</v>
      </c>
      <c r="X130" s="33">
        <f t="shared" si="170"/>
        <v>363</v>
      </c>
      <c r="Y130" s="32">
        <f t="shared" si="170"/>
        <v>121</v>
      </c>
      <c r="Z130" s="32">
        <f t="shared" si="170"/>
        <v>128</v>
      </c>
      <c r="AA130" s="32">
        <f t="shared" si="170"/>
        <v>103</v>
      </c>
      <c r="AB130" s="38">
        <f t="shared" si="170"/>
        <v>84</v>
      </c>
      <c r="AC130" s="33">
        <f t="shared" si="170"/>
        <v>436</v>
      </c>
      <c r="AD130" s="33">
        <f>AD124</f>
        <v>799</v>
      </c>
      <c r="AE130" s="53"/>
      <c r="AF130" s="53"/>
    </row>
    <row r="131" spans="1:32" x14ac:dyDescent="0.15">
      <c r="A131" s="23" t="s">
        <v>17</v>
      </c>
      <c r="B131" s="24"/>
      <c r="C131" s="36"/>
      <c r="D131" s="36"/>
      <c r="E131" s="41"/>
      <c r="F131" s="26">
        <f t="shared" ref="F131:F134" si="171">SUM(B131:E131)</f>
        <v>0</v>
      </c>
      <c r="G131" s="25"/>
      <c r="H131" s="36"/>
      <c r="I131" s="36"/>
      <c r="J131" s="41">
        <v>5</v>
      </c>
      <c r="K131" s="26">
        <f t="shared" ref="K131:K134" si="172">SUM(G131:J131)</f>
        <v>5</v>
      </c>
      <c r="L131" s="26">
        <f t="shared" ref="L131:L137" si="173">F131+K131</f>
        <v>5</v>
      </c>
      <c r="M131" s="55">
        <v>45514</v>
      </c>
      <c r="S131" s="23" t="s">
        <v>118</v>
      </c>
      <c r="T131" s="25">
        <v>3</v>
      </c>
      <c r="U131" s="25">
        <v>2</v>
      </c>
      <c r="V131" s="25">
        <v>3</v>
      </c>
      <c r="W131" s="39">
        <v>3</v>
      </c>
      <c r="X131" s="22">
        <f t="shared" ref="X131" si="174">SUM(T131:W131)</f>
        <v>11</v>
      </c>
      <c r="Y131" s="25">
        <v>3</v>
      </c>
      <c r="Z131" s="25">
        <v>4</v>
      </c>
      <c r="AA131" s="25">
        <v>2</v>
      </c>
      <c r="AB131" s="39">
        <v>3</v>
      </c>
      <c r="AC131" s="22">
        <f t="shared" ref="AC131" si="175">SUM(Y131:AB131)</f>
        <v>12</v>
      </c>
      <c r="AD131" s="26">
        <f t="shared" ref="AD131" si="176">X131+AC131</f>
        <v>23</v>
      </c>
      <c r="AE131" s="141">
        <v>45570</v>
      </c>
      <c r="AF131" s="142"/>
    </row>
    <row r="132" spans="1:32" x14ac:dyDescent="0.15">
      <c r="A132" s="23" t="s">
        <v>34</v>
      </c>
      <c r="B132" s="24"/>
      <c r="C132" s="36"/>
      <c r="D132" s="36"/>
      <c r="E132" s="41"/>
      <c r="F132" s="26">
        <f t="shared" si="171"/>
        <v>0</v>
      </c>
      <c r="G132" s="25"/>
      <c r="H132" s="36">
        <v>2</v>
      </c>
      <c r="I132" s="36">
        <v>1</v>
      </c>
      <c r="J132" s="41"/>
      <c r="K132" s="26">
        <f t="shared" si="172"/>
        <v>3</v>
      </c>
      <c r="L132" s="26">
        <f t="shared" si="173"/>
        <v>3</v>
      </c>
      <c r="M132" s="55">
        <v>45525</v>
      </c>
      <c r="S132" s="23" t="s">
        <v>17</v>
      </c>
      <c r="T132" s="25"/>
      <c r="U132" s="25"/>
      <c r="V132" s="25"/>
      <c r="W132" s="39"/>
      <c r="X132" s="22">
        <f t="shared" ref="X132:X137" si="177">SUM(T132:W132)</f>
        <v>0</v>
      </c>
      <c r="Y132" s="25"/>
      <c r="Z132" s="25"/>
      <c r="AA132" s="25"/>
      <c r="AB132" s="39"/>
      <c r="AC132" s="22">
        <f t="shared" ref="AC132:AC137" si="178">SUM(Y132:AB132)</f>
        <v>0</v>
      </c>
      <c r="AD132" s="26">
        <f t="shared" ref="AD132:AD137" si="179">X132+AC132</f>
        <v>0</v>
      </c>
      <c r="AE132" s="64"/>
      <c r="AF132" s="53"/>
    </row>
    <row r="133" spans="1:32" x14ac:dyDescent="0.15">
      <c r="A133" s="23" t="s">
        <v>53</v>
      </c>
      <c r="B133" s="24">
        <v>0</v>
      </c>
      <c r="C133" s="36">
        <v>0</v>
      </c>
      <c r="D133" s="36">
        <v>0</v>
      </c>
      <c r="E133" s="41">
        <v>0</v>
      </c>
      <c r="F133" s="26">
        <f t="shared" si="171"/>
        <v>0</v>
      </c>
      <c r="G133" s="25"/>
      <c r="H133" s="36"/>
      <c r="I133" s="36"/>
      <c r="J133" s="41">
        <v>2</v>
      </c>
      <c r="K133" s="26">
        <f t="shared" si="172"/>
        <v>2</v>
      </c>
      <c r="L133" s="26">
        <f t="shared" si="173"/>
        <v>2</v>
      </c>
      <c r="M133" s="55">
        <v>45530</v>
      </c>
      <c r="S133" s="23" t="s">
        <v>17</v>
      </c>
      <c r="T133" s="25"/>
      <c r="U133" s="25"/>
      <c r="V133" s="25"/>
      <c r="W133" s="39"/>
      <c r="X133" s="22">
        <f t="shared" si="177"/>
        <v>0</v>
      </c>
      <c r="Y133" s="25"/>
      <c r="Z133" s="25"/>
      <c r="AA133" s="25"/>
      <c r="AB133" s="39"/>
      <c r="AC133" s="22">
        <f t="shared" si="178"/>
        <v>0</v>
      </c>
      <c r="AD133" s="26">
        <f t="shared" si="179"/>
        <v>0</v>
      </c>
      <c r="AE133" s="64"/>
      <c r="AF133" s="53"/>
    </row>
    <row r="134" spans="1:32" x14ac:dyDescent="0.15">
      <c r="A134" s="23" t="s">
        <v>17</v>
      </c>
      <c r="B134" s="24"/>
      <c r="C134" s="36"/>
      <c r="D134" s="36"/>
      <c r="E134" s="41"/>
      <c r="F134" s="26">
        <f t="shared" si="171"/>
        <v>0</v>
      </c>
      <c r="G134" s="25"/>
      <c r="H134" s="36"/>
      <c r="I134" s="36">
        <v>3</v>
      </c>
      <c r="J134" s="41"/>
      <c r="K134" s="26">
        <f t="shared" si="172"/>
        <v>3</v>
      </c>
      <c r="L134" s="26">
        <f t="shared" si="173"/>
        <v>3</v>
      </c>
      <c r="M134" s="55">
        <v>45547</v>
      </c>
      <c r="S134" s="23" t="s">
        <v>17</v>
      </c>
      <c r="T134" s="28"/>
      <c r="U134" s="28"/>
      <c r="V134" s="28"/>
      <c r="W134" s="40"/>
      <c r="X134" s="29">
        <f t="shared" si="177"/>
        <v>0</v>
      </c>
      <c r="Y134" s="28"/>
      <c r="Z134" s="28"/>
      <c r="AA134" s="28"/>
      <c r="AB134" s="40"/>
      <c r="AC134" s="29">
        <f t="shared" si="178"/>
        <v>0</v>
      </c>
      <c r="AD134" s="26">
        <f t="shared" si="179"/>
        <v>0</v>
      </c>
      <c r="AE134" s="64"/>
      <c r="AF134" s="53"/>
    </row>
    <row r="135" spans="1:32" x14ac:dyDescent="0.15">
      <c r="A135" s="23" t="s">
        <v>34</v>
      </c>
      <c r="B135" s="24"/>
      <c r="C135" s="36"/>
      <c r="D135" s="36"/>
      <c r="E135" s="41">
        <v>1</v>
      </c>
      <c r="F135" s="26">
        <f t="shared" ref="F135:F137" si="180">SUM(B135:E135)</f>
        <v>1</v>
      </c>
      <c r="G135" s="25"/>
      <c r="H135" s="36"/>
      <c r="I135" s="36"/>
      <c r="J135" s="41"/>
      <c r="K135" s="26">
        <f t="shared" ref="K135:K137" si="181">SUM(G135:J135)</f>
        <v>0</v>
      </c>
      <c r="L135" s="26">
        <f t="shared" si="173"/>
        <v>1</v>
      </c>
      <c r="M135" s="55">
        <v>45555</v>
      </c>
      <c r="S135" s="23" t="s">
        <v>17</v>
      </c>
      <c r="T135" s="25"/>
      <c r="U135" s="36"/>
      <c r="V135" s="36"/>
      <c r="W135" s="41"/>
      <c r="X135" s="26">
        <f t="shared" si="177"/>
        <v>0</v>
      </c>
      <c r="Y135" s="25"/>
      <c r="Z135" s="36"/>
      <c r="AA135" s="36"/>
      <c r="AB135" s="41"/>
      <c r="AC135" s="26">
        <f t="shared" si="178"/>
        <v>0</v>
      </c>
      <c r="AD135" s="26">
        <f t="shared" si="179"/>
        <v>0</v>
      </c>
      <c r="AE135" s="64"/>
      <c r="AF135" s="53"/>
    </row>
    <row r="136" spans="1:32" x14ac:dyDescent="0.15">
      <c r="A136" s="23" t="s">
        <v>17</v>
      </c>
      <c r="B136" s="24"/>
      <c r="C136" s="36"/>
      <c r="D136" s="36"/>
      <c r="E136" s="41"/>
      <c r="F136" s="26">
        <f t="shared" si="180"/>
        <v>0</v>
      </c>
      <c r="G136" s="25"/>
      <c r="H136" s="36"/>
      <c r="I136" s="36"/>
      <c r="J136" s="41"/>
      <c r="K136" s="26">
        <f t="shared" si="181"/>
        <v>0</v>
      </c>
      <c r="L136" s="26">
        <f t="shared" si="173"/>
        <v>0</v>
      </c>
      <c r="M136" s="55"/>
      <c r="S136" s="23" t="s">
        <v>17</v>
      </c>
      <c r="T136" s="25"/>
      <c r="U136" s="36"/>
      <c r="V136" s="36"/>
      <c r="W136" s="41"/>
      <c r="X136" s="26">
        <f t="shared" si="177"/>
        <v>0</v>
      </c>
      <c r="Y136" s="25"/>
      <c r="Z136" s="36"/>
      <c r="AA136" s="36"/>
      <c r="AB136" s="41"/>
      <c r="AC136" s="26">
        <f t="shared" si="178"/>
        <v>0</v>
      </c>
      <c r="AD136" s="26">
        <f t="shared" si="179"/>
        <v>0</v>
      </c>
      <c r="AE136" s="64"/>
      <c r="AF136" s="53"/>
    </row>
    <row r="137" spans="1:32" ht="14.25" thickBot="1" x14ac:dyDescent="0.2">
      <c r="A137" s="23" t="s">
        <v>53</v>
      </c>
      <c r="B137" s="27"/>
      <c r="C137" s="37"/>
      <c r="D137" s="37"/>
      <c r="E137" s="42"/>
      <c r="F137" s="43">
        <f t="shared" si="180"/>
        <v>0</v>
      </c>
      <c r="G137" s="28">
        <v>2</v>
      </c>
      <c r="H137" s="37">
        <v>2</v>
      </c>
      <c r="I137" s="37"/>
      <c r="J137" s="42">
        <v>-1</v>
      </c>
      <c r="K137" s="43">
        <f t="shared" si="181"/>
        <v>3</v>
      </c>
      <c r="L137" s="43">
        <f t="shared" si="173"/>
        <v>3</v>
      </c>
      <c r="M137" s="55">
        <v>45566</v>
      </c>
      <c r="S137" s="23" t="s">
        <v>17</v>
      </c>
      <c r="T137" s="28"/>
      <c r="U137" s="37"/>
      <c r="V137" s="37"/>
      <c r="W137" s="42"/>
      <c r="X137" s="43">
        <f t="shared" si="177"/>
        <v>0</v>
      </c>
      <c r="Y137" s="28"/>
      <c r="Z137" s="37"/>
      <c r="AA137" s="37"/>
      <c r="AB137" s="42"/>
      <c r="AC137" s="43">
        <f t="shared" si="178"/>
        <v>0</v>
      </c>
      <c r="AD137" s="43">
        <f t="shared" si="179"/>
        <v>0</v>
      </c>
      <c r="AE137" s="65"/>
      <c r="AF137" s="53"/>
    </row>
    <row r="138" spans="1:32" ht="15" thickBot="1" x14ac:dyDescent="0.2">
      <c r="A138" s="46" t="s">
        <v>13</v>
      </c>
      <c r="B138" s="47">
        <f>SUM(B130:B137)</f>
        <v>5</v>
      </c>
      <c r="C138" s="48">
        <f t="shared" ref="C138:K138" si="182">SUM(C130:C137)</f>
        <v>4</v>
      </c>
      <c r="D138" s="48">
        <f t="shared" si="182"/>
        <v>6</v>
      </c>
      <c r="E138" s="49">
        <f t="shared" si="182"/>
        <v>5</v>
      </c>
      <c r="F138" s="34">
        <f t="shared" si="182"/>
        <v>20</v>
      </c>
      <c r="G138" s="47">
        <f t="shared" si="182"/>
        <v>7</v>
      </c>
      <c r="H138" s="48">
        <f t="shared" si="182"/>
        <v>9</v>
      </c>
      <c r="I138" s="48">
        <f t="shared" si="182"/>
        <v>10</v>
      </c>
      <c r="J138" s="49">
        <f t="shared" si="182"/>
        <v>11</v>
      </c>
      <c r="K138" s="34">
        <f t="shared" si="182"/>
        <v>37</v>
      </c>
      <c r="L138" s="34">
        <f>SUM(L130:L137)</f>
        <v>57</v>
      </c>
      <c r="M138" s="54"/>
      <c r="S138" s="46" t="s">
        <v>13</v>
      </c>
      <c r="T138" s="47">
        <f>SUM(T130:T137)</f>
        <v>107</v>
      </c>
      <c r="U138" s="48">
        <f t="shared" ref="U138" si="183">SUM(U130:U137)</f>
        <v>120</v>
      </c>
      <c r="V138" s="48">
        <f t="shared" ref="V138" si="184">SUM(V130:V137)</f>
        <v>87</v>
      </c>
      <c r="W138" s="49">
        <f t="shared" ref="W138" si="185">SUM(W130:W137)</f>
        <v>60</v>
      </c>
      <c r="X138" s="34">
        <f>SUM(X130:X137)</f>
        <v>374</v>
      </c>
      <c r="Y138" s="47">
        <f>SUM(Y130:Y137)</f>
        <v>124</v>
      </c>
      <c r="Z138" s="48">
        <f t="shared" ref="Z138" si="186">SUM(Z130:Z137)</f>
        <v>132</v>
      </c>
      <c r="AA138" s="48">
        <f t="shared" ref="AA138" si="187">SUM(AA130:AA137)</f>
        <v>105</v>
      </c>
      <c r="AB138" s="49">
        <f t="shared" ref="AB138" si="188">SUM(AB130:AB137)</f>
        <v>87</v>
      </c>
      <c r="AC138" s="34">
        <f>SUM(AC130:AC137)</f>
        <v>448</v>
      </c>
      <c r="AD138" s="34">
        <f>SUM(AD130:AD137)</f>
        <v>822</v>
      </c>
      <c r="AE138" s="53"/>
      <c r="AF138" s="53"/>
    </row>
    <row r="139" spans="1:32" x14ac:dyDescent="0.15">
      <c r="A139" s="35" t="s">
        <v>37</v>
      </c>
      <c r="B139" s="24"/>
      <c r="C139" s="25"/>
      <c r="D139" s="25"/>
      <c r="E139" s="25"/>
      <c r="F139" s="26">
        <f t="shared" ref="F139:F149" si="189">SUM(B139:E139)</f>
        <v>0</v>
      </c>
      <c r="G139" s="24"/>
      <c r="H139" s="25"/>
      <c r="I139" s="25"/>
      <c r="J139" s="25">
        <v>1</v>
      </c>
      <c r="K139" s="26">
        <f t="shared" ref="K139:K149" si="190">SUM(G139:J139)</f>
        <v>1</v>
      </c>
      <c r="L139" s="26">
        <f t="shared" ref="L139:L164" si="191">F139+K139</f>
        <v>1</v>
      </c>
      <c r="M139" s="55">
        <v>45511</v>
      </c>
      <c r="S139" s="31" t="s">
        <v>97</v>
      </c>
      <c r="T139" s="6"/>
      <c r="U139" s="7"/>
      <c r="V139" s="7"/>
      <c r="W139" s="7">
        <v>3</v>
      </c>
      <c r="X139" s="9">
        <f t="shared" ref="X139:X158" si="192">SUM(T139:W139)</f>
        <v>3</v>
      </c>
      <c r="Y139" s="6"/>
      <c r="Z139" s="7"/>
      <c r="AA139" s="7"/>
      <c r="AB139" s="7"/>
      <c r="AC139" s="9">
        <f t="shared" ref="AC139:AC158" si="193">SUM(Y139:AB139)</f>
        <v>0</v>
      </c>
      <c r="AD139" s="26">
        <f t="shared" ref="AD139:AD164" si="194">X139+AC139</f>
        <v>3</v>
      </c>
      <c r="AE139" s="141">
        <v>45510</v>
      </c>
      <c r="AF139" s="142"/>
    </row>
    <row r="140" spans="1:32" x14ac:dyDescent="0.15">
      <c r="A140" s="35" t="s">
        <v>37</v>
      </c>
      <c r="B140" s="24"/>
      <c r="C140" s="25"/>
      <c r="D140" s="25"/>
      <c r="E140" s="25"/>
      <c r="F140" s="26">
        <f t="shared" si="189"/>
        <v>0</v>
      </c>
      <c r="G140" s="24"/>
      <c r="H140" s="25"/>
      <c r="I140" s="25"/>
      <c r="J140" s="25">
        <f>1+2</f>
        <v>3</v>
      </c>
      <c r="K140" s="26">
        <f t="shared" si="190"/>
        <v>3</v>
      </c>
      <c r="L140" s="26">
        <f t="shared" si="191"/>
        <v>3</v>
      </c>
      <c r="M140" s="55">
        <v>45512</v>
      </c>
      <c r="S140" s="31" t="s">
        <v>98</v>
      </c>
      <c r="T140" s="6"/>
      <c r="U140" s="7">
        <v>2</v>
      </c>
      <c r="V140" s="7"/>
      <c r="W140" s="7"/>
      <c r="X140" s="9">
        <f t="shared" si="192"/>
        <v>2</v>
      </c>
      <c r="Y140" s="6"/>
      <c r="Z140" s="7"/>
      <c r="AA140" s="7"/>
      <c r="AB140" s="7"/>
      <c r="AC140" s="9">
        <f t="shared" si="193"/>
        <v>0</v>
      </c>
      <c r="AD140" s="26">
        <f t="shared" si="194"/>
        <v>2</v>
      </c>
      <c r="AE140" s="141">
        <v>45510</v>
      </c>
      <c r="AF140" s="142"/>
    </row>
    <row r="141" spans="1:32" x14ac:dyDescent="0.15">
      <c r="A141" s="35" t="s">
        <v>37</v>
      </c>
      <c r="B141" s="24"/>
      <c r="C141" s="25"/>
      <c r="D141" s="25"/>
      <c r="E141" s="25"/>
      <c r="F141" s="26">
        <f t="shared" si="189"/>
        <v>0</v>
      </c>
      <c r="G141" s="24"/>
      <c r="H141" s="25">
        <v>1</v>
      </c>
      <c r="I141" s="25"/>
      <c r="J141" s="25"/>
      <c r="K141" s="26">
        <f t="shared" si="190"/>
        <v>1</v>
      </c>
      <c r="L141" s="26">
        <f t="shared" si="191"/>
        <v>1</v>
      </c>
      <c r="M141" s="55">
        <v>45515</v>
      </c>
      <c r="S141" s="31" t="s">
        <v>99</v>
      </c>
      <c r="T141" s="6"/>
      <c r="U141" s="7"/>
      <c r="V141" s="7"/>
      <c r="W141" s="7"/>
      <c r="X141" s="9">
        <f t="shared" si="192"/>
        <v>0</v>
      </c>
      <c r="Y141" s="6"/>
      <c r="Z141" s="7">
        <v>7</v>
      </c>
      <c r="AA141" s="7"/>
      <c r="AB141" s="7"/>
      <c r="AC141" s="9">
        <f t="shared" si="193"/>
        <v>7</v>
      </c>
      <c r="AD141" s="26">
        <f t="shared" si="194"/>
        <v>7</v>
      </c>
      <c r="AE141" s="141">
        <v>45512</v>
      </c>
      <c r="AF141" s="142"/>
    </row>
    <row r="142" spans="1:32" x14ac:dyDescent="0.15">
      <c r="A142" s="35" t="s">
        <v>37</v>
      </c>
      <c r="B142" s="24"/>
      <c r="C142" s="25"/>
      <c r="D142" s="25"/>
      <c r="E142" s="25"/>
      <c r="F142" s="26">
        <f t="shared" si="189"/>
        <v>0</v>
      </c>
      <c r="G142" s="24">
        <v>2</v>
      </c>
      <c r="H142" s="25">
        <v>1</v>
      </c>
      <c r="I142" s="25">
        <v>1</v>
      </c>
      <c r="J142" s="25"/>
      <c r="K142" s="26">
        <f t="shared" si="190"/>
        <v>4</v>
      </c>
      <c r="L142" s="26">
        <f t="shared" si="191"/>
        <v>4</v>
      </c>
      <c r="M142" s="55">
        <v>45520</v>
      </c>
      <c r="S142" s="30" t="s">
        <v>101</v>
      </c>
      <c r="T142" s="6"/>
      <c r="U142" s="7"/>
      <c r="V142" s="7"/>
      <c r="W142" s="7"/>
      <c r="X142" s="9">
        <f t="shared" si="192"/>
        <v>0</v>
      </c>
      <c r="Y142" s="6">
        <v>1</v>
      </c>
      <c r="Z142" s="7"/>
      <c r="AA142" s="7"/>
      <c r="AB142" s="7">
        <v>1</v>
      </c>
      <c r="AC142" s="9">
        <f t="shared" si="193"/>
        <v>2</v>
      </c>
      <c r="AD142" s="26">
        <f t="shared" si="194"/>
        <v>2</v>
      </c>
      <c r="AE142" s="141">
        <v>45513</v>
      </c>
      <c r="AF142" s="142"/>
    </row>
    <row r="143" spans="1:32" x14ac:dyDescent="0.15">
      <c r="A143" s="35" t="s">
        <v>37</v>
      </c>
      <c r="B143" s="24"/>
      <c r="C143" s="25"/>
      <c r="D143" s="25"/>
      <c r="E143" s="25"/>
      <c r="F143" s="26">
        <f t="shared" si="189"/>
        <v>0</v>
      </c>
      <c r="G143" s="24"/>
      <c r="H143" s="25"/>
      <c r="I143" s="25">
        <v>1</v>
      </c>
      <c r="J143" s="25"/>
      <c r="K143" s="26">
        <f t="shared" si="190"/>
        <v>1</v>
      </c>
      <c r="L143" s="26">
        <f t="shared" si="191"/>
        <v>1</v>
      </c>
      <c r="M143" s="55">
        <v>45521</v>
      </c>
      <c r="S143" s="30" t="s">
        <v>100</v>
      </c>
      <c r="T143" s="6"/>
      <c r="U143" s="7"/>
      <c r="V143" s="7"/>
      <c r="W143" s="7"/>
      <c r="X143" s="9">
        <f t="shared" si="192"/>
        <v>0</v>
      </c>
      <c r="Y143" s="6">
        <v>1</v>
      </c>
      <c r="Z143" s="7"/>
      <c r="AA143" s="7"/>
      <c r="AB143" s="7"/>
      <c r="AC143" s="9">
        <f t="shared" si="193"/>
        <v>1</v>
      </c>
      <c r="AD143" s="26">
        <f t="shared" si="194"/>
        <v>1</v>
      </c>
      <c r="AE143" s="141">
        <v>45513</v>
      </c>
      <c r="AF143" s="142"/>
    </row>
    <row r="144" spans="1:32" x14ac:dyDescent="0.15">
      <c r="A144" s="35" t="s">
        <v>37</v>
      </c>
      <c r="B144" s="24"/>
      <c r="C144" s="25"/>
      <c r="D144" s="25"/>
      <c r="E144" s="25"/>
      <c r="F144" s="26">
        <f t="shared" si="189"/>
        <v>0</v>
      </c>
      <c r="G144" s="24"/>
      <c r="H144" s="25"/>
      <c r="I144" s="25">
        <v>1</v>
      </c>
      <c r="J144" s="25"/>
      <c r="K144" s="26">
        <f t="shared" si="190"/>
        <v>1</v>
      </c>
      <c r="L144" s="26">
        <f t="shared" si="191"/>
        <v>1</v>
      </c>
      <c r="M144" s="55">
        <v>45523</v>
      </c>
      <c r="S144" s="30" t="s">
        <v>102</v>
      </c>
      <c r="T144" s="6"/>
      <c r="U144" s="7"/>
      <c r="V144" s="7">
        <v>1</v>
      </c>
      <c r="W144" s="7"/>
      <c r="X144" s="9">
        <f t="shared" si="192"/>
        <v>1</v>
      </c>
      <c r="Y144" s="6">
        <v>3</v>
      </c>
      <c r="Z144" s="7"/>
      <c r="AA144" s="7">
        <v>2</v>
      </c>
      <c r="AB144" s="7">
        <v>1</v>
      </c>
      <c r="AC144" s="9">
        <f t="shared" si="193"/>
        <v>6</v>
      </c>
      <c r="AD144" s="26">
        <f t="shared" si="194"/>
        <v>7</v>
      </c>
      <c r="AE144" s="141">
        <v>45513</v>
      </c>
      <c r="AF144" s="142"/>
    </row>
    <row r="145" spans="1:32" x14ac:dyDescent="0.15">
      <c r="A145" s="35" t="s">
        <v>37</v>
      </c>
      <c r="B145" s="24"/>
      <c r="C145" s="25"/>
      <c r="D145" s="25">
        <v>1</v>
      </c>
      <c r="E145" s="25"/>
      <c r="F145" s="26">
        <f t="shared" si="189"/>
        <v>1</v>
      </c>
      <c r="G145" s="24"/>
      <c r="H145" s="25"/>
      <c r="I145" s="25"/>
      <c r="J145" s="25"/>
      <c r="K145" s="26">
        <f t="shared" si="190"/>
        <v>0</v>
      </c>
      <c r="L145" s="26">
        <f t="shared" si="191"/>
        <v>1</v>
      </c>
      <c r="M145" s="55">
        <v>45533</v>
      </c>
      <c r="S145" s="30" t="s">
        <v>31</v>
      </c>
      <c r="T145" s="6"/>
      <c r="U145" s="7"/>
      <c r="V145" s="7"/>
      <c r="W145" s="7"/>
      <c r="X145" s="9">
        <f t="shared" si="192"/>
        <v>0</v>
      </c>
      <c r="Y145" s="6">
        <v>2</v>
      </c>
      <c r="Z145" s="7"/>
      <c r="AA145" s="7"/>
      <c r="AB145" s="7">
        <v>2</v>
      </c>
      <c r="AC145" s="9">
        <f t="shared" si="193"/>
        <v>4</v>
      </c>
      <c r="AD145" s="26">
        <f t="shared" si="194"/>
        <v>4</v>
      </c>
      <c r="AE145" s="141">
        <v>45511</v>
      </c>
      <c r="AF145" s="142"/>
    </row>
    <row r="146" spans="1:32" x14ac:dyDescent="0.15">
      <c r="A146" s="35" t="s">
        <v>37</v>
      </c>
      <c r="B146" s="24"/>
      <c r="C146" s="25"/>
      <c r="D146" s="25"/>
      <c r="E146" s="25"/>
      <c r="F146" s="26">
        <f t="shared" si="189"/>
        <v>0</v>
      </c>
      <c r="G146" s="24"/>
      <c r="H146" s="25"/>
      <c r="I146" s="25">
        <v>1</v>
      </c>
      <c r="J146" s="25"/>
      <c r="K146" s="26">
        <f t="shared" si="190"/>
        <v>1</v>
      </c>
      <c r="L146" s="26">
        <f t="shared" si="191"/>
        <v>1</v>
      </c>
      <c r="M146" s="55">
        <v>45544</v>
      </c>
      <c r="S146" s="31" t="s">
        <v>104</v>
      </c>
      <c r="T146" s="6"/>
      <c r="U146" s="7"/>
      <c r="V146" s="7"/>
      <c r="W146" s="7"/>
      <c r="X146" s="9">
        <f t="shared" si="192"/>
        <v>0</v>
      </c>
      <c r="Y146" s="6"/>
      <c r="Z146" s="7"/>
      <c r="AA146" s="7"/>
      <c r="AB146" s="7">
        <v>2</v>
      </c>
      <c r="AC146" s="9">
        <f t="shared" si="193"/>
        <v>2</v>
      </c>
      <c r="AD146" s="26">
        <f t="shared" si="194"/>
        <v>2</v>
      </c>
      <c r="AE146" s="141">
        <v>45524</v>
      </c>
      <c r="AF146" s="142"/>
    </row>
    <row r="147" spans="1:32" x14ac:dyDescent="0.15">
      <c r="A147" s="35" t="s">
        <v>37</v>
      </c>
      <c r="B147" s="24"/>
      <c r="C147" s="25"/>
      <c r="D147" s="25"/>
      <c r="E147" s="25"/>
      <c r="F147" s="26">
        <f t="shared" si="189"/>
        <v>0</v>
      </c>
      <c r="G147" s="24"/>
      <c r="H147" s="25"/>
      <c r="I147" s="25">
        <v>1</v>
      </c>
      <c r="J147" s="25"/>
      <c r="K147" s="26">
        <f t="shared" si="190"/>
        <v>1</v>
      </c>
      <c r="L147" s="26">
        <f t="shared" si="191"/>
        <v>1</v>
      </c>
      <c r="M147" s="55">
        <v>45545</v>
      </c>
      <c r="S147" s="30" t="s">
        <v>31</v>
      </c>
      <c r="T147" s="6"/>
      <c r="U147" s="7"/>
      <c r="V147" s="7"/>
      <c r="W147" s="7"/>
      <c r="X147" s="9">
        <f t="shared" si="192"/>
        <v>0</v>
      </c>
      <c r="Y147" s="6"/>
      <c r="Z147" s="7"/>
      <c r="AA147" s="7"/>
      <c r="AB147" s="7">
        <v>5</v>
      </c>
      <c r="AC147" s="9">
        <f t="shared" si="193"/>
        <v>5</v>
      </c>
      <c r="AD147" s="26">
        <f t="shared" si="194"/>
        <v>5</v>
      </c>
      <c r="AE147" s="141">
        <v>45514</v>
      </c>
      <c r="AF147" s="142"/>
    </row>
    <row r="148" spans="1:32" x14ac:dyDescent="0.15">
      <c r="A148" s="35" t="s">
        <v>37</v>
      </c>
      <c r="B148" s="24"/>
      <c r="C148" s="25"/>
      <c r="D148" s="25"/>
      <c r="E148" s="25"/>
      <c r="F148" s="26">
        <f t="shared" si="189"/>
        <v>0</v>
      </c>
      <c r="G148" s="24"/>
      <c r="H148" s="25"/>
      <c r="I148" s="25">
        <v>1</v>
      </c>
      <c r="J148" s="25"/>
      <c r="K148" s="26">
        <f t="shared" si="190"/>
        <v>1</v>
      </c>
      <c r="L148" s="26">
        <f t="shared" si="191"/>
        <v>1</v>
      </c>
      <c r="M148" s="55">
        <v>45546</v>
      </c>
      <c r="S148" s="31" t="s">
        <v>105</v>
      </c>
      <c r="T148" s="6"/>
      <c r="U148" s="7"/>
      <c r="V148" s="7"/>
      <c r="W148" s="7">
        <v>7</v>
      </c>
      <c r="X148" s="9">
        <f t="shared" si="192"/>
        <v>7</v>
      </c>
      <c r="Y148" s="6"/>
      <c r="Z148" s="7"/>
      <c r="AA148" s="7"/>
      <c r="AB148" s="7"/>
      <c r="AC148" s="9">
        <f t="shared" si="193"/>
        <v>0</v>
      </c>
      <c r="AD148" s="26">
        <f t="shared" si="194"/>
        <v>7</v>
      </c>
      <c r="AE148" s="141">
        <v>45524</v>
      </c>
      <c r="AF148" s="142"/>
    </row>
    <row r="149" spans="1:32" x14ac:dyDescent="0.15">
      <c r="A149" s="35" t="s">
        <v>37</v>
      </c>
      <c r="B149" s="24"/>
      <c r="C149" s="25"/>
      <c r="D149" s="25"/>
      <c r="E149" s="25"/>
      <c r="F149" s="26">
        <f t="shared" si="189"/>
        <v>0</v>
      </c>
      <c r="G149" s="24"/>
      <c r="H149" s="25">
        <v>1</v>
      </c>
      <c r="I149" s="25"/>
      <c r="J149" s="25"/>
      <c r="K149" s="26">
        <f t="shared" si="190"/>
        <v>1</v>
      </c>
      <c r="L149" s="26">
        <f t="shared" si="191"/>
        <v>1</v>
      </c>
      <c r="M149" s="55">
        <v>45555</v>
      </c>
      <c r="S149" s="30" t="s">
        <v>106</v>
      </c>
      <c r="T149" s="6"/>
      <c r="U149" s="7"/>
      <c r="V149" s="7"/>
      <c r="W149" s="7"/>
      <c r="X149" s="9">
        <f t="shared" si="192"/>
        <v>0</v>
      </c>
      <c r="Y149" s="6"/>
      <c r="Z149" s="7">
        <v>1</v>
      </c>
      <c r="AA149" s="7"/>
      <c r="AB149" s="7">
        <v>1</v>
      </c>
      <c r="AC149" s="9">
        <f t="shared" si="193"/>
        <v>2</v>
      </c>
      <c r="AD149" s="26">
        <f t="shared" si="194"/>
        <v>2</v>
      </c>
      <c r="AE149" s="141">
        <v>45530</v>
      </c>
      <c r="AF149" s="142"/>
    </row>
    <row r="150" spans="1:32" x14ac:dyDescent="0.15">
      <c r="A150" s="35" t="s">
        <v>37</v>
      </c>
      <c r="B150" s="24"/>
      <c r="C150" s="25"/>
      <c r="D150" s="25"/>
      <c r="E150" s="25"/>
      <c r="F150" s="26">
        <f t="shared" ref="F150:F164" si="195">SUM(B150:E150)</f>
        <v>0</v>
      </c>
      <c r="G150" s="24"/>
      <c r="H150" s="25"/>
      <c r="I150" s="25"/>
      <c r="J150" s="25">
        <v>1</v>
      </c>
      <c r="K150" s="26">
        <f t="shared" ref="K150:K164" si="196">SUM(G150:J150)</f>
        <v>1</v>
      </c>
      <c r="L150" s="26">
        <f t="shared" si="191"/>
        <v>1</v>
      </c>
      <c r="M150" s="55">
        <v>45559</v>
      </c>
      <c r="S150" s="30" t="s">
        <v>107</v>
      </c>
      <c r="T150" s="6"/>
      <c r="U150" s="7"/>
      <c r="V150" s="7">
        <v>1</v>
      </c>
      <c r="W150" s="7"/>
      <c r="X150" s="9">
        <f t="shared" si="192"/>
        <v>1</v>
      </c>
      <c r="Y150" s="6">
        <v>1</v>
      </c>
      <c r="Z150" s="7"/>
      <c r="AA150" s="7"/>
      <c r="AB150" s="7"/>
      <c r="AC150" s="9">
        <f t="shared" si="193"/>
        <v>1</v>
      </c>
      <c r="AD150" s="26">
        <f t="shared" si="194"/>
        <v>2</v>
      </c>
      <c r="AE150" s="141">
        <v>45530</v>
      </c>
      <c r="AF150" s="142"/>
    </row>
    <row r="151" spans="1:32" x14ac:dyDescent="0.15">
      <c r="A151" s="35" t="s">
        <v>37</v>
      </c>
      <c r="B151" s="24"/>
      <c r="C151" s="25"/>
      <c r="D151" s="25"/>
      <c r="E151" s="25"/>
      <c r="F151" s="26">
        <f t="shared" si="195"/>
        <v>0</v>
      </c>
      <c r="G151" s="24"/>
      <c r="H151" s="25"/>
      <c r="I151" s="25"/>
      <c r="J151" s="25">
        <v>1</v>
      </c>
      <c r="K151" s="26">
        <f t="shared" si="196"/>
        <v>1</v>
      </c>
      <c r="L151" s="26">
        <f t="shared" si="191"/>
        <v>1</v>
      </c>
      <c r="M151" s="55">
        <v>45561</v>
      </c>
      <c r="S151" s="30" t="s">
        <v>108</v>
      </c>
      <c r="T151" s="6"/>
      <c r="U151" s="7"/>
      <c r="V151" s="7"/>
      <c r="W151" s="7"/>
      <c r="X151" s="9">
        <f t="shared" si="192"/>
        <v>0</v>
      </c>
      <c r="Y151" s="6">
        <v>1</v>
      </c>
      <c r="Z151" s="7"/>
      <c r="AA151" s="7"/>
      <c r="AB151" s="7"/>
      <c r="AC151" s="9">
        <f t="shared" si="193"/>
        <v>1</v>
      </c>
      <c r="AD151" s="26">
        <f t="shared" si="194"/>
        <v>1</v>
      </c>
      <c r="AE151" s="141">
        <v>45530</v>
      </c>
      <c r="AF151" s="142"/>
    </row>
    <row r="152" spans="1:32" x14ac:dyDescent="0.15">
      <c r="A152" s="35" t="s">
        <v>37</v>
      </c>
      <c r="B152" s="24"/>
      <c r="C152" s="25"/>
      <c r="D152" s="25"/>
      <c r="E152" s="25"/>
      <c r="F152" s="26">
        <f t="shared" si="195"/>
        <v>0</v>
      </c>
      <c r="G152" s="24"/>
      <c r="H152" s="25"/>
      <c r="I152" s="25"/>
      <c r="J152" s="25">
        <v>1</v>
      </c>
      <c r="K152" s="26">
        <f t="shared" si="196"/>
        <v>1</v>
      </c>
      <c r="L152" s="26">
        <f t="shared" si="191"/>
        <v>1</v>
      </c>
      <c r="M152" s="55">
        <v>45567</v>
      </c>
      <c r="S152" s="30" t="s">
        <v>110</v>
      </c>
      <c r="T152" s="6"/>
      <c r="U152" s="7"/>
      <c r="V152" s="7"/>
      <c r="W152" s="7"/>
      <c r="X152" s="9">
        <f t="shared" si="192"/>
        <v>0</v>
      </c>
      <c r="Y152" s="6">
        <v>1</v>
      </c>
      <c r="Z152" s="7"/>
      <c r="AA152" s="7">
        <v>1</v>
      </c>
      <c r="AB152" s="7"/>
      <c r="AC152" s="9">
        <f t="shared" si="193"/>
        <v>2</v>
      </c>
      <c r="AD152" s="26">
        <f t="shared" si="194"/>
        <v>2</v>
      </c>
      <c r="AE152" s="141">
        <v>45534</v>
      </c>
      <c r="AF152" s="142"/>
    </row>
    <row r="153" spans="1:32" x14ac:dyDescent="0.15">
      <c r="A153" s="35" t="s">
        <v>117</v>
      </c>
      <c r="B153" s="24">
        <v>3</v>
      </c>
      <c r="C153" s="25">
        <v>2</v>
      </c>
      <c r="D153" s="25">
        <v>3</v>
      </c>
      <c r="E153" s="25">
        <v>3</v>
      </c>
      <c r="F153" s="26">
        <f t="shared" si="195"/>
        <v>11</v>
      </c>
      <c r="G153" s="24">
        <v>3</v>
      </c>
      <c r="H153" s="25">
        <v>4</v>
      </c>
      <c r="I153" s="25">
        <v>2</v>
      </c>
      <c r="J153" s="25">
        <v>3</v>
      </c>
      <c r="K153" s="26">
        <f t="shared" si="196"/>
        <v>12</v>
      </c>
      <c r="L153" s="26">
        <f t="shared" si="191"/>
        <v>23</v>
      </c>
      <c r="M153" s="55">
        <v>45570</v>
      </c>
      <c r="S153" s="30" t="s">
        <v>111</v>
      </c>
      <c r="T153" s="6"/>
      <c r="U153" s="7"/>
      <c r="V153" s="7"/>
      <c r="W153" s="7">
        <v>1</v>
      </c>
      <c r="X153" s="9">
        <f t="shared" si="192"/>
        <v>1</v>
      </c>
      <c r="Y153" s="6"/>
      <c r="Z153" s="7"/>
      <c r="AA153" s="7"/>
      <c r="AB153" s="7"/>
      <c r="AC153" s="9">
        <f t="shared" si="193"/>
        <v>0</v>
      </c>
      <c r="AD153" s="26">
        <f t="shared" si="194"/>
        <v>1</v>
      </c>
      <c r="AE153" s="141">
        <v>45534</v>
      </c>
      <c r="AF153" s="142"/>
    </row>
    <row r="154" spans="1:32" x14ac:dyDescent="0.15">
      <c r="A154" s="35" t="s">
        <v>37</v>
      </c>
      <c r="B154" s="24"/>
      <c r="C154" s="25"/>
      <c r="D154" s="25"/>
      <c r="E154" s="25">
        <v>1</v>
      </c>
      <c r="F154" s="26">
        <f t="shared" si="195"/>
        <v>1</v>
      </c>
      <c r="G154" s="24"/>
      <c r="H154" s="25"/>
      <c r="I154" s="25"/>
      <c r="J154" s="25"/>
      <c r="K154" s="26">
        <f t="shared" si="196"/>
        <v>0</v>
      </c>
      <c r="L154" s="26">
        <f t="shared" si="191"/>
        <v>1</v>
      </c>
      <c r="M154" s="55">
        <v>45570</v>
      </c>
      <c r="S154" s="30" t="s">
        <v>112</v>
      </c>
      <c r="T154" s="6"/>
      <c r="U154" s="7"/>
      <c r="V154" s="7"/>
      <c r="W154" s="7"/>
      <c r="X154" s="9">
        <f t="shared" si="192"/>
        <v>0</v>
      </c>
      <c r="Y154" s="6"/>
      <c r="Z154" s="7"/>
      <c r="AA154" s="7">
        <v>1</v>
      </c>
      <c r="AB154" s="7"/>
      <c r="AC154" s="9">
        <f t="shared" si="193"/>
        <v>1</v>
      </c>
      <c r="AD154" s="26">
        <f t="shared" si="194"/>
        <v>1</v>
      </c>
      <c r="AE154" s="141">
        <v>45534</v>
      </c>
      <c r="AF154" s="142"/>
    </row>
    <row r="155" spans="1:32" x14ac:dyDescent="0.15">
      <c r="A155" s="35"/>
      <c r="B155" s="24"/>
      <c r="C155" s="25"/>
      <c r="D155" s="25"/>
      <c r="E155" s="25"/>
      <c r="F155" s="26">
        <f t="shared" ref="F155" si="197">SUM(B155:E155)</f>
        <v>0</v>
      </c>
      <c r="G155" s="24"/>
      <c r="H155" s="25"/>
      <c r="I155" s="25"/>
      <c r="J155" s="25"/>
      <c r="K155" s="26">
        <f t="shared" ref="K155" si="198">SUM(G155:J155)</f>
        <v>0</v>
      </c>
      <c r="L155" s="26">
        <f t="shared" ref="L155" si="199">F155+K155</f>
        <v>0</v>
      </c>
      <c r="M155" s="55"/>
      <c r="S155" s="31" t="s">
        <v>113</v>
      </c>
      <c r="T155" s="6"/>
      <c r="U155" s="7"/>
      <c r="V155" s="7"/>
      <c r="W155" s="7"/>
      <c r="X155" s="9">
        <f t="shared" si="192"/>
        <v>0</v>
      </c>
      <c r="Y155" s="6"/>
      <c r="Z155" s="7">
        <v>5</v>
      </c>
      <c r="AA155" s="7"/>
      <c r="AB155" s="7"/>
      <c r="AC155" s="9">
        <f t="shared" si="193"/>
        <v>5</v>
      </c>
      <c r="AD155" s="26">
        <f t="shared" si="194"/>
        <v>5</v>
      </c>
      <c r="AE155" s="141">
        <v>45541</v>
      </c>
      <c r="AF155" s="142"/>
    </row>
    <row r="156" spans="1:32" x14ac:dyDescent="0.15">
      <c r="A156" s="35"/>
      <c r="B156" s="24"/>
      <c r="C156" s="25"/>
      <c r="D156" s="25"/>
      <c r="E156" s="25"/>
      <c r="F156" s="26">
        <f t="shared" si="195"/>
        <v>0</v>
      </c>
      <c r="G156" s="24"/>
      <c r="H156" s="25"/>
      <c r="I156" s="25"/>
      <c r="J156" s="25"/>
      <c r="K156" s="26">
        <f t="shared" si="196"/>
        <v>0</v>
      </c>
      <c r="L156" s="26">
        <f t="shared" si="191"/>
        <v>0</v>
      </c>
      <c r="M156" s="55"/>
      <c r="S156" s="31" t="s">
        <v>114</v>
      </c>
      <c r="T156" s="6"/>
      <c r="U156" s="7"/>
      <c r="V156" s="7"/>
      <c r="W156" s="7"/>
      <c r="X156" s="9">
        <f t="shared" si="192"/>
        <v>0</v>
      </c>
      <c r="Y156" s="6"/>
      <c r="Z156" s="7"/>
      <c r="AA156" s="7"/>
      <c r="AB156" s="7">
        <v>8</v>
      </c>
      <c r="AC156" s="9">
        <f t="shared" si="193"/>
        <v>8</v>
      </c>
      <c r="AD156" s="26">
        <f t="shared" si="194"/>
        <v>8</v>
      </c>
      <c r="AE156" s="141">
        <v>45547</v>
      </c>
      <c r="AF156" s="142"/>
    </row>
    <row r="157" spans="1:32" x14ac:dyDescent="0.15">
      <c r="A157" s="35"/>
      <c r="B157" s="24"/>
      <c r="C157" s="25"/>
      <c r="D157" s="25"/>
      <c r="E157" s="25"/>
      <c r="F157" s="26">
        <f t="shared" si="195"/>
        <v>0</v>
      </c>
      <c r="G157" s="24"/>
      <c r="H157" s="25"/>
      <c r="I157" s="25"/>
      <c r="J157" s="25"/>
      <c r="K157" s="26">
        <f t="shared" si="196"/>
        <v>0</v>
      </c>
      <c r="L157" s="26">
        <f t="shared" si="191"/>
        <v>0</v>
      </c>
      <c r="M157" s="55"/>
      <c r="S157" s="31" t="s">
        <v>115</v>
      </c>
      <c r="T157" s="6"/>
      <c r="U157" s="7"/>
      <c r="V157" s="7"/>
      <c r="W157" s="7"/>
      <c r="X157" s="9">
        <f t="shared" si="192"/>
        <v>0</v>
      </c>
      <c r="Y157" s="6"/>
      <c r="Z157" s="7"/>
      <c r="AA157" s="7"/>
      <c r="AB157" s="7">
        <v>5</v>
      </c>
      <c r="AC157" s="9">
        <f t="shared" si="193"/>
        <v>5</v>
      </c>
      <c r="AD157" s="26">
        <f t="shared" si="194"/>
        <v>5</v>
      </c>
      <c r="AE157" s="141">
        <v>45552</v>
      </c>
      <c r="AF157" s="142"/>
    </row>
    <row r="158" spans="1:32" x14ac:dyDescent="0.15">
      <c r="A158" s="35"/>
      <c r="B158" s="6"/>
      <c r="C158" s="7"/>
      <c r="D158" s="7"/>
      <c r="E158" s="7"/>
      <c r="F158" s="9">
        <f t="shared" si="195"/>
        <v>0</v>
      </c>
      <c r="G158" s="6"/>
      <c r="H158" s="7"/>
      <c r="I158" s="7"/>
      <c r="J158" s="7"/>
      <c r="K158" s="9">
        <f t="shared" si="196"/>
        <v>0</v>
      </c>
      <c r="L158" s="26">
        <f t="shared" si="191"/>
        <v>0</v>
      </c>
      <c r="M158" s="55"/>
      <c r="S158" s="30" t="s">
        <v>31</v>
      </c>
      <c r="T158" s="6"/>
      <c r="U158" s="7"/>
      <c r="V158" s="7"/>
      <c r="W158" s="7"/>
      <c r="X158" s="9">
        <f t="shared" si="192"/>
        <v>0</v>
      </c>
      <c r="Y158" s="6"/>
      <c r="Z158" s="7"/>
      <c r="AA158" s="7">
        <v>3</v>
      </c>
      <c r="AB158" s="7"/>
      <c r="AC158" s="9">
        <f t="shared" si="193"/>
        <v>3</v>
      </c>
      <c r="AD158" s="26">
        <f t="shared" si="194"/>
        <v>3</v>
      </c>
      <c r="AE158" s="141">
        <v>45547</v>
      </c>
      <c r="AF158" s="142"/>
    </row>
    <row r="159" spans="1:32" x14ac:dyDescent="0.15">
      <c r="A159" s="35"/>
      <c r="B159" s="24"/>
      <c r="C159" s="25"/>
      <c r="D159" s="25"/>
      <c r="E159" s="25"/>
      <c r="F159" s="26">
        <f t="shared" si="195"/>
        <v>0</v>
      </c>
      <c r="G159" s="24"/>
      <c r="H159" s="25"/>
      <c r="I159" s="25"/>
      <c r="J159" s="25"/>
      <c r="K159" s="26">
        <f t="shared" si="196"/>
        <v>0</v>
      </c>
      <c r="L159" s="26">
        <f t="shared" si="191"/>
        <v>0</v>
      </c>
      <c r="M159" s="55"/>
      <c r="S159" s="30"/>
      <c r="T159" s="24"/>
      <c r="U159" s="25"/>
      <c r="V159" s="25"/>
      <c r="W159" s="25"/>
      <c r="X159" s="26">
        <f t="shared" ref="X159:X164" si="200">SUM(T159:W159)</f>
        <v>0</v>
      </c>
      <c r="Y159" s="24"/>
      <c r="Z159" s="25"/>
      <c r="AA159" s="25"/>
      <c r="AB159" s="25"/>
      <c r="AC159" s="26">
        <f t="shared" ref="AC159:AC164" si="201">SUM(Y159:AB159)</f>
        <v>0</v>
      </c>
      <c r="AD159" s="26">
        <f t="shared" si="194"/>
        <v>0</v>
      </c>
      <c r="AE159" s="141"/>
      <c r="AF159" s="142"/>
    </row>
    <row r="160" spans="1:32" x14ac:dyDescent="0.15">
      <c r="A160" s="35"/>
      <c r="B160" s="27"/>
      <c r="C160" s="28"/>
      <c r="D160" s="28"/>
      <c r="E160" s="28"/>
      <c r="F160" s="26">
        <f t="shared" si="195"/>
        <v>0</v>
      </c>
      <c r="G160" s="27"/>
      <c r="H160" s="28"/>
      <c r="I160" s="28"/>
      <c r="J160" s="28"/>
      <c r="K160" s="26">
        <f t="shared" si="196"/>
        <v>0</v>
      </c>
      <c r="L160" s="26">
        <f t="shared" si="191"/>
        <v>0</v>
      </c>
      <c r="M160" s="55"/>
      <c r="S160" s="30" t="s">
        <v>32</v>
      </c>
      <c r="T160" s="24"/>
      <c r="U160" s="25"/>
      <c r="V160" s="25"/>
      <c r="W160" s="25"/>
      <c r="X160" s="26">
        <f t="shared" si="200"/>
        <v>0</v>
      </c>
      <c r="Y160" s="24"/>
      <c r="Z160" s="25"/>
      <c r="AA160" s="25"/>
      <c r="AB160" s="25"/>
      <c r="AC160" s="26">
        <f t="shared" si="201"/>
        <v>0</v>
      </c>
      <c r="AD160" s="26">
        <f t="shared" si="194"/>
        <v>0</v>
      </c>
      <c r="AE160" s="141"/>
      <c r="AF160" s="142"/>
    </row>
    <row r="161" spans="1:32" x14ac:dyDescent="0.15">
      <c r="A161" s="35"/>
      <c r="B161" s="24"/>
      <c r="C161" s="25"/>
      <c r="D161" s="25"/>
      <c r="E161" s="25"/>
      <c r="F161" s="26">
        <f t="shared" si="195"/>
        <v>0</v>
      </c>
      <c r="G161" s="24"/>
      <c r="H161" s="25"/>
      <c r="I161" s="25"/>
      <c r="J161" s="25"/>
      <c r="K161" s="26">
        <f t="shared" si="196"/>
        <v>0</v>
      </c>
      <c r="L161" s="26">
        <f t="shared" si="191"/>
        <v>0</v>
      </c>
      <c r="M161" s="55"/>
      <c r="S161" s="31" t="s">
        <v>21</v>
      </c>
      <c r="T161" s="24"/>
      <c r="U161" s="25"/>
      <c r="V161" s="25"/>
      <c r="W161" s="25"/>
      <c r="X161" s="26">
        <f t="shared" si="200"/>
        <v>0</v>
      </c>
      <c r="Y161" s="24"/>
      <c r="Z161" s="25"/>
      <c r="AA161" s="25"/>
      <c r="AB161" s="25"/>
      <c r="AC161" s="26">
        <f t="shared" si="201"/>
        <v>0</v>
      </c>
      <c r="AD161" s="26">
        <f t="shared" si="194"/>
        <v>0</v>
      </c>
      <c r="AE161" s="141" t="s">
        <v>19</v>
      </c>
      <c r="AF161" s="142"/>
    </row>
    <row r="162" spans="1:32" x14ac:dyDescent="0.15">
      <c r="A162" s="35"/>
      <c r="B162" s="24"/>
      <c r="C162" s="25"/>
      <c r="D162" s="25"/>
      <c r="E162" s="25"/>
      <c r="F162" s="26">
        <f t="shared" si="195"/>
        <v>0</v>
      </c>
      <c r="G162" s="24"/>
      <c r="H162" s="25"/>
      <c r="I162" s="25"/>
      <c r="J162" s="25"/>
      <c r="K162" s="26">
        <f t="shared" si="196"/>
        <v>0</v>
      </c>
      <c r="L162" s="26">
        <f t="shared" si="191"/>
        <v>0</v>
      </c>
      <c r="M162" s="55"/>
      <c r="S162" s="31" t="s">
        <v>22</v>
      </c>
      <c r="T162" s="10"/>
      <c r="U162" s="11"/>
      <c r="V162" s="11"/>
      <c r="W162" s="11"/>
      <c r="X162" s="9">
        <f t="shared" si="200"/>
        <v>0</v>
      </c>
      <c r="Y162" s="10"/>
      <c r="Z162" s="11"/>
      <c r="AA162" s="11"/>
      <c r="AB162" s="11"/>
      <c r="AC162" s="9">
        <f t="shared" si="201"/>
        <v>0</v>
      </c>
      <c r="AD162" s="43">
        <f t="shared" si="194"/>
        <v>0</v>
      </c>
      <c r="AE162" s="141" t="s">
        <v>19</v>
      </c>
      <c r="AF162" s="142"/>
    </row>
    <row r="163" spans="1:32" x14ac:dyDescent="0.15">
      <c r="A163" s="56"/>
      <c r="B163" s="24"/>
      <c r="C163" s="25"/>
      <c r="D163" s="25"/>
      <c r="E163" s="25"/>
      <c r="F163" s="26">
        <f t="shared" si="195"/>
        <v>0</v>
      </c>
      <c r="G163" s="24"/>
      <c r="H163" s="25"/>
      <c r="I163" s="25"/>
      <c r="J163" s="25"/>
      <c r="K163" s="26">
        <f t="shared" si="196"/>
        <v>0</v>
      </c>
      <c r="L163" s="26">
        <f t="shared" si="191"/>
        <v>0</v>
      </c>
      <c r="M163" s="55"/>
      <c r="S163" s="31" t="s">
        <v>23</v>
      </c>
      <c r="T163" s="24"/>
      <c r="U163" s="25"/>
      <c r="V163" s="25"/>
      <c r="W163" s="25"/>
      <c r="X163" s="26">
        <f t="shared" si="200"/>
        <v>0</v>
      </c>
      <c r="Y163" s="24"/>
      <c r="Z163" s="25"/>
      <c r="AA163" s="25"/>
      <c r="AB163" s="25"/>
      <c r="AC163" s="26">
        <f t="shared" si="201"/>
        <v>0</v>
      </c>
      <c r="AD163" s="26">
        <f t="shared" si="194"/>
        <v>0</v>
      </c>
      <c r="AE163" s="141" t="s">
        <v>20</v>
      </c>
      <c r="AF163" s="142"/>
    </row>
    <row r="164" spans="1:32" ht="14.25" thickBot="1" x14ac:dyDescent="0.2">
      <c r="A164" s="57"/>
      <c r="B164" s="10"/>
      <c r="C164" s="11"/>
      <c r="D164" s="11"/>
      <c r="E164" s="11"/>
      <c r="F164" s="9">
        <f t="shared" si="195"/>
        <v>0</v>
      </c>
      <c r="G164" s="10"/>
      <c r="H164" s="11"/>
      <c r="I164" s="11"/>
      <c r="J164" s="11"/>
      <c r="K164" s="9">
        <f t="shared" si="196"/>
        <v>0</v>
      </c>
      <c r="L164" s="43">
        <f t="shared" si="191"/>
        <v>0</v>
      </c>
      <c r="M164" s="55"/>
      <c r="S164" s="31" t="s">
        <v>24</v>
      </c>
      <c r="T164" s="10"/>
      <c r="U164" s="11"/>
      <c r="V164" s="11"/>
      <c r="W164" s="11"/>
      <c r="X164" s="9">
        <f t="shared" si="200"/>
        <v>0</v>
      </c>
      <c r="Y164" s="10"/>
      <c r="Z164" s="11"/>
      <c r="AA164" s="11"/>
      <c r="AB164" s="11"/>
      <c r="AC164" s="9">
        <f t="shared" si="201"/>
        <v>0</v>
      </c>
      <c r="AD164" s="43">
        <f t="shared" si="194"/>
        <v>0</v>
      </c>
      <c r="AE164" s="141" t="s">
        <v>20</v>
      </c>
      <c r="AF164" s="142"/>
    </row>
    <row r="165" spans="1:32" ht="15" thickBot="1" x14ac:dyDescent="0.2">
      <c r="A165" s="5" t="s">
        <v>14</v>
      </c>
      <c r="B165" s="12">
        <f>SUM(B139:B164)</f>
        <v>3</v>
      </c>
      <c r="C165" s="13">
        <f t="shared" ref="C165:K165" si="202">SUM(C139:C164)</f>
        <v>2</v>
      </c>
      <c r="D165" s="13">
        <f t="shared" si="202"/>
        <v>4</v>
      </c>
      <c r="E165" s="14">
        <f t="shared" si="202"/>
        <v>4</v>
      </c>
      <c r="F165" s="8">
        <f t="shared" si="202"/>
        <v>13</v>
      </c>
      <c r="G165" s="12">
        <f t="shared" si="202"/>
        <v>5</v>
      </c>
      <c r="H165" s="13">
        <f t="shared" si="202"/>
        <v>7</v>
      </c>
      <c r="I165" s="13">
        <f t="shared" si="202"/>
        <v>8</v>
      </c>
      <c r="J165" s="14">
        <f t="shared" si="202"/>
        <v>10</v>
      </c>
      <c r="K165" s="8">
        <f t="shared" si="202"/>
        <v>30</v>
      </c>
      <c r="L165" s="34">
        <f>SUM(L139:L164)</f>
        <v>43</v>
      </c>
      <c r="M165" s="54"/>
      <c r="S165" s="5" t="s">
        <v>14</v>
      </c>
      <c r="T165" s="12">
        <f>SUM(T139:T164)</f>
        <v>0</v>
      </c>
      <c r="U165" s="13">
        <f t="shared" ref="U165" si="203">SUM(U139:U164)</f>
        <v>2</v>
      </c>
      <c r="V165" s="13">
        <f t="shared" ref="V165" si="204">SUM(V139:V164)</f>
        <v>2</v>
      </c>
      <c r="W165" s="14">
        <f t="shared" ref="W165" si="205">SUM(W139:W164)</f>
        <v>11</v>
      </c>
      <c r="X165" s="8">
        <f>SUM(X139:X164)</f>
        <v>15</v>
      </c>
      <c r="Y165" s="12">
        <f>SUM(Y139:Y164)</f>
        <v>10</v>
      </c>
      <c r="Z165" s="13">
        <f t="shared" ref="Z165" si="206">SUM(Z139:Z164)</f>
        <v>13</v>
      </c>
      <c r="AA165" s="13">
        <f t="shared" ref="AA165" si="207">SUM(AA139:AA164)</f>
        <v>7</v>
      </c>
      <c r="AB165" s="14">
        <f t="shared" ref="AB165" si="208">SUM(AB139:AB164)</f>
        <v>25</v>
      </c>
      <c r="AC165" s="8">
        <f>SUM(AC139:AC164)</f>
        <v>55</v>
      </c>
      <c r="AD165" s="34">
        <f>SUM(AD139:AD164)</f>
        <v>70</v>
      </c>
      <c r="AE165" s="53"/>
      <c r="AF165" s="53"/>
    </row>
    <row r="166" spans="1:32" ht="14.25" thickBot="1" x14ac:dyDescent="0.2">
      <c r="A166" s="15" t="s">
        <v>15</v>
      </c>
      <c r="B166" s="16">
        <f>B138-B165</f>
        <v>2</v>
      </c>
      <c r="C166" s="17">
        <f>C138-C165</f>
        <v>2</v>
      </c>
      <c r="D166" s="17">
        <f t="shared" ref="D166:K166" si="209">D138-D165</f>
        <v>2</v>
      </c>
      <c r="E166" s="18">
        <f t="shared" si="209"/>
        <v>1</v>
      </c>
      <c r="F166" s="44">
        <f t="shared" si="209"/>
        <v>7</v>
      </c>
      <c r="G166" s="16">
        <f t="shared" si="209"/>
        <v>2</v>
      </c>
      <c r="H166" s="17">
        <f t="shared" si="209"/>
        <v>2</v>
      </c>
      <c r="I166" s="17">
        <f t="shared" si="209"/>
        <v>2</v>
      </c>
      <c r="J166" s="18">
        <f t="shared" si="209"/>
        <v>1</v>
      </c>
      <c r="K166" s="44">
        <f t="shared" si="209"/>
        <v>7</v>
      </c>
      <c r="L166" s="34">
        <f>L138-L165</f>
        <v>14</v>
      </c>
      <c r="M166" s="54"/>
      <c r="S166" s="15" t="s">
        <v>15</v>
      </c>
      <c r="T166" s="16">
        <f>T138-T165</f>
        <v>107</v>
      </c>
      <c r="U166" s="17">
        <f t="shared" ref="U166" si="210">U138-U165</f>
        <v>118</v>
      </c>
      <c r="V166" s="17">
        <f t="shared" ref="V166" si="211">V138-V165</f>
        <v>85</v>
      </c>
      <c r="W166" s="18">
        <f t="shared" ref="W166" si="212">W138-W165</f>
        <v>49</v>
      </c>
      <c r="X166" s="44">
        <f>X138-X165</f>
        <v>359</v>
      </c>
      <c r="Y166" s="16">
        <f>Y138-Y165</f>
        <v>114</v>
      </c>
      <c r="Z166" s="17">
        <f t="shared" ref="Z166" si="213">Z138-Z165</f>
        <v>119</v>
      </c>
      <c r="AA166" s="17">
        <f t="shared" ref="AA166" si="214">AA138-AA165</f>
        <v>98</v>
      </c>
      <c r="AB166" s="18">
        <f t="shared" ref="AB166" si="215">AB138-AB165</f>
        <v>62</v>
      </c>
      <c r="AC166" s="44">
        <f>AC138-AC165</f>
        <v>393</v>
      </c>
      <c r="AD166" s="34">
        <f>AD138-AD165</f>
        <v>752</v>
      </c>
      <c r="AE166" s="53"/>
      <c r="AF166" s="53"/>
    </row>
    <row r="167" spans="1:32" x14ac:dyDescent="0.15">
      <c r="M167" s="54"/>
      <c r="T167" s="66">
        <f>T165+T123+T81+T39+T12</f>
        <v>126</v>
      </c>
      <c r="U167" s="66">
        <f t="shared" ref="U167:AD167" si="216">U165+U123+U81+U39+U12</f>
        <v>174</v>
      </c>
      <c r="V167" s="66">
        <f t="shared" si="216"/>
        <v>118</v>
      </c>
      <c r="W167" s="66">
        <f t="shared" si="216"/>
        <v>124</v>
      </c>
      <c r="X167" s="66">
        <f t="shared" si="216"/>
        <v>542</v>
      </c>
      <c r="Y167" s="66">
        <f t="shared" si="216"/>
        <v>209</v>
      </c>
      <c r="Z167" s="66">
        <f t="shared" si="216"/>
        <v>275</v>
      </c>
      <c r="AA167" s="66">
        <f t="shared" si="216"/>
        <v>204</v>
      </c>
      <c r="AB167" s="66">
        <f t="shared" si="216"/>
        <v>221</v>
      </c>
      <c r="AC167" s="66">
        <f t="shared" si="216"/>
        <v>909</v>
      </c>
      <c r="AD167" s="66">
        <f t="shared" si="216"/>
        <v>1451</v>
      </c>
      <c r="AE167" s="53"/>
      <c r="AF167" s="53"/>
    </row>
    <row r="168" spans="1:32" x14ac:dyDescent="0.15">
      <c r="M168" s="54"/>
      <c r="T168" s="68">
        <f>T167/$X$167*100</f>
        <v>23.247232472324722</v>
      </c>
      <c r="U168" s="68">
        <f t="shared" ref="U168:X168" si="217">U167/$X$167*100</f>
        <v>32.103321033210328</v>
      </c>
      <c r="V168" s="68">
        <f t="shared" si="217"/>
        <v>21.771217712177123</v>
      </c>
      <c r="W168" s="68">
        <f t="shared" si="217"/>
        <v>22.878228782287824</v>
      </c>
      <c r="X168" s="68">
        <f t="shared" si="217"/>
        <v>100</v>
      </c>
      <c r="Y168" s="68">
        <f>Y167/$AC$167*100</f>
        <v>22.992299229922992</v>
      </c>
      <c r="Z168" s="68">
        <f t="shared" ref="Z168:AC168" si="218">Z167/$AC$167*100</f>
        <v>30.253025302530251</v>
      </c>
      <c r="AA168" s="68">
        <f t="shared" si="218"/>
        <v>22.442244224422442</v>
      </c>
      <c r="AB168" s="68">
        <f t="shared" si="218"/>
        <v>24.312431243124312</v>
      </c>
      <c r="AC168" s="68">
        <f t="shared" si="218"/>
        <v>100</v>
      </c>
      <c r="AD168" s="69"/>
      <c r="AE168" s="53"/>
      <c r="AF168" s="53"/>
    </row>
    <row r="169" spans="1:32" ht="19.5" thickBot="1" x14ac:dyDescent="0.25">
      <c r="A169" s="58" t="s">
        <v>1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4"/>
      <c r="S169" s="58" t="s">
        <v>8</v>
      </c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3"/>
      <c r="AF169" s="53"/>
    </row>
    <row r="170" spans="1:32" ht="14.25" thickBot="1" x14ac:dyDescent="0.2">
      <c r="A170" s="52" t="s">
        <v>9</v>
      </c>
      <c r="B170" s="130" t="s">
        <v>10</v>
      </c>
      <c r="C170" s="131"/>
      <c r="D170" s="131"/>
      <c r="E170" s="131"/>
      <c r="F170" s="132"/>
      <c r="G170" s="133" t="s">
        <v>11</v>
      </c>
      <c r="H170" s="134"/>
      <c r="I170" s="134"/>
      <c r="J170" s="134"/>
      <c r="K170" s="135"/>
      <c r="L170" s="139" t="s">
        <v>7</v>
      </c>
      <c r="M170" s="54"/>
      <c r="S170" s="52" t="s">
        <v>9</v>
      </c>
      <c r="T170" s="130" t="s">
        <v>10</v>
      </c>
      <c r="U170" s="131"/>
      <c r="V170" s="131"/>
      <c r="W170" s="131"/>
      <c r="X170" s="132"/>
      <c r="Y170" s="133" t="s">
        <v>11</v>
      </c>
      <c r="Z170" s="134"/>
      <c r="AA170" s="134"/>
      <c r="AB170" s="134"/>
      <c r="AC170" s="135"/>
      <c r="AD170" s="139" t="s">
        <v>7</v>
      </c>
      <c r="AE170" s="53"/>
      <c r="AF170" s="53"/>
    </row>
    <row r="171" spans="1:32" ht="14.25" thickBot="1" x14ac:dyDescent="0.2">
      <c r="A171" s="52" t="s">
        <v>2</v>
      </c>
      <c r="B171" s="2" t="s">
        <v>3</v>
      </c>
      <c r="C171" s="3" t="s">
        <v>4</v>
      </c>
      <c r="D171" s="3" t="s">
        <v>5</v>
      </c>
      <c r="E171" s="4" t="s">
        <v>6</v>
      </c>
      <c r="F171" s="1" t="s">
        <v>0</v>
      </c>
      <c r="G171" s="2" t="s">
        <v>3</v>
      </c>
      <c r="H171" s="3" t="s">
        <v>4</v>
      </c>
      <c r="I171" s="3" t="s">
        <v>5</v>
      </c>
      <c r="J171" s="4" t="s">
        <v>6</v>
      </c>
      <c r="K171" s="1" t="s">
        <v>0</v>
      </c>
      <c r="L171" s="140"/>
      <c r="M171" s="54"/>
      <c r="S171" s="52" t="s">
        <v>2</v>
      </c>
      <c r="T171" s="2" t="s">
        <v>3</v>
      </c>
      <c r="U171" s="3" t="s">
        <v>4</v>
      </c>
      <c r="V171" s="3" t="s">
        <v>5</v>
      </c>
      <c r="W171" s="4" t="s">
        <v>6</v>
      </c>
      <c r="X171" s="1" t="s">
        <v>0</v>
      </c>
      <c r="Y171" s="2" t="s">
        <v>3</v>
      </c>
      <c r="Z171" s="3" t="s">
        <v>4</v>
      </c>
      <c r="AA171" s="3" t="s">
        <v>5</v>
      </c>
      <c r="AB171" s="4" t="s">
        <v>6</v>
      </c>
      <c r="AC171" s="1" t="s">
        <v>0</v>
      </c>
      <c r="AD171" s="140"/>
      <c r="AE171" s="53"/>
      <c r="AF171" s="53"/>
    </row>
    <row r="172" spans="1:32" ht="14.25" x14ac:dyDescent="0.15">
      <c r="A172" s="45" t="s">
        <v>16</v>
      </c>
      <c r="B172" s="32">
        <f>B166</f>
        <v>2</v>
      </c>
      <c r="C172" s="32">
        <f t="shared" ref="C172:K172" si="219">C166</f>
        <v>2</v>
      </c>
      <c r="D172" s="32">
        <f t="shared" si="219"/>
        <v>2</v>
      </c>
      <c r="E172" s="38">
        <f t="shared" si="219"/>
        <v>1</v>
      </c>
      <c r="F172" s="33">
        <f t="shared" si="219"/>
        <v>7</v>
      </c>
      <c r="G172" s="32">
        <f t="shared" si="219"/>
        <v>2</v>
      </c>
      <c r="H172" s="32">
        <f t="shared" si="219"/>
        <v>2</v>
      </c>
      <c r="I172" s="32">
        <f t="shared" si="219"/>
        <v>2</v>
      </c>
      <c r="J172" s="38">
        <f t="shared" si="219"/>
        <v>1</v>
      </c>
      <c r="K172" s="33">
        <f t="shared" si="219"/>
        <v>7</v>
      </c>
      <c r="L172" s="33">
        <f>L166</f>
        <v>14</v>
      </c>
      <c r="M172" s="54"/>
      <c r="S172" s="45" t="s">
        <v>16</v>
      </c>
      <c r="T172" s="32">
        <f>T166</f>
        <v>107</v>
      </c>
      <c r="U172" s="32">
        <f t="shared" ref="U172:AC172" si="220">U166</f>
        <v>118</v>
      </c>
      <c r="V172" s="32">
        <f t="shared" si="220"/>
        <v>85</v>
      </c>
      <c r="W172" s="38">
        <f t="shared" si="220"/>
        <v>49</v>
      </c>
      <c r="X172" s="33">
        <f t="shared" si="220"/>
        <v>359</v>
      </c>
      <c r="Y172" s="32">
        <f t="shared" si="220"/>
        <v>114</v>
      </c>
      <c r="Z172" s="32">
        <f t="shared" si="220"/>
        <v>119</v>
      </c>
      <c r="AA172" s="32">
        <f t="shared" si="220"/>
        <v>98</v>
      </c>
      <c r="AB172" s="38">
        <f t="shared" si="220"/>
        <v>62</v>
      </c>
      <c r="AC172" s="33">
        <f t="shared" si="220"/>
        <v>393</v>
      </c>
      <c r="AD172" s="33">
        <f>AD166</f>
        <v>752</v>
      </c>
      <c r="AE172" s="53"/>
      <c r="AF172" s="53"/>
    </row>
    <row r="173" spans="1:32" x14ac:dyDescent="0.15">
      <c r="A173" s="23" t="s">
        <v>17</v>
      </c>
      <c r="B173" s="24"/>
      <c r="C173" s="36"/>
      <c r="D173" s="36"/>
      <c r="E173" s="41">
        <v>3</v>
      </c>
      <c r="F173" s="26">
        <f t="shared" ref="F173" si="221">SUM(B173:E173)</f>
        <v>3</v>
      </c>
      <c r="G173" s="25">
        <v>3</v>
      </c>
      <c r="H173" s="36"/>
      <c r="I173" s="36"/>
      <c r="J173" s="41">
        <v>3</v>
      </c>
      <c r="K173" s="26">
        <f t="shared" ref="K173" si="222">SUM(G173:J173)</f>
        <v>6</v>
      </c>
      <c r="L173" s="26">
        <f t="shared" ref="L173" si="223">F173+K173</f>
        <v>9</v>
      </c>
      <c r="M173" s="55">
        <v>45573</v>
      </c>
      <c r="S173" s="23" t="s">
        <v>128</v>
      </c>
      <c r="T173" s="25">
        <v>4</v>
      </c>
      <c r="U173" s="25">
        <v>3</v>
      </c>
      <c r="V173" s="25">
        <v>2</v>
      </c>
      <c r="W173" s="39">
        <v>2</v>
      </c>
      <c r="X173" s="22">
        <f>SUM(T173:W173)</f>
        <v>11</v>
      </c>
      <c r="Y173" s="25">
        <v>4</v>
      </c>
      <c r="Z173" s="25">
        <v>0</v>
      </c>
      <c r="AA173" s="25">
        <v>0</v>
      </c>
      <c r="AB173" s="39">
        <v>0</v>
      </c>
      <c r="AC173" s="22">
        <f t="shared" ref="AC173:AC179" si="224">SUM(Y173:AB173)</f>
        <v>4</v>
      </c>
      <c r="AD173" s="26">
        <f t="shared" ref="AD173:AD179" si="225">X173+AC173</f>
        <v>15</v>
      </c>
      <c r="AE173" s="141">
        <v>45611</v>
      </c>
      <c r="AF173" s="142"/>
    </row>
    <row r="174" spans="1:32" x14ac:dyDescent="0.15">
      <c r="A174" s="23" t="s">
        <v>17</v>
      </c>
      <c r="B174" s="24">
        <v>2</v>
      </c>
      <c r="C174" s="36"/>
      <c r="D174" s="36"/>
      <c r="E174" s="41"/>
      <c r="F174" s="26">
        <f t="shared" ref="F174:F178" si="226">SUM(B174:E174)</f>
        <v>2</v>
      </c>
      <c r="G174" s="25"/>
      <c r="H174" s="36">
        <v>2</v>
      </c>
      <c r="I174" s="36">
        <v>2</v>
      </c>
      <c r="J174" s="41"/>
      <c r="K174" s="26">
        <f t="shared" ref="K174:K178" si="227">SUM(G174:J174)</f>
        <v>4</v>
      </c>
      <c r="L174" s="26">
        <f t="shared" ref="L174:L179" si="228">F174+K174</f>
        <v>6</v>
      </c>
      <c r="M174" s="55">
        <v>45594</v>
      </c>
      <c r="S174" s="23" t="s">
        <v>129</v>
      </c>
      <c r="T174" s="25">
        <v>4</v>
      </c>
      <c r="U174" s="25">
        <v>4</v>
      </c>
      <c r="V174" s="25">
        <v>2</v>
      </c>
      <c r="W174" s="39">
        <v>2</v>
      </c>
      <c r="X174" s="22">
        <f t="shared" ref="X174:X179" si="229">SUM(T174:W174)</f>
        <v>12</v>
      </c>
      <c r="Y174" s="25">
        <v>2</v>
      </c>
      <c r="Z174" s="25">
        <v>2</v>
      </c>
      <c r="AA174" s="25">
        <v>0</v>
      </c>
      <c r="AB174" s="39">
        <v>2</v>
      </c>
      <c r="AC174" s="22">
        <f t="shared" si="224"/>
        <v>6</v>
      </c>
      <c r="AD174" s="26">
        <f t="shared" si="225"/>
        <v>18</v>
      </c>
      <c r="AE174" s="141">
        <v>45611</v>
      </c>
      <c r="AF174" s="142"/>
    </row>
    <row r="175" spans="1:32" x14ac:dyDescent="0.15">
      <c r="A175" s="23" t="s">
        <v>127</v>
      </c>
      <c r="B175" s="24"/>
      <c r="C175" s="36"/>
      <c r="D175" s="36"/>
      <c r="E175" s="41"/>
      <c r="F175" s="26">
        <f t="shared" si="226"/>
        <v>0</v>
      </c>
      <c r="G175" s="25">
        <v>1</v>
      </c>
      <c r="H175" s="36"/>
      <c r="I175" s="36"/>
      <c r="J175" s="41"/>
      <c r="K175" s="26">
        <f t="shared" si="227"/>
        <v>1</v>
      </c>
      <c r="L175" s="26">
        <f t="shared" si="228"/>
        <v>1</v>
      </c>
      <c r="M175" s="55">
        <v>45607</v>
      </c>
      <c r="S175" s="23" t="s">
        <v>124</v>
      </c>
      <c r="T175" s="25">
        <v>5</v>
      </c>
      <c r="U175" s="25">
        <v>4</v>
      </c>
      <c r="V175" s="25">
        <v>2</v>
      </c>
      <c r="W175" s="39">
        <v>2</v>
      </c>
      <c r="X175" s="22">
        <f t="shared" si="229"/>
        <v>13</v>
      </c>
      <c r="Y175" s="25">
        <v>1</v>
      </c>
      <c r="Z175" s="25">
        <v>1</v>
      </c>
      <c r="AA175" s="25">
        <v>4</v>
      </c>
      <c r="AB175" s="39"/>
      <c r="AC175" s="22">
        <f t="shared" si="224"/>
        <v>6</v>
      </c>
      <c r="AD175" s="26">
        <f t="shared" si="225"/>
        <v>19</v>
      </c>
      <c r="AE175" s="141">
        <v>45611</v>
      </c>
      <c r="AF175" s="142"/>
    </row>
    <row r="176" spans="1:32" x14ac:dyDescent="0.15">
      <c r="A176" s="23" t="s">
        <v>34</v>
      </c>
      <c r="B176" s="24"/>
      <c r="C176" s="36"/>
      <c r="D176" s="36"/>
      <c r="E176" s="41"/>
      <c r="F176" s="26">
        <f t="shared" si="226"/>
        <v>0</v>
      </c>
      <c r="G176" s="25"/>
      <c r="H176" s="36"/>
      <c r="I176" s="36"/>
      <c r="J176" s="41">
        <v>1</v>
      </c>
      <c r="K176" s="26">
        <f t="shared" si="227"/>
        <v>1</v>
      </c>
      <c r="L176" s="26">
        <f t="shared" si="228"/>
        <v>1</v>
      </c>
      <c r="M176" s="55">
        <v>45617</v>
      </c>
      <c r="S176" s="23" t="s">
        <v>133</v>
      </c>
      <c r="T176" s="28">
        <v>2</v>
      </c>
      <c r="U176" s="28">
        <v>2</v>
      </c>
      <c r="V176" s="28">
        <v>3</v>
      </c>
      <c r="W176" s="40">
        <v>3</v>
      </c>
      <c r="X176" s="29">
        <f t="shared" si="229"/>
        <v>10</v>
      </c>
      <c r="Y176" s="28"/>
      <c r="Z176" s="28"/>
      <c r="AA176" s="28">
        <v>3</v>
      </c>
      <c r="AB176" s="40"/>
      <c r="AC176" s="29">
        <f t="shared" si="224"/>
        <v>3</v>
      </c>
      <c r="AD176" s="26">
        <f t="shared" si="225"/>
        <v>13</v>
      </c>
      <c r="AE176" s="141">
        <v>45647</v>
      </c>
      <c r="AF176" s="142"/>
    </row>
    <row r="177" spans="1:36" x14ac:dyDescent="0.15">
      <c r="A177" s="23" t="s">
        <v>17</v>
      </c>
      <c r="B177" s="24"/>
      <c r="C177" s="36"/>
      <c r="D177" s="36">
        <v>2</v>
      </c>
      <c r="E177" s="41"/>
      <c r="F177" s="26">
        <f t="shared" si="226"/>
        <v>2</v>
      </c>
      <c r="G177" s="25">
        <v>2</v>
      </c>
      <c r="H177" s="36"/>
      <c r="I177" s="36"/>
      <c r="J177" s="41"/>
      <c r="K177" s="26">
        <f t="shared" si="227"/>
        <v>2</v>
      </c>
      <c r="L177" s="26">
        <f t="shared" si="228"/>
        <v>4</v>
      </c>
      <c r="M177" s="55">
        <v>45623</v>
      </c>
      <c r="S177" s="23" t="s">
        <v>135</v>
      </c>
      <c r="T177" s="25">
        <v>1</v>
      </c>
      <c r="U177" s="36">
        <v>2</v>
      </c>
      <c r="V177" s="36">
        <v>2</v>
      </c>
      <c r="W177" s="41">
        <v>4</v>
      </c>
      <c r="X177" s="26">
        <f t="shared" ref="X177:X178" si="230">SUM(T177:W177)</f>
        <v>9</v>
      </c>
      <c r="Y177" s="25">
        <v>4</v>
      </c>
      <c r="Z177" s="36"/>
      <c r="AA177" s="36">
        <v>3</v>
      </c>
      <c r="AB177" s="41">
        <v>6</v>
      </c>
      <c r="AC177" s="26">
        <f t="shared" si="224"/>
        <v>13</v>
      </c>
      <c r="AD177" s="26">
        <f t="shared" si="225"/>
        <v>22</v>
      </c>
      <c r="AE177" s="141">
        <v>45664</v>
      </c>
      <c r="AF177" s="143"/>
      <c r="AJ177" s="112"/>
    </row>
    <row r="178" spans="1:36" x14ac:dyDescent="0.15">
      <c r="A178" s="23" t="s">
        <v>17</v>
      </c>
      <c r="B178" s="25">
        <v>5</v>
      </c>
      <c r="C178" s="25">
        <v>4</v>
      </c>
      <c r="D178" s="25">
        <v>2</v>
      </c>
      <c r="E178" s="39">
        <v>2</v>
      </c>
      <c r="F178" s="22">
        <f t="shared" si="226"/>
        <v>13</v>
      </c>
      <c r="G178" s="25">
        <v>1</v>
      </c>
      <c r="H178" s="25">
        <v>1</v>
      </c>
      <c r="I178" s="25">
        <v>4</v>
      </c>
      <c r="J178" s="39"/>
      <c r="K178" s="22">
        <f t="shared" si="227"/>
        <v>6</v>
      </c>
      <c r="L178" s="26">
        <f t="shared" si="228"/>
        <v>19</v>
      </c>
      <c r="M178" s="141">
        <v>45633</v>
      </c>
      <c r="N178" s="142"/>
      <c r="S178" s="23" t="s">
        <v>136</v>
      </c>
      <c r="T178" s="25">
        <v>5</v>
      </c>
      <c r="U178" s="36">
        <v>4</v>
      </c>
      <c r="V178" s="36">
        <v>2</v>
      </c>
      <c r="W178" s="41">
        <v>6</v>
      </c>
      <c r="X178" s="26">
        <f t="shared" si="230"/>
        <v>17</v>
      </c>
      <c r="Y178" s="25">
        <v>2</v>
      </c>
      <c r="Z178" s="36">
        <v>5</v>
      </c>
      <c r="AA178" s="36">
        <v>1</v>
      </c>
      <c r="AB178" s="41">
        <v>3</v>
      </c>
      <c r="AC178" s="26">
        <f t="shared" si="224"/>
        <v>11</v>
      </c>
      <c r="AD178" s="26">
        <f t="shared" si="225"/>
        <v>28</v>
      </c>
      <c r="AE178" s="141">
        <v>45674</v>
      </c>
      <c r="AF178" s="143"/>
      <c r="AJ178" s="112"/>
    </row>
    <row r="179" spans="1:36" ht="14.25" thickBot="1" x14ac:dyDescent="0.2">
      <c r="A179" s="23" t="s">
        <v>53</v>
      </c>
      <c r="B179" s="27">
        <v>-1</v>
      </c>
      <c r="C179" s="37"/>
      <c r="D179" s="37"/>
      <c r="E179" s="42"/>
      <c r="F179" s="43">
        <f t="shared" ref="F179" si="231">SUM(B179:E179)</f>
        <v>-1</v>
      </c>
      <c r="G179" s="28"/>
      <c r="H179" s="37"/>
      <c r="I179" s="37"/>
      <c r="J179" s="42"/>
      <c r="K179" s="43">
        <f t="shared" ref="K179" si="232">SUM(G179:J179)</f>
        <v>0</v>
      </c>
      <c r="L179" s="43">
        <f t="shared" si="228"/>
        <v>-1</v>
      </c>
      <c r="M179" s="55">
        <v>45636</v>
      </c>
      <c r="S179" s="23" t="s">
        <v>17</v>
      </c>
      <c r="T179" s="28"/>
      <c r="U179" s="37"/>
      <c r="V179" s="37"/>
      <c r="W179" s="42"/>
      <c r="X179" s="43">
        <f t="shared" si="229"/>
        <v>0</v>
      </c>
      <c r="Y179" s="28"/>
      <c r="Z179" s="37"/>
      <c r="AA179" s="37"/>
      <c r="AB179" s="42"/>
      <c r="AC179" s="43">
        <f t="shared" si="224"/>
        <v>0</v>
      </c>
      <c r="AD179" s="43">
        <f t="shared" si="225"/>
        <v>0</v>
      </c>
      <c r="AE179" s="141"/>
      <c r="AF179" s="142"/>
    </row>
    <row r="180" spans="1:36" ht="15" thickBot="1" x14ac:dyDescent="0.2">
      <c r="A180" s="46" t="s">
        <v>13</v>
      </c>
      <c r="B180" s="47">
        <f>SUM(B172:B179)</f>
        <v>8</v>
      </c>
      <c r="C180" s="48">
        <f t="shared" ref="C180:K180" si="233">SUM(C172:C179)</f>
        <v>6</v>
      </c>
      <c r="D180" s="48">
        <f t="shared" si="233"/>
        <v>6</v>
      </c>
      <c r="E180" s="49">
        <f t="shared" si="233"/>
        <v>6</v>
      </c>
      <c r="F180" s="34">
        <f t="shared" si="233"/>
        <v>26</v>
      </c>
      <c r="G180" s="47">
        <f t="shared" si="233"/>
        <v>9</v>
      </c>
      <c r="H180" s="48">
        <f t="shared" si="233"/>
        <v>5</v>
      </c>
      <c r="I180" s="48">
        <f t="shared" si="233"/>
        <v>8</v>
      </c>
      <c r="J180" s="49">
        <f t="shared" si="233"/>
        <v>5</v>
      </c>
      <c r="K180" s="34">
        <f t="shared" si="233"/>
        <v>27</v>
      </c>
      <c r="L180" s="34">
        <f>SUM(L172:L179)</f>
        <v>53</v>
      </c>
      <c r="M180" s="54"/>
      <c r="S180" s="46" t="s">
        <v>13</v>
      </c>
      <c r="T180" s="47">
        <f>SUM(T172:T179)</f>
        <v>128</v>
      </c>
      <c r="U180" s="48">
        <f t="shared" ref="U180" si="234">SUM(U172:U179)</f>
        <v>137</v>
      </c>
      <c r="V180" s="48">
        <f t="shared" ref="V180" si="235">SUM(V172:V179)</f>
        <v>98</v>
      </c>
      <c r="W180" s="49">
        <f t="shared" ref="W180" si="236">SUM(W172:W179)</f>
        <v>68</v>
      </c>
      <c r="X180" s="34">
        <f>SUM(X172:X179)</f>
        <v>431</v>
      </c>
      <c r="Y180" s="47">
        <f>SUM(Y172:Y179)</f>
        <v>127</v>
      </c>
      <c r="Z180" s="48">
        <f t="shared" ref="Z180" si="237">SUM(Z172:Z179)</f>
        <v>127</v>
      </c>
      <c r="AA180" s="48">
        <f t="shared" ref="AA180" si="238">SUM(AA172:AA179)</f>
        <v>109</v>
      </c>
      <c r="AB180" s="49">
        <f t="shared" ref="AB180" si="239">SUM(AB172:AB179)</f>
        <v>73</v>
      </c>
      <c r="AC180" s="34">
        <f>SUM(AC172:AC179)</f>
        <v>436</v>
      </c>
      <c r="AD180" s="34">
        <f>SUM(AD172:AD179)</f>
        <v>867</v>
      </c>
      <c r="AE180" s="141"/>
      <c r="AF180" s="142"/>
    </row>
    <row r="181" spans="1:36" x14ac:dyDescent="0.15">
      <c r="A181" s="35" t="s">
        <v>37</v>
      </c>
      <c r="B181" s="24"/>
      <c r="C181" s="25"/>
      <c r="D181" s="25"/>
      <c r="E181" s="25"/>
      <c r="F181" s="26">
        <f t="shared" ref="F181:F189" si="240">SUM(B181:E181)</f>
        <v>0</v>
      </c>
      <c r="G181" s="24">
        <v>1</v>
      </c>
      <c r="H181" s="25"/>
      <c r="I181" s="25"/>
      <c r="J181" s="25">
        <v>1</v>
      </c>
      <c r="K181" s="26">
        <f t="shared" ref="K181:K189" si="241">SUM(G181:J181)</f>
        <v>2</v>
      </c>
      <c r="L181" s="26">
        <f t="shared" ref="L181:L206" si="242">F181+K181</f>
        <v>2</v>
      </c>
      <c r="M181" s="55">
        <v>45572</v>
      </c>
      <c r="S181" s="31" t="s">
        <v>119</v>
      </c>
      <c r="T181" s="6"/>
      <c r="U181" s="7"/>
      <c r="V181" s="7"/>
      <c r="W181" s="7"/>
      <c r="X181" s="9">
        <f t="shared" ref="X181:X199" si="243">SUM(T181:W181)</f>
        <v>0</v>
      </c>
      <c r="Y181" s="6"/>
      <c r="Z181" s="7"/>
      <c r="AA181" s="7">
        <v>2</v>
      </c>
      <c r="AB181" s="7"/>
      <c r="AC181" s="9">
        <f t="shared" ref="AC181:AC199" si="244">SUM(Y181:AB181)</f>
        <v>2</v>
      </c>
      <c r="AD181" s="26">
        <f t="shared" ref="AD181:AD206" si="245">X181+AC181</f>
        <v>2</v>
      </c>
      <c r="AE181" s="141">
        <v>45572</v>
      </c>
      <c r="AF181" s="142"/>
      <c r="AG181" s="74"/>
      <c r="AH181" s="50"/>
    </row>
    <row r="182" spans="1:36" x14ac:dyDescent="0.15">
      <c r="A182" s="35" t="s">
        <v>37</v>
      </c>
      <c r="B182" s="24"/>
      <c r="C182" s="25"/>
      <c r="D182" s="25"/>
      <c r="E182" s="25"/>
      <c r="F182" s="26">
        <f t="shared" si="240"/>
        <v>0</v>
      </c>
      <c r="G182" s="24"/>
      <c r="H182" s="25"/>
      <c r="I182" s="25"/>
      <c r="J182" s="25">
        <v>1</v>
      </c>
      <c r="K182" s="26">
        <f t="shared" si="241"/>
        <v>1</v>
      </c>
      <c r="L182" s="26">
        <f t="shared" si="242"/>
        <v>1</v>
      </c>
      <c r="M182" s="55">
        <v>45573</v>
      </c>
      <c r="S182" s="31" t="s">
        <v>120</v>
      </c>
      <c r="T182" s="6">
        <v>1</v>
      </c>
      <c r="U182" s="7"/>
      <c r="V182" s="7"/>
      <c r="W182" s="7"/>
      <c r="X182" s="9">
        <f t="shared" si="243"/>
        <v>1</v>
      </c>
      <c r="Y182" s="6"/>
      <c r="Z182" s="7"/>
      <c r="AA182" s="7"/>
      <c r="AB182" s="7"/>
      <c r="AC182" s="9">
        <f t="shared" si="244"/>
        <v>0</v>
      </c>
      <c r="AD182" s="26">
        <f t="shared" si="245"/>
        <v>1</v>
      </c>
      <c r="AE182" s="141">
        <v>45574</v>
      </c>
      <c r="AF182" s="142"/>
    </row>
    <row r="183" spans="1:36" x14ac:dyDescent="0.15">
      <c r="A183" s="35" t="s">
        <v>37</v>
      </c>
      <c r="B183" s="24"/>
      <c r="C183" s="25"/>
      <c r="D183" s="25"/>
      <c r="E183" s="25"/>
      <c r="F183" s="26">
        <f t="shared" si="240"/>
        <v>0</v>
      </c>
      <c r="G183" s="24"/>
      <c r="H183" s="25"/>
      <c r="I183" s="25">
        <v>1</v>
      </c>
      <c r="J183" s="25"/>
      <c r="K183" s="26">
        <f t="shared" si="241"/>
        <v>1</v>
      </c>
      <c r="L183" s="26">
        <f t="shared" si="242"/>
        <v>1</v>
      </c>
      <c r="M183" s="55">
        <v>45587</v>
      </c>
      <c r="S183" s="30" t="s">
        <v>31</v>
      </c>
      <c r="T183" s="6"/>
      <c r="U183" s="7"/>
      <c r="V183" s="7"/>
      <c r="W183" s="7"/>
      <c r="X183" s="9">
        <f t="shared" si="243"/>
        <v>0</v>
      </c>
      <c r="Y183" s="6">
        <v>3</v>
      </c>
      <c r="Z183" s="7"/>
      <c r="AA183" s="7"/>
      <c r="AB183" s="7">
        <v>3</v>
      </c>
      <c r="AC183" s="9">
        <f t="shared" si="244"/>
        <v>6</v>
      </c>
      <c r="AD183" s="26">
        <f t="shared" si="245"/>
        <v>6</v>
      </c>
      <c r="AE183" s="141">
        <v>45573</v>
      </c>
      <c r="AF183" s="142"/>
      <c r="AG183" s="74"/>
    </row>
    <row r="184" spans="1:36" x14ac:dyDescent="0.15">
      <c r="A184" s="77" t="s">
        <v>125</v>
      </c>
      <c r="B184" s="24"/>
      <c r="C184" s="25"/>
      <c r="D184" s="25"/>
      <c r="E184" s="25"/>
      <c r="F184" s="26">
        <f t="shared" si="240"/>
        <v>0</v>
      </c>
      <c r="G184" s="24">
        <v>1</v>
      </c>
      <c r="H184" s="25"/>
      <c r="I184" s="25"/>
      <c r="J184" s="25"/>
      <c r="K184" s="26">
        <f t="shared" si="241"/>
        <v>1</v>
      </c>
      <c r="L184" s="26">
        <f t="shared" si="242"/>
        <v>1</v>
      </c>
      <c r="M184" s="55">
        <v>45594</v>
      </c>
      <c r="S184" s="31" t="s">
        <v>121</v>
      </c>
      <c r="T184" s="6"/>
      <c r="U184" s="7"/>
      <c r="V184" s="7"/>
      <c r="W184" s="7"/>
      <c r="X184" s="9">
        <f t="shared" si="243"/>
        <v>0</v>
      </c>
      <c r="Y184" s="6"/>
      <c r="Z184" s="7"/>
      <c r="AA184" s="7"/>
      <c r="AB184" s="7">
        <v>1</v>
      </c>
      <c r="AC184" s="9">
        <f t="shared" si="244"/>
        <v>1</v>
      </c>
      <c r="AD184" s="26">
        <f t="shared" si="245"/>
        <v>1</v>
      </c>
      <c r="AE184" s="141">
        <v>45573</v>
      </c>
      <c r="AF184" s="142"/>
      <c r="AG184" s="74"/>
      <c r="AH184" s="50"/>
    </row>
    <row r="185" spans="1:36" x14ac:dyDescent="0.15">
      <c r="A185" s="35" t="s">
        <v>37</v>
      </c>
      <c r="B185" s="24">
        <v>1</v>
      </c>
      <c r="C185" s="25"/>
      <c r="D185" s="25"/>
      <c r="E185" s="25"/>
      <c r="F185" s="26">
        <f t="shared" si="240"/>
        <v>1</v>
      </c>
      <c r="G185" s="24"/>
      <c r="H185" s="25">
        <v>1</v>
      </c>
      <c r="I185" s="25"/>
      <c r="J185" s="25"/>
      <c r="K185" s="26">
        <f t="shared" si="241"/>
        <v>1</v>
      </c>
      <c r="L185" s="26">
        <f t="shared" si="242"/>
        <v>2</v>
      </c>
      <c r="M185" s="55">
        <v>45593</v>
      </c>
      <c r="S185" s="31" t="s">
        <v>122</v>
      </c>
      <c r="T185" s="6"/>
      <c r="U185" s="7"/>
      <c r="V185" s="7"/>
      <c r="W185" s="7"/>
      <c r="X185" s="9">
        <f t="shared" si="243"/>
        <v>0</v>
      </c>
      <c r="Y185" s="6"/>
      <c r="Z185" s="7"/>
      <c r="AA185" s="7">
        <v>1</v>
      </c>
      <c r="AB185" s="7"/>
      <c r="AC185" s="9">
        <f t="shared" si="244"/>
        <v>1</v>
      </c>
      <c r="AD185" s="26">
        <f t="shared" si="245"/>
        <v>1</v>
      </c>
      <c r="AE185" s="141">
        <v>45576</v>
      </c>
      <c r="AF185" s="142"/>
    </row>
    <row r="186" spans="1:36" x14ac:dyDescent="0.15">
      <c r="A186" s="35" t="s">
        <v>37</v>
      </c>
      <c r="B186" s="24"/>
      <c r="C186" s="25"/>
      <c r="D186" s="25"/>
      <c r="E186" s="25"/>
      <c r="F186" s="26">
        <f t="shared" si="240"/>
        <v>0</v>
      </c>
      <c r="G186" s="24">
        <v>1</v>
      </c>
      <c r="H186" s="25"/>
      <c r="I186" s="25"/>
      <c r="J186" s="25"/>
      <c r="K186" s="26">
        <f t="shared" si="241"/>
        <v>1</v>
      </c>
      <c r="L186" s="26">
        <f t="shared" si="242"/>
        <v>1</v>
      </c>
      <c r="M186" s="55">
        <v>45595</v>
      </c>
      <c r="S186" s="31" t="s">
        <v>123</v>
      </c>
      <c r="T186" s="6"/>
      <c r="U186" s="7"/>
      <c r="V186" s="7"/>
      <c r="W186" s="7"/>
      <c r="X186" s="9">
        <f t="shared" si="243"/>
        <v>0</v>
      </c>
      <c r="Y186" s="6"/>
      <c r="Z186" s="7">
        <v>7</v>
      </c>
      <c r="AA186" s="7"/>
      <c r="AB186" s="7"/>
      <c r="AC186" s="9">
        <f t="shared" si="244"/>
        <v>7</v>
      </c>
      <c r="AD186" s="26">
        <f t="shared" si="245"/>
        <v>7</v>
      </c>
      <c r="AE186" s="141">
        <v>45576</v>
      </c>
      <c r="AF186" s="142"/>
    </row>
    <row r="187" spans="1:36" x14ac:dyDescent="0.15">
      <c r="A187" s="35" t="s">
        <v>37</v>
      </c>
      <c r="B187" s="24"/>
      <c r="C187" s="25"/>
      <c r="D187" s="25"/>
      <c r="E187" s="25"/>
      <c r="F187" s="26">
        <f t="shared" si="240"/>
        <v>0</v>
      </c>
      <c r="G187" s="24">
        <v>1</v>
      </c>
      <c r="H187" s="25"/>
      <c r="I187" s="25"/>
      <c r="J187" s="25"/>
      <c r="K187" s="26">
        <f t="shared" si="241"/>
        <v>1</v>
      </c>
      <c r="L187" s="26">
        <f t="shared" si="242"/>
        <v>1</v>
      </c>
      <c r="M187" s="55">
        <v>45601</v>
      </c>
      <c r="S187" s="30" t="s">
        <v>31</v>
      </c>
      <c r="T187" s="6">
        <v>2</v>
      </c>
      <c r="U187" s="7"/>
      <c r="V187" s="7"/>
      <c r="W187" s="7"/>
      <c r="X187" s="9">
        <f t="shared" si="243"/>
        <v>2</v>
      </c>
      <c r="Y187" s="6"/>
      <c r="Z187" s="7">
        <v>2</v>
      </c>
      <c r="AA187" s="7">
        <v>2</v>
      </c>
      <c r="AB187" s="7"/>
      <c r="AC187" s="9">
        <f t="shared" si="244"/>
        <v>4</v>
      </c>
      <c r="AD187" s="26">
        <f t="shared" si="245"/>
        <v>6</v>
      </c>
      <c r="AE187" s="141">
        <v>45594</v>
      </c>
      <c r="AF187" s="142"/>
    </row>
    <row r="188" spans="1:36" x14ac:dyDescent="0.15">
      <c r="A188" s="35" t="s">
        <v>37</v>
      </c>
      <c r="B188" s="24"/>
      <c r="C188" s="25"/>
      <c r="D188" s="25"/>
      <c r="E188" s="25"/>
      <c r="F188" s="26">
        <f t="shared" si="240"/>
        <v>0</v>
      </c>
      <c r="G188" s="24"/>
      <c r="H188" s="25">
        <v>1</v>
      </c>
      <c r="I188" s="25"/>
      <c r="J188" s="25"/>
      <c r="K188" s="26">
        <f t="shared" si="241"/>
        <v>1</v>
      </c>
      <c r="L188" s="26">
        <f t="shared" si="242"/>
        <v>1</v>
      </c>
      <c r="M188" s="55">
        <v>45607</v>
      </c>
      <c r="S188" s="30" t="s">
        <v>31</v>
      </c>
      <c r="T188" s="6"/>
      <c r="U188" s="7"/>
      <c r="V188" s="7">
        <v>2</v>
      </c>
      <c r="W188" s="7"/>
      <c r="X188" s="9">
        <f t="shared" si="243"/>
        <v>2</v>
      </c>
      <c r="Y188" s="6">
        <v>2</v>
      </c>
      <c r="Z188" s="7"/>
      <c r="AA188" s="7"/>
      <c r="AB188" s="7"/>
      <c r="AC188" s="9">
        <f t="shared" si="244"/>
        <v>2</v>
      </c>
      <c r="AD188" s="26">
        <f t="shared" si="245"/>
        <v>4</v>
      </c>
      <c r="AE188" s="141">
        <v>45623</v>
      </c>
      <c r="AF188" s="142"/>
    </row>
    <row r="189" spans="1:36" x14ac:dyDescent="0.15">
      <c r="A189" s="35" t="s">
        <v>37</v>
      </c>
      <c r="B189" s="24"/>
      <c r="C189" s="25"/>
      <c r="D189" s="25"/>
      <c r="E189" s="25"/>
      <c r="F189" s="26">
        <f t="shared" si="240"/>
        <v>0</v>
      </c>
      <c r="G189" s="24">
        <v>1</v>
      </c>
      <c r="H189" s="25"/>
      <c r="I189" s="25"/>
      <c r="J189" s="25"/>
      <c r="K189" s="26">
        <f t="shared" si="241"/>
        <v>1</v>
      </c>
      <c r="L189" s="26">
        <f t="shared" si="242"/>
        <v>1</v>
      </c>
      <c r="M189" s="55">
        <v>45621</v>
      </c>
      <c r="S189" s="30" t="s">
        <v>31</v>
      </c>
      <c r="T189" s="25">
        <v>5</v>
      </c>
      <c r="U189" s="25">
        <v>4</v>
      </c>
      <c r="V189" s="25">
        <v>2</v>
      </c>
      <c r="W189" s="39">
        <v>2</v>
      </c>
      <c r="X189" s="22">
        <f t="shared" si="243"/>
        <v>13</v>
      </c>
      <c r="Y189" s="25">
        <v>1</v>
      </c>
      <c r="Z189" s="25">
        <v>1</v>
      </c>
      <c r="AA189" s="25">
        <v>4</v>
      </c>
      <c r="AB189" s="39"/>
      <c r="AC189" s="22">
        <f t="shared" si="244"/>
        <v>6</v>
      </c>
      <c r="AD189" s="26">
        <f t="shared" si="245"/>
        <v>19</v>
      </c>
      <c r="AE189" s="141">
        <v>45633</v>
      </c>
      <c r="AF189" s="142"/>
    </row>
    <row r="190" spans="1:36" x14ac:dyDescent="0.15">
      <c r="A190" s="35" t="s">
        <v>37</v>
      </c>
      <c r="B190" s="24"/>
      <c r="C190" s="25"/>
      <c r="D190" s="25">
        <v>1</v>
      </c>
      <c r="E190" s="25"/>
      <c r="F190" s="26">
        <f t="shared" ref="F190:F206" si="246">SUM(B190:E190)</f>
        <v>1</v>
      </c>
      <c r="G190" s="24"/>
      <c r="H190" s="25"/>
      <c r="I190" s="25"/>
      <c r="J190" s="25"/>
      <c r="K190" s="26">
        <f t="shared" ref="K190:K206" si="247">SUM(G190:J190)</f>
        <v>0</v>
      </c>
      <c r="L190" s="26">
        <f t="shared" si="242"/>
        <v>1</v>
      </c>
      <c r="M190" s="55">
        <v>45622</v>
      </c>
      <c r="S190" s="30" t="s">
        <v>31</v>
      </c>
      <c r="T190" s="6"/>
      <c r="U190" s="7"/>
      <c r="V190" s="7"/>
      <c r="W190" s="7"/>
      <c r="X190" s="9">
        <f t="shared" si="243"/>
        <v>0</v>
      </c>
      <c r="Y190" s="6"/>
      <c r="Z190" s="7"/>
      <c r="AA190" s="7"/>
      <c r="AB190" s="7">
        <v>2</v>
      </c>
      <c r="AC190" s="9">
        <f t="shared" si="244"/>
        <v>2</v>
      </c>
      <c r="AD190" s="26">
        <f t="shared" si="245"/>
        <v>2</v>
      </c>
      <c r="AE190" s="141">
        <v>45643</v>
      </c>
      <c r="AF190" s="142"/>
    </row>
    <row r="191" spans="1:36" x14ac:dyDescent="0.15">
      <c r="A191" s="35" t="s">
        <v>37</v>
      </c>
      <c r="B191" s="24"/>
      <c r="C191" s="25"/>
      <c r="D191" s="25"/>
      <c r="E191" s="25"/>
      <c r="F191" s="26">
        <f t="shared" si="246"/>
        <v>0</v>
      </c>
      <c r="G191" s="24"/>
      <c r="H191" s="25"/>
      <c r="I191" s="25"/>
      <c r="J191" s="25">
        <v>1</v>
      </c>
      <c r="K191" s="26">
        <f t="shared" si="247"/>
        <v>1</v>
      </c>
      <c r="L191" s="26">
        <f t="shared" si="242"/>
        <v>1</v>
      </c>
      <c r="M191" s="55">
        <v>45635</v>
      </c>
      <c r="S191" s="30" t="s">
        <v>31</v>
      </c>
      <c r="T191" s="6"/>
      <c r="U191" s="7"/>
      <c r="V191" s="7"/>
      <c r="W191" s="7"/>
      <c r="X191" s="9">
        <f t="shared" si="243"/>
        <v>0</v>
      </c>
      <c r="Y191" s="6"/>
      <c r="Z191" s="7">
        <v>2</v>
      </c>
      <c r="AA191" s="7"/>
      <c r="AB191" s="7"/>
      <c r="AC191" s="9">
        <f t="shared" si="244"/>
        <v>2</v>
      </c>
      <c r="AD191" s="26">
        <f t="shared" si="245"/>
        <v>2</v>
      </c>
      <c r="AE191" s="141">
        <v>45650</v>
      </c>
      <c r="AF191" s="142"/>
    </row>
    <row r="192" spans="1:36" x14ac:dyDescent="0.15">
      <c r="A192" s="35" t="s">
        <v>132</v>
      </c>
      <c r="B192" s="24">
        <v>2</v>
      </c>
      <c r="C192" s="25">
        <v>2</v>
      </c>
      <c r="D192" s="25">
        <v>3</v>
      </c>
      <c r="E192" s="25">
        <v>3</v>
      </c>
      <c r="F192" s="26">
        <f t="shared" si="246"/>
        <v>10</v>
      </c>
      <c r="G192" s="24"/>
      <c r="H192" s="25"/>
      <c r="I192" s="25">
        <v>3</v>
      </c>
      <c r="J192" s="25"/>
      <c r="K192" s="26">
        <f t="shared" si="247"/>
        <v>3</v>
      </c>
      <c r="L192" s="26">
        <f t="shared" si="242"/>
        <v>13</v>
      </c>
      <c r="M192" s="55">
        <v>45647</v>
      </c>
      <c r="S192" s="30" t="s">
        <v>31</v>
      </c>
      <c r="T192" s="6"/>
      <c r="U192" s="7"/>
      <c r="V192" s="7">
        <v>2</v>
      </c>
      <c r="W192" s="7"/>
      <c r="X192" s="9">
        <f t="shared" si="243"/>
        <v>2</v>
      </c>
      <c r="Y192" s="6"/>
      <c r="Z192" s="7"/>
      <c r="AA192" s="7"/>
      <c r="AB192" s="7"/>
      <c r="AC192" s="9">
        <f t="shared" si="244"/>
        <v>0</v>
      </c>
      <c r="AD192" s="26">
        <f t="shared" si="245"/>
        <v>2</v>
      </c>
      <c r="AE192" s="141">
        <v>45653</v>
      </c>
      <c r="AF192" s="142"/>
    </row>
    <row r="193" spans="1:32" x14ac:dyDescent="0.15">
      <c r="A193" s="35" t="s">
        <v>37</v>
      </c>
      <c r="B193" s="24"/>
      <c r="C193" s="25"/>
      <c r="D193" s="25"/>
      <c r="E193" s="25"/>
      <c r="F193" s="26">
        <f t="shared" si="246"/>
        <v>0</v>
      </c>
      <c r="G193" s="24"/>
      <c r="H193" s="25"/>
      <c r="I193" s="25"/>
      <c r="J193" s="25">
        <v>1</v>
      </c>
      <c r="K193" s="26">
        <f t="shared" si="247"/>
        <v>1</v>
      </c>
      <c r="L193" s="26">
        <f t="shared" si="242"/>
        <v>1</v>
      </c>
      <c r="M193" s="55">
        <v>45642</v>
      </c>
      <c r="S193" s="31"/>
      <c r="T193" s="6"/>
      <c r="U193" s="7"/>
      <c r="V193" s="7"/>
      <c r="W193" s="7"/>
      <c r="X193" s="9">
        <f t="shared" si="243"/>
        <v>0</v>
      </c>
      <c r="Y193" s="6"/>
      <c r="Z193" s="7"/>
      <c r="AA193" s="7"/>
      <c r="AB193" s="7"/>
      <c r="AC193" s="9">
        <f t="shared" si="244"/>
        <v>0</v>
      </c>
      <c r="AD193" s="26">
        <f t="shared" si="245"/>
        <v>0</v>
      </c>
      <c r="AE193" s="141"/>
      <c r="AF193" s="142"/>
    </row>
    <row r="194" spans="1:32" x14ac:dyDescent="0.15">
      <c r="A194" s="35" t="s">
        <v>134</v>
      </c>
      <c r="B194" s="24"/>
      <c r="C194" s="25"/>
      <c r="D194" s="25"/>
      <c r="E194" s="25"/>
      <c r="F194" s="26">
        <f t="shared" si="246"/>
        <v>0</v>
      </c>
      <c r="G194" s="24"/>
      <c r="H194" s="25"/>
      <c r="I194" s="25"/>
      <c r="J194" s="25">
        <v>-2</v>
      </c>
      <c r="K194" s="26">
        <f t="shared" si="247"/>
        <v>-2</v>
      </c>
      <c r="L194" s="26">
        <f t="shared" si="242"/>
        <v>-2</v>
      </c>
      <c r="M194" s="55">
        <v>45643</v>
      </c>
      <c r="S194" s="31"/>
      <c r="T194" s="6"/>
      <c r="U194" s="7"/>
      <c r="V194" s="7"/>
      <c r="W194" s="7"/>
      <c r="X194" s="9">
        <f t="shared" si="243"/>
        <v>0</v>
      </c>
      <c r="Y194" s="6"/>
      <c r="Z194" s="7"/>
      <c r="AA194" s="7"/>
      <c r="AB194" s="7"/>
      <c r="AC194" s="9">
        <f t="shared" si="244"/>
        <v>0</v>
      </c>
      <c r="AD194" s="26">
        <f t="shared" si="245"/>
        <v>0</v>
      </c>
      <c r="AE194" s="141"/>
      <c r="AF194" s="142"/>
    </row>
    <row r="195" spans="1:32" x14ac:dyDescent="0.15">
      <c r="A195" s="35" t="s">
        <v>37</v>
      </c>
      <c r="B195" s="24"/>
      <c r="C195" s="25"/>
      <c r="D195" s="25"/>
      <c r="E195" s="25"/>
      <c r="F195" s="26">
        <f t="shared" si="246"/>
        <v>0</v>
      </c>
      <c r="G195" s="24"/>
      <c r="H195" s="25">
        <v>1</v>
      </c>
      <c r="I195" s="25"/>
      <c r="J195" s="25"/>
      <c r="K195" s="26">
        <f t="shared" si="247"/>
        <v>1</v>
      </c>
      <c r="L195" s="26">
        <f t="shared" si="242"/>
        <v>1</v>
      </c>
      <c r="M195" s="55">
        <v>45646</v>
      </c>
      <c r="S195" s="31"/>
      <c r="T195" s="6"/>
      <c r="U195" s="7"/>
      <c r="V195" s="7"/>
      <c r="W195" s="7"/>
      <c r="X195" s="9">
        <f t="shared" si="243"/>
        <v>0</v>
      </c>
      <c r="Y195" s="6"/>
      <c r="Z195" s="7"/>
      <c r="AA195" s="7"/>
      <c r="AB195" s="7"/>
      <c r="AC195" s="9">
        <f t="shared" si="244"/>
        <v>0</v>
      </c>
      <c r="AD195" s="26">
        <f t="shared" si="245"/>
        <v>0</v>
      </c>
      <c r="AE195" s="141"/>
      <c r="AF195" s="142"/>
    </row>
    <row r="196" spans="1:32" x14ac:dyDescent="0.15">
      <c r="A196" s="35" t="s">
        <v>37</v>
      </c>
      <c r="B196" s="24"/>
      <c r="C196" s="25"/>
      <c r="D196" s="25"/>
      <c r="E196" s="25"/>
      <c r="F196" s="26">
        <f t="shared" si="246"/>
        <v>0</v>
      </c>
      <c r="G196" s="24"/>
      <c r="H196" s="25">
        <v>1</v>
      </c>
      <c r="I196" s="25"/>
      <c r="J196" s="25"/>
      <c r="K196" s="26">
        <f t="shared" si="247"/>
        <v>1</v>
      </c>
      <c r="L196" s="26">
        <f t="shared" si="242"/>
        <v>1</v>
      </c>
      <c r="M196" s="55">
        <v>45649</v>
      </c>
      <c r="S196" s="31"/>
      <c r="T196" s="6"/>
      <c r="U196" s="7"/>
      <c r="V196" s="7"/>
      <c r="W196" s="7"/>
      <c r="X196" s="9">
        <f t="shared" si="243"/>
        <v>0</v>
      </c>
      <c r="Y196" s="6"/>
      <c r="Z196" s="7"/>
      <c r="AA196" s="7"/>
      <c r="AB196" s="7"/>
      <c r="AC196" s="9">
        <f t="shared" si="244"/>
        <v>0</v>
      </c>
      <c r="AD196" s="26">
        <f t="shared" si="245"/>
        <v>0</v>
      </c>
      <c r="AE196" s="141"/>
      <c r="AF196" s="142"/>
    </row>
    <row r="197" spans="1:32" x14ac:dyDescent="0.15">
      <c r="A197" s="35" t="s">
        <v>17</v>
      </c>
      <c r="B197" s="24"/>
      <c r="C197" s="25"/>
      <c r="D197" s="25"/>
      <c r="E197" s="25"/>
      <c r="F197" s="26">
        <f t="shared" si="246"/>
        <v>0</v>
      </c>
      <c r="G197" s="24"/>
      <c r="H197" s="25">
        <v>-2</v>
      </c>
      <c r="I197" s="25"/>
      <c r="J197" s="25"/>
      <c r="K197" s="26">
        <f t="shared" si="247"/>
        <v>-2</v>
      </c>
      <c r="L197" s="26">
        <f t="shared" si="242"/>
        <v>-2</v>
      </c>
      <c r="M197" s="55">
        <v>45650</v>
      </c>
      <c r="S197" s="31"/>
      <c r="T197" s="6"/>
      <c r="U197" s="7"/>
      <c r="V197" s="7"/>
      <c r="W197" s="7"/>
      <c r="X197" s="9">
        <f t="shared" si="243"/>
        <v>0</v>
      </c>
      <c r="Y197" s="6"/>
      <c r="Z197" s="7"/>
      <c r="AA197" s="7"/>
      <c r="AB197" s="7"/>
      <c r="AC197" s="9">
        <f t="shared" si="244"/>
        <v>0</v>
      </c>
      <c r="AD197" s="26">
        <f t="shared" si="245"/>
        <v>0</v>
      </c>
      <c r="AE197" s="141"/>
      <c r="AF197" s="142"/>
    </row>
    <row r="198" spans="1:32" x14ac:dyDescent="0.15">
      <c r="A198" s="35" t="s">
        <v>37</v>
      </c>
      <c r="B198" s="24"/>
      <c r="C198" s="25"/>
      <c r="D198" s="25">
        <v>1</v>
      </c>
      <c r="E198" s="25"/>
      <c r="F198" s="26">
        <f t="shared" si="246"/>
        <v>1</v>
      </c>
      <c r="G198" s="24"/>
      <c r="H198" s="25"/>
      <c r="I198" s="25"/>
      <c r="J198" s="25"/>
      <c r="K198" s="26">
        <f t="shared" si="247"/>
        <v>0</v>
      </c>
      <c r="L198" s="26">
        <f t="shared" si="242"/>
        <v>1</v>
      </c>
      <c r="M198" s="55">
        <v>45652</v>
      </c>
      <c r="S198" s="31"/>
      <c r="T198" s="6"/>
      <c r="U198" s="7"/>
      <c r="V198" s="7"/>
      <c r="W198" s="7"/>
      <c r="X198" s="9">
        <f t="shared" si="243"/>
        <v>0</v>
      </c>
      <c r="Y198" s="6"/>
      <c r="Z198" s="7"/>
      <c r="AA198" s="7"/>
      <c r="AB198" s="7"/>
      <c r="AC198" s="9">
        <f t="shared" si="244"/>
        <v>0</v>
      </c>
      <c r="AD198" s="26">
        <f t="shared" si="245"/>
        <v>0</v>
      </c>
      <c r="AE198" s="141"/>
      <c r="AF198" s="142"/>
    </row>
    <row r="199" spans="1:32" x14ac:dyDescent="0.15">
      <c r="A199" s="35" t="s">
        <v>17</v>
      </c>
      <c r="B199" s="24"/>
      <c r="C199" s="25"/>
      <c r="D199" s="25">
        <v>-2</v>
      </c>
      <c r="E199" s="25"/>
      <c r="F199" s="26">
        <f t="shared" si="246"/>
        <v>-2</v>
      </c>
      <c r="G199" s="24"/>
      <c r="H199" s="25"/>
      <c r="I199" s="25"/>
      <c r="J199" s="25"/>
      <c r="K199" s="26">
        <f t="shared" si="247"/>
        <v>0</v>
      </c>
      <c r="L199" s="26">
        <f t="shared" si="242"/>
        <v>-2</v>
      </c>
      <c r="M199" s="55">
        <v>45653</v>
      </c>
      <c r="S199" s="31"/>
      <c r="T199" s="6"/>
      <c r="U199" s="7"/>
      <c r="V199" s="7"/>
      <c r="W199" s="7"/>
      <c r="X199" s="9">
        <f t="shared" si="243"/>
        <v>0</v>
      </c>
      <c r="Y199" s="6"/>
      <c r="Z199" s="7"/>
      <c r="AA199" s="7"/>
      <c r="AB199" s="7"/>
      <c r="AC199" s="9">
        <f t="shared" si="244"/>
        <v>0</v>
      </c>
      <c r="AD199" s="26">
        <f t="shared" si="245"/>
        <v>0</v>
      </c>
      <c r="AE199" s="141"/>
      <c r="AF199" s="142"/>
    </row>
    <row r="200" spans="1:32" x14ac:dyDescent="0.15">
      <c r="A200" s="35" t="s">
        <v>37</v>
      </c>
      <c r="B200" s="6"/>
      <c r="C200" s="7"/>
      <c r="D200" s="7"/>
      <c r="E200" s="7"/>
      <c r="F200" s="9">
        <f t="shared" si="246"/>
        <v>0</v>
      </c>
      <c r="G200" s="6"/>
      <c r="H200" s="7"/>
      <c r="I200" s="7"/>
      <c r="J200" s="7">
        <v>1</v>
      </c>
      <c r="K200" s="9">
        <f t="shared" si="247"/>
        <v>1</v>
      </c>
      <c r="L200" s="26">
        <f t="shared" si="242"/>
        <v>1</v>
      </c>
      <c r="M200" s="55">
        <v>45663</v>
      </c>
      <c r="S200" s="31"/>
      <c r="T200" s="6"/>
      <c r="U200" s="7"/>
      <c r="V200" s="7"/>
      <c r="W200" s="7"/>
      <c r="X200" s="9">
        <f t="shared" ref="X200" si="248">SUM(T200:W200)</f>
        <v>0</v>
      </c>
      <c r="Y200" s="6"/>
      <c r="Z200" s="7"/>
      <c r="AA200" s="7"/>
      <c r="AB200" s="7"/>
      <c r="AC200" s="9">
        <f t="shared" ref="AC200" si="249">SUM(Y200:AB200)</f>
        <v>0</v>
      </c>
      <c r="AD200" s="26">
        <f t="shared" si="245"/>
        <v>0</v>
      </c>
      <c r="AE200" s="141"/>
      <c r="AF200" s="142"/>
    </row>
    <row r="201" spans="1:32" x14ac:dyDescent="0.15">
      <c r="A201" s="35" t="s">
        <v>37</v>
      </c>
      <c r="B201" s="24"/>
      <c r="C201" s="25"/>
      <c r="D201" s="25"/>
      <c r="E201" s="25"/>
      <c r="F201" s="26">
        <f t="shared" si="246"/>
        <v>0</v>
      </c>
      <c r="G201" s="24"/>
      <c r="H201" s="25"/>
      <c r="I201" s="25">
        <v>1</v>
      </c>
      <c r="J201" s="25"/>
      <c r="K201" s="26">
        <f t="shared" si="247"/>
        <v>1</v>
      </c>
      <c r="L201" s="26">
        <f t="shared" si="242"/>
        <v>1</v>
      </c>
      <c r="M201" s="55">
        <v>45664</v>
      </c>
      <c r="S201" s="31"/>
      <c r="T201" s="6"/>
      <c r="U201" s="7"/>
      <c r="V201" s="7"/>
      <c r="W201" s="7"/>
      <c r="X201" s="9">
        <f t="shared" ref="X201:X206" si="250">SUM(T201:W201)</f>
        <v>0</v>
      </c>
      <c r="Y201" s="6"/>
      <c r="Z201" s="7"/>
      <c r="AA201" s="7"/>
      <c r="AB201" s="7"/>
      <c r="AC201" s="9">
        <f t="shared" ref="AC201:AC206" si="251">SUM(Y201:AB201)</f>
        <v>0</v>
      </c>
      <c r="AD201" s="26">
        <f t="shared" si="245"/>
        <v>0</v>
      </c>
      <c r="AE201" s="141"/>
      <c r="AF201" s="142"/>
    </row>
    <row r="202" spans="1:32" x14ac:dyDescent="0.15">
      <c r="A202" s="35" t="s">
        <v>37</v>
      </c>
      <c r="B202" s="27"/>
      <c r="C202" s="28"/>
      <c r="D202" s="28"/>
      <c r="E202" s="28"/>
      <c r="F202" s="26">
        <f t="shared" si="246"/>
        <v>0</v>
      </c>
      <c r="G202" s="27"/>
      <c r="H202" s="28"/>
      <c r="I202" s="28"/>
      <c r="J202" s="28">
        <v>1</v>
      </c>
      <c r="K202" s="26">
        <f t="shared" si="247"/>
        <v>1</v>
      </c>
      <c r="L202" s="26">
        <f t="shared" si="242"/>
        <v>1</v>
      </c>
      <c r="M202" s="55">
        <v>45675</v>
      </c>
      <c r="S202" s="31"/>
      <c r="T202" s="6"/>
      <c r="U202" s="7"/>
      <c r="V202" s="7"/>
      <c r="W202" s="7"/>
      <c r="X202" s="9">
        <f t="shared" si="250"/>
        <v>0</v>
      </c>
      <c r="Y202" s="6"/>
      <c r="Z202" s="7"/>
      <c r="AA202" s="7"/>
      <c r="AB202" s="7"/>
      <c r="AC202" s="9">
        <f t="shared" si="251"/>
        <v>0</v>
      </c>
      <c r="AD202" s="26">
        <f t="shared" si="245"/>
        <v>0</v>
      </c>
      <c r="AE202" s="141"/>
      <c r="AF202" s="142"/>
    </row>
    <row r="203" spans="1:32" x14ac:dyDescent="0.15">
      <c r="A203" s="35" t="s">
        <v>37</v>
      </c>
      <c r="B203" s="24"/>
      <c r="C203" s="25"/>
      <c r="D203" s="25"/>
      <c r="E203" s="25"/>
      <c r="F203" s="26">
        <f t="shared" si="246"/>
        <v>0</v>
      </c>
      <c r="G203" s="24"/>
      <c r="H203" s="25"/>
      <c r="I203" s="25">
        <v>1</v>
      </c>
      <c r="J203" s="25"/>
      <c r="K203" s="26">
        <f t="shared" si="247"/>
        <v>1</v>
      </c>
      <c r="L203" s="26">
        <f t="shared" si="242"/>
        <v>1</v>
      </c>
      <c r="M203" s="55">
        <v>45677</v>
      </c>
      <c r="S203" s="31"/>
      <c r="T203" s="6"/>
      <c r="U203" s="7"/>
      <c r="V203" s="7"/>
      <c r="W203" s="7"/>
      <c r="X203" s="9">
        <f t="shared" si="250"/>
        <v>0</v>
      </c>
      <c r="Y203" s="6"/>
      <c r="Z203" s="7"/>
      <c r="AA203" s="7"/>
      <c r="AB203" s="7"/>
      <c r="AC203" s="9">
        <f t="shared" si="251"/>
        <v>0</v>
      </c>
      <c r="AD203" s="26">
        <f t="shared" si="245"/>
        <v>0</v>
      </c>
      <c r="AE203" s="141"/>
      <c r="AF203" s="142"/>
    </row>
    <row r="204" spans="1:32" x14ac:dyDescent="0.15">
      <c r="A204" s="35" t="s">
        <v>37</v>
      </c>
      <c r="B204" s="24"/>
      <c r="C204" s="25">
        <v>1</v>
      </c>
      <c r="D204" s="25"/>
      <c r="E204" s="25">
        <v>1</v>
      </c>
      <c r="F204" s="26">
        <f t="shared" si="246"/>
        <v>2</v>
      </c>
      <c r="G204" s="24"/>
      <c r="H204" s="25"/>
      <c r="I204" s="25"/>
      <c r="J204" s="25"/>
      <c r="K204" s="26">
        <f t="shared" si="247"/>
        <v>0</v>
      </c>
      <c r="L204" s="26">
        <f t="shared" si="242"/>
        <v>2</v>
      </c>
      <c r="M204" s="55">
        <v>45684</v>
      </c>
      <c r="S204" s="31"/>
      <c r="T204" s="6"/>
      <c r="U204" s="7"/>
      <c r="V204" s="7"/>
      <c r="W204" s="7"/>
      <c r="X204" s="9">
        <f t="shared" si="250"/>
        <v>0</v>
      </c>
      <c r="Y204" s="6"/>
      <c r="Z204" s="7"/>
      <c r="AA204" s="7"/>
      <c r="AB204" s="7"/>
      <c r="AC204" s="9">
        <f t="shared" si="251"/>
        <v>0</v>
      </c>
      <c r="AD204" s="26">
        <f t="shared" si="245"/>
        <v>0</v>
      </c>
      <c r="AE204" s="141"/>
      <c r="AF204" s="142"/>
    </row>
    <row r="205" spans="1:32" x14ac:dyDescent="0.15">
      <c r="A205" s="35" t="s">
        <v>37</v>
      </c>
      <c r="B205" s="24"/>
      <c r="C205" s="25"/>
      <c r="D205" s="25"/>
      <c r="E205" s="25">
        <v>1</v>
      </c>
      <c r="F205" s="26">
        <f t="shared" si="246"/>
        <v>1</v>
      </c>
      <c r="G205" s="24"/>
      <c r="H205" s="25"/>
      <c r="I205" s="25"/>
      <c r="J205" s="25"/>
      <c r="K205" s="26">
        <f t="shared" si="247"/>
        <v>0</v>
      </c>
      <c r="L205" s="26">
        <f t="shared" si="242"/>
        <v>1</v>
      </c>
      <c r="M205" s="55">
        <v>45691</v>
      </c>
      <c r="S205" s="31"/>
      <c r="T205" s="6"/>
      <c r="U205" s="7"/>
      <c r="V205" s="7"/>
      <c r="W205" s="7"/>
      <c r="X205" s="9">
        <f t="shared" si="250"/>
        <v>0</v>
      </c>
      <c r="Y205" s="6"/>
      <c r="Z205" s="7"/>
      <c r="AA205" s="7"/>
      <c r="AB205" s="7"/>
      <c r="AC205" s="9">
        <f t="shared" si="251"/>
        <v>0</v>
      </c>
      <c r="AD205" s="26">
        <f t="shared" si="245"/>
        <v>0</v>
      </c>
      <c r="AE205" s="141"/>
      <c r="AF205" s="142"/>
    </row>
    <row r="206" spans="1:32" ht="14.25" thickBot="1" x14ac:dyDescent="0.2">
      <c r="A206" s="35" t="s">
        <v>37</v>
      </c>
      <c r="B206" s="10"/>
      <c r="C206" s="11"/>
      <c r="D206" s="11"/>
      <c r="E206" s="11"/>
      <c r="F206" s="9">
        <f t="shared" si="246"/>
        <v>0</v>
      </c>
      <c r="G206" s="10"/>
      <c r="H206" s="11">
        <v>1</v>
      </c>
      <c r="I206" s="11"/>
      <c r="J206" s="11"/>
      <c r="K206" s="9">
        <f t="shared" si="247"/>
        <v>1</v>
      </c>
      <c r="L206" s="43">
        <f t="shared" si="242"/>
        <v>1</v>
      </c>
      <c r="M206" s="55">
        <v>45692</v>
      </c>
      <c r="S206" s="31"/>
      <c r="T206" s="6"/>
      <c r="U206" s="7"/>
      <c r="V206" s="7"/>
      <c r="W206" s="7"/>
      <c r="X206" s="9">
        <f t="shared" si="250"/>
        <v>0</v>
      </c>
      <c r="Y206" s="6"/>
      <c r="Z206" s="7"/>
      <c r="AA206" s="7"/>
      <c r="AB206" s="7"/>
      <c r="AC206" s="9">
        <f t="shared" si="251"/>
        <v>0</v>
      </c>
      <c r="AD206" s="26">
        <f t="shared" si="245"/>
        <v>0</v>
      </c>
      <c r="AE206" s="141"/>
      <c r="AF206" s="142"/>
    </row>
    <row r="207" spans="1:32" ht="15" thickBot="1" x14ac:dyDescent="0.2">
      <c r="A207" s="5" t="s">
        <v>14</v>
      </c>
      <c r="B207" s="12">
        <f>SUM(B181:B206)</f>
        <v>3</v>
      </c>
      <c r="C207" s="13">
        <f t="shared" ref="C207:K207" si="252">SUM(C181:C206)</f>
        <v>3</v>
      </c>
      <c r="D207" s="13">
        <f t="shared" si="252"/>
        <v>3</v>
      </c>
      <c r="E207" s="14">
        <f t="shared" si="252"/>
        <v>5</v>
      </c>
      <c r="F207" s="8">
        <f t="shared" si="252"/>
        <v>14</v>
      </c>
      <c r="G207" s="12">
        <f t="shared" si="252"/>
        <v>5</v>
      </c>
      <c r="H207" s="13">
        <f t="shared" si="252"/>
        <v>3</v>
      </c>
      <c r="I207" s="13">
        <f t="shared" si="252"/>
        <v>6</v>
      </c>
      <c r="J207" s="14">
        <f t="shared" si="252"/>
        <v>4</v>
      </c>
      <c r="K207" s="8">
        <f t="shared" si="252"/>
        <v>18</v>
      </c>
      <c r="L207" s="34">
        <f>SUM(L181:L206)</f>
        <v>32</v>
      </c>
      <c r="M207" s="54"/>
      <c r="S207" s="5" t="s">
        <v>14</v>
      </c>
      <c r="T207" s="12">
        <f>SUM(T181:T206)</f>
        <v>8</v>
      </c>
      <c r="U207" s="13">
        <f t="shared" ref="U207" si="253">SUM(U181:U206)</f>
        <v>4</v>
      </c>
      <c r="V207" s="13">
        <f t="shared" ref="V207" si="254">SUM(V181:V206)</f>
        <v>6</v>
      </c>
      <c r="W207" s="14">
        <f t="shared" ref="W207" si="255">SUM(W181:W206)</f>
        <v>2</v>
      </c>
      <c r="X207" s="8">
        <f>SUM(X181:X206)</f>
        <v>20</v>
      </c>
      <c r="Y207" s="12">
        <f>SUM(Y181:Y206)</f>
        <v>6</v>
      </c>
      <c r="Z207" s="13">
        <f t="shared" ref="Z207" si="256">SUM(Z181:Z206)</f>
        <v>12</v>
      </c>
      <c r="AA207" s="13">
        <f t="shared" ref="AA207" si="257">SUM(AA181:AA206)</f>
        <v>9</v>
      </c>
      <c r="AB207" s="14">
        <f t="shared" ref="AB207" si="258">SUM(AB181:AB206)</f>
        <v>6</v>
      </c>
      <c r="AC207" s="8">
        <f>SUM(AC181:AC206)</f>
        <v>33</v>
      </c>
      <c r="AD207" s="34">
        <f>SUM(AD181:AD206)</f>
        <v>53</v>
      </c>
      <c r="AE207" s="53"/>
      <c r="AF207" s="53"/>
    </row>
    <row r="208" spans="1:32" ht="14.25" thickBot="1" x14ac:dyDescent="0.2">
      <c r="A208" s="15" t="s">
        <v>15</v>
      </c>
      <c r="B208" s="16">
        <f>B180-B207</f>
        <v>5</v>
      </c>
      <c r="C208" s="17">
        <f>C180-C207</f>
        <v>3</v>
      </c>
      <c r="D208" s="17">
        <f t="shared" ref="D208:K208" si="259">D180-D207</f>
        <v>3</v>
      </c>
      <c r="E208" s="18">
        <f t="shared" si="259"/>
        <v>1</v>
      </c>
      <c r="F208" s="44">
        <f t="shared" si="259"/>
        <v>12</v>
      </c>
      <c r="G208" s="16">
        <f t="shared" si="259"/>
        <v>4</v>
      </c>
      <c r="H208" s="17">
        <f t="shared" si="259"/>
        <v>2</v>
      </c>
      <c r="I208" s="17">
        <f t="shared" si="259"/>
        <v>2</v>
      </c>
      <c r="J208" s="18">
        <f t="shared" si="259"/>
        <v>1</v>
      </c>
      <c r="K208" s="44">
        <f t="shared" si="259"/>
        <v>9</v>
      </c>
      <c r="L208" s="34">
        <f>L180-L207</f>
        <v>21</v>
      </c>
      <c r="M208" s="54"/>
      <c r="S208" s="15" t="s">
        <v>15</v>
      </c>
      <c r="T208" s="16">
        <f>T180-T207</f>
        <v>120</v>
      </c>
      <c r="U208" s="17">
        <f t="shared" ref="U208" si="260">U180-U207</f>
        <v>133</v>
      </c>
      <c r="V208" s="17">
        <f t="shared" ref="V208" si="261">V180-V207</f>
        <v>92</v>
      </c>
      <c r="W208" s="18">
        <f t="shared" ref="W208" si="262">W180-W207</f>
        <v>66</v>
      </c>
      <c r="X208" s="44">
        <f>X180-X207</f>
        <v>411</v>
      </c>
      <c r="Y208" s="16">
        <f>Y180-Y207</f>
        <v>121</v>
      </c>
      <c r="Z208" s="17">
        <f t="shared" ref="Z208" si="263">Z180-Z207</f>
        <v>115</v>
      </c>
      <c r="AA208" s="17">
        <f t="shared" ref="AA208" si="264">AA180-AA207</f>
        <v>100</v>
      </c>
      <c r="AB208" s="18">
        <f t="shared" ref="AB208" si="265">AB180-AB207</f>
        <v>67</v>
      </c>
      <c r="AC208" s="44">
        <f>AC180-AC207</f>
        <v>403</v>
      </c>
      <c r="AD208" s="34">
        <f>AD180-AD207</f>
        <v>814</v>
      </c>
      <c r="AE208" s="53"/>
      <c r="AF208" s="53"/>
    </row>
    <row r="211" spans="1:33" ht="19.5" thickBot="1" x14ac:dyDescent="0.25">
      <c r="A211" s="58" t="s">
        <v>1</v>
      </c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S211" s="58" t="s">
        <v>8</v>
      </c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/>
      <c r="AF211"/>
      <c r="AG211"/>
    </row>
    <row r="212" spans="1:33" ht="14.25" thickBot="1" x14ac:dyDescent="0.2">
      <c r="A212" s="52" t="s">
        <v>9</v>
      </c>
      <c r="B212" s="130" t="s">
        <v>10</v>
      </c>
      <c r="C212" s="131"/>
      <c r="D212" s="131"/>
      <c r="E212" s="131"/>
      <c r="F212" s="132"/>
      <c r="G212" s="133" t="s">
        <v>11</v>
      </c>
      <c r="H212" s="134"/>
      <c r="I212" s="134"/>
      <c r="J212" s="134"/>
      <c r="K212" s="135"/>
      <c r="L212" s="139" t="s">
        <v>7</v>
      </c>
      <c r="M212" s="87"/>
      <c r="S212" s="52" t="s">
        <v>9</v>
      </c>
      <c r="T212" s="130" t="s">
        <v>10</v>
      </c>
      <c r="U212" s="131"/>
      <c r="V212" s="131"/>
      <c r="W212" s="131"/>
      <c r="X212" s="132"/>
      <c r="Y212" s="133" t="s">
        <v>11</v>
      </c>
      <c r="Z212" s="134"/>
      <c r="AA212" s="134"/>
      <c r="AB212" s="134"/>
      <c r="AC212" s="135"/>
      <c r="AD212" s="139" t="s">
        <v>7</v>
      </c>
      <c r="AE212"/>
      <c r="AF212"/>
      <c r="AG212"/>
    </row>
    <row r="213" spans="1:33" ht="14.25" thickBot="1" x14ac:dyDescent="0.2">
      <c r="A213" s="52" t="s">
        <v>2</v>
      </c>
      <c r="B213" s="2" t="s">
        <v>3</v>
      </c>
      <c r="C213" s="3" t="s">
        <v>4</v>
      </c>
      <c r="D213" s="3" t="s">
        <v>5</v>
      </c>
      <c r="E213" s="4" t="s">
        <v>6</v>
      </c>
      <c r="F213" s="1" t="s">
        <v>0</v>
      </c>
      <c r="G213" s="2" t="s">
        <v>3</v>
      </c>
      <c r="H213" s="3" t="s">
        <v>4</v>
      </c>
      <c r="I213" s="3" t="s">
        <v>5</v>
      </c>
      <c r="J213" s="4" t="s">
        <v>6</v>
      </c>
      <c r="K213" s="1" t="s">
        <v>0</v>
      </c>
      <c r="L213" s="140"/>
      <c r="M213" s="87"/>
      <c r="S213" s="52" t="s">
        <v>2</v>
      </c>
      <c r="T213" s="2" t="s">
        <v>3</v>
      </c>
      <c r="U213" s="3" t="s">
        <v>4</v>
      </c>
      <c r="V213" s="3" t="s">
        <v>5</v>
      </c>
      <c r="W213" s="4" t="s">
        <v>6</v>
      </c>
      <c r="X213" s="1" t="s">
        <v>0</v>
      </c>
      <c r="Y213" s="2" t="s">
        <v>3</v>
      </c>
      <c r="Z213" s="3" t="s">
        <v>4</v>
      </c>
      <c r="AA213" s="3" t="s">
        <v>5</v>
      </c>
      <c r="AB213" s="4" t="s">
        <v>6</v>
      </c>
      <c r="AC213" s="1" t="s">
        <v>0</v>
      </c>
      <c r="AD213" s="140"/>
      <c r="AE213"/>
      <c r="AF213"/>
      <c r="AG213"/>
    </row>
    <row r="214" spans="1:33" ht="14.25" x14ac:dyDescent="0.15">
      <c r="A214" s="45" t="s">
        <v>16</v>
      </c>
      <c r="B214" s="32">
        <f>B208</f>
        <v>5</v>
      </c>
      <c r="C214" s="32">
        <f t="shared" ref="C214:K214" si="266">C208</f>
        <v>3</v>
      </c>
      <c r="D214" s="32">
        <f t="shared" si="266"/>
        <v>3</v>
      </c>
      <c r="E214" s="38">
        <f t="shared" si="266"/>
        <v>1</v>
      </c>
      <c r="F214" s="33">
        <f t="shared" si="266"/>
        <v>12</v>
      </c>
      <c r="G214" s="32">
        <f t="shared" si="266"/>
        <v>4</v>
      </c>
      <c r="H214" s="32">
        <f t="shared" si="266"/>
        <v>2</v>
      </c>
      <c r="I214" s="32">
        <f t="shared" si="266"/>
        <v>2</v>
      </c>
      <c r="J214" s="38">
        <f t="shared" si="266"/>
        <v>1</v>
      </c>
      <c r="K214" s="33">
        <f t="shared" si="266"/>
        <v>9</v>
      </c>
      <c r="L214" s="33">
        <f>L208</f>
        <v>21</v>
      </c>
      <c r="M214" s="87"/>
      <c r="S214" s="45" t="s">
        <v>16</v>
      </c>
      <c r="T214" s="32">
        <f>T208</f>
        <v>120</v>
      </c>
      <c r="U214" s="32">
        <f t="shared" ref="U214:AC214" si="267">U208</f>
        <v>133</v>
      </c>
      <c r="V214" s="32">
        <f t="shared" si="267"/>
        <v>92</v>
      </c>
      <c r="W214" s="38">
        <f t="shared" si="267"/>
        <v>66</v>
      </c>
      <c r="X214" s="33">
        <f t="shared" si="267"/>
        <v>411</v>
      </c>
      <c r="Y214" s="32">
        <f t="shared" si="267"/>
        <v>121</v>
      </c>
      <c r="Z214" s="32">
        <f t="shared" si="267"/>
        <v>115</v>
      </c>
      <c r="AA214" s="32">
        <f t="shared" si="267"/>
        <v>100</v>
      </c>
      <c r="AB214" s="38">
        <f t="shared" si="267"/>
        <v>67</v>
      </c>
      <c r="AC214" s="33">
        <f t="shared" si="267"/>
        <v>403</v>
      </c>
      <c r="AD214" s="33">
        <f>AD208</f>
        <v>814</v>
      </c>
      <c r="AE214" s="87"/>
      <c r="AF214"/>
      <c r="AG214"/>
    </row>
    <row r="215" spans="1:33" x14ac:dyDescent="0.15">
      <c r="A215" s="23" t="s">
        <v>17</v>
      </c>
      <c r="B215" s="24"/>
      <c r="C215" s="36"/>
      <c r="D215" s="36"/>
      <c r="E215" s="41"/>
      <c r="F215" s="26">
        <f t="shared" ref="F215:F216" si="268">SUM(B215:E215)</f>
        <v>0</v>
      </c>
      <c r="G215" s="25"/>
      <c r="H215" s="36"/>
      <c r="I215" s="36">
        <v>2</v>
      </c>
      <c r="J215" s="41">
        <v>2</v>
      </c>
      <c r="K215" s="26">
        <f t="shared" ref="K215:K216" si="269">SUM(G215:J215)</f>
        <v>4</v>
      </c>
      <c r="L215" s="26">
        <f t="shared" ref="L215:L221" si="270">F215+K215</f>
        <v>4</v>
      </c>
      <c r="M215" s="89">
        <v>45681</v>
      </c>
      <c r="S215" s="23" t="s">
        <v>17</v>
      </c>
      <c r="T215" s="25"/>
      <c r="U215" s="25"/>
      <c r="V215" s="25"/>
      <c r="W215" s="39"/>
      <c r="X215" s="22">
        <f>SUM(T215:W215)</f>
        <v>0</v>
      </c>
      <c r="Y215" s="25"/>
      <c r="Z215" s="25"/>
      <c r="AA215" s="25"/>
      <c r="AB215" s="39"/>
      <c r="AC215" s="22">
        <f t="shared" ref="AC215:AC221" si="271">SUM(Y215:AB215)</f>
        <v>0</v>
      </c>
      <c r="AD215" s="26">
        <f t="shared" ref="AD215:AD221" si="272">X215+AC215</f>
        <v>0</v>
      </c>
      <c r="AE215" s="87"/>
      <c r="AF215"/>
      <c r="AG215"/>
    </row>
    <row r="216" spans="1:33" x14ac:dyDescent="0.15">
      <c r="A216" s="23" t="s">
        <v>17</v>
      </c>
      <c r="B216" s="24"/>
      <c r="C216" s="36"/>
      <c r="D216" s="36"/>
      <c r="E216" s="41">
        <v>3</v>
      </c>
      <c r="F216" s="26">
        <f t="shared" si="268"/>
        <v>3</v>
      </c>
      <c r="G216" s="25"/>
      <c r="H216" s="36">
        <v>5</v>
      </c>
      <c r="I216" s="36"/>
      <c r="J216" s="41">
        <v>3</v>
      </c>
      <c r="K216" s="26">
        <f t="shared" si="269"/>
        <v>8</v>
      </c>
      <c r="L216" s="26">
        <f t="shared" ref="L216" si="273">F216+K216</f>
        <v>11</v>
      </c>
      <c r="M216" s="89">
        <v>45700</v>
      </c>
      <c r="N216" s="50"/>
      <c r="S216" s="88" t="s">
        <v>17</v>
      </c>
      <c r="T216" s="25"/>
      <c r="U216" s="25"/>
      <c r="V216" s="25"/>
      <c r="W216" s="39"/>
      <c r="X216" s="26">
        <f t="shared" ref="X216:X217" si="274">SUM(T216:W216)</f>
        <v>0</v>
      </c>
      <c r="Y216" s="25"/>
      <c r="Z216" s="25"/>
      <c r="AA216" s="25"/>
      <c r="AB216" s="39"/>
      <c r="AC216" s="26">
        <f t="shared" ref="AC216:AC217" si="275">SUM(Y216:AB216)</f>
        <v>0</v>
      </c>
      <c r="AD216" s="26">
        <f t="shared" si="272"/>
        <v>0</v>
      </c>
      <c r="AE216" s="87"/>
      <c r="AF216"/>
      <c r="AG216"/>
    </row>
    <row r="217" spans="1:33" x14ac:dyDescent="0.15">
      <c r="A217" s="23" t="s">
        <v>17</v>
      </c>
      <c r="B217" s="24"/>
      <c r="C217" s="36"/>
      <c r="D217" s="36">
        <v>3</v>
      </c>
      <c r="E217" s="41"/>
      <c r="F217" s="26">
        <f t="shared" ref="F217:F221" si="276">SUM(B217:E217)</f>
        <v>3</v>
      </c>
      <c r="G217" s="25"/>
      <c r="H217" s="36"/>
      <c r="I217" s="36">
        <v>3</v>
      </c>
      <c r="J217" s="41">
        <v>3</v>
      </c>
      <c r="K217" s="26">
        <f t="shared" ref="K217:K221" si="277">SUM(G217:J217)</f>
        <v>6</v>
      </c>
      <c r="L217" s="26">
        <f t="shared" si="270"/>
        <v>9</v>
      </c>
      <c r="M217" s="89">
        <v>45723</v>
      </c>
      <c r="N217" s="50"/>
      <c r="S217" s="88" t="s">
        <v>17</v>
      </c>
      <c r="T217" s="25"/>
      <c r="U217" s="25"/>
      <c r="V217" s="25"/>
      <c r="W217" s="39"/>
      <c r="X217" s="26">
        <f t="shared" si="274"/>
        <v>0</v>
      </c>
      <c r="Y217" s="25"/>
      <c r="Z217" s="25"/>
      <c r="AA217" s="25"/>
      <c r="AB217" s="39"/>
      <c r="AC217" s="26">
        <f t="shared" si="275"/>
        <v>0</v>
      </c>
      <c r="AD217" s="26">
        <f t="shared" si="272"/>
        <v>0</v>
      </c>
      <c r="AE217" s="87"/>
      <c r="AF217"/>
      <c r="AG217"/>
    </row>
    <row r="218" spans="1:33" x14ac:dyDescent="0.15">
      <c r="A218" s="23" t="s">
        <v>17</v>
      </c>
      <c r="B218" s="24"/>
      <c r="C218" s="36">
        <v>2</v>
      </c>
      <c r="D218" s="36"/>
      <c r="E218" s="41">
        <v>2</v>
      </c>
      <c r="F218" s="26">
        <f t="shared" si="276"/>
        <v>4</v>
      </c>
      <c r="G218" s="25">
        <v>2</v>
      </c>
      <c r="H218" s="36">
        <v>2</v>
      </c>
      <c r="I218" s="36">
        <v>2</v>
      </c>
      <c r="J218" s="41">
        <v>2</v>
      </c>
      <c r="K218" s="26">
        <f t="shared" si="277"/>
        <v>8</v>
      </c>
      <c r="L218" s="26">
        <f t="shared" si="270"/>
        <v>12</v>
      </c>
      <c r="M218" s="89">
        <v>45748</v>
      </c>
      <c r="N218" s="50"/>
      <c r="S218" s="88" t="s">
        <v>17</v>
      </c>
      <c r="T218" s="25"/>
      <c r="U218" s="25"/>
      <c r="V218" s="25"/>
      <c r="W218" s="39"/>
      <c r="X218" s="26">
        <f t="shared" ref="X218:X221" si="278">SUM(T218:W218)</f>
        <v>0</v>
      </c>
      <c r="Y218" s="25"/>
      <c r="Z218" s="25"/>
      <c r="AA218" s="25"/>
      <c r="AB218" s="39"/>
      <c r="AC218" s="26">
        <f t="shared" si="271"/>
        <v>0</v>
      </c>
      <c r="AD218" s="26">
        <f t="shared" si="272"/>
        <v>0</v>
      </c>
      <c r="AE218" s="87"/>
      <c r="AF218"/>
      <c r="AG218"/>
    </row>
    <row r="219" spans="1:33" x14ac:dyDescent="0.15">
      <c r="A219" s="23" t="s">
        <v>17</v>
      </c>
      <c r="B219" s="24"/>
      <c r="C219" s="36"/>
      <c r="D219" s="36">
        <v>3</v>
      </c>
      <c r="E219" s="41">
        <v>3</v>
      </c>
      <c r="F219" s="26">
        <f t="shared" si="276"/>
        <v>6</v>
      </c>
      <c r="G219" s="25"/>
      <c r="H219" s="36"/>
      <c r="I219" s="36"/>
      <c r="J219" s="41">
        <v>5</v>
      </c>
      <c r="K219" s="26">
        <f t="shared" si="277"/>
        <v>5</v>
      </c>
      <c r="L219" s="26">
        <f t="shared" si="270"/>
        <v>11</v>
      </c>
      <c r="M219" s="89">
        <v>45752</v>
      </c>
      <c r="S219" s="88" t="s">
        <v>17</v>
      </c>
      <c r="T219" s="25"/>
      <c r="U219" s="36"/>
      <c r="V219" s="36"/>
      <c r="W219" s="41"/>
      <c r="X219" s="26">
        <f t="shared" si="278"/>
        <v>0</v>
      </c>
      <c r="Y219" s="25"/>
      <c r="Z219" s="36"/>
      <c r="AA219" s="36"/>
      <c r="AB219" s="41"/>
      <c r="AC219" s="26">
        <f t="shared" si="271"/>
        <v>0</v>
      </c>
      <c r="AD219" s="26">
        <f t="shared" si="272"/>
        <v>0</v>
      </c>
      <c r="AE219" s="87"/>
      <c r="AF219"/>
      <c r="AG219"/>
    </row>
    <row r="220" spans="1:33" x14ac:dyDescent="0.15">
      <c r="A220" s="23" t="s">
        <v>17</v>
      </c>
      <c r="B220" s="24"/>
      <c r="C220" s="36"/>
      <c r="D220" s="36"/>
      <c r="E220" s="41"/>
      <c r="F220" s="26">
        <f t="shared" si="276"/>
        <v>0</v>
      </c>
      <c r="G220" s="25"/>
      <c r="H220" s="36"/>
      <c r="I220" s="36"/>
      <c r="J220" s="41"/>
      <c r="K220" s="26">
        <f t="shared" si="277"/>
        <v>0</v>
      </c>
      <c r="L220" s="26">
        <f t="shared" si="270"/>
        <v>0</v>
      </c>
      <c r="M220" s="91"/>
      <c r="S220" s="23" t="s">
        <v>17</v>
      </c>
      <c r="T220" s="25"/>
      <c r="U220" s="36"/>
      <c r="V220" s="36"/>
      <c r="W220" s="41"/>
      <c r="X220" s="26">
        <f t="shared" si="278"/>
        <v>0</v>
      </c>
      <c r="Y220" s="25"/>
      <c r="Z220" s="36"/>
      <c r="AA220" s="36"/>
      <c r="AB220" s="41"/>
      <c r="AC220" s="26">
        <f t="shared" si="271"/>
        <v>0</v>
      </c>
      <c r="AD220" s="26">
        <f t="shared" si="272"/>
        <v>0</v>
      </c>
      <c r="AE220" s="87"/>
      <c r="AF220"/>
      <c r="AG220"/>
    </row>
    <row r="221" spans="1:33" ht="14.25" thickBot="1" x14ac:dyDescent="0.2">
      <c r="A221" s="23" t="s">
        <v>17</v>
      </c>
      <c r="B221" s="27"/>
      <c r="C221" s="37"/>
      <c r="D221" s="37"/>
      <c r="E221" s="42"/>
      <c r="F221" s="43">
        <f t="shared" si="276"/>
        <v>0</v>
      </c>
      <c r="G221" s="28"/>
      <c r="H221" s="37"/>
      <c r="I221" s="37"/>
      <c r="J221" s="42"/>
      <c r="K221" s="43">
        <f t="shared" si="277"/>
        <v>0</v>
      </c>
      <c r="L221" s="43">
        <f t="shared" si="270"/>
        <v>0</v>
      </c>
      <c r="M221" s="87"/>
      <c r="S221" s="23" t="s">
        <v>17</v>
      </c>
      <c r="T221" s="28"/>
      <c r="U221" s="37"/>
      <c r="V221" s="37"/>
      <c r="W221" s="42"/>
      <c r="X221" s="43">
        <f t="shared" si="278"/>
        <v>0</v>
      </c>
      <c r="Y221" s="28"/>
      <c r="Z221" s="37"/>
      <c r="AA221" s="37"/>
      <c r="AB221" s="42"/>
      <c r="AC221" s="43">
        <f t="shared" si="271"/>
        <v>0</v>
      </c>
      <c r="AD221" s="43">
        <f t="shared" si="272"/>
        <v>0</v>
      </c>
      <c r="AE221" s="87"/>
      <c r="AF221"/>
      <c r="AG221"/>
    </row>
    <row r="222" spans="1:33" ht="15" thickBot="1" x14ac:dyDescent="0.2">
      <c r="A222" s="46" t="s">
        <v>13</v>
      </c>
      <c r="B222" s="47">
        <f>SUM(B214:B221)</f>
        <v>5</v>
      </c>
      <c r="C222" s="48">
        <f t="shared" ref="C222:K222" si="279">SUM(C214:C221)</f>
        <v>5</v>
      </c>
      <c r="D222" s="48">
        <f t="shared" si="279"/>
        <v>9</v>
      </c>
      <c r="E222" s="49">
        <f t="shared" si="279"/>
        <v>9</v>
      </c>
      <c r="F222" s="34">
        <f t="shared" si="279"/>
        <v>28</v>
      </c>
      <c r="G222" s="47">
        <f t="shared" si="279"/>
        <v>6</v>
      </c>
      <c r="H222" s="48">
        <f t="shared" si="279"/>
        <v>9</v>
      </c>
      <c r="I222" s="48">
        <f t="shared" si="279"/>
        <v>9</v>
      </c>
      <c r="J222" s="49">
        <f t="shared" si="279"/>
        <v>16</v>
      </c>
      <c r="K222" s="34">
        <f t="shared" si="279"/>
        <v>40</v>
      </c>
      <c r="L222" s="34">
        <f>SUM(L214:L221)</f>
        <v>68</v>
      </c>
      <c r="M222" s="87"/>
      <c r="S222" s="46" t="s">
        <v>13</v>
      </c>
      <c r="T222" s="47">
        <f>SUM(T214:T221)</f>
        <v>120</v>
      </c>
      <c r="U222" s="48">
        <f t="shared" ref="U222" si="280">SUM(U214:U221)</f>
        <v>133</v>
      </c>
      <c r="V222" s="48">
        <f t="shared" ref="V222" si="281">SUM(V214:V221)</f>
        <v>92</v>
      </c>
      <c r="W222" s="49">
        <f t="shared" ref="W222" si="282">SUM(W214:W221)</f>
        <v>66</v>
      </c>
      <c r="X222" s="34">
        <f>SUM(X214:X221)</f>
        <v>411</v>
      </c>
      <c r="Y222" s="47">
        <f>SUM(Y214:Y221)</f>
        <v>121</v>
      </c>
      <c r="Z222" s="48">
        <f t="shared" ref="Z222" si="283">SUM(Z214:Z221)</f>
        <v>115</v>
      </c>
      <c r="AA222" s="48">
        <f t="shared" ref="AA222" si="284">SUM(AA214:AA221)</f>
        <v>100</v>
      </c>
      <c r="AB222" s="49">
        <f t="shared" ref="AB222" si="285">SUM(AB214:AB221)</f>
        <v>67</v>
      </c>
      <c r="AC222" s="34">
        <f>SUM(AC214:AC221)</f>
        <v>403</v>
      </c>
      <c r="AD222" s="34">
        <f>SUM(AD214:AD221)</f>
        <v>814</v>
      </c>
      <c r="AE222" s="87"/>
      <c r="AF222"/>
      <c r="AG222"/>
    </row>
    <row r="223" spans="1:33" x14ac:dyDescent="0.15">
      <c r="A223" s="35" t="s">
        <v>37</v>
      </c>
      <c r="B223" s="24"/>
      <c r="C223" s="25"/>
      <c r="D223" s="25"/>
      <c r="E223" s="25"/>
      <c r="F223" s="26">
        <f t="shared" ref="F223:F248" si="286">SUM(B223:E223)</f>
        <v>0</v>
      </c>
      <c r="G223" s="24"/>
      <c r="H223" s="25">
        <v>1</v>
      </c>
      <c r="I223" s="25"/>
      <c r="J223" s="25">
        <v>1</v>
      </c>
      <c r="K223" s="26">
        <f t="shared" ref="K223:K248" si="287">SUM(G223:J223)</f>
        <v>2</v>
      </c>
      <c r="L223" s="26">
        <f t="shared" ref="L223:L248" si="288">F223+K223</f>
        <v>2</v>
      </c>
      <c r="M223" s="90">
        <v>45698</v>
      </c>
      <c r="S223" s="30" t="s">
        <v>31</v>
      </c>
      <c r="T223" s="6"/>
      <c r="U223" s="7"/>
      <c r="V223" s="7"/>
      <c r="W223" s="7"/>
      <c r="X223" s="9">
        <f t="shared" ref="X223:X227" si="289">SUM(T223:W223)</f>
        <v>0</v>
      </c>
      <c r="Y223" s="6"/>
      <c r="Z223" s="7"/>
      <c r="AA223" s="7">
        <v>2</v>
      </c>
      <c r="AB223" s="7">
        <v>2</v>
      </c>
      <c r="AC223" s="9">
        <f t="shared" ref="AC223:AC227" si="290">SUM(Y223:AB223)</f>
        <v>4</v>
      </c>
      <c r="AD223" s="26">
        <f t="shared" ref="AD223:AD227" si="291">X223+AC223</f>
        <v>4</v>
      </c>
      <c r="AE223" s="89">
        <v>45681</v>
      </c>
      <c r="AF223"/>
      <c r="AG223"/>
    </row>
    <row r="224" spans="1:33" x14ac:dyDescent="0.15">
      <c r="A224" s="35" t="s">
        <v>37</v>
      </c>
      <c r="B224" s="24"/>
      <c r="C224" s="25"/>
      <c r="D224" s="25"/>
      <c r="E224" s="25"/>
      <c r="F224" s="26">
        <f t="shared" si="286"/>
        <v>0</v>
      </c>
      <c r="G224" s="24"/>
      <c r="H224" s="25"/>
      <c r="I224" s="25"/>
      <c r="J224" s="25">
        <v>1</v>
      </c>
      <c r="K224" s="26">
        <f t="shared" si="287"/>
        <v>1</v>
      </c>
      <c r="L224" s="26">
        <f t="shared" si="288"/>
        <v>1</v>
      </c>
      <c r="M224" s="90">
        <v>45700</v>
      </c>
      <c r="S224" s="30" t="s">
        <v>31</v>
      </c>
      <c r="T224" s="6"/>
      <c r="U224" s="7"/>
      <c r="V224" s="7"/>
      <c r="W224" s="7">
        <v>3</v>
      </c>
      <c r="X224" s="9">
        <f t="shared" si="289"/>
        <v>3</v>
      </c>
      <c r="Y224" s="6"/>
      <c r="Z224" s="7">
        <v>5</v>
      </c>
      <c r="AA224" s="7"/>
      <c r="AB224" s="7">
        <v>3</v>
      </c>
      <c r="AC224" s="9">
        <f t="shared" si="290"/>
        <v>8</v>
      </c>
      <c r="AD224" s="26">
        <f t="shared" si="291"/>
        <v>11</v>
      </c>
      <c r="AE224" s="89">
        <v>45700</v>
      </c>
      <c r="AF224"/>
      <c r="AG224"/>
    </row>
    <row r="225" spans="1:33" x14ac:dyDescent="0.15">
      <c r="A225" s="35" t="s">
        <v>37</v>
      </c>
      <c r="B225" s="24"/>
      <c r="C225" s="25"/>
      <c r="D225" s="25">
        <v>1</v>
      </c>
      <c r="E225" s="25"/>
      <c r="F225" s="26">
        <f t="shared" si="286"/>
        <v>1</v>
      </c>
      <c r="G225" s="24"/>
      <c r="H225" s="25"/>
      <c r="I225" s="25"/>
      <c r="J225" s="25"/>
      <c r="K225" s="26">
        <f t="shared" si="287"/>
        <v>0</v>
      </c>
      <c r="L225" s="26">
        <f t="shared" si="288"/>
        <v>1</v>
      </c>
      <c r="M225" s="90">
        <v>45705</v>
      </c>
      <c r="S225" s="30" t="s">
        <v>31</v>
      </c>
      <c r="T225" s="6"/>
      <c r="U225" s="7"/>
      <c r="V225" s="7">
        <v>3</v>
      </c>
      <c r="W225" s="7"/>
      <c r="X225" s="9">
        <f t="shared" si="289"/>
        <v>3</v>
      </c>
      <c r="Y225" s="6"/>
      <c r="Z225" s="7"/>
      <c r="AA225" s="7">
        <v>3</v>
      </c>
      <c r="AB225" s="7">
        <v>3</v>
      </c>
      <c r="AC225" s="9">
        <f t="shared" si="290"/>
        <v>6</v>
      </c>
      <c r="AD225" s="26">
        <f t="shared" si="291"/>
        <v>9</v>
      </c>
      <c r="AE225" s="89">
        <v>45723</v>
      </c>
      <c r="AF225"/>
      <c r="AG225"/>
    </row>
    <row r="226" spans="1:33" x14ac:dyDescent="0.15">
      <c r="A226" s="35" t="s">
        <v>37</v>
      </c>
      <c r="B226" s="24"/>
      <c r="C226" s="25"/>
      <c r="D226" s="25"/>
      <c r="E226" s="25"/>
      <c r="F226" s="26">
        <f t="shared" si="286"/>
        <v>0</v>
      </c>
      <c r="G226" s="24"/>
      <c r="H226" s="25"/>
      <c r="I226" s="25">
        <v>1</v>
      </c>
      <c r="J226" s="25"/>
      <c r="K226" s="26">
        <f t="shared" si="287"/>
        <v>1</v>
      </c>
      <c r="L226" s="26">
        <f t="shared" si="288"/>
        <v>1</v>
      </c>
      <c r="M226" s="90">
        <v>45707</v>
      </c>
      <c r="S226" s="30" t="s">
        <v>31</v>
      </c>
      <c r="T226" s="6"/>
      <c r="U226" s="7">
        <v>2</v>
      </c>
      <c r="V226" s="7"/>
      <c r="W226" s="7">
        <v>2</v>
      </c>
      <c r="X226" s="9">
        <f t="shared" si="289"/>
        <v>4</v>
      </c>
      <c r="Y226" s="6">
        <v>2</v>
      </c>
      <c r="Z226" s="7">
        <v>2</v>
      </c>
      <c r="AA226" s="7">
        <v>2</v>
      </c>
      <c r="AB226" s="7">
        <v>2</v>
      </c>
      <c r="AC226" s="9">
        <f t="shared" si="290"/>
        <v>8</v>
      </c>
      <c r="AD226" s="26">
        <f t="shared" si="291"/>
        <v>12</v>
      </c>
      <c r="AE226" s="89">
        <v>45748</v>
      </c>
      <c r="AF226"/>
      <c r="AG226"/>
    </row>
    <row r="227" spans="1:33" x14ac:dyDescent="0.15">
      <c r="A227" s="35" t="s">
        <v>37</v>
      </c>
      <c r="B227" s="24"/>
      <c r="C227" s="25"/>
      <c r="D227" s="25"/>
      <c r="E227" s="25"/>
      <c r="F227" s="26">
        <f t="shared" si="286"/>
        <v>0</v>
      </c>
      <c r="G227" s="24"/>
      <c r="H227" s="25"/>
      <c r="I227" s="25">
        <v>1</v>
      </c>
      <c r="J227" s="25"/>
      <c r="K227" s="26">
        <f t="shared" si="287"/>
        <v>1</v>
      </c>
      <c r="L227" s="26">
        <f t="shared" si="288"/>
        <v>1</v>
      </c>
      <c r="M227" s="90">
        <v>45708</v>
      </c>
      <c r="S227" s="30" t="s">
        <v>31</v>
      </c>
      <c r="T227" s="6"/>
      <c r="U227" s="7"/>
      <c r="V227" s="7">
        <v>3</v>
      </c>
      <c r="W227" s="7">
        <v>3</v>
      </c>
      <c r="X227" s="9">
        <f t="shared" si="289"/>
        <v>6</v>
      </c>
      <c r="Y227" s="6"/>
      <c r="Z227" s="7"/>
      <c r="AA227" s="7"/>
      <c r="AB227" s="7">
        <v>5</v>
      </c>
      <c r="AC227" s="9">
        <f t="shared" si="290"/>
        <v>5</v>
      </c>
      <c r="AD227" s="26">
        <f t="shared" si="291"/>
        <v>11</v>
      </c>
      <c r="AE227" s="89">
        <v>45752</v>
      </c>
      <c r="AF227"/>
      <c r="AG227"/>
    </row>
    <row r="228" spans="1:33" x14ac:dyDescent="0.15">
      <c r="A228" s="35" t="s">
        <v>37</v>
      </c>
      <c r="B228" s="24"/>
      <c r="C228" s="25"/>
      <c r="D228" s="25"/>
      <c r="E228" s="25">
        <v>1</v>
      </c>
      <c r="F228" s="26">
        <f t="shared" si="286"/>
        <v>1</v>
      </c>
      <c r="G228" s="24"/>
      <c r="H228" s="25"/>
      <c r="I228" s="25"/>
      <c r="J228" s="25"/>
      <c r="K228" s="26">
        <f t="shared" si="287"/>
        <v>0</v>
      </c>
      <c r="L228" s="26">
        <f t="shared" si="288"/>
        <v>1</v>
      </c>
      <c r="M228" s="90">
        <v>45713</v>
      </c>
      <c r="S228" s="31"/>
      <c r="T228" s="6"/>
      <c r="U228" s="7"/>
      <c r="V228" s="7"/>
      <c r="W228" s="7"/>
      <c r="X228" s="9">
        <f t="shared" ref="X228:X240" si="292">SUM(T228:W228)</f>
        <v>0</v>
      </c>
      <c r="Y228" s="6"/>
      <c r="Z228" s="7"/>
      <c r="AA228" s="7"/>
      <c r="AB228" s="7"/>
      <c r="AC228" s="9">
        <f t="shared" ref="AC228:AC240" si="293">SUM(Y228:AB228)</f>
        <v>0</v>
      </c>
      <c r="AD228" s="26">
        <f t="shared" ref="AD228:AD248" si="294">X228+AC228</f>
        <v>0</v>
      </c>
      <c r="AE228" s="87"/>
      <c r="AF228"/>
      <c r="AG228"/>
    </row>
    <row r="229" spans="1:33" x14ac:dyDescent="0.15">
      <c r="A229" s="35" t="s">
        <v>37</v>
      </c>
      <c r="B229" s="24"/>
      <c r="C229" s="25"/>
      <c r="D229" s="25"/>
      <c r="E229" s="25"/>
      <c r="F229" s="26">
        <f t="shared" si="286"/>
        <v>0</v>
      </c>
      <c r="G229" s="24"/>
      <c r="H229" s="25"/>
      <c r="I229" s="25"/>
      <c r="J229" s="25">
        <v>2</v>
      </c>
      <c r="K229" s="26">
        <f t="shared" si="287"/>
        <v>2</v>
      </c>
      <c r="L229" s="26">
        <f t="shared" si="288"/>
        <v>2</v>
      </c>
      <c r="M229" s="90">
        <v>45719</v>
      </c>
      <c r="S229" s="31"/>
      <c r="T229" s="6"/>
      <c r="U229" s="7"/>
      <c r="V229" s="7"/>
      <c r="W229" s="7"/>
      <c r="X229" s="9">
        <f t="shared" si="292"/>
        <v>0</v>
      </c>
      <c r="Y229" s="6"/>
      <c r="Z229" s="7"/>
      <c r="AA229" s="7"/>
      <c r="AB229" s="7"/>
      <c r="AC229" s="9">
        <f t="shared" si="293"/>
        <v>0</v>
      </c>
      <c r="AD229" s="26">
        <f t="shared" si="294"/>
        <v>0</v>
      </c>
      <c r="AE229" s="87"/>
      <c r="AF229"/>
      <c r="AG229"/>
    </row>
    <row r="230" spans="1:33" x14ac:dyDescent="0.15">
      <c r="A230" s="35" t="s">
        <v>37</v>
      </c>
      <c r="B230" s="24"/>
      <c r="C230" s="25"/>
      <c r="D230" s="25"/>
      <c r="E230" s="25"/>
      <c r="F230" s="26">
        <f t="shared" si="286"/>
        <v>0</v>
      </c>
      <c r="G230" s="24"/>
      <c r="H230" s="25"/>
      <c r="I230" s="25">
        <v>1</v>
      </c>
      <c r="J230" s="25"/>
      <c r="K230" s="26">
        <f t="shared" si="287"/>
        <v>1</v>
      </c>
      <c r="L230" s="26">
        <f t="shared" si="288"/>
        <v>1</v>
      </c>
      <c r="M230" s="90">
        <v>45721</v>
      </c>
      <c r="S230" s="31"/>
      <c r="T230" s="6"/>
      <c r="U230" s="7"/>
      <c r="V230" s="7"/>
      <c r="W230" s="7"/>
      <c r="X230" s="9">
        <f t="shared" si="292"/>
        <v>0</v>
      </c>
      <c r="Y230" s="6"/>
      <c r="Z230" s="7"/>
      <c r="AA230" s="7"/>
      <c r="AB230" s="7"/>
      <c r="AC230" s="9">
        <f t="shared" si="293"/>
        <v>0</v>
      </c>
      <c r="AD230" s="26">
        <f t="shared" si="294"/>
        <v>0</v>
      </c>
      <c r="AE230" s="87"/>
      <c r="AF230"/>
      <c r="AG230"/>
    </row>
    <row r="231" spans="1:33" x14ac:dyDescent="0.15">
      <c r="A231" s="35" t="s">
        <v>37</v>
      </c>
      <c r="B231" s="24"/>
      <c r="C231" s="25"/>
      <c r="D231" s="25"/>
      <c r="E231" s="25"/>
      <c r="F231" s="26">
        <f t="shared" si="286"/>
        <v>0</v>
      </c>
      <c r="G231" s="24"/>
      <c r="H231" s="25">
        <v>1</v>
      </c>
      <c r="I231" s="25"/>
      <c r="J231" s="25"/>
      <c r="K231" s="26">
        <f t="shared" si="287"/>
        <v>1</v>
      </c>
      <c r="L231" s="26">
        <f t="shared" si="288"/>
        <v>1</v>
      </c>
      <c r="M231" s="90">
        <v>45722</v>
      </c>
      <c r="S231" s="31"/>
      <c r="T231" s="6"/>
      <c r="U231" s="7"/>
      <c r="V231" s="7"/>
      <c r="W231" s="7"/>
      <c r="X231" s="9">
        <f t="shared" si="292"/>
        <v>0</v>
      </c>
      <c r="Y231" s="6"/>
      <c r="Z231" s="7"/>
      <c r="AA231" s="7"/>
      <c r="AB231" s="7"/>
      <c r="AC231" s="9">
        <f t="shared" si="293"/>
        <v>0</v>
      </c>
      <c r="AD231" s="26">
        <f t="shared" si="294"/>
        <v>0</v>
      </c>
      <c r="AE231" s="87"/>
      <c r="AF231"/>
      <c r="AG231"/>
    </row>
    <row r="232" spans="1:33" x14ac:dyDescent="0.15">
      <c r="A232" s="35" t="s">
        <v>37</v>
      </c>
      <c r="B232" s="24"/>
      <c r="C232" s="25"/>
      <c r="D232" s="25"/>
      <c r="E232" s="25"/>
      <c r="F232" s="26">
        <f t="shared" si="286"/>
        <v>0</v>
      </c>
      <c r="G232" s="24"/>
      <c r="H232" s="25"/>
      <c r="I232" s="25"/>
      <c r="J232" s="25">
        <f>1+1</f>
        <v>2</v>
      </c>
      <c r="K232" s="26">
        <f t="shared" si="287"/>
        <v>2</v>
      </c>
      <c r="L232" s="26">
        <f t="shared" si="288"/>
        <v>2</v>
      </c>
      <c r="M232" s="90">
        <v>45723</v>
      </c>
      <c r="S232" s="31"/>
      <c r="T232" s="6"/>
      <c r="U232" s="7"/>
      <c r="V232" s="7"/>
      <c r="W232" s="7"/>
      <c r="X232" s="9">
        <f t="shared" si="292"/>
        <v>0</v>
      </c>
      <c r="Y232" s="6"/>
      <c r="Z232" s="7"/>
      <c r="AA232" s="7"/>
      <c r="AB232" s="7"/>
      <c r="AC232" s="9">
        <f t="shared" si="293"/>
        <v>0</v>
      </c>
      <c r="AD232" s="26">
        <f t="shared" si="294"/>
        <v>0</v>
      </c>
      <c r="AE232" s="87"/>
      <c r="AF232"/>
      <c r="AG232"/>
    </row>
    <row r="233" spans="1:33" x14ac:dyDescent="0.15">
      <c r="A233" s="35" t="s">
        <v>37</v>
      </c>
      <c r="B233" s="24"/>
      <c r="C233" s="25"/>
      <c r="D233" s="25"/>
      <c r="E233" s="25"/>
      <c r="F233" s="26">
        <f t="shared" si="286"/>
        <v>0</v>
      </c>
      <c r="G233" s="24">
        <v>1</v>
      </c>
      <c r="H233" s="25"/>
      <c r="I233" s="25"/>
      <c r="J233" s="25"/>
      <c r="K233" s="26">
        <f t="shared" si="287"/>
        <v>1</v>
      </c>
      <c r="L233" s="26">
        <f t="shared" si="288"/>
        <v>1</v>
      </c>
      <c r="M233" s="90">
        <v>45726</v>
      </c>
      <c r="S233" s="31"/>
      <c r="T233" s="6"/>
      <c r="U233" s="7"/>
      <c r="V233" s="7"/>
      <c r="W233" s="7"/>
      <c r="X233" s="9">
        <f t="shared" si="292"/>
        <v>0</v>
      </c>
      <c r="Y233" s="6"/>
      <c r="Z233" s="7"/>
      <c r="AA233" s="7"/>
      <c r="AB233" s="7"/>
      <c r="AC233" s="9">
        <f t="shared" si="293"/>
        <v>0</v>
      </c>
      <c r="AD233" s="26">
        <f t="shared" si="294"/>
        <v>0</v>
      </c>
      <c r="AE233" s="87"/>
      <c r="AF233"/>
      <c r="AG233"/>
    </row>
    <row r="234" spans="1:33" x14ac:dyDescent="0.15">
      <c r="A234" s="35" t="s">
        <v>37</v>
      </c>
      <c r="B234" s="24"/>
      <c r="C234" s="25"/>
      <c r="D234" s="25">
        <v>1</v>
      </c>
      <c r="E234" s="25"/>
      <c r="F234" s="26">
        <f t="shared" si="286"/>
        <v>1</v>
      </c>
      <c r="G234" s="24"/>
      <c r="H234" s="25"/>
      <c r="I234" s="25"/>
      <c r="J234" s="25"/>
      <c r="K234" s="26">
        <f t="shared" si="287"/>
        <v>0</v>
      </c>
      <c r="L234" s="26">
        <f t="shared" si="288"/>
        <v>1</v>
      </c>
      <c r="M234" s="90">
        <v>45730</v>
      </c>
      <c r="S234" s="31"/>
      <c r="T234" s="6"/>
      <c r="U234" s="7"/>
      <c r="V234" s="7"/>
      <c r="W234" s="7"/>
      <c r="X234" s="9">
        <f t="shared" si="292"/>
        <v>0</v>
      </c>
      <c r="Y234" s="6"/>
      <c r="Z234" s="7"/>
      <c r="AA234" s="7"/>
      <c r="AB234" s="7"/>
      <c r="AC234" s="9">
        <f t="shared" si="293"/>
        <v>0</v>
      </c>
      <c r="AD234" s="26">
        <f t="shared" si="294"/>
        <v>0</v>
      </c>
      <c r="AE234" s="87"/>
      <c r="AF234"/>
      <c r="AG234"/>
    </row>
    <row r="235" spans="1:33" x14ac:dyDescent="0.15">
      <c r="A235" s="35" t="s">
        <v>37</v>
      </c>
      <c r="B235" s="24"/>
      <c r="C235" s="25"/>
      <c r="D235" s="25"/>
      <c r="E235" s="25"/>
      <c r="F235" s="26">
        <f t="shared" si="286"/>
        <v>0</v>
      </c>
      <c r="G235" s="24"/>
      <c r="H235" s="25">
        <v>1</v>
      </c>
      <c r="I235" s="25"/>
      <c r="J235" s="25"/>
      <c r="K235" s="26">
        <f t="shared" si="287"/>
        <v>1</v>
      </c>
      <c r="L235" s="26">
        <f t="shared" si="288"/>
        <v>1</v>
      </c>
      <c r="M235" s="90">
        <v>45733</v>
      </c>
      <c r="S235" s="31"/>
      <c r="T235" s="6"/>
      <c r="U235" s="7"/>
      <c r="V235" s="7"/>
      <c r="W235" s="7"/>
      <c r="X235" s="9">
        <f t="shared" si="292"/>
        <v>0</v>
      </c>
      <c r="Y235" s="6"/>
      <c r="Z235" s="7"/>
      <c r="AA235" s="7"/>
      <c r="AB235" s="7"/>
      <c r="AC235" s="9">
        <f t="shared" si="293"/>
        <v>0</v>
      </c>
      <c r="AD235" s="26">
        <f t="shared" si="294"/>
        <v>0</v>
      </c>
      <c r="AE235" s="87"/>
      <c r="AF235"/>
      <c r="AG235"/>
    </row>
    <row r="236" spans="1:33" x14ac:dyDescent="0.15">
      <c r="A236" s="35" t="s">
        <v>37</v>
      </c>
      <c r="B236" s="24"/>
      <c r="C236" s="25"/>
      <c r="D236" s="25"/>
      <c r="E236" s="25"/>
      <c r="F236" s="26">
        <f t="shared" si="286"/>
        <v>0</v>
      </c>
      <c r="G236" s="24"/>
      <c r="H236" s="25">
        <v>1</v>
      </c>
      <c r="I236" s="25"/>
      <c r="J236" s="25"/>
      <c r="K236" s="26">
        <f t="shared" si="287"/>
        <v>1</v>
      </c>
      <c r="L236" s="26">
        <f t="shared" si="288"/>
        <v>1</v>
      </c>
      <c r="M236" s="90">
        <v>45741</v>
      </c>
      <c r="S236" s="31"/>
      <c r="T236" s="6"/>
      <c r="U236" s="7"/>
      <c r="V236" s="7"/>
      <c r="W236" s="7"/>
      <c r="X236" s="9">
        <f t="shared" si="292"/>
        <v>0</v>
      </c>
      <c r="Y236" s="6"/>
      <c r="Z236" s="7"/>
      <c r="AA236" s="7"/>
      <c r="AB236" s="7"/>
      <c r="AC236" s="9">
        <f t="shared" si="293"/>
        <v>0</v>
      </c>
      <c r="AD236" s="26">
        <f t="shared" si="294"/>
        <v>0</v>
      </c>
      <c r="AE236" s="87"/>
      <c r="AF236"/>
      <c r="AG236"/>
    </row>
    <row r="237" spans="1:33" x14ac:dyDescent="0.15">
      <c r="A237" s="35" t="s">
        <v>37</v>
      </c>
      <c r="B237" s="24"/>
      <c r="C237" s="25"/>
      <c r="D237" s="25"/>
      <c r="E237" s="25">
        <v>1</v>
      </c>
      <c r="F237" s="26">
        <f t="shared" si="286"/>
        <v>1</v>
      </c>
      <c r="G237" s="24"/>
      <c r="H237" s="25"/>
      <c r="I237" s="25">
        <v>1</v>
      </c>
      <c r="J237" s="25"/>
      <c r="K237" s="26">
        <f t="shared" si="287"/>
        <v>1</v>
      </c>
      <c r="L237" s="26">
        <f t="shared" si="288"/>
        <v>2</v>
      </c>
      <c r="M237" s="90">
        <v>45744</v>
      </c>
      <c r="S237" s="31"/>
      <c r="T237" s="6"/>
      <c r="U237" s="7"/>
      <c r="V237" s="7"/>
      <c r="W237" s="7"/>
      <c r="X237" s="9">
        <f t="shared" si="292"/>
        <v>0</v>
      </c>
      <c r="Y237" s="6"/>
      <c r="Z237" s="7"/>
      <c r="AA237" s="7"/>
      <c r="AB237" s="7"/>
      <c r="AC237" s="9">
        <f t="shared" si="293"/>
        <v>0</v>
      </c>
      <c r="AD237" s="26">
        <f t="shared" si="294"/>
        <v>0</v>
      </c>
      <c r="AE237" s="87"/>
      <c r="AF237"/>
      <c r="AG237"/>
    </row>
    <row r="238" spans="1:33" x14ac:dyDescent="0.15">
      <c r="A238" s="35" t="s">
        <v>37</v>
      </c>
      <c r="B238" s="24"/>
      <c r="C238" s="25"/>
      <c r="D238" s="25"/>
      <c r="E238" s="25">
        <v>1</v>
      </c>
      <c r="F238" s="26">
        <f t="shared" si="286"/>
        <v>1</v>
      </c>
      <c r="G238" s="24"/>
      <c r="H238" s="25"/>
      <c r="I238" s="25"/>
      <c r="J238" s="25">
        <v>2</v>
      </c>
      <c r="K238" s="26">
        <f t="shared" si="287"/>
        <v>2</v>
      </c>
      <c r="L238" s="26">
        <f t="shared" si="288"/>
        <v>3</v>
      </c>
      <c r="M238" s="90">
        <v>45744</v>
      </c>
      <c r="S238" s="31"/>
      <c r="T238" s="6"/>
      <c r="U238" s="7"/>
      <c r="V238" s="7"/>
      <c r="W238" s="7"/>
      <c r="X238" s="9">
        <f t="shared" si="292"/>
        <v>0</v>
      </c>
      <c r="Y238" s="6"/>
      <c r="Z238" s="7"/>
      <c r="AA238" s="7"/>
      <c r="AB238" s="7"/>
      <c r="AC238" s="9">
        <f t="shared" si="293"/>
        <v>0</v>
      </c>
      <c r="AD238" s="26">
        <f t="shared" si="294"/>
        <v>0</v>
      </c>
      <c r="AE238" s="87"/>
      <c r="AF238"/>
      <c r="AG238"/>
    </row>
    <row r="239" spans="1:33" x14ac:dyDescent="0.15">
      <c r="A239" s="35" t="s">
        <v>37</v>
      </c>
      <c r="B239" s="24">
        <v>1</v>
      </c>
      <c r="C239" s="25"/>
      <c r="D239" s="25"/>
      <c r="E239" s="25"/>
      <c r="F239" s="26">
        <f t="shared" si="286"/>
        <v>1</v>
      </c>
      <c r="G239" s="24"/>
      <c r="H239" s="25"/>
      <c r="I239" s="25"/>
      <c r="J239" s="25"/>
      <c r="K239" s="26">
        <f t="shared" si="287"/>
        <v>0</v>
      </c>
      <c r="L239" s="26">
        <f t="shared" si="288"/>
        <v>1</v>
      </c>
      <c r="M239" s="90">
        <v>45748</v>
      </c>
      <c r="S239" s="31"/>
      <c r="T239" s="6"/>
      <c r="U239" s="7"/>
      <c r="V239" s="7"/>
      <c r="W239" s="7"/>
      <c r="X239" s="9">
        <f t="shared" si="292"/>
        <v>0</v>
      </c>
      <c r="Y239" s="6"/>
      <c r="Z239" s="7"/>
      <c r="AA239" s="7"/>
      <c r="AB239" s="7"/>
      <c r="AC239" s="9">
        <f t="shared" si="293"/>
        <v>0</v>
      </c>
      <c r="AD239" s="26">
        <f t="shared" si="294"/>
        <v>0</v>
      </c>
      <c r="AE239" s="87"/>
      <c r="AF239"/>
      <c r="AG239"/>
    </row>
    <row r="240" spans="1:33" x14ac:dyDescent="0.15">
      <c r="A240" s="35" t="s">
        <v>37</v>
      </c>
      <c r="B240" s="24"/>
      <c r="C240" s="25"/>
      <c r="D240" s="25"/>
      <c r="E240" s="25"/>
      <c r="F240" s="26">
        <f t="shared" si="286"/>
        <v>0</v>
      </c>
      <c r="G240" s="24"/>
      <c r="H240" s="25"/>
      <c r="I240" s="25"/>
      <c r="J240" s="25">
        <v>1</v>
      </c>
      <c r="K240" s="26">
        <f t="shared" si="287"/>
        <v>1</v>
      </c>
      <c r="L240" s="26">
        <f t="shared" si="288"/>
        <v>1</v>
      </c>
      <c r="M240" s="90">
        <v>45749</v>
      </c>
      <c r="S240" s="31"/>
      <c r="T240" s="6"/>
      <c r="U240" s="7"/>
      <c r="V240" s="7"/>
      <c r="W240" s="7"/>
      <c r="X240" s="9">
        <f t="shared" si="292"/>
        <v>0</v>
      </c>
      <c r="Y240" s="6"/>
      <c r="Z240" s="7"/>
      <c r="AA240" s="7"/>
      <c r="AB240" s="7"/>
      <c r="AC240" s="9">
        <f t="shared" si="293"/>
        <v>0</v>
      </c>
      <c r="AD240" s="26">
        <f t="shared" si="294"/>
        <v>0</v>
      </c>
      <c r="AE240" s="87"/>
      <c r="AF240"/>
      <c r="AG240"/>
    </row>
    <row r="241" spans="1:35" x14ac:dyDescent="0.15">
      <c r="A241" s="35" t="s">
        <v>37</v>
      </c>
      <c r="B241" s="24"/>
      <c r="C241" s="25"/>
      <c r="D241" s="25"/>
      <c r="E241" s="25"/>
      <c r="F241" s="26">
        <f t="shared" si="286"/>
        <v>0</v>
      </c>
      <c r="G241" s="24">
        <v>1</v>
      </c>
      <c r="H241" s="25"/>
      <c r="I241" s="25"/>
      <c r="J241" s="25"/>
      <c r="K241" s="26">
        <f t="shared" si="287"/>
        <v>1</v>
      </c>
      <c r="L241" s="26">
        <f t="shared" si="288"/>
        <v>1</v>
      </c>
      <c r="M241" s="90">
        <v>45750</v>
      </c>
      <c r="S241" s="31"/>
      <c r="T241" s="6"/>
      <c r="U241" s="7"/>
      <c r="V241" s="7"/>
      <c r="W241" s="7"/>
      <c r="X241" s="9">
        <f t="shared" ref="X241:X248" si="295">SUM(T241:W241)</f>
        <v>0</v>
      </c>
      <c r="Y241" s="6"/>
      <c r="Z241" s="7"/>
      <c r="AA241" s="7"/>
      <c r="AB241" s="7"/>
      <c r="AC241" s="9">
        <f t="shared" ref="AC241:AC248" si="296">SUM(Y241:AB241)</f>
        <v>0</v>
      </c>
      <c r="AD241" s="26">
        <f t="shared" si="294"/>
        <v>0</v>
      </c>
      <c r="AE241" s="87"/>
      <c r="AF241"/>
      <c r="AG241"/>
    </row>
    <row r="242" spans="1:35" x14ac:dyDescent="0.15">
      <c r="A242" s="35" t="s">
        <v>37</v>
      </c>
      <c r="B242" s="6"/>
      <c r="C242" s="7"/>
      <c r="D242" s="7">
        <v>1</v>
      </c>
      <c r="E242" s="7"/>
      <c r="F242" s="9">
        <f t="shared" si="286"/>
        <v>1</v>
      </c>
      <c r="G242" s="6"/>
      <c r="H242" s="7"/>
      <c r="I242" s="7"/>
      <c r="J242" s="7">
        <v>1</v>
      </c>
      <c r="K242" s="9">
        <f t="shared" si="287"/>
        <v>1</v>
      </c>
      <c r="L242" s="26">
        <f t="shared" si="288"/>
        <v>2</v>
      </c>
      <c r="M242" s="90">
        <v>45751</v>
      </c>
      <c r="S242" s="31"/>
      <c r="T242" s="6"/>
      <c r="U242" s="7"/>
      <c r="V242" s="7"/>
      <c r="W242" s="7"/>
      <c r="X242" s="9">
        <f t="shared" si="295"/>
        <v>0</v>
      </c>
      <c r="Y242" s="6"/>
      <c r="Z242" s="7"/>
      <c r="AA242" s="7"/>
      <c r="AB242" s="7"/>
      <c r="AC242" s="9">
        <f t="shared" si="296"/>
        <v>0</v>
      </c>
      <c r="AD242" s="26">
        <f t="shared" si="294"/>
        <v>0</v>
      </c>
      <c r="AE242" s="87"/>
      <c r="AF242"/>
      <c r="AG242"/>
    </row>
    <row r="243" spans="1:35" x14ac:dyDescent="0.15">
      <c r="A243" s="35" t="s">
        <v>37</v>
      </c>
      <c r="B243" s="24"/>
      <c r="C243" s="25"/>
      <c r="D243" s="25"/>
      <c r="E243" s="25"/>
      <c r="F243" s="26">
        <f t="shared" si="286"/>
        <v>0</v>
      </c>
      <c r="G243" s="24"/>
      <c r="H243" s="25">
        <v>1</v>
      </c>
      <c r="I243" s="25"/>
      <c r="J243" s="25"/>
      <c r="K243" s="26">
        <f t="shared" si="287"/>
        <v>1</v>
      </c>
      <c r="L243" s="26">
        <f t="shared" si="288"/>
        <v>1</v>
      </c>
      <c r="M243" s="90">
        <v>45755</v>
      </c>
      <c r="S243" s="31"/>
      <c r="T243" s="6"/>
      <c r="U243" s="7"/>
      <c r="V243" s="7"/>
      <c r="W243" s="7"/>
      <c r="X243" s="9">
        <f t="shared" si="295"/>
        <v>0</v>
      </c>
      <c r="Y243" s="6"/>
      <c r="Z243" s="7"/>
      <c r="AA243" s="7"/>
      <c r="AB243" s="7"/>
      <c r="AC243" s="9">
        <f t="shared" si="296"/>
        <v>0</v>
      </c>
      <c r="AD243" s="26">
        <f t="shared" si="294"/>
        <v>0</v>
      </c>
      <c r="AE243" s="87"/>
      <c r="AF243"/>
      <c r="AG243"/>
    </row>
    <row r="244" spans="1:35" x14ac:dyDescent="0.15">
      <c r="A244" s="35" t="s">
        <v>37</v>
      </c>
      <c r="B244" s="27"/>
      <c r="C244" s="28"/>
      <c r="D244" s="28"/>
      <c r="E244" s="28"/>
      <c r="F244" s="26">
        <f t="shared" si="286"/>
        <v>0</v>
      </c>
      <c r="G244" s="27"/>
      <c r="H244" s="28"/>
      <c r="I244" s="28"/>
      <c r="J244" s="28">
        <v>1</v>
      </c>
      <c r="K244" s="26">
        <f t="shared" si="287"/>
        <v>1</v>
      </c>
      <c r="L244" s="26">
        <f t="shared" si="288"/>
        <v>1</v>
      </c>
      <c r="M244" s="90">
        <v>45761</v>
      </c>
      <c r="S244" s="31"/>
      <c r="T244" s="6"/>
      <c r="U244" s="7"/>
      <c r="V244" s="7"/>
      <c r="W244" s="7"/>
      <c r="X244" s="9">
        <f t="shared" si="295"/>
        <v>0</v>
      </c>
      <c r="Y244" s="6"/>
      <c r="Z244" s="7"/>
      <c r="AA244" s="7"/>
      <c r="AB244" s="7"/>
      <c r="AC244" s="9">
        <f t="shared" si="296"/>
        <v>0</v>
      </c>
      <c r="AD244" s="26">
        <f t="shared" si="294"/>
        <v>0</v>
      </c>
      <c r="AE244" s="87"/>
      <c r="AF244"/>
      <c r="AG244"/>
    </row>
    <row r="245" spans="1:35" x14ac:dyDescent="0.15">
      <c r="A245" s="35" t="s">
        <v>37</v>
      </c>
      <c r="B245" s="24"/>
      <c r="C245" s="25"/>
      <c r="D245" s="25"/>
      <c r="E245" s="25"/>
      <c r="F245" s="26">
        <f t="shared" si="286"/>
        <v>0</v>
      </c>
      <c r="G245" s="24"/>
      <c r="H245" s="25"/>
      <c r="I245" s="25">
        <v>1</v>
      </c>
      <c r="J245" s="25">
        <v>1</v>
      </c>
      <c r="K245" s="26">
        <f t="shared" si="287"/>
        <v>2</v>
      </c>
      <c r="L245" s="26">
        <f t="shared" si="288"/>
        <v>2</v>
      </c>
      <c r="M245" s="90">
        <v>45762</v>
      </c>
      <c r="S245" s="31"/>
      <c r="T245" s="6"/>
      <c r="U245" s="7"/>
      <c r="V245" s="7"/>
      <c r="W245" s="7"/>
      <c r="X245" s="9">
        <f t="shared" si="295"/>
        <v>0</v>
      </c>
      <c r="Y245" s="6"/>
      <c r="Z245" s="7"/>
      <c r="AA245" s="7"/>
      <c r="AB245" s="7"/>
      <c r="AC245" s="9">
        <f t="shared" si="296"/>
        <v>0</v>
      </c>
      <c r="AD245" s="26">
        <f t="shared" si="294"/>
        <v>0</v>
      </c>
      <c r="AE245" s="87"/>
      <c r="AF245"/>
      <c r="AG245"/>
    </row>
    <row r="246" spans="1:35" x14ac:dyDescent="0.15">
      <c r="A246" s="35" t="s">
        <v>37</v>
      </c>
      <c r="B246" s="24"/>
      <c r="C246" s="25"/>
      <c r="D246" s="25"/>
      <c r="E246" s="25"/>
      <c r="F246" s="26">
        <f t="shared" si="286"/>
        <v>0</v>
      </c>
      <c r="G246" s="24"/>
      <c r="H246" s="25"/>
      <c r="I246" s="25">
        <v>1</v>
      </c>
      <c r="J246" s="25"/>
      <c r="K246" s="26">
        <f t="shared" si="287"/>
        <v>1</v>
      </c>
      <c r="L246" s="26">
        <f t="shared" si="288"/>
        <v>1</v>
      </c>
      <c r="M246" s="90">
        <v>45770</v>
      </c>
      <c r="S246" s="31"/>
      <c r="T246" s="6"/>
      <c r="U246" s="7"/>
      <c r="V246" s="7"/>
      <c r="W246" s="7"/>
      <c r="X246" s="9">
        <f t="shared" si="295"/>
        <v>0</v>
      </c>
      <c r="Y246" s="6"/>
      <c r="Z246" s="7"/>
      <c r="AA246" s="7"/>
      <c r="AB246" s="7"/>
      <c r="AC246" s="9">
        <f t="shared" si="296"/>
        <v>0</v>
      </c>
      <c r="AD246" s="26">
        <f t="shared" si="294"/>
        <v>0</v>
      </c>
      <c r="AE246" s="87"/>
      <c r="AF246"/>
      <c r="AG246"/>
    </row>
    <row r="247" spans="1:35" x14ac:dyDescent="0.15">
      <c r="A247" s="35" t="s">
        <v>37</v>
      </c>
      <c r="B247" s="24"/>
      <c r="C247" s="25"/>
      <c r="D247" s="25"/>
      <c r="E247" s="25"/>
      <c r="F247" s="26">
        <f t="shared" si="286"/>
        <v>0</v>
      </c>
      <c r="G247" s="24"/>
      <c r="H247" s="25"/>
      <c r="I247" s="25">
        <v>1</v>
      </c>
      <c r="J247" s="25"/>
      <c r="K247" s="26">
        <f t="shared" si="287"/>
        <v>1</v>
      </c>
      <c r="L247" s="26">
        <f t="shared" si="288"/>
        <v>1</v>
      </c>
      <c r="M247" s="90">
        <v>45775</v>
      </c>
      <c r="S247" s="31"/>
      <c r="T247" s="6"/>
      <c r="U247" s="7"/>
      <c r="V247" s="7"/>
      <c r="W247" s="7"/>
      <c r="X247" s="9">
        <f t="shared" si="295"/>
        <v>0</v>
      </c>
      <c r="Y247" s="6"/>
      <c r="Z247" s="7"/>
      <c r="AA247" s="7"/>
      <c r="AB247" s="7"/>
      <c r="AC247" s="9">
        <f t="shared" si="296"/>
        <v>0</v>
      </c>
      <c r="AD247" s="26">
        <f t="shared" si="294"/>
        <v>0</v>
      </c>
      <c r="AE247" s="87"/>
      <c r="AF247"/>
      <c r="AG247"/>
    </row>
    <row r="248" spans="1:35" ht="14.25" thickBot="1" x14ac:dyDescent="0.2">
      <c r="A248" s="35" t="s">
        <v>37</v>
      </c>
      <c r="B248" s="10"/>
      <c r="C248" s="11"/>
      <c r="D248" s="11"/>
      <c r="E248" s="11"/>
      <c r="F248" s="9">
        <f t="shared" si="286"/>
        <v>0</v>
      </c>
      <c r="G248" s="10"/>
      <c r="H248" s="11">
        <v>1</v>
      </c>
      <c r="I248" s="11"/>
      <c r="J248" s="11"/>
      <c r="K248" s="9">
        <f t="shared" si="287"/>
        <v>1</v>
      </c>
      <c r="L248" s="26">
        <f t="shared" si="288"/>
        <v>1</v>
      </c>
      <c r="M248" s="90">
        <v>45785</v>
      </c>
      <c r="S248" s="31"/>
      <c r="T248" s="6"/>
      <c r="U248" s="7"/>
      <c r="V248" s="7"/>
      <c r="W248" s="7"/>
      <c r="X248" s="9">
        <f t="shared" si="295"/>
        <v>0</v>
      </c>
      <c r="Y248" s="6"/>
      <c r="Z248" s="7"/>
      <c r="AA248" s="7"/>
      <c r="AB248" s="7"/>
      <c r="AC248" s="9">
        <f t="shared" si="296"/>
        <v>0</v>
      </c>
      <c r="AD248" s="26">
        <f t="shared" si="294"/>
        <v>0</v>
      </c>
      <c r="AE248" s="87"/>
      <c r="AF248"/>
      <c r="AG248"/>
    </row>
    <row r="249" spans="1:35" ht="15" thickBot="1" x14ac:dyDescent="0.2">
      <c r="A249" s="5" t="s">
        <v>14</v>
      </c>
      <c r="B249" s="12">
        <f>SUM(B223:B248)</f>
        <v>1</v>
      </c>
      <c r="C249" s="13">
        <f t="shared" ref="C249:K249" si="297">SUM(C223:C248)</f>
        <v>0</v>
      </c>
      <c r="D249" s="13">
        <f t="shared" si="297"/>
        <v>3</v>
      </c>
      <c r="E249" s="14">
        <f t="shared" si="297"/>
        <v>3</v>
      </c>
      <c r="F249" s="8">
        <f t="shared" si="297"/>
        <v>7</v>
      </c>
      <c r="G249" s="12">
        <f t="shared" si="297"/>
        <v>2</v>
      </c>
      <c r="H249" s="13">
        <f t="shared" si="297"/>
        <v>6</v>
      </c>
      <c r="I249" s="13">
        <f t="shared" si="297"/>
        <v>7</v>
      </c>
      <c r="J249" s="14">
        <f t="shared" si="297"/>
        <v>12</v>
      </c>
      <c r="K249" s="8">
        <f t="shared" si="297"/>
        <v>27</v>
      </c>
      <c r="L249" s="34">
        <f>SUM(L223:L248)</f>
        <v>34</v>
      </c>
      <c r="M249" s="87"/>
      <c r="S249" s="5" t="s">
        <v>14</v>
      </c>
      <c r="T249" s="12">
        <f>SUM(T223:T248)</f>
        <v>0</v>
      </c>
      <c r="U249" s="13">
        <f t="shared" ref="U249" si="298">SUM(U223:U248)</f>
        <v>2</v>
      </c>
      <c r="V249" s="13">
        <f t="shared" ref="V249" si="299">SUM(V223:V248)</f>
        <v>6</v>
      </c>
      <c r="W249" s="14">
        <f t="shared" ref="W249" si="300">SUM(W223:W248)</f>
        <v>8</v>
      </c>
      <c r="X249" s="8">
        <f>SUM(X223:X248)</f>
        <v>16</v>
      </c>
      <c r="Y249" s="12">
        <f>SUM(Y223:Y248)</f>
        <v>2</v>
      </c>
      <c r="Z249" s="13">
        <f t="shared" ref="Z249" si="301">SUM(Z223:Z248)</f>
        <v>7</v>
      </c>
      <c r="AA249" s="13">
        <f t="shared" ref="AA249" si="302">SUM(AA223:AA248)</f>
        <v>7</v>
      </c>
      <c r="AB249" s="14">
        <f t="shared" ref="AB249" si="303">SUM(AB223:AB248)</f>
        <v>15</v>
      </c>
      <c r="AC249" s="8">
        <f>SUM(AC223:AC248)</f>
        <v>31</v>
      </c>
      <c r="AD249" s="34">
        <f>SUM(AD223:AD248)</f>
        <v>47</v>
      </c>
      <c r="AE249" s="87"/>
      <c r="AF249"/>
      <c r="AG249"/>
    </row>
    <row r="250" spans="1:35" ht="14.25" thickBot="1" x14ac:dyDescent="0.2">
      <c r="A250" s="15" t="s">
        <v>15</v>
      </c>
      <c r="B250" s="16">
        <f>B222-B249</f>
        <v>4</v>
      </c>
      <c r="C250" s="17">
        <f>C222-C249</f>
        <v>5</v>
      </c>
      <c r="D250" s="17">
        <f t="shared" ref="D250:K250" si="304">D222-D249</f>
        <v>6</v>
      </c>
      <c r="E250" s="18">
        <f t="shared" si="304"/>
        <v>6</v>
      </c>
      <c r="F250" s="44">
        <f t="shared" si="304"/>
        <v>21</v>
      </c>
      <c r="G250" s="16">
        <f t="shared" si="304"/>
        <v>4</v>
      </c>
      <c r="H250" s="17">
        <f t="shared" si="304"/>
        <v>3</v>
      </c>
      <c r="I250" s="17">
        <f t="shared" si="304"/>
        <v>2</v>
      </c>
      <c r="J250" s="18">
        <f t="shared" si="304"/>
        <v>4</v>
      </c>
      <c r="K250" s="44">
        <f t="shared" si="304"/>
        <v>13</v>
      </c>
      <c r="L250" s="34">
        <f>L222-L249</f>
        <v>34</v>
      </c>
      <c r="M250" s="87"/>
      <c r="S250" s="15" t="s">
        <v>15</v>
      </c>
      <c r="T250" s="16">
        <f>T222-T249</f>
        <v>120</v>
      </c>
      <c r="U250" s="17">
        <f t="shared" ref="U250" si="305">U222-U249</f>
        <v>131</v>
      </c>
      <c r="V250" s="17">
        <f t="shared" ref="V250" si="306">V222-V249</f>
        <v>86</v>
      </c>
      <c r="W250" s="18">
        <f t="shared" ref="W250" si="307">W222-W249</f>
        <v>58</v>
      </c>
      <c r="X250" s="44">
        <f>X222-X249</f>
        <v>395</v>
      </c>
      <c r="Y250" s="16">
        <f>Y222-Y249</f>
        <v>119</v>
      </c>
      <c r="Z250" s="17">
        <f t="shared" ref="Z250" si="308">Z222-Z249</f>
        <v>108</v>
      </c>
      <c r="AA250" s="17">
        <f t="shared" ref="AA250" si="309">AA222-AA249</f>
        <v>93</v>
      </c>
      <c r="AB250" s="18">
        <f t="shared" ref="AB250" si="310">AB222-AB249</f>
        <v>52</v>
      </c>
      <c r="AC250" s="44">
        <f>AC222-AC249</f>
        <v>372</v>
      </c>
      <c r="AD250" s="34">
        <f>AD222-AD249</f>
        <v>767</v>
      </c>
      <c r="AE250" s="87"/>
      <c r="AF250"/>
      <c r="AG250"/>
    </row>
    <row r="251" spans="1:35" x14ac:dyDescent="0.15"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</row>
    <row r="252" spans="1:35" x14ac:dyDescent="0.15">
      <c r="T252" s="68"/>
      <c r="U252" s="68"/>
      <c r="V252" s="68"/>
      <c r="W252" s="68"/>
      <c r="X252" s="68"/>
      <c r="Y252" s="68"/>
      <c r="Z252" s="68"/>
      <c r="AA252" s="68"/>
      <c r="AB252" s="68"/>
      <c r="AC252" s="68"/>
    </row>
    <row r="253" spans="1:35" ht="19.5" thickBot="1" x14ac:dyDescent="0.25">
      <c r="A253" s="58" t="s">
        <v>1</v>
      </c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4"/>
      <c r="S253" s="58" t="s">
        <v>8</v>
      </c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75"/>
      <c r="AF253" s="75"/>
      <c r="AG253" s="75"/>
      <c r="AH253" s="59"/>
      <c r="AI253" s="59"/>
    </row>
    <row r="254" spans="1:35" ht="14.25" thickBot="1" x14ac:dyDescent="0.2">
      <c r="A254" s="52" t="s">
        <v>9</v>
      </c>
      <c r="B254" s="130" t="s">
        <v>10</v>
      </c>
      <c r="C254" s="131"/>
      <c r="D254" s="131"/>
      <c r="E254" s="131"/>
      <c r="F254" s="132"/>
      <c r="G254" s="133" t="s">
        <v>11</v>
      </c>
      <c r="H254" s="134"/>
      <c r="I254" s="134"/>
      <c r="J254" s="134"/>
      <c r="K254" s="135"/>
      <c r="L254" s="136" t="s">
        <v>131</v>
      </c>
      <c r="M254" s="137"/>
      <c r="N254" s="137"/>
      <c r="O254" s="137"/>
      <c r="P254" s="138"/>
      <c r="Q254" s="139" t="s">
        <v>7</v>
      </c>
      <c r="R254" s="54"/>
      <c r="S254" s="52" t="s">
        <v>9</v>
      </c>
      <c r="T254" s="130" t="s">
        <v>10</v>
      </c>
      <c r="U254" s="131"/>
      <c r="V254" s="131"/>
      <c r="W254" s="131"/>
      <c r="X254" s="132"/>
      <c r="Y254" s="133" t="s">
        <v>11</v>
      </c>
      <c r="Z254" s="134"/>
      <c r="AA254" s="134"/>
      <c r="AB254" s="134"/>
      <c r="AC254" s="135"/>
      <c r="AD254" s="136" t="s">
        <v>131</v>
      </c>
      <c r="AE254" s="137"/>
      <c r="AF254" s="137"/>
      <c r="AG254" s="137"/>
      <c r="AH254" s="138"/>
      <c r="AI254" s="139" t="s">
        <v>7</v>
      </c>
    </row>
    <row r="255" spans="1:35" ht="14.25" thickBot="1" x14ac:dyDescent="0.2">
      <c r="A255" s="52" t="s">
        <v>2</v>
      </c>
      <c r="B255" s="2" t="s">
        <v>3</v>
      </c>
      <c r="C255" s="3" t="s">
        <v>4</v>
      </c>
      <c r="D255" s="3" t="s">
        <v>5</v>
      </c>
      <c r="E255" s="4" t="s">
        <v>6</v>
      </c>
      <c r="F255" s="1" t="s">
        <v>0</v>
      </c>
      <c r="G255" s="2" t="s">
        <v>3</v>
      </c>
      <c r="H255" s="3" t="s">
        <v>4</v>
      </c>
      <c r="I255" s="3" t="s">
        <v>5</v>
      </c>
      <c r="J255" s="4" t="s">
        <v>6</v>
      </c>
      <c r="K255" s="1" t="s">
        <v>0</v>
      </c>
      <c r="L255" s="2" t="s">
        <v>3</v>
      </c>
      <c r="M255" s="3" t="s">
        <v>4</v>
      </c>
      <c r="N255" s="3" t="s">
        <v>5</v>
      </c>
      <c r="O255" s="4" t="s">
        <v>6</v>
      </c>
      <c r="P255" s="1" t="s">
        <v>0</v>
      </c>
      <c r="Q255" s="140"/>
      <c r="R255" s="54"/>
      <c r="S255" s="52" t="s">
        <v>2</v>
      </c>
      <c r="T255" s="2" t="s">
        <v>3</v>
      </c>
      <c r="U255" s="3" t="s">
        <v>4</v>
      </c>
      <c r="V255" s="3" t="s">
        <v>5</v>
      </c>
      <c r="W255" s="4" t="s">
        <v>6</v>
      </c>
      <c r="X255" s="1" t="s">
        <v>0</v>
      </c>
      <c r="Y255" s="2" t="s">
        <v>3</v>
      </c>
      <c r="Z255" s="3" t="s">
        <v>4</v>
      </c>
      <c r="AA255" s="3" t="s">
        <v>5</v>
      </c>
      <c r="AB255" s="4" t="s">
        <v>6</v>
      </c>
      <c r="AC255" s="1" t="s">
        <v>0</v>
      </c>
      <c r="AD255" s="2" t="s">
        <v>3</v>
      </c>
      <c r="AE255" s="3" t="s">
        <v>4</v>
      </c>
      <c r="AF255" s="3" t="s">
        <v>5</v>
      </c>
      <c r="AG255" s="4" t="s">
        <v>6</v>
      </c>
      <c r="AH255" s="1" t="s">
        <v>0</v>
      </c>
      <c r="AI255" s="140"/>
    </row>
    <row r="256" spans="1:35" ht="14.25" x14ac:dyDescent="0.15">
      <c r="A256" s="45" t="s">
        <v>16</v>
      </c>
      <c r="B256" s="32">
        <f>B250</f>
        <v>4</v>
      </c>
      <c r="C256" s="32">
        <f t="shared" ref="C256:K256" si="311">C250</f>
        <v>5</v>
      </c>
      <c r="D256" s="32">
        <f t="shared" si="311"/>
        <v>6</v>
      </c>
      <c r="E256" s="38">
        <f t="shared" si="311"/>
        <v>6</v>
      </c>
      <c r="F256" s="33">
        <f t="shared" si="311"/>
        <v>21</v>
      </c>
      <c r="G256" s="32">
        <f t="shared" si="311"/>
        <v>4</v>
      </c>
      <c r="H256" s="32">
        <f t="shared" si="311"/>
        <v>3</v>
      </c>
      <c r="I256" s="32">
        <f t="shared" si="311"/>
        <v>2</v>
      </c>
      <c r="J256" s="38">
        <f t="shared" si="311"/>
        <v>4</v>
      </c>
      <c r="K256" s="33">
        <f t="shared" si="311"/>
        <v>13</v>
      </c>
      <c r="L256" s="32">
        <v>0</v>
      </c>
      <c r="M256" s="32">
        <v>0</v>
      </c>
      <c r="N256" s="32">
        <v>0</v>
      </c>
      <c r="O256" s="38">
        <v>0</v>
      </c>
      <c r="P256" s="62">
        <f>SUM(L256:O256)</f>
        <v>0</v>
      </c>
      <c r="Q256" s="33">
        <f>F256+K256+P256</f>
        <v>34</v>
      </c>
      <c r="R256" s="54"/>
      <c r="S256" s="45" t="s">
        <v>16</v>
      </c>
      <c r="T256" s="32">
        <f>T250</f>
        <v>120</v>
      </c>
      <c r="U256" s="32">
        <f t="shared" ref="U256:AH256" si="312">U250</f>
        <v>131</v>
      </c>
      <c r="V256" s="32">
        <f t="shared" si="312"/>
        <v>86</v>
      </c>
      <c r="W256" s="38">
        <f t="shared" si="312"/>
        <v>58</v>
      </c>
      <c r="X256" s="33">
        <f t="shared" si="312"/>
        <v>395</v>
      </c>
      <c r="Y256" s="32">
        <f t="shared" si="312"/>
        <v>119</v>
      </c>
      <c r="Z256" s="32">
        <f t="shared" si="312"/>
        <v>108</v>
      </c>
      <c r="AA256" s="32">
        <f t="shared" si="312"/>
        <v>93</v>
      </c>
      <c r="AB256" s="38">
        <f t="shared" si="312"/>
        <v>52</v>
      </c>
      <c r="AC256" s="33">
        <f t="shared" si="312"/>
        <v>372</v>
      </c>
      <c r="AD256" s="32"/>
      <c r="AE256" s="32"/>
      <c r="AF256" s="32"/>
      <c r="AG256" s="38"/>
      <c r="AH256" s="33">
        <f t="shared" si="312"/>
        <v>0</v>
      </c>
      <c r="AI256" s="62">
        <f>X256+AC256+AH256</f>
        <v>767</v>
      </c>
    </row>
    <row r="257" spans="1:36" x14ac:dyDescent="0.15">
      <c r="A257" s="23" t="s">
        <v>142</v>
      </c>
      <c r="B257" s="24"/>
      <c r="C257" s="36"/>
      <c r="D257" s="36"/>
      <c r="E257" s="41"/>
      <c r="F257" s="26">
        <f t="shared" ref="F257:F258" si="313">SUM(B257:E257)</f>
        <v>0</v>
      </c>
      <c r="G257" s="25">
        <v>1</v>
      </c>
      <c r="H257" s="36"/>
      <c r="I257" s="36">
        <v>1</v>
      </c>
      <c r="J257" s="41"/>
      <c r="K257" s="26">
        <f t="shared" ref="K257:K263" si="314">SUM(G257:J257)</f>
        <v>2</v>
      </c>
      <c r="L257" s="25"/>
      <c r="M257" s="36">
        <v>1</v>
      </c>
      <c r="N257" s="36"/>
      <c r="O257" s="41">
        <v>1</v>
      </c>
      <c r="P257" s="26">
        <f t="shared" ref="P257:P263" si="315">SUM(L257:O257)</f>
        <v>2</v>
      </c>
      <c r="Q257" s="26">
        <f t="shared" ref="Q257:Q292" si="316">F257+K257+P257</f>
        <v>4</v>
      </c>
      <c r="R257" s="55">
        <v>45684</v>
      </c>
      <c r="S257" s="23" t="s">
        <v>17</v>
      </c>
      <c r="T257" s="25"/>
      <c r="U257" s="25"/>
      <c r="V257" s="25"/>
      <c r="W257" s="39"/>
      <c r="X257" s="22">
        <f>SUM(T257:W257)</f>
        <v>0</v>
      </c>
      <c r="Y257" s="25"/>
      <c r="Z257" s="25"/>
      <c r="AA257" s="25"/>
      <c r="AB257" s="39"/>
      <c r="AC257" s="22">
        <f t="shared" ref="AC257:AC263" si="317">SUM(Y257:AB257)</f>
        <v>0</v>
      </c>
      <c r="AD257" s="25"/>
      <c r="AE257" s="25"/>
      <c r="AF257" s="25"/>
      <c r="AG257" s="39"/>
      <c r="AH257" s="22">
        <f t="shared" ref="AH257:AH263" si="318">SUM(AD257:AG257)</f>
        <v>0</v>
      </c>
      <c r="AI257" s="26">
        <f t="shared" ref="AI257:AI267" si="319">X257+AC257+AH257</f>
        <v>0</v>
      </c>
    </row>
    <row r="258" spans="1:36" x14ac:dyDescent="0.15">
      <c r="A258" s="23" t="s">
        <v>17</v>
      </c>
      <c r="B258" s="24"/>
      <c r="C258" s="36"/>
      <c r="D258" s="36"/>
      <c r="E258" s="41"/>
      <c r="F258" s="26">
        <f t="shared" si="313"/>
        <v>0</v>
      </c>
      <c r="G258" s="25"/>
      <c r="H258" s="36">
        <v>3</v>
      </c>
      <c r="I258" s="36">
        <v>3</v>
      </c>
      <c r="J258" s="41">
        <v>3</v>
      </c>
      <c r="K258" s="26">
        <f t="shared" si="314"/>
        <v>9</v>
      </c>
      <c r="L258" s="25"/>
      <c r="M258" s="36"/>
      <c r="N258" s="36"/>
      <c r="O258" s="41"/>
      <c r="P258" s="26">
        <f t="shared" si="315"/>
        <v>0</v>
      </c>
      <c r="Q258" s="26">
        <f t="shared" si="316"/>
        <v>9</v>
      </c>
      <c r="R258" s="55">
        <v>45786</v>
      </c>
      <c r="S258" s="23" t="s">
        <v>17</v>
      </c>
      <c r="T258" s="25">
        <v>0</v>
      </c>
      <c r="U258" s="25">
        <v>0</v>
      </c>
      <c r="V258" s="25">
        <v>0</v>
      </c>
      <c r="W258" s="39">
        <v>0</v>
      </c>
      <c r="X258" s="22">
        <f t="shared" ref="X258:X263" si="320">SUM(T258:W258)</f>
        <v>0</v>
      </c>
      <c r="Y258" s="25">
        <v>40</v>
      </c>
      <c r="Z258" s="25">
        <v>100</v>
      </c>
      <c r="AA258" s="25">
        <v>70</v>
      </c>
      <c r="AB258" s="39">
        <v>90</v>
      </c>
      <c r="AC258" s="22">
        <f t="shared" si="317"/>
        <v>300</v>
      </c>
      <c r="AD258" s="25">
        <v>160</v>
      </c>
      <c r="AE258" s="25">
        <v>240</v>
      </c>
      <c r="AF258" s="25">
        <v>160</v>
      </c>
      <c r="AG258" s="39">
        <v>180</v>
      </c>
      <c r="AH258" s="22">
        <f t="shared" si="318"/>
        <v>740</v>
      </c>
      <c r="AI258" s="26">
        <f t="shared" si="319"/>
        <v>1040</v>
      </c>
      <c r="AJ258" s="64" t="s">
        <v>145</v>
      </c>
    </row>
    <row r="259" spans="1:36" x14ac:dyDescent="0.15">
      <c r="A259" s="23" t="s">
        <v>34</v>
      </c>
      <c r="B259" s="24"/>
      <c r="C259" s="36"/>
      <c r="D259" s="36"/>
      <c r="E259" s="41"/>
      <c r="F259" s="26">
        <f t="shared" ref="F259:F263" si="321">SUM(B259:E259)</f>
        <v>0</v>
      </c>
      <c r="G259" s="25">
        <v>1</v>
      </c>
      <c r="H259" s="36"/>
      <c r="I259" s="36"/>
      <c r="J259" s="41">
        <v>1</v>
      </c>
      <c r="K259" s="26">
        <f t="shared" si="314"/>
        <v>2</v>
      </c>
      <c r="L259" s="25"/>
      <c r="M259" s="36"/>
      <c r="N259" s="36">
        <v>1</v>
      </c>
      <c r="O259" s="41"/>
      <c r="P259" s="26">
        <f t="shared" si="315"/>
        <v>1</v>
      </c>
      <c r="Q259" s="26">
        <f t="shared" si="316"/>
        <v>3</v>
      </c>
      <c r="R259" s="55">
        <v>45799</v>
      </c>
      <c r="S259" s="23" t="s">
        <v>17</v>
      </c>
      <c r="T259" s="25"/>
      <c r="U259" s="25"/>
      <c r="V259" s="25"/>
      <c r="W259" s="39"/>
      <c r="X259" s="22">
        <f t="shared" si="320"/>
        <v>0</v>
      </c>
      <c r="Y259" s="25">
        <v>-1</v>
      </c>
      <c r="Z259" s="25"/>
      <c r="AA259" s="25">
        <v>-1</v>
      </c>
      <c r="AB259" s="39"/>
      <c r="AC259" s="22">
        <f t="shared" si="317"/>
        <v>-2</v>
      </c>
      <c r="AD259" s="25"/>
      <c r="AE259" s="25">
        <v>-1</v>
      </c>
      <c r="AF259" s="25"/>
      <c r="AG259" s="39">
        <v>-1</v>
      </c>
      <c r="AH259" s="22">
        <f t="shared" si="318"/>
        <v>-2</v>
      </c>
      <c r="AI259" s="26">
        <f t="shared" si="319"/>
        <v>-4</v>
      </c>
      <c r="AJ259" s="50" t="s">
        <v>130</v>
      </c>
    </row>
    <row r="260" spans="1:36" x14ac:dyDescent="0.15">
      <c r="A260" s="23" t="s">
        <v>17</v>
      </c>
      <c r="B260" s="24"/>
      <c r="C260" s="36"/>
      <c r="D260" s="36"/>
      <c r="E260" s="41"/>
      <c r="F260" s="26">
        <f t="shared" si="321"/>
        <v>0</v>
      </c>
      <c r="G260" s="25"/>
      <c r="H260" s="36"/>
      <c r="I260" s="36"/>
      <c r="J260" s="41"/>
      <c r="K260" s="26">
        <f t="shared" si="314"/>
        <v>0</v>
      </c>
      <c r="L260" s="25"/>
      <c r="M260" s="36"/>
      <c r="N260" s="36"/>
      <c r="O260" s="41"/>
      <c r="P260" s="26">
        <f t="shared" si="315"/>
        <v>0</v>
      </c>
      <c r="Q260" s="26">
        <f t="shared" si="316"/>
        <v>0</v>
      </c>
      <c r="R260" s="55"/>
      <c r="S260" s="23" t="s">
        <v>17</v>
      </c>
      <c r="T260" s="28"/>
      <c r="U260" s="28"/>
      <c r="V260" s="28"/>
      <c r="W260" s="40"/>
      <c r="X260" s="29">
        <f t="shared" si="320"/>
        <v>0</v>
      </c>
      <c r="Y260" s="28"/>
      <c r="Z260" s="28"/>
      <c r="AA260" s="28"/>
      <c r="AB260" s="40"/>
      <c r="AC260" s="29">
        <f t="shared" si="317"/>
        <v>0</v>
      </c>
      <c r="AD260" s="28"/>
      <c r="AE260" s="28"/>
      <c r="AF260" s="28"/>
      <c r="AG260" s="40"/>
      <c r="AH260" s="29">
        <f t="shared" si="318"/>
        <v>0</v>
      </c>
      <c r="AI260" s="26">
        <f t="shared" si="319"/>
        <v>0</v>
      </c>
    </row>
    <row r="261" spans="1:36" x14ac:dyDescent="0.15">
      <c r="A261" s="23" t="s">
        <v>17</v>
      </c>
      <c r="B261" s="24"/>
      <c r="C261" s="36"/>
      <c r="D261" s="36"/>
      <c r="E261" s="41"/>
      <c r="F261" s="26">
        <f t="shared" si="321"/>
        <v>0</v>
      </c>
      <c r="G261" s="25"/>
      <c r="H261" s="36"/>
      <c r="I261" s="36"/>
      <c r="J261" s="41"/>
      <c r="K261" s="26">
        <f t="shared" si="314"/>
        <v>0</v>
      </c>
      <c r="L261" s="25"/>
      <c r="M261" s="36"/>
      <c r="N261" s="36"/>
      <c r="O261" s="41"/>
      <c r="P261" s="26">
        <f t="shared" si="315"/>
        <v>0</v>
      </c>
      <c r="Q261" s="26">
        <f t="shared" si="316"/>
        <v>0</v>
      </c>
      <c r="R261" s="55"/>
      <c r="S261" s="23" t="s">
        <v>17</v>
      </c>
      <c r="T261" s="25"/>
      <c r="U261" s="36"/>
      <c r="V261" s="36"/>
      <c r="W261" s="41"/>
      <c r="X261" s="26">
        <f t="shared" si="320"/>
        <v>0</v>
      </c>
      <c r="Y261" s="25"/>
      <c r="Z261" s="36"/>
      <c r="AA261" s="36"/>
      <c r="AB261" s="41"/>
      <c r="AC261" s="26">
        <f t="shared" si="317"/>
        <v>0</v>
      </c>
      <c r="AD261" s="25"/>
      <c r="AE261" s="36"/>
      <c r="AF261" s="36"/>
      <c r="AG261" s="41"/>
      <c r="AH261" s="26">
        <f t="shared" si="318"/>
        <v>0</v>
      </c>
      <c r="AI261" s="26">
        <f t="shared" si="319"/>
        <v>0</v>
      </c>
    </row>
    <row r="262" spans="1:36" x14ac:dyDescent="0.15">
      <c r="A262" s="23" t="s">
        <v>17</v>
      </c>
      <c r="B262" s="24"/>
      <c r="C262" s="36"/>
      <c r="D262" s="36"/>
      <c r="E262" s="41"/>
      <c r="F262" s="26">
        <f t="shared" si="321"/>
        <v>0</v>
      </c>
      <c r="G262" s="25"/>
      <c r="H262" s="36"/>
      <c r="I262" s="36"/>
      <c r="J262" s="41"/>
      <c r="K262" s="26">
        <f t="shared" si="314"/>
        <v>0</v>
      </c>
      <c r="L262" s="25"/>
      <c r="M262" s="36"/>
      <c r="N262" s="36"/>
      <c r="O262" s="41"/>
      <c r="P262" s="26">
        <f t="shared" si="315"/>
        <v>0</v>
      </c>
      <c r="Q262" s="26">
        <f t="shared" si="316"/>
        <v>0</v>
      </c>
      <c r="R262" s="55"/>
      <c r="S262" s="23" t="s">
        <v>17</v>
      </c>
      <c r="T262" s="25"/>
      <c r="U262" s="36"/>
      <c r="V262" s="36"/>
      <c r="W262" s="41"/>
      <c r="X262" s="26">
        <f t="shared" si="320"/>
        <v>0</v>
      </c>
      <c r="Y262" s="25"/>
      <c r="Z262" s="36"/>
      <c r="AA262" s="36"/>
      <c r="AB262" s="41"/>
      <c r="AC262" s="26">
        <f t="shared" si="317"/>
        <v>0</v>
      </c>
      <c r="AD262" s="25"/>
      <c r="AE262" s="36"/>
      <c r="AF262" s="36"/>
      <c r="AG262" s="41"/>
      <c r="AH262" s="26">
        <f t="shared" si="318"/>
        <v>0</v>
      </c>
      <c r="AI262" s="26">
        <f t="shared" si="319"/>
        <v>0</v>
      </c>
    </row>
    <row r="263" spans="1:36" ht="14.25" thickBot="1" x14ac:dyDescent="0.2">
      <c r="A263" s="23" t="s">
        <v>53</v>
      </c>
      <c r="B263" s="27"/>
      <c r="C263" s="37"/>
      <c r="D263" s="37"/>
      <c r="E263" s="42">
        <v>2</v>
      </c>
      <c r="F263" s="43">
        <f t="shared" si="321"/>
        <v>2</v>
      </c>
      <c r="G263" s="28">
        <v>-1</v>
      </c>
      <c r="H263" s="37"/>
      <c r="I263" s="37">
        <v>-1</v>
      </c>
      <c r="J263" s="42">
        <v>-1</v>
      </c>
      <c r="K263" s="43">
        <f t="shared" si="314"/>
        <v>-3</v>
      </c>
      <c r="L263" s="28"/>
      <c r="M263" s="37"/>
      <c r="N263" s="37"/>
      <c r="O263" s="42"/>
      <c r="P263" s="43">
        <f t="shared" si="315"/>
        <v>0</v>
      </c>
      <c r="Q263" s="43">
        <f t="shared" si="316"/>
        <v>-1</v>
      </c>
      <c r="R263" s="55">
        <v>45779</v>
      </c>
      <c r="S263" s="23" t="s">
        <v>17</v>
      </c>
      <c r="T263" s="28"/>
      <c r="U263" s="37"/>
      <c r="V263" s="37"/>
      <c r="W263" s="42"/>
      <c r="X263" s="43">
        <f t="shared" si="320"/>
        <v>0</v>
      </c>
      <c r="Y263" s="28"/>
      <c r="Z263" s="37"/>
      <c r="AA263" s="37"/>
      <c r="AB263" s="42"/>
      <c r="AC263" s="43">
        <f t="shared" si="317"/>
        <v>0</v>
      </c>
      <c r="AD263" s="28"/>
      <c r="AE263" s="37"/>
      <c r="AF263" s="37"/>
      <c r="AG263" s="42"/>
      <c r="AH263" s="43">
        <f t="shared" si="318"/>
        <v>0</v>
      </c>
      <c r="AI263" s="43">
        <f t="shared" si="319"/>
        <v>0</v>
      </c>
    </row>
    <row r="264" spans="1:36" ht="15" thickBot="1" x14ac:dyDescent="0.2">
      <c r="A264" s="46" t="s">
        <v>13</v>
      </c>
      <c r="B264" s="47">
        <f>SUM(B256:B263)</f>
        <v>4</v>
      </c>
      <c r="C264" s="48">
        <f t="shared" ref="C264:P264" si="322">SUM(C256:C263)</f>
        <v>5</v>
      </c>
      <c r="D264" s="48">
        <f t="shared" si="322"/>
        <v>6</v>
      </c>
      <c r="E264" s="49">
        <f t="shared" si="322"/>
        <v>8</v>
      </c>
      <c r="F264" s="34">
        <f t="shared" si="322"/>
        <v>23</v>
      </c>
      <c r="G264" s="47">
        <f t="shared" si="322"/>
        <v>5</v>
      </c>
      <c r="H264" s="48">
        <f t="shared" si="322"/>
        <v>6</v>
      </c>
      <c r="I264" s="48">
        <f t="shared" si="322"/>
        <v>5</v>
      </c>
      <c r="J264" s="49">
        <f t="shared" si="322"/>
        <v>7</v>
      </c>
      <c r="K264" s="34">
        <f t="shared" si="322"/>
        <v>23</v>
      </c>
      <c r="L264" s="47">
        <f t="shared" si="322"/>
        <v>0</v>
      </c>
      <c r="M264" s="48">
        <f t="shared" si="322"/>
        <v>1</v>
      </c>
      <c r="N264" s="48">
        <f t="shared" si="322"/>
        <v>1</v>
      </c>
      <c r="O264" s="49">
        <f t="shared" si="322"/>
        <v>1</v>
      </c>
      <c r="P264" s="34">
        <f t="shared" si="322"/>
        <v>3</v>
      </c>
      <c r="Q264" s="34">
        <f t="shared" si="316"/>
        <v>49</v>
      </c>
      <c r="R264" s="54"/>
      <c r="S264" s="46" t="s">
        <v>13</v>
      </c>
      <c r="T264" s="47">
        <f>SUM(T256:T263)</f>
        <v>120</v>
      </c>
      <c r="U264" s="48">
        <f t="shared" ref="U264" si="323">SUM(U256:U263)</f>
        <v>131</v>
      </c>
      <c r="V264" s="48">
        <f t="shared" ref="V264" si="324">SUM(V256:V263)</f>
        <v>86</v>
      </c>
      <c r="W264" s="49">
        <f t="shared" ref="W264" si="325">SUM(W256:W263)</f>
        <v>58</v>
      </c>
      <c r="X264" s="34">
        <f>SUM(X256:X263)</f>
        <v>395</v>
      </c>
      <c r="Y264" s="47">
        <f>SUM(Y256:Y263)</f>
        <v>158</v>
      </c>
      <c r="Z264" s="48">
        <f t="shared" ref="Z264" si="326">SUM(Z256:Z263)</f>
        <v>208</v>
      </c>
      <c r="AA264" s="48">
        <f t="shared" ref="AA264" si="327">SUM(AA256:AA263)</f>
        <v>162</v>
      </c>
      <c r="AB264" s="49">
        <f t="shared" ref="AB264" si="328">SUM(AB256:AB263)</f>
        <v>142</v>
      </c>
      <c r="AC264" s="34">
        <f>SUM(AC256:AC263)</f>
        <v>670</v>
      </c>
      <c r="AD264" s="47">
        <f>SUM(AD256:AD263)</f>
        <v>160</v>
      </c>
      <c r="AE264" s="48">
        <f t="shared" ref="AE264" si="329">SUM(AE256:AE263)</f>
        <v>239</v>
      </c>
      <c r="AF264" s="48">
        <f t="shared" ref="AF264" si="330">SUM(AF256:AF263)</f>
        <v>160</v>
      </c>
      <c r="AG264" s="49">
        <f t="shared" ref="AG264" si="331">SUM(AG256:AG263)</f>
        <v>179</v>
      </c>
      <c r="AH264" s="34">
        <f>SUM(AH256:AH263)</f>
        <v>738</v>
      </c>
      <c r="AI264" s="34">
        <f>X264+AC264+AH264</f>
        <v>1803</v>
      </c>
    </row>
    <row r="265" spans="1:36" x14ac:dyDescent="0.15">
      <c r="A265" s="35" t="s">
        <v>37</v>
      </c>
      <c r="B265" s="24"/>
      <c r="C265" s="25"/>
      <c r="D265" s="25"/>
      <c r="E265" s="25"/>
      <c r="F265" s="26">
        <f t="shared" ref="F265:F290" si="332">SUM(B265:E265)</f>
        <v>0</v>
      </c>
      <c r="G265" s="24"/>
      <c r="H265" s="25"/>
      <c r="I265" s="25"/>
      <c r="J265" s="25">
        <v>1</v>
      </c>
      <c r="K265" s="26">
        <f t="shared" ref="K265:K290" si="333">SUM(G265:J265)</f>
        <v>1</v>
      </c>
      <c r="L265" s="24"/>
      <c r="M265" s="25"/>
      <c r="N265" s="25"/>
      <c r="O265" s="25"/>
      <c r="P265" s="26">
        <f t="shared" ref="P265:P290" si="334">SUM(L265:O265)</f>
        <v>0</v>
      </c>
      <c r="Q265" s="26">
        <f t="shared" si="316"/>
        <v>1</v>
      </c>
      <c r="R265" s="55">
        <v>45789</v>
      </c>
      <c r="S265" s="31" t="s">
        <v>143</v>
      </c>
      <c r="T265" s="6">
        <v>2</v>
      </c>
      <c r="U265" s="7">
        <v>2</v>
      </c>
      <c r="V265" s="7">
        <v>2</v>
      </c>
      <c r="W265" s="7">
        <v>2</v>
      </c>
      <c r="X265" s="9">
        <f t="shared" ref="X265:X282" si="335">SUM(T265:W265)</f>
        <v>8</v>
      </c>
      <c r="Y265" s="6">
        <v>3</v>
      </c>
      <c r="Z265" s="7">
        <v>3</v>
      </c>
      <c r="AA265" s="7">
        <v>2</v>
      </c>
      <c r="AB265" s="7">
        <v>2</v>
      </c>
      <c r="AC265" s="9">
        <f t="shared" ref="AC265:AC283" si="336">SUM(Y265:AB265)</f>
        <v>10</v>
      </c>
      <c r="AD265" s="6">
        <v>2</v>
      </c>
      <c r="AE265" s="7">
        <v>2</v>
      </c>
      <c r="AF265" s="7">
        <v>2</v>
      </c>
      <c r="AG265" s="7">
        <v>2</v>
      </c>
      <c r="AH265" s="9">
        <f t="shared" ref="AH265:AH283" si="337">SUM(AD265:AG265)</f>
        <v>8</v>
      </c>
      <c r="AI265" s="26">
        <f t="shared" si="319"/>
        <v>26</v>
      </c>
      <c r="AJ265" s="64">
        <v>45735</v>
      </c>
    </row>
    <row r="266" spans="1:36" x14ac:dyDescent="0.15">
      <c r="A266" s="35" t="s">
        <v>37</v>
      </c>
      <c r="B266" s="24"/>
      <c r="C266" s="25"/>
      <c r="D266" s="25"/>
      <c r="E266" s="25">
        <v>1</v>
      </c>
      <c r="F266" s="26">
        <f t="shared" si="332"/>
        <v>1</v>
      </c>
      <c r="G266" s="24"/>
      <c r="H266" s="25"/>
      <c r="I266" s="25"/>
      <c r="J266" s="25"/>
      <c r="K266" s="26">
        <f t="shared" si="333"/>
        <v>0</v>
      </c>
      <c r="L266" s="24"/>
      <c r="M266" s="25"/>
      <c r="N266" s="25"/>
      <c r="O266" s="25"/>
      <c r="P266" s="26">
        <f t="shared" si="334"/>
        <v>0</v>
      </c>
      <c r="Q266" s="26">
        <f t="shared" si="316"/>
        <v>1</v>
      </c>
      <c r="R266" s="55">
        <v>45792</v>
      </c>
      <c r="S266" s="31" t="s">
        <v>144</v>
      </c>
      <c r="T266" s="6">
        <v>2</v>
      </c>
      <c r="U266" s="7">
        <v>2</v>
      </c>
      <c r="V266" s="7">
        <v>2</v>
      </c>
      <c r="W266" s="7">
        <v>2</v>
      </c>
      <c r="X266" s="9">
        <f t="shared" si="335"/>
        <v>8</v>
      </c>
      <c r="Y266" s="6">
        <v>2</v>
      </c>
      <c r="Z266" s="7">
        <v>3</v>
      </c>
      <c r="AA266" s="7">
        <v>2</v>
      </c>
      <c r="AB266" s="7">
        <v>2</v>
      </c>
      <c r="AC266" s="9">
        <f t="shared" si="336"/>
        <v>9</v>
      </c>
      <c r="AD266" s="6">
        <v>2</v>
      </c>
      <c r="AE266" s="7">
        <v>2</v>
      </c>
      <c r="AF266" s="7">
        <v>2</v>
      </c>
      <c r="AG266" s="7">
        <v>2</v>
      </c>
      <c r="AH266" s="9">
        <f t="shared" si="337"/>
        <v>8</v>
      </c>
      <c r="AI266" s="26">
        <f t="shared" si="319"/>
        <v>25</v>
      </c>
      <c r="AJ266" s="64">
        <v>45735</v>
      </c>
    </row>
    <row r="267" spans="1:36" x14ac:dyDescent="0.15">
      <c r="A267" s="35" t="s">
        <v>37</v>
      </c>
      <c r="B267" s="24"/>
      <c r="C267" s="25"/>
      <c r="D267" s="25"/>
      <c r="E267" s="25"/>
      <c r="F267" s="26">
        <f t="shared" si="332"/>
        <v>0</v>
      </c>
      <c r="G267" s="24">
        <v>1</v>
      </c>
      <c r="H267" s="25"/>
      <c r="I267" s="25"/>
      <c r="J267" s="25">
        <v>1</v>
      </c>
      <c r="K267" s="26">
        <f t="shared" si="333"/>
        <v>2</v>
      </c>
      <c r="L267" s="24"/>
      <c r="M267" s="25"/>
      <c r="N267" s="25"/>
      <c r="O267" s="25"/>
      <c r="P267" s="26">
        <f t="shared" si="334"/>
        <v>0</v>
      </c>
      <c r="Q267" s="26">
        <f t="shared" si="316"/>
        <v>2</v>
      </c>
      <c r="R267" s="55">
        <v>45796</v>
      </c>
      <c r="S267" s="31" t="s">
        <v>148</v>
      </c>
      <c r="T267" s="6"/>
      <c r="U267" s="7"/>
      <c r="V267" s="7"/>
      <c r="W267" s="7"/>
      <c r="X267" s="9">
        <f t="shared" si="335"/>
        <v>0</v>
      </c>
      <c r="Y267" s="6"/>
      <c r="Z267" s="7">
        <v>3</v>
      </c>
      <c r="AA267" s="7"/>
      <c r="AB267" s="7"/>
      <c r="AC267" s="9">
        <f t="shared" si="336"/>
        <v>3</v>
      </c>
      <c r="AD267" s="6"/>
      <c r="AE267" s="7"/>
      <c r="AF267" s="7"/>
      <c r="AG267" s="7"/>
      <c r="AH267" s="9">
        <f t="shared" si="337"/>
        <v>0</v>
      </c>
      <c r="AI267" s="26">
        <f t="shared" si="319"/>
        <v>3</v>
      </c>
      <c r="AJ267" s="64">
        <v>45756</v>
      </c>
    </row>
    <row r="268" spans="1:36" x14ac:dyDescent="0.15">
      <c r="A268" s="35" t="s">
        <v>37</v>
      </c>
      <c r="B268" s="24"/>
      <c r="C268" s="25"/>
      <c r="D268" s="25"/>
      <c r="E268" s="25"/>
      <c r="F268" s="26">
        <f t="shared" si="332"/>
        <v>0</v>
      </c>
      <c r="G268" s="24"/>
      <c r="H268" s="25"/>
      <c r="I268" s="25">
        <v>1</v>
      </c>
      <c r="J268" s="25"/>
      <c r="K268" s="26">
        <f t="shared" si="333"/>
        <v>1</v>
      </c>
      <c r="L268" s="24"/>
      <c r="M268" s="25"/>
      <c r="N268" s="25"/>
      <c r="O268" s="25"/>
      <c r="P268" s="26">
        <f t="shared" si="334"/>
        <v>0</v>
      </c>
      <c r="Q268" s="26">
        <f t="shared" si="316"/>
        <v>1</v>
      </c>
      <c r="R268" s="55">
        <v>45797</v>
      </c>
      <c r="S268" s="31" t="s">
        <v>149</v>
      </c>
      <c r="T268" s="6"/>
      <c r="U268" s="7"/>
      <c r="V268" s="7"/>
      <c r="W268" s="7">
        <v>3</v>
      </c>
      <c r="X268" s="9">
        <f t="shared" si="335"/>
        <v>3</v>
      </c>
      <c r="Y268" s="6"/>
      <c r="Z268" s="7"/>
      <c r="AA268" s="7"/>
      <c r="AB268" s="7"/>
      <c r="AC268" s="9">
        <f t="shared" si="336"/>
        <v>0</v>
      </c>
      <c r="AD268" s="6"/>
      <c r="AE268" s="7"/>
      <c r="AF268" s="7">
        <v>3</v>
      </c>
      <c r="AG268" s="7"/>
      <c r="AH268" s="9">
        <f t="shared" si="337"/>
        <v>3</v>
      </c>
      <c r="AI268" s="26">
        <f>X268+AC268+AH268</f>
        <v>6</v>
      </c>
      <c r="AJ268" s="64">
        <v>45756</v>
      </c>
    </row>
    <row r="269" spans="1:36" x14ac:dyDescent="0.15">
      <c r="A269" s="35" t="s">
        <v>37</v>
      </c>
      <c r="B269" s="24"/>
      <c r="C269" s="25"/>
      <c r="D269" s="25"/>
      <c r="E269" s="25"/>
      <c r="F269" s="26">
        <f t="shared" si="332"/>
        <v>0</v>
      </c>
      <c r="G269" s="24"/>
      <c r="H269" s="25"/>
      <c r="I269" s="25"/>
      <c r="J269" s="25">
        <v>1</v>
      </c>
      <c r="K269" s="26">
        <f t="shared" si="333"/>
        <v>1</v>
      </c>
      <c r="L269" s="24"/>
      <c r="M269" s="25"/>
      <c r="N269" s="25"/>
      <c r="O269" s="25"/>
      <c r="P269" s="26">
        <f t="shared" si="334"/>
        <v>0</v>
      </c>
      <c r="Q269" s="26">
        <f t="shared" si="316"/>
        <v>1</v>
      </c>
      <c r="R269" s="55">
        <v>45799</v>
      </c>
      <c r="S269" s="31" t="s">
        <v>150</v>
      </c>
      <c r="T269" s="6"/>
      <c r="U269" s="7"/>
      <c r="V269" s="7">
        <v>3</v>
      </c>
      <c r="W269" s="7"/>
      <c r="X269" s="9">
        <f t="shared" si="335"/>
        <v>3</v>
      </c>
      <c r="Y269" s="6"/>
      <c r="Z269" s="7">
        <v>3</v>
      </c>
      <c r="AA269" s="7"/>
      <c r="AB269" s="7"/>
      <c r="AC269" s="9">
        <f t="shared" si="336"/>
        <v>3</v>
      </c>
      <c r="AD269" s="6"/>
      <c r="AE269" s="7">
        <v>3</v>
      </c>
      <c r="AF269" s="7">
        <v>3</v>
      </c>
      <c r="AG269" s="7">
        <v>3</v>
      </c>
      <c r="AH269" s="9">
        <f t="shared" si="337"/>
        <v>9</v>
      </c>
      <c r="AI269" s="26">
        <f t="shared" ref="AI269:AI283" si="338">X269+AC269+AH269</f>
        <v>15</v>
      </c>
      <c r="AJ269" s="64">
        <v>45757</v>
      </c>
    </row>
    <row r="270" spans="1:36" x14ac:dyDescent="0.15">
      <c r="A270" s="35" t="s">
        <v>37</v>
      </c>
      <c r="B270" s="24"/>
      <c r="C270" s="25"/>
      <c r="D270" s="25"/>
      <c r="E270" s="25"/>
      <c r="F270" s="26">
        <f t="shared" si="332"/>
        <v>0</v>
      </c>
      <c r="G270" s="24"/>
      <c r="H270" s="25"/>
      <c r="I270" s="25">
        <v>1</v>
      </c>
      <c r="J270" s="25">
        <v>1</v>
      </c>
      <c r="K270" s="26">
        <f t="shared" si="333"/>
        <v>2</v>
      </c>
      <c r="L270" s="24"/>
      <c r="M270" s="25"/>
      <c r="N270" s="25"/>
      <c r="O270" s="25"/>
      <c r="P270" s="26">
        <f t="shared" si="334"/>
        <v>0</v>
      </c>
      <c r="Q270" s="26">
        <f t="shared" si="316"/>
        <v>2</v>
      </c>
      <c r="R270" s="55">
        <v>45803</v>
      </c>
      <c r="S270" s="31" t="s">
        <v>151</v>
      </c>
      <c r="T270" s="6"/>
      <c r="U270" s="7"/>
      <c r="V270" s="7"/>
      <c r="W270" s="7"/>
      <c r="X270" s="9">
        <f t="shared" si="335"/>
        <v>0</v>
      </c>
      <c r="Y270" s="6"/>
      <c r="Z270" s="7">
        <v>3</v>
      </c>
      <c r="AA270" s="7"/>
      <c r="AB270" s="7">
        <v>3</v>
      </c>
      <c r="AC270" s="9">
        <f t="shared" si="336"/>
        <v>6</v>
      </c>
      <c r="AD270" s="6"/>
      <c r="AE270" s="7"/>
      <c r="AF270" s="7"/>
      <c r="AG270" s="7"/>
      <c r="AH270" s="9">
        <f t="shared" si="337"/>
        <v>0</v>
      </c>
      <c r="AI270" s="26">
        <f t="shared" si="338"/>
        <v>6</v>
      </c>
      <c r="AJ270" s="64">
        <v>45757</v>
      </c>
    </row>
    <row r="271" spans="1:36" x14ac:dyDescent="0.15">
      <c r="A271" s="35" t="s">
        <v>37</v>
      </c>
      <c r="B271" s="24"/>
      <c r="C271" s="25"/>
      <c r="D271" s="25"/>
      <c r="E271" s="25"/>
      <c r="F271" s="26">
        <f t="shared" si="332"/>
        <v>0</v>
      </c>
      <c r="G271" s="24"/>
      <c r="H271" s="25"/>
      <c r="I271" s="25">
        <v>1</v>
      </c>
      <c r="J271" s="25"/>
      <c r="K271" s="26">
        <f t="shared" si="333"/>
        <v>1</v>
      </c>
      <c r="L271" s="24"/>
      <c r="M271" s="25"/>
      <c r="N271" s="25"/>
      <c r="O271" s="25"/>
      <c r="P271" s="26">
        <f t="shared" si="334"/>
        <v>0</v>
      </c>
      <c r="Q271" s="26">
        <f t="shared" si="316"/>
        <v>1</v>
      </c>
      <c r="R271" s="55">
        <v>45806</v>
      </c>
      <c r="S271" s="31" t="s">
        <v>152</v>
      </c>
      <c r="T271" s="6"/>
      <c r="U271" s="7">
        <v>3</v>
      </c>
      <c r="V271" s="7"/>
      <c r="W271" s="7"/>
      <c r="X271" s="9">
        <f t="shared" si="335"/>
        <v>3</v>
      </c>
      <c r="Y271" s="6">
        <v>4</v>
      </c>
      <c r="Z271" s="7">
        <v>2</v>
      </c>
      <c r="AA271" s="7"/>
      <c r="AB271" s="7">
        <v>3</v>
      </c>
      <c r="AC271" s="9">
        <f t="shared" si="336"/>
        <v>9</v>
      </c>
      <c r="AD271" s="6">
        <v>3</v>
      </c>
      <c r="AE271" s="7"/>
      <c r="AF271" s="7"/>
      <c r="AG271" s="7">
        <v>3</v>
      </c>
      <c r="AH271" s="9">
        <f t="shared" si="337"/>
        <v>6</v>
      </c>
      <c r="AI271" s="26">
        <f t="shared" si="338"/>
        <v>18</v>
      </c>
      <c r="AJ271" s="64">
        <v>45758</v>
      </c>
    </row>
    <row r="272" spans="1:36" x14ac:dyDescent="0.15">
      <c r="A272" s="35"/>
      <c r="B272" s="24"/>
      <c r="C272" s="25"/>
      <c r="D272" s="25"/>
      <c r="E272" s="25"/>
      <c r="F272" s="26">
        <f t="shared" ref="F272:F274" si="339">SUM(B272:E272)</f>
        <v>0</v>
      </c>
      <c r="G272" s="24"/>
      <c r="H272" s="25"/>
      <c r="I272" s="25"/>
      <c r="J272" s="25"/>
      <c r="K272" s="26">
        <f t="shared" ref="K272:K274" si="340">SUM(G272:J272)</f>
        <v>0</v>
      </c>
      <c r="L272" s="24"/>
      <c r="M272" s="25"/>
      <c r="N272" s="25"/>
      <c r="O272" s="25"/>
      <c r="P272" s="26">
        <f t="shared" ref="P272:P274" si="341">SUM(L272:O272)</f>
        <v>0</v>
      </c>
      <c r="Q272" s="26">
        <f t="shared" ref="Q272:Q274" si="342">F272+K272+P272</f>
        <v>0</v>
      </c>
      <c r="R272" s="55"/>
      <c r="S272" s="31" t="s">
        <v>153</v>
      </c>
      <c r="T272" s="6"/>
      <c r="U272" s="7"/>
      <c r="V272" s="7"/>
      <c r="W272" s="7"/>
      <c r="X272" s="9">
        <f t="shared" si="335"/>
        <v>0</v>
      </c>
      <c r="Y272" s="6">
        <v>3</v>
      </c>
      <c r="Z272" s="7"/>
      <c r="AA272" s="7"/>
      <c r="AB272" s="7"/>
      <c r="AC272" s="9">
        <f t="shared" si="336"/>
        <v>3</v>
      </c>
      <c r="AD272" s="6"/>
      <c r="AE272" s="7">
        <v>2</v>
      </c>
      <c r="AF272" s="7"/>
      <c r="AG272" s="7">
        <v>2</v>
      </c>
      <c r="AH272" s="9">
        <f t="shared" si="337"/>
        <v>4</v>
      </c>
      <c r="AI272" s="26">
        <f t="shared" si="338"/>
        <v>7</v>
      </c>
      <c r="AJ272" s="64">
        <v>45758</v>
      </c>
    </row>
    <row r="273" spans="1:36" x14ac:dyDescent="0.15">
      <c r="A273" s="35"/>
      <c r="B273" s="24"/>
      <c r="C273" s="25"/>
      <c r="D273" s="25"/>
      <c r="E273" s="25"/>
      <c r="F273" s="26">
        <f t="shared" si="339"/>
        <v>0</v>
      </c>
      <c r="G273" s="24"/>
      <c r="H273" s="25"/>
      <c r="I273" s="25"/>
      <c r="J273" s="25"/>
      <c r="K273" s="26">
        <f t="shared" si="340"/>
        <v>0</v>
      </c>
      <c r="L273" s="24"/>
      <c r="M273" s="25"/>
      <c r="N273" s="25"/>
      <c r="O273" s="25"/>
      <c r="P273" s="26">
        <f t="shared" si="341"/>
        <v>0</v>
      </c>
      <c r="Q273" s="26">
        <f t="shared" si="342"/>
        <v>0</v>
      </c>
      <c r="R273" s="55"/>
      <c r="S273" s="31" t="s">
        <v>154</v>
      </c>
      <c r="T273" s="6"/>
      <c r="U273" s="7"/>
      <c r="V273" s="7"/>
      <c r="W273" s="7"/>
      <c r="X273" s="9">
        <f t="shared" si="335"/>
        <v>0</v>
      </c>
      <c r="Y273" s="6"/>
      <c r="Z273" s="7"/>
      <c r="AA273" s="7">
        <v>3</v>
      </c>
      <c r="AB273" s="7"/>
      <c r="AC273" s="9">
        <f t="shared" si="336"/>
        <v>3</v>
      </c>
      <c r="AD273" s="6">
        <v>3</v>
      </c>
      <c r="AE273" s="7"/>
      <c r="AF273" s="7"/>
      <c r="AG273" s="7">
        <v>3</v>
      </c>
      <c r="AH273" s="9">
        <f t="shared" si="337"/>
        <v>6</v>
      </c>
      <c r="AI273" s="26">
        <f t="shared" si="338"/>
        <v>9</v>
      </c>
      <c r="AJ273" s="64">
        <v>45761</v>
      </c>
    </row>
    <row r="274" spans="1:36" x14ac:dyDescent="0.15">
      <c r="A274" s="35"/>
      <c r="B274" s="24"/>
      <c r="C274" s="25"/>
      <c r="D274" s="25"/>
      <c r="E274" s="25"/>
      <c r="F274" s="26">
        <f t="shared" si="339"/>
        <v>0</v>
      </c>
      <c r="G274" s="24"/>
      <c r="H274" s="25"/>
      <c r="I274" s="25"/>
      <c r="J274" s="25"/>
      <c r="K274" s="26">
        <f t="shared" si="340"/>
        <v>0</v>
      </c>
      <c r="L274" s="24"/>
      <c r="M274" s="25"/>
      <c r="N274" s="25"/>
      <c r="O274" s="25"/>
      <c r="P274" s="26">
        <f t="shared" si="341"/>
        <v>0</v>
      </c>
      <c r="Q274" s="26">
        <f t="shared" si="342"/>
        <v>0</v>
      </c>
      <c r="R274" s="55"/>
      <c r="S274" s="31" t="s">
        <v>155</v>
      </c>
      <c r="T274" s="6"/>
      <c r="U274" s="7"/>
      <c r="V274" s="7"/>
      <c r="W274" s="7"/>
      <c r="X274" s="9">
        <f t="shared" si="335"/>
        <v>0</v>
      </c>
      <c r="Y274" s="6"/>
      <c r="Z274" s="7"/>
      <c r="AA274" s="7"/>
      <c r="AB274" s="7"/>
      <c r="AC274" s="9">
        <f t="shared" si="336"/>
        <v>0</v>
      </c>
      <c r="AD274" s="6">
        <v>2</v>
      </c>
      <c r="AE274" s="7">
        <v>2</v>
      </c>
      <c r="AF274" s="7"/>
      <c r="AG274" s="7"/>
      <c r="AH274" s="9">
        <f t="shared" si="337"/>
        <v>4</v>
      </c>
      <c r="AI274" s="26">
        <f t="shared" si="338"/>
        <v>4</v>
      </c>
      <c r="AJ274" s="64">
        <v>45761</v>
      </c>
    </row>
    <row r="275" spans="1:36" x14ac:dyDescent="0.15">
      <c r="A275" s="35"/>
      <c r="B275" s="24"/>
      <c r="C275" s="25"/>
      <c r="D275" s="25"/>
      <c r="E275" s="25"/>
      <c r="F275" s="26">
        <f t="shared" si="332"/>
        <v>0</v>
      </c>
      <c r="G275" s="24"/>
      <c r="H275" s="25"/>
      <c r="I275" s="25"/>
      <c r="J275" s="25"/>
      <c r="K275" s="26">
        <f t="shared" si="333"/>
        <v>0</v>
      </c>
      <c r="L275" s="24"/>
      <c r="M275" s="25"/>
      <c r="N275" s="25"/>
      <c r="O275" s="25"/>
      <c r="P275" s="26">
        <f t="shared" si="334"/>
        <v>0</v>
      </c>
      <c r="Q275" s="26">
        <f t="shared" si="316"/>
        <v>0</v>
      </c>
      <c r="R275" s="55"/>
      <c r="S275" s="31" t="s">
        <v>156</v>
      </c>
      <c r="T275" s="6"/>
      <c r="U275" s="7"/>
      <c r="V275" s="7"/>
      <c r="W275" s="7"/>
      <c r="X275" s="9">
        <f t="shared" si="335"/>
        <v>0</v>
      </c>
      <c r="Y275" s="6"/>
      <c r="Z275" s="7"/>
      <c r="AA275" s="7"/>
      <c r="AB275" s="7"/>
      <c r="AC275" s="9">
        <f t="shared" si="336"/>
        <v>0</v>
      </c>
      <c r="AD275" s="6">
        <v>3</v>
      </c>
      <c r="AE275" s="7"/>
      <c r="AF275" s="7"/>
      <c r="AG275" s="7"/>
      <c r="AH275" s="9">
        <f t="shared" si="337"/>
        <v>3</v>
      </c>
      <c r="AI275" s="26">
        <f t="shared" si="338"/>
        <v>3</v>
      </c>
      <c r="AJ275" s="64">
        <v>45762</v>
      </c>
    </row>
    <row r="276" spans="1:36" x14ac:dyDescent="0.15">
      <c r="A276" s="35"/>
      <c r="B276" s="24"/>
      <c r="C276" s="25"/>
      <c r="D276" s="25"/>
      <c r="E276" s="25"/>
      <c r="F276" s="26">
        <f t="shared" si="332"/>
        <v>0</v>
      </c>
      <c r="G276" s="24"/>
      <c r="H276" s="25"/>
      <c r="I276" s="25"/>
      <c r="J276" s="25"/>
      <c r="K276" s="26">
        <f t="shared" si="333"/>
        <v>0</v>
      </c>
      <c r="L276" s="24"/>
      <c r="M276" s="25"/>
      <c r="N276" s="25"/>
      <c r="O276" s="25"/>
      <c r="P276" s="26">
        <f t="shared" si="334"/>
        <v>0</v>
      </c>
      <c r="Q276" s="26">
        <f t="shared" si="316"/>
        <v>0</v>
      </c>
      <c r="R276" s="55"/>
      <c r="S276" s="31" t="s">
        <v>157</v>
      </c>
      <c r="T276" s="6"/>
      <c r="U276" s="7"/>
      <c r="V276" s="7"/>
      <c r="W276" s="7"/>
      <c r="X276" s="9">
        <f t="shared" si="335"/>
        <v>0</v>
      </c>
      <c r="Y276" s="6"/>
      <c r="Z276" s="7">
        <v>3</v>
      </c>
      <c r="AA276" s="7"/>
      <c r="AB276" s="7"/>
      <c r="AC276" s="9">
        <f t="shared" si="336"/>
        <v>3</v>
      </c>
      <c r="AD276" s="6"/>
      <c r="AE276" s="7"/>
      <c r="AF276" s="7"/>
      <c r="AG276" s="7">
        <v>3</v>
      </c>
      <c r="AH276" s="9">
        <f t="shared" si="337"/>
        <v>3</v>
      </c>
      <c r="AI276" s="26">
        <f t="shared" si="338"/>
        <v>6</v>
      </c>
      <c r="AJ276" s="64">
        <v>45762</v>
      </c>
    </row>
    <row r="277" spans="1:36" x14ac:dyDescent="0.15">
      <c r="A277" s="35"/>
      <c r="B277" s="24"/>
      <c r="C277" s="25"/>
      <c r="D277" s="25"/>
      <c r="E277" s="25"/>
      <c r="F277" s="26">
        <f t="shared" si="332"/>
        <v>0</v>
      </c>
      <c r="G277" s="24"/>
      <c r="H277" s="25"/>
      <c r="I277" s="25"/>
      <c r="J277" s="25"/>
      <c r="K277" s="26">
        <f t="shared" si="333"/>
        <v>0</v>
      </c>
      <c r="L277" s="24"/>
      <c r="M277" s="25"/>
      <c r="N277" s="25"/>
      <c r="O277" s="25"/>
      <c r="P277" s="26">
        <f t="shared" si="334"/>
        <v>0</v>
      </c>
      <c r="Q277" s="26">
        <f t="shared" si="316"/>
        <v>0</v>
      </c>
      <c r="R277" s="55"/>
      <c r="S277" s="31" t="s">
        <v>158</v>
      </c>
      <c r="T277" s="6"/>
      <c r="U277" s="7"/>
      <c r="V277" s="7"/>
      <c r="W277" s="7"/>
      <c r="X277" s="9">
        <f t="shared" si="335"/>
        <v>0</v>
      </c>
      <c r="Y277" s="6">
        <v>2</v>
      </c>
      <c r="Z277" s="7"/>
      <c r="AA277" s="7">
        <v>3</v>
      </c>
      <c r="AB277" s="7"/>
      <c r="AC277" s="9">
        <f t="shared" si="336"/>
        <v>5</v>
      </c>
      <c r="AD277" s="6"/>
      <c r="AE277" s="7"/>
      <c r="AF277" s="7"/>
      <c r="AG277" s="7">
        <v>2</v>
      </c>
      <c r="AH277" s="9">
        <f t="shared" si="337"/>
        <v>2</v>
      </c>
      <c r="AI277" s="26">
        <f t="shared" si="338"/>
        <v>7</v>
      </c>
      <c r="AJ277" s="64">
        <v>45764</v>
      </c>
    </row>
    <row r="278" spans="1:36" x14ac:dyDescent="0.15">
      <c r="A278" s="35"/>
      <c r="B278" s="24"/>
      <c r="C278" s="25"/>
      <c r="D278" s="25"/>
      <c r="E278" s="25"/>
      <c r="F278" s="26">
        <f t="shared" si="332"/>
        <v>0</v>
      </c>
      <c r="G278" s="24"/>
      <c r="H278" s="25"/>
      <c r="I278" s="25"/>
      <c r="J278" s="25"/>
      <c r="K278" s="26">
        <f t="shared" si="333"/>
        <v>0</v>
      </c>
      <c r="L278" s="24"/>
      <c r="M278" s="25"/>
      <c r="N278" s="25"/>
      <c r="O278" s="25"/>
      <c r="P278" s="26">
        <f t="shared" si="334"/>
        <v>0</v>
      </c>
      <c r="Q278" s="26">
        <f t="shared" si="316"/>
        <v>0</v>
      </c>
      <c r="R278" s="55"/>
      <c r="S278" s="31" t="s">
        <v>159</v>
      </c>
      <c r="T278" s="6"/>
      <c r="U278" s="7"/>
      <c r="V278" s="7"/>
      <c r="W278" s="7"/>
      <c r="X278" s="9">
        <f t="shared" si="335"/>
        <v>0</v>
      </c>
      <c r="Y278" s="6"/>
      <c r="Z278" s="7"/>
      <c r="AA278" s="7"/>
      <c r="AB278" s="7"/>
      <c r="AC278" s="9">
        <f t="shared" si="336"/>
        <v>0</v>
      </c>
      <c r="AD278" s="6">
        <v>2</v>
      </c>
      <c r="AE278" s="7"/>
      <c r="AF278" s="7">
        <v>2</v>
      </c>
      <c r="AG278" s="7"/>
      <c r="AH278" s="9">
        <f t="shared" si="337"/>
        <v>4</v>
      </c>
      <c r="AI278" s="26">
        <f t="shared" si="338"/>
        <v>4</v>
      </c>
      <c r="AJ278" s="64">
        <v>45768</v>
      </c>
    </row>
    <row r="279" spans="1:36" x14ac:dyDescent="0.15">
      <c r="A279" s="35"/>
      <c r="B279" s="24"/>
      <c r="C279" s="25"/>
      <c r="D279" s="25"/>
      <c r="E279" s="25"/>
      <c r="F279" s="26">
        <f t="shared" si="332"/>
        <v>0</v>
      </c>
      <c r="G279" s="24"/>
      <c r="H279" s="25"/>
      <c r="I279" s="25"/>
      <c r="J279" s="25"/>
      <c r="K279" s="26">
        <f t="shared" si="333"/>
        <v>0</v>
      </c>
      <c r="L279" s="24"/>
      <c r="M279" s="25"/>
      <c r="N279" s="25"/>
      <c r="O279" s="25"/>
      <c r="P279" s="26">
        <f t="shared" si="334"/>
        <v>0</v>
      </c>
      <c r="Q279" s="26">
        <f t="shared" si="316"/>
        <v>0</v>
      </c>
      <c r="R279" s="55"/>
      <c r="S279" s="31" t="s">
        <v>160</v>
      </c>
      <c r="T279" s="6"/>
      <c r="U279" s="7"/>
      <c r="V279" s="7"/>
      <c r="W279" s="7"/>
      <c r="X279" s="9">
        <f t="shared" si="335"/>
        <v>0</v>
      </c>
      <c r="Y279" s="6">
        <v>4</v>
      </c>
      <c r="Z279" s="7"/>
      <c r="AA279" s="7"/>
      <c r="AB279" s="7"/>
      <c r="AC279" s="9">
        <f t="shared" si="336"/>
        <v>4</v>
      </c>
      <c r="AD279" s="6"/>
      <c r="AE279" s="7"/>
      <c r="AF279" s="7"/>
      <c r="AG279" s="7"/>
      <c r="AH279" s="9">
        <f t="shared" si="337"/>
        <v>0</v>
      </c>
      <c r="AI279" s="26">
        <f t="shared" si="338"/>
        <v>4</v>
      </c>
      <c r="AJ279" s="64">
        <v>45772</v>
      </c>
    </row>
    <row r="280" spans="1:36" x14ac:dyDescent="0.15">
      <c r="A280" s="35"/>
      <c r="B280" s="24"/>
      <c r="C280" s="25"/>
      <c r="D280" s="25"/>
      <c r="E280" s="25"/>
      <c r="F280" s="26">
        <f t="shared" si="332"/>
        <v>0</v>
      </c>
      <c r="G280" s="24"/>
      <c r="H280" s="25"/>
      <c r="I280" s="25"/>
      <c r="J280" s="25"/>
      <c r="K280" s="26">
        <f t="shared" si="333"/>
        <v>0</v>
      </c>
      <c r="L280" s="24"/>
      <c r="M280" s="25"/>
      <c r="N280" s="25"/>
      <c r="O280" s="25"/>
      <c r="P280" s="26">
        <f t="shared" si="334"/>
        <v>0</v>
      </c>
      <c r="Q280" s="26">
        <f t="shared" si="316"/>
        <v>0</v>
      </c>
      <c r="R280" s="55"/>
      <c r="S280" s="31" t="s">
        <v>161</v>
      </c>
      <c r="T280" s="6"/>
      <c r="U280" s="7"/>
      <c r="V280" s="7"/>
      <c r="W280" s="7"/>
      <c r="X280" s="9">
        <f t="shared" si="335"/>
        <v>0</v>
      </c>
      <c r="Y280" s="6"/>
      <c r="Z280" s="7"/>
      <c r="AA280" s="7"/>
      <c r="AB280" s="7"/>
      <c r="AC280" s="9">
        <f t="shared" si="336"/>
        <v>0</v>
      </c>
      <c r="AD280" s="6"/>
      <c r="AE280" s="7"/>
      <c r="AF280" s="7">
        <v>2</v>
      </c>
      <c r="AG280" s="7"/>
      <c r="AH280" s="9">
        <f t="shared" si="337"/>
        <v>2</v>
      </c>
      <c r="AI280" s="26">
        <f t="shared" si="338"/>
        <v>2</v>
      </c>
      <c r="AJ280" s="64">
        <v>45772</v>
      </c>
    </row>
    <row r="281" spans="1:36" x14ac:dyDescent="0.15">
      <c r="A281" s="35"/>
      <c r="B281" s="24"/>
      <c r="C281" s="25"/>
      <c r="D281" s="25"/>
      <c r="E281" s="25"/>
      <c r="F281" s="26">
        <f t="shared" si="332"/>
        <v>0</v>
      </c>
      <c r="G281" s="24"/>
      <c r="H281" s="25"/>
      <c r="I281" s="25"/>
      <c r="J281" s="25"/>
      <c r="K281" s="26">
        <f t="shared" si="333"/>
        <v>0</v>
      </c>
      <c r="L281" s="24"/>
      <c r="M281" s="25"/>
      <c r="N281" s="25"/>
      <c r="O281" s="25"/>
      <c r="P281" s="26">
        <f t="shared" si="334"/>
        <v>0</v>
      </c>
      <c r="Q281" s="26">
        <f t="shared" si="316"/>
        <v>0</v>
      </c>
      <c r="R281" s="55"/>
      <c r="S281" s="31" t="s">
        <v>162</v>
      </c>
      <c r="T281" s="6">
        <v>3</v>
      </c>
      <c r="U281" s="7">
        <v>3</v>
      </c>
      <c r="V281" s="7"/>
      <c r="W281" s="7"/>
      <c r="X281" s="9">
        <f t="shared" si="335"/>
        <v>6</v>
      </c>
      <c r="Y281" s="6">
        <v>5</v>
      </c>
      <c r="Z281" s="7">
        <v>4</v>
      </c>
      <c r="AA281" s="7"/>
      <c r="AB281" s="7">
        <v>6</v>
      </c>
      <c r="AC281" s="9">
        <f t="shared" si="336"/>
        <v>15</v>
      </c>
      <c r="AD281" s="6"/>
      <c r="AE281" s="7"/>
      <c r="AF281" s="7"/>
      <c r="AG281" s="7"/>
      <c r="AH281" s="9">
        <f t="shared" si="337"/>
        <v>0</v>
      </c>
      <c r="AI281" s="26">
        <f t="shared" si="338"/>
        <v>21</v>
      </c>
      <c r="AJ281" s="64">
        <v>45779</v>
      </c>
    </row>
    <row r="282" spans="1:36" x14ac:dyDescent="0.15">
      <c r="A282" s="35"/>
      <c r="B282" s="24"/>
      <c r="C282" s="25"/>
      <c r="D282" s="25"/>
      <c r="E282" s="25"/>
      <c r="F282" s="26">
        <f t="shared" si="332"/>
        <v>0</v>
      </c>
      <c r="G282" s="24"/>
      <c r="H282" s="25"/>
      <c r="I282" s="25"/>
      <c r="J282" s="25"/>
      <c r="K282" s="26">
        <f t="shared" si="333"/>
        <v>0</v>
      </c>
      <c r="L282" s="24"/>
      <c r="M282" s="25"/>
      <c r="N282" s="25"/>
      <c r="O282" s="25"/>
      <c r="P282" s="26">
        <f t="shared" si="334"/>
        <v>0</v>
      </c>
      <c r="Q282" s="26">
        <f t="shared" si="316"/>
        <v>0</v>
      </c>
      <c r="R282" s="55"/>
      <c r="S282" s="31" t="s">
        <v>163</v>
      </c>
      <c r="T282" s="6"/>
      <c r="U282" s="7"/>
      <c r="V282" s="7"/>
      <c r="W282" s="7"/>
      <c r="X282" s="9">
        <f t="shared" si="335"/>
        <v>0</v>
      </c>
      <c r="Y282" s="6">
        <v>3</v>
      </c>
      <c r="Z282" s="7">
        <v>3</v>
      </c>
      <c r="AA282" s="7">
        <v>5</v>
      </c>
      <c r="AB282" s="7">
        <v>4</v>
      </c>
      <c r="AC282" s="9">
        <f t="shared" si="336"/>
        <v>15</v>
      </c>
      <c r="AD282" s="6"/>
      <c r="AE282" s="7"/>
      <c r="AF282" s="7"/>
      <c r="AG282" s="7"/>
      <c r="AH282" s="9">
        <f t="shared" si="337"/>
        <v>0</v>
      </c>
      <c r="AI282" s="26">
        <f t="shared" si="338"/>
        <v>15</v>
      </c>
      <c r="AJ282" s="64">
        <v>45779</v>
      </c>
    </row>
    <row r="283" spans="1:36" x14ac:dyDescent="0.15">
      <c r="A283" s="35"/>
      <c r="B283" s="24"/>
      <c r="C283" s="25"/>
      <c r="D283" s="25"/>
      <c r="E283" s="25"/>
      <c r="F283" s="26">
        <f t="shared" si="332"/>
        <v>0</v>
      </c>
      <c r="G283" s="24"/>
      <c r="H283" s="25"/>
      <c r="I283" s="25"/>
      <c r="J283" s="25"/>
      <c r="K283" s="26">
        <f t="shared" si="333"/>
        <v>0</v>
      </c>
      <c r="L283" s="24"/>
      <c r="M283" s="25"/>
      <c r="N283" s="25"/>
      <c r="O283" s="25"/>
      <c r="P283" s="26">
        <f t="shared" si="334"/>
        <v>0</v>
      </c>
      <c r="Q283" s="26">
        <f t="shared" si="316"/>
        <v>0</v>
      </c>
      <c r="R283" s="55"/>
      <c r="S283" s="30" t="s">
        <v>31</v>
      </c>
      <c r="T283" s="6"/>
      <c r="U283" s="7"/>
      <c r="V283" s="7"/>
      <c r="W283" s="7"/>
      <c r="X283" s="9">
        <f t="shared" ref="X283" si="343">SUM(T283:W283)</f>
        <v>0</v>
      </c>
      <c r="Y283" s="6"/>
      <c r="Z283" s="7">
        <v>3</v>
      </c>
      <c r="AA283" s="7">
        <v>3</v>
      </c>
      <c r="AB283" s="7">
        <v>3</v>
      </c>
      <c r="AC283" s="9">
        <f t="shared" si="336"/>
        <v>9</v>
      </c>
      <c r="AD283" s="6"/>
      <c r="AE283" s="7"/>
      <c r="AF283" s="7"/>
      <c r="AG283" s="7"/>
      <c r="AH283" s="9">
        <f t="shared" si="337"/>
        <v>0</v>
      </c>
      <c r="AI283" s="26">
        <f t="shared" si="338"/>
        <v>9</v>
      </c>
      <c r="AJ283" s="64">
        <v>45786</v>
      </c>
    </row>
    <row r="284" spans="1:36" x14ac:dyDescent="0.15">
      <c r="A284" s="35"/>
      <c r="B284" s="6"/>
      <c r="C284" s="7"/>
      <c r="D284" s="7"/>
      <c r="E284" s="7"/>
      <c r="F284" s="9">
        <f t="shared" si="332"/>
        <v>0</v>
      </c>
      <c r="G284" s="6"/>
      <c r="H284" s="7"/>
      <c r="I284" s="7"/>
      <c r="J284" s="7"/>
      <c r="K284" s="9">
        <f t="shared" si="333"/>
        <v>0</v>
      </c>
      <c r="L284" s="6"/>
      <c r="M284" s="7"/>
      <c r="N284" s="7"/>
      <c r="O284" s="7"/>
      <c r="P284" s="9">
        <f t="shared" si="334"/>
        <v>0</v>
      </c>
      <c r="Q284" s="26">
        <f t="shared" si="316"/>
        <v>0</v>
      </c>
      <c r="R284" s="55"/>
      <c r="S284" s="31" t="s">
        <v>164</v>
      </c>
      <c r="T284" s="6"/>
      <c r="U284" s="7"/>
      <c r="V284" s="7"/>
      <c r="W284" s="7"/>
      <c r="X284" s="9">
        <f t="shared" ref="X284" si="344">SUM(T284:W284)</f>
        <v>0</v>
      </c>
      <c r="Y284" s="6"/>
      <c r="Z284" s="7"/>
      <c r="AA284" s="7"/>
      <c r="AB284" s="7"/>
      <c r="AC284" s="9">
        <f t="shared" ref="AC284" si="345">SUM(Y284:AB284)</f>
        <v>0</v>
      </c>
      <c r="AD284" s="6"/>
      <c r="AE284" s="7">
        <v>9</v>
      </c>
      <c r="AF284" s="7"/>
      <c r="AG284" s="7"/>
      <c r="AH284" s="9">
        <f t="shared" ref="AH284" si="346">SUM(AD284:AG284)</f>
        <v>9</v>
      </c>
      <c r="AI284" s="26">
        <f t="shared" ref="AI284" si="347">X284+AC284+AH284</f>
        <v>9</v>
      </c>
      <c r="AJ284" s="64">
        <v>45790</v>
      </c>
    </row>
    <row r="285" spans="1:36" x14ac:dyDescent="0.15">
      <c r="A285" s="35"/>
      <c r="B285" s="24"/>
      <c r="C285" s="25"/>
      <c r="D285" s="25"/>
      <c r="E285" s="25"/>
      <c r="F285" s="26">
        <f t="shared" si="332"/>
        <v>0</v>
      </c>
      <c r="G285" s="24"/>
      <c r="H285" s="25"/>
      <c r="I285" s="25"/>
      <c r="J285" s="25"/>
      <c r="K285" s="26">
        <f t="shared" si="333"/>
        <v>0</v>
      </c>
      <c r="L285" s="24"/>
      <c r="M285" s="25"/>
      <c r="N285" s="25"/>
      <c r="O285" s="25"/>
      <c r="P285" s="26">
        <f t="shared" si="334"/>
        <v>0</v>
      </c>
      <c r="Q285" s="26">
        <f t="shared" si="316"/>
        <v>0</v>
      </c>
      <c r="R285" s="55"/>
      <c r="S285" s="31" t="s">
        <v>165</v>
      </c>
      <c r="T285" s="6"/>
      <c r="U285" s="7"/>
      <c r="V285" s="7"/>
      <c r="W285" s="7"/>
      <c r="X285" s="9">
        <f t="shared" ref="X285:X290" si="348">SUM(T285:W285)</f>
        <v>0</v>
      </c>
      <c r="Y285" s="6"/>
      <c r="Z285" s="7"/>
      <c r="AA285" s="7"/>
      <c r="AB285" s="7"/>
      <c r="AC285" s="9">
        <f t="shared" ref="AC285:AC290" si="349">SUM(Y285:AB285)</f>
        <v>0</v>
      </c>
      <c r="AD285" s="6"/>
      <c r="AE285" s="7">
        <v>9</v>
      </c>
      <c r="AF285" s="7">
        <v>4</v>
      </c>
      <c r="AG285" s="7"/>
      <c r="AH285" s="9">
        <f t="shared" ref="AH285:AH290" si="350">SUM(AD285:AG285)</f>
        <v>13</v>
      </c>
      <c r="AI285" s="26">
        <f t="shared" ref="AI285:AI288" si="351">X285+AC285+AH285</f>
        <v>13</v>
      </c>
      <c r="AJ285" s="64">
        <v>45790</v>
      </c>
    </row>
    <row r="286" spans="1:36" x14ac:dyDescent="0.15">
      <c r="A286" s="35"/>
      <c r="B286" s="27"/>
      <c r="C286" s="28"/>
      <c r="D286" s="28"/>
      <c r="E286" s="28"/>
      <c r="F286" s="26">
        <f t="shared" si="332"/>
        <v>0</v>
      </c>
      <c r="G286" s="27"/>
      <c r="H286" s="28"/>
      <c r="I286" s="28"/>
      <c r="J286" s="28"/>
      <c r="K286" s="26">
        <f t="shared" si="333"/>
        <v>0</v>
      </c>
      <c r="L286" s="27"/>
      <c r="M286" s="28"/>
      <c r="N286" s="28"/>
      <c r="O286" s="28"/>
      <c r="P286" s="26">
        <f t="shared" si="334"/>
        <v>0</v>
      </c>
      <c r="Q286" s="26">
        <f t="shared" si="316"/>
        <v>0</v>
      </c>
      <c r="R286" s="55"/>
      <c r="S286" s="31" t="s">
        <v>166</v>
      </c>
      <c r="T286" s="6"/>
      <c r="U286" s="7"/>
      <c r="V286" s="7"/>
      <c r="W286" s="7"/>
      <c r="X286" s="9">
        <f t="shared" si="348"/>
        <v>0</v>
      </c>
      <c r="Y286" s="6"/>
      <c r="Z286" s="7"/>
      <c r="AA286" s="7"/>
      <c r="AB286" s="7"/>
      <c r="AC286" s="9">
        <f t="shared" si="349"/>
        <v>0</v>
      </c>
      <c r="AD286" s="6"/>
      <c r="AE286" s="7"/>
      <c r="AF286" s="7"/>
      <c r="AG286" s="7">
        <f>2+3</f>
        <v>5</v>
      </c>
      <c r="AH286" s="9">
        <f t="shared" si="350"/>
        <v>5</v>
      </c>
      <c r="AI286" s="26">
        <f t="shared" si="351"/>
        <v>5</v>
      </c>
      <c r="AJ286" s="64">
        <v>45790</v>
      </c>
    </row>
    <row r="287" spans="1:36" x14ac:dyDescent="0.15">
      <c r="A287" s="35"/>
      <c r="B287" s="24"/>
      <c r="C287" s="25"/>
      <c r="D287" s="25"/>
      <c r="E287" s="25"/>
      <c r="F287" s="26">
        <f t="shared" si="332"/>
        <v>0</v>
      </c>
      <c r="G287" s="24"/>
      <c r="H287" s="25"/>
      <c r="I287" s="25"/>
      <c r="J287" s="25"/>
      <c r="K287" s="26">
        <f t="shared" si="333"/>
        <v>0</v>
      </c>
      <c r="L287" s="24"/>
      <c r="M287" s="25"/>
      <c r="N287" s="25"/>
      <c r="O287" s="25"/>
      <c r="P287" s="26">
        <f t="shared" si="334"/>
        <v>0</v>
      </c>
      <c r="Q287" s="26">
        <f t="shared" si="316"/>
        <v>0</v>
      </c>
      <c r="R287" s="55"/>
      <c r="S287" s="31" t="s">
        <v>167</v>
      </c>
      <c r="T287" s="6"/>
      <c r="U287" s="7"/>
      <c r="V287" s="7"/>
      <c r="W287" s="7"/>
      <c r="X287" s="9">
        <f t="shared" si="348"/>
        <v>0</v>
      </c>
      <c r="Y287" s="6"/>
      <c r="Z287" s="7">
        <v>5</v>
      </c>
      <c r="AA287" s="7"/>
      <c r="AB287" s="7"/>
      <c r="AC287" s="9">
        <f t="shared" si="349"/>
        <v>5</v>
      </c>
      <c r="AD287" s="6"/>
      <c r="AE287" s="7"/>
      <c r="AF287" s="7"/>
      <c r="AG287" s="7">
        <v>4</v>
      </c>
      <c r="AH287" s="9">
        <f t="shared" si="350"/>
        <v>4</v>
      </c>
      <c r="AI287" s="26">
        <f t="shared" si="351"/>
        <v>9</v>
      </c>
      <c r="AJ287" s="64">
        <v>45793</v>
      </c>
    </row>
    <row r="288" spans="1:36" x14ac:dyDescent="0.15">
      <c r="A288" s="35"/>
      <c r="B288" s="24"/>
      <c r="C288" s="25"/>
      <c r="D288" s="25"/>
      <c r="E288" s="25"/>
      <c r="F288" s="26">
        <f t="shared" si="332"/>
        <v>0</v>
      </c>
      <c r="G288" s="24"/>
      <c r="H288" s="25"/>
      <c r="I288" s="25"/>
      <c r="J288" s="25"/>
      <c r="K288" s="26">
        <f t="shared" si="333"/>
        <v>0</v>
      </c>
      <c r="L288" s="24"/>
      <c r="M288" s="25"/>
      <c r="N288" s="25"/>
      <c r="O288" s="25"/>
      <c r="P288" s="26">
        <f t="shared" si="334"/>
        <v>0</v>
      </c>
      <c r="Q288" s="26">
        <f t="shared" si="316"/>
        <v>0</v>
      </c>
      <c r="R288" s="55"/>
      <c r="S288" s="31" t="s">
        <v>168</v>
      </c>
      <c r="T288" s="6"/>
      <c r="U288" s="7"/>
      <c r="V288" s="7"/>
      <c r="W288" s="7"/>
      <c r="X288" s="9">
        <f t="shared" si="348"/>
        <v>0</v>
      </c>
      <c r="Y288" s="6"/>
      <c r="Z288" s="7"/>
      <c r="AA288" s="7"/>
      <c r="AB288" s="7"/>
      <c r="AC288" s="9">
        <f t="shared" si="349"/>
        <v>0</v>
      </c>
      <c r="AD288" s="6"/>
      <c r="AE288" s="7"/>
      <c r="AF288" s="7"/>
      <c r="AG288" s="7">
        <v>6</v>
      </c>
      <c r="AH288" s="9">
        <f t="shared" si="350"/>
        <v>6</v>
      </c>
      <c r="AI288" s="26">
        <f t="shared" si="351"/>
        <v>6</v>
      </c>
      <c r="AJ288" s="64">
        <v>45793</v>
      </c>
    </row>
    <row r="289" spans="1:36" x14ac:dyDescent="0.15">
      <c r="A289" s="56"/>
      <c r="B289" s="24"/>
      <c r="C289" s="25"/>
      <c r="D289" s="25"/>
      <c r="E289" s="25"/>
      <c r="F289" s="26">
        <f t="shared" si="332"/>
        <v>0</v>
      </c>
      <c r="G289" s="24"/>
      <c r="H289" s="25"/>
      <c r="I289" s="25"/>
      <c r="J289" s="25"/>
      <c r="K289" s="26">
        <f t="shared" si="333"/>
        <v>0</v>
      </c>
      <c r="L289" s="24"/>
      <c r="M289" s="25"/>
      <c r="N289" s="25"/>
      <c r="O289" s="25"/>
      <c r="P289" s="26">
        <f t="shared" si="334"/>
        <v>0</v>
      </c>
      <c r="Q289" s="26">
        <f t="shared" si="316"/>
        <v>0</v>
      </c>
      <c r="R289" s="55"/>
      <c r="S289" s="31" t="s">
        <v>169</v>
      </c>
      <c r="T289" s="6"/>
      <c r="U289" s="7"/>
      <c r="V289" s="7"/>
      <c r="W289" s="7"/>
      <c r="X289" s="9">
        <f t="shared" si="348"/>
        <v>0</v>
      </c>
      <c r="Y289" s="6"/>
      <c r="Z289" s="7"/>
      <c r="AA289" s="7">
        <v>2</v>
      </c>
      <c r="AB289" s="7"/>
      <c r="AC289" s="9">
        <f t="shared" si="349"/>
        <v>2</v>
      </c>
      <c r="AD289" s="6"/>
      <c r="AE289" s="7"/>
      <c r="AF289" s="7"/>
      <c r="AG289" s="7"/>
      <c r="AH289" s="9">
        <f t="shared" si="350"/>
        <v>0</v>
      </c>
      <c r="AI289" s="26">
        <f>X289+AC289+AH289</f>
        <v>2</v>
      </c>
      <c r="AJ289" s="64">
        <v>45793</v>
      </c>
    </row>
    <row r="290" spans="1:36" ht="14.25" thickBot="1" x14ac:dyDescent="0.2">
      <c r="A290" s="57"/>
      <c r="B290" s="10"/>
      <c r="C290" s="11"/>
      <c r="D290" s="11"/>
      <c r="E290" s="11"/>
      <c r="F290" s="9">
        <f t="shared" si="332"/>
        <v>0</v>
      </c>
      <c r="G290" s="10"/>
      <c r="H290" s="11"/>
      <c r="I290" s="11"/>
      <c r="J290" s="11"/>
      <c r="K290" s="9">
        <f t="shared" si="333"/>
        <v>0</v>
      </c>
      <c r="L290" s="10"/>
      <c r="M290" s="11"/>
      <c r="N290" s="11"/>
      <c r="O290" s="11"/>
      <c r="P290" s="9">
        <f t="shared" si="334"/>
        <v>0</v>
      </c>
      <c r="Q290" s="43">
        <f t="shared" si="316"/>
        <v>0</v>
      </c>
      <c r="R290" s="55"/>
      <c r="S290" s="31" t="s">
        <v>170</v>
      </c>
      <c r="T290" s="6"/>
      <c r="U290" s="7"/>
      <c r="V290" s="7"/>
      <c r="W290" s="7"/>
      <c r="X290" s="9">
        <f t="shared" si="348"/>
        <v>0</v>
      </c>
      <c r="Y290" s="6">
        <v>2</v>
      </c>
      <c r="Z290" s="7"/>
      <c r="AA290" s="7"/>
      <c r="AB290" s="7"/>
      <c r="AC290" s="9">
        <f t="shared" si="349"/>
        <v>2</v>
      </c>
      <c r="AD290" s="6">
        <v>2</v>
      </c>
      <c r="AE290" s="7"/>
      <c r="AF290" s="7"/>
      <c r="AG290" s="7"/>
      <c r="AH290" s="9">
        <f t="shared" si="350"/>
        <v>2</v>
      </c>
      <c r="AI290" s="26">
        <f t="shared" ref="AI290" si="352">X290+AC290+AH290</f>
        <v>4</v>
      </c>
      <c r="AJ290" s="64">
        <v>45793</v>
      </c>
    </row>
    <row r="291" spans="1:36" ht="15" thickBot="1" x14ac:dyDescent="0.2">
      <c r="A291" s="5" t="s">
        <v>14</v>
      </c>
      <c r="B291" s="12">
        <f>SUM(B265:B290)</f>
        <v>0</v>
      </c>
      <c r="C291" s="13">
        <f t="shared" ref="C291:P291" si="353">SUM(C265:C290)</f>
        <v>0</v>
      </c>
      <c r="D291" s="13">
        <f t="shared" si="353"/>
        <v>0</v>
      </c>
      <c r="E291" s="14">
        <f t="shared" si="353"/>
        <v>1</v>
      </c>
      <c r="F291" s="8">
        <f t="shared" si="353"/>
        <v>1</v>
      </c>
      <c r="G291" s="12">
        <f t="shared" si="353"/>
        <v>1</v>
      </c>
      <c r="H291" s="13">
        <f t="shared" si="353"/>
        <v>0</v>
      </c>
      <c r="I291" s="13">
        <f t="shared" si="353"/>
        <v>3</v>
      </c>
      <c r="J291" s="14">
        <f t="shared" si="353"/>
        <v>4</v>
      </c>
      <c r="K291" s="8">
        <f t="shared" si="353"/>
        <v>8</v>
      </c>
      <c r="L291" s="12">
        <f t="shared" si="353"/>
        <v>0</v>
      </c>
      <c r="M291" s="13">
        <f t="shared" si="353"/>
        <v>0</v>
      </c>
      <c r="N291" s="13">
        <f t="shared" si="353"/>
        <v>0</v>
      </c>
      <c r="O291" s="14">
        <f t="shared" si="353"/>
        <v>0</v>
      </c>
      <c r="P291" s="8">
        <f t="shared" si="353"/>
        <v>0</v>
      </c>
      <c r="Q291" s="34">
        <f t="shared" si="316"/>
        <v>9</v>
      </c>
      <c r="R291" s="54"/>
      <c r="S291" s="5" t="s">
        <v>14</v>
      </c>
      <c r="T291" s="12">
        <f>SUM(T265:T290)</f>
        <v>7</v>
      </c>
      <c r="U291" s="13">
        <f t="shared" ref="U291" si="354">SUM(U265:U290)</f>
        <v>10</v>
      </c>
      <c r="V291" s="13">
        <f t="shared" ref="V291" si="355">SUM(V265:V290)</f>
        <v>7</v>
      </c>
      <c r="W291" s="14">
        <f t="shared" ref="W291" si="356">SUM(W265:W290)</f>
        <v>7</v>
      </c>
      <c r="X291" s="8">
        <f>SUM(X265:X290)</f>
        <v>31</v>
      </c>
      <c r="Y291" s="12">
        <f>SUM(Y265:Y290)</f>
        <v>28</v>
      </c>
      <c r="Z291" s="13">
        <f t="shared" ref="Z291" si="357">SUM(Z265:Z290)</f>
        <v>35</v>
      </c>
      <c r="AA291" s="13">
        <f t="shared" ref="AA291" si="358">SUM(AA265:AA290)</f>
        <v>20</v>
      </c>
      <c r="AB291" s="14">
        <f t="shared" ref="AB291" si="359">SUM(AB265:AB290)</f>
        <v>23</v>
      </c>
      <c r="AC291" s="8">
        <f>SUM(AC265:AC290)</f>
        <v>106</v>
      </c>
      <c r="AD291" s="12">
        <f>SUM(AD265:AD290)</f>
        <v>19</v>
      </c>
      <c r="AE291" s="13">
        <f t="shared" ref="AE291" si="360">SUM(AE265:AE290)</f>
        <v>29</v>
      </c>
      <c r="AF291" s="13">
        <f t="shared" ref="AF291" si="361">SUM(AF265:AF290)</f>
        <v>18</v>
      </c>
      <c r="AG291" s="14">
        <f t="shared" ref="AG291" si="362">SUM(AG265:AG290)</f>
        <v>35</v>
      </c>
      <c r="AH291" s="8">
        <f>SUM(AH265:AH290)</f>
        <v>101</v>
      </c>
      <c r="AI291" s="34">
        <f>X291+AC291+AH291</f>
        <v>238</v>
      </c>
    </row>
    <row r="292" spans="1:36" ht="14.25" thickBot="1" x14ac:dyDescent="0.2">
      <c r="A292" s="15" t="s">
        <v>15</v>
      </c>
      <c r="B292" s="16">
        <f>B264-B291</f>
        <v>4</v>
      </c>
      <c r="C292" s="17">
        <f>C264-C291</f>
        <v>5</v>
      </c>
      <c r="D292" s="17">
        <f t="shared" ref="D292:P292" si="363">D264-D291</f>
        <v>6</v>
      </c>
      <c r="E292" s="18">
        <f t="shared" si="363"/>
        <v>7</v>
      </c>
      <c r="F292" s="44">
        <f t="shared" si="363"/>
        <v>22</v>
      </c>
      <c r="G292" s="16">
        <f t="shared" si="363"/>
        <v>4</v>
      </c>
      <c r="H292" s="17">
        <f t="shared" si="363"/>
        <v>6</v>
      </c>
      <c r="I292" s="17">
        <f t="shared" si="363"/>
        <v>2</v>
      </c>
      <c r="J292" s="18">
        <f t="shared" si="363"/>
        <v>3</v>
      </c>
      <c r="K292" s="44">
        <f t="shared" si="363"/>
        <v>15</v>
      </c>
      <c r="L292" s="16">
        <f t="shared" si="363"/>
        <v>0</v>
      </c>
      <c r="M292" s="17">
        <f t="shared" si="363"/>
        <v>1</v>
      </c>
      <c r="N292" s="17">
        <f t="shared" si="363"/>
        <v>1</v>
      </c>
      <c r="O292" s="18">
        <f t="shared" si="363"/>
        <v>1</v>
      </c>
      <c r="P292" s="44">
        <f t="shared" si="363"/>
        <v>3</v>
      </c>
      <c r="Q292" s="34">
        <f t="shared" si="316"/>
        <v>40</v>
      </c>
      <c r="R292" s="54"/>
      <c r="S292" s="15" t="s">
        <v>15</v>
      </c>
      <c r="T292" s="16">
        <f>T264-T291</f>
        <v>113</v>
      </c>
      <c r="U292" s="17">
        <f t="shared" ref="U292" si="364">U264-U291</f>
        <v>121</v>
      </c>
      <c r="V292" s="17">
        <f t="shared" ref="V292" si="365">V264-V291</f>
        <v>79</v>
      </c>
      <c r="W292" s="18">
        <f t="shared" ref="W292" si="366">W264-W291</f>
        <v>51</v>
      </c>
      <c r="X292" s="44">
        <f>X264-X291</f>
        <v>364</v>
      </c>
      <c r="Y292" s="16">
        <f>Y264-Y291</f>
        <v>130</v>
      </c>
      <c r="Z292" s="17">
        <f t="shared" ref="Z292" si="367">Z264-Z291</f>
        <v>173</v>
      </c>
      <c r="AA292" s="17">
        <f t="shared" ref="AA292" si="368">AA264-AA291</f>
        <v>142</v>
      </c>
      <c r="AB292" s="18">
        <f t="shared" ref="AB292" si="369">AB264-AB291</f>
        <v>119</v>
      </c>
      <c r="AC292" s="44">
        <f>AC264-AC291</f>
        <v>564</v>
      </c>
      <c r="AD292" s="16">
        <f>AD264-AD291</f>
        <v>141</v>
      </c>
      <c r="AE292" s="17">
        <f t="shared" ref="AE292" si="370">AE264-AE291</f>
        <v>210</v>
      </c>
      <c r="AF292" s="17">
        <f t="shared" ref="AF292" si="371">AF264-AF291</f>
        <v>142</v>
      </c>
      <c r="AG292" s="18">
        <f t="shared" ref="AG292" si="372">AG264-AG291</f>
        <v>144</v>
      </c>
      <c r="AH292" s="44">
        <f>AH264-AH291</f>
        <v>637</v>
      </c>
      <c r="AI292" s="34">
        <f>X292+AC292+AH292</f>
        <v>1565</v>
      </c>
    </row>
    <row r="293" spans="1:36" x14ac:dyDescent="0.15">
      <c r="T293" s="67">
        <f>T291/$X$291*100</f>
        <v>22.58064516129032</v>
      </c>
      <c r="U293" s="67">
        <f t="shared" ref="U293:X293" si="373">U291/$X$291*100</f>
        <v>32.258064516129032</v>
      </c>
      <c r="V293" s="67">
        <f t="shared" si="373"/>
        <v>22.58064516129032</v>
      </c>
      <c r="W293" s="67">
        <f t="shared" si="373"/>
        <v>22.58064516129032</v>
      </c>
      <c r="X293" s="67">
        <f t="shared" si="373"/>
        <v>100</v>
      </c>
      <c r="Y293" s="67">
        <f>Y291/$AC$291*100</f>
        <v>26.415094339622641</v>
      </c>
      <c r="Z293" s="67">
        <f t="shared" ref="Z293:AC293" si="374">Z291/$AC$291*100</f>
        <v>33.018867924528301</v>
      </c>
      <c r="AA293" s="67">
        <f t="shared" si="374"/>
        <v>18.867924528301888</v>
      </c>
      <c r="AB293" s="67">
        <f t="shared" si="374"/>
        <v>21.69811320754717</v>
      </c>
      <c r="AC293" s="67">
        <f t="shared" si="374"/>
        <v>100</v>
      </c>
      <c r="AD293" s="67">
        <f>AD291/$AH$291*100</f>
        <v>18.811881188118811</v>
      </c>
      <c r="AE293" s="67">
        <f t="shared" ref="AE293:AH293" si="375">AE291/$AH$291*100</f>
        <v>28.71287128712871</v>
      </c>
      <c r="AF293" s="67">
        <f t="shared" si="375"/>
        <v>17.82178217821782</v>
      </c>
      <c r="AG293" s="67">
        <f t="shared" si="375"/>
        <v>34.653465346534652</v>
      </c>
      <c r="AH293" s="67">
        <f t="shared" si="375"/>
        <v>100</v>
      </c>
    </row>
    <row r="294" spans="1:36" x14ac:dyDescent="0.15">
      <c r="T294" s="68">
        <v>23.2</v>
      </c>
      <c r="U294" s="68">
        <v>32.1</v>
      </c>
      <c r="V294" s="68">
        <v>21.8</v>
      </c>
      <c r="W294" s="68">
        <v>22.9</v>
      </c>
      <c r="X294" s="68">
        <v>100</v>
      </c>
      <c r="Y294" s="68">
        <v>23</v>
      </c>
      <c r="Z294" s="68">
        <v>30.3</v>
      </c>
      <c r="AA294" s="68">
        <v>22.4</v>
      </c>
      <c r="AB294" s="68">
        <v>24.3</v>
      </c>
      <c r="AC294" s="68">
        <f>SUM(Y294:AB294)</f>
        <v>99.999999999999986</v>
      </c>
    </row>
    <row r="295" spans="1:36" ht="19.5" thickBot="1" x14ac:dyDescent="0.25">
      <c r="A295" s="58" t="s">
        <v>1</v>
      </c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4"/>
      <c r="S295" s="58" t="s">
        <v>8</v>
      </c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75"/>
      <c r="AF295" s="75"/>
      <c r="AG295" s="75"/>
      <c r="AH295" s="59"/>
      <c r="AI295" s="59"/>
    </row>
    <row r="296" spans="1:36" ht="14.25" thickBot="1" x14ac:dyDescent="0.2">
      <c r="A296" s="52" t="s">
        <v>9</v>
      </c>
      <c r="B296" s="130" t="s">
        <v>10</v>
      </c>
      <c r="C296" s="131"/>
      <c r="D296" s="131"/>
      <c r="E296" s="131"/>
      <c r="F296" s="132"/>
      <c r="G296" s="133" t="s">
        <v>11</v>
      </c>
      <c r="H296" s="134"/>
      <c r="I296" s="134"/>
      <c r="J296" s="134"/>
      <c r="K296" s="135"/>
      <c r="L296" s="136" t="s">
        <v>131</v>
      </c>
      <c r="M296" s="137"/>
      <c r="N296" s="137"/>
      <c r="O296" s="137"/>
      <c r="P296" s="138"/>
      <c r="Q296" s="139" t="s">
        <v>7</v>
      </c>
      <c r="R296" s="54"/>
      <c r="S296" s="52" t="s">
        <v>9</v>
      </c>
      <c r="T296" s="130" t="s">
        <v>10</v>
      </c>
      <c r="U296" s="131"/>
      <c r="V296" s="131"/>
      <c r="W296" s="131"/>
      <c r="X296" s="132"/>
      <c r="Y296" s="133" t="s">
        <v>11</v>
      </c>
      <c r="Z296" s="134"/>
      <c r="AA296" s="134"/>
      <c r="AB296" s="134"/>
      <c r="AC296" s="135"/>
      <c r="AD296" s="136" t="s">
        <v>131</v>
      </c>
      <c r="AE296" s="137"/>
      <c r="AF296" s="137"/>
      <c r="AG296" s="137"/>
      <c r="AH296" s="138"/>
      <c r="AI296" s="139" t="s">
        <v>7</v>
      </c>
    </row>
    <row r="297" spans="1:36" ht="14.25" thickBot="1" x14ac:dyDescent="0.2">
      <c r="A297" s="52" t="s">
        <v>2</v>
      </c>
      <c r="B297" s="2" t="s">
        <v>3</v>
      </c>
      <c r="C297" s="3" t="s">
        <v>4</v>
      </c>
      <c r="D297" s="3" t="s">
        <v>5</v>
      </c>
      <c r="E297" s="4" t="s">
        <v>6</v>
      </c>
      <c r="F297" s="1" t="s">
        <v>0</v>
      </c>
      <c r="G297" s="2" t="s">
        <v>3</v>
      </c>
      <c r="H297" s="3" t="s">
        <v>4</v>
      </c>
      <c r="I297" s="3" t="s">
        <v>5</v>
      </c>
      <c r="J297" s="4" t="s">
        <v>6</v>
      </c>
      <c r="K297" s="1" t="s">
        <v>0</v>
      </c>
      <c r="L297" s="2" t="s">
        <v>3</v>
      </c>
      <c r="M297" s="3" t="s">
        <v>4</v>
      </c>
      <c r="N297" s="3" t="s">
        <v>5</v>
      </c>
      <c r="O297" s="4" t="s">
        <v>6</v>
      </c>
      <c r="P297" s="1" t="s">
        <v>0</v>
      </c>
      <c r="Q297" s="140"/>
      <c r="R297" s="54"/>
      <c r="S297" s="52" t="s">
        <v>2</v>
      </c>
      <c r="T297" s="2" t="s">
        <v>3</v>
      </c>
      <c r="U297" s="3" t="s">
        <v>4</v>
      </c>
      <c r="V297" s="3" t="s">
        <v>5</v>
      </c>
      <c r="W297" s="4" t="s">
        <v>6</v>
      </c>
      <c r="X297" s="1" t="s">
        <v>0</v>
      </c>
      <c r="Y297" s="2" t="s">
        <v>3</v>
      </c>
      <c r="Z297" s="3" t="s">
        <v>4</v>
      </c>
      <c r="AA297" s="3" t="s">
        <v>5</v>
      </c>
      <c r="AB297" s="4" t="s">
        <v>6</v>
      </c>
      <c r="AC297" s="1" t="s">
        <v>0</v>
      </c>
      <c r="AD297" s="2" t="s">
        <v>3</v>
      </c>
      <c r="AE297" s="3" t="s">
        <v>4</v>
      </c>
      <c r="AF297" s="3" t="s">
        <v>5</v>
      </c>
      <c r="AG297" s="4" t="s">
        <v>6</v>
      </c>
      <c r="AH297" s="1" t="s">
        <v>0</v>
      </c>
      <c r="AI297" s="140"/>
    </row>
    <row r="298" spans="1:36" ht="14.25" x14ac:dyDescent="0.15">
      <c r="A298" s="45" t="s">
        <v>16</v>
      </c>
      <c r="B298" s="32">
        <f>B292</f>
        <v>4</v>
      </c>
      <c r="C298" s="32">
        <f t="shared" ref="C298:P298" si="376">C292</f>
        <v>5</v>
      </c>
      <c r="D298" s="32">
        <f t="shared" si="376"/>
        <v>6</v>
      </c>
      <c r="E298" s="38">
        <f t="shared" si="376"/>
        <v>7</v>
      </c>
      <c r="F298" s="33">
        <f t="shared" si="376"/>
        <v>22</v>
      </c>
      <c r="G298" s="32">
        <f t="shared" si="376"/>
        <v>4</v>
      </c>
      <c r="H298" s="32">
        <f t="shared" si="376"/>
        <v>6</v>
      </c>
      <c r="I298" s="32">
        <f t="shared" si="376"/>
        <v>2</v>
      </c>
      <c r="J298" s="38">
        <f t="shared" si="376"/>
        <v>3</v>
      </c>
      <c r="K298" s="33">
        <f t="shared" si="376"/>
        <v>15</v>
      </c>
      <c r="L298" s="32">
        <f t="shared" si="376"/>
        <v>0</v>
      </c>
      <c r="M298" s="32">
        <f t="shared" si="376"/>
        <v>1</v>
      </c>
      <c r="N298" s="32">
        <f t="shared" si="376"/>
        <v>1</v>
      </c>
      <c r="O298" s="38">
        <f t="shared" si="376"/>
        <v>1</v>
      </c>
      <c r="P298" s="33">
        <f t="shared" si="376"/>
        <v>3</v>
      </c>
      <c r="Q298" s="33">
        <f>F298+K298+P298</f>
        <v>40</v>
      </c>
      <c r="R298" s="54"/>
      <c r="S298" s="45" t="s">
        <v>16</v>
      </c>
      <c r="T298" s="32">
        <f>T292</f>
        <v>113</v>
      </c>
      <c r="U298" s="32">
        <f t="shared" ref="U298:AI298" si="377">U292</f>
        <v>121</v>
      </c>
      <c r="V298" s="32">
        <f t="shared" si="377"/>
        <v>79</v>
      </c>
      <c r="W298" s="38">
        <f t="shared" si="377"/>
        <v>51</v>
      </c>
      <c r="X298" s="33">
        <f t="shared" si="377"/>
        <v>364</v>
      </c>
      <c r="Y298" s="32">
        <f t="shared" si="377"/>
        <v>130</v>
      </c>
      <c r="Z298" s="32">
        <f t="shared" si="377"/>
        <v>173</v>
      </c>
      <c r="AA298" s="32">
        <f t="shared" si="377"/>
        <v>142</v>
      </c>
      <c r="AB298" s="38">
        <f t="shared" si="377"/>
        <v>119</v>
      </c>
      <c r="AC298" s="33">
        <f t="shared" si="377"/>
        <v>564</v>
      </c>
      <c r="AD298" s="32">
        <f t="shared" si="377"/>
        <v>141</v>
      </c>
      <c r="AE298" s="32">
        <f t="shared" si="377"/>
        <v>210</v>
      </c>
      <c r="AF298" s="32">
        <f t="shared" si="377"/>
        <v>142</v>
      </c>
      <c r="AG298" s="38">
        <f t="shared" si="377"/>
        <v>144</v>
      </c>
      <c r="AH298" s="33">
        <f t="shared" si="377"/>
        <v>637</v>
      </c>
      <c r="AI298" s="62">
        <f t="shared" si="377"/>
        <v>1565</v>
      </c>
    </row>
    <row r="299" spans="1:36" x14ac:dyDescent="0.15">
      <c r="A299" s="23" t="s">
        <v>17</v>
      </c>
      <c r="B299" s="24"/>
      <c r="C299" s="36"/>
      <c r="D299" s="36"/>
      <c r="E299" s="41"/>
      <c r="F299" s="26">
        <f t="shared" ref="F299:F305" si="378">SUM(B299:E299)</f>
        <v>0</v>
      </c>
      <c r="G299" s="25"/>
      <c r="H299" s="36"/>
      <c r="I299" s="36">
        <v>2</v>
      </c>
      <c r="J299" s="41">
        <v>2</v>
      </c>
      <c r="K299" s="26">
        <f t="shared" ref="K299:K305" si="379">SUM(G299:J299)</f>
        <v>4</v>
      </c>
      <c r="L299" s="25"/>
      <c r="M299" s="36"/>
      <c r="N299" s="36"/>
      <c r="O299" s="41"/>
      <c r="P299" s="26">
        <f>SUM(L299:O299)</f>
        <v>0</v>
      </c>
      <c r="Q299" s="26">
        <f t="shared" ref="Q299:Q334" si="380">F299+K299+P299</f>
        <v>4</v>
      </c>
      <c r="R299" s="55">
        <v>45808</v>
      </c>
      <c r="S299" s="23" t="s">
        <v>17</v>
      </c>
      <c r="T299" s="25"/>
      <c r="U299" s="25"/>
      <c r="V299" s="25"/>
      <c r="W299" s="39"/>
      <c r="X299" s="22">
        <f>SUM(T299:W299)</f>
        <v>0</v>
      </c>
      <c r="Y299" s="25"/>
      <c r="Z299" s="25"/>
      <c r="AA299" s="25"/>
      <c r="AB299" s="39"/>
      <c r="AC299" s="22">
        <f t="shared" ref="AC299:AC305" si="381">SUM(Y299:AB299)</f>
        <v>0</v>
      </c>
      <c r="AD299" s="25"/>
      <c r="AE299" s="25"/>
      <c r="AF299" s="25"/>
      <c r="AG299" s="39"/>
      <c r="AH299" s="22">
        <f t="shared" ref="AH299:AH305" si="382">SUM(AD299:AG299)</f>
        <v>0</v>
      </c>
      <c r="AI299" s="26">
        <f t="shared" ref="AI299:AI311" si="383">X299+AC299+AH299</f>
        <v>0</v>
      </c>
    </row>
    <row r="300" spans="1:36" x14ac:dyDescent="0.15">
      <c r="A300" s="23" t="s">
        <v>34</v>
      </c>
      <c r="B300" s="24"/>
      <c r="C300" s="36"/>
      <c r="D300" s="36"/>
      <c r="E300" s="41"/>
      <c r="F300" s="26">
        <f t="shared" si="378"/>
        <v>0</v>
      </c>
      <c r="G300" s="25">
        <v>1</v>
      </c>
      <c r="H300" s="36"/>
      <c r="I300" s="36"/>
      <c r="J300" s="41"/>
      <c r="K300" s="26">
        <f t="shared" si="379"/>
        <v>1</v>
      </c>
      <c r="L300" s="25"/>
      <c r="M300" s="36"/>
      <c r="N300" s="36"/>
      <c r="O300" s="41"/>
      <c r="P300" s="26">
        <f t="shared" ref="P300:P305" si="384">SUM(L300:O300)</f>
        <v>0</v>
      </c>
      <c r="Q300" s="26">
        <f t="shared" si="380"/>
        <v>1</v>
      </c>
      <c r="R300" s="55">
        <v>45824</v>
      </c>
      <c r="S300" s="23" t="s">
        <v>17</v>
      </c>
      <c r="T300" s="25"/>
      <c r="U300" s="25"/>
      <c r="V300" s="25"/>
      <c r="W300" s="39"/>
      <c r="X300" s="22">
        <f t="shared" ref="X300:X305" si="385">SUM(T300:W300)</f>
        <v>0</v>
      </c>
      <c r="Y300" s="25"/>
      <c r="Z300" s="25"/>
      <c r="AA300" s="25"/>
      <c r="AB300" s="39"/>
      <c r="AC300" s="22">
        <f t="shared" si="381"/>
        <v>0</v>
      </c>
      <c r="AD300" s="25"/>
      <c r="AE300" s="25"/>
      <c r="AF300" s="25"/>
      <c r="AG300" s="39"/>
      <c r="AH300" s="22">
        <f t="shared" si="382"/>
        <v>0</v>
      </c>
      <c r="AI300" s="26">
        <f t="shared" si="383"/>
        <v>0</v>
      </c>
    </row>
    <row r="301" spans="1:36" x14ac:dyDescent="0.15">
      <c r="A301" s="23" t="s">
        <v>34</v>
      </c>
      <c r="B301" s="24"/>
      <c r="C301" s="36"/>
      <c r="D301" s="36"/>
      <c r="E301" s="41"/>
      <c r="F301" s="26">
        <f t="shared" si="378"/>
        <v>0</v>
      </c>
      <c r="G301" s="25"/>
      <c r="H301" s="36"/>
      <c r="I301" s="36"/>
      <c r="J301" s="41"/>
      <c r="K301" s="26">
        <f t="shared" si="379"/>
        <v>0</v>
      </c>
      <c r="L301" s="25"/>
      <c r="M301" s="36"/>
      <c r="N301" s="36"/>
      <c r="O301" s="41">
        <v>1</v>
      </c>
      <c r="P301" s="26">
        <f t="shared" si="384"/>
        <v>1</v>
      </c>
      <c r="Q301" s="26">
        <f t="shared" si="380"/>
        <v>1</v>
      </c>
      <c r="R301" s="55">
        <v>45821</v>
      </c>
      <c r="S301" s="23" t="s">
        <v>17</v>
      </c>
      <c r="T301" s="25"/>
      <c r="U301" s="25"/>
      <c r="V301" s="25"/>
      <c r="W301" s="39"/>
      <c r="X301" s="22">
        <f t="shared" si="385"/>
        <v>0</v>
      </c>
      <c r="Y301" s="25"/>
      <c r="Z301" s="25"/>
      <c r="AA301" s="25"/>
      <c r="AB301" s="39"/>
      <c r="AC301" s="22">
        <f t="shared" si="381"/>
        <v>0</v>
      </c>
      <c r="AD301" s="25"/>
      <c r="AE301" s="25"/>
      <c r="AF301" s="25"/>
      <c r="AG301" s="39"/>
      <c r="AH301" s="22">
        <f t="shared" si="382"/>
        <v>0</v>
      </c>
      <c r="AI301" s="26">
        <f t="shared" si="383"/>
        <v>0</v>
      </c>
    </row>
    <row r="302" spans="1:36" x14ac:dyDescent="0.15">
      <c r="A302" s="23" t="s">
        <v>17</v>
      </c>
      <c r="B302" s="24"/>
      <c r="C302" s="36"/>
      <c r="D302" s="36"/>
      <c r="E302" s="41"/>
      <c r="F302" s="26">
        <f t="shared" si="378"/>
        <v>0</v>
      </c>
      <c r="G302" s="25">
        <v>2</v>
      </c>
      <c r="H302" s="36"/>
      <c r="I302" s="36">
        <v>2</v>
      </c>
      <c r="J302" s="41">
        <v>2</v>
      </c>
      <c r="K302" s="26">
        <f t="shared" si="379"/>
        <v>6</v>
      </c>
      <c r="L302" s="25"/>
      <c r="M302" s="36"/>
      <c r="N302" s="36"/>
      <c r="O302" s="41"/>
      <c r="P302" s="26">
        <f t="shared" si="384"/>
        <v>0</v>
      </c>
      <c r="Q302" s="26">
        <f t="shared" si="380"/>
        <v>6</v>
      </c>
      <c r="R302" s="55">
        <v>45842</v>
      </c>
      <c r="S302" s="23" t="s">
        <v>17</v>
      </c>
      <c r="T302" s="28"/>
      <c r="U302" s="28"/>
      <c r="V302" s="28"/>
      <c r="W302" s="40"/>
      <c r="X302" s="29">
        <f t="shared" si="385"/>
        <v>0</v>
      </c>
      <c r="Y302" s="28"/>
      <c r="Z302" s="28"/>
      <c r="AA302" s="28"/>
      <c r="AB302" s="40"/>
      <c r="AC302" s="29">
        <f t="shared" si="381"/>
        <v>0</v>
      </c>
      <c r="AD302" s="28"/>
      <c r="AE302" s="28"/>
      <c r="AF302" s="28"/>
      <c r="AG302" s="40"/>
      <c r="AH302" s="29">
        <f t="shared" si="382"/>
        <v>0</v>
      </c>
      <c r="AI302" s="26">
        <f t="shared" si="383"/>
        <v>0</v>
      </c>
    </row>
    <row r="303" spans="1:36" x14ac:dyDescent="0.15">
      <c r="A303" s="23" t="s">
        <v>17</v>
      </c>
      <c r="B303" s="24"/>
      <c r="C303" s="36"/>
      <c r="D303" s="36">
        <v>2</v>
      </c>
      <c r="E303" s="41"/>
      <c r="F303" s="26">
        <f t="shared" si="378"/>
        <v>2</v>
      </c>
      <c r="G303" s="25"/>
      <c r="H303" s="36"/>
      <c r="I303" s="36">
        <v>2</v>
      </c>
      <c r="J303" s="41">
        <v>2</v>
      </c>
      <c r="K303" s="26">
        <f t="shared" si="379"/>
        <v>4</v>
      </c>
      <c r="L303" s="25"/>
      <c r="M303" s="36"/>
      <c r="N303" s="36"/>
      <c r="O303" s="41"/>
      <c r="P303" s="26">
        <f t="shared" si="384"/>
        <v>0</v>
      </c>
      <c r="Q303" s="26">
        <f t="shared" si="380"/>
        <v>6</v>
      </c>
      <c r="R303" s="55">
        <v>45845</v>
      </c>
      <c r="S303" s="23" t="s">
        <v>17</v>
      </c>
      <c r="T303" s="25"/>
      <c r="U303" s="36"/>
      <c r="V303" s="36"/>
      <c r="W303" s="41"/>
      <c r="X303" s="26">
        <f t="shared" si="385"/>
        <v>0</v>
      </c>
      <c r="Y303" s="25"/>
      <c r="Z303" s="36"/>
      <c r="AA303" s="36"/>
      <c r="AB303" s="41"/>
      <c r="AC303" s="26">
        <f t="shared" si="381"/>
        <v>0</v>
      </c>
      <c r="AD303" s="25"/>
      <c r="AE303" s="36"/>
      <c r="AF303" s="36"/>
      <c r="AG303" s="41"/>
      <c r="AH303" s="26">
        <f t="shared" si="382"/>
        <v>0</v>
      </c>
      <c r="AI303" s="26">
        <f t="shared" si="383"/>
        <v>0</v>
      </c>
    </row>
    <row r="304" spans="1:36" x14ac:dyDescent="0.15">
      <c r="A304" s="23" t="s">
        <v>17</v>
      </c>
      <c r="B304" s="24"/>
      <c r="C304" s="36"/>
      <c r="D304" s="36"/>
      <c r="E304" s="41"/>
      <c r="F304" s="26">
        <f t="shared" si="378"/>
        <v>0</v>
      </c>
      <c r="G304" s="25">
        <v>2</v>
      </c>
      <c r="H304" s="36"/>
      <c r="I304" s="36">
        <v>2</v>
      </c>
      <c r="J304" s="41">
        <v>2</v>
      </c>
      <c r="K304" s="26">
        <f t="shared" si="379"/>
        <v>6</v>
      </c>
      <c r="L304" s="25"/>
      <c r="M304" s="36"/>
      <c r="N304" s="36"/>
      <c r="O304" s="41"/>
      <c r="P304" s="26">
        <f t="shared" si="384"/>
        <v>0</v>
      </c>
      <c r="Q304" s="26">
        <f t="shared" si="380"/>
        <v>6</v>
      </c>
      <c r="R304" s="55">
        <v>45849</v>
      </c>
      <c r="S304" s="23" t="s">
        <v>17</v>
      </c>
      <c r="T304" s="25"/>
      <c r="U304" s="36"/>
      <c r="V304" s="36"/>
      <c r="W304" s="41"/>
      <c r="X304" s="26">
        <f t="shared" si="385"/>
        <v>0</v>
      </c>
      <c r="Y304" s="25"/>
      <c r="Z304" s="36"/>
      <c r="AA304" s="36"/>
      <c r="AB304" s="41"/>
      <c r="AC304" s="26">
        <f t="shared" si="381"/>
        <v>0</v>
      </c>
      <c r="AD304" s="25"/>
      <c r="AE304" s="36"/>
      <c r="AF304" s="36"/>
      <c r="AG304" s="41"/>
      <c r="AH304" s="26">
        <f t="shared" si="382"/>
        <v>0</v>
      </c>
      <c r="AI304" s="26">
        <f t="shared" si="383"/>
        <v>0</v>
      </c>
    </row>
    <row r="305" spans="1:36" ht="14.25" thickBot="1" x14ac:dyDescent="0.2">
      <c r="A305" s="23" t="s">
        <v>34</v>
      </c>
      <c r="B305" s="27"/>
      <c r="C305" s="37"/>
      <c r="D305" s="37"/>
      <c r="E305" s="42"/>
      <c r="F305" s="43">
        <f t="shared" si="378"/>
        <v>0</v>
      </c>
      <c r="G305" s="28">
        <v>1</v>
      </c>
      <c r="H305" s="37"/>
      <c r="I305" s="37"/>
      <c r="J305" s="42"/>
      <c r="K305" s="43">
        <f t="shared" si="379"/>
        <v>1</v>
      </c>
      <c r="L305" s="28"/>
      <c r="M305" s="37"/>
      <c r="N305" s="37"/>
      <c r="O305" s="42"/>
      <c r="P305" s="43">
        <f t="shared" si="384"/>
        <v>0</v>
      </c>
      <c r="Q305" s="43">
        <f t="shared" si="380"/>
        <v>1</v>
      </c>
      <c r="R305" s="55">
        <v>45855</v>
      </c>
      <c r="S305" s="23" t="s">
        <v>17</v>
      </c>
      <c r="T305" s="28"/>
      <c r="U305" s="37"/>
      <c r="V305" s="37"/>
      <c r="W305" s="42"/>
      <c r="X305" s="43">
        <f t="shared" si="385"/>
        <v>0</v>
      </c>
      <c r="Y305" s="28"/>
      <c r="Z305" s="37"/>
      <c r="AA305" s="37"/>
      <c r="AB305" s="42"/>
      <c r="AC305" s="43">
        <f t="shared" si="381"/>
        <v>0</v>
      </c>
      <c r="AD305" s="28"/>
      <c r="AE305" s="37"/>
      <c r="AF305" s="37"/>
      <c r="AG305" s="42"/>
      <c r="AH305" s="43">
        <f t="shared" si="382"/>
        <v>0</v>
      </c>
      <c r="AI305" s="43">
        <f t="shared" si="383"/>
        <v>0</v>
      </c>
    </row>
    <row r="306" spans="1:36" ht="15" thickBot="1" x14ac:dyDescent="0.2">
      <c r="A306" s="46" t="s">
        <v>13</v>
      </c>
      <c r="B306" s="47">
        <f>SUM(B298:B305)</f>
        <v>4</v>
      </c>
      <c r="C306" s="48">
        <f t="shared" ref="C306:P306" si="386">SUM(C298:C305)</f>
        <v>5</v>
      </c>
      <c r="D306" s="48">
        <f t="shared" si="386"/>
        <v>8</v>
      </c>
      <c r="E306" s="49">
        <f t="shared" si="386"/>
        <v>7</v>
      </c>
      <c r="F306" s="34">
        <f t="shared" si="386"/>
        <v>24</v>
      </c>
      <c r="G306" s="47">
        <f t="shared" si="386"/>
        <v>10</v>
      </c>
      <c r="H306" s="48">
        <f t="shared" si="386"/>
        <v>6</v>
      </c>
      <c r="I306" s="48">
        <f t="shared" si="386"/>
        <v>10</v>
      </c>
      <c r="J306" s="49">
        <f t="shared" si="386"/>
        <v>11</v>
      </c>
      <c r="K306" s="34">
        <f t="shared" si="386"/>
        <v>37</v>
      </c>
      <c r="L306" s="47">
        <f t="shared" si="386"/>
        <v>0</v>
      </c>
      <c r="M306" s="48">
        <f t="shared" si="386"/>
        <v>1</v>
      </c>
      <c r="N306" s="48">
        <f t="shared" si="386"/>
        <v>1</v>
      </c>
      <c r="O306" s="49">
        <f t="shared" si="386"/>
        <v>2</v>
      </c>
      <c r="P306" s="34">
        <f t="shared" si="386"/>
        <v>4</v>
      </c>
      <c r="Q306" s="34">
        <f t="shared" si="380"/>
        <v>65</v>
      </c>
      <c r="R306" s="54"/>
      <c r="S306" s="46" t="s">
        <v>13</v>
      </c>
      <c r="T306" s="47">
        <f>SUM(T298:T305)</f>
        <v>113</v>
      </c>
      <c r="U306" s="48">
        <f t="shared" ref="U306" si="387">SUM(U298:U305)</f>
        <v>121</v>
      </c>
      <c r="V306" s="48">
        <f t="shared" ref="V306" si="388">SUM(V298:V305)</f>
        <v>79</v>
      </c>
      <c r="W306" s="49">
        <f t="shared" ref="W306" si="389">SUM(W298:W305)</f>
        <v>51</v>
      </c>
      <c r="X306" s="34">
        <f>SUM(X298:X305)</f>
        <v>364</v>
      </c>
      <c r="Y306" s="47">
        <f>SUM(Y298:Y305)</f>
        <v>130</v>
      </c>
      <c r="Z306" s="48">
        <f t="shared" ref="Z306" si="390">SUM(Z298:Z305)</f>
        <v>173</v>
      </c>
      <c r="AA306" s="48">
        <f t="shared" ref="AA306" si="391">SUM(AA298:AA305)</f>
        <v>142</v>
      </c>
      <c r="AB306" s="49">
        <f t="shared" ref="AB306" si="392">SUM(AB298:AB305)</f>
        <v>119</v>
      </c>
      <c r="AC306" s="34">
        <f>SUM(AC298:AC305)</f>
        <v>564</v>
      </c>
      <c r="AD306" s="47">
        <f>SUM(AD298:AD305)</f>
        <v>141</v>
      </c>
      <c r="AE306" s="48">
        <f t="shared" ref="AE306" si="393">SUM(AE298:AE305)</f>
        <v>210</v>
      </c>
      <c r="AF306" s="48">
        <f t="shared" ref="AF306" si="394">SUM(AF298:AF305)</f>
        <v>142</v>
      </c>
      <c r="AG306" s="49">
        <f t="shared" ref="AG306" si="395">SUM(AG298:AG305)</f>
        <v>144</v>
      </c>
      <c r="AH306" s="34">
        <f>SUM(AH298:AH305)</f>
        <v>637</v>
      </c>
      <c r="AI306" s="34">
        <f>X306+AC306+AH306</f>
        <v>1565</v>
      </c>
    </row>
    <row r="307" spans="1:36" x14ac:dyDescent="0.15">
      <c r="A307" s="35" t="s">
        <v>37</v>
      </c>
      <c r="B307" s="24"/>
      <c r="C307" s="25"/>
      <c r="D307" s="25"/>
      <c r="E307" s="25"/>
      <c r="F307" s="26">
        <f t="shared" ref="F307:F310" si="396">SUM(B307:E307)</f>
        <v>0</v>
      </c>
      <c r="G307" s="24">
        <v>1</v>
      </c>
      <c r="H307" s="25"/>
      <c r="I307" s="25"/>
      <c r="J307" s="25"/>
      <c r="K307" s="26">
        <f t="shared" ref="K307:K310" si="397">SUM(G307:J307)</f>
        <v>1</v>
      </c>
      <c r="L307" s="24"/>
      <c r="M307" s="25"/>
      <c r="N307" s="25"/>
      <c r="O307" s="25"/>
      <c r="P307" s="26">
        <f t="shared" ref="P307:P310" si="398">SUM(L307:O307)</f>
        <v>0</v>
      </c>
      <c r="Q307" s="26">
        <f t="shared" si="380"/>
        <v>1</v>
      </c>
      <c r="R307" s="55">
        <v>45813</v>
      </c>
      <c r="S307" s="31" t="s">
        <v>171</v>
      </c>
      <c r="T307" s="6"/>
      <c r="U307" s="7"/>
      <c r="V307" s="7">
        <v>3</v>
      </c>
      <c r="W307" s="7"/>
      <c r="X307" s="9">
        <f t="shared" ref="X307:X311" si="399">SUM(T307:W307)</f>
        <v>3</v>
      </c>
      <c r="Y307" s="6"/>
      <c r="Z307" s="7"/>
      <c r="AA307" s="7"/>
      <c r="AB307" s="7"/>
      <c r="AC307" s="9">
        <f t="shared" ref="AC307:AC311" si="400">SUM(Y307:AB307)</f>
        <v>0</v>
      </c>
      <c r="AD307" s="6"/>
      <c r="AE307" s="7"/>
      <c r="AF307" s="7">
        <v>3</v>
      </c>
      <c r="AG307" s="7"/>
      <c r="AH307" s="9">
        <f t="shared" ref="AH307:AH311" si="401">SUM(AD307:AG307)</f>
        <v>3</v>
      </c>
      <c r="AI307" s="26">
        <f t="shared" si="383"/>
        <v>6</v>
      </c>
      <c r="AJ307" s="64">
        <v>45796</v>
      </c>
    </row>
    <row r="308" spans="1:36" x14ac:dyDescent="0.15">
      <c r="A308" s="35" t="s">
        <v>37</v>
      </c>
      <c r="B308" s="24"/>
      <c r="C308" s="25"/>
      <c r="D308" s="25"/>
      <c r="E308" s="25"/>
      <c r="F308" s="26">
        <f t="shared" si="396"/>
        <v>0</v>
      </c>
      <c r="G308" s="24"/>
      <c r="H308" s="25"/>
      <c r="I308" s="25">
        <v>1</v>
      </c>
      <c r="J308" s="25"/>
      <c r="K308" s="26">
        <f t="shared" si="397"/>
        <v>1</v>
      </c>
      <c r="L308" s="24"/>
      <c r="M308" s="25"/>
      <c r="N308" s="25"/>
      <c r="O308" s="25"/>
      <c r="P308" s="26">
        <f t="shared" si="398"/>
        <v>0</v>
      </c>
      <c r="Q308" s="26">
        <f t="shared" si="380"/>
        <v>1</v>
      </c>
      <c r="R308" s="55">
        <v>45817</v>
      </c>
      <c r="S308" s="31" t="s">
        <v>172</v>
      </c>
      <c r="T308" s="6"/>
      <c r="U308" s="7"/>
      <c r="V308" s="7"/>
      <c r="W308" s="7"/>
      <c r="X308" s="9">
        <f t="shared" si="399"/>
        <v>0</v>
      </c>
      <c r="Y308" s="6"/>
      <c r="Z308" s="7"/>
      <c r="AA308" s="7"/>
      <c r="AB308" s="7"/>
      <c r="AC308" s="9">
        <f t="shared" si="400"/>
        <v>0</v>
      </c>
      <c r="AD308" s="6"/>
      <c r="AE308" s="7"/>
      <c r="AF308" s="7"/>
      <c r="AG308" s="7">
        <v>2</v>
      </c>
      <c r="AH308" s="9">
        <f t="shared" si="401"/>
        <v>2</v>
      </c>
      <c r="AI308" s="26">
        <f t="shared" si="383"/>
        <v>2</v>
      </c>
      <c r="AJ308" s="64">
        <v>45796</v>
      </c>
    </row>
    <row r="309" spans="1:36" x14ac:dyDescent="0.15">
      <c r="A309" s="35" t="s">
        <v>37</v>
      </c>
      <c r="B309" s="24"/>
      <c r="C309" s="25"/>
      <c r="D309" s="25"/>
      <c r="E309" s="25"/>
      <c r="F309" s="26">
        <f t="shared" si="396"/>
        <v>0</v>
      </c>
      <c r="G309" s="24">
        <v>1</v>
      </c>
      <c r="H309" s="25"/>
      <c r="I309" s="25"/>
      <c r="J309" s="25"/>
      <c r="K309" s="26">
        <f t="shared" si="397"/>
        <v>1</v>
      </c>
      <c r="L309" s="24"/>
      <c r="M309" s="25"/>
      <c r="N309" s="25"/>
      <c r="O309" s="25"/>
      <c r="P309" s="26">
        <f t="shared" si="398"/>
        <v>0</v>
      </c>
      <c r="Q309" s="26">
        <f t="shared" si="380"/>
        <v>1</v>
      </c>
      <c r="R309" s="55">
        <v>45818</v>
      </c>
      <c r="S309" s="31" t="s">
        <v>173</v>
      </c>
      <c r="T309" s="6"/>
      <c r="U309" s="7"/>
      <c r="V309" s="7"/>
      <c r="W309" s="7"/>
      <c r="X309" s="9">
        <f t="shared" si="399"/>
        <v>0</v>
      </c>
      <c r="Y309" s="6"/>
      <c r="Z309" s="7"/>
      <c r="AA309" s="7"/>
      <c r="AB309" s="7"/>
      <c r="AC309" s="9">
        <f t="shared" si="400"/>
        <v>0</v>
      </c>
      <c r="AD309" s="6"/>
      <c r="AE309" s="7"/>
      <c r="AF309" s="7"/>
      <c r="AG309" s="7">
        <v>5</v>
      </c>
      <c r="AH309" s="9">
        <f t="shared" si="401"/>
        <v>5</v>
      </c>
      <c r="AI309" s="26">
        <f t="shared" si="383"/>
        <v>5</v>
      </c>
      <c r="AJ309" s="64">
        <v>45797</v>
      </c>
    </row>
    <row r="310" spans="1:36" x14ac:dyDescent="0.15">
      <c r="A310" s="31" t="s">
        <v>183</v>
      </c>
      <c r="B310" s="6"/>
      <c r="C310" s="7"/>
      <c r="D310" s="7"/>
      <c r="E310" s="7"/>
      <c r="F310" s="9">
        <f t="shared" si="396"/>
        <v>0</v>
      </c>
      <c r="G310" s="6"/>
      <c r="H310" s="7"/>
      <c r="I310" s="7"/>
      <c r="J310" s="7"/>
      <c r="K310" s="9">
        <f t="shared" si="397"/>
        <v>0</v>
      </c>
      <c r="L310" s="6"/>
      <c r="M310" s="7"/>
      <c r="N310" s="7">
        <v>1</v>
      </c>
      <c r="O310" s="7"/>
      <c r="P310" s="9">
        <f t="shared" si="398"/>
        <v>1</v>
      </c>
      <c r="Q310" s="26">
        <f t="shared" si="380"/>
        <v>1</v>
      </c>
      <c r="R310" s="64">
        <v>45820</v>
      </c>
      <c r="S310" s="31" t="s">
        <v>174</v>
      </c>
      <c r="T310" s="6"/>
      <c r="U310" s="7"/>
      <c r="V310" s="7"/>
      <c r="W310" s="7"/>
      <c r="X310" s="9">
        <f t="shared" si="399"/>
        <v>0</v>
      </c>
      <c r="Y310" s="6"/>
      <c r="Z310" s="7"/>
      <c r="AA310" s="7"/>
      <c r="AB310" s="7"/>
      <c r="AC310" s="9">
        <f t="shared" si="400"/>
        <v>0</v>
      </c>
      <c r="AD310" s="6">
        <v>3</v>
      </c>
      <c r="AE310" s="7"/>
      <c r="AF310" s="7"/>
      <c r="AG310" s="7"/>
      <c r="AH310" s="9">
        <f t="shared" si="401"/>
        <v>3</v>
      </c>
      <c r="AI310" s="26">
        <f t="shared" si="383"/>
        <v>3</v>
      </c>
      <c r="AJ310" s="64">
        <v>45798</v>
      </c>
    </row>
    <row r="311" spans="1:36" x14ac:dyDescent="0.15">
      <c r="A311" s="35" t="s">
        <v>37</v>
      </c>
      <c r="B311" s="24"/>
      <c r="C311" s="25"/>
      <c r="D311" s="25">
        <v>1</v>
      </c>
      <c r="E311" s="25"/>
      <c r="F311" s="26">
        <f t="shared" ref="F311:F332" si="402">SUM(B311:E311)</f>
        <v>1</v>
      </c>
      <c r="G311" s="24"/>
      <c r="H311" s="25">
        <v>1</v>
      </c>
      <c r="I311" s="25">
        <v>1</v>
      </c>
      <c r="J311" s="25">
        <v>1</v>
      </c>
      <c r="K311" s="26">
        <f t="shared" ref="K311:K332" si="403">SUM(G311:J311)</f>
        <v>3</v>
      </c>
      <c r="L311" s="24"/>
      <c r="M311" s="25"/>
      <c r="N311" s="25"/>
      <c r="O311" s="25"/>
      <c r="P311" s="26">
        <f t="shared" ref="P311:P332" si="404">SUM(L311:O311)</f>
        <v>0</v>
      </c>
      <c r="Q311" s="26">
        <f t="shared" si="380"/>
        <v>4</v>
      </c>
      <c r="R311" s="55">
        <v>45838</v>
      </c>
      <c r="S311" s="31" t="s">
        <v>176</v>
      </c>
      <c r="T311" s="6"/>
      <c r="U311" s="7"/>
      <c r="V311" s="7"/>
      <c r="W311" s="7"/>
      <c r="X311" s="9">
        <f t="shared" si="399"/>
        <v>0</v>
      </c>
      <c r="Y311" s="6"/>
      <c r="Z311" s="7"/>
      <c r="AA311" s="7">
        <v>4</v>
      </c>
      <c r="AB311" s="7"/>
      <c r="AC311" s="9">
        <f t="shared" si="400"/>
        <v>4</v>
      </c>
      <c r="AD311" s="6"/>
      <c r="AE311" s="7"/>
      <c r="AF311" s="7"/>
      <c r="AG311" s="7"/>
      <c r="AH311" s="9">
        <f t="shared" si="401"/>
        <v>0</v>
      </c>
      <c r="AI311" s="26">
        <f t="shared" si="383"/>
        <v>4</v>
      </c>
      <c r="AJ311" s="64">
        <v>45800</v>
      </c>
    </row>
    <row r="312" spans="1:36" x14ac:dyDescent="0.15">
      <c r="A312" s="35" t="s">
        <v>37</v>
      </c>
      <c r="B312" s="24"/>
      <c r="C312" s="25"/>
      <c r="D312" s="25"/>
      <c r="E312" s="25"/>
      <c r="F312" s="26">
        <f t="shared" si="402"/>
        <v>0</v>
      </c>
      <c r="G312" s="24">
        <v>1</v>
      </c>
      <c r="H312" s="25"/>
      <c r="I312" s="25"/>
      <c r="J312" s="25">
        <v>1</v>
      </c>
      <c r="K312" s="26">
        <f t="shared" si="403"/>
        <v>2</v>
      </c>
      <c r="L312" s="24"/>
      <c r="M312" s="25"/>
      <c r="N312" s="25"/>
      <c r="O312" s="25"/>
      <c r="P312" s="26">
        <f t="shared" si="404"/>
        <v>0</v>
      </c>
      <c r="Q312" s="26">
        <f t="shared" si="380"/>
        <v>2</v>
      </c>
      <c r="R312" s="55">
        <v>45839</v>
      </c>
      <c r="S312" s="31" t="s">
        <v>175</v>
      </c>
      <c r="T312" s="6"/>
      <c r="U312" s="7"/>
      <c r="V312" s="7"/>
      <c r="W312" s="7"/>
      <c r="X312" s="9">
        <f t="shared" ref="X312:X324" si="405">SUM(T312:W312)</f>
        <v>0</v>
      </c>
      <c r="Y312" s="6"/>
      <c r="Z312" s="7">
        <v>1</v>
      </c>
      <c r="AA312" s="7"/>
      <c r="AB312" s="7"/>
      <c r="AC312" s="9">
        <f t="shared" ref="AC312:AC324" si="406">SUM(Y312:AB312)</f>
        <v>1</v>
      </c>
      <c r="AD312" s="6"/>
      <c r="AE312" s="7"/>
      <c r="AF312" s="7"/>
      <c r="AG312" s="7"/>
      <c r="AH312" s="9">
        <f t="shared" ref="AH312:AH324" si="407">SUM(AD312:AG312)</f>
        <v>0</v>
      </c>
      <c r="AI312" s="26">
        <f t="shared" ref="AI312:AI324" si="408">X312+AC312+AH312</f>
        <v>1</v>
      </c>
      <c r="AJ312" s="64">
        <v>45800</v>
      </c>
    </row>
    <row r="313" spans="1:36" x14ac:dyDescent="0.15">
      <c r="A313" s="35" t="s">
        <v>192</v>
      </c>
      <c r="B313" s="24"/>
      <c r="C313" s="25"/>
      <c r="D313" s="25"/>
      <c r="E313" s="25"/>
      <c r="F313" s="26">
        <f t="shared" si="402"/>
        <v>0</v>
      </c>
      <c r="G313" s="24"/>
      <c r="H313" s="25"/>
      <c r="I313" s="25"/>
      <c r="J313" s="25">
        <v>1</v>
      </c>
      <c r="K313" s="26">
        <f t="shared" si="403"/>
        <v>1</v>
      </c>
      <c r="L313" s="24"/>
      <c r="M313" s="25"/>
      <c r="N313" s="25"/>
      <c r="O313" s="25"/>
      <c r="P313" s="26">
        <f t="shared" si="404"/>
        <v>0</v>
      </c>
      <c r="Q313" s="26">
        <f t="shared" si="380"/>
        <v>1</v>
      </c>
      <c r="R313" s="55">
        <v>45840</v>
      </c>
      <c r="S313" s="31" t="s">
        <v>177</v>
      </c>
      <c r="T313" s="6"/>
      <c r="U313" s="7"/>
      <c r="V313" s="7"/>
      <c r="W313" s="7"/>
      <c r="X313" s="9">
        <f t="shared" si="405"/>
        <v>0</v>
      </c>
      <c r="Y313" s="6"/>
      <c r="Z313" s="7"/>
      <c r="AA313" s="7">
        <v>1</v>
      </c>
      <c r="AB313" s="7"/>
      <c r="AC313" s="9">
        <f t="shared" si="406"/>
        <v>1</v>
      </c>
      <c r="AD313" s="6"/>
      <c r="AE313" s="7"/>
      <c r="AF313" s="7"/>
      <c r="AG313" s="7"/>
      <c r="AH313" s="9">
        <f t="shared" si="407"/>
        <v>0</v>
      </c>
      <c r="AI313" s="26">
        <f t="shared" si="408"/>
        <v>1</v>
      </c>
      <c r="AJ313" s="64">
        <v>45800</v>
      </c>
    </row>
    <row r="314" spans="1:36" x14ac:dyDescent="0.15">
      <c r="A314" s="35" t="s">
        <v>37</v>
      </c>
      <c r="B314" s="24"/>
      <c r="C314" s="25"/>
      <c r="D314" s="25"/>
      <c r="E314" s="25"/>
      <c r="F314" s="26">
        <f t="shared" si="402"/>
        <v>0</v>
      </c>
      <c r="G314" s="24">
        <v>1</v>
      </c>
      <c r="H314" s="25"/>
      <c r="I314" s="25"/>
      <c r="J314" s="25"/>
      <c r="K314" s="26">
        <f t="shared" si="403"/>
        <v>1</v>
      </c>
      <c r="L314" s="24"/>
      <c r="M314" s="25"/>
      <c r="N314" s="25"/>
      <c r="O314" s="25"/>
      <c r="P314" s="26">
        <f t="shared" si="404"/>
        <v>0</v>
      </c>
      <c r="Q314" s="26">
        <f t="shared" si="380"/>
        <v>1</v>
      </c>
      <c r="R314" s="55">
        <v>45841</v>
      </c>
      <c r="S314" s="31" t="s">
        <v>178</v>
      </c>
      <c r="T314" s="6"/>
      <c r="U314" s="7"/>
      <c r="V314" s="7"/>
      <c r="W314" s="7"/>
      <c r="X314" s="9">
        <f t="shared" si="405"/>
        <v>0</v>
      </c>
      <c r="Y314" s="6"/>
      <c r="Z314" s="7">
        <v>4</v>
      </c>
      <c r="AA314" s="7">
        <v>4</v>
      </c>
      <c r="AB314" s="7">
        <v>4</v>
      </c>
      <c r="AC314" s="9">
        <f t="shared" si="406"/>
        <v>12</v>
      </c>
      <c r="AD314" s="6"/>
      <c r="AE314" s="7"/>
      <c r="AF314" s="7"/>
      <c r="AG314" s="7"/>
      <c r="AH314" s="9">
        <f t="shared" si="407"/>
        <v>0</v>
      </c>
      <c r="AI314" s="26">
        <f t="shared" si="408"/>
        <v>12</v>
      </c>
      <c r="AJ314" s="64">
        <v>45806</v>
      </c>
    </row>
    <row r="315" spans="1:36" x14ac:dyDescent="0.15">
      <c r="A315" s="35" t="s">
        <v>37</v>
      </c>
      <c r="B315" s="24"/>
      <c r="C315" s="25"/>
      <c r="D315" s="25"/>
      <c r="E315" s="25"/>
      <c r="F315" s="26">
        <f t="shared" si="402"/>
        <v>0</v>
      </c>
      <c r="G315" s="24"/>
      <c r="H315" s="25">
        <v>1</v>
      </c>
      <c r="I315" s="25"/>
      <c r="J315" s="25"/>
      <c r="K315" s="26">
        <f t="shared" si="403"/>
        <v>1</v>
      </c>
      <c r="L315" s="24"/>
      <c r="M315" s="25"/>
      <c r="N315" s="25"/>
      <c r="O315" s="25"/>
      <c r="P315" s="26">
        <f t="shared" si="404"/>
        <v>0</v>
      </c>
      <c r="Q315" s="26">
        <f t="shared" si="380"/>
        <v>1</v>
      </c>
      <c r="R315" s="55">
        <v>45842</v>
      </c>
      <c r="S315" s="31" t="s">
        <v>179</v>
      </c>
      <c r="T315" s="6"/>
      <c r="U315" s="7"/>
      <c r="V315" s="7"/>
      <c r="W315" s="7"/>
      <c r="X315" s="9">
        <f t="shared" si="405"/>
        <v>0</v>
      </c>
      <c r="Y315" s="6">
        <v>2</v>
      </c>
      <c r="Z315" s="7">
        <v>2</v>
      </c>
      <c r="AA315" s="7"/>
      <c r="AB315" s="7">
        <v>2</v>
      </c>
      <c r="AC315" s="9">
        <f t="shared" si="406"/>
        <v>6</v>
      </c>
      <c r="AD315" s="6"/>
      <c r="AE315" s="7"/>
      <c r="AF315" s="7"/>
      <c r="AG315" s="7">
        <v>4</v>
      </c>
      <c r="AH315" s="9">
        <f t="shared" si="407"/>
        <v>4</v>
      </c>
      <c r="AI315" s="26">
        <f t="shared" si="408"/>
        <v>10</v>
      </c>
      <c r="AJ315" s="64">
        <v>45806</v>
      </c>
    </row>
    <row r="316" spans="1:36" x14ac:dyDescent="0.15">
      <c r="A316" s="35" t="s">
        <v>37</v>
      </c>
      <c r="B316" s="24"/>
      <c r="C316" s="25"/>
      <c r="D316" s="25"/>
      <c r="E316" s="25"/>
      <c r="F316" s="26">
        <f t="shared" si="402"/>
        <v>0</v>
      </c>
      <c r="G316" s="24"/>
      <c r="H316" s="25"/>
      <c r="I316" s="25"/>
      <c r="J316" s="25">
        <v>1</v>
      </c>
      <c r="K316" s="26">
        <f t="shared" si="403"/>
        <v>1</v>
      </c>
      <c r="L316" s="24"/>
      <c r="M316" s="25"/>
      <c r="N316" s="25"/>
      <c r="O316" s="25"/>
      <c r="P316" s="26">
        <f t="shared" si="404"/>
        <v>0</v>
      </c>
      <c r="Q316" s="26">
        <f t="shared" si="380"/>
        <v>1</v>
      </c>
      <c r="R316" s="55">
        <v>45843</v>
      </c>
      <c r="S316" s="31" t="s">
        <v>180</v>
      </c>
      <c r="T316" s="6"/>
      <c r="U316" s="7"/>
      <c r="V316" s="7"/>
      <c r="W316" s="7"/>
      <c r="X316" s="9">
        <f t="shared" si="405"/>
        <v>0</v>
      </c>
      <c r="Y316" s="6"/>
      <c r="Z316" s="7"/>
      <c r="AA316" s="7"/>
      <c r="AB316" s="7"/>
      <c r="AC316" s="9">
        <f t="shared" si="406"/>
        <v>0</v>
      </c>
      <c r="AD316" s="6"/>
      <c r="AE316" s="7"/>
      <c r="AF316" s="7">
        <v>2</v>
      </c>
      <c r="AG316" s="7"/>
      <c r="AH316" s="9">
        <f t="shared" si="407"/>
        <v>2</v>
      </c>
      <c r="AI316" s="26">
        <f t="shared" si="408"/>
        <v>2</v>
      </c>
      <c r="AJ316" s="64">
        <v>45811</v>
      </c>
    </row>
    <row r="317" spans="1:36" x14ac:dyDescent="0.15">
      <c r="A317" s="35" t="s">
        <v>37</v>
      </c>
      <c r="B317" s="24"/>
      <c r="C317" s="25"/>
      <c r="D317" s="25">
        <v>2</v>
      </c>
      <c r="E317" s="25">
        <v>2</v>
      </c>
      <c r="F317" s="26">
        <f t="shared" si="402"/>
        <v>4</v>
      </c>
      <c r="G317" s="24"/>
      <c r="H317" s="25"/>
      <c r="I317" s="25">
        <v>1</v>
      </c>
      <c r="J317" s="25">
        <v>1</v>
      </c>
      <c r="K317" s="26">
        <f t="shared" si="403"/>
        <v>2</v>
      </c>
      <c r="L317" s="24"/>
      <c r="M317" s="25"/>
      <c r="N317" s="25"/>
      <c r="O317" s="25"/>
      <c r="P317" s="26">
        <f t="shared" si="404"/>
        <v>0</v>
      </c>
      <c r="Q317" s="26">
        <f t="shared" si="380"/>
        <v>6</v>
      </c>
      <c r="R317" s="55">
        <v>45845</v>
      </c>
      <c r="S317" s="31" t="s">
        <v>181</v>
      </c>
      <c r="T317" s="6"/>
      <c r="U317" s="7"/>
      <c r="V317" s="7">
        <v>2</v>
      </c>
      <c r="W317" s="7"/>
      <c r="X317" s="9">
        <f t="shared" si="405"/>
        <v>2</v>
      </c>
      <c r="Y317" s="6"/>
      <c r="Z317" s="7"/>
      <c r="AA317" s="7"/>
      <c r="AB317" s="7"/>
      <c r="AC317" s="9">
        <f t="shared" si="406"/>
        <v>0</v>
      </c>
      <c r="AD317" s="6"/>
      <c r="AE317" s="7"/>
      <c r="AF317" s="7"/>
      <c r="AG317" s="7"/>
      <c r="AH317" s="9">
        <f t="shared" si="407"/>
        <v>0</v>
      </c>
      <c r="AI317" s="26">
        <f t="shared" si="408"/>
        <v>2</v>
      </c>
      <c r="AJ317" s="64">
        <v>45811</v>
      </c>
    </row>
    <row r="318" spans="1:36" x14ac:dyDescent="0.15">
      <c r="A318" s="35" t="s">
        <v>37</v>
      </c>
      <c r="B318" s="24"/>
      <c r="C318" s="25">
        <v>1</v>
      </c>
      <c r="D318" s="25"/>
      <c r="E318" s="25"/>
      <c r="F318" s="26">
        <f t="shared" si="402"/>
        <v>1</v>
      </c>
      <c r="G318" s="24"/>
      <c r="H318" s="25"/>
      <c r="I318" s="25">
        <v>1</v>
      </c>
      <c r="J318" s="25">
        <v>1</v>
      </c>
      <c r="K318" s="26">
        <f t="shared" si="403"/>
        <v>2</v>
      </c>
      <c r="L318" s="24"/>
      <c r="M318" s="25"/>
      <c r="N318" s="25"/>
      <c r="O318" s="25"/>
      <c r="P318" s="26">
        <f t="shared" si="404"/>
        <v>0</v>
      </c>
      <c r="Q318" s="26">
        <f t="shared" si="380"/>
        <v>3</v>
      </c>
      <c r="R318" s="55">
        <v>45846</v>
      </c>
      <c r="S318" s="30" t="s">
        <v>31</v>
      </c>
      <c r="T318" s="6"/>
      <c r="U318" s="7"/>
      <c r="V318" s="7"/>
      <c r="W318" s="7"/>
      <c r="X318" s="9">
        <f t="shared" ref="X318" si="409">SUM(T318:W318)</f>
        <v>0</v>
      </c>
      <c r="Y318" s="6"/>
      <c r="Z318" s="7"/>
      <c r="AA318" s="7">
        <v>2</v>
      </c>
      <c r="AB318" s="7">
        <v>2</v>
      </c>
      <c r="AC318" s="9">
        <f t="shared" ref="AC318" si="410">SUM(Y318:AB318)</f>
        <v>4</v>
      </c>
      <c r="AD318" s="6"/>
      <c r="AE318" s="7"/>
      <c r="AF318" s="7"/>
      <c r="AG318" s="7"/>
      <c r="AH318" s="9">
        <f>SUM(AD318:AG318)</f>
        <v>0</v>
      </c>
      <c r="AI318" s="26">
        <f t="shared" si="408"/>
        <v>4</v>
      </c>
      <c r="AJ318" s="64">
        <v>45808</v>
      </c>
    </row>
    <row r="319" spans="1:36" x14ac:dyDescent="0.15">
      <c r="A319" s="35" t="s">
        <v>37</v>
      </c>
      <c r="B319" s="24"/>
      <c r="C319" s="25"/>
      <c r="D319" s="25"/>
      <c r="E319" s="25"/>
      <c r="F319" s="26">
        <f t="shared" si="402"/>
        <v>0</v>
      </c>
      <c r="G319" s="24"/>
      <c r="H319" s="25"/>
      <c r="I319" s="25">
        <v>1</v>
      </c>
      <c r="J319" s="25">
        <v>1</v>
      </c>
      <c r="K319" s="26">
        <f t="shared" si="403"/>
        <v>2</v>
      </c>
      <c r="L319" s="24"/>
      <c r="M319" s="25"/>
      <c r="N319" s="25"/>
      <c r="O319" s="25"/>
      <c r="P319" s="26">
        <f t="shared" si="404"/>
        <v>0</v>
      </c>
      <c r="Q319" s="26">
        <f t="shared" si="380"/>
        <v>2</v>
      </c>
      <c r="R319" s="55">
        <v>45847</v>
      </c>
      <c r="S319" s="31" t="s">
        <v>182</v>
      </c>
      <c r="T319" s="6"/>
      <c r="U319" s="7"/>
      <c r="V319" s="7"/>
      <c r="W319" s="7"/>
      <c r="X319" s="9">
        <f t="shared" si="405"/>
        <v>0</v>
      </c>
      <c r="Y319" s="6"/>
      <c r="Z319" s="7"/>
      <c r="AA319" s="7"/>
      <c r="AB319" s="7"/>
      <c r="AC319" s="9">
        <f t="shared" si="406"/>
        <v>0</v>
      </c>
      <c r="AD319" s="6">
        <v>7</v>
      </c>
      <c r="AE319" s="7"/>
      <c r="AF319" s="7"/>
      <c r="AG319" s="7"/>
      <c r="AH319" s="9">
        <f t="shared" si="407"/>
        <v>7</v>
      </c>
      <c r="AI319" s="26">
        <f t="shared" si="408"/>
        <v>7</v>
      </c>
      <c r="AJ319" s="64">
        <v>45813</v>
      </c>
    </row>
    <row r="320" spans="1:36" x14ac:dyDescent="0.15">
      <c r="A320" s="35"/>
      <c r="B320" s="24"/>
      <c r="C320" s="25"/>
      <c r="D320" s="25"/>
      <c r="E320" s="25"/>
      <c r="F320" s="26">
        <f t="shared" si="402"/>
        <v>0</v>
      </c>
      <c r="G320" s="24"/>
      <c r="H320" s="25"/>
      <c r="I320" s="25"/>
      <c r="J320" s="25"/>
      <c r="K320" s="26">
        <f t="shared" si="403"/>
        <v>0</v>
      </c>
      <c r="L320" s="24"/>
      <c r="M320" s="25"/>
      <c r="N320" s="25"/>
      <c r="O320" s="25"/>
      <c r="P320" s="26">
        <f t="shared" si="404"/>
        <v>0</v>
      </c>
      <c r="Q320" s="26">
        <f t="shared" si="380"/>
        <v>0</v>
      </c>
      <c r="R320" s="55"/>
      <c r="S320" s="31" t="s">
        <v>184</v>
      </c>
      <c r="T320" s="6"/>
      <c r="U320" s="7"/>
      <c r="V320" s="7"/>
      <c r="W320" s="7"/>
      <c r="X320" s="9">
        <f t="shared" ref="X320" si="411">SUM(T320:W320)</f>
        <v>0</v>
      </c>
      <c r="Y320" s="6"/>
      <c r="Z320" s="7"/>
      <c r="AA320" s="7"/>
      <c r="AB320" s="7"/>
      <c r="AC320" s="9">
        <f t="shared" ref="AC320" si="412">SUM(Y320:AB320)</f>
        <v>0</v>
      </c>
      <c r="AD320" s="6"/>
      <c r="AE320" s="7"/>
      <c r="AF320" s="7">
        <v>3</v>
      </c>
      <c r="AG320" s="7"/>
      <c r="AH320" s="9">
        <f t="shared" ref="AH320" si="413">SUM(AD320:AG320)</f>
        <v>3</v>
      </c>
      <c r="AI320" s="26">
        <f t="shared" ref="AI320" si="414">X320+AC320+AH320</f>
        <v>3</v>
      </c>
      <c r="AJ320" s="64">
        <v>45821</v>
      </c>
    </row>
    <row r="321" spans="1:36" x14ac:dyDescent="0.15">
      <c r="A321" s="35"/>
      <c r="B321" s="24"/>
      <c r="C321" s="25"/>
      <c r="D321" s="25"/>
      <c r="E321" s="25"/>
      <c r="F321" s="26">
        <f t="shared" si="402"/>
        <v>0</v>
      </c>
      <c r="G321" s="24"/>
      <c r="H321" s="25"/>
      <c r="I321" s="25"/>
      <c r="J321" s="25"/>
      <c r="K321" s="26">
        <f t="shared" si="403"/>
        <v>0</v>
      </c>
      <c r="L321" s="24"/>
      <c r="M321" s="25"/>
      <c r="N321" s="25"/>
      <c r="O321" s="25"/>
      <c r="P321" s="26">
        <f t="shared" si="404"/>
        <v>0</v>
      </c>
      <c r="Q321" s="26">
        <f t="shared" si="380"/>
        <v>0</v>
      </c>
      <c r="R321" s="55"/>
      <c r="S321" s="31" t="s">
        <v>185</v>
      </c>
      <c r="T321" s="6"/>
      <c r="U321" s="7"/>
      <c r="V321" s="7"/>
      <c r="W321" s="7"/>
      <c r="X321" s="9">
        <f t="shared" si="405"/>
        <v>0</v>
      </c>
      <c r="Y321" s="6"/>
      <c r="Z321" s="7">
        <v>5</v>
      </c>
      <c r="AA321" s="7"/>
      <c r="AB321" s="7"/>
      <c r="AC321" s="9">
        <f t="shared" si="406"/>
        <v>5</v>
      </c>
      <c r="AD321" s="6"/>
      <c r="AE321" s="7"/>
      <c r="AF321" s="7"/>
      <c r="AG321" s="7"/>
      <c r="AH321" s="9">
        <f t="shared" si="407"/>
        <v>0</v>
      </c>
      <c r="AI321" s="26">
        <f t="shared" si="408"/>
        <v>5</v>
      </c>
      <c r="AJ321" s="64">
        <v>45827</v>
      </c>
    </row>
    <row r="322" spans="1:36" x14ac:dyDescent="0.15">
      <c r="A322" s="35"/>
      <c r="B322" s="24"/>
      <c r="C322" s="25"/>
      <c r="D322" s="25"/>
      <c r="E322" s="25"/>
      <c r="F322" s="26">
        <f t="shared" si="402"/>
        <v>0</v>
      </c>
      <c r="G322" s="24"/>
      <c r="H322" s="25"/>
      <c r="I322" s="25"/>
      <c r="J322" s="25"/>
      <c r="K322" s="26">
        <f t="shared" si="403"/>
        <v>0</v>
      </c>
      <c r="L322" s="24"/>
      <c r="M322" s="25"/>
      <c r="N322" s="25"/>
      <c r="O322" s="25"/>
      <c r="P322" s="26">
        <f t="shared" si="404"/>
        <v>0</v>
      </c>
      <c r="Q322" s="26">
        <f t="shared" si="380"/>
        <v>0</v>
      </c>
      <c r="R322" s="55"/>
      <c r="S322" s="31" t="s">
        <v>186</v>
      </c>
      <c r="T322" s="6"/>
      <c r="U322" s="7"/>
      <c r="V322" s="7"/>
      <c r="W322" s="7">
        <v>2</v>
      </c>
      <c r="X322" s="9">
        <f t="shared" si="405"/>
        <v>2</v>
      </c>
      <c r="Y322" s="6"/>
      <c r="Z322" s="7"/>
      <c r="AA322" s="7"/>
      <c r="AB322" s="7"/>
      <c r="AC322" s="9">
        <f t="shared" si="406"/>
        <v>0</v>
      </c>
      <c r="AD322" s="6"/>
      <c r="AE322" s="7"/>
      <c r="AF322" s="7"/>
      <c r="AG322" s="7"/>
      <c r="AH322" s="9">
        <f t="shared" si="407"/>
        <v>0</v>
      </c>
      <c r="AI322" s="26">
        <f t="shared" si="408"/>
        <v>2</v>
      </c>
      <c r="AJ322" s="64">
        <v>45832</v>
      </c>
    </row>
    <row r="323" spans="1:36" x14ac:dyDescent="0.15">
      <c r="A323" s="35"/>
      <c r="B323" s="24"/>
      <c r="C323" s="25"/>
      <c r="D323" s="25"/>
      <c r="E323" s="25"/>
      <c r="F323" s="26">
        <f t="shared" si="402"/>
        <v>0</v>
      </c>
      <c r="G323" s="24"/>
      <c r="H323" s="25"/>
      <c r="I323" s="25"/>
      <c r="J323" s="25"/>
      <c r="K323" s="26">
        <f t="shared" si="403"/>
        <v>0</v>
      </c>
      <c r="L323" s="24"/>
      <c r="M323" s="25"/>
      <c r="N323" s="25"/>
      <c r="O323" s="25"/>
      <c r="P323" s="26">
        <f t="shared" si="404"/>
        <v>0</v>
      </c>
      <c r="Q323" s="26">
        <f t="shared" si="380"/>
        <v>0</v>
      </c>
      <c r="R323" s="55"/>
      <c r="S323" s="31" t="s">
        <v>187</v>
      </c>
      <c r="T323" s="6"/>
      <c r="U323" s="7"/>
      <c r="V323" s="7"/>
      <c r="W323" s="7"/>
      <c r="X323" s="9">
        <f t="shared" si="405"/>
        <v>0</v>
      </c>
      <c r="Y323" s="6"/>
      <c r="Z323" s="7">
        <v>3</v>
      </c>
      <c r="AA323" s="7"/>
      <c r="AB323" s="7"/>
      <c r="AC323" s="9">
        <f t="shared" si="406"/>
        <v>3</v>
      </c>
      <c r="AD323" s="6"/>
      <c r="AE323" s="7"/>
      <c r="AF323" s="7"/>
      <c r="AG323" s="7"/>
      <c r="AH323" s="9">
        <f t="shared" si="407"/>
        <v>0</v>
      </c>
      <c r="AI323" s="26">
        <f t="shared" si="408"/>
        <v>3</v>
      </c>
      <c r="AJ323" s="64">
        <v>45832</v>
      </c>
    </row>
    <row r="324" spans="1:36" x14ac:dyDescent="0.15">
      <c r="A324" s="35"/>
      <c r="B324" s="24"/>
      <c r="C324" s="25"/>
      <c r="D324" s="25"/>
      <c r="E324" s="25"/>
      <c r="F324" s="26">
        <f t="shared" si="402"/>
        <v>0</v>
      </c>
      <c r="G324" s="24"/>
      <c r="H324" s="25"/>
      <c r="I324" s="25"/>
      <c r="J324" s="25"/>
      <c r="K324" s="26">
        <f t="shared" si="403"/>
        <v>0</v>
      </c>
      <c r="L324" s="24"/>
      <c r="M324" s="25"/>
      <c r="N324" s="25"/>
      <c r="O324" s="25"/>
      <c r="P324" s="26">
        <f t="shared" si="404"/>
        <v>0</v>
      </c>
      <c r="Q324" s="26">
        <f t="shared" si="380"/>
        <v>0</v>
      </c>
      <c r="R324" s="55"/>
      <c r="S324" s="31" t="s">
        <v>188</v>
      </c>
      <c r="T324" s="6"/>
      <c r="U324" s="7"/>
      <c r="V324" s="7"/>
      <c r="W324" s="7"/>
      <c r="X324" s="9">
        <f t="shared" si="405"/>
        <v>0</v>
      </c>
      <c r="Y324" s="6"/>
      <c r="Z324" s="7">
        <v>2</v>
      </c>
      <c r="AA324" s="7"/>
      <c r="AB324" s="7"/>
      <c r="AC324" s="9">
        <f t="shared" si="406"/>
        <v>2</v>
      </c>
      <c r="AD324" s="6"/>
      <c r="AE324" s="7"/>
      <c r="AF324" s="7"/>
      <c r="AG324" s="7"/>
      <c r="AH324" s="9">
        <f t="shared" si="407"/>
        <v>0</v>
      </c>
      <c r="AI324" s="26">
        <f t="shared" si="408"/>
        <v>2</v>
      </c>
      <c r="AJ324" s="64">
        <v>45832</v>
      </c>
    </row>
    <row r="325" spans="1:36" x14ac:dyDescent="0.15">
      <c r="A325" s="35"/>
      <c r="B325" s="24"/>
      <c r="C325" s="25"/>
      <c r="D325" s="25"/>
      <c r="E325" s="25"/>
      <c r="F325" s="26">
        <f t="shared" si="402"/>
        <v>0</v>
      </c>
      <c r="G325" s="24"/>
      <c r="H325" s="25"/>
      <c r="I325" s="25"/>
      <c r="J325" s="25"/>
      <c r="K325" s="26">
        <f t="shared" si="403"/>
        <v>0</v>
      </c>
      <c r="L325" s="24"/>
      <c r="M325" s="25"/>
      <c r="N325" s="25"/>
      <c r="O325" s="25"/>
      <c r="P325" s="26">
        <f t="shared" si="404"/>
        <v>0</v>
      </c>
      <c r="Q325" s="26">
        <f t="shared" si="380"/>
        <v>0</v>
      </c>
      <c r="R325" s="55"/>
      <c r="S325" s="31" t="s">
        <v>189</v>
      </c>
      <c r="T325" s="6"/>
      <c r="U325" s="7"/>
      <c r="V325" s="7"/>
      <c r="W325" s="7">
        <v>2</v>
      </c>
      <c r="X325" s="9">
        <f t="shared" ref="X325" si="415">SUM(T325:W325)</f>
        <v>2</v>
      </c>
      <c r="Y325" s="6"/>
      <c r="Z325" s="7"/>
      <c r="AA325" s="7"/>
      <c r="AB325" s="7"/>
      <c r="AC325" s="9">
        <f t="shared" ref="AC325" si="416">SUM(Y325:AB325)</f>
        <v>0</v>
      </c>
      <c r="AD325" s="6"/>
      <c r="AE325" s="7"/>
      <c r="AF325" s="7"/>
      <c r="AG325" s="7"/>
      <c r="AH325" s="9">
        <f t="shared" ref="AH325" si="417">SUM(AD325:AG325)</f>
        <v>0</v>
      </c>
      <c r="AI325" s="26">
        <f t="shared" ref="AI325" si="418">X325+AC325+AH325</f>
        <v>2</v>
      </c>
      <c r="AJ325" s="64">
        <v>45838</v>
      </c>
    </row>
    <row r="326" spans="1:36" x14ac:dyDescent="0.15">
      <c r="A326" s="35"/>
      <c r="B326" s="6"/>
      <c r="C326" s="7"/>
      <c r="D326" s="7"/>
      <c r="E326" s="7"/>
      <c r="F326" s="9">
        <f t="shared" si="402"/>
        <v>0</v>
      </c>
      <c r="G326" s="6"/>
      <c r="H326" s="7"/>
      <c r="I326" s="7"/>
      <c r="J326" s="7"/>
      <c r="K326" s="9">
        <f t="shared" si="403"/>
        <v>0</v>
      </c>
      <c r="L326" s="6"/>
      <c r="M326" s="7"/>
      <c r="N326" s="7"/>
      <c r="O326" s="7"/>
      <c r="P326" s="9">
        <f t="shared" si="404"/>
        <v>0</v>
      </c>
      <c r="Q326" s="26">
        <f t="shared" si="380"/>
        <v>0</v>
      </c>
      <c r="R326" s="55"/>
      <c r="S326" s="31" t="s">
        <v>190</v>
      </c>
      <c r="T326" s="6"/>
      <c r="U326" s="7"/>
      <c r="V326" s="7"/>
      <c r="W326" s="7"/>
      <c r="X326" s="9">
        <f t="shared" ref="X326" si="419">SUM(T326:W326)</f>
        <v>0</v>
      </c>
      <c r="Y326" s="6"/>
      <c r="Z326" s="7"/>
      <c r="AA326" s="7"/>
      <c r="AB326" s="7">
        <v>2</v>
      </c>
      <c r="AC326" s="9">
        <f t="shared" ref="AC326" si="420">SUM(Y326:AB326)</f>
        <v>2</v>
      </c>
      <c r="AD326" s="6"/>
      <c r="AE326" s="7"/>
      <c r="AF326" s="7"/>
      <c r="AG326" s="7"/>
      <c r="AH326" s="9">
        <f t="shared" ref="AH326" si="421">SUM(AD326:AG326)</f>
        <v>0</v>
      </c>
      <c r="AI326" s="26">
        <f t="shared" ref="AI326" si="422">X326+AC326+AH326</f>
        <v>2</v>
      </c>
      <c r="AJ326" s="64">
        <v>45840</v>
      </c>
    </row>
    <row r="327" spans="1:36" x14ac:dyDescent="0.15">
      <c r="A327" s="35"/>
      <c r="B327" s="24"/>
      <c r="C327" s="25"/>
      <c r="D327" s="25"/>
      <c r="E327" s="25"/>
      <c r="F327" s="26">
        <f t="shared" si="402"/>
        <v>0</v>
      </c>
      <c r="G327" s="24"/>
      <c r="H327" s="25"/>
      <c r="I327" s="25"/>
      <c r="J327" s="25"/>
      <c r="K327" s="26">
        <f t="shared" si="403"/>
        <v>0</v>
      </c>
      <c r="L327" s="24"/>
      <c r="M327" s="25"/>
      <c r="N327" s="25"/>
      <c r="O327" s="25"/>
      <c r="P327" s="26">
        <f t="shared" si="404"/>
        <v>0</v>
      </c>
      <c r="Q327" s="26">
        <f t="shared" si="380"/>
        <v>0</v>
      </c>
      <c r="R327" s="55"/>
      <c r="S327" s="31"/>
      <c r="T327" s="6"/>
      <c r="U327" s="7"/>
      <c r="V327" s="7"/>
      <c r="W327" s="7"/>
      <c r="X327" s="9">
        <f t="shared" ref="X327" si="423">SUM(T327:W327)</f>
        <v>0</v>
      </c>
      <c r="Y327" s="6"/>
      <c r="Z327" s="7"/>
      <c r="AA327" s="7"/>
      <c r="AB327" s="7"/>
      <c r="AC327" s="9">
        <f t="shared" ref="AC327" si="424">SUM(Y327:AB327)</f>
        <v>0</v>
      </c>
      <c r="AD327" s="6"/>
      <c r="AE327" s="7"/>
      <c r="AF327" s="7"/>
      <c r="AG327" s="7"/>
      <c r="AH327" s="9">
        <f t="shared" ref="AH327" si="425">SUM(AD327:AG327)</f>
        <v>0</v>
      </c>
      <c r="AI327" s="26">
        <f t="shared" ref="AI327" si="426">X327+AC327+AH327</f>
        <v>0</v>
      </c>
      <c r="AJ327" s="53"/>
    </row>
    <row r="328" spans="1:36" x14ac:dyDescent="0.15">
      <c r="A328" s="35"/>
      <c r="B328" s="27"/>
      <c r="C328" s="28"/>
      <c r="D328" s="28"/>
      <c r="E328" s="28"/>
      <c r="F328" s="26">
        <f t="shared" si="402"/>
        <v>0</v>
      </c>
      <c r="G328" s="27"/>
      <c r="H328" s="28"/>
      <c r="I328" s="28"/>
      <c r="J328" s="28"/>
      <c r="K328" s="26">
        <f t="shared" si="403"/>
        <v>0</v>
      </c>
      <c r="L328" s="27"/>
      <c r="M328" s="28"/>
      <c r="N328" s="28"/>
      <c r="O328" s="28"/>
      <c r="P328" s="26">
        <f t="shared" si="404"/>
        <v>0</v>
      </c>
      <c r="Q328" s="26">
        <f t="shared" si="380"/>
        <v>0</v>
      </c>
      <c r="R328" s="55"/>
      <c r="S328" s="31" t="s">
        <v>116</v>
      </c>
      <c r="T328" s="6"/>
      <c r="U328" s="7"/>
      <c r="V328" s="7"/>
      <c r="W328" s="7"/>
      <c r="X328" s="9">
        <f t="shared" ref="X328:X332" si="427">SUM(T328:W328)</f>
        <v>0</v>
      </c>
      <c r="Y328" s="6"/>
      <c r="Z328" s="7"/>
      <c r="AA328" s="7"/>
      <c r="AB328" s="7"/>
      <c r="AC328" s="9">
        <f t="shared" ref="AC328:AC332" si="428">SUM(Y328:AB328)</f>
        <v>0</v>
      </c>
      <c r="AD328" s="70"/>
      <c r="AE328" s="76"/>
      <c r="AF328" s="76"/>
      <c r="AG328" s="76"/>
      <c r="AH328" s="71">
        <f t="shared" ref="AH328:AH332" si="429">SUM(AD328:AG328)</f>
        <v>0</v>
      </c>
      <c r="AI328" s="72">
        <f t="shared" ref="AI328:AI332" si="430">X328+AC328+AH328</f>
        <v>0</v>
      </c>
      <c r="AJ328" s="53"/>
    </row>
    <row r="329" spans="1:36" x14ac:dyDescent="0.15">
      <c r="A329" s="35"/>
      <c r="B329" s="24"/>
      <c r="C329" s="25"/>
      <c r="D329" s="25"/>
      <c r="E329" s="25"/>
      <c r="F329" s="26">
        <f t="shared" si="402"/>
        <v>0</v>
      </c>
      <c r="G329" s="24"/>
      <c r="H329" s="25"/>
      <c r="I329" s="25"/>
      <c r="J329" s="25"/>
      <c r="K329" s="26">
        <f t="shared" si="403"/>
        <v>0</v>
      </c>
      <c r="L329" s="24"/>
      <c r="M329" s="25"/>
      <c r="N329" s="25"/>
      <c r="O329" s="25"/>
      <c r="P329" s="26">
        <f t="shared" si="404"/>
        <v>0</v>
      </c>
      <c r="Q329" s="26">
        <f t="shared" si="380"/>
        <v>0</v>
      </c>
      <c r="R329" s="55"/>
      <c r="S329" s="92" t="s">
        <v>138</v>
      </c>
      <c r="T329" s="93"/>
      <c r="U329" s="94"/>
      <c r="V329" s="94"/>
      <c r="W329" s="94"/>
      <c r="X329" s="95">
        <f t="shared" si="427"/>
        <v>0</v>
      </c>
      <c r="Y329" s="93"/>
      <c r="Z329" s="94"/>
      <c r="AA329" s="94"/>
      <c r="AB329" s="94"/>
      <c r="AC329" s="95">
        <f t="shared" si="428"/>
        <v>0</v>
      </c>
      <c r="AD329" s="93"/>
      <c r="AE329" s="94"/>
      <c r="AF329" s="94"/>
      <c r="AG329" s="94"/>
      <c r="AH329" s="95">
        <f t="shared" si="429"/>
        <v>0</v>
      </c>
      <c r="AI329" s="96">
        <f t="shared" si="430"/>
        <v>0</v>
      </c>
      <c r="AJ329" s="50"/>
    </row>
    <row r="330" spans="1:36" x14ac:dyDescent="0.15">
      <c r="A330" s="35"/>
      <c r="B330" s="24"/>
      <c r="C330" s="25"/>
      <c r="D330" s="25"/>
      <c r="E330" s="25"/>
      <c r="F330" s="26">
        <f t="shared" si="402"/>
        <v>0</v>
      </c>
      <c r="G330" s="24"/>
      <c r="H330" s="25"/>
      <c r="I330" s="25"/>
      <c r="J330" s="25"/>
      <c r="K330" s="26">
        <f t="shared" si="403"/>
        <v>0</v>
      </c>
      <c r="L330" s="24"/>
      <c r="M330" s="25"/>
      <c r="N330" s="25"/>
      <c r="O330" s="25"/>
      <c r="P330" s="26">
        <f t="shared" si="404"/>
        <v>0</v>
      </c>
      <c r="Q330" s="26">
        <f t="shared" si="380"/>
        <v>0</v>
      </c>
      <c r="R330" s="55"/>
      <c r="S330" s="31" t="s">
        <v>137</v>
      </c>
      <c r="T330" s="6"/>
      <c r="U330" s="7"/>
      <c r="V330" s="7"/>
      <c r="W330" s="7"/>
      <c r="X330" s="9">
        <f t="shared" si="427"/>
        <v>0</v>
      </c>
      <c r="Y330" s="6"/>
      <c r="Z330" s="7"/>
      <c r="AA330" s="7"/>
      <c r="AB330" s="7"/>
      <c r="AC330" s="9">
        <f t="shared" si="428"/>
        <v>0</v>
      </c>
      <c r="AD330" s="6"/>
      <c r="AE330" s="7"/>
      <c r="AF330" s="7"/>
      <c r="AG330" s="7"/>
      <c r="AH330" s="9">
        <f t="shared" si="429"/>
        <v>0</v>
      </c>
      <c r="AI330" s="26">
        <f t="shared" si="430"/>
        <v>0</v>
      </c>
      <c r="AJ330" s="50" t="s">
        <v>126</v>
      </c>
    </row>
    <row r="331" spans="1:36" x14ac:dyDescent="0.15">
      <c r="A331" s="56"/>
      <c r="B331" s="24"/>
      <c r="C331" s="25"/>
      <c r="D331" s="25"/>
      <c r="E331" s="25"/>
      <c r="F331" s="26">
        <f t="shared" si="402"/>
        <v>0</v>
      </c>
      <c r="G331" s="24"/>
      <c r="H331" s="25"/>
      <c r="I331" s="25"/>
      <c r="J331" s="25"/>
      <c r="K331" s="26">
        <f t="shared" si="403"/>
        <v>0</v>
      </c>
      <c r="L331" s="24"/>
      <c r="M331" s="25"/>
      <c r="N331" s="25"/>
      <c r="O331" s="25"/>
      <c r="P331" s="26">
        <f t="shared" si="404"/>
        <v>0</v>
      </c>
      <c r="Q331" s="26">
        <f t="shared" si="380"/>
        <v>0</v>
      </c>
      <c r="R331" s="55"/>
      <c r="S331" s="82" t="s">
        <v>139</v>
      </c>
      <c r="T331" s="83">
        <v>0</v>
      </c>
      <c r="U331" s="84">
        <v>0</v>
      </c>
      <c r="V331" s="84">
        <v>0</v>
      </c>
      <c r="W331" s="84">
        <v>0</v>
      </c>
      <c r="X331" s="85">
        <f t="shared" si="427"/>
        <v>0</v>
      </c>
      <c r="Y331" s="83">
        <v>0</v>
      </c>
      <c r="Z331" s="84">
        <v>0</v>
      </c>
      <c r="AA331" s="84">
        <v>0</v>
      </c>
      <c r="AB331" s="84">
        <v>0</v>
      </c>
      <c r="AC331" s="85">
        <f t="shared" si="428"/>
        <v>0</v>
      </c>
      <c r="AD331" s="83">
        <v>0</v>
      </c>
      <c r="AE331" s="84">
        <v>0</v>
      </c>
      <c r="AF331" s="84">
        <v>0</v>
      </c>
      <c r="AG331" s="84">
        <v>0</v>
      </c>
      <c r="AH331" s="85">
        <f t="shared" si="429"/>
        <v>0</v>
      </c>
      <c r="AI331" s="86">
        <f t="shared" si="430"/>
        <v>0</v>
      </c>
    </row>
    <row r="332" spans="1:36" ht="14.25" thickBot="1" x14ac:dyDescent="0.2">
      <c r="A332" s="57"/>
      <c r="B332" s="10"/>
      <c r="C332" s="11"/>
      <c r="D332" s="11"/>
      <c r="E332" s="11"/>
      <c r="F332" s="9">
        <f t="shared" si="402"/>
        <v>0</v>
      </c>
      <c r="G332" s="10"/>
      <c r="H332" s="11"/>
      <c r="I332" s="11"/>
      <c r="J332" s="11"/>
      <c r="K332" s="9">
        <f t="shared" si="403"/>
        <v>0</v>
      </c>
      <c r="L332" s="10"/>
      <c r="M332" s="11"/>
      <c r="N332" s="11"/>
      <c r="O332" s="11"/>
      <c r="P332" s="9">
        <f t="shared" si="404"/>
        <v>0</v>
      </c>
      <c r="Q332" s="43">
        <f t="shared" si="380"/>
        <v>0</v>
      </c>
      <c r="R332" s="55"/>
      <c r="S332" s="78" t="s">
        <v>140</v>
      </c>
      <c r="T332" s="79">
        <f>10-3</f>
        <v>7</v>
      </c>
      <c r="U332" s="80">
        <v>10</v>
      </c>
      <c r="V332" s="80">
        <f>10-2</f>
        <v>8</v>
      </c>
      <c r="W332" s="80">
        <f>10-2</f>
        <v>8</v>
      </c>
      <c r="X332" s="81">
        <f t="shared" si="427"/>
        <v>33</v>
      </c>
      <c r="Y332" s="79">
        <f>10-3-2-2</f>
        <v>3</v>
      </c>
      <c r="Z332" s="80">
        <f>10-5-3-2</f>
        <v>0</v>
      </c>
      <c r="AA332" s="80">
        <f>10-4</f>
        <v>6</v>
      </c>
      <c r="AB332" s="80">
        <f>10-4</f>
        <v>6</v>
      </c>
      <c r="AC332" s="81">
        <f t="shared" si="428"/>
        <v>15</v>
      </c>
      <c r="AD332" s="79">
        <f>10-2</f>
        <v>8</v>
      </c>
      <c r="AE332" s="80">
        <v>15</v>
      </c>
      <c r="AF332" s="80">
        <f>10-1-3</f>
        <v>6</v>
      </c>
      <c r="AG332" s="80">
        <f>11-1-4</f>
        <v>6</v>
      </c>
      <c r="AH332" s="81">
        <f t="shared" si="429"/>
        <v>35</v>
      </c>
      <c r="AI332" s="62">
        <f t="shared" si="430"/>
        <v>83</v>
      </c>
      <c r="AJ332" s="66" t="s">
        <v>141</v>
      </c>
    </row>
    <row r="333" spans="1:36" ht="15" thickBot="1" x14ac:dyDescent="0.2">
      <c r="A333" s="5" t="s">
        <v>14</v>
      </c>
      <c r="B333" s="12">
        <f>SUM(B307:B332)</f>
        <v>0</v>
      </c>
      <c r="C333" s="13">
        <f t="shared" ref="C333:P333" si="431">SUM(C307:C332)</f>
        <v>1</v>
      </c>
      <c r="D333" s="13">
        <f t="shared" si="431"/>
        <v>3</v>
      </c>
      <c r="E333" s="14">
        <f t="shared" si="431"/>
        <v>2</v>
      </c>
      <c r="F333" s="8">
        <f t="shared" si="431"/>
        <v>6</v>
      </c>
      <c r="G333" s="12">
        <f t="shared" si="431"/>
        <v>4</v>
      </c>
      <c r="H333" s="13">
        <f t="shared" si="431"/>
        <v>2</v>
      </c>
      <c r="I333" s="13">
        <f t="shared" si="431"/>
        <v>5</v>
      </c>
      <c r="J333" s="14">
        <f t="shared" si="431"/>
        <v>7</v>
      </c>
      <c r="K333" s="8">
        <f t="shared" si="431"/>
        <v>18</v>
      </c>
      <c r="L333" s="12">
        <f t="shared" si="431"/>
        <v>0</v>
      </c>
      <c r="M333" s="13">
        <f t="shared" si="431"/>
        <v>0</v>
      </c>
      <c r="N333" s="13">
        <f t="shared" si="431"/>
        <v>1</v>
      </c>
      <c r="O333" s="14">
        <f t="shared" si="431"/>
        <v>0</v>
      </c>
      <c r="P333" s="8">
        <f t="shared" si="431"/>
        <v>1</v>
      </c>
      <c r="Q333" s="34">
        <f t="shared" si="380"/>
        <v>25</v>
      </c>
      <c r="R333" s="54"/>
      <c r="S333" s="5" t="s">
        <v>14</v>
      </c>
      <c r="T333" s="12">
        <f>SUM(T307:T332)</f>
        <v>7</v>
      </c>
      <c r="U333" s="13">
        <f t="shared" ref="U333" si="432">SUM(U307:U332)</f>
        <v>10</v>
      </c>
      <c r="V333" s="13">
        <f t="shared" ref="V333" si="433">SUM(V307:V332)</f>
        <v>13</v>
      </c>
      <c r="W333" s="14">
        <f t="shared" ref="W333" si="434">SUM(W307:W332)</f>
        <v>12</v>
      </c>
      <c r="X333" s="8">
        <f>SUM(X307:X332)</f>
        <v>42</v>
      </c>
      <c r="Y333" s="12">
        <f>SUM(Y307:Y332)</f>
        <v>5</v>
      </c>
      <c r="Z333" s="13">
        <f t="shared" ref="Z333" si="435">SUM(Z307:Z332)</f>
        <v>17</v>
      </c>
      <c r="AA333" s="13">
        <f t="shared" ref="AA333" si="436">SUM(AA307:AA332)</f>
        <v>17</v>
      </c>
      <c r="AB333" s="14">
        <f t="shared" ref="AB333" si="437">SUM(AB307:AB332)</f>
        <v>16</v>
      </c>
      <c r="AC333" s="8">
        <f>SUM(AC307:AC332)</f>
        <v>55</v>
      </c>
      <c r="AD333" s="12">
        <f>SUM(AD307:AD332)</f>
        <v>18</v>
      </c>
      <c r="AE333" s="13">
        <f t="shared" ref="AE333" si="438">SUM(AE307:AE332)</f>
        <v>15</v>
      </c>
      <c r="AF333" s="13">
        <f t="shared" ref="AF333" si="439">SUM(AF307:AF332)</f>
        <v>14</v>
      </c>
      <c r="AG333" s="14">
        <f t="shared" ref="AG333" si="440">SUM(AG307:AG332)</f>
        <v>17</v>
      </c>
      <c r="AH333" s="8">
        <f>SUM(AH307:AH332)</f>
        <v>64</v>
      </c>
      <c r="AI333" s="34">
        <f>X333+AC333+AH333</f>
        <v>161</v>
      </c>
    </row>
    <row r="334" spans="1:36" ht="14.25" thickBot="1" x14ac:dyDescent="0.2">
      <c r="A334" s="15" t="s">
        <v>15</v>
      </c>
      <c r="B334" s="16">
        <f>B306-B333</f>
        <v>4</v>
      </c>
      <c r="C334" s="17">
        <f>C306-C333</f>
        <v>4</v>
      </c>
      <c r="D334" s="17">
        <f t="shared" ref="D334:P334" si="441">D306-D333</f>
        <v>5</v>
      </c>
      <c r="E334" s="18">
        <f t="shared" si="441"/>
        <v>5</v>
      </c>
      <c r="F334" s="44">
        <f t="shared" si="441"/>
        <v>18</v>
      </c>
      <c r="G334" s="16">
        <f t="shared" si="441"/>
        <v>6</v>
      </c>
      <c r="H334" s="17">
        <f t="shared" si="441"/>
        <v>4</v>
      </c>
      <c r="I334" s="17">
        <f t="shared" si="441"/>
        <v>5</v>
      </c>
      <c r="J334" s="18">
        <f t="shared" si="441"/>
        <v>4</v>
      </c>
      <c r="K334" s="44">
        <f t="shared" si="441"/>
        <v>19</v>
      </c>
      <c r="L334" s="16">
        <f t="shared" si="441"/>
        <v>0</v>
      </c>
      <c r="M334" s="17">
        <f t="shared" si="441"/>
        <v>1</v>
      </c>
      <c r="N334" s="17">
        <f t="shared" si="441"/>
        <v>0</v>
      </c>
      <c r="O334" s="18">
        <f t="shared" si="441"/>
        <v>2</v>
      </c>
      <c r="P334" s="44">
        <f t="shared" si="441"/>
        <v>3</v>
      </c>
      <c r="Q334" s="34">
        <f t="shared" si="380"/>
        <v>40</v>
      </c>
      <c r="R334" s="54"/>
      <c r="S334" s="15" t="s">
        <v>15</v>
      </c>
      <c r="T334" s="16">
        <f>T306-T333</f>
        <v>106</v>
      </c>
      <c r="U334" s="17">
        <f t="shared" ref="U334" si="442">U306-U333</f>
        <v>111</v>
      </c>
      <c r="V334" s="17">
        <f t="shared" ref="V334" si="443">V306-V333</f>
        <v>66</v>
      </c>
      <c r="W334" s="18">
        <f t="shared" ref="W334" si="444">W306-W333</f>
        <v>39</v>
      </c>
      <c r="X334" s="44">
        <f>X306-X333</f>
        <v>322</v>
      </c>
      <c r="Y334" s="16">
        <f>Y306-Y333</f>
        <v>125</v>
      </c>
      <c r="Z334" s="17">
        <f t="shared" ref="Z334" si="445">Z306-Z333</f>
        <v>156</v>
      </c>
      <c r="AA334" s="17">
        <f t="shared" ref="AA334" si="446">AA306-AA333</f>
        <v>125</v>
      </c>
      <c r="AB334" s="18">
        <f t="shared" ref="AB334" si="447">AB306-AB333</f>
        <v>103</v>
      </c>
      <c r="AC334" s="44">
        <f>AC306-AC333</f>
        <v>509</v>
      </c>
      <c r="AD334" s="16">
        <f>AD306-AD333</f>
        <v>123</v>
      </c>
      <c r="AE334" s="17">
        <f t="shared" ref="AE334" si="448">AE306-AE333</f>
        <v>195</v>
      </c>
      <c r="AF334" s="17">
        <f t="shared" ref="AF334" si="449">AF306-AF333</f>
        <v>128</v>
      </c>
      <c r="AG334" s="18">
        <f t="shared" ref="AG334" si="450">AG306-AG333</f>
        <v>127</v>
      </c>
      <c r="AH334" s="44">
        <f>AH306-AH333</f>
        <v>573</v>
      </c>
      <c r="AI334" s="34">
        <f>X334+AC334+AH334</f>
        <v>1404</v>
      </c>
    </row>
    <row r="337" spans="1:36" ht="19.5" thickBot="1" x14ac:dyDescent="0.25">
      <c r="A337" s="58" t="s">
        <v>1</v>
      </c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4"/>
      <c r="S337" s="58" t="s">
        <v>8</v>
      </c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75"/>
      <c r="AF337" s="75"/>
      <c r="AG337" s="75"/>
      <c r="AH337" s="59"/>
      <c r="AI337" s="59"/>
    </row>
    <row r="338" spans="1:36" ht="14.25" thickBot="1" x14ac:dyDescent="0.2">
      <c r="A338" s="52" t="s">
        <v>9</v>
      </c>
      <c r="B338" s="130" t="s">
        <v>10</v>
      </c>
      <c r="C338" s="131"/>
      <c r="D338" s="131"/>
      <c r="E338" s="131"/>
      <c r="F338" s="132"/>
      <c r="G338" s="133" t="s">
        <v>11</v>
      </c>
      <c r="H338" s="134"/>
      <c r="I338" s="134"/>
      <c r="J338" s="134"/>
      <c r="K338" s="135"/>
      <c r="L338" s="136" t="s">
        <v>131</v>
      </c>
      <c r="M338" s="137"/>
      <c r="N338" s="137"/>
      <c r="O338" s="137"/>
      <c r="P338" s="138"/>
      <c r="Q338" s="139" t="s">
        <v>7</v>
      </c>
      <c r="R338" s="54"/>
      <c r="S338" s="52" t="s">
        <v>9</v>
      </c>
      <c r="T338" s="130" t="s">
        <v>10</v>
      </c>
      <c r="U338" s="131"/>
      <c r="V338" s="131"/>
      <c r="W338" s="131"/>
      <c r="X338" s="132"/>
      <c r="Y338" s="133" t="s">
        <v>11</v>
      </c>
      <c r="Z338" s="134"/>
      <c r="AA338" s="134"/>
      <c r="AB338" s="134"/>
      <c r="AC338" s="135"/>
      <c r="AD338" s="136" t="s">
        <v>131</v>
      </c>
      <c r="AE338" s="137"/>
      <c r="AF338" s="137"/>
      <c r="AG338" s="137"/>
      <c r="AH338" s="138"/>
      <c r="AI338" s="139" t="s">
        <v>7</v>
      </c>
    </row>
    <row r="339" spans="1:36" ht="14.25" thickBot="1" x14ac:dyDescent="0.2">
      <c r="A339" s="52" t="s">
        <v>2</v>
      </c>
      <c r="B339" s="2" t="s">
        <v>3</v>
      </c>
      <c r="C339" s="3" t="s">
        <v>4</v>
      </c>
      <c r="D339" s="3" t="s">
        <v>5</v>
      </c>
      <c r="E339" s="4" t="s">
        <v>6</v>
      </c>
      <c r="F339" s="1" t="s">
        <v>0</v>
      </c>
      <c r="G339" s="2" t="s">
        <v>3</v>
      </c>
      <c r="H339" s="3" t="s">
        <v>4</v>
      </c>
      <c r="I339" s="3" t="s">
        <v>5</v>
      </c>
      <c r="J339" s="4" t="s">
        <v>6</v>
      </c>
      <c r="K339" s="1" t="s">
        <v>0</v>
      </c>
      <c r="L339" s="2" t="s">
        <v>3</v>
      </c>
      <c r="M339" s="3" t="s">
        <v>4</v>
      </c>
      <c r="N339" s="3" t="s">
        <v>5</v>
      </c>
      <c r="O339" s="4" t="s">
        <v>6</v>
      </c>
      <c r="P339" s="1" t="s">
        <v>0</v>
      </c>
      <c r="Q339" s="140"/>
      <c r="R339" s="54"/>
      <c r="S339" s="52" t="s">
        <v>2</v>
      </c>
      <c r="T339" s="2" t="s">
        <v>3</v>
      </c>
      <c r="U339" s="3" t="s">
        <v>4</v>
      </c>
      <c r="V339" s="3" t="s">
        <v>5</v>
      </c>
      <c r="W339" s="4" t="s">
        <v>6</v>
      </c>
      <c r="X339" s="1" t="s">
        <v>0</v>
      </c>
      <c r="Y339" s="2" t="s">
        <v>3</v>
      </c>
      <c r="Z339" s="3" t="s">
        <v>4</v>
      </c>
      <c r="AA339" s="3" t="s">
        <v>5</v>
      </c>
      <c r="AB339" s="4" t="s">
        <v>6</v>
      </c>
      <c r="AC339" s="1" t="s">
        <v>0</v>
      </c>
      <c r="AD339" s="2" t="s">
        <v>3</v>
      </c>
      <c r="AE339" s="3" t="s">
        <v>4</v>
      </c>
      <c r="AF339" s="3" t="s">
        <v>5</v>
      </c>
      <c r="AG339" s="4" t="s">
        <v>6</v>
      </c>
      <c r="AH339" s="1" t="s">
        <v>0</v>
      </c>
      <c r="AI339" s="140"/>
    </row>
    <row r="340" spans="1:36" ht="14.25" x14ac:dyDescent="0.15">
      <c r="A340" s="45" t="s">
        <v>16</v>
      </c>
      <c r="B340" s="32">
        <f>B334</f>
        <v>4</v>
      </c>
      <c r="C340" s="32">
        <f t="shared" ref="C340:P340" si="451">C334</f>
        <v>4</v>
      </c>
      <c r="D340" s="32">
        <f t="shared" si="451"/>
        <v>5</v>
      </c>
      <c r="E340" s="38">
        <f t="shared" si="451"/>
        <v>5</v>
      </c>
      <c r="F340" s="33">
        <f t="shared" si="451"/>
        <v>18</v>
      </c>
      <c r="G340" s="32">
        <f t="shared" si="451"/>
        <v>6</v>
      </c>
      <c r="H340" s="32">
        <f t="shared" si="451"/>
        <v>4</v>
      </c>
      <c r="I340" s="32">
        <f t="shared" si="451"/>
        <v>5</v>
      </c>
      <c r="J340" s="38">
        <f t="shared" si="451"/>
        <v>4</v>
      </c>
      <c r="K340" s="33">
        <f t="shared" si="451"/>
        <v>19</v>
      </c>
      <c r="L340" s="32">
        <f t="shared" si="451"/>
        <v>0</v>
      </c>
      <c r="M340" s="32">
        <f t="shared" si="451"/>
        <v>1</v>
      </c>
      <c r="N340" s="32">
        <f t="shared" si="451"/>
        <v>0</v>
      </c>
      <c r="O340" s="38">
        <f t="shared" si="451"/>
        <v>2</v>
      </c>
      <c r="P340" s="33">
        <f t="shared" si="451"/>
        <v>3</v>
      </c>
      <c r="Q340" s="33">
        <f>F340+K340+P340</f>
        <v>40</v>
      </c>
      <c r="R340" s="54"/>
      <c r="S340" s="45" t="s">
        <v>16</v>
      </c>
      <c r="T340" s="32">
        <f>T334</f>
        <v>106</v>
      </c>
      <c r="U340" s="32">
        <f t="shared" ref="U340:AI340" si="452">U334</f>
        <v>111</v>
      </c>
      <c r="V340" s="32">
        <f t="shared" si="452"/>
        <v>66</v>
      </c>
      <c r="W340" s="38">
        <f t="shared" si="452"/>
        <v>39</v>
      </c>
      <c r="X340" s="33">
        <f t="shared" si="452"/>
        <v>322</v>
      </c>
      <c r="Y340" s="32">
        <f t="shared" si="452"/>
        <v>125</v>
      </c>
      <c r="Z340" s="32">
        <f t="shared" si="452"/>
        <v>156</v>
      </c>
      <c r="AA340" s="32">
        <f t="shared" si="452"/>
        <v>125</v>
      </c>
      <c r="AB340" s="38">
        <f t="shared" si="452"/>
        <v>103</v>
      </c>
      <c r="AC340" s="33">
        <f t="shared" si="452"/>
        <v>509</v>
      </c>
      <c r="AD340" s="32">
        <f t="shared" si="452"/>
        <v>123</v>
      </c>
      <c r="AE340" s="32">
        <f t="shared" si="452"/>
        <v>195</v>
      </c>
      <c r="AF340" s="32">
        <f t="shared" si="452"/>
        <v>128</v>
      </c>
      <c r="AG340" s="38">
        <f t="shared" si="452"/>
        <v>127</v>
      </c>
      <c r="AH340" s="33">
        <f t="shared" si="452"/>
        <v>573</v>
      </c>
      <c r="AI340" s="62">
        <f t="shared" si="452"/>
        <v>1404</v>
      </c>
    </row>
    <row r="341" spans="1:36" x14ac:dyDescent="0.15">
      <c r="A341" s="23" t="s">
        <v>34</v>
      </c>
      <c r="B341" s="24"/>
      <c r="C341" s="36"/>
      <c r="D341" s="36"/>
      <c r="E341" s="41"/>
      <c r="F341" s="26">
        <f t="shared" ref="F341:F342" si="453">SUM(B341:E341)</f>
        <v>0</v>
      </c>
      <c r="G341" s="25"/>
      <c r="H341" s="36"/>
      <c r="I341" s="36"/>
      <c r="J341" s="41"/>
      <c r="K341" s="26">
        <f t="shared" ref="K341:K342" si="454">SUM(G341:J341)</f>
        <v>0</v>
      </c>
      <c r="L341" s="25"/>
      <c r="M341" s="36">
        <v>1</v>
      </c>
      <c r="N341" s="36"/>
      <c r="O341" s="41">
        <v>1</v>
      </c>
      <c r="P341" s="26">
        <f t="shared" ref="P341:P342" si="455">SUM(L341:O341)</f>
        <v>2</v>
      </c>
      <c r="Q341" s="26">
        <f t="shared" ref="Q341:Q343" si="456">F341+K341+P341</f>
        <v>2</v>
      </c>
      <c r="R341" s="55">
        <v>45847</v>
      </c>
      <c r="S341" s="23" t="s">
        <v>17</v>
      </c>
      <c r="T341" s="25"/>
      <c r="U341" s="25"/>
      <c r="V341" s="25"/>
      <c r="W341" s="39"/>
      <c r="X341" s="22">
        <f>SUM(T341:W341)</f>
        <v>0</v>
      </c>
      <c r="Y341" s="25"/>
      <c r="Z341" s="25"/>
      <c r="AA341" s="25"/>
      <c r="AB341" s="39"/>
      <c r="AC341" s="22">
        <f t="shared" ref="AC341:AC347" si="457">SUM(Y341:AB341)</f>
        <v>0</v>
      </c>
      <c r="AD341" s="25"/>
      <c r="AE341" s="25"/>
      <c r="AF341" s="25"/>
      <c r="AG341" s="39"/>
      <c r="AH341" s="22">
        <f t="shared" ref="AH341:AH347" si="458">SUM(AD341:AG341)</f>
        <v>0</v>
      </c>
      <c r="AI341" s="26">
        <f t="shared" ref="AI341:AI374" si="459">X341+AC341+AH341</f>
        <v>0</v>
      </c>
    </row>
    <row r="342" spans="1:36" x14ac:dyDescent="0.15">
      <c r="A342" s="23" t="s">
        <v>17</v>
      </c>
      <c r="B342" s="24"/>
      <c r="C342" s="36"/>
      <c r="D342" s="36"/>
      <c r="E342" s="41"/>
      <c r="F342" s="26">
        <f t="shared" si="453"/>
        <v>0</v>
      </c>
      <c r="G342" s="25"/>
      <c r="H342" s="36">
        <v>3</v>
      </c>
      <c r="I342" s="36"/>
      <c r="J342" s="41">
        <v>3</v>
      </c>
      <c r="K342" s="26">
        <f t="shared" si="454"/>
        <v>6</v>
      </c>
      <c r="L342" s="25"/>
      <c r="M342" s="36"/>
      <c r="N342" s="36"/>
      <c r="O342" s="41"/>
      <c r="P342" s="26">
        <f t="shared" si="455"/>
        <v>0</v>
      </c>
      <c r="Q342" s="26">
        <f t="shared" si="456"/>
        <v>6</v>
      </c>
      <c r="R342" s="55">
        <v>45853</v>
      </c>
      <c r="S342" s="23" t="s">
        <v>17</v>
      </c>
      <c r="T342" s="25"/>
      <c r="U342" s="25"/>
      <c r="V342" s="25"/>
      <c r="W342" s="39"/>
      <c r="X342" s="22">
        <f t="shared" ref="X342:X347" si="460">SUM(T342:W342)</f>
        <v>0</v>
      </c>
      <c r="Y342" s="25"/>
      <c r="Z342" s="25"/>
      <c r="AA342" s="25"/>
      <c r="AB342" s="39"/>
      <c r="AC342" s="22">
        <f t="shared" si="457"/>
        <v>0</v>
      </c>
      <c r="AD342" s="25"/>
      <c r="AE342" s="25"/>
      <c r="AF342" s="25"/>
      <c r="AG342" s="39"/>
      <c r="AH342" s="22">
        <f t="shared" si="458"/>
        <v>0</v>
      </c>
      <c r="AI342" s="26">
        <f t="shared" si="459"/>
        <v>0</v>
      </c>
    </row>
    <row r="343" spans="1:36" x14ac:dyDescent="0.15">
      <c r="A343" s="23" t="s">
        <v>17</v>
      </c>
      <c r="B343" s="24"/>
      <c r="C343" s="36"/>
      <c r="D343" s="36"/>
      <c r="E343" s="41"/>
      <c r="F343" s="26">
        <f t="shared" ref="F343" si="461">SUM(B343:E343)</f>
        <v>0</v>
      </c>
      <c r="G343" s="25"/>
      <c r="H343" s="36"/>
      <c r="I343" s="36"/>
      <c r="J343" s="41">
        <v>3</v>
      </c>
      <c r="K343" s="26">
        <f t="shared" ref="K343" si="462">SUM(G343:J343)</f>
        <v>3</v>
      </c>
      <c r="L343" s="25"/>
      <c r="M343" s="36"/>
      <c r="N343" s="36"/>
      <c r="O343" s="41"/>
      <c r="P343" s="26">
        <f t="shared" ref="P343" si="463">SUM(L343:O343)</f>
        <v>0</v>
      </c>
      <c r="Q343" s="26">
        <f t="shared" si="456"/>
        <v>3</v>
      </c>
      <c r="R343" s="55">
        <v>45857</v>
      </c>
      <c r="S343" s="23" t="s">
        <v>17</v>
      </c>
      <c r="T343" s="25"/>
      <c r="U343" s="25"/>
      <c r="V343" s="25"/>
      <c r="W343" s="39"/>
      <c r="X343" s="22">
        <f t="shared" si="460"/>
        <v>0</v>
      </c>
      <c r="Y343" s="25"/>
      <c r="Z343" s="25"/>
      <c r="AA343" s="25"/>
      <c r="AB343" s="39"/>
      <c r="AC343" s="22">
        <f t="shared" si="457"/>
        <v>0</v>
      </c>
      <c r="AD343" s="25"/>
      <c r="AE343" s="25"/>
      <c r="AF343" s="25"/>
      <c r="AG343" s="39"/>
      <c r="AH343" s="22">
        <f t="shared" si="458"/>
        <v>0</v>
      </c>
      <c r="AI343" s="26">
        <f t="shared" si="459"/>
        <v>0</v>
      </c>
    </row>
    <row r="344" spans="1:36" x14ac:dyDescent="0.15">
      <c r="A344" s="23" t="s">
        <v>17</v>
      </c>
      <c r="B344" s="24"/>
      <c r="C344" s="36"/>
      <c r="D344" s="36"/>
      <c r="E344" s="41"/>
      <c r="F344" s="26">
        <f t="shared" ref="F344:F347" si="464">SUM(B344:E344)</f>
        <v>0</v>
      </c>
      <c r="G344" s="25"/>
      <c r="H344" s="36">
        <v>5</v>
      </c>
      <c r="I344" s="36">
        <v>5</v>
      </c>
      <c r="J344" s="41">
        <v>5</v>
      </c>
      <c r="K344" s="26">
        <f t="shared" ref="K344:K347" si="465">SUM(G344:J344)</f>
        <v>15</v>
      </c>
      <c r="L344" s="25"/>
      <c r="M344" s="36"/>
      <c r="N344" s="36"/>
      <c r="O344" s="41"/>
      <c r="P344" s="26">
        <f t="shared" ref="P344:P347" si="466">SUM(L344:O344)</f>
        <v>0</v>
      </c>
      <c r="Q344" s="26">
        <f t="shared" ref="Q344:Q376" si="467">F344+K344+P344</f>
        <v>15</v>
      </c>
      <c r="R344" s="55">
        <v>45867</v>
      </c>
      <c r="S344" s="23" t="s">
        <v>17</v>
      </c>
      <c r="T344" s="28"/>
      <c r="U344" s="28"/>
      <c r="V344" s="28"/>
      <c r="W344" s="40"/>
      <c r="X344" s="29">
        <f t="shared" si="460"/>
        <v>0</v>
      </c>
      <c r="Y344" s="28"/>
      <c r="Z344" s="28"/>
      <c r="AA344" s="28"/>
      <c r="AB344" s="40"/>
      <c r="AC344" s="29">
        <f t="shared" si="457"/>
        <v>0</v>
      </c>
      <c r="AD344" s="28"/>
      <c r="AE344" s="28"/>
      <c r="AF344" s="28"/>
      <c r="AG344" s="40"/>
      <c r="AH344" s="29">
        <f t="shared" si="458"/>
        <v>0</v>
      </c>
      <c r="AI344" s="26">
        <f t="shared" si="459"/>
        <v>0</v>
      </c>
    </row>
    <row r="345" spans="1:36" x14ac:dyDescent="0.15">
      <c r="A345" s="23" t="s">
        <v>17</v>
      </c>
      <c r="B345" s="24"/>
      <c r="C345" s="36"/>
      <c r="D345" s="36"/>
      <c r="E345" s="41"/>
      <c r="F345" s="26">
        <f t="shared" si="464"/>
        <v>0</v>
      </c>
      <c r="G345" s="25"/>
      <c r="H345" s="36"/>
      <c r="I345" s="36"/>
      <c r="J345" s="41"/>
      <c r="K345" s="26">
        <f t="shared" si="465"/>
        <v>0</v>
      </c>
      <c r="L345" s="25"/>
      <c r="M345" s="36"/>
      <c r="N345" s="36"/>
      <c r="O345" s="41"/>
      <c r="P345" s="26">
        <f t="shared" si="466"/>
        <v>0</v>
      </c>
      <c r="Q345" s="26">
        <f t="shared" si="467"/>
        <v>0</v>
      </c>
      <c r="R345" s="55"/>
      <c r="S345" s="23" t="s">
        <v>17</v>
      </c>
      <c r="T345" s="25"/>
      <c r="U345" s="36"/>
      <c r="V345" s="36"/>
      <c r="W345" s="41"/>
      <c r="X345" s="26">
        <f t="shared" si="460"/>
        <v>0</v>
      </c>
      <c r="Y345" s="25"/>
      <c r="Z345" s="36"/>
      <c r="AA345" s="36"/>
      <c r="AB345" s="41"/>
      <c r="AC345" s="26">
        <f t="shared" si="457"/>
        <v>0</v>
      </c>
      <c r="AD345" s="25"/>
      <c r="AE345" s="36"/>
      <c r="AF345" s="36"/>
      <c r="AG345" s="41"/>
      <c r="AH345" s="26">
        <f t="shared" si="458"/>
        <v>0</v>
      </c>
      <c r="AI345" s="26">
        <f t="shared" si="459"/>
        <v>0</v>
      </c>
    </row>
    <row r="346" spans="1:36" x14ac:dyDescent="0.15">
      <c r="A346" s="23" t="s">
        <v>17</v>
      </c>
      <c r="B346" s="24"/>
      <c r="C346" s="36"/>
      <c r="D346" s="36"/>
      <c r="E346" s="41"/>
      <c r="F346" s="26">
        <f t="shared" si="464"/>
        <v>0</v>
      </c>
      <c r="G346" s="25"/>
      <c r="H346" s="36"/>
      <c r="I346" s="36"/>
      <c r="J346" s="41"/>
      <c r="K346" s="26">
        <f t="shared" si="465"/>
        <v>0</v>
      </c>
      <c r="L346" s="25"/>
      <c r="M346" s="36"/>
      <c r="N346" s="36"/>
      <c r="O346" s="41"/>
      <c r="P346" s="26">
        <f t="shared" si="466"/>
        <v>0</v>
      </c>
      <c r="Q346" s="26">
        <f t="shared" si="467"/>
        <v>0</v>
      </c>
      <c r="R346" s="55"/>
      <c r="S346" s="23" t="s">
        <v>17</v>
      </c>
      <c r="T346" s="25"/>
      <c r="U346" s="36"/>
      <c r="V346" s="36"/>
      <c r="W346" s="41"/>
      <c r="X346" s="26">
        <f t="shared" si="460"/>
        <v>0</v>
      </c>
      <c r="Y346" s="25"/>
      <c r="Z346" s="36"/>
      <c r="AA346" s="36"/>
      <c r="AB346" s="41"/>
      <c r="AC346" s="26">
        <f t="shared" si="457"/>
        <v>0</v>
      </c>
      <c r="AD346" s="25"/>
      <c r="AE346" s="36"/>
      <c r="AF346" s="36"/>
      <c r="AG346" s="41"/>
      <c r="AH346" s="26">
        <f t="shared" si="458"/>
        <v>0</v>
      </c>
      <c r="AI346" s="26">
        <f t="shared" si="459"/>
        <v>0</v>
      </c>
    </row>
    <row r="347" spans="1:36" ht="14.25" thickBot="1" x14ac:dyDescent="0.2">
      <c r="A347" s="23" t="s">
        <v>17</v>
      </c>
      <c r="B347" s="27"/>
      <c r="C347" s="37"/>
      <c r="D347" s="37"/>
      <c r="E347" s="42"/>
      <c r="F347" s="43">
        <f t="shared" si="464"/>
        <v>0</v>
      </c>
      <c r="G347" s="28"/>
      <c r="H347" s="37"/>
      <c r="I347" s="37"/>
      <c r="J347" s="42"/>
      <c r="K347" s="43">
        <f t="shared" si="465"/>
        <v>0</v>
      </c>
      <c r="L347" s="28"/>
      <c r="M347" s="37"/>
      <c r="N347" s="37"/>
      <c r="O347" s="42"/>
      <c r="P347" s="43">
        <f t="shared" si="466"/>
        <v>0</v>
      </c>
      <c r="Q347" s="43">
        <f t="shared" si="467"/>
        <v>0</v>
      </c>
      <c r="R347" s="55"/>
      <c r="S347" s="23" t="s">
        <v>17</v>
      </c>
      <c r="T347" s="28"/>
      <c r="U347" s="37"/>
      <c r="V347" s="37"/>
      <c r="W347" s="42"/>
      <c r="X347" s="43">
        <f t="shared" si="460"/>
        <v>0</v>
      </c>
      <c r="Y347" s="28"/>
      <c r="Z347" s="37"/>
      <c r="AA347" s="37"/>
      <c r="AB347" s="42"/>
      <c r="AC347" s="43">
        <f t="shared" si="457"/>
        <v>0</v>
      </c>
      <c r="AD347" s="28"/>
      <c r="AE347" s="37"/>
      <c r="AF347" s="37"/>
      <c r="AG347" s="42"/>
      <c r="AH347" s="43">
        <f t="shared" si="458"/>
        <v>0</v>
      </c>
      <c r="AI347" s="43">
        <f t="shared" si="459"/>
        <v>0</v>
      </c>
    </row>
    <row r="348" spans="1:36" ht="15" thickBot="1" x14ac:dyDescent="0.2">
      <c r="A348" s="46" t="s">
        <v>13</v>
      </c>
      <c r="B348" s="47">
        <f>SUM(B340:B347)</f>
        <v>4</v>
      </c>
      <c r="C348" s="48">
        <f t="shared" ref="C348:P348" si="468">SUM(C340:C347)</f>
        <v>4</v>
      </c>
      <c r="D348" s="48">
        <f t="shared" si="468"/>
        <v>5</v>
      </c>
      <c r="E348" s="49">
        <f t="shared" si="468"/>
        <v>5</v>
      </c>
      <c r="F348" s="34">
        <f t="shared" si="468"/>
        <v>18</v>
      </c>
      <c r="G348" s="47">
        <f t="shared" si="468"/>
        <v>6</v>
      </c>
      <c r="H348" s="48">
        <f t="shared" si="468"/>
        <v>12</v>
      </c>
      <c r="I348" s="48">
        <f t="shared" si="468"/>
        <v>10</v>
      </c>
      <c r="J348" s="49">
        <f t="shared" si="468"/>
        <v>15</v>
      </c>
      <c r="K348" s="34">
        <f t="shared" si="468"/>
        <v>43</v>
      </c>
      <c r="L348" s="47">
        <f t="shared" si="468"/>
        <v>0</v>
      </c>
      <c r="M348" s="48">
        <f t="shared" si="468"/>
        <v>2</v>
      </c>
      <c r="N348" s="48">
        <f t="shared" si="468"/>
        <v>0</v>
      </c>
      <c r="O348" s="49">
        <f t="shared" si="468"/>
        <v>3</v>
      </c>
      <c r="P348" s="34">
        <f t="shared" si="468"/>
        <v>5</v>
      </c>
      <c r="Q348" s="34">
        <f t="shared" si="467"/>
        <v>66</v>
      </c>
      <c r="R348" s="54"/>
      <c r="S348" s="46" t="s">
        <v>13</v>
      </c>
      <c r="T348" s="47">
        <f>SUM(T340:T347)</f>
        <v>106</v>
      </c>
      <c r="U348" s="48">
        <f t="shared" ref="U348" si="469">SUM(U340:U347)</f>
        <v>111</v>
      </c>
      <c r="V348" s="48">
        <f t="shared" ref="V348" si="470">SUM(V340:V347)</f>
        <v>66</v>
      </c>
      <c r="W348" s="49">
        <f t="shared" ref="W348" si="471">SUM(W340:W347)</f>
        <v>39</v>
      </c>
      <c r="X348" s="34">
        <f>SUM(X340:X347)</f>
        <v>322</v>
      </c>
      <c r="Y348" s="47">
        <f>SUM(Y340:Y347)</f>
        <v>125</v>
      </c>
      <c r="Z348" s="48">
        <f t="shared" ref="Z348" si="472">SUM(Z340:Z347)</f>
        <v>156</v>
      </c>
      <c r="AA348" s="48">
        <f t="shared" ref="AA348" si="473">SUM(AA340:AA347)</f>
        <v>125</v>
      </c>
      <c r="AB348" s="49">
        <f t="shared" ref="AB348" si="474">SUM(AB340:AB347)</f>
        <v>103</v>
      </c>
      <c r="AC348" s="34">
        <f>SUM(AC340:AC347)</f>
        <v>509</v>
      </c>
      <c r="AD348" s="47">
        <f>SUM(AD340:AD347)</f>
        <v>123</v>
      </c>
      <c r="AE348" s="48">
        <f t="shared" ref="AE348" si="475">SUM(AE340:AE347)</f>
        <v>195</v>
      </c>
      <c r="AF348" s="48">
        <f t="shared" ref="AF348" si="476">SUM(AF340:AF347)</f>
        <v>128</v>
      </c>
      <c r="AG348" s="49">
        <f t="shared" ref="AG348" si="477">SUM(AG340:AG347)</f>
        <v>127</v>
      </c>
      <c r="AH348" s="34">
        <f>SUM(AH340:AH347)</f>
        <v>573</v>
      </c>
      <c r="AI348" s="34">
        <f>X348+AC348+AH348</f>
        <v>1404</v>
      </c>
    </row>
    <row r="349" spans="1:36" x14ac:dyDescent="0.15">
      <c r="A349" s="35" t="s">
        <v>37</v>
      </c>
      <c r="B349" s="24"/>
      <c r="C349" s="25"/>
      <c r="D349" s="25"/>
      <c r="E349" s="25"/>
      <c r="F349" s="26">
        <f t="shared" ref="F349:F352" si="478">SUM(B349:E349)</f>
        <v>0</v>
      </c>
      <c r="G349" s="24"/>
      <c r="H349" s="25"/>
      <c r="I349" s="25"/>
      <c r="J349" s="25">
        <v>1</v>
      </c>
      <c r="K349" s="26">
        <f t="shared" ref="K349:K352" si="479">SUM(G349:J349)</f>
        <v>1</v>
      </c>
      <c r="L349" s="24"/>
      <c r="M349" s="25"/>
      <c r="N349" s="25"/>
      <c r="O349" s="25"/>
      <c r="P349" s="26">
        <f t="shared" ref="P349:P352" si="480">SUM(L349:O349)</f>
        <v>0</v>
      </c>
      <c r="Q349" s="26">
        <f t="shared" ref="Q349:Q352" si="481">F349+K349+P349</f>
        <v>1</v>
      </c>
      <c r="R349" s="55">
        <v>45848</v>
      </c>
      <c r="S349" s="31" t="s">
        <v>191</v>
      </c>
      <c r="T349" s="6"/>
      <c r="U349" s="7"/>
      <c r="V349" s="7"/>
      <c r="W349" s="7"/>
      <c r="X349" s="9">
        <f t="shared" ref="X349:X366" si="482">SUM(T349:W349)</f>
        <v>0</v>
      </c>
      <c r="Y349" s="6"/>
      <c r="Z349" s="7">
        <v>4</v>
      </c>
      <c r="AA349" s="7"/>
      <c r="AB349" s="7"/>
      <c r="AC349" s="9">
        <f t="shared" ref="AC349:AC366" si="483">SUM(Y349:AB349)</f>
        <v>4</v>
      </c>
      <c r="AD349" s="6"/>
      <c r="AE349" s="7"/>
      <c r="AF349" s="7"/>
      <c r="AG349" s="7"/>
      <c r="AH349" s="9">
        <f t="shared" ref="AH349:AH366" si="484">SUM(AD349:AG349)</f>
        <v>0</v>
      </c>
      <c r="AI349" s="26">
        <f t="shared" ref="AI349:AI366" si="485">X349+AC349+AH349</f>
        <v>4</v>
      </c>
      <c r="AJ349" s="64">
        <v>45842</v>
      </c>
    </row>
    <row r="350" spans="1:36" x14ac:dyDescent="0.15">
      <c r="A350" s="35" t="s">
        <v>37</v>
      </c>
      <c r="B350" s="24"/>
      <c r="C350" s="25"/>
      <c r="D350" s="25"/>
      <c r="E350" s="25"/>
      <c r="F350" s="26">
        <f t="shared" si="478"/>
        <v>0</v>
      </c>
      <c r="G350" s="24"/>
      <c r="H350" s="25">
        <v>1</v>
      </c>
      <c r="I350" s="25">
        <v>1</v>
      </c>
      <c r="J350" s="25">
        <v>2</v>
      </c>
      <c r="K350" s="26">
        <f t="shared" si="479"/>
        <v>4</v>
      </c>
      <c r="L350" s="24"/>
      <c r="M350" s="25"/>
      <c r="N350" s="25"/>
      <c r="O350" s="25"/>
      <c r="P350" s="26">
        <f t="shared" si="480"/>
        <v>0</v>
      </c>
      <c r="Q350" s="26">
        <f t="shared" si="481"/>
        <v>4</v>
      </c>
      <c r="R350" s="55">
        <v>45852</v>
      </c>
      <c r="S350" s="31" t="s">
        <v>193</v>
      </c>
      <c r="T350" s="6"/>
      <c r="U350" s="7"/>
      <c r="V350" s="7"/>
      <c r="W350" s="7"/>
      <c r="X350" s="9">
        <f t="shared" si="482"/>
        <v>0</v>
      </c>
      <c r="Y350" s="6"/>
      <c r="Z350" s="7"/>
      <c r="AA350" s="7"/>
      <c r="AB350" s="7"/>
      <c r="AC350" s="9">
        <f t="shared" si="483"/>
        <v>0</v>
      </c>
      <c r="AD350" s="6">
        <v>2</v>
      </c>
      <c r="AE350" s="7"/>
      <c r="AF350" s="7"/>
      <c r="AG350" s="7"/>
      <c r="AH350" s="9">
        <f t="shared" si="484"/>
        <v>2</v>
      </c>
      <c r="AI350" s="26">
        <f t="shared" si="485"/>
        <v>2</v>
      </c>
      <c r="AJ350" s="64">
        <v>45845</v>
      </c>
    </row>
    <row r="351" spans="1:36" x14ac:dyDescent="0.15">
      <c r="A351" s="35" t="s">
        <v>37</v>
      </c>
      <c r="B351" s="24"/>
      <c r="C351" s="25"/>
      <c r="D351" s="25"/>
      <c r="E351" s="25"/>
      <c r="F351" s="26">
        <f t="shared" si="478"/>
        <v>0</v>
      </c>
      <c r="G351" s="24"/>
      <c r="H351" s="25"/>
      <c r="I351" s="25"/>
      <c r="J351" s="25">
        <v>1</v>
      </c>
      <c r="K351" s="26">
        <f t="shared" si="479"/>
        <v>1</v>
      </c>
      <c r="L351" s="24"/>
      <c r="M351" s="25"/>
      <c r="N351" s="25"/>
      <c r="O351" s="25"/>
      <c r="P351" s="26">
        <f t="shared" si="480"/>
        <v>0</v>
      </c>
      <c r="Q351" s="26">
        <f t="shared" si="481"/>
        <v>1</v>
      </c>
      <c r="R351" s="55">
        <v>45853</v>
      </c>
      <c r="S351" s="31" t="s">
        <v>194</v>
      </c>
      <c r="T351" s="6"/>
      <c r="U351" s="7"/>
      <c r="V351" s="7"/>
      <c r="W351" s="7"/>
      <c r="X351" s="9">
        <f t="shared" ref="X351" si="486">SUM(T351:W351)</f>
        <v>0</v>
      </c>
      <c r="Y351" s="6"/>
      <c r="Z351" s="7"/>
      <c r="AA351" s="7"/>
      <c r="AB351" s="7">
        <v>4</v>
      </c>
      <c r="AC351" s="9">
        <f t="shared" ref="AC351" si="487">SUM(Y351:AB351)</f>
        <v>4</v>
      </c>
      <c r="AD351" s="6"/>
      <c r="AE351" s="7"/>
      <c r="AF351" s="7"/>
      <c r="AG351" s="7"/>
      <c r="AH351" s="9">
        <f t="shared" si="484"/>
        <v>0</v>
      </c>
      <c r="AI351" s="26">
        <f t="shared" si="485"/>
        <v>4</v>
      </c>
      <c r="AJ351" s="64">
        <v>45845</v>
      </c>
    </row>
    <row r="352" spans="1:36" x14ac:dyDescent="0.15">
      <c r="A352" s="35" t="s">
        <v>37</v>
      </c>
      <c r="B352" s="24"/>
      <c r="C352" s="25"/>
      <c r="D352" s="25"/>
      <c r="E352" s="25"/>
      <c r="F352" s="26">
        <f t="shared" si="478"/>
        <v>0</v>
      </c>
      <c r="G352" s="24">
        <v>1</v>
      </c>
      <c r="H352" s="25"/>
      <c r="I352" s="25"/>
      <c r="J352" s="25"/>
      <c r="K352" s="26">
        <f t="shared" si="479"/>
        <v>1</v>
      </c>
      <c r="L352" s="24"/>
      <c r="M352" s="25"/>
      <c r="N352" s="25"/>
      <c r="O352" s="25"/>
      <c r="P352" s="26">
        <f t="shared" si="480"/>
        <v>0</v>
      </c>
      <c r="Q352" s="26">
        <f t="shared" si="481"/>
        <v>1</v>
      </c>
      <c r="R352" s="55">
        <v>45854</v>
      </c>
      <c r="S352" s="30" t="s">
        <v>31</v>
      </c>
      <c r="T352" s="6"/>
      <c r="U352" s="7"/>
      <c r="V352" s="7"/>
      <c r="W352" s="7"/>
      <c r="X352" s="9">
        <f t="shared" ref="X352" si="488">SUM(T352:W352)</f>
        <v>0</v>
      </c>
      <c r="Y352" s="6">
        <v>2</v>
      </c>
      <c r="Z352" s="7"/>
      <c r="AA352" s="7">
        <v>2</v>
      </c>
      <c r="AB352" s="7">
        <v>2</v>
      </c>
      <c r="AC352" s="9">
        <f t="shared" ref="AC352" si="489">SUM(Y352:AB352)</f>
        <v>6</v>
      </c>
      <c r="AD352" s="6"/>
      <c r="AE352" s="7"/>
      <c r="AF352" s="7"/>
      <c r="AG352" s="7"/>
      <c r="AH352" s="9">
        <f t="shared" ref="AH352:AH354" si="490">SUM(AD352:AG352)</f>
        <v>0</v>
      </c>
      <c r="AI352" s="26">
        <f t="shared" ref="AI352:AI354" si="491">X352+AC352+AH352</f>
        <v>6</v>
      </c>
      <c r="AJ352" s="64">
        <v>45842</v>
      </c>
    </row>
    <row r="353" spans="1:36" x14ac:dyDescent="0.15">
      <c r="A353" s="35" t="s">
        <v>37</v>
      </c>
      <c r="B353" s="24"/>
      <c r="C353" s="25"/>
      <c r="D353" s="25"/>
      <c r="E353" s="25"/>
      <c r="F353" s="26">
        <f t="shared" ref="F353:F374" si="492">SUM(B353:E353)</f>
        <v>0</v>
      </c>
      <c r="G353" s="24"/>
      <c r="H353" s="25"/>
      <c r="I353" s="25"/>
      <c r="J353" s="25">
        <v>1</v>
      </c>
      <c r="K353" s="26">
        <f t="shared" ref="K353:K374" si="493">SUM(G353:J353)</f>
        <v>1</v>
      </c>
      <c r="L353" s="24"/>
      <c r="M353" s="25"/>
      <c r="N353" s="25"/>
      <c r="O353" s="25"/>
      <c r="P353" s="26">
        <f t="shared" ref="P353:P374" si="494">SUM(L353:O353)</f>
        <v>0</v>
      </c>
      <c r="Q353" s="26">
        <f t="shared" si="467"/>
        <v>1</v>
      </c>
      <c r="R353" s="55">
        <v>45855</v>
      </c>
      <c r="S353" s="30" t="s">
        <v>31</v>
      </c>
      <c r="T353" s="6"/>
      <c r="U353" s="7"/>
      <c r="V353" s="7">
        <v>2</v>
      </c>
      <c r="W353" s="7"/>
      <c r="X353" s="9">
        <f t="shared" ref="X353" si="495">SUM(T353:W353)</f>
        <v>2</v>
      </c>
      <c r="Y353" s="6"/>
      <c r="Z353" s="7"/>
      <c r="AA353" s="7">
        <v>2</v>
      </c>
      <c r="AB353" s="7">
        <v>2</v>
      </c>
      <c r="AC353" s="9">
        <f t="shared" ref="AC353" si="496">SUM(Y353:AB353)</f>
        <v>4</v>
      </c>
      <c r="AD353" s="6"/>
      <c r="AE353" s="7"/>
      <c r="AF353" s="7"/>
      <c r="AG353" s="7"/>
      <c r="AH353" s="9">
        <f t="shared" si="490"/>
        <v>0</v>
      </c>
      <c r="AI353" s="26">
        <f t="shared" si="491"/>
        <v>6</v>
      </c>
      <c r="AJ353" s="64">
        <v>45845</v>
      </c>
    </row>
    <row r="354" spans="1:36" x14ac:dyDescent="0.15">
      <c r="A354" s="35" t="s">
        <v>37</v>
      </c>
      <c r="B354" s="24"/>
      <c r="C354" s="25"/>
      <c r="D354" s="25">
        <v>1</v>
      </c>
      <c r="E354" s="25"/>
      <c r="F354" s="26">
        <f t="shared" si="492"/>
        <v>1</v>
      </c>
      <c r="G354" s="24"/>
      <c r="H354" s="25"/>
      <c r="I354" s="25"/>
      <c r="J354" s="25"/>
      <c r="K354" s="26">
        <f t="shared" si="493"/>
        <v>0</v>
      </c>
      <c r="L354" s="24"/>
      <c r="M354" s="25"/>
      <c r="N354" s="25"/>
      <c r="O354" s="25"/>
      <c r="P354" s="26">
        <f t="shared" si="494"/>
        <v>0</v>
      </c>
      <c r="Q354" s="26">
        <f t="shared" si="467"/>
        <v>1</v>
      </c>
      <c r="R354" s="55">
        <v>45857</v>
      </c>
      <c r="S354" s="30" t="s">
        <v>31</v>
      </c>
      <c r="T354" s="6"/>
      <c r="U354" s="7"/>
      <c r="V354" s="7"/>
      <c r="W354" s="7"/>
      <c r="X354" s="9">
        <f t="shared" ref="X354" si="497">SUM(T354:W354)</f>
        <v>0</v>
      </c>
      <c r="Y354" s="6">
        <v>2</v>
      </c>
      <c r="Z354" s="7"/>
      <c r="AA354" s="7">
        <v>2</v>
      </c>
      <c r="AB354" s="7">
        <v>2</v>
      </c>
      <c r="AC354" s="9">
        <f t="shared" ref="AC354" si="498">SUM(Y354:AB354)</f>
        <v>6</v>
      </c>
      <c r="AD354" s="6"/>
      <c r="AE354" s="7"/>
      <c r="AF354" s="7"/>
      <c r="AG354" s="7"/>
      <c r="AH354" s="9">
        <f t="shared" si="490"/>
        <v>0</v>
      </c>
      <c r="AI354" s="26">
        <f t="shared" si="491"/>
        <v>6</v>
      </c>
      <c r="AJ354" s="64">
        <v>45849</v>
      </c>
    </row>
    <row r="355" spans="1:36" x14ac:dyDescent="0.15">
      <c r="A355" s="35" t="s">
        <v>37</v>
      </c>
      <c r="B355" s="24"/>
      <c r="C355" s="25"/>
      <c r="D355" s="25"/>
      <c r="E355" s="25"/>
      <c r="F355" s="26">
        <f t="shared" si="492"/>
        <v>0</v>
      </c>
      <c r="G355" s="24"/>
      <c r="H355" s="25">
        <v>2</v>
      </c>
      <c r="I355" s="25"/>
      <c r="J355" s="25">
        <v>2</v>
      </c>
      <c r="K355" s="26">
        <f t="shared" si="493"/>
        <v>4</v>
      </c>
      <c r="L355" s="24"/>
      <c r="M355" s="25"/>
      <c r="N355" s="25"/>
      <c r="O355" s="25"/>
      <c r="P355" s="26">
        <f t="shared" si="494"/>
        <v>0</v>
      </c>
      <c r="Q355" s="26">
        <f t="shared" si="467"/>
        <v>4</v>
      </c>
      <c r="R355" s="55">
        <v>45860</v>
      </c>
      <c r="S355" s="31" t="s">
        <v>195</v>
      </c>
      <c r="T355" s="6">
        <v>3</v>
      </c>
      <c r="U355" s="7"/>
      <c r="V355" s="7"/>
      <c r="W355" s="7"/>
      <c r="X355" s="9">
        <f t="shared" si="482"/>
        <v>3</v>
      </c>
      <c r="Y355" s="6"/>
      <c r="Z355" s="7"/>
      <c r="AA355" s="7"/>
      <c r="AB355" s="7"/>
      <c r="AC355" s="9">
        <f t="shared" si="483"/>
        <v>0</v>
      </c>
      <c r="AD355" s="6"/>
      <c r="AE355" s="7"/>
      <c r="AF355" s="7"/>
      <c r="AG355" s="7"/>
      <c r="AH355" s="9">
        <f t="shared" si="484"/>
        <v>0</v>
      </c>
      <c r="AI355" s="26">
        <f t="shared" si="485"/>
        <v>3</v>
      </c>
      <c r="AJ355" s="64">
        <v>45853</v>
      </c>
    </row>
    <row r="356" spans="1:36" x14ac:dyDescent="0.15">
      <c r="A356" s="35" t="s">
        <v>37</v>
      </c>
      <c r="B356" s="24"/>
      <c r="C356" s="25"/>
      <c r="D356" s="25"/>
      <c r="E356" s="25"/>
      <c r="F356" s="26">
        <f t="shared" si="492"/>
        <v>0</v>
      </c>
      <c r="G356" s="24"/>
      <c r="H356" s="25">
        <v>1</v>
      </c>
      <c r="I356" s="25"/>
      <c r="J356" s="25"/>
      <c r="K356" s="26">
        <f t="shared" si="493"/>
        <v>1</v>
      </c>
      <c r="L356" s="24"/>
      <c r="M356" s="25"/>
      <c r="N356" s="25"/>
      <c r="O356" s="25"/>
      <c r="P356" s="26">
        <f t="shared" si="494"/>
        <v>0</v>
      </c>
      <c r="Q356" s="26">
        <f t="shared" si="467"/>
        <v>1</v>
      </c>
      <c r="R356" s="55">
        <v>45862</v>
      </c>
      <c r="S356" s="30" t="s">
        <v>31</v>
      </c>
      <c r="T356" s="6"/>
      <c r="U356" s="7"/>
      <c r="V356" s="7"/>
      <c r="W356" s="7"/>
      <c r="X356" s="9">
        <f t="shared" ref="X356" si="499">SUM(T356:W356)</f>
        <v>0</v>
      </c>
      <c r="Y356" s="6"/>
      <c r="Z356" s="7">
        <v>3</v>
      </c>
      <c r="AA356" s="7"/>
      <c r="AB356" s="7">
        <v>3</v>
      </c>
      <c r="AC356" s="9">
        <f t="shared" ref="AC356" si="500">SUM(Y356:AB356)</f>
        <v>6</v>
      </c>
      <c r="AD356" s="6"/>
      <c r="AE356" s="7"/>
      <c r="AF356" s="7"/>
      <c r="AG356" s="7"/>
      <c r="AH356" s="9">
        <f t="shared" ref="AH356" si="501">SUM(AD356:AG356)</f>
        <v>0</v>
      </c>
      <c r="AI356" s="26">
        <f t="shared" si="485"/>
        <v>6</v>
      </c>
      <c r="AJ356" s="64">
        <v>45853</v>
      </c>
    </row>
    <row r="357" spans="1:36" x14ac:dyDescent="0.15">
      <c r="A357" s="35" t="s">
        <v>37</v>
      </c>
      <c r="B357" s="24"/>
      <c r="C357" s="25"/>
      <c r="D357" s="25"/>
      <c r="E357" s="25"/>
      <c r="F357" s="26">
        <f t="shared" si="492"/>
        <v>0</v>
      </c>
      <c r="G357" s="24"/>
      <c r="H357" s="25">
        <v>2</v>
      </c>
      <c r="I357" s="25">
        <v>2</v>
      </c>
      <c r="J357" s="25">
        <v>3</v>
      </c>
      <c r="K357" s="26">
        <f t="shared" si="493"/>
        <v>7</v>
      </c>
      <c r="L357" s="24"/>
      <c r="M357" s="25"/>
      <c r="N357" s="25"/>
      <c r="O357" s="25"/>
      <c r="P357" s="26">
        <f t="shared" si="494"/>
        <v>0</v>
      </c>
      <c r="Q357" s="26">
        <f t="shared" si="467"/>
        <v>7</v>
      </c>
      <c r="R357" s="55">
        <v>45866</v>
      </c>
      <c r="S357" s="31" t="s">
        <v>196</v>
      </c>
      <c r="T357" s="6"/>
      <c r="U357" s="7"/>
      <c r="V357" s="7"/>
      <c r="W357" s="7"/>
      <c r="X357" s="9">
        <f t="shared" si="482"/>
        <v>0</v>
      </c>
      <c r="Y357" s="6"/>
      <c r="Z357" s="7"/>
      <c r="AA357" s="7"/>
      <c r="AB357" s="7">
        <v>6</v>
      </c>
      <c r="AC357" s="9">
        <f t="shared" si="483"/>
        <v>6</v>
      </c>
      <c r="AD357" s="6">
        <v>5</v>
      </c>
      <c r="AE357" s="7"/>
      <c r="AF357" s="7"/>
      <c r="AG357" s="7"/>
      <c r="AH357" s="9">
        <f t="shared" si="484"/>
        <v>5</v>
      </c>
      <c r="AI357" s="26">
        <f t="shared" si="485"/>
        <v>11</v>
      </c>
      <c r="AJ357" s="64">
        <v>45855</v>
      </c>
    </row>
    <row r="358" spans="1:36" x14ac:dyDescent="0.15">
      <c r="A358" s="35" t="s">
        <v>37</v>
      </c>
      <c r="B358" s="24">
        <v>1</v>
      </c>
      <c r="C358" s="25"/>
      <c r="D358" s="25"/>
      <c r="E358" s="25"/>
      <c r="F358" s="26">
        <f t="shared" si="492"/>
        <v>1</v>
      </c>
      <c r="G358" s="24">
        <v>1</v>
      </c>
      <c r="H358" s="25"/>
      <c r="I358" s="25"/>
      <c r="J358" s="25">
        <v>2</v>
      </c>
      <c r="K358" s="26">
        <f t="shared" si="493"/>
        <v>3</v>
      </c>
      <c r="L358" s="24"/>
      <c r="M358" s="25"/>
      <c r="N358" s="25"/>
      <c r="O358" s="25"/>
      <c r="P358" s="26">
        <f t="shared" si="494"/>
        <v>0</v>
      </c>
      <c r="Q358" s="26">
        <f t="shared" si="467"/>
        <v>4</v>
      </c>
      <c r="R358" s="55">
        <v>45867</v>
      </c>
      <c r="S358" s="31" t="s">
        <v>197</v>
      </c>
      <c r="T358" s="6"/>
      <c r="U358" s="7"/>
      <c r="V358" s="7">
        <v>3</v>
      </c>
      <c r="W358" s="7"/>
      <c r="X358" s="9">
        <f t="shared" si="482"/>
        <v>3</v>
      </c>
      <c r="Y358" s="6"/>
      <c r="Z358" s="7"/>
      <c r="AA358" s="7"/>
      <c r="AB358" s="7">
        <v>7</v>
      </c>
      <c r="AC358" s="9">
        <f t="shared" si="483"/>
        <v>7</v>
      </c>
      <c r="AD358" s="6"/>
      <c r="AE358" s="7"/>
      <c r="AF358" s="7"/>
      <c r="AG358" s="7"/>
      <c r="AH358" s="9">
        <f t="shared" si="484"/>
        <v>0</v>
      </c>
      <c r="AI358" s="26">
        <f t="shared" si="485"/>
        <v>10</v>
      </c>
      <c r="AJ358" s="64">
        <v>45856</v>
      </c>
    </row>
    <row r="359" spans="1:36" x14ac:dyDescent="0.15">
      <c r="A359" s="35"/>
      <c r="B359" s="24"/>
      <c r="C359" s="25"/>
      <c r="D359" s="25"/>
      <c r="E359" s="25"/>
      <c r="F359" s="26">
        <f t="shared" si="492"/>
        <v>0</v>
      </c>
      <c r="G359" s="24"/>
      <c r="H359" s="25"/>
      <c r="I359" s="25"/>
      <c r="J359" s="25"/>
      <c r="K359" s="26">
        <f t="shared" si="493"/>
        <v>0</v>
      </c>
      <c r="L359" s="24"/>
      <c r="M359" s="25"/>
      <c r="N359" s="25"/>
      <c r="O359" s="25"/>
      <c r="P359" s="26">
        <f t="shared" si="494"/>
        <v>0</v>
      </c>
      <c r="Q359" s="26">
        <f t="shared" si="467"/>
        <v>0</v>
      </c>
      <c r="R359" s="55"/>
      <c r="S359" s="31" t="s">
        <v>198</v>
      </c>
      <c r="T359" s="6"/>
      <c r="U359" s="7"/>
      <c r="V359" s="7"/>
      <c r="W359" s="7"/>
      <c r="X359" s="9">
        <f t="shared" si="482"/>
        <v>0</v>
      </c>
      <c r="Y359" s="6">
        <v>9</v>
      </c>
      <c r="Z359" s="7"/>
      <c r="AA359" s="7"/>
      <c r="AB359" s="7"/>
      <c r="AC359" s="9">
        <f t="shared" si="483"/>
        <v>9</v>
      </c>
      <c r="AD359" s="6"/>
      <c r="AE359" s="7"/>
      <c r="AF359" s="7"/>
      <c r="AG359" s="7"/>
      <c r="AH359" s="9">
        <f t="shared" si="484"/>
        <v>0</v>
      </c>
      <c r="AI359" s="26">
        <f t="shared" si="485"/>
        <v>9</v>
      </c>
      <c r="AJ359" s="64">
        <v>45860</v>
      </c>
    </row>
    <row r="360" spans="1:36" x14ac:dyDescent="0.15">
      <c r="A360" s="35"/>
      <c r="B360" s="24"/>
      <c r="C360" s="25"/>
      <c r="D360" s="25"/>
      <c r="E360" s="25"/>
      <c r="F360" s="26">
        <f t="shared" si="492"/>
        <v>0</v>
      </c>
      <c r="G360" s="24"/>
      <c r="H360" s="25"/>
      <c r="I360" s="25"/>
      <c r="J360" s="25"/>
      <c r="K360" s="26">
        <f t="shared" si="493"/>
        <v>0</v>
      </c>
      <c r="L360" s="24"/>
      <c r="M360" s="25"/>
      <c r="N360" s="25"/>
      <c r="O360" s="25"/>
      <c r="P360" s="26">
        <f t="shared" si="494"/>
        <v>0</v>
      </c>
      <c r="Q360" s="26">
        <f t="shared" si="467"/>
        <v>0</v>
      </c>
      <c r="R360" s="55"/>
      <c r="S360" s="31" t="s">
        <v>200</v>
      </c>
      <c r="T360" s="6"/>
      <c r="U360" s="7"/>
      <c r="V360" s="7"/>
      <c r="W360" s="7"/>
      <c r="X360" s="9">
        <f t="shared" si="482"/>
        <v>0</v>
      </c>
      <c r="Y360" s="6"/>
      <c r="Z360" s="7">
        <v>7</v>
      </c>
      <c r="AA360" s="7"/>
      <c r="AB360" s="7"/>
      <c r="AC360" s="9">
        <f t="shared" si="483"/>
        <v>7</v>
      </c>
      <c r="AD360" s="6"/>
      <c r="AE360" s="7">
        <v>2</v>
      </c>
      <c r="AF360" s="7"/>
      <c r="AG360" s="7">
        <v>2</v>
      </c>
      <c r="AH360" s="9">
        <f t="shared" si="484"/>
        <v>4</v>
      </c>
      <c r="AI360" s="26">
        <f t="shared" si="485"/>
        <v>11</v>
      </c>
      <c r="AJ360" s="64">
        <v>45860</v>
      </c>
    </row>
    <row r="361" spans="1:36" x14ac:dyDescent="0.15">
      <c r="A361" s="35"/>
      <c r="B361" s="24"/>
      <c r="C361" s="25"/>
      <c r="D361" s="25"/>
      <c r="E361" s="25"/>
      <c r="F361" s="26">
        <f t="shared" si="492"/>
        <v>0</v>
      </c>
      <c r="G361" s="24"/>
      <c r="H361" s="25"/>
      <c r="I361" s="25"/>
      <c r="J361" s="25"/>
      <c r="K361" s="26">
        <f t="shared" si="493"/>
        <v>0</v>
      </c>
      <c r="L361" s="24"/>
      <c r="M361" s="25"/>
      <c r="N361" s="25"/>
      <c r="O361" s="25"/>
      <c r="P361" s="26">
        <f t="shared" si="494"/>
        <v>0</v>
      </c>
      <c r="Q361" s="26">
        <f t="shared" si="467"/>
        <v>0</v>
      </c>
      <c r="R361" s="55"/>
      <c r="S361" s="31" t="s">
        <v>199</v>
      </c>
      <c r="T361" s="6"/>
      <c r="U361" s="7"/>
      <c r="V361" s="7"/>
      <c r="W361" s="7"/>
      <c r="X361" s="9">
        <f t="shared" si="482"/>
        <v>0</v>
      </c>
      <c r="Y361" s="6"/>
      <c r="Z361" s="7">
        <v>6</v>
      </c>
      <c r="AA361" s="7"/>
      <c r="AB361" s="7"/>
      <c r="AC361" s="9">
        <f t="shared" si="483"/>
        <v>6</v>
      </c>
      <c r="AD361" s="6"/>
      <c r="AE361" s="7"/>
      <c r="AF361" s="7"/>
      <c r="AG361" s="7"/>
      <c r="AH361" s="9">
        <f t="shared" si="484"/>
        <v>0</v>
      </c>
      <c r="AI361" s="26">
        <f t="shared" si="485"/>
        <v>6</v>
      </c>
      <c r="AJ361" s="64">
        <v>45860</v>
      </c>
    </row>
    <row r="362" spans="1:36" x14ac:dyDescent="0.15">
      <c r="A362" s="35"/>
      <c r="B362" s="24"/>
      <c r="C362" s="25"/>
      <c r="D362" s="25"/>
      <c r="E362" s="25"/>
      <c r="F362" s="26">
        <f t="shared" si="492"/>
        <v>0</v>
      </c>
      <c r="G362" s="24"/>
      <c r="H362" s="25"/>
      <c r="I362" s="25"/>
      <c r="J362" s="25"/>
      <c r="K362" s="26">
        <f t="shared" si="493"/>
        <v>0</v>
      </c>
      <c r="L362" s="24"/>
      <c r="M362" s="25"/>
      <c r="N362" s="25"/>
      <c r="O362" s="25"/>
      <c r="P362" s="26">
        <f t="shared" si="494"/>
        <v>0</v>
      </c>
      <c r="Q362" s="26">
        <f t="shared" si="467"/>
        <v>0</v>
      </c>
      <c r="R362" s="55"/>
      <c r="S362" s="31" t="s">
        <v>201</v>
      </c>
      <c r="T362" s="6"/>
      <c r="U362" s="7"/>
      <c r="V362" s="7">
        <v>2</v>
      </c>
      <c r="W362" s="7"/>
      <c r="X362" s="9">
        <f t="shared" si="482"/>
        <v>2</v>
      </c>
      <c r="Y362" s="6"/>
      <c r="Z362" s="7"/>
      <c r="AA362" s="7"/>
      <c r="AB362" s="7"/>
      <c r="AC362" s="9">
        <f t="shared" si="483"/>
        <v>0</v>
      </c>
      <c r="AD362" s="6"/>
      <c r="AE362" s="7">
        <v>5</v>
      </c>
      <c r="AF362" s="7"/>
      <c r="AG362" s="7"/>
      <c r="AH362" s="9">
        <f t="shared" si="484"/>
        <v>5</v>
      </c>
      <c r="AI362" s="26">
        <f t="shared" si="485"/>
        <v>7</v>
      </c>
      <c r="AJ362" s="64">
        <v>45862</v>
      </c>
    </row>
    <row r="363" spans="1:36" x14ac:dyDescent="0.15">
      <c r="A363" s="35"/>
      <c r="B363" s="24"/>
      <c r="C363" s="25"/>
      <c r="D363" s="25"/>
      <c r="E363" s="25"/>
      <c r="F363" s="26">
        <f t="shared" si="492"/>
        <v>0</v>
      </c>
      <c r="G363" s="24"/>
      <c r="H363" s="25"/>
      <c r="I363" s="25"/>
      <c r="J363" s="25"/>
      <c r="K363" s="26">
        <f t="shared" si="493"/>
        <v>0</v>
      </c>
      <c r="L363" s="24"/>
      <c r="M363" s="25"/>
      <c r="N363" s="25"/>
      <c r="O363" s="25"/>
      <c r="P363" s="26">
        <f t="shared" si="494"/>
        <v>0</v>
      </c>
      <c r="Q363" s="26">
        <f t="shared" si="467"/>
        <v>0</v>
      </c>
      <c r="R363" s="55"/>
      <c r="S363" s="31" t="s">
        <v>202</v>
      </c>
      <c r="T363" s="6"/>
      <c r="U363" s="7"/>
      <c r="V363" s="7"/>
      <c r="W363" s="7"/>
      <c r="X363" s="9">
        <f t="shared" si="482"/>
        <v>0</v>
      </c>
      <c r="Y363" s="6"/>
      <c r="Z363" s="7"/>
      <c r="AA363" s="7"/>
      <c r="AB363" s="7">
        <v>2</v>
      </c>
      <c r="AC363" s="9">
        <f t="shared" si="483"/>
        <v>2</v>
      </c>
      <c r="AD363" s="6"/>
      <c r="AE363" s="7"/>
      <c r="AF363" s="7"/>
      <c r="AG363" s="7"/>
      <c r="AH363" s="9">
        <f t="shared" si="484"/>
        <v>0</v>
      </c>
      <c r="AI363" s="26">
        <f t="shared" si="485"/>
        <v>2</v>
      </c>
      <c r="AJ363" s="64">
        <v>45863</v>
      </c>
    </row>
    <row r="364" spans="1:36" x14ac:dyDescent="0.15">
      <c r="A364" s="35"/>
      <c r="B364" s="24"/>
      <c r="C364" s="25"/>
      <c r="D364" s="25"/>
      <c r="E364" s="25"/>
      <c r="F364" s="26">
        <f t="shared" si="492"/>
        <v>0</v>
      </c>
      <c r="G364" s="24"/>
      <c r="H364" s="25"/>
      <c r="I364" s="25"/>
      <c r="J364" s="25"/>
      <c r="K364" s="26">
        <f t="shared" si="493"/>
        <v>0</v>
      </c>
      <c r="L364" s="24"/>
      <c r="M364" s="25"/>
      <c r="N364" s="25"/>
      <c r="O364" s="25"/>
      <c r="P364" s="26">
        <f t="shared" si="494"/>
        <v>0</v>
      </c>
      <c r="Q364" s="26">
        <f t="shared" si="467"/>
        <v>0</v>
      </c>
      <c r="R364" s="55"/>
      <c r="S364" s="31" t="s">
        <v>203</v>
      </c>
      <c r="T364" s="6"/>
      <c r="U364" s="7"/>
      <c r="V364" s="7"/>
      <c r="W364" s="7"/>
      <c r="X364" s="9">
        <f t="shared" si="482"/>
        <v>0</v>
      </c>
      <c r="Y364" s="6"/>
      <c r="Z364" s="7">
        <v>5</v>
      </c>
      <c r="AA364" s="7"/>
      <c r="AB364" s="7"/>
      <c r="AC364" s="9">
        <f t="shared" si="483"/>
        <v>5</v>
      </c>
      <c r="AD364" s="6"/>
      <c r="AE364" s="7"/>
      <c r="AF364" s="7"/>
      <c r="AG364" s="7"/>
      <c r="AH364" s="9">
        <f t="shared" si="484"/>
        <v>0</v>
      </c>
      <c r="AI364" s="26">
        <f t="shared" si="485"/>
        <v>5</v>
      </c>
      <c r="AJ364" s="64">
        <v>45863</v>
      </c>
    </row>
    <row r="365" spans="1:36" x14ac:dyDescent="0.15">
      <c r="A365" s="35"/>
      <c r="B365" s="24"/>
      <c r="C365" s="25"/>
      <c r="D365" s="25"/>
      <c r="E365" s="25"/>
      <c r="F365" s="26">
        <f t="shared" si="492"/>
        <v>0</v>
      </c>
      <c r="G365" s="24"/>
      <c r="H365" s="25"/>
      <c r="I365" s="25"/>
      <c r="J365" s="25"/>
      <c r="K365" s="26">
        <f t="shared" si="493"/>
        <v>0</v>
      </c>
      <c r="L365" s="24"/>
      <c r="M365" s="25"/>
      <c r="N365" s="25"/>
      <c r="O365" s="25"/>
      <c r="P365" s="26">
        <f t="shared" si="494"/>
        <v>0</v>
      </c>
      <c r="Q365" s="26">
        <f t="shared" si="467"/>
        <v>0</v>
      </c>
      <c r="R365" s="55"/>
      <c r="S365" s="30" t="s">
        <v>31</v>
      </c>
      <c r="T365" s="6"/>
      <c r="U365" s="7"/>
      <c r="V365" s="7"/>
      <c r="W365" s="7"/>
      <c r="X365" s="9">
        <f t="shared" si="482"/>
        <v>0</v>
      </c>
      <c r="Y365" s="6"/>
      <c r="Z365" s="7"/>
      <c r="AA365" s="7"/>
      <c r="AB365" s="7">
        <v>3</v>
      </c>
      <c r="AC365" s="9">
        <f t="shared" si="483"/>
        <v>3</v>
      </c>
      <c r="AD365" s="6"/>
      <c r="AE365" s="7"/>
      <c r="AF365" s="7"/>
      <c r="AG365" s="7"/>
      <c r="AH365" s="9">
        <f t="shared" si="484"/>
        <v>0</v>
      </c>
      <c r="AI365" s="26">
        <f t="shared" si="485"/>
        <v>3</v>
      </c>
      <c r="AJ365" s="64">
        <v>45857</v>
      </c>
    </row>
    <row r="366" spans="1:36" x14ac:dyDescent="0.15">
      <c r="A366" s="35"/>
      <c r="B366" s="24"/>
      <c r="C366" s="25"/>
      <c r="D366" s="25"/>
      <c r="E366" s="25"/>
      <c r="F366" s="26">
        <f t="shared" si="492"/>
        <v>0</v>
      </c>
      <c r="G366" s="24"/>
      <c r="H366" s="25"/>
      <c r="I366" s="25"/>
      <c r="J366" s="25"/>
      <c r="K366" s="26">
        <f t="shared" si="493"/>
        <v>0</v>
      </c>
      <c r="L366" s="24"/>
      <c r="M366" s="25"/>
      <c r="N366" s="25"/>
      <c r="O366" s="25"/>
      <c r="P366" s="26">
        <f t="shared" si="494"/>
        <v>0</v>
      </c>
      <c r="Q366" s="26">
        <f t="shared" si="467"/>
        <v>0</v>
      </c>
      <c r="R366" s="55"/>
      <c r="S366" s="31" t="s">
        <v>204</v>
      </c>
      <c r="T366" s="6"/>
      <c r="U366" s="7"/>
      <c r="V366" s="7"/>
      <c r="W366" s="7"/>
      <c r="X366" s="9">
        <f t="shared" si="482"/>
        <v>0</v>
      </c>
      <c r="Y366" s="6"/>
      <c r="Z366" s="7"/>
      <c r="AA366" s="7"/>
      <c r="AB366" s="7"/>
      <c r="AC366" s="9">
        <f t="shared" si="483"/>
        <v>0</v>
      </c>
      <c r="AD366" s="6"/>
      <c r="AE366" s="7"/>
      <c r="AF366" s="7">
        <v>3</v>
      </c>
      <c r="AG366" s="7"/>
      <c r="AH366" s="9">
        <f t="shared" si="484"/>
        <v>3</v>
      </c>
      <c r="AI366" s="26">
        <f t="shared" si="485"/>
        <v>3</v>
      </c>
      <c r="AJ366" s="64">
        <v>45863</v>
      </c>
    </row>
    <row r="367" spans="1:36" x14ac:dyDescent="0.15">
      <c r="A367" s="35"/>
      <c r="B367" s="24"/>
      <c r="C367" s="25"/>
      <c r="D367" s="25"/>
      <c r="E367" s="25"/>
      <c r="F367" s="26">
        <f t="shared" si="492"/>
        <v>0</v>
      </c>
      <c r="G367" s="24"/>
      <c r="H367" s="25"/>
      <c r="I367" s="25"/>
      <c r="J367" s="25"/>
      <c r="K367" s="26">
        <f t="shared" si="493"/>
        <v>0</v>
      </c>
      <c r="L367" s="24"/>
      <c r="M367" s="25"/>
      <c r="N367" s="25"/>
      <c r="O367" s="25"/>
      <c r="P367" s="26">
        <f t="shared" si="494"/>
        <v>0</v>
      </c>
      <c r="Q367" s="26">
        <f t="shared" si="467"/>
        <v>0</v>
      </c>
      <c r="R367" s="55"/>
      <c r="S367" s="31" t="s">
        <v>205</v>
      </c>
      <c r="T367" s="6"/>
      <c r="U367" s="7"/>
      <c r="V367" s="7"/>
      <c r="W367" s="7"/>
      <c r="X367" s="9">
        <f t="shared" ref="X367:X374" si="502">SUM(T367:W367)</f>
        <v>0</v>
      </c>
      <c r="Y367" s="6"/>
      <c r="Z367" s="7"/>
      <c r="AA367" s="7"/>
      <c r="AB367" s="7"/>
      <c r="AC367" s="9">
        <f t="shared" ref="AC367:AC374" si="503">SUM(Y367:AB367)</f>
        <v>0</v>
      </c>
      <c r="AD367" s="6"/>
      <c r="AE367" s="7">
        <v>2</v>
      </c>
      <c r="AF367" s="7"/>
      <c r="AG367" s="7"/>
      <c r="AH367" s="9">
        <f t="shared" ref="AH367:AH374" si="504">SUM(AD367:AG367)</f>
        <v>2</v>
      </c>
      <c r="AI367" s="26">
        <f t="shared" si="459"/>
        <v>2</v>
      </c>
      <c r="AJ367" s="64">
        <v>45863</v>
      </c>
    </row>
    <row r="368" spans="1:36" x14ac:dyDescent="0.15">
      <c r="A368" s="35"/>
      <c r="B368" s="6"/>
      <c r="C368" s="7"/>
      <c r="D368" s="7"/>
      <c r="E368" s="7"/>
      <c r="F368" s="9">
        <f t="shared" si="492"/>
        <v>0</v>
      </c>
      <c r="G368" s="6"/>
      <c r="H368" s="7"/>
      <c r="I368" s="7"/>
      <c r="J368" s="7"/>
      <c r="K368" s="9">
        <f t="shared" si="493"/>
        <v>0</v>
      </c>
      <c r="L368" s="6"/>
      <c r="M368" s="7"/>
      <c r="N368" s="7"/>
      <c r="O368" s="7"/>
      <c r="P368" s="9">
        <f t="shared" si="494"/>
        <v>0</v>
      </c>
      <c r="Q368" s="26">
        <f t="shared" si="467"/>
        <v>0</v>
      </c>
      <c r="R368" s="55"/>
      <c r="S368" s="31" t="s">
        <v>206</v>
      </c>
      <c r="T368" s="6"/>
      <c r="U368" s="7"/>
      <c r="V368" s="7"/>
      <c r="W368" s="7"/>
      <c r="X368" s="9">
        <f t="shared" ref="X368:X372" si="505">SUM(T368:W368)</f>
        <v>0</v>
      </c>
      <c r="Y368" s="6"/>
      <c r="Z368" s="7"/>
      <c r="AA368" s="7"/>
      <c r="AB368" s="7"/>
      <c r="AC368" s="9">
        <f t="shared" ref="AC368:AC372" si="506">SUM(Y368:AB368)</f>
        <v>0</v>
      </c>
      <c r="AD368" s="6"/>
      <c r="AE368" s="7"/>
      <c r="AF368" s="7">
        <v>3</v>
      </c>
      <c r="AG368" s="7"/>
      <c r="AH368" s="9">
        <f t="shared" ref="AH368:AH372" si="507">SUM(AD368:AG368)</f>
        <v>3</v>
      </c>
      <c r="AI368" s="26">
        <f t="shared" ref="AI368:AI372" si="508">X368+AC368+AH368</f>
        <v>3</v>
      </c>
      <c r="AJ368" s="64">
        <v>45866</v>
      </c>
    </row>
    <row r="369" spans="1:37" x14ac:dyDescent="0.15">
      <c r="A369" s="35"/>
      <c r="B369" s="24"/>
      <c r="C369" s="25"/>
      <c r="D369" s="25"/>
      <c r="E369" s="25"/>
      <c r="F369" s="26">
        <f t="shared" si="492"/>
        <v>0</v>
      </c>
      <c r="G369" s="24"/>
      <c r="H369" s="25"/>
      <c r="I369" s="25"/>
      <c r="J369" s="25"/>
      <c r="K369" s="26">
        <f t="shared" si="493"/>
        <v>0</v>
      </c>
      <c r="L369" s="24"/>
      <c r="M369" s="25"/>
      <c r="N369" s="25"/>
      <c r="O369" s="25"/>
      <c r="P369" s="26">
        <f t="shared" si="494"/>
        <v>0</v>
      </c>
      <c r="Q369" s="26">
        <f t="shared" si="467"/>
        <v>0</v>
      </c>
      <c r="R369" s="55"/>
      <c r="S369" s="31" t="s">
        <v>207</v>
      </c>
      <c r="T369" s="6"/>
      <c r="U369" s="7">
        <v>1</v>
      </c>
      <c r="V369" s="7"/>
      <c r="W369" s="7"/>
      <c r="X369" s="9">
        <f t="shared" si="505"/>
        <v>1</v>
      </c>
      <c r="Y369" s="6"/>
      <c r="Z369" s="7"/>
      <c r="AA369" s="7"/>
      <c r="AB369" s="7"/>
      <c r="AC369" s="9">
        <f t="shared" si="506"/>
        <v>0</v>
      </c>
      <c r="AD369" s="6">
        <v>3</v>
      </c>
      <c r="AE369" s="7"/>
      <c r="AF369" s="7">
        <v>6</v>
      </c>
      <c r="AG369" s="7"/>
      <c r="AH369" s="9">
        <f t="shared" si="507"/>
        <v>9</v>
      </c>
      <c r="AI369" s="26">
        <f t="shared" si="508"/>
        <v>10</v>
      </c>
      <c r="AJ369" s="64">
        <v>45866</v>
      </c>
    </row>
    <row r="370" spans="1:37" x14ac:dyDescent="0.15">
      <c r="A370" s="35"/>
      <c r="B370" s="27"/>
      <c r="C370" s="28"/>
      <c r="D370" s="28"/>
      <c r="E370" s="28"/>
      <c r="F370" s="26">
        <f t="shared" si="492"/>
        <v>0</v>
      </c>
      <c r="G370" s="27"/>
      <c r="H370" s="28"/>
      <c r="I370" s="28"/>
      <c r="J370" s="28"/>
      <c r="K370" s="26">
        <f t="shared" si="493"/>
        <v>0</v>
      </c>
      <c r="L370" s="27"/>
      <c r="M370" s="28"/>
      <c r="N370" s="28"/>
      <c r="O370" s="28"/>
      <c r="P370" s="26">
        <f t="shared" si="494"/>
        <v>0</v>
      </c>
      <c r="Q370" s="26">
        <f t="shared" si="467"/>
        <v>0</v>
      </c>
      <c r="R370" s="55"/>
      <c r="S370" s="30" t="s">
        <v>31</v>
      </c>
      <c r="T370" s="6"/>
      <c r="U370" s="7"/>
      <c r="V370" s="7"/>
      <c r="W370" s="7"/>
      <c r="X370" s="9">
        <f t="shared" si="505"/>
        <v>0</v>
      </c>
      <c r="Y370" s="6"/>
      <c r="Z370" s="7">
        <v>5</v>
      </c>
      <c r="AA370" s="7">
        <v>5</v>
      </c>
      <c r="AB370" s="7">
        <v>5</v>
      </c>
      <c r="AC370" s="9">
        <f t="shared" si="506"/>
        <v>15</v>
      </c>
      <c r="AD370" s="6"/>
      <c r="AE370" s="7"/>
      <c r="AF370" s="7"/>
      <c r="AG370" s="7"/>
      <c r="AH370" s="9">
        <f t="shared" si="507"/>
        <v>0</v>
      </c>
      <c r="AI370" s="26">
        <f t="shared" si="508"/>
        <v>15</v>
      </c>
      <c r="AJ370" s="64">
        <v>45867</v>
      </c>
    </row>
    <row r="371" spans="1:37" x14ac:dyDescent="0.15">
      <c r="A371" s="35"/>
      <c r="B371" s="24"/>
      <c r="C371" s="25"/>
      <c r="D371" s="25"/>
      <c r="E371" s="25"/>
      <c r="F371" s="26">
        <f t="shared" si="492"/>
        <v>0</v>
      </c>
      <c r="G371" s="24"/>
      <c r="H371" s="25"/>
      <c r="I371" s="25"/>
      <c r="J371" s="25"/>
      <c r="K371" s="26">
        <f t="shared" si="493"/>
        <v>0</v>
      </c>
      <c r="L371" s="24"/>
      <c r="M371" s="25"/>
      <c r="N371" s="25"/>
      <c r="O371" s="25"/>
      <c r="P371" s="26">
        <f t="shared" si="494"/>
        <v>0</v>
      </c>
      <c r="Q371" s="26">
        <f t="shared" si="467"/>
        <v>0</v>
      </c>
      <c r="R371" s="55"/>
      <c r="S371" s="31" t="s">
        <v>208</v>
      </c>
      <c r="T371" s="6"/>
      <c r="U371" s="7"/>
      <c r="V371" s="7"/>
      <c r="W371" s="7"/>
      <c r="X371" s="9">
        <f t="shared" si="505"/>
        <v>0</v>
      </c>
      <c r="Y371" s="6"/>
      <c r="Z371" s="7"/>
      <c r="AA371" s="7">
        <v>4</v>
      </c>
      <c r="AB371" s="7"/>
      <c r="AC371" s="9">
        <f t="shared" si="506"/>
        <v>4</v>
      </c>
      <c r="AD371" s="6"/>
      <c r="AE371" s="7"/>
      <c r="AF371" s="7"/>
      <c r="AG371" s="7"/>
      <c r="AH371" s="9">
        <f t="shared" si="507"/>
        <v>0</v>
      </c>
      <c r="AI371" s="26">
        <f t="shared" si="508"/>
        <v>4</v>
      </c>
      <c r="AJ371" s="64">
        <v>45870</v>
      </c>
    </row>
    <row r="372" spans="1:37" x14ac:dyDescent="0.15">
      <c r="A372" s="35"/>
      <c r="B372" s="24"/>
      <c r="C372" s="25"/>
      <c r="D372" s="25"/>
      <c r="E372" s="25"/>
      <c r="F372" s="26">
        <f t="shared" si="492"/>
        <v>0</v>
      </c>
      <c r="G372" s="24"/>
      <c r="H372" s="25"/>
      <c r="I372" s="25"/>
      <c r="J372" s="25"/>
      <c r="K372" s="26">
        <f t="shared" si="493"/>
        <v>0</v>
      </c>
      <c r="L372" s="24"/>
      <c r="M372" s="25"/>
      <c r="N372" s="25"/>
      <c r="O372" s="25"/>
      <c r="P372" s="26">
        <f t="shared" si="494"/>
        <v>0</v>
      </c>
      <c r="Q372" s="26">
        <f t="shared" si="467"/>
        <v>0</v>
      </c>
      <c r="R372" s="55"/>
      <c r="S372" s="31"/>
      <c r="T372" s="6"/>
      <c r="U372" s="7"/>
      <c r="V372" s="7"/>
      <c r="W372" s="7"/>
      <c r="X372" s="9">
        <f t="shared" si="505"/>
        <v>0</v>
      </c>
      <c r="Y372" s="6"/>
      <c r="Z372" s="7"/>
      <c r="AA372" s="7"/>
      <c r="AB372" s="7"/>
      <c r="AC372" s="9">
        <f t="shared" si="506"/>
        <v>0</v>
      </c>
      <c r="AD372" s="6"/>
      <c r="AE372" s="7"/>
      <c r="AF372" s="7"/>
      <c r="AG372" s="7"/>
      <c r="AH372" s="9">
        <f t="shared" si="507"/>
        <v>0</v>
      </c>
      <c r="AI372" s="26">
        <f t="shared" si="508"/>
        <v>0</v>
      </c>
      <c r="AJ372" s="65"/>
    </row>
    <row r="373" spans="1:37" x14ac:dyDescent="0.15">
      <c r="A373" s="56"/>
      <c r="B373" s="24"/>
      <c r="C373" s="25"/>
      <c r="D373" s="25"/>
      <c r="E373" s="25"/>
      <c r="F373" s="26">
        <f t="shared" si="492"/>
        <v>0</v>
      </c>
      <c r="G373" s="24"/>
      <c r="H373" s="25"/>
      <c r="I373" s="25"/>
      <c r="J373" s="25"/>
      <c r="K373" s="26">
        <f t="shared" si="493"/>
        <v>0</v>
      </c>
      <c r="L373" s="24"/>
      <c r="M373" s="25"/>
      <c r="N373" s="25"/>
      <c r="O373" s="25"/>
      <c r="P373" s="26">
        <f t="shared" si="494"/>
        <v>0</v>
      </c>
      <c r="Q373" s="26">
        <f t="shared" si="467"/>
        <v>0</v>
      </c>
      <c r="R373" s="55"/>
      <c r="S373" s="31"/>
      <c r="T373" s="6"/>
      <c r="U373" s="7"/>
      <c r="V373" s="7"/>
      <c r="W373" s="7"/>
      <c r="X373" s="9">
        <f t="shared" ref="X373" si="509">SUM(T373:W373)</f>
        <v>0</v>
      </c>
      <c r="Y373" s="6"/>
      <c r="Z373" s="7"/>
      <c r="AA373" s="7"/>
      <c r="AB373" s="7"/>
      <c r="AC373" s="9">
        <f t="shared" ref="AC373" si="510">SUM(Y373:AB373)</f>
        <v>0</v>
      </c>
      <c r="AD373" s="6"/>
      <c r="AE373" s="7"/>
      <c r="AF373" s="7"/>
      <c r="AG373" s="7"/>
      <c r="AH373" s="9">
        <f t="shared" ref="AH373" si="511">SUM(AD373:AG373)</f>
        <v>0</v>
      </c>
      <c r="AI373" s="26">
        <f t="shared" ref="AI373" si="512">X373+AC373+AH373</f>
        <v>0</v>
      </c>
      <c r="AJ373" s="65"/>
      <c r="AK373" s="50"/>
    </row>
    <row r="374" spans="1:37" ht="14.25" thickBot="1" x14ac:dyDescent="0.2">
      <c r="A374" s="57"/>
      <c r="B374" s="10"/>
      <c r="C374" s="11"/>
      <c r="D374" s="11"/>
      <c r="E374" s="11"/>
      <c r="F374" s="9">
        <f t="shared" si="492"/>
        <v>0</v>
      </c>
      <c r="G374" s="10"/>
      <c r="H374" s="11"/>
      <c r="I374" s="11"/>
      <c r="J374" s="11"/>
      <c r="K374" s="9">
        <f t="shared" si="493"/>
        <v>0</v>
      </c>
      <c r="L374" s="10"/>
      <c r="M374" s="11"/>
      <c r="N374" s="11"/>
      <c r="O374" s="11"/>
      <c r="P374" s="9">
        <f t="shared" si="494"/>
        <v>0</v>
      </c>
      <c r="Q374" s="43">
        <f t="shared" si="467"/>
        <v>0</v>
      </c>
      <c r="R374" s="55"/>
      <c r="S374" s="31" t="s">
        <v>147</v>
      </c>
      <c r="T374" s="97"/>
      <c r="U374" s="98"/>
      <c r="V374" s="98"/>
      <c r="W374" s="98"/>
      <c r="X374" s="99">
        <f t="shared" si="502"/>
        <v>0</v>
      </c>
      <c r="Y374" s="6"/>
      <c r="Z374" s="7"/>
      <c r="AA374" s="7"/>
      <c r="AB374" s="7"/>
      <c r="AC374" s="9">
        <f t="shared" si="503"/>
        <v>0</v>
      </c>
      <c r="AD374" s="6"/>
      <c r="AE374" s="7"/>
      <c r="AF374" s="7"/>
      <c r="AG374" s="7"/>
      <c r="AH374" s="9">
        <f t="shared" si="504"/>
        <v>0</v>
      </c>
      <c r="AI374" s="26">
        <f t="shared" si="459"/>
        <v>0</v>
      </c>
      <c r="AJ374" s="65" t="s">
        <v>146</v>
      </c>
      <c r="AK374" s="50"/>
    </row>
    <row r="375" spans="1:37" ht="15" thickBot="1" x14ac:dyDescent="0.2">
      <c r="A375" s="5" t="s">
        <v>14</v>
      </c>
      <c r="B375" s="12">
        <f>SUM(B349:B374)</f>
        <v>1</v>
      </c>
      <c r="C375" s="13">
        <f t="shared" ref="C375:P375" si="513">SUM(C349:C374)</f>
        <v>0</v>
      </c>
      <c r="D375" s="13">
        <f t="shared" si="513"/>
        <v>1</v>
      </c>
      <c r="E375" s="14">
        <f t="shared" si="513"/>
        <v>0</v>
      </c>
      <c r="F375" s="8">
        <f t="shared" si="513"/>
        <v>2</v>
      </c>
      <c r="G375" s="12">
        <f t="shared" si="513"/>
        <v>2</v>
      </c>
      <c r="H375" s="13">
        <f t="shared" si="513"/>
        <v>6</v>
      </c>
      <c r="I375" s="13">
        <f t="shared" si="513"/>
        <v>3</v>
      </c>
      <c r="J375" s="14">
        <f t="shared" si="513"/>
        <v>12</v>
      </c>
      <c r="K375" s="8">
        <f t="shared" si="513"/>
        <v>23</v>
      </c>
      <c r="L375" s="12">
        <f t="shared" si="513"/>
        <v>0</v>
      </c>
      <c r="M375" s="13">
        <f t="shared" si="513"/>
        <v>0</v>
      </c>
      <c r="N375" s="13">
        <f t="shared" si="513"/>
        <v>0</v>
      </c>
      <c r="O375" s="14">
        <f t="shared" si="513"/>
        <v>0</v>
      </c>
      <c r="P375" s="8">
        <f t="shared" si="513"/>
        <v>0</v>
      </c>
      <c r="Q375" s="34">
        <f t="shared" si="467"/>
        <v>25</v>
      </c>
      <c r="R375" s="54"/>
      <c r="S375" s="5" t="s">
        <v>14</v>
      </c>
      <c r="T375" s="12">
        <f>SUM(T349:T374)</f>
        <v>3</v>
      </c>
      <c r="U375" s="13">
        <f t="shared" ref="U375" si="514">SUM(U349:U374)</f>
        <v>1</v>
      </c>
      <c r="V375" s="13">
        <f t="shared" ref="V375" si="515">SUM(V349:V374)</f>
        <v>7</v>
      </c>
      <c r="W375" s="14">
        <f t="shared" ref="W375" si="516">SUM(W349:W374)</f>
        <v>0</v>
      </c>
      <c r="X375" s="8">
        <f>SUM(X349:X374)</f>
        <v>11</v>
      </c>
      <c r="Y375" s="12">
        <f>SUM(Y349:Y374)</f>
        <v>13</v>
      </c>
      <c r="Z375" s="13">
        <f t="shared" ref="Z375" si="517">SUM(Z349:Z374)</f>
        <v>30</v>
      </c>
      <c r="AA375" s="13">
        <f t="shared" ref="AA375" si="518">SUM(AA349:AA374)</f>
        <v>15</v>
      </c>
      <c r="AB375" s="14">
        <f t="shared" ref="AB375" si="519">SUM(AB349:AB374)</f>
        <v>36</v>
      </c>
      <c r="AC375" s="8">
        <f>SUM(AC349:AC374)</f>
        <v>94</v>
      </c>
      <c r="AD375" s="12">
        <f>SUM(AD349:AD374)</f>
        <v>10</v>
      </c>
      <c r="AE375" s="13">
        <f t="shared" ref="AE375" si="520">SUM(AE349:AE374)</f>
        <v>9</v>
      </c>
      <c r="AF375" s="13">
        <f t="shared" ref="AF375" si="521">SUM(AF349:AF374)</f>
        <v>12</v>
      </c>
      <c r="AG375" s="14">
        <f t="shared" ref="AG375" si="522">SUM(AG349:AG374)</f>
        <v>2</v>
      </c>
      <c r="AH375" s="8">
        <f>SUM(AH349:AH374)</f>
        <v>33</v>
      </c>
      <c r="AI375" s="34">
        <f>X375+AC375+AH375</f>
        <v>138</v>
      </c>
    </row>
    <row r="376" spans="1:37" ht="14.25" thickBot="1" x14ac:dyDescent="0.2">
      <c r="A376" s="15" t="s">
        <v>15</v>
      </c>
      <c r="B376" s="16">
        <f>B348-B375</f>
        <v>3</v>
      </c>
      <c r="C376" s="17">
        <f>C348-C375</f>
        <v>4</v>
      </c>
      <c r="D376" s="17">
        <f t="shared" ref="D376:P376" si="523">D348-D375</f>
        <v>4</v>
      </c>
      <c r="E376" s="18">
        <f t="shared" si="523"/>
        <v>5</v>
      </c>
      <c r="F376" s="44">
        <f t="shared" si="523"/>
        <v>16</v>
      </c>
      <c r="G376" s="16">
        <f t="shared" si="523"/>
        <v>4</v>
      </c>
      <c r="H376" s="17">
        <f t="shared" si="523"/>
        <v>6</v>
      </c>
      <c r="I376" s="17">
        <f t="shared" si="523"/>
        <v>7</v>
      </c>
      <c r="J376" s="18">
        <f t="shared" si="523"/>
        <v>3</v>
      </c>
      <c r="K376" s="44">
        <f t="shared" si="523"/>
        <v>20</v>
      </c>
      <c r="L376" s="16">
        <f t="shared" si="523"/>
        <v>0</v>
      </c>
      <c r="M376" s="17">
        <f t="shared" si="523"/>
        <v>2</v>
      </c>
      <c r="N376" s="17">
        <f t="shared" si="523"/>
        <v>0</v>
      </c>
      <c r="O376" s="18">
        <f t="shared" si="523"/>
        <v>3</v>
      </c>
      <c r="P376" s="44">
        <f t="shared" si="523"/>
        <v>5</v>
      </c>
      <c r="Q376" s="34">
        <f t="shared" si="467"/>
        <v>41</v>
      </c>
      <c r="R376" s="54"/>
      <c r="S376" s="15" t="s">
        <v>15</v>
      </c>
      <c r="T376" s="16">
        <f>T348-T375</f>
        <v>103</v>
      </c>
      <c r="U376" s="17">
        <f t="shared" ref="U376" si="524">U348-U375</f>
        <v>110</v>
      </c>
      <c r="V376" s="17">
        <f t="shared" ref="V376" si="525">V348-V375</f>
        <v>59</v>
      </c>
      <c r="W376" s="18">
        <f t="shared" ref="W376" si="526">W348-W375</f>
        <v>39</v>
      </c>
      <c r="X376" s="44">
        <f>X348-X375</f>
        <v>311</v>
      </c>
      <c r="Y376" s="16">
        <f>Y348-Y375</f>
        <v>112</v>
      </c>
      <c r="Z376" s="17">
        <f t="shared" ref="Z376" si="527">Z348-Z375</f>
        <v>126</v>
      </c>
      <c r="AA376" s="17">
        <f t="shared" ref="AA376" si="528">AA348-AA375</f>
        <v>110</v>
      </c>
      <c r="AB376" s="18">
        <f t="shared" ref="AB376" si="529">AB348-AB375</f>
        <v>67</v>
      </c>
      <c r="AC376" s="44">
        <f>AC348-AC375</f>
        <v>415</v>
      </c>
      <c r="AD376" s="16">
        <f>AD348-AD375</f>
        <v>113</v>
      </c>
      <c r="AE376" s="17">
        <f t="shared" ref="AE376" si="530">AE348-AE375</f>
        <v>186</v>
      </c>
      <c r="AF376" s="17">
        <f t="shared" ref="AF376" si="531">AF348-AF375</f>
        <v>116</v>
      </c>
      <c r="AG376" s="18">
        <f t="shared" ref="AG376" si="532">AG348-AG375</f>
        <v>125</v>
      </c>
      <c r="AH376" s="44">
        <f>AH348-AH375</f>
        <v>540</v>
      </c>
      <c r="AI376" s="34">
        <f>X376+AC376+AH376</f>
        <v>1266</v>
      </c>
    </row>
    <row r="379" spans="1:37" ht="19.5" thickBot="1" x14ac:dyDescent="0.25">
      <c r="A379" s="58" t="s">
        <v>1</v>
      </c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4"/>
      <c r="S379" s="58" t="s">
        <v>8</v>
      </c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75"/>
      <c r="AF379" s="75"/>
      <c r="AG379" s="75"/>
      <c r="AH379" s="59"/>
      <c r="AI379" s="59"/>
    </row>
    <row r="380" spans="1:37" ht="14.25" thickBot="1" x14ac:dyDescent="0.2">
      <c r="A380" s="52" t="s">
        <v>9</v>
      </c>
      <c r="B380" s="130" t="s">
        <v>10</v>
      </c>
      <c r="C380" s="131"/>
      <c r="D380" s="131"/>
      <c r="E380" s="131"/>
      <c r="F380" s="132"/>
      <c r="G380" s="133" t="s">
        <v>11</v>
      </c>
      <c r="H380" s="134"/>
      <c r="I380" s="134"/>
      <c r="J380" s="134"/>
      <c r="K380" s="135"/>
      <c r="L380" s="136" t="s">
        <v>131</v>
      </c>
      <c r="M380" s="137"/>
      <c r="N380" s="137"/>
      <c r="O380" s="137"/>
      <c r="P380" s="138"/>
      <c r="Q380" s="139" t="s">
        <v>7</v>
      </c>
      <c r="R380" s="54"/>
      <c r="S380" s="52" t="s">
        <v>9</v>
      </c>
      <c r="T380" s="130" t="s">
        <v>10</v>
      </c>
      <c r="U380" s="131"/>
      <c r="V380" s="131"/>
      <c r="W380" s="131"/>
      <c r="X380" s="132"/>
      <c r="Y380" s="133" t="s">
        <v>11</v>
      </c>
      <c r="Z380" s="134"/>
      <c r="AA380" s="134"/>
      <c r="AB380" s="134"/>
      <c r="AC380" s="135"/>
      <c r="AD380" s="136" t="s">
        <v>131</v>
      </c>
      <c r="AE380" s="137"/>
      <c r="AF380" s="137"/>
      <c r="AG380" s="137"/>
      <c r="AH380" s="138"/>
      <c r="AI380" s="139" t="s">
        <v>7</v>
      </c>
    </row>
    <row r="381" spans="1:37" ht="14.25" thickBot="1" x14ac:dyDescent="0.2">
      <c r="A381" s="52" t="s">
        <v>2</v>
      </c>
      <c r="B381" s="2" t="s">
        <v>3</v>
      </c>
      <c r="C381" s="3" t="s">
        <v>4</v>
      </c>
      <c r="D381" s="3" t="s">
        <v>5</v>
      </c>
      <c r="E381" s="4" t="s">
        <v>6</v>
      </c>
      <c r="F381" s="1" t="s">
        <v>0</v>
      </c>
      <c r="G381" s="2" t="s">
        <v>3</v>
      </c>
      <c r="H381" s="3" t="s">
        <v>4</v>
      </c>
      <c r="I381" s="3" t="s">
        <v>5</v>
      </c>
      <c r="J381" s="4" t="s">
        <v>6</v>
      </c>
      <c r="K381" s="1" t="s">
        <v>0</v>
      </c>
      <c r="L381" s="2" t="s">
        <v>3</v>
      </c>
      <c r="M381" s="3" t="s">
        <v>4</v>
      </c>
      <c r="N381" s="3" t="s">
        <v>5</v>
      </c>
      <c r="O381" s="4" t="s">
        <v>6</v>
      </c>
      <c r="P381" s="1" t="s">
        <v>0</v>
      </c>
      <c r="Q381" s="140"/>
      <c r="R381" s="54"/>
      <c r="S381" s="52" t="s">
        <v>2</v>
      </c>
      <c r="T381" s="2" t="s">
        <v>3</v>
      </c>
      <c r="U381" s="3" t="s">
        <v>4</v>
      </c>
      <c r="V381" s="3" t="s">
        <v>5</v>
      </c>
      <c r="W381" s="4" t="s">
        <v>6</v>
      </c>
      <c r="X381" s="1" t="s">
        <v>0</v>
      </c>
      <c r="Y381" s="2" t="s">
        <v>3</v>
      </c>
      <c r="Z381" s="3" t="s">
        <v>4</v>
      </c>
      <c r="AA381" s="3" t="s">
        <v>5</v>
      </c>
      <c r="AB381" s="4" t="s">
        <v>6</v>
      </c>
      <c r="AC381" s="1" t="s">
        <v>0</v>
      </c>
      <c r="AD381" s="2" t="s">
        <v>3</v>
      </c>
      <c r="AE381" s="3" t="s">
        <v>4</v>
      </c>
      <c r="AF381" s="3" t="s">
        <v>5</v>
      </c>
      <c r="AG381" s="4" t="s">
        <v>6</v>
      </c>
      <c r="AH381" s="1" t="s">
        <v>0</v>
      </c>
      <c r="AI381" s="140"/>
    </row>
    <row r="382" spans="1:37" ht="14.25" x14ac:dyDescent="0.15">
      <c r="A382" s="45" t="s">
        <v>16</v>
      </c>
      <c r="B382" s="32">
        <f>B376</f>
        <v>3</v>
      </c>
      <c r="C382" s="32">
        <f t="shared" ref="C382:P382" si="533">C376</f>
        <v>4</v>
      </c>
      <c r="D382" s="32">
        <f t="shared" si="533"/>
        <v>4</v>
      </c>
      <c r="E382" s="38">
        <f t="shared" si="533"/>
        <v>5</v>
      </c>
      <c r="F382" s="33">
        <f t="shared" si="533"/>
        <v>16</v>
      </c>
      <c r="G382" s="32">
        <f t="shared" si="533"/>
        <v>4</v>
      </c>
      <c r="H382" s="32">
        <f t="shared" si="533"/>
        <v>6</v>
      </c>
      <c r="I382" s="32">
        <f t="shared" si="533"/>
        <v>7</v>
      </c>
      <c r="J382" s="38">
        <f t="shared" si="533"/>
        <v>3</v>
      </c>
      <c r="K382" s="33">
        <f t="shared" si="533"/>
        <v>20</v>
      </c>
      <c r="L382" s="32">
        <f t="shared" si="533"/>
        <v>0</v>
      </c>
      <c r="M382" s="32">
        <f t="shared" si="533"/>
        <v>2</v>
      </c>
      <c r="N382" s="32">
        <f t="shared" si="533"/>
        <v>0</v>
      </c>
      <c r="O382" s="38">
        <f t="shared" si="533"/>
        <v>3</v>
      </c>
      <c r="P382" s="33">
        <f t="shared" si="533"/>
        <v>5</v>
      </c>
      <c r="Q382" s="33">
        <f>F382+K382+P382</f>
        <v>41</v>
      </c>
      <c r="R382" s="54"/>
      <c r="S382" s="45" t="s">
        <v>16</v>
      </c>
      <c r="T382" s="32">
        <f>T376</f>
        <v>103</v>
      </c>
      <c r="U382" s="32">
        <f t="shared" ref="U382:AI382" si="534">U376</f>
        <v>110</v>
      </c>
      <c r="V382" s="32">
        <f t="shared" si="534"/>
        <v>59</v>
      </c>
      <c r="W382" s="38">
        <f t="shared" si="534"/>
        <v>39</v>
      </c>
      <c r="X382" s="33">
        <f t="shared" si="534"/>
        <v>311</v>
      </c>
      <c r="Y382" s="32">
        <f t="shared" si="534"/>
        <v>112</v>
      </c>
      <c r="Z382" s="32">
        <f t="shared" si="534"/>
        <v>126</v>
      </c>
      <c r="AA382" s="32">
        <f t="shared" si="534"/>
        <v>110</v>
      </c>
      <c r="AB382" s="38">
        <f t="shared" si="534"/>
        <v>67</v>
      </c>
      <c r="AC382" s="33">
        <f t="shared" si="534"/>
        <v>415</v>
      </c>
      <c r="AD382" s="32">
        <f t="shared" si="534"/>
        <v>113</v>
      </c>
      <c r="AE382" s="32">
        <f t="shared" si="534"/>
        <v>186</v>
      </c>
      <c r="AF382" s="32">
        <f t="shared" si="534"/>
        <v>116</v>
      </c>
      <c r="AG382" s="38">
        <f t="shared" si="534"/>
        <v>125</v>
      </c>
      <c r="AH382" s="33">
        <f t="shared" si="534"/>
        <v>540</v>
      </c>
      <c r="AI382" s="62">
        <f t="shared" si="534"/>
        <v>1266</v>
      </c>
    </row>
    <row r="383" spans="1:37" x14ac:dyDescent="0.15">
      <c r="A383" s="23" t="s">
        <v>17</v>
      </c>
      <c r="B383" s="24"/>
      <c r="C383" s="36"/>
      <c r="D383" s="36"/>
      <c r="E383" s="41"/>
      <c r="F383" s="26">
        <f t="shared" ref="F383:F384" si="535">SUM(B383:E383)</f>
        <v>0</v>
      </c>
      <c r="G383" s="25"/>
      <c r="H383" s="36"/>
      <c r="I383" s="36"/>
      <c r="J383" s="41">
        <v>2</v>
      </c>
      <c r="K383" s="26">
        <f t="shared" ref="K383:K384" si="536">SUM(G383:J383)</f>
        <v>2</v>
      </c>
      <c r="L383" s="25"/>
      <c r="M383" s="36"/>
      <c r="N383" s="36"/>
      <c r="O383" s="41"/>
      <c r="P383" s="26">
        <f t="shared" ref="P383:P384" si="537">SUM(L383:O383)</f>
        <v>0</v>
      </c>
      <c r="Q383" s="26">
        <f t="shared" ref="Q383:Q389" si="538">F383+K383+P383</f>
        <v>2</v>
      </c>
      <c r="R383" s="55">
        <v>45869</v>
      </c>
      <c r="S383" s="23" t="s">
        <v>133</v>
      </c>
      <c r="T383" s="24"/>
      <c r="U383" s="25">
        <v>1</v>
      </c>
      <c r="V383" s="25"/>
      <c r="W383" s="25">
        <v>2</v>
      </c>
      <c r="X383" s="26">
        <f t="shared" ref="X383" si="539">SUM(T383:W383)</f>
        <v>3</v>
      </c>
      <c r="Y383" s="24"/>
      <c r="Z383" s="25"/>
      <c r="AA383" s="25"/>
      <c r="AB383" s="25">
        <v>2</v>
      </c>
      <c r="AC383" s="26">
        <f t="shared" ref="AC383" si="540">SUM(Y383:AB383)</f>
        <v>2</v>
      </c>
      <c r="AD383" s="24"/>
      <c r="AE383" s="25">
        <v>3</v>
      </c>
      <c r="AF383" s="25">
        <v>2</v>
      </c>
      <c r="AG383" s="25">
        <v>4</v>
      </c>
      <c r="AH383" s="26">
        <f t="shared" ref="AH383" si="541">SUM(AD383:AG383)</f>
        <v>9</v>
      </c>
      <c r="AI383" s="26">
        <f t="shared" ref="AI383" si="542">X383+AC383+AH383</f>
        <v>14</v>
      </c>
      <c r="AJ383" s="100">
        <v>45906</v>
      </c>
    </row>
    <row r="384" spans="1:37" x14ac:dyDescent="0.15">
      <c r="A384" s="23" t="s">
        <v>17</v>
      </c>
      <c r="B384" s="24">
        <v>2</v>
      </c>
      <c r="C384" s="36"/>
      <c r="D384" s="36">
        <v>2</v>
      </c>
      <c r="E384" s="41">
        <v>2</v>
      </c>
      <c r="F384" s="26">
        <f t="shared" si="535"/>
        <v>6</v>
      </c>
      <c r="G384" s="25"/>
      <c r="H384" s="36"/>
      <c r="I384" s="36"/>
      <c r="J384" s="41">
        <v>2</v>
      </c>
      <c r="K384" s="26">
        <f t="shared" si="536"/>
        <v>2</v>
      </c>
      <c r="L384" s="25"/>
      <c r="M384" s="36"/>
      <c r="N384" s="36"/>
      <c r="O384" s="41"/>
      <c r="P384" s="26">
        <f t="shared" si="537"/>
        <v>0</v>
      </c>
      <c r="Q384" s="26">
        <f t="shared" si="538"/>
        <v>8</v>
      </c>
      <c r="R384" s="55">
        <v>45876</v>
      </c>
      <c r="S384" s="23" t="s">
        <v>17</v>
      </c>
      <c r="T384" s="25"/>
      <c r="U384" s="25"/>
      <c r="V384" s="25"/>
      <c r="W384" s="39"/>
      <c r="X384" s="22">
        <f t="shared" ref="X384:X389" si="543">SUM(T384:W384)</f>
        <v>0</v>
      </c>
      <c r="Y384" s="25"/>
      <c r="Z384" s="25"/>
      <c r="AA384" s="25"/>
      <c r="AB384" s="39"/>
      <c r="AC384" s="22">
        <f t="shared" ref="AC384:AC389" si="544">SUM(Y384:AB384)</f>
        <v>0</v>
      </c>
      <c r="AD384" s="25"/>
      <c r="AE384" s="25"/>
      <c r="AF384" s="25"/>
      <c r="AG384" s="39"/>
      <c r="AH384" s="22">
        <f t="shared" ref="AH384:AH389" si="545">SUM(AD384:AG384)</f>
        <v>0</v>
      </c>
      <c r="AI384" s="26">
        <f t="shared" ref="AI384:AI416" si="546">X384+AC384+AH384</f>
        <v>0</v>
      </c>
      <c r="AJ384" s="53"/>
    </row>
    <row r="385" spans="1:36" x14ac:dyDescent="0.15">
      <c r="A385" s="23" t="s">
        <v>53</v>
      </c>
      <c r="B385" s="24"/>
      <c r="C385" s="36"/>
      <c r="D385" s="36"/>
      <c r="E385" s="41"/>
      <c r="F385" s="26">
        <f t="shared" ref="F385:F389" si="547">SUM(B385:E385)</f>
        <v>0</v>
      </c>
      <c r="G385" s="25"/>
      <c r="H385" s="36"/>
      <c r="I385" s="36"/>
      <c r="J385" s="41"/>
      <c r="K385" s="26">
        <f t="shared" ref="K385:K389" si="548">SUM(G385:J385)</f>
        <v>0</v>
      </c>
      <c r="L385" s="25">
        <v>0</v>
      </c>
      <c r="M385" s="36">
        <v>0</v>
      </c>
      <c r="N385" s="36">
        <v>0</v>
      </c>
      <c r="O385" s="41">
        <v>0</v>
      </c>
      <c r="P385" s="26">
        <f t="shared" ref="P385:P389" si="549">SUM(L385:O385)</f>
        <v>0</v>
      </c>
      <c r="Q385" s="26">
        <f t="shared" si="538"/>
        <v>0</v>
      </c>
      <c r="R385" s="55">
        <v>45878</v>
      </c>
      <c r="S385" s="23" t="s">
        <v>17</v>
      </c>
      <c r="T385" s="25"/>
      <c r="U385" s="25"/>
      <c r="V385" s="25"/>
      <c r="W385" s="39"/>
      <c r="X385" s="22">
        <f t="shared" si="543"/>
        <v>0</v>
      </c>
      <c r="Y385" s="25"/>
      <c r="Z385" s="25"/>
      <c r="AA385" s="25"/>
      <c r="AB385" s="39"/>
      <c r="AC385" s="22">
        <f t="shared" si="544"/>
        <v>0</v>
      </c>
      <c r="AD385" s="25"/>
      <c r="AE385" s="25"/>
      <c r="AF385" s="25"/>
      <c r="AG385" s="39"/>
      <c r="AH385" s="22">
        <f t="shared" si="545"/>
        <v>0</v>
      </c>
      <c r="AI385" s="26">
        <f t="shared" si="546"/>
        <v>0</v>
      </c>
      <c r="AJ385" s="53"/>
    </row>
    <row r="386" spans="1:36" x14ac:dyDescent="0.15">
      <c r="A386" s="23" t="s">
        <v>17</v>
      </c>
      <c r="B386" s="24"/>
      <c r="C386" s="36"/>
      <c r="D386" s="36"/>
      <c r="E386" s="41"/>
      <c r="F386" s="26">
        <f t="shared" si="547"/>
        <v>0</v>
      </c>
      <c r="G386" s="25"/>
      <c r="H386" s="36">
        <v>5</v>
      </c>
      <c r="I386" s="36"/>
      <c r="J386" s="41">
        <v>10</v>
      </c>
      <c r="K386" s="26">
        <f t="shared" si="548"/>
        <v>15</v>
      </c>
      <c r="L386" s="25"/>
      <c r="M386" s="36"/>
      <c r="N386" s="36"/>
      <c r="O386" s="41"/>
      <c r="P386" s="26">
        <f t="shared" si="549"/>
        <v>0</v>
      </c>
      <c r="Q386" s="26">
        <f t="shared" si="538"/>
        <v>15</v>
      </c>
      <c r="R386" s="55">
        <v>45888</v>
      </c>
      <c r="S386" s="23" t="s">
        <v>17</v>
      </c>
      <c r="T386" s="28"/>
      <c r="U386" s="28"/>
      <c r="V386" s="28"/>
      <c r="W386" s="40"/>
      <c r="X386" s="29">
        <f t="shared" si="543"/>
        <v>0</v>
      </c>
      <c r="Y386" s="28"/>
      <c r="Z386" s="28"/>
      <c r="AA386" s="28"/>
      <c r="AB386" s="40"/>
      <c r="AC386" s="29">
        <f t="shared" si="544"/>
        <v>0</v>
      </c>
      <c r="AD386" s="28"/>
      <c r="AE386" s="28"/>
      <c r="AF386" s="28"/>
      <c r="AG386" s="40"/>
      <c r="AH386" s="29">
        <f t="shared" si="545"/>
        <v>0</v>
      </c>
      <c r="AI386" s="26">
        <f t="shared" si="546"/>
        <v>0</v>
      </c>
      <c r="AJ386" s="53"/>
    </row>
    <row r="387" spans="1:36" x14ac:dyDescent="0.15">
      <c r="A387" s="23" t="s">
        <v>34</v>
      </c>
      <c r="B387" s="24"/>
      <c r="C387" s="36"/>
      <c r="D387" s="36"/>
      <c r="E387" s="41"/>
      <c r="F387" s="26">
        <f t="shared" si="547"/>
        <v>0</v>
      </c>
      <c r="G387" s="25"/>
      <c r="H387" s="36"/>
      <c r="I387" s="36"/>
      <c r="J387" s="41"/>
      <c r="K387" s="26">
        <f t="shared" si="548"/>
        <v>0</v>
      </c>
      <c r="L387" s="25"/>
      <c r="M387" s="36"/>
      <c r="N387" s="36">
        <v>1</v>
      </c>
      <c r="O387" s="41"/>
      <c r="P387" s="26">
        <f t="shared" si="549"/>
        <v>1</v>
      </c>
      <c r="Q387" s="26">
        <f t="shared" si="538"/>
        <v>1</v>
      </c>
      <c r="R387" s="55">
        <v>45887</v>
      </c>
      <c r="S387" s="23" t="s">
        <v>17</v>
      </c>
      <c r="T387" s="25"/>
      <c r="U387" s="36"/>
      <c r="V387" s="36"/>
      <c r="W387" s="41"/>
      <c r="X387" s="26">
        <f t="shared" si="543"/>
        <v>0</v>
      </c>
      <c r="Y387" s="25"/>
      <c r="Z387" s="36"/>
      <c r="AA387" s="36"/>
      <c r="AB387" s="41"/>
      <c r="AC387" s="26">
        <f t="shared" si="544"/>
        <v>0</v>
      </c>
      <c r="AD387" s="25"/>
      <c r="AE387" s="36"/>
      <c r="AF387" s="36"/>
      <c r="AG387" s="41"/>
      <c r="AH387" s="26">
        <f t="shared" si="545"/>
        <v>0</v>
      </c>
      <c r="AI387" s="26">
        <f t="shared" si="546"/>
        <v>0</v>
      </c>
      <c r="AJ387" s="53"/>
    </row>
    <row r="388" spans="1:36" x14ac:dyDescent="0.15">
      <c r="A388" s="23" t="s">
        <v>34</v>
      </c>
      <c r="B388" s="27"/>
      <c r="C388" s="37"/>
      <c r="D388" s="37"/>
      <c r="E388" s="42"/>
      <c r="F388" s="43">
        <f t="shared" si="547"/>
        <v>0</v>
      </c>
      <c r="G388" s="28"/>
      <c r="H388" s="37"/>
      <c r="I388" s="37">
        <v>1</v>
      </c>
      <c r="J388" s="42"/>
      <c r="K388" s="43">
        <f t="shared" si="548"/>
        <v>1</v>
      </c>
      <c r="L388" s="28"/>
      <c r="M388" s="37"/>
      <c r="N388" s="37">
        <v>1</v>
      </c>
      <c r="O388" s="42"/>
      <c r="P388" s="43">
        <f t="shared" si="549"/>
        <v>1</v>
      </c>
      <c r="Q388" s="43">
        <f t="shared" si="538"/>
        <v>2</v>
      </c>
      <c r="R388" s="55">
        <v>45894</v>
      </c>
      <c r="S388" s="23" t="s">
        <v>17</v>
      </c>
      <c r="T388" s="25"/>
      <c r="U388" s="36"/>
      <c r="V388" s="36"/>
      <c r="W388" s="41"/>
      <c r="X388" s="26">
        <f t="shared" si="543"/>
        <v>0</v>
      </c>
      <c r="Y388" s="25"/>
      <c r="Z388" s="36"/>
      <c r="AA388" s="36"/>
      <c r="AB388" s="41"/>
      <c r="AC388" s="26">
        <f t="shared" si="544"/>
        <v>0</v>
      </c>
      <c r="AD388" s="25"/>
      <c r="AE388" s="36"/>
      <c r="AF388" s="36"/>
      <c r="AG388" s="41"/>
      <c r="AH388" s="26">
        <f t="shared" si="545"/>
        <v>0</v>
      </c>
      <c r="AI388" s="26">
        <f t="shared" si="546"/>
        <v>0</v>
      </c>
      <c r="AJ388" s="53"/>
    </row>
    <row r="389" spans="1:36" ht="14.25" thickBot="1" x14ac:dyDescent="0.2">
      <c r="A389" s="23" t="s">
        <v>17</v>
      </c>
      <c r="B389" s="28"/>
      <c r="C389" s="37">
        <v>3</v>
      </c>
      <c r="D389" s="37"/>
      <c r="E389" s="42">
        <v>3</v>
      </c>
      <c r="F389" s="43">
        <f t="shared" si="547"/>
        <v>6</v>
      </c>
      <c r="G389" s="28"/>
      <c r="H389" s="37"/>
      <c r="I389" s="37"/>
      <c r="J389" s="42"/>
      <c r="K389" s="43">
        <f t="shared" si="548"/>
        <v>0</v>
      </c>
      <c r="L389" s="28"/>
      <c r="M389" s="37"/>
      <c r="N389" s="37"/>
      <c r="O389" s="42"/>
      <c r="P389" s="43">
        <f t="shared" si="549"/>
        <v>0</v>
      </c>
      <c r="Q389" s="43">
        <f t="shared" si="538"/>
        <v>6</v>
      </c>
      <c r="R389" s="64">
        <v>45895</v>
      </c>
      <c r="S389" s="23" t="s">
        <v>17</v>
      </c>
      <c r="T389" s="28"/>
      <c r="U389" s="37"/>
      <c r="V389" s="37"/>
      <c r="W389" s="42"/>
      <c r="X389" s="43">
        <f t="shared" si="543"/>
        <v>0</v>
      </c>
      <c r="Y389" s="28"/>
      <c r="Z389" s="37"/>
      <c r="AA389" s="37"/>
      <c r="AB389" s="42"/>
      <c r="AC389" s="43">
        <f t="shared" si="544"/>
        <v>0</v>
      </c>
      <c r="AD389" s="28"/>
      <c r="AE389" s="37"/>
      <c r="AF389" s="37"/>
      <c r="AG389" s="42"/>
      <c r="AH389" s="43">
        <f t="shared" si="545"/>
        <v>0</v>
      </c>
      <c r="AI389" s="43">
        <f t="shared" si="546"/>
        <v>0</v>
      </c>
    </row>
    <row r="390" spans="1:36" ht="15" thickBot="1" x14ac:dyDescent="0.2">
      <c r="A390" s="46" t="s">
        <v>13</v>
      </c>
      <c r="B390" s="47">
        <f>SUM(B382:B389)</f>
        <v>5</v>
      </c>
      <c r="C390" s="48">
        <f t="shared" ref="C390:P390" si="550">SUM(C382:C389)</f>
        <v>7</v>
      </c>
      <c r="D390" s="48">
        <f t="shared" si="550"/>
        <v>6</v>
      </c>
      <c r="E390" s="49">
        <f t="shared" si="550"/>
        <v>10</v>
      </c>
      <c r="F390" s="34">
        <f t="shared" si="550"/>
        <v>28</v>
      </c>
      <c r="G390" s="47">
        <f t="shared" si="550"/>
        <v>4</v>
      </c>
      <c r="H390" s="48">
        <f t="shared" si="550"/>
        <v>11</v>
      </c>
      <c r="I390" s="48">
        <f t="shared" si="550"/>
        <v>8</v>
      </c>
      <c r="J390" s="49">
        <f t="shared" si="550"/>
        <v>17</v>
      </c>
      <c r="K390" s="34">
        <f t="shared" si="550"/>
        <v>40</v>
      </c>
      <c r="L390" s="47">
        <f t="shared" si="550"/>
        <v>0</v>
      </c>
      <c r="M390" s="48">
        <f t="shared" si="550"/>
        <v>2</v>
      </c>
      <c r="N390" s="48">
        <f t="shared" si="550"/>
        <v>2</v>
      </c>
      <c r="O390" s="49">
        <f t="shared" si="550"/>
        <v>3</v>
      </c>
      <c r="P390" s="34">
        <f t="shared" si="550"/>
        <v>7</v>
      </c>
      <c r="Q390" s="34">
        <f t="shared" ref="Q390:Q418" si="551">F390+K390+P390</f>
        <v>75</v>
      </c>
      <c r="R390" s="54"/>
      <c r="S390" s="46" t="s">
        <v>13</v>
      </c>
      <c r="T390" s="47">
        <f>SUM(T382:T389)</f>
        <v>103</v>
      </c>
      <c r="U390" s="48">
        <f t="shared" ref="U390:W390" si="552">SUM(U382:U389)</f>
        <v>111</v>
      </c>
      <c r="V390" s="48">
        <f t="shared" si="552"/>
        <v>59</v>
      </c>
      <c r="W390" s="49">
        <f t="shared" si="552"/>
        <v>41</v>
      </c>
      <c r="X390" s="34">
        <f>SUM(X382:X389)</f>
        <v>314</v>
      </c>
      <c r="Y390" s="47">
        <f>SUM(Y382:Y389)</f>
        <v>112</v>
      </c>
      <c r="Z390" s="48">
        <f t="shared" ref="Z390" si="553">SUM(Z382:Z389)</f>
        <v>126</v>
      </c>
      <c r="AA390" s="48">
        <f t="shared" ref="AA390" si="554">SUM(AA382:AA389)</f>
        <v>110</v>
      </c>
      <c r="AB390" s="49">
        <f t="shared" ref="AB390" si="555">SUM(AB382:AB389)</f>
        <v>69</v>
      </c>
      <c r="AC390" s="34">
        <f>SUM(AC382:AC389)</f>
        <v>417</v>
      </c>
      <c r="AD390" s="47">
        <f>SUM(AD382:AD389)</f>
        <v>113</v>
      </c>
      <c r="AE390" s="48">
        <f t="shared" ref="AE390" si="556">SUM(AE382:AE389)</f>
        <v>189</v>
      </c>
      <c r="AF390" s="48">
        <f t="shared" ref="AF390" si="557">SUM(AF382:AF389)</f>
        <v>118</v>
      </c>
      <c r="AG390" s="49">
        <f t="shared" ref="AG390" si="558">SUM(AG382:AG389)</f>
        <v>129</v>
      </c>
      <c r="AH390" s="34">
        <f>SUM(AH382:AH389)</f>
        <v>549</v>
      </c>
      <c r="AI390" s="34">
        <f>X390+AC390+AH390</f>
        <v>1280</v>
      </c>
    </row>
    <row r="391" spans="1:36" x14ac:dyDescent="0.15">
      <c r="A391" s="35" t="s">
        <v>37</v>
      </c>
      <c r="B391" s="24"/>
      <c r="C391" s="25"/>
      <c r="D391" s="25"/>
      <c r="E391" s="25"/>
      <c r="F391" s="26">
        <f t="shared" ref="F391:F398" si="559">SUM(B391:E391)</f>
        <v>0</v>
      </c>
      <c r="G391" s="24"/>
      <c r="H391" s="25"/>
      <c r="I391" s="25"/>
      <c r="J391" s="25">
        <v>1</v>
      </c>
      <c r="K391" s="26">
        <f t="shared" ref="K391:K398" si="560">SUM(G391:J391)</f>
        <v>1</v>
      </c>
      <c r="L391" s="24"/>
      <c r="M391" s="25"/>
      <c r="N391" s="25"/>
      <c r="O391" s="25"/>
      <c r="P391" s="26">
        <f t="shared" ref="P391:P398" si="561">SUM(L391:O391)</f>
        <v>0</v>
      </c>
      <c r="Q391" s="26">
        <f t="shared" ref="Q391:Q398" si="562">F391+K391+P391</f>
        <v>1</v>
      </c>
      <c r="R391" s="55">
        <v>45869</v>
      </c>
      <c r="S391" s="31" t="s">
        <v>209</v>
      </c>
      <c r="T391" s="6"/>
      <c r="U391" s="7"/>
      <c r="V391" s="7"/>
      <c r="W391" s="7"/>
      <c r="X391" s="9">
        <f t="shared" ref="X391:X409" si="563">SUM(T391:W391)</f>
        <v>0</v>
      </c>
      <c r="Y391" s="6"/>
      <c r="Z391" s="7"/>
      <c r="AA391" s="7"/>
      <c r="AB391" s="7"/>
      <c r="AC391" s="9">
        <f t="shared" ref="AC391:AC409" si="564">SUM(Y391:AB391)</f>
        <v>0</v>
      </c>
      <c r="AD391" s="6"/>
      <c r="AE391" s="7">
        <v>8</v>
      </c>
      <c r="AF391" s="7"/>
      <c r="AG391" s="7"/>
      <c r="AH391" s="9">
        <f t="shared" ref="AH391:AH409" si="565">SUM(AD391:AG391)</f>
        <v>8</v>
      </c>
      <c r="AI391" s="26">
        <f t="shared" ref="AI391:AI409" si="566">X391+AC391+AH391</f>
        <v>8</v>
      </c>
      <c r="AJ391" s="64">
        <v>45870</v>
      </c>
    </row>
    <row r="392" spans="1:36" x14ac:dyDescent="0.15">
      <c r="A392" s="35" t="s">
        <v>37</v>
      </c>
      <c r="B392" s="24"/>
      <c r="C392" s="25"/>
      <c r="D392" s="25">
        <v>1</v>
      </c>
      <c r="E392" s="25"/>
      <c r="F392" s="26">
        <f t="shared" si="559"/>
        <v>1</v>
      </c>
      <c r="G392" s="24"/>
      <c r="H392" s="25"/>
      <c r="I392" s="25"/>
      <c r="J392" s="25"/>
      <c r="K392" s="26">
        <f t="shared" si="560"/>
        <v>0</v>
      </c>
      <c r="L392" s="24"/>
      <c r="M392" s="25"/>
      <c r="N392" s="25"/>
      <c r="O392" s="25"/>
      <c r="P392" s="26">
        <f t="shared" si="561"/>
        <v>0</v>
      </c>
      <c r="Q392" s="26">
        <f t="shared" si="562"/>
        <v>1</v>
      </c>
      <c r="R392" s="55">
        <v>45870</v>
      </c>
      <c r="S392" s="31" t="s">
        <v>210</v>
      </c>
      <c r="T392" s="6"/>
      <c r="U392" s="7"/>
      <c r="V392" s="7"/>
      <c r="W392" s="7"/>
      <c r="X392" s="9">
        <f t="shared" si="563"/>
        <v>0</v>
      </c>
      <c r="Y392" s="6">
        <v>2</v>
      </c>
      <c r="Z392" s="7"/>
      <c r="AA392" s="7"/>
      <c r="AB392" s="7"/>
      <c r="AC392" s="9">
        <f t="shared" si="564"/>
        <v>2</v>
      </c>
      <c r="AD392" s="6"/>
      <c r="AE392" s="7">
        <v>3</v>
      </c>
      <c r="AF392" s="7">
        <v>2</v>
      </c>
      <c r="AG392" s="7">
        <v>2</v>
      </c>
      <c r="AH392" s="9">
        <f t="shared" si="565"/>
        <v>7</v>
      </c>
      <c r="AI392" s="26">
        <f t="shared" si="566"/>
        <v>9</v>
      </c>
      <c r="AJ392" s="64">
        <v>45869</v>
      </c>
    </row>
    <row r="393" spans="1:36" x14ac:dyDescent="0.15">
      <c r="A393" s="35" t="s">
        <v>37</v>
      </c>
      <c r="B393" s="24"/>
      <c r="C393" s="25"/>
      <c r="D393" s="25"/>
      <c r="E393" s="25"/>
      <c r="F393" s="26">
        <f t="shared" si="559"/>
        <v>0</v>
      </c>
      <c r="G393" s="24"/>
      <c r="H393" s="25">
        <v>1</v>
      </c>
      <c r="I393" s="25"/>
      <c r="J393" s="25">
        <v>2</v>
      </c>
      <c r="K393" s="26">
        <f t="shared" si="560"/>
        <v>3</v>
      </c>
      <c r="L393" s="24"/>
      <c r="M393" s="25"/>
      <c r="N393" s="25"/>
      <c r="O393" s="25"/>
      <c r="P393" s="26">
        <f t="shared" si="561"/>
        <v>0</v>
      </c>
      <c r="Q393" s="26">
        <f t="shared" si="562"/>
        <v>3</v>
      </c>
      <c r="R393" s="55">
        <v>45873</v>
      </c>
      <c r="S393" s="31" t="s">
        <v>211</v>
      </c>
      <c r="T393" s="6"/>
      <c r="U393" s="7"/>
      <c r="V393" s="7"/>
      <c r="W393" s="7"/>
      <c r="X393" s="9">
        <f t="shared" si="563"/>
        <v>0</v>
      </c>
      <c r="Y393" s="6"/>
      <c r="Z393" s="7"/>
      <c r="AA393" s="7"/>
      <c r="AB393" s="7"/>
      <c r="AC393" s="9">
        <f t="shared" si="564"/>
        <v>0</v>
      </c>
      <c r="AD393" s="6"/>
      <c r="AE393" s="7"/>
      <c r="AF393" s="7">
        <v>2</v>
      </c>
      <c r="AG393" s="7"/>
      <c r="AH393" s="9">
        <f t="shared" si="565"/>
        <v>2</v>
      </c>
      <c r="AI393" s="26">
        <f t="shared" si="566"/>
        <v>2</v>
      </c>
      <c r="AJ393" s="64">
        <v>45873</v>
      </c>
    </row>
    <row r="394" spans="1:36" x14ac:dyDescent="0.15">
      <c r="A394" s="35" t="s">
        <v>37</v>
      </c>
      <c r="B394" s="24"/>
      <c r="C394" s="25"/>
      <c r="D394" s="25"/>
      <c r="E394" s="25">
        <v>3</v>
      </c>
      <c r="F394" s="26">
        <f t="shared" si="559"/>
        <v>3</v>
      </c>
      <c r="G394" s="24"/>
      <c r="H394" s="25"/>
      <c r="I394" s="25"/>
      <c r="J394" s="25"/>
      <c r="K394" s="26">
        <f t="shared" si="560"/>
        <v>0</v>
      </c>
      <c r="L394" s="24"/>
      <c r="M394" s="25"/>
      <c r="N394" s="25"/>
      <c r="O394" s="25"/>
      <c r="P394" s="26">
        <f t="shared" si="561"/>
        <v>0</v>
      </c>
      <c r="Q394" s="26">
        <f t="shared" si="562"/>
        <v>3</v>
      </c>
      <c r="R394" s="55">
        <v>45874</v>
      </c>
      <c r="S394" s="30" t="s">
        <v>31</v>
      </c>
      <c r="T394" s="6"/>
      <c r="U394" s="7"/>
      <c r="V394" s="7"/>
      <c r="W394" s="7"/>
      <c r="X394" s="9">
        <f t="shared" ref="X394" si="567">SUM(T394:W394)</f>
        <v>0</v>
      </c>
      <c r="Y394" s="6"/>
      <c r="Z394" s="7"/>
      <c r="AA394" s="7"/>
      <c r="AB394" s="7">
        <v>2</v>
      </c>
      <c r="AC394" s="9">
        <f t="shared" ref="AC394" si="568">SUM(Y394:AB394)</f>
        <v>2</v>
      </c>
      <c r="AD394" s="6"/>
      <c r="AE394" s="7"/>
      <c r="AF394" s="7"/>
      <c r="AG394" s="7"/>
      <c r="AH394" s="9">
        <f t="shared" ref="AH394" si="569">SUM(AD394:AG394)</f>
        <v>0</v>
      </c>
      <c r="AI394" s="26">
        <f t="shared" si="566"/>
        <v>2</v>
      </c>
      <c r="AJ394" s="64">
        <v>45869</v>
      </c>
    </row>
    <row r="395" spans="1:36" x14ac:dyDescent="0.15">
      <c r="A395" s="35" t="s">
        <v>37</v>
      </c>
      <c r="B395" s="24"/>
      <c r="C395" s="25"/>
      <c r="D395" s="25"/>
      <c r="E395" s="25"/>
      <c r="F395" s="26">
        <f t="shared" si="559"/>
        <v>0</v>
      </c>
      <c r="G395" s="24"/>
      <c r="H395" s="25"/>
      <c r="I395" s="25">
        <v>1</v>
      </c>
      <c r="J395" s="25"/>
      <c r="K395" s="26">
        <f t="shared" si="560"/>
        <v>1</v>
      </c>
      <c r="L395" s="24"/>
      <c r="M395" s="25"/>
      <c r="N395" s="25"/>
      <c r="O395" s="25"/>
      <c r="P395" s="26">
        <f t="shared" si="561"/>
        <v>0</v>
      </c>
      <c r="Q395" s="26">
        <f t="shared" si="562"/>
        <v>1</v>
      </c>
      <c r="R395" s="55">
        <v>45875</v>
      </c>
      <c r="S395" s="31" t="s">
        <v>212</v>
      </c>
      <c r="T395" s="6"/>
      <c r="U395" s="7"/>
      <c r="V395" s="7"/>
      <c r="W395" s="7">
        <v>2</v>
      </c>
      <c r="X395" s="9">
        <f t="shared" si="563"/>
        <v>2</v>
      </c>
      <c r="Y395" s="6"/>
      <c r="Z395" s="7"/>
      <c r="AA395" s="7"/>
      <c r="AB395" s="7"/>
      <c r="AC395" s="9">
        <f t="shared" si="564"/>
        <v>0</v>
      </c>
      <c r="AD395" s="6"/>
      <c r="AE395" s="7"/>
      <c r="AF395" s="7"/>
      <c r="AG395" s="7"/>
      <c r="AH395" s="9">
        <f t="shared" si="565"/>
        <v>0</v>
      </c>
      <c r="AI395" s="26">
        <f t="shared" si="566"/>
        <v>2</v>
      </c>
      <c r="AJ395" s="64">
        <v>45875</v>
      </c>
    </row>
    <row r="396" spans="1:36" x14ac:dyDescent="0.15">
      <c r="A396" s="35" t="s">
        <v>37</v>
      </c>
      <c r="B396" s="24"/>
      <c r="C396" s="25"/>
      <c r="D396" s="25"/>
      <c r="E396" s="25"/>
      <c r="F396" s="26">
        <f t="shared" si="559"/>
        <v>0</v>
      </c>
      <c r="G396" s="24"/>
      <c r="H396" s="25"/>
      <c r="I396" s="25">
        <v>1</v>
      </c>
      <c r="J396" s="25"/>
      <c r="K396" s="26">
        <f t="shared" si="560"/>
        <v>1</v>
      </c>
      <c r="L396" s="24"/>
      <c r="M396" s="25"/>
      <c r="N396" s="25"/>
      <c r="O396" s="25"/>
      <c r="P396" s="26">
        <f t="shared" si="561"/>
        <v>0</v>
      </c>
      <c r="Q396" s="26">
        <f t="shared" si="562"/>
        <v>1</v>
      </c>
      <c r="R396" s="55">
        <v>45878</v>
      </c>
      <c r="S396" s="31" t="s">
        <v>213</v>
      </c>
      <c r="T396" s="6"/>
      <c r="U396" s="7"/>
      <c r="V396" s="7"/>
      <c r="W396" s="7">
        <v>5</v>
      </c>
      <c r="X396" s="9">
        <f t="shared" si="563"/>
        <v>5</v>
      </c>
      <c r="Y396" s="6"/>
      <c r="Z396" s="7"/>
      <c r="AA396" s="7"/>
      <c r="AB396" s="7">
        <v>4</v>
      </c>
      <c r="AC396" s="9">
        <f t="shared" si="564"/>
        <v>4</v>
      </c>
      <c r="AD396" s="6"/>
      <c r="AE396" s="7"/>
      <c r="AF396" s="7"/>
      <c r="AG396" s="7"/>
      <c r="AH396" s="9">
        <f t="shared" si="565"/>
        <v>0</v>
      </c>
      <c r="AI396" s="26">
        <f t="shared" si="566"/>
        <v>9</v>
      </c>
      <c r="AJ396" s="64">
        <v>45877</v>
      </c>
    </row>
    <row r="397" spans="1:36" x14ac:dyDescent="0.15">
      <c r="A397" s="35" t="s">
        <v>37</v>
      </c>
      <c r="B397" s="24"/>
      <c r="C397" s="25">
        <v>1</v>
      </c>
      <c r="D397" s="25"/>
      <c r="E397" s="25"/>
      <c r="F397" s="26">
        <f t="shared" si="559"/>
        <v>1</v>
      </c>
      <c r="G397" s="24"/>
      <c r="H397" s="25">
        <v>2</v>
      </c>
      <c r="I397" s="25">
        <v>1</v>
      </c>
      <c r="J397" s="25">
        <v>4</v>
      </c>
      <c r="K397" s="26">
        <f t="shared" si="560"/>
        <v>7</v>
      </c>
      <c r="L397" s="24"/>
      <c r="M397" s="25"/>
      <c r="N397" s="25"/>
      <c r="O397" s="25"/>
      <c r="P397" s="26">
        <f t="shared" si="561"/>
        <v>0</v>
      </c>
      <c r="Q397" s="26">
        <f t="shared" si="562"/>
        <v>8</v>
      </c>
      <c r="R397" s="55">
        <v>45887</v>
      </c>
      <c r="S397" s="30" t="s">
        <v>31</v>
      </c>
      <c r="T397" s="6">
        <v>2</v>
      </c>
      <c r="U397" s="7"/>
      <c r="V397" s="7">
        <v>2</v>
      </c>
      <c r="W397" s="7">
        <v>2</v>
      </c>
      <c r="X397" s="9">
        <f t="shared" ref="X397:X398" si="570">SUM(T397:W397)</f>
        <v>6</v>
      </c>
      <c r="Y397" s="6"/>
      <c r="Z397" s="7"/>
      <c r="AA397" s="7"/>
      <c r="AB397" s="7">
        <v>2</v>
      </c>
      <c r="AC397" s="9">
        <f t="shared" ref="AC397:AC398" si="571">SUM(Y397:AB397)</f>
        <v>2</v>
      </c>
      <c r="AD397" s="6"/>
      <c r="AE397" s="7"/>
      <c r="AF397" s="7"/>
      <c r="AG397" s="7"/>
      <c r="AH397" s="9">
        <f t="shared" ref="AH397:AH398" si="572">SUM(AD397:AG397)</f>
        <v>0</v>
      </c>
      <c r="AI397" s="26">
        <f t="shared" si="566"/>
        <v>8</v>
      </c>
      <c r="AJ397" s="64">
        <v>45876</v>
      </c>
    </row>
    <row r="398" spans="1:36" x14ac:dyDescent="0.15">
      <c r="A398" s="35" t="s">
        <v>37</v>
      </c>
      <c r="B398" s="24"/>
      <c r="C398" s="25"/>
      <c r="D398" s="25"/>
      <c r="E398" s="25"/>
      <c r="F398" s="26">
        <f t="shared" si="559"/>
        <v>0</v>
      </c>
      <c r="G398" s="24"/>
      <c r="H398" s="25">
        <v>1</v>
      </c>
      <c r="I398" s="25"/>
      <c r="J398" s="25">
        <v>1</v>
      </c>
      <c r="K398" s="26">
        <f t="shared" si="560"/>
        <v>2</v>
      </c>
      <c r="L398" s="24"/>
      <c r="M398" s="25"/>
      <c r="N398" s="25"/>
      <c r="O398" s="25"/>
      <c r="P398" s="26">
        <f t="shared" si="561"/>
        <v>0</v>
      </c>
      <c r="Q398" s="26">
        <f t="shared" si="562"/>
        <v>2</v>
      </c>
      <c r="R398" s="55">
        <v>45888</v>
      </c>
      <c r="S398" s="30" t="s">
        <v>31</v>
      </c>
      <c r="T398" s="6"/>
      <c r="U398" s="7"/>
      <c r="V398" s="7"/>
      <c r="W398" s="7"/>
      <c r="X398" s="9">
        <f t="shared" si="570"/>
        <v>0</v>
      </c>
      <c r="Y398" s="6"/>
      <c r="Z398" s="7">
        <v>5</v>
      </c>
      <c r="AA398" s="7"/>
      <c r="AB398" s="7">
        <v>10</v>
      </c>
      <c r="AC398" s="9">
        <f t="shared" si="571"/>
        <v>15</v>
      </c>
      <c r="AD398" s="6"/>
      <c r="AE398" s="7"/>
      <c r="AF398" s="7"/>
      <c r="AG398" s="7"/>
      <c r="AH398" s="9">
        <f t="shared" si="572"/>
        <v>0</v>
      </c>
      <c r="AI398" s="26">
        <f t="shared" si="566"/>
        <v>15</v>
      </c>
      <c r="AJ398" s="64">
        <v>45888</v>
      </c>
    </row>
    <row r="399" spans="1:36" x14ac:dyDescent="0.15">
      <c r="A399" s="35" t="s">
        <v>37</v>
      </c>
      <c r="B399" s="24"/>
      <c r="C399" s="25"/>
      <c r="D399" s="25"/>
      <c r="E399" s="25"/>
      <c r="F399" s="26">
        <f t="shared" ref="F399:F416" si="573">SUM(B399:E399)</f>
        <v>0</v>
      </c>
      <c r="G399" s="24"/>
      <c r="H399" s="25"/>
      <c r="I399" s="25"/>
      <c r="J399" s="25">
        <v>1</v>
      </c>
      <c r="K399" s="26">
        <f t="shared" ref="K399:K416" si="574">SUM(G399:J399)</f>
        <v>1</v>
      </c>
      <c r="L399" s="24"/>
      <c r="M399" s="25"/>
      <c r="N399" s="25"/>
      <c r="O399" s="25"/>
      <c r="P399" s="26">
        <f t="shared" ref="P399:P416" si="575">SUM(L399:O399)</f>
        <v>0</v>
      </c>
      <c r="Q399" s="26">
        <f t="shared" si="551"/>
        <v>1</v>
      </c>
      <c r="R399" s="55">
        <v>45889</v>
      </c>
      <c r="S399" s="31" t="s">
        <v>214</v>
      </c>
      <c r="T399" s="6"/>
      <c r="U399" s="7"/>
      <c r="V399" s="7"/>
      <c r="W399" s="7">
        <v>3</v>
      </c>
      <c r="X399" s="9">
        <f t="shared" si="563"/>
        <v>3</v>
      </c>
      <c r="Y399" s="6"/>
      <c r="Z399" s="7"/>
      <c r="AA399" s="7"/>
      <c r="AB399" s="7"/>
      <c r="AC399" s="9">
        <f t="shared" si="564"/>
        <v>0</v>
      </c>
      <c r="AD399" s="6"/>
      <c r="AE399" s="7"/>
      <c r="AF399" s="7"/>
      <c r="AG399" s="7"/>
      <c r="AH399" s="9">
        <f t="shared" si="565"/>
        <v>0</v>
      </c>
      <c r="AI399" s="26">
        <f t="shared" si="566"/>
        <v>3</v>
      </c>
      <c r="AJ399" s="64">
        <v>45891</v>
      </c>
    </row>
    <row r="400" spans="1:36" x14ac:dyDescent="0.15">
      <c r="A400" s="35" t="s">
        <v>37</v>
      </c>
      <c r="B400" s="24"/>
      <c r="C400" s="25"/>
      <c r="D400" s="25"/>
      <c r="E400" s="25"/>
      <c r="F400" s="26">
        <f t="shared" si="573"/>
        <v>0</v>
      </c>
      <c r="G400" s="24"/>
      <c r="H400" s="25"/>
      <c r="I400" s="25"/>
      <c r="J400" s="25">
        <v>1</v>
      </c>
      <c r="K400" s="26">
        <f t="shared" si="574"/>
        <v>1</v>
      </c>
      <c r="L400" s="24"/>
      <c r="M400" s="25"/>
      <c r="N400" s="25"/>
      <c r="O400" s="25"/>
      <c r="P400" s="26">
        <f t="shared" si="575"/>
        <v>0</v>
      </c>
      <c r="Q400" s="26">
        <f t="shared" si="551"/>
        <v>1</v>
      </c>
      <c r="R400" s="55">
        <v>45890</v>
      </c>
      <c r="S400" s="31" t="s">
        <v>215</v>
      </c>
      <c r="T400" s="6"/>
      <c r="U400" s="7">
        <v>8</v>
      </c>
      <c r="V400" s="7"/>
      <c r="W400" s="7"/>
      <c r="X400" s="9">
        <f t="shared" si="563"/>
        <v>8</v>
      </c>
      <c r="Y400" s="6"/>
      <c r="Z400" s="7"/>
      <c r="AA400" s="7"/>
      <c r="AB400" s="7"/>
      <c r="AC400" s="9">
        <f t="shared" si="564"/>
        <v>0</v>
      </c>
      <c r="AD400" s="6"/>
      <c r="AE400" s="7"/>
      <c r="AF400" s="7"/>
      <c r="AG400" s="7"/>
      <c r="AH400" s="9">
        <f t="shared" si="565"/>
        <v>0</v>
      </c>
      <c r="AI400" s="26">
        <f t="shared" si="566"/>
        <v>8</v>
      </c>
      <c r="AJ400" s="64">
        <v>45891</v>
      </c>
    </row>
    <row r="401" spans="1:37" x14ac:dyDescent="0.15">
      <c r="A401" s="35" t="s">
        <v>37</v>
      </c>
      <c r="B401" s="24"/>
      <c r="C401" s="25">
        <v>1</v>
      </c>
      <c r="D401" s="25"/>
      <c r="E401" s="25"/>
      <c r="F401" s="26">
        <f t="shared" si="573"/>
        <v>1</v>
      </c>
      <c r="G401" s="24"/>
      <c r="H401" s="25"/>
      <c r="I401" s="25"/>
      <c r="J401" s="25"/>
      <c r="K401" s="26">
        <f t="shared" si="574"/>
        <v>0</v>
      </c>
      <c r="L401" s="24"/>
      <c r="M401" s="25"/>
      <c r="N401" s="25"/>
      <c r="O401" s="25"/>
      <c r="P401" s="26">
        <f t="shared" si="575"/>
        <v>0</v>
      </c>
      <c r="Q401" s="26">
        <f t="shared" si="551"/>
        <v>1</v>
      </c>
      <c r="R401" s="55">
        <v>45894</v>
      </c>
      <c r="S401" s="31" t="s">
        <v>216</v>
      </c>
      <c r="T401" s="6"/>
      <c r="U401" s="7"/>
      <c r="V401" s="7"/>
      <c r="W401" s="7"/>
      <c r="X401" s="9">
        <f t="shared" si="563"/>
        <v>0</v>
      </c>
      <c r="Y401" s="6"/>
      <c r="Z401" s="7"/>
      <c r="AA401" s="7"/>
      <c r="AB401" s="7"/>
      <c r="AC401" s="9">
        <f t="shared" si="564"/>
        <v>0</v>
      </c>
      <c r="AD401" s="6"/>
      <c r="AE401" s="7"/>
      <c r="AF401" s="7"/>
      <c r="AG401" s="7">
        <v>7</v>
      </c>
      <c r="AH401" s="9">
        <f t="shared" si="565"/>
        <v>7</v>
      </c>
      <c r="AI401" s="26">
        <f t="shared" si="566"/>
        <v>7</v>
      </c>
      <c r="AJ401" s="64">
        <v>45895</v>
      </c>
    </row>
    <row r="402" spans="1:37" x14ac:dyDescent="0.15">
      <c r="A402" s="35" t="s">
        <v>37</v>
      </c>
      <c r="B402" s="24"/>
      <c r="C402" s="25">
        <v>1</v>
      </c>
      <c r="D402" s="25"/>
      <c r="E402" s="25">
        <v>1</v>
      </c>
      <c r="F402" s="26">
        <f t="shared" si="573"/>
        <v>2</v>
      </c>
      <c r="G402" s="24"/>
      <c r="H402" s="25"/>
      <c r="I402" s="25"/>
      <c r="J402" s="25"/>
      <c r="K402" s="26">
        <f t="shared" si="574"/>
        <v>0</v>
      </c>
      <c r="L402" s="24"/>
      <c r="M402" s="25"/>
      <c r="N402" s="25"/>
      <c r="O402" s="25"/>
      <c r="P402" s="26">
        <f t="shared" si="575"/>
        <v>0</v>
      </c>
      <c r="Q402" s="26">
        <f t="shared" si="551"/>
        <v>2</v>
      </c>
      <c r="R402" s="55">
        <v>45895</v>
      </c>
      <c r="S402" s="31" t="s">
        <v>217</v>
      </c>
      <c r="T402" s="6"/>
      <c r="U402" s="7"/>
      <c r="V402" s="7"/>
      <c r="W402" s="7"/>
      <c r="X402" s="9">
        <f t="shared" si="563"/>
        <v>0</v>
      </c>
      <c r="Y402" s="6">
        <v>8</v>
      </c>
      <c r="Z402" s="7"/>
      <c r="AA402" s="7"/>
      <c r="AB402" s="7"/>
      <c r="AC402" s="9">
        <f t="shared" si="564"/>
        <v>8</v>
      </c>
      <c r="AD402" s="6"/>
      <c r="AE402" s="7"/>
      <c r="AF402" s="7"/>
      <c r="AG402" s="7"/>
      <c r="AH402" s="9">
        <f t="shared" si="565"/>
        <v>0</v>
      </c>
      <c r="AI402" s="26">
        <f t="shared" si="566"/>
        <v>8</v>
      </c>
      <c r="AJ402" s="64">
        <v>45895</v>
      </c>
    </row>
    <row r="403" spans="1:37" x14ac:dyDescent="0.15">
      <c r="A403" s="35" t="s">
        <v>37</v>
      </c>
      <c r="B403" s="24"/>
      <c r="C403" s="25"/>
      <c r="D403" s="25"/>
      <c r="E403" s="25"/>
      <c r="F403" s="26">
        <f t="shared" si="573"/>
        <v>0</v>
      </c>
      <c r="G403" s="24"/>
      <c r="H403" s="25"/>
      <c r="I403" s="25">
        <v>1</v>
      </c>
      <c r="J403" s="25"/>
      <c r="K403" s="26">
        <f t="shared" si="574"/>
        <v>1</v>
      </c>
      <c r="L403" s="24"/>
      <c r="M403" s="25"/>
      <c r="N403" s="25"/>
      <c r="O403" s="25"/>
      <c r="P403" s="26">
        <f t="shared" si="575"/>
        <v>0</v>
      </c>
      <c r="Q403" s="26">
        <f t="shared" si="551"/>
        <v>1</v>
      </c>
      <c r="R403" s="55">
        <v>45896</v>
      </c>
      <c r="S403" s="31" t="s">
        <v>218</v>
      </c>
      <c r="T403" s="6"/>
      <c r="U403" s="7"/>
      <c r="V403" s="7"/>
      <c r="W403" s="7"/>
      <c r="X403" s="9">
        <f t="shared" si="563"/>
        <v>0</v>
      </c>
      <c r="Y403" s="6"/>
      <c r="Z403" s="7">
        <v>2</v>
      </c>
      <c r="AA403" s="7"/>
      <c r="AB403" s="7"/>
      <c r="AC403" s="9">
        <f t="shared" si="564"/>
        <v>2</v>
      </c>
      <c r="AD403" s="6"/>
      <c r="AE403" s="7"/>
      <c r="AF403" s="7"/>
      <c r="AG403" s="7"/>
      <c r="AH403" s="9">
        <f t="shared" si="565"/>
        <v>0</v>
      </c>
      <c r="AI403" s="26">
        <f t="shared" si="566"/>
        <v>2</v>
      </c>
      <c r="AJ403" s="64">
        <v>45897</v>
      </c>
    </row>
    <row r="404" spans="1:37" x14ac:dyDescent="0.15">
      <c r="A404" s="35" t="s">
        <v>37</v>
      </c>
      <c r="B404" s="24"/>
      <c r="C404" s="25"/>
      <c r="D404" s="25"/>
      <c r="E404" s="25"/>
      <c r="F404" s="26">
        <f t="shared" si="573"/>
        <v>0</v>
      </c>
      <c r="G404" s="24"/>
      <c r="H404" s="25">
        <v>1</v>
      </c>
      <c r="I404" s="25"/>
      <c r="J404" s="25">
        <v>1</v>
      </c>
      <c r="K404" s="26">
        <f t="shared" si="574"/>
        <v>2</v>
      </c>
      <c r="L404" s="24"/>
      <c r="M404" s="25"/>
      <c r="N404" s="25"/>
      <c r="O404" s="25"/>
      <c r="P404" s="26">
        <f t="shared" si="575"/>
        <v>0</v>
      </c>
      <c r="Q404" s="26">
        <f t="shared" si="551"/>
        <v>2</v>
      </c>
      <c r="R404" s="55">
        <v>45898</v>
      </c>
      <c r="S404" s="30" t="s">
        <v>31</v>
      </c>
      <c r="T404" s="6"/>
      <c r="U404" s="7">
        <v>3</v>
      </c>
      <c r="V404" s="7"/>
      <c r="W404" s="7">
        <v>3</v>
      </c>
      <c r="X404" s="9">
        <f t="shared" si="563"/>
        <v>6</v>
      </c>
      <c r="Y404" s="6"/>
      <c r="Z404" s="7"/>
      <c r="AA404" s="7"/>
      <c r="AB404" s="7"/>
      <c r="AC404" s="9">
        <f t="shared" si="564"/>
        <v>0</v>
      </c>
      <c r="AD404" s="6"/>
      <c r="AE404" s="7"/>
      <c r="AF404" s="7"/>
      <c r="AG404" s="7"/>
      <c r="AH404" s="9">
        <f t="shared" si="565"/>
        <v>0</v>
      </c>
      <c r="AI404" s="26">
        <f t="shared" si="566"/>
        <v>6</v>
      </c>
      <c r="AJ404" s="64">
        <v>45895</v>
      </c>
      <c r="AK404" s="50"/>
    </row>
    <row r="405" spans="1:37" x14ac:dyDescent="0.15">
      <c r="A405" s="23" t="s">
        <v>34</v>
      </c>
      <c r="B405" s="24"/>
      <c r="C405" s="25"/>
      <c r="D405" s="25"/>
      <c r="E405" s="25"/>
      <c r="F405" s="26">
        <f t="shared" si="573"/>
        <v>0</v>
      </c>
      <c r="G405" s="24"/>
      <c r="H405" s="25"/>
      <c r="I405" s="25"/>
      <c r="J405" s="25"/>
      <c r="K405" s="26">
        <f t="shared" si="574"/>
        <v>0</v>
      </c>
      <c r="L405" s="24"/>
      <c r="M405" s="25">
        <v>-1</v>
      </c>
      <c r="N405" s="25"/>
      <c r="O405" s="25">
        <v>-1</v>
      </c>
      <c r="P405" s="26">
        <f t="shared" si="575"/>
        <v>-2</v>
      </c>
      <c r="Q405" s="26">
        <f t="shared" si="551"/>
        <v>-2</v>
      </c>
      <c r="R405" s="55">
        <v>45899</v>
      </c>
      <c r="S405" s="31"/>
      <c r="T405" s="6"/>
      <c r="U405" s="7"/>
      <c r="V405" s="7"/>
      <c r="W405" s="7"/>
      <c r="X405" s="9">
        <f t="shared" si="563"/>
        <v>0</v>
      </c>
      <c r="Y405" s="6"/>
      <c r="Z405" s="7"/>
      <c r="AA405" s="7"/>
      <c r="AB405" s="7"/>
      <c r="AC405" s="9">
        <f t="shared" si="564"/>
        <v>0</v>
      </c>
      <c r="AD405" s="6"/>
      <c r="AE405" s="7"/>
      <c r="AF405" s="7"/>
      <c r="AG405" s="7"/>
      <c r="AH405" s="9">
        <f t="shared" si="565"/>
        <v>0</v>
      </c>
      <c r="AI405" s="26">
        <f t="shared" si="566"/>
        <v>0</v>
      </c>
      <c r="AJ405" s="65"/>
      <c r="AK405" s="50"/>
    </row>
    <row r="406" spans="1:37" x14ac:dyDescent="0.15">
      <c r="A406" s="35" t="s">
        <v>37</v>
      </c>
      <c r="B406" s="24"/>
      <c r="C406" s="25"/>
      <c r="D406" s="25"/>
      <c r="E406" s="25"/>
      <c r="F406" s="26">
        <f t="shared" si="573"/>
        <v>0</v>
      </c>
      <c r="G406" s="24"/>
      <c r="H406" s="25"/>
      <c r="I406" s="25">
        <v>1</v>
      </c>
      <c r="J406" s="25">
        <v>1</v>
      </c>
      <c r="K406" s="26">
        <f t="shared" si="574"/>
        <v>2</v>
      </c>
      <c r="L406" s="24"/>
      <c r="M406" s="25"/>
      <c r="N406" s="25"/>
      <c r="O406" s="25"/>
      <c r="P406" s="26">
        <f t="shared" si="575"/>
        <v>0</v>
      </c>
      <c r="Q406" s="26">
        <f t="shared" si="551"/>
        <v>2</v>
      </c>
      <c r="R406" s="55">
        <v>45901</v>
      </c>
      <c r="S406" s="31"/>
      <c r="T406" s="6"/>
      <c r="U406" s="7"/>
      <c r="V406" s="7"/>
      <c r="W406" s="7"/>
      <c r="X406" s="9">
        <f t="shared" si="563"/>
        <v>0</v>
      </c>
      <c r="Y406" s="6"/>
      <c r="Z406" s="7"/>
      <c r="AA406" s="7"/>
      <c r="AB406" s="7"/>
      <c r="AC406" s="9">
        <f t="shared" si="564"/>
        <v>0</v>
      </c>
      <c r="AD406" s="6"/>
      <c r="AE406" s="7"/>
      <c r="AF406" s="7"/>
      <c r="AG406" s="7"/>
      <c r="AH406" s="9">
        <f t="shared" si="565"/>
        <v>0</v>
      </c>
      <c r="AI406" s="26">
        <f t="shared" si="566"/>
        <v>0</v>
      </c>
      <c r="AJ406" s="65"/>
    </row>
    <row r="407" spans="1:37" x14ac:dyDescent="0.15">
      <c r="A407" s="35" t="s">
        <v>37</v>
      </c>
      <c r="B407" s="24"/>
      <c r="C407" s="25"/>
      <c r="D407" s="25"/>
      <c r="E407" s="25"/>
      <c r="F407" s="26">
        <f t="shared" si="573"/>
        <v>0</v>
      </c>
      <c r="G407" s="24">
        <v>1</v>
      </c>
      <c r="H407" s="25">
        <v>2</v>
      </c>
      <c r="I407" s="25"/>
      <c r="J407" s="25"/>
      <c r="K407" s="26">
        <f t="shared" si="574"/>
        <v>3</v>
      </c>
      <c r="L407" s="24"/>
      <c r="M407" s="25"/>
      <c r="N407" s="25"/>
      <c r="O407" s="25"/>
      <c r="P407" s="26">
        <f t="shared" si="575"/>
        <v>0</v>
      </c>
      <c r="Q407" s="26">
        <f t="shared" si="551"/>
        <v>3</v>
      </c>
      <c r="R407" s="55">
        <v>45905</v>
      </c>
      <c r="S407" s="31"/>
      <c r="T407" s="6"/>
      <c r="U407" s="7"/>
      <c r="V407" s="7"/>
      <c r="W407" s="7"/>
      <c r="X407" s="9">
        <f t="shared" si="563"/>
        <v>0</v>
      </c>
      <c r="Y407" s="6"/>
      <c r="Z407" s="7"/>
      <c r="AA407" s="7"/>
      <c r="AB407" s="7"/>
      <c r="AC407" s="9">
        <f t="shared" si="564"/>
        <v>0</v>
      </c>
      <c r="AD407" s="6"/>
      <c r="AE407" s="7"/>
      <c r="AF407" s="7"/>
      <c r="AG407" s="7"/>
      <c r="AH407" s="9">
        <f t="shared" si="565"/>
        <v>0</v>
      </c>
      <c r="AI407" s="26">
        <f t="shared" si="566"/>
        <v>0</v>
      </c>
      <c r="AJ407" s="65"/>
    </row>
    <row r="408" spans="1:37" x14ac:dyDescent="0.15">
      <c r="A408" s="35" t="s">
        <v>223</v>
      </c>
      <c r="B408" s="24"/>
      <c r="C408" s="25">
        <v>1</v>
      </c>
      <c r="D408" s="25"/>
      <c r="E408" s="25"/>
      <c r="F408" s="26">
        <f t="shared" si="573"/>
        <v>1</v>
      </c>
      <c r="G408" s="24"/>
      <c r="H408" s="25"/>
      <c r="I408" s="25"/>
      <c r="J408" s="25">
        <v>2</v>
      </c>
      <c r="K408" s="26">
        <f t="shared" si="574"/>
        <v>2</v>
      </c>
      <c r="L408" s="24"/>
      <c r="M408" s="25">
        <v>3</v>
      </c>
      <c r="N408" s="25">
        <v>2</v>
      </c>
      <c r="O408" s="25">
        <v>4</v>
      </c>
      <c r="P408" s="26">
        <f t="shared" si="575"/>
        <v>9</v>
      </c>
      <c r="Q408" s="26">
        <f t="shared" si="551"/>
        <v>12</v>
      </c>
      <c r="R408" s="55">
        <v>45906</v>
      </c>
      <c r="S408" s="31"/>
      <c r="T408" s="6"/>
      <c r="U408" s="7"/>
      <c r="V408" s="7"/>
      <c r="W408" s="7"/>
      <c r="X408" s="9">
        <f t="shared" si="563"/>
        <v>0</v>
      </c>
      <c r="Y408" s="6"/>
      <c r="Z408" s="7"/>
      <c r="AA408" s="7"/>
      <c r="AB408" s="7"/>
      <c r="AC408" s="9">
        <f t="shared" si="564"/>
        <v>0</v>
      </c>
      <c r="AD408" s="6"/>
      <c r="AE408" s="7"/>
      <c r="AF408" s="7"/>
      <c r="AG408" s="7"/>
      <c r="AH408" s="9">
        <f t="shared" si="565"/>
        <v>0</v>
      </c>
      <c r="AI408" s="26">
        <f t="shared" si="566"/>
        <v>0</v>
      </c>
      <c r="AJ408" s="65"/>
    </row>
    <row r="409" spans="1:37" x14ac:dyDescent="0.15">
      <c r="A409" s="35" t="s">
        <v>37</v>
      </c>
      <c r="B409" s="24"/>
      <c r="C409" s="25"/>
      <c r="D409" s="25"/>
      <c r="E409" s="25"/>
      <c r="F409" s="26">
        <f t="shared" si="573"/>
        <v>0</v>
      </c>
      <c r="G409" s="24">
        <v>1</v>
      </c>
      <c r="H409" s="25"/>
      <c r="I409" s="25"/>
      <c r="J409" s="25"/>
      <c r="K409" s="26">
        <f t="shared" si="574"/>
        <v>1</v>
      </c>
      <c r="L409" s="24"/>
      <c r="M409" s="25"/>
      <c r="N409" s="25"/>
      <c r="O409" s="25"/>
      <c r="P409" s="26">
        <f t="shared" si="575"/>
        <v>0</v>
      </c>
      <c r="Q409" s="26">
        <f t="shared" si="551"/>
        <v>1</v>
      </c>
      <c r="R409" s="55">
        <v>45906</v>
      </c>
      <c r="S409" s="31"/>
      <c r="T409" s="6"/>
      <c r="U409" s="7"/>
      <c r="V409" s="7"/>
      <c r="W409" s="7"/>
      <c r="X409" s="9">
        <f t="shared" si="563"/>
        <v>0</v>
      </c>
      <c r="Y409" s="6"/>
      <c r="Z409" s="7"/>
      <c r="AA409" s="7"/>
      <c r="AB409" s="7"/>
      <c r="AC409" s="9">
        <f t="shared" si="564"/>
        <v>0</v>
      </c>
      <c r="AD409" s="6"/>
      <c r="AE409" s="7"/>
      <c r="AF409" s="7"/>
      <c r="AG409" s="7"/>
      <c r="AH409" s="9">
        <f t="shared" si="565"/>
        <v>0</v>
      </c>
      <c r="AI409" s="26">
        <f t="shared" si="566"/>
        <v>0</v>
      </c>
      <c r="AJ409" s="65"/>
    </row>
    <row r="410" spans="1:37" x14ac:dyDescent="0.15">
      <c r="A410" s="35" t="s">
        <v>37</v>
      </c>
      <c r="B410" s="6"/>
      <c r="C410" s="7"/>
      <c r="D410" s="7">
        <f>1+1</f>
        <v>2</v>
      </c>
      <c r="E410" s="7"/>
      <c r="F410" s="9">
        <f t="shared" si="573"/>
        <v>2</v>
      </c>
      <c r="G410" s="6"/>
      <c r="H410" s="7"/>
      <c r="I410" s="7"/>
      <c r="J410" s="7"/>
      <c r="K410" s="9">
        <f t="shared" si="574"/>
        <v>0</v>
      </c>
      <c r="L410" s="6"/>
      <c r="M410" s="7"/>
      <c r="N410" s="7"/>
      <c r="O410" s="7"/>
      <c r="P410" s="9">
        <f t="shared" si="575"/>
        <v>0</v>
      </c>
      <c r="Q410" s="26">
        <f t="shared" si="551"/>
        <v>2</v>
      </c>
      <c r="R410" s="55">
        <v>45912</v>
      </c>
      <c r="S410" s="31"/>
      <c r="T410" s="6"/>
      <c r="U410" s="7"/>
      <c r="V410" s="7"/>
      <c r="W410" s="7"/>
      <c r="X410" s="9">
        <f t="shared" ref="X410:X416" si="576">SUM(T410:W410)</f>
        <v>0</v>
      </c>
      <c r="Y410" s="6"/>
      <c r="Z410" s="7"/>
      <c r="AA410" s="7"/>
      <c r="AB410" s="7"/>
      <c r="AC410" s="9">
        <f t="shared" ref="AC410:AC416" si="577">SUM(Y410:AB410)</f>
        <v>0</v>
      </c>
      <c r="AD410" s="6"/>
      <c r="AE410" s="7"/>
      <c r="AF410" s="7"/>
      <c r="AG410" s="7"/>
      <c r="AH410" s="9">
        <f t="shared" ref="AH410:AH416" si="578">SUM(AD410:AG410)</f>
        <v>0</v>
      </c>
      <c r="AI410" s="26">
        <f t="shared" si="546"/>
        <v>0</v>
      </c>
      <c r="AJ410" s="65"/>
    </row>
    <row r="411" spans="1:37" x14ac:dyDescent="0.15">
      <c r="A411" s="35" t="s">
        <v>37</v>
      </c>
      <c r="B411" s="24"/>
      <c r="C411" s="25"/>
      <c r="D411" s="25">
        <v>1</v>
      </c>
      <c r="E411" s="25"/>
      <c r="F411" s="26">
        <f t="shared" si="573"/>
        <v>1</v>
      </c>
      <c r="G411" s="24"/>
      <c r="H411" s="25"/>
      <c r="I411" s="25">
        <f>2+1</f>
        <v>3</v>
      </c>
      <c r="J411" s="25">
        <v>1</v>
      </c>
      <c r="K411" s="26">
        <f t="shared" si="574"/>
        <v>4</v>
      </c>
      <c r="L411" s="24"/>
      <c r="M411" s="25"/>
      <c r="N411" s="25"/>
      <c r="O411" s="25"/>
      <c r="P411" s="26">
        <f t="shared" si="575"/>
        <v>0</v>
      </c>
      <c r="Q411" s="26">
        <f t="shared" si="551"/>
        <v>5</v>
      </c>
      <c r="R411" s="55">
        <v>45916</v>
      </c>
      <c r="S411" s="31"/>
      <c r="T411" s="6"/>
      <c r="U411" s="7"/>
      <c r="V411" s="7"/>
      <c r="W411" s="7"/>
      <c r="X411" s="9">
        <f t="shared" si="576"/>
        <v>0</v>
      </c>
      <c r="Y411" s="6"/>
      <c r="Z411" s="7"/>
      <c r="AA411" s="7"/>
      <c r="AB411" s="7"/>
      <c r="AC411" s="9">
        <f t="shared" si="577"/>
        <v>0</v>
      </c>
      <c r="AD411" s="6"/>
      <c r="AE411" s="7"/>
      <c r="AF411" s="7"/>
      <c r="AG411" s="7"/>
      <c r="AH411" s="9">
        <f t="shared" si="578"/>
        <v>0</v>
      </c>
      <c r="AI411" s="26">
        <f t="shared" si="546"/>
        <v>0</v>
      </c>
      <c r="AJ411" s="65"/>
    </row>
    <row r="412" spans="1:37" x14ac:dyDescent="0.15">
      <c r="A412" s="35" t="s">
        <v>225</v>
      </c>
      <c r="B412" s="27"/>
      <c r="C412" s="28"/>
      <c r="D412" s="28"/>
      <c r="E412" s="28"/>
      <c r="F412" s="26">
        <f t="shared" si="573"/>
        <v>0</v>
      </c>
      <c r="G412" s="27"/>
      <c r="H412" s="28"/>
      <c r="I412" s="28">
        <v>-5</v>
      </c>
      <c r="J412" s="28"/>
      <c r="K412" s="26">
        <f t="shared" si="574"/>
        <v>-5</v>
      </c>
      <c r="L412" s="27"/>
      <c r="M412" s="28"/>
      <c r="N412" s="28"/>
      <c r="O412" s="28"/>
      <c r="P412" s="26">
        <f t="shared" si="575"/>
        <v>0</v>
      </c>
      <c r="Q412" s="26">
        <f t="shared" si="551"/>
        <v>-5</v>
      </c>
      <c r="R412" s="55">
        <v>45917</v>
      </c>
      <c r="S412" s="31"/>
      <c r="T412" s="6"/>
      <c r="U412" s="7"/>
      <c r="V412" s="7"/>
      <c r="W412" s="7"/>
      <c r="X412" s="9">
        <f t="shared" si="576"/>
        <v>0</v>
      </c>
      <c r="Y412" s="6"/>
      <c r="Z412" s="7"/>
      <c r="AA412" s="7"/>
      <c r="AB412" s="7"/>
      <c r="AC412" s="9">
        <f t="shared" si="577"/>
        <v>0</v>
      </c>
      <c r="AD412" s="6"/>
      <c r="AE412" s="7"/>
      <c r="AF412" s="7"/>
      <c r="AG412" s="7"/>
      <c r="AH412" s="9">
        <f t="shared" si="578"/>
        <v>0</v>
      </c>
      <c r="AI412" s="26">
        <f t="shared" si="546"/>
        <v>0</v>
      </c>
      <c r="AJ412" s="65"/>
    </row>
    <row r="413" spans="1:37" x14ac:dyDescent="0.15">
      <c r="A413" s="35" t="s">
        <v>37</v>
      </c>
      <c r="B413" s="24"/>
      <c r="C413" s="25"/>
      <c r="D413" s="25"/>
      <c r="E413" s="25"/>
      <c r="F413" s="26">
        <f t="shared" si="573"/>
        <v>0</v>
      </c>
      <c r="G413" s="24"/>
      <c r="H413" s="25">
        <v>1</v>
      </c>
      <c r="I413" s="25">
        <v>1</v>
      </c>
      <c r="J413" s="25"/>
      <c r="K413" s="26">
        <f t="shared" si="574"/>
        <v>2</v>
      </c>
      <c r="L413" s="24"/>
      <c r="M413" s="25"/>
      <c r="N413" s="25"/>
      <c r="O413" s="25"/>
      <c r="P413" s="26">
        <f t="shared" si="575"/>
        <v>0</v>
      </c>
      <c r="Q413" s="26">
        <f t="shared" si="551"/>
        <v>2</v>
      </c>
      <c r="R413" s="55">
        <v>45917</v>
      </c>
      <c r="S413" s="31"/>
      <c r="T413" s="6"/>
      <c r="U413" s="7"/>
      <c r="V413" s="7"/>
      <c r="W413" s="7"/>
      <c r="X413" s="9">
        <f t="shared" si="576"/>
        <v>0</v>
      </c>
      <c r="Y413" s="6"/>
      <c r="Z413" s="7"/>
      <c r="AA413" s="7"/>
      <c r="AB413" s="7"/>
      <c r="AC413" s="9">
        <f t="shared" si="577"/>
        <v>0</v>
      </c>
      <c r="AD413" s="6"/>
      <c r="AE413" s="7"/>
      <c r="AF413" s="7"/>
      <c r="AG413" s="7"/>
      <c r="AH413" s="9">
        <f t="shared" si="578"/>
        <v>0</v>
      </c>
      <c r="AI413" s="26">
        <f t="shared" si="546"/>
        <v>0</v>
      </c>
      <c r="AJ413" s="65"/>
    </row>
    <row r="414" spans="1:37" x14ac:dyDescent="0.15">
      <c r="A414" s="35" t="s">
        <v>37</v>
      </c>
      <c r="B414" s="24"/>
      <c r="C414" s="25"/>
      <c r="D414" s="25"/>
      <c r="E414" s="25"/>
      <c r="F414" s="26">
        <f t="shared" si="573"/>
        <v>0</v>
      </c>
      <c r="G414" s="24"/>
      <c r="H414" s="25"/>
      <c r="I414" s="25">
        <v>1</v>
      </c>
      <c r="J414" s="25"/>
      <c r="K414" s="26">
        <f t="shared" si="574"/>
        <v>1</v>
      </c>
      <c r="L414" s="24"/>
      <c r="M414" s="25"/>
      <c r="N414" s="25"/>
      <c r="O414" s="25"/>
      <c r="P414" s="26">
        <f t="shared" si="575"/>
        <v>0</v>
      </c>
      <c r="Q414" s="26">
        <f t="shared" si="551"/>
        <v>1</v>
      </c>
      <c r="R414" s="55">
        <v>45919</v>
      </c>
      <c r="S414" s="31"/>
      <c r="T414" s="6"/>
      <c r="U414" s="7"/>
      <c r="V414" s="7"/>
      <c r="W414" s="7"/>
      <c r="X414" s="9">
        <f t="shared" si="576"/>
        <v>0</v>
      </c>
      <c r="Y414" s="6"/>
      <c r="Z414" s="7"/>
      <c r="AA414" s="7"/>
      <c r="AB414" s="7"/>
      <c r="AC414" s="9">
        <f t="shared" si="577"/>
        <v>0</v>
      </c>
      <c r="AD414" s="6"/>
      <c r="AE414" s="7"/>
      <c r="AF414" s="7"/>
      <c r="AG414" s="7"/>
      <c r="AH414" s="9">
        <f t="shared" si="578"/>
        <v>0</v>
      </c>
      <c r="AI414" s="26">
        <f t="shared" si="546"/>
        <v>0</v>
      </c>
      <c r="AJ414" s="65"/>
    </row>
    <row r="415" spans="1:37" x14ac:dyDescent="0.15">
      <c r="A415" s="35" t="s">
        <v>37</v>
      </c>
      <c r="B415" s="24"/>
      <c r="C415" s="25"/>
      <c r="D415" s="25"/>
      <c r="E415" s="25"/>
      <c r="F415" s="26">
        <f t="shared" si="573"/>
        <v>0</v>
      </c>
      <c r="G415" s="24"/>
      <c r="H415" s="25">
        <v>1</v>
      </c>
      <c r="I415" s="25"/>
      <c r="J415" s="25">
        <v>-1</v>
      </c>
      <c r="K415" s="26">
        <f t="shared" si="574"/>
        <v>0</v>
      </c>
      <c r="L415" s="24"/>
      <c r="M415" s="25"/>
      <c r="N415" s="25"/>
      <c r="O415" s="25"/>
      <c r="P415" s="26">
        <f t="shared" si="575"/>
        <v>0</v>
      </c>
      <c r="Q415" s="26">
        <f t="shared" si="551"/>
        <v>0</v>
      </c>
      <c r="R415" s="55">
        <v>45922</v>
      </c>
      <c r="S415" s="31"/>
      <c r="T415" s="6"/>
      <c r="U415" s="7"/>
      <c r="V415" s="7"/>
      <c r="W415" s="7"/>
      <c r="X415" s="9">
        <f t="shared" si="576"/>
        <v>0</v>
      </c>
      <c r="Y415" s="6"/>
      <c r="Z415" s="7"/>
      <c r="AA415" s="7"/>
      <c r="AB415" s="7"/>
      <c r="AC415" s="9">
        <f t="shared" si="577"/>
        <v>0</v>
      </c>
      <c r="AD415" s="6"/>
      <c r="AE415" s="7"/>
      <c r="AF415" s="7"/>
      <c r="AG415" s="7"/>
      <c r="AH415" s="9">
        <f t="shared" si="578"/>
        <v>0</v>
      </c>
      <c r="AI415" s="26">
        <f t="shared" si="546"/>
        <v>0</v>
      </c>
      <c r="AJ415" s="65"/>
    </row>
    <row r="416" spans="1:37" ht="14.25" thickBot="1" x14ac:dyDescent="0.2">
      <c r="A416" s="101" t="s">
        <v>34</v>
      </c>
      <c r="B416" s="10"/>
      <c r="C416" s="11"/>
      <c r="D416" s="11"/>
      <c r="E416" s="11"/>
      <c r="F416" s="9">
        <f t="shared" si="573"/>
        <v>0</v>
      </c>
      <c r="G416" s="10"/>
      <c r="H416" s="11"/>
      <c r="I416" s="11"/>
      <c r="J416" s="11"/>
      <c r="K416" s="9">
        <f t="shared" si="574"/>
        <v>0</v>
      </c>
      <c r="L416" s="10"/>
      <c r="M416" s="11"/>
      <c r="N416" s="11"/>
      <c r="O416" s="11">
        <v>-1</v>
      </c>
      <c r="P416" s="9">
        <f t="shared" si="575"/>
        <v>-1</v>
      </c>
      <c r="Q416" s="43">
        <f t="shared" si="551"/>
        <v>-1</v>
      </c>
      <c r="R416" s="55">
        <v>45918</v>
      </c>
      <c r="S416" s="31"/>
      <c r="T416" s="6"/>
      <c r="U416" s="7"/>
      <c r="V416" s="7"/>
      <c r="W416" s="7"/>
      <c r="X416" s="9">
        <f t="shared" si="576"/>
        <v>0</v>
      </c>
      <c r="Y416" s="6"/>
      <c r="Z416" s="7"/>
      <c r="AA416" s="7"/>
      <c r="AB416" s="7"/>
      <c r="AC416" s="9">
        <f t="shared" si="577"/>
        <v>0</v>
      </c>
      <c r="AD416" s="6"/>
      <c r="AE416" s="7"/>
      <c r="AF416" s="7"/>
      <c r="AG416" s="7"/>
      <c r="AH416" s="9">
        <f t="shared" si="578"/>
        <v>0</v>
      </c>
      <c r="AI416" s="26">
        <f t="shared" si="546"/>
        <v>0</v>
      </c>
      <c r="AJ416" s="65"/>
    </row>
    <row r="417" spans="1:36" ht="15" thickBot="1" x14ac:dyDescent="0.2">
      <c r="A417" s="5" t="s">
        <v>14</v>
      </c>
      <c r="B417" s="12">
        <f>SUM(B391:B416)</f>
        <v>0</v>
      </c>
      <c r="C417" s="13">
        <f t="shared" ref="C417:P417" si="579">SUM(C391:C416)</f>
        <v>4</v>
      </c>
      <c r="D417" s="13">
        <f t="shared" si="579"/>
        <v>4</v>
      </c>
      <c r="E417" s="14">
        <f t="shared" si="579"/>
        <v>4</v>
      </c>
      <c r="F417" s="8">
        <f t="shared" si="579"/>
        <v>12</v>
      </c>
      <c r="G417" s="12">
        <f t="shared" si="579"/>
        <v>2</v>
      </c>
      <c r="H417" s="13">
        <f t="shared" si="579"/>
        <v>9</v>
      </c>
      <c r="I417" s="13">
        <f t="shared" si="579"/>
        <v>5</v>
      </c>
      <c r="J417" s="14">
        <f t="shared" si="579"/>
        <v>14</v>
      </c>
      <c r="K417" s="8">
        <f t="shared" si="579"/>
        <v>30</v>
      </c>
      <c r="L417" s="12">
        <f t="shared" si="579"/>
        <v>0</v>
      </c>
      <c r="M417" s="13">
        <f t="shared" si="579"/>
        <v>2</v>
      </c>
      <c r="N417" s="13">
        <f t="shared" si="579"/>
        <v>2</v>
      </c>
      <c r="O417" s="14">
        <f t="shared" si="579"/>
        <v>2</v>
      </c>
      <c r="P417" s="8">
        <f t="shared" si="579"/>
        <v>6</v>
      </c>
      <c r="Q417" s="34">
        <f t="shared" si="551"/>
        <v>48</v>
      </c>
      <c r="R417" s="54"/>
      <c r="S417" s="5" t="s">
        <v>14</v>
      </c>
      <c r="T417" s="12">
        <f>SUM(T391:T416)</f>
        <v>2</v>
      </c>
      <c r="U417" s="13">
        <f t="shared" ref="U417:W417" si="580">SUM(U391:U416)</f>
        <v>11</v>
      </c>
      <c r="V417" s="13">
        <f t="shared" si="580"/>
        <v>2</v>
      </c>
      <c r="W417" s="14">
        <f t="shared" si="580"/>
        <v>15</v>
      </c>
      <c r="X417" s="8">
        <f>SUM(X391:X416)</f>
        <v>30</v>
      </c>
      <c r="Y417" s="12">
        <f>SUM(Y391:Y416)</f>
        <v>10</v>
      </c>
      <c r="Z417" s="13">
        <f t="shared" ref="Z417" si="581">SUM(Z391:Z416)</f>
        <v>7</v>
      </c>
      <c r="AA417" s="13">
        <f t="shared" ref="AA417" si="582">SUM(AA391:AA416)</f>
        <v>0</v>
      </c>
      <c r="AB417" s="14">
        <f t="shared" ref="AB417" si="583">SUM(AB391:AB416)</f>
        <v>18</v>
      </c>
      <c r="AC417" s="8">
        <f>SUM(AC391:AC416)</f>
        <v>35</v>
      </c>
      <c r="AD417" s="12">
        <f>SUM(AD391:AD416)</f>
        <v>0</v>
      </c>
      <c r="AE417" s="13">
        <f t="shared" ref="AE417" si="584">SUM(AE391:AE416)</f>
        <v>11</v>
      </c>
      <c r="AF417" s="13">
        <f t="shared" ref="AF417" si="585">SUM(AF391:AF416)</f>
        <v>4</v>
      </c>
      <c r="AG417" s="14">
        <f t="shared" ref="AG417" si="586">SUM(AG391:AG416)</f>
        <v>9</v>
      </c>
      <c r="AH417" s="8">
        <f>SUM(AH391:AH416)</f>
        <v>24</v>
      </c>
      <c r="AI417" s="34">
        <f>X417+AC417+AH417</f>
        <v>89</v>
      </c>
    </row>
    <row r="418" spans="1:36" ht="14.25" thickBot="1" x14ac:dyDescent="0.2">
      <c r="A418" s="15" t="s">
        <v>15</v>
      </c>
      <c r="B418" s="16">
        <f>B390-B417</f>
        <v>5</v>
      </c>
      <c r="C418" s="17">
        <f>C390-C417</f>
        <v>3</v>
      </c>
      <c r="D418" s="17">
        <f t="shared" ref="D418:P418" si="587">D390-D417</f>
        <v>2</v>
      </c>
      <c r="E418" s="18">
        <f t="shared" si="587"/>
        <v>6</v>
      </c>
      <c r="F418" s="44">
        <f t="shared" si="587"/>
        <v>16</v>
      </c>
      <c r="G418" s="16">
        <f t="shared" si="587"/>
        <v>2</v>
      </c>
      <c r="H418" s="17">
        <f t="shared" si="587"/>
        <v>2</v>
      </c>
      <c r="I418" s="17">
        <f t="shared" si="587"/>
        <v>3</v>
      </c>
      <c r="J418" s="18">
        <f t="shared" si="587"/>
        <v>3</v>
      </c>
      <c r="K418" s="44">
        <f t="shared" si="587"/>
        <v>10</v>
      </c>
      <c r="L418" s="16">
        <f t="shared" si="587"/>
        <v>0</v>
      </c>
      <c r="M418" s="17">
        <f t="shared" si="587"/>
        <v>0</v>
      </c>
      <c r="N418" s="17">
        <f t="shared" si="587"/>
        <v>0</v>
      </c>
      <c r="O418" s="18">
        <f t="shared" si="587"/>
        <v>1</v>
      </c>
      <c r="P418" s="44">
        <f t="shared" si="587"/>
        <v>1</v>
      </c>
      <c r="Q418" s="34">
        <f t="shared" si="551"/>
        <v>27</v>
      </c>
      <c r="R418" s="54"/>
      <c r="S418" s="15" t="s">
        <v>15</v>
      </c>
      <c r="T418" s="16">
        <f>T390-T417</f>
        <v>101</v>
      </c>
      <c r="U418" s="17">
        <f t="shared" ref="U418:W418" si="588">U390-U417</f>
        <v>100</v>
      </c>
      <c r="V418" s="17">
        <f t="shared" si="588"/>
        <v>57</v>
      </c>
      <c r="W418" s="18">
        <f t="shared" si="588"/>
        <v>26</v>
      </c>
      <c r="X418" s="44">
        <f>X390-X417</f>
        <v>284</v>
      </c>
      <c r="Y418" s="16">
        <f>Y390-Y417</f>
        <v>102</v>
      </c>
      <c r="Z418" s="17">
        <f t="shared" ref="Z418" si="589">Z390-Z417</f>
        <v>119</v>
      </c>
      <c r="AA418" s="17">
        <f t="shared" ref="AA418" si="590">AA390-AA417</f>
        <v>110</v>
      </c>
      <c r="AB418" s="18">
        <f t="shared" ref="AB418" si="591">AB390-AB417</f>
        <v>51</v>
      </c>
      <c r="AC418" s="44">
        <f>AC390-AC417</f>
        <v>382</v>
      </c>
      <c r="AD418" s="16">
        <f>AD390-AD417</f>
        <v>113</v>
      </c>
      <c r="AE418" s="17">
        <f t="shared" ref="AE418" si="592">AE390-AE417</f>
        <v>178</v>
      </c>
      <c r="AF418" s="17">
        <f t="shared" ref="AF418" si="593">AF390-AF417</f>
        <v>114</v>
      </c>
      <c r="AG418" s="18">
        <f t="shared" ref="AG418" si="594">AG390-AG417</f>
        <v>120</v>
      </c>
      <c r="AH418" s="44">
        <f>AH390-AH417</f>
        <v>525</v>
      </c>
      <c r="AI418" s="34">
        <f>X418+AC418+AH418</f>
        <v>1191</v>
      </c>
    </row>
    <row r="421" spans="1:36" ht="19.5" thickBot="1" x14ac:dyDescent="0.25">
      <c r="A421" s="58" t="s">
        <v>1</v>
      </c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4"/>
      <c r="S421" s="58" t="s">
        <v>8</v>
      </c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75"/>
      <c r="AF421" s="75"/>
      <c r="AG421" s="75"/>
      <c r="AH421" s="59"/>
      <c r="AI421" s="59"/>
    </row>
    <row r="422" spans="1:36" ht="14.25" thickBot="1" x14ac:dyDescent="0.2">
      <c r="A422" s="52" t="s">
        <v>9</v>
      </c>
      <c r="B422" s="130" t="s">
        <v>10</v>
      </c>
      <c r="C422" s="131"/>
      <c r="D422" s="131"/>
      <c r="E422" s="131"/>
      <c r="F422" s="132"/>
      <c r="G422" s="133" t="s">
        <v>11</v>
      </c>
      <c r="H422" s="134"/>
      <c r="I422" s="134"/>
      <c r="J422" s="134"/>
      <c r="K422" s="135"/>
      <c r="L422" s="136" t="s">
        <v>131</v>
      </c>
      <c r="M422" s="137"/>
      <c r="N422" s="137"/>
      <c r="O422" s="137"/>
      <c r="P422" s="138"/>
      <c r="Q422" s="139" t="s">
        <v>7</v>
      </c>
      <c r="R422" s="54"/>
      <c r="S422" s="52" t="s">
        <v>9</v>
      </c>
      <c r="T422" s="130" t="s">
        <v>10</v>
      </c>
      <c r="U422" s="131"/>
      <c r="V422" s="131"/>
      <c r="W422" s="131"/>
      <c r="X422" s="132"/>
      <c r="Y422" s="133" t="s">
        <v>11</v>
      </c>
      <c r="Z422" s="134"/>
      <c r="AA422" s="134"/>
      <c r="AB422" s="134"/>
      <c r="AC422" s="135"/>
      <c r="AD422" s="136" t="s">
        <v>131</v>
      </c>
      <c r="AE422" s="137"/>
      <c r="AF422" s="137"/>
      <c r="AG422" s="137"/>
      <c r="AH422" s="138"/>
      <c r="AI422" s="139" t="s">
        <v>7</v>
      </c>
    </row>
    <row r="423" spans="1:36" ht="14.25" thickBot="1" x14ac:dyDescent="0.2">
      <c r="A423" s="52" t="s">
        <v>2</v>
      </c>
      <c r="B423" s="2" t="s">
        <v>3</v>
      </c>
      <c r="C423" s="3" t="s">
        <v>4</v>
      </c>
      <c r="D423" s="3" t="s">
        <v>5</v>
      </c>
      <c r="E423" s="4" t="s">
        <v>6</v>
      </c>
      <c r="F423" s="1" t="s">
        <v>0</v>
      </c>
      <c r="G423" s="2" t="s">
        <v>3</v>
      </c>
      <c r="H423" s="3" t="s">
        <v>4</v>
      </c>
      <c r="I423" s="3" t="s">
        <v>5</v>
      </c>
      <c r="J423" s="4" t="s">
        <v>6</v>
      </c>
      <c r="K423" s="1" t="s">
        <v>0</v>
      </c>
      <c r="L423" s="2" t="s">
        <v>3</v>
      </c>
      <c r="M423" s="3" t="s">
        <v>4</v>
      </c>
      <c r="N423" s="3" t="s">
        <v>5</v>
      </c>
      <c r="O423" s="4" t="s">
        <v>6</v>
      </c>
      <c r="P423" s="1" t="s">
        <v>0</v>
      </c>
      <c r="Q423" s="140"/>
      <c r="R423" s="54"/>
      <c r="S423" s="52" t="s">
        <v>2</v>
      </c>
      <c r="T423" s="2" t="s">
        <v>3</v>
      </c>
      <c r="U423" s="3" t="s">
        <v>4</v>
      </c>
      <c r="V423" s="3" t="s">
        <v>5</v>
      </c>
      <c r="W423" s="4" t="s">
        <v>6</v>
      </c>
      <c r="X423" s="1" t="s">
        <v>0</v>
      </c>
      <c r="Y423" s="2" t="s">
        <v>3</v>
      </c>
      <c r="Z423" s="3" t="s">
        <v>4</v>
      </c>
      <c r="AA423" s="3" t="s">
        <v>5</v>
      </c>
      <c r="AB423" s="4" t="s">
        <v>6</v>
      </c>
      <c r="AC423" s="1" t="s">
        <v>0</v>
      </c>
      <c r="AD423" s="2" t="s">
        <v>3</v>
      </c>
      <c r="AE423" s="3" t="s">
        <v>4</v>
      </c>
      <c r="AF423" s="3" t="s">
        <v>5</v>
      </c>
      <c r="AG423" s="4" t="s">
        <v>6</v>
      </c>
      <c r="AH423" s="1" t="s">
        <v>0</v>
      </c>
      <c r="AI423" s="140"/>
    </row>
    <row r="424" spans="1:36" ht="14.25" x14ac:dyDescent="0.15">
      <c r="A424" s="45" t="s">
        <v>16</v>
      </c>
      <c r="B424" s="32">
        <f>B418</f>
        <v>5</v>
      </c>
      <c r="C424" s="32">
        <f t="shared" ref="C424:P424" si="595">C418</f>
        <v>3</v>
      </c>
      <c r="D424" s="32">
        <f t="shared" si="595"/>
        <v>2</v>
      </c>
      <c r="E424" s="38">
        <f t="shared" si="595"/>
        <v>6</v>
      </c>
      <c r="F424" s="33">
        <f t="shared" si="595"/>
        <v>16</v>
      </c>
      <c r="G424" s="32">
        <f t="shared" si="595"/>
        <v>2</v>
      </c>
      <c r="H424" s="32">
        <f t="shared" si="595"/>
        <v>2</v>
      </c>
      <c r="I424" s="32">
        <f t="shared" si="595"/>
        <v>3</v>
      </c>
      <c r="J424" s="38">
        <f t="shared" si="595"/>
        <v>3</v>
      </c>
      <c r="K424" s="33">
        <f t="shared" si="595"/>
        <v>10</v>
      </c>
      <c r="L424" s="32">
        <f t="shared" si="595"/>
        <v>0</v>
      </c>
      <c r="M424" s="32">
        <f t="shared" si="595"/>
        <v>0</v>
      </c>
      <c r="N424" s="32">
        <f t="shared" si="595"/>
        <v>0</v>
      </c>
      <c r="O424" s="38">
        <f t="shared" si="595"/>
        <v>1</v>
      </c>
      <c r="P424" s="33">
        <f t="shared" si="595"/>
        <v>1</v>
      </c>
      <c r="Q424" s="33">
        <f>F424+K424+P424</f>
        <v>27</v>
      </c>
      <c r="R424" s="54"/>
      <c r="S424" s="45" t="s">
        <v>16</v>
      </c>
      <c r="T424" s="32">
        <f>T418</f>
        <v>101</v>
      </c>
      <c r="U424" s="32">
        <f t="shared" ref="U424:AI424" si="596">U418</f>
        <v>100</v>
      </c>
      <c r="V424" s="32">
        <f t="shared" si="596"/>
        <v>57</v>
      </c>
      <c r="W424" s="38">
        <f t="shared" si="596"/>
        <v>26</v>
      </c>
      <c r="X424" s="33">
        <f t="shared" si="596"/>
        <v>284</v>
      </c>
      <c r="Y424" s="32">
        <f t="shared" si="596"/>
        <v>102</v>
      </c>
      <c r="Z424" s="32">
        <f t="shared" si="596"/>
        <v>119</v>
      </c>
      <c r="AA424" s="32">
        <f t="shared" si="596"/>
        <v>110</v>
      </c>
      <c r="AB424" s="38">
        <f t="shared" si="596"/>
        <v>51</v>
      </c>
      <c r="AC424" s="33">
        <f t="shared" si="596"/>
        <v>382</v>
      </c>
      <c r="AD424" s="32">
        <f t="shared" si="596"/>
        <v>113</v>
      </c>
      <c r="AE424" s="32">
        <f t="shared" si="596"/>
        <v>178</v>
      </c>
      <c r="AF424" s="32">
        <f t="shared" si="596"/>
        <v>114</v>
      </c>
      <c r="AG424" s="38">
        <f t="shared" si="596"/>
        <v>120</v>
      </c>
      <c r="AH424" s="33">
        <f t="shared" si="596"/>
        <v>525</v>
      </c>
      <c r="AI424" s="62">
        <f t="shared" si="596"/>
        <v>1191</v>
      </c>
    </row>
    <row r="425" spans="1:36" x14ac:dyDescent="0.15">
      <c r="A425" s="23" t="s">
        <v>17</v>
      </c>
      <c r="B425" s="25"/>
      <c r="C425" s="25"/>
      <c r="D425" s="25"/>
      <c r="E425" s="39"/>
      <c r="F425" s="22">
        <f>SUM(B425:E425)</f>
        <v>0</v>
      </c>
      <c r="G425" s="25"/>
      <c r="H425" s="25">
        <v>3</v>
      </c>
      <c r="I425" s="25"/>
      <c r="J425" s="39"/>
      <c r="K425" s="22">
        <f t="shared" ref="K425:K431" si="597">SUM(G425:J425)</f>
        <v>3</v>
      </c>
      <c r="L425" s="25"/>
      <c r="M425" s="25"/>
      <c r="N425" s="25"/>
      <c r="O425" s="39"/>
      <c r="P425" s="22">
        <f t="shared" ref="P425:P431" si="598">SUM(L425:O425)</f>
        <v>0</v>
      </c>
      <c r="Q425" s="26">
        <f t="shared" ref="Q425:Q431" si="599">F425+K425+P425</f>
        <v>3</v>
      </c>
      <c r="R425" s="64">
        <v>45927</v>
      </c>
      <c r="S425" s="23" t="s">
        <v>34</v>
      </c>
      <c r="T425" s="25"/>
      <c r="U425" s="25"/>
      <c r="V425" s="25"/>
      <c r="W425" s="39"/>
      <c r="X425" s="22">
        <f>SUM(T425:W425)</f>
        <v>0</v>
      </c>
      <c r="Y425" s="25"/>
      <c r="Z425" s="25"/>
      <c r="AA425" s="25"/>
      <c r="AB425" s="39"/>
      <c r="AC425" s="22">
        <f t="shared" ref="AC425:AC431" si="600">SUM(Y425:AB425)</f>
        <v>0</v>
      </c>
      <c r="AD425" s="25">
        <v>1</v>
      </c>
      <c r="AE425" s="25"/>
      <c r="AF425" s="25"/>
      <c r="AG425" s="39"/>
      <c r="AH425" s="22">
        <f t="shared" ref="AH425:AH431" si="601">SUM(AD425:AG425)</f>
        <v>1</v>
      </c>
      <c r="AI425" s="26">
        <f t="shared" ref="AI425:AI431" si="602">X425+AC425+AH425</f>
        <v>1</v>
      </c>
      <c r="AJ425" s="100">
        <v>45950</v>
      </c>
    </row>
    <row r="426" spans="1:36" x14ac:dyDescent="0.15">
      <c r="A426" s="23" t="s">
        <v>17</v>
      </c>
      <c r="B426" s="25"/>
      <c r="C426" s="25"/>
      <c r="D426" s="25"/>
      <c r="E426" s="39"/>
      <c r="F426" s="22">
        <f t="shared" ref="F426:F431" si="603">SUM(B426:E426)</f>
        <v>0</v>
      </c>
      <c r="G426" s="25"/>
      <c r="H426" s="25"/>
      <c r="I426" s="25"/>
      <c r="J426" s="39">
        <v>2</v>
      </c>
      <c r="K426" s="22">
        <f t="shared" si="597"/>
        <v>2</v>
      </c>
      <c r="L426" s="25"/>
      <c r="M426" s="25"/>
      <c r="N426" s="25"/>
      <c r="O426" s="39"/>
      <c r="P426" s="22">
        <f t="shared" si="598"/>
        <v>0</v>
      </c>
      <c r="Q426" s="26">
        <f t="shared" si="599"/>
        <v>2</v>
      </c>
      <c r="R426" s="64">
        <v>45966</v>
      </c>
      <c r="S426" s="23" t="s">
        <v>133</v>
      </c>
      <c r="T426" s="24">
        <v>3</v>
      </c>
      <c r="U426" s="25">
        <v>1</v>
      </c>
      <c r="V426" s="25"/>
      <c r="W426" s="25">
        <v>2</v>
      </c>
      <c r="X426" s="26">
        <f>SUM(T426:W426)</f>
        <v>6</v>
      </c>
      <c r="Y426" s="24"/>
      <c r="Z426" s="25"/>
      <c r="AA426" s="25">
        <v>2</v>
      </c>
      <c r="AB426" s="25"/>
      <c r="AC426" s="26">
        <f>SUM(Y426:AB426)</f>
        <v>2</v>
      </c>
      <c r="AD426" s="24"/>
      <c r="AE426" s="25"/>
      <c r="AF426" s="25"/>
      <c r="AG426" s="25">
        <v>1</v>
      </c>
      <c r="AH426" s="26">
        <f>SUM(AD426:AG426)</f>
        <v>1</v>
      </c>
      <c r="AI426" s="26">
        <f>X426+AC426+AH426</f>
        <v>9</v>
      </c>
      <c r="AJ426" s="64">
        <v>45962</v>
      </c>
    </row>
    <row r="427" spans="1:36" x14ac:dyDescent="0.15">
      <c r="A427" s="23" t="s">
        <v>17</v>
      </c>
      <c r="B427" s="25"/>
      <c r="C427" s="25"/>
      <c r="D427" s="25"/>
      <c r="E427" s="39"/>
      <c r="F427" s="22">
        <f t="shared" si="603"/>
        <v>0</v>
      </c>
      <c r="G427" s="25">
        <v>3</v>
      </c>
      <c r="H427" s="25">
        <v>3</v>
      </c>
      <c r="I427" s="25">
        <v>3</v>
      </c>
      <c r="J427" s="39"/>
      <c r="K427" s="22">
        <f t="shared" si="597"/>
        <v>9</v>
      </c>
      <c r="L427" s="25"/>
      <c r="M427" s="25"/>
      <c r="N427" s="25"/>
      <c r="O427" s="39"/>
      <c r="P427" s="22">
        <f t="shared" si="598"/>
        <v>0</v>
      </c>
      <c r="Q427" s="26">
        <f t="shared" si="599"/>
        <v>9</v>
      </c>
      <c r="R427" s="64">
        <v>45980</v>
      </c>
      <c r="S427" s="23" t="s">
        <v>17</v>
      </c>
      <c r="T427" s="25"/>
      <c r="U427" s="25"/>
      <c r="V427" s="25"/>
      <c r="W427" s="39"/>
      <c r="X427" s="22">
        <f t="shared" ref="X427:X431" si="604">SUM(T427:W427)</f>
        <v>0</v>
      </c>
      <c r="Y427" s="25"/>
      <c r="Z427" s="25"/>
      <c r="AA427" s="25"/>
      <c r="AB427" s="39"/>
      <c r="AC427" s="22">
        <f t="shared" si="600"/>
        <v>0</v>
      </c>
      <c r="AD427" s="25"/>
      <c r="AE427" s="25"/>
      <c r="AF427" s="25"/>
      <c r="AG427" s="39"/>
      <c r="AH427" s="22">
        <f t="shared" si="601"/>
        <v>0</v>
      </c>
      <c r="AI427" s="26">
        <f t="shared" si="602"/>
        <v>0</v>
      </c>
      <c r="AJ427" s="53"/>
    </row>
    <row r="428" spans="1:36" x14ac:dyDescent="0.15">
      <c r="A428" s="23" t="s">
        <v>34</v>
      </c>
      <c r="B428" s="28"/>
      <c r="C428" s="28"/>
      <c r="D428" s="28"/>
      <c r="E428" s="40"/>
      <c r="F428" s="29">
        <f t="shared" si="603"/>
        <v>0</v>
      </c>
      <c r="G428" s="28"/>
      <c r="H428" s="28">
        <v>1</v>
      </c>
      <c r="I428" s="28"/>
      <c r="J428" s="40"/>
      <c r="K428" s="29">
        <f t="shared" si="597"/>
        <v>1</v>
      </c>
      <c r="L428" s="28"/>
      <c r="M428" s="28"/>
      <c r="N428" s="28"/>
      <c r="O428" s="40"/>
      <c r="P428" s="29">
        <f t="shared" si="598"/>
        <v>0</v>
      </c>
      <c r="Q428" s="26">
        <f t="shared" si="599"/>
        <v>1</v>
      </c>
      <c r="R428" s="64">
        <v>45979</v>
      </c>
      <c r="S428" s="23" t="s">
        <v>17</v>
      </c>
      <c r="T428" s="28"/>
      <c r="U428" s="28"/>
      <c r="V428" s="28"/>
      <c r="W428" s="40"/>
      <c r="X428" s="29">
        <f t="shared" si="604"/>
        <v>0</v>
      </c>
      <c r="Y428" s="28"/>
      <c r="Z428" s="28"/>
      <c r="AA428" s="28"/>
      <c r="AB428" s="40"/>
      <c r="AC428" s="29">
        <f t="shared" si="600"/>
        <v>0</v>
      </c>
      <c r="AD428" s="28"/>
      <c r="AE428" s="28"/>
      <c r="AF428" s="28"/>
      <c r="AG428" s="40"/>
      <c r="AH428" s="29">
        <f t="shared" si="601"/>
        <v>0</v>
      </c>
      <c r="AI428" s="26">
        <f t="shared" si="602"/>
        <v>0</v>
      </c>
      <c r="AJ428" s="53"/>
    </row>
    <row r="429" spans="1:36" x14ac:dyDescent="0.15">
      <c r="A429" s="23" t="s">
        <v>17</v>
      </c>
      <c r="B429" s="25"/>
      <c r="C429" s="36"/>
      <c r="D429" s="36">
        <v>3</v>
      </c>
      <c r="E429" s="41"/>
      <c r="F429" s="26">
        <f t="shared" si="603"/>
        <v>3</v>
      </c>
      <c r="G429" s="25"/>
      <c r="H429" s="36"/>
      <c r="I429" s="36"/>
      <c r="J429" s="41">
        <v>3</v>
      </c>
      <c r="K429" s="26">
        <f t="shared" si="597"/>
        <v>3</v>
      </c>
      <c r="L429" s="25"/>
      <c r="M429" s="36"/>
      <c r="N429" s="36"/>
      <c r="O429" s="41"/>
      <c r="P429" s="26">
        <f t="shared" si="598"/>
        <v>0</v>
      </c>
      <c r="Q429" s="26">
        <f t="shared" si="599"/>
        <v>6</v>
      </c>
      <c r="R429" s="64">
        <v>45989</v>
      </c>
      <c r="S429" s="23" t="s">
        <v>17</v>
      </c>
      <c r="T429" s="25"/>
      <c r="U429" s="36"/>
      <c r="V429" s="36"/>
      <c r="W429" s="41"/>
      <c r="X429" s="26">
        <f t="shared" si="604"/>
        <v>0</v>
      </c>
      <c r="Y429" s="25"/>
      <c r="Z429" s="36"/>
      <c r="AA429" s="36"/>
      <c r="AB429" s="41"/>
      <c r="AC429" s="26">
        <f t="shared" si="600"/>
        <v>0</v>
      </c>
      <c r="AD429" s="25"/>
      <c r="AE429" s="36"/>
      <c r="AF429" s="36"/>
      <c r="AG429" s="41"/>
      <c r="AH429" s="26">
        <f t="shared" si="601"/>
        <v>0</v>
      </c>
      <c r="AI429" s="26">
        <f t="shared" si="602"/>
        <v>0</v>
      </c>
      <c r="AJ429" s="53"/>
    </row>
    <row r="430" spans="1:36" x14ac:dyDescent="0.15">
      <c r="A430" s="23" t="s">
        <v>17</v>
      </c>
      <c r="B430" s="25"/>
      <c r="C430" s="36"/>
      <c r="D430" s="36"/>
      <c r="E430" s="41">
        <v>2</v>
      </c>
      <c r="F430" s="26">
        <f t="shared" si="603"/>
        <v>2</v>
      </c>
      <c r="G430" s="25"/>
      <c r="H430" s="36"/>
      <c r="I430" s="36"/>
      <c r="J430" s="41"/>
      <c r="K430" s="26">
        <f t="shared" si="597"/>
        <v>0</v>
      </c>
      <c r="L430" s="25"/>
      <c r="M430" s="36"/>
      <c r="N430" s="36"/>
      <c r="O430" s="41"/>
      <c r="P430" s="26">
        <f t="shared" si="598"/>
        <v>0</v>
      </c>
      <c r="Q430" s="26">
        <f t="shared" si="599"/>
        <v>2</v>
      </c>
      <c r="R430" s="64">
        <v>46045</v>
      </c>
      <c r="S430" s="23" t="s">
        <v>17</v>
      </c>
      <c r="T430" s="25"/>
      <c r="U430" s="36"/>
      <c r="V430" s="36"/>
      <c r="W430" s="41"/>
      <c r="X430" s="26">
        <f t="shared" si="604"/>
        <v>0</v>
      </c>
      <c r="Y430" s="25"/>
      <c r="Z430" s="36"/>
      <c r="AA430" s="36"/>
      <c r="AB430" s="41"/>
      <c r="AC430" s="26">
        <f t="shared" si="600"/>
        <v>0</v>
      </c>
      <c r="AD430" s="25"/>
      <c r="AE430" s="36"/>
      <c r="AF430" s="36"/>
      <c r="AG430" s="41"/>
      <c r="AH430" s="26">
        <f t="shared" si="601"/>
        <v>0</v>
      </c>
      <c r="AI430" s="26">
        <f t="shared" si="602"/>
        <v>0</v>
      </c>
    </row>
    <row r="431" spans="1:36" ht="14.25" thickBot="1" x14ac:dyDescent="0.2">
      <c r="A431" s="23" t="s">
        <v>17</v>
      </c>
      <c r="B431" s="28"/>
      <c r="C431" s="37"/>
      <c r="D431" s="37"/>
      <c r="E431" s="42"/>
      <c r="F431" s="43">
        <f t="shared" si="603"/>
        <v>0</v>
      </c>
      <c r="G431" s="28"/>
      <c r="H431" s="37"/>
      <c r="I431" s="37"/>
      <c r="J431" s="42"/>
      <c r="K431" s="43">
        <f t="shared" si="597"/>
        <v>0</v>
      </c>
      <c r="L431" s="28"/>
      <c r="M431" s="37"/>
      <c r="N431" s="37"/>
      <c r="O431" s="42"/>
      <c r="P431" s="43">
        <f t="shared" si="598"/>
        <v>0</v>
      </c>
      <c r="Q431" s="43">
        <f t="shared" si="599"/>
        <v>0</v>
      </c>
      <c r="S431" s="23" t="s">
        <v>17</v>
      </c>
      <c r="T431" s="28"/>
      <c r="U431" s="37"/>
      <c r="V431" s="37"/>
      <c r="W431" s="42"/>
      <c r="X431" s="43">
        <f t="shared" si="604"/>
        <v>0</v>
      </c>
      <c r="Y431" s="28"/>
      <c r="Z431" s="37"/>
      <c r="AA431" s="37"/>
      <c r="AB431" s="42"/>
      <c r="AC431" s="43">
        <f t="shared" si="600"/>
        <v>0</v>
      </c>
      <c r="AD431" s="28"/>
      <c r="AE431" s="37"/>
      <c r="AF431" s="37"/>
      <c r="AG431" s="42"/>
      <c r="AH431" s="43">
        <f t="shared" si="601"/>
        <v>0</v>
      </c>
      <c r="AI431" s="43">
        <f t="shared" si="602"/>
        <v>0</v>
      </c>
    </row>
    <row r="432" spans="1:36" ht="15" thickBot="1" x14ac:dyDescent="0.2">
      <c r="A432" s="46" t="s">
        <v>13</v>
      </c>
      <c r="B432" s="47">
        <f>SUM(B424:B431)</f>
        <v>5</v>
      </c>
      <c r="C432" s="48">
        <f t="shared" ref="C432:P432" si="605">SUM(C424:C431)</f>
        <v>3</v>
      </c>
      <c r="D432" s="48">
        <f t="shared" si="605"/>
        <v>5</v>
      </c>
      <c r="E432" s="49">
        <f t="shared" si="605"/>
        <v>8</v>
      </c>
      <c r="F432" s="34">
        <f t="shared" si="605"/>
        <v>21</v>
      </c>
      <c r="G432" s="47">
        <f t="shared" si="605"/>
        <v>5</v>
      </c>
      <c r="H432" s="48">
        <f t="shared" si="605"/>
        <v>9</v>
      </c>
      <c r="I432" s="48">
        <f t="shared" si="605"/>
        <v>6</v>
      </c>
      <c r="J432" s="49">
        <f t="shared" si="605"/>
        <v>8</v>
      </c>
      <c r="K432" s="34">
        <f t="shared" si="605"/>
        <v>28</v>
      </c>
      <c r="L432" s="47">
        <f t="shared" si="605"/>
        <v>0</v>
      </c>
      <c r="M432" s="48">
        <f t="shared" si="605"/>
        <v>0</v>
      </c>
      <c r="N432" s="48">
        <f t="shared" si="605"/>
        <v>0</v>
      </c>
      <c r="O432" s="49">
        <f t="shared" si="605"/>
        <v>1</v>
      </c>
      <c r="P432" s="34">
        <f t="shared" si="605"/>
        <v>1</v>
      </c>
      <c r="Q432" s="34">
        <f t="shared" ref="Q432:Q460" si="606">F432+K432+P432</f>
        <v>50</v>
      </c>
      <c r="R432" s="54"/>
      <c r="S432" s="46" t="s">
        <v>13</v>
      </c>
      <c r="T432" s="47">
        <f>SUM(T424:T431)</f>
        <v>104</v>
      </c>
      <c r="U432" s="48">
        <f t="shared" ref="U432" si="607">SUM(U424:U431)</f>
        <v>101</v>
      </c>
      <c r="V432" s="48">
        <f t="shared" ref="V432" si="608">SUM(V424:V431)</f>
        <v>57</v>
      </c>
      <c r="W432" s="49">
        <f t="shared" ref="W432" si="609">SUM(W424:W431)</f>
        <v>28</v>
      </c>
      <c r="X432" s="34">
        <f>SUM(X424:X431)</f>
        <v>290</v>
      </c>
      <c r="Y432" s="47">
        <f>SUM(Y424:Y431)</f>
        <v>102</v>
      </c>
      <c r="Z432" s="48">
        <f t="shared" ref="Z432" si="610">SUM(Z424:Z431)</f>
        <v>119</v>
      </c>
      <c r="AA432" s="48">
        <f t="shared" ref="AA432" si="611">SUM(AA424:AA431)</f>
        <v>112</v>
      </c>
      <c r="AB432" s="49">
        <f t="shared" ref="AB432" si="612">SUM(AB424:AB431)</f>
        <v>51</v>
      </c>
      <c r="AC432" s="34">
        <f>SUM(AC424:AC431)</f>
        <v>384</v>
      </c>
      <c r="AD432" s="47">
        <f>SUM(AD424:AD431)</f>
        <v>114</v>
      </c>
      <c r="AE432" s="48">
        <f t="shared" ref="AE432" si="613">SUM(AE424:AE431)</f>
        <v>178</v>
      </c>
      <c r="AF432" s="48">
        <f t="shared" ref="AF432" si="614">SUM(AF424:AF431)</f>
        <v>114</v>
      </c>
      <c r="AG432" s="49">
        <f t="shared" ref="AG432" si="615">SUM(AG424:AG431)</f>
        <v>121</v>
      </c>
      <c r="AH432" s="34">
        <f>SUM(AH424:AH431)</f>
        <v>527</v>
      </c>
      <c r="AI432" s="34">
        <f>X432+AC432+AH432</f>
        <v>1201</v>
      </c>
    </row>
    <row r="433" spans="1:36" x14ac:dyDescent="0.15">
      <c r="A433" s="35" t="s">
        <v>37</v>
      </c>
      <c r="B433" s="24"/>
      <c r="C433" s="25"/>
      <c r="D433" s="25"/>
      <c r="E433" s="25"/>
      <c r="F433" s="26">
        <f t="shared" ref="F433:F447" si="616">SUM(B433:E433)</f>
        <v>0</v>
      </c>
      <c r="G433" s="24"/>
      <c r="H433" s="25">
        <v>1</v>
      </c>
      <c r="I433" s="25"/>
      <c r="J433" s="25"/>
      <c r="K433" s="26">
        <f t="shared" ref="K433:K447" si="617">SUM(G433:J433)</f>
        <v>1</v>
      </c>
      <c r="L433" s="24"/>
      <c r="M433" s="25"/>
      <c r="N433" s="25"/>
      <c r="O433" s="25"/>
      <c r="P433" s="26">
        <f t="shared" ref="P433:P447" si="618">SUM(L433:O433)</f>
        <v>0</v>
      </c>
      <c r="Q433" s="26">
        <f t="shared" ref="Q433:Q447" si="619">F433+K433+P433</f>
        <v>1</v>
      </c>
      <c r="R433" s="55">
        <v>45924</v>
      </c>
      <c r="S433" s="31" t="s">
        <v>219</v>
      </c>
      <c r="T433" s="6"/>
      <c r="U433" s="7"/>
      <c r="V433" s="7"/>
      <c r="W433" s="7"/>
      <c r="X433" s="9">
        <f t="shared" ref="X433:X438" si="620">SUM(T433:W433)</f>
        <v>0</v>
      </c>
      <c r="Y433" s="6"/>
      <c r="Z433" s="7"/>
      <c r="AA433" s="7">
        <v>2</v>
      </c>
      <c r="AB433" s="7"/>
      <c r="AC433" s="9">
        <f t="shared" ref="AC433:AC438" si="621">SUM(Y433:AB433)</f>
        <v>2</v>
      </c>
      <c r="AD433" s="6"/>
      <c r="AE433" s="7"/>
      <c r="AF433" s="7"/>
      <c r="AG433" s="7"/>
      <c r="AH433" s="9">
        <f t="shared" ref="AH433:AH438" si="622">SUM(AD433:AG433)</f>
        <v>0</v>
      </c>
      <c r="AI433" s="26">
        <f t="shared" ref="AI433:AI438" si="623">X433+AC433+AH433</f>
        <v>2</v>
      </c>
      <c r="AJ433" s="64">
        <v>45902</v>
      </c>
    </row>
    <row r="434" spans="1:36" x14ac:dyDescent="0.15">
      <c r="A434" s="35" t="s">
        <v>37</v>
      </c>
      <c r="B434" s="24"/>
      <c r="C434" s="25"/>
      <c r="D434" s="25"/>
      <c r="E434" s="25">
        <v>1</v>
      </c>
      <c r="F434" s="26">
        <f t="shared" si="616"/>
        <v>1</v>
      </c>
      <c r="G434" s="24"/>
      <c r="H434" s="25">
        <v>1</v>
      </c>
      <c r="I434" s="25"/>
      <c r="J434" s="25"/>
      <c r="K434" s="26">
        <f t="shared" si="617"/>
        <v>1</v>
      </c>
      <c r="L434" s="24"/>
      <c r="M434" s="25"/>
      <c r="N434" s="25"/>
      <c r="O434" s="25"/>
      <c r="P434" s="26">
        <f t="shared" si="618"/>
        <v>0</v>
      </c>
      <c r="Q434" s="26">
        <f t="shared" si="619"/>
        <v>2</v>
      </c>
      <c r="R434" s="55">
        <v>45926</v>
      </c>
      <c r="S434" s="31" t="s">
        <v>219</v>
      </c>
      <c r="T434" s="6"/>
      <c r="U434" s="7"/>
      <c r="V434" s="7"/>
      <c r="W434" s="7"/>
      <c r="X434" s="9">
        <f t="shared" si="620"/>
        <v>0</v>
      </c>
      <c r="Y434" s="6"/>
      <c r="Z434" s="7"/>
      <c r="AA434" s="7">
        <v>7</v>
      </c>
      <c r="AB434" s="7"/>
      <c r="AC434" s="9">
        <f t="shared" si="621"/>
        <v>7</v>
      </c>
      <c r="AD434" s="6"/>
      <c r="AE434" s="7"/>
      <c r="AF434" s="7">
        <v>2</v>
      </c>
      <c r="AG434" s="7"/>
      <c r="AH434" s="9">
        <f t="shared" si="622"/>
        <v>2</v>
      </c>
      <c r="AI434" s="26">
        <f t="shared" si="623"/>
        <v>9</v>
      </c>
      <c r="AJ434" s="64">
        <v>45905</v>
      </c>
    </row>
    <row r="435" spans="1:36" x14ac:dyDescent="0.15">
      <c r="A435" s="35" t="s">
        <v>37</v>
      </c>
      <c r="B435" s="24"/>
      <c r="C435" s="25"/>
      <c r="D435" s="25">
        <v>1</v>
      </c>
      <c r="E435" s="25"/>
      <c r="F435" s="26">
        <f t="shared" si="616"/>
        <v>1</v>
      </c>
      <c r="G435" s="24"/>
      <c r="H435" s="25"/>
      <c r="I435" s="25"/>
      <c r="J435" s="25"/>
      <c r="K435" s="26">
        <f t="shared" si="617"/>
        <v>0</v>
      </c>
      <c r="L435" s="24"/>
      <c r="M435" s="25"/>
      <c r="N435" s="25"/>
      <c r="O435" s="25"/>
      <c r="P435" s="26">
        <f t="shared" si="618"/>
        <v>0</v>
      </c>
      <c r="Q435" s="26">
        <f t="shared" si="619"/>
        <v>1</v>
      </c>
      <c r="R435" s="55">
        <v>45929</v>
      </c>
      <c r="S435" s="31" t="s">
        <v>221</v>
      </c>
      <c r="T435" s="6"/>
      <c r="U435" s="7"/>
      <c r="V435" s="7"/>
      <c r="W435" s="7"/>
      <c r="X435" s="9">
        <f t="shared" si="620"/>
        <v>0</v>
      </c>
      <c r="Y435" s="6"/>
      <c r="Z435" s="7"/>
      <c r="AA435" s="7"/>
      <c r="AB435" s="7">
        <v>7</v>
      </c>
      <c r="AC435" s="9">
        <f t="shared" si="621"/>
        <v>7</v>
      </c>
      <c r="AD435" s="6"/>
      <c r="AE435" s="7"/>
      <c r="AF435" s="7"/>
      <c r="AG435" s="7"/>
      <c r="AH435" s="9">
        <f t="shared" si="622"/>
        <v>0</v>
      </c>
      <c r="AI435" s="26">
        <f t="shared" si="623"/>
        <v>7</v>
      </c>
      <c r="AJ435" s="64">
        <v>45908</v>
      </c>
    </row>
    <row r="436" spans="1:36" x14ac:dyDescent="0.15">
      <c r="A436" s="35" t="s">
        <v>37</v>
      </c>
      <c r="B436" s="24"/>
      <c r="C436" s="25"/>
      <c r="D436" s="25"/>
      <c r="E436" s="25"/>
      <c r="F436" s="26">
        <f t="shared" si="616"/>
        <v>0</v>
      </c>
      <c r="G436" s="24"/>
      <c r="H436" s="25"/>
      <c r="I436" s="25"/>
      <c r="J436" s="25">
        <v>1</v>
      </c>
      <c r="K436" s="26">
        <f t="shared" si="617"/>
        <v>1</v>
      </c>
      <c r="L436" s="24"/>
      <c r="M436" s="25"/>
      <c r="N436" s="25"/>
      <c r="O436" s="25"/>
      <c r="P436" s="26">
        <f t="shared" si="618"/>
        <v>0</v>
      </c>
      <c r="Q436" s="26">
        <f t="shared" si="619"/>
        <v>1</v>
      </c>
      <c r="R436" s="55">
        <v>45936</v>
      </c>
      <c r="S436" s="31" t="s">
        <v>222</v>
      </c>
      <c r="T436" s="6"/>
      <c r="U436" s="7"/>
      <c r="V436" s="7"/>
      <c r="W436" s="7"/>
      <c r="X436" s="9">
        <f t="shared" si="620"/>
        <v>0</v>
      </c>
      <c r="Y436" s="6"/>
      <c r="Z436" s="7"/>
      <c r="AA436" s="7"/>
      <c r="AB436" s="7"/>
      <c r="AC436" s="9">
        <f t="shared" si="621"/>
        <v>0</v>
      </c>
      <c r="AD436" s="6">
        <v>1</v>
      </c>
      <c r="AE436" s="7"/>
      <c r="AF436" s="7"/>
      <c r="AG436" s="7"/>
      <c r="AH436" s="9">
        <f t="shared" si="622"/>
        <v>1</v>
      </c>
      <c r="AI436" s="26">
        <f t="shared" si="623"/>
        <v>1</v>
      </c>
      <c r="AJ436" s="64">
        <v>45908</v>
      </c>
    </row>
    <row r="437" spans="1:36" x14ac:dyDescent="0.15">
      <c r="A437" s="35" t="s">
        <v>37</v>
      </c>
      <c r="B437" s="24"/>
      <c r="C437" s="25"/>
      <c r="D437" s="25"/>
      <c r="E437" s="25"/>
      <c r="F437" s="26">
        <f t="shared" si="616"/>
        <v>0</v>
      </c>
      <c r="G437" s="24"/>
      <c r="H437" s="25">
        <v>1</v>
      </c>
      <c r="I437" s="25"/>
      <c r="J437" s="25"/>
      <c r="K437" s="26">
        <f t="shared" si="617"/>
        <v>1</v>
      </c>
      <c r="L437" s="24"/>
      <c r="M437" s="25"/>
      <c r="N437" s="25"/>
      <c r="O437" s="25"/>
      <c r="P437" s="26">
        <f t="shared" si="618"/>
        <v>0</v>
      </c>
      <c r="Q437" s="26">
        <f t="shared" si="619"/>
        <v>1</v>
      </c>
      <c r="R437" s="55">
        <v>45937</v>
      </c>
      <c r="S437" s="31" t="s">
        <v>224</v>
      </c>
      <c r="T437" s="6"/>
      <c r="U437" s="7"/>
      <c r="V437" s="7"/>
      <c r="W437" s="7"/>
      <c r="X437" s="9">
        <f t="shared" si="620"/>
        <v>0</v>
      </c>
      <c r="Y437" s="6">
        <v>7</v>
      </c>
      <c r="Z437" s="7"/>
      <c r="AA437" s="7"/>
      <c r="AB437" s="7"/>
      <c r="AC437" s="9">
        <f t="shared" si="621"/>
        <v>7</v>
      </c>
      <c r="AD437" s="6"/>
      <c r="AE437" s="7"/>
      <c r="AF437" s="7"/>
      <c r="AG437" s="7"/>
      <c r="AH437" s="9">
        <f t="shared" si="622"/>
        <v>0</v>
      </c>
      <c r="AI437" s="26">
        <f t="shared" si="623"/>
        <v>7</v>
      </c>
      <c r="AJ437" s="64">
        <v>45919</v>
      </c>
    </row>
    <row r="438" spans="1:36" x14ac:dyDescent="0.15">
      <c r="A438" s="35" t="s">
        <v>37</v>
      </c>
      <c r="B438" s="24"/>
      <c r="C438" s="25"/>
      <c r="D438" s="25"/>
      <c r="E438" s="25"/>
      <c r="F438" s="26">
        <f t="shared" si="616"/>
        <v>0</v>
      </c>
      <c r="G438" s="24">
        <v>1</v>
      </c>
      <c r="H438" s="25"/>
      <c r="I438" s="25"/>
      <c r="J438" s="25"/>
      <c r="K438" s="26">
        <f t="shared" si="617"/>
        <v>1</v>
      </c>
      <c r="L438" s="24"/>
      <c r="M438" s="25"/>
      <c r="N438" s="25"/>
      <c r="O438" s="25"/>
      <c r="P438" s="26">
        <f t="shared" si="618"/>
        <v>0</v>
      </c>
      <c r="Q438" s="26">
        <f t="shared" si="619"/>
        <v>1</v>
      </c>
      <c r="R438" s="55">
        <v>45940</v>
      </c>
      <c r="S438" s="30" t="s">
        <v>31</v>
      </c>
      <c r="T438" s="6"/>
      <c r="U438" s="7"/>
      <c r="V438" s="7"/>
      <c r="W438" s="7"/>
      <c r="X438" s="9">
        <f t="shared" si="620"/>
        <v>0</v>
      </c>
      <c r="Y438" s="6"/>
      <c r="Z438" s="7"/>
      <c r="AA438" s="7">
        <v>5</v>
      </c>
      <c r="AB438" s="7"/>
      <c r="AC438" s="9">
        <f t="shared" si="621"/>
        <v>5</v>
      </c>
      <c r="AD438" s="6"/>
      <c r="AE438" s="7"/>
      <c r="AF438" s="7"/>
      <c r="AG438" s="7"/>
      <c r="AH438" s="9">
        <f t="shared" si="622"/>
        <v>0</v>
      </c>
      <c r="AI438" s="26">
        <f t="shared" si="623"/>
        <v>5</v>
      </c>
      <c r="AJ438" s="64">
        <v>45917</v>
      </c>
    </row>
    <row r="439" spans="1:36" x14ac:dyDescent="0.15">
      <c r="A439" s="35" t="s">
        <v>37</v>
      </c>
      <c r="B439" s="24"/>
      <c r="C439" s="25"/>
      <c r="D439" s="25"/>
      <c r="E439" s="25"/>
      <c r="F439" s="26">
        <f t="shared" si="616"/>
        <v>0</v>
      </c>
      <c r="G439" s="24"/>
      <c r="H439" s="25"/>
      <c r="I439" s="25"/>
      <c r="J439" s="25">
        <v>1</v>
      </c>
      <c r="K439" s="26">
        <f t="shared" si="617"/>
        <v>1</v>
      </c>
      <c r="L439" s="24"/>
      <c r="M439" s="25"/>
      <c r="N439" s="25"/>
      <c r="O439" s="25"/>
      <c r="P439" s="26">
        <f t="shared" si="618"/>
        <v>0</v>
      </c>
      <c r="Q439" s="26">
        <f t="shared" si="619"/>
        <v>1</v>
      </c>
      <c r="R439" s="55">
        <v>45944</v>
      </c>
      <c r="S439" s="31" t="s">
        <v>226</v>
      </c>
      <c r="T439" s="24"/>
      <c r="U439" s="25"/>
      <c r="V439" s="25"/>
      <c r="W439" s="25"/>
      <c r="X439" s="26">
        <f t="shared" ref="X439:X456" si="624">SUM(T439:W439)</f>
        <v>0</v>
      </c>
      <c r="Y439" s="24"/>
      <c r="Z439" s="25"/>
      <c r="AA439" s="25"/>
      <c r="AB439" s="25"/>
      <c r="AC439" s="26">
        <f t="shared" ref="AC439:AC456" si="625">SUM(Y439:AB439)</f>
        <v>0</v>
      </c>
      <c r="AD439" s="24"/>
      <c r="AE439" s="25"/>
      <c r="AF439" s="25">
        <v>5</v>
      </c>
      <c r="AG439" s="25"/>
      <c r="AH439" s="26">
        <f t="shared" ref="AH439:AH456" si="626">SUM(AD439:AG439)</f>
        <v>5</v>
      </c>
      <c r="AI439" s="26">
        <f t="shared" ref="AI439:AI456" si="627">X439+AC439+AH439</f>
        <v>5</v>
      </c>
      <c r="AJ439" s="64">
        <v>45930</v>
      </c>
    </row>
    <row r="440" spans="1:36" x14ac:dyDescent="0.15">
      <c r="A440" s="35" t="s">
        <v>37</v>
      </c>
      <c r="B440" s="24"/>
      <c r="C440" s="25"/>
      <c r="D440" s="25"/>
      <c r="E440" s="25">
        <v>1</v>
      </c>
      <c r="F440" s="26">
        <f t="shared" si="616"/>
        <v>1</v>
      </c>
      <c r="G440" s="24"/>
      <c r="H440" s="25"/>
      <c r="I440" s="25"/>
      <c r="J440" s="25"/>
      <c r="K440" s="26">
        <f t="shared" si="617"/>
        <v>0</v>
      </c>
      <c r="L440" s="24"/>
      <c r="M440" s="25"/>
      <c r="N440" s="25"/>
      <c r="O440" s="25"/>
      <c r="P440" s="26">
        <f t="shared" si="618"/>
        <v>0</v>
      </c>
      <c r="Q440" s="26">
        <f t="shared" si="619"/>
        <v>1</v>
      </c>
      <c r="R440" s="55">
        <v>45947</v>
      </c>
      <c r="S440" s="30" t="s">
        <v>31</v>
      </c>
      <c r="T440" s="24"/>
      <c r="U440" s="25"/>
      <c r="V440" s="25"/>
      <c r="W440" s="25"/>
      <c r="X440" s="26">
        <f>SUM(T440:W440)</f>
        <v>0</v>
      </c>
      <c r="Y440" s="24"/>
      <c r="Z440" s="25">
        <v>3</v>
      </c>
      <c r="AA440" s="25"/>
      <c r="AB440" s="25"/>
      <c r="AC440" s="26">
        <f t="shared" ref="AC440" si="628">SUM(Y440:AB440)</f>
        <v>3</v>
      </c>
      <c r="AD440" s="24"/>
      <c r="AE440" s="25"/>
      <c r="AF440" s="25"/>
      <c r="AG440" s="25"/>
      <c r="AH440" s="26">
        <f t="shared" ref="AH440" si="629">SUM(AD440:AG440)</f>
        <v>0</v>
      </c>
      <c r="AI440" s="26">
        <f t="shared" si="627"/>
        <v>3</v>
      </c>
      <c r="AJ440" s="64">
        <v>45927</v>
      </c>
    </row>
    <row r="441" spans="1:36" x14ac:dyDescent="0.15">
      <c r="A441" s="35" t="s">
        <v>234</v>
      </c>
      <c r="B441" s="24"/>
      <c r="C441" s="25"/>
      <c r="D441" s="25"/>
      <c r="E441" s="25"/>
      <c r="F441" s="26">
        <f t="shared" si="616"/>
        <v>0</v>
      </c>
      <c r="G441" s="24"/>
      <c r="H441" s="25"/>
      <c r="I441" s="25">
        <v>-1</v>
      </c>
      <c r="J441" s="25"/>
      <c r="K441" s="26">
        <f t="shared" si="617"/>
        <v>-1</v>
      </c>
      <c r="L441" s="24"/>
      <c r="M441" s="25"/>
      <c r="N441" s="25"/>
      <c r="O441" s="25"/>
      <c r="P441" s="26">
        <f t="shared" si="618"/>
        <v>0</v>
      </c>
      <c r="Q441" s="26">
        <f t="shared" si="619"/>
        <v>-1</v>
      </c>
      <c r="R441" s="55">
        <v>45947</v>
      </c>
      <c r="S441" s="31" t="s">
        <v>227</v>
      </c>
      <c r="T441" s="24"/>
      <c r="U441" s="25"/>
      <c r="V441" s="25"/>
      <c r="W441" s="25"/>
      <c r="X441" s="26">
        <f t="shared" si="624"/>
        <v>0</v>
      </c>
      <c r="Y441" s="24"/>
      <c r="Z441" s="25">
        <v>2</v>
      </c>
      <c r="AA441" s="25"/>
      <c r="AB441" s="25"/>
      <c r="AC441" s="26">
        <f t="shared" si="625"/>
        <v>2</v>
      </c>
      <c r="AD441" s="24"/>
      <c r="AE441" s="25"/>
      <c r="AF441" s="25"/>
      <c r="AG441" s="25"/>
      <c r="AH441" s="26">
        <f t="shared" si="626"/>
        <v>0</v>
      </c>
      <c r="AI441" s="26">
        <f t="shared" si="627"/>
        <v>2</v>
      </c>
      <c r="AJ441" s="64">
        <v>45932</v>
      </c>
    </row>
    <row r="442" spans="1:36" x14ac:dyDescent="0.15">
      <c r="A442" s="35" t="s">
        <v>235</v>
      </c>
      <c r="B442" s="24">
        <v>3</v>
      </c>
      <c r="C442" s="25">
        <v>1</v>
      </c>
      <c r="D442" s="25"/>
      <c r="E442" s="25">
        <v>2</v>
      </c>
      <c r="F442" s="26">
        <f>SUM(B442:E442)</f>
        <v>6</v>
      </c>
      <c r="G442" s="24"/>
      <c r="H442" s="25"/>
      <c r="I442" s="25">
        <v>2</v>
      </c>
      <c r="J442" s="25"/>
      <c r="K442" s="26">
        <f>SUM(G442:J442)</f>
        <v>2</v>
      </c>
      <c r="L442" s="24"/>
      <c r="M442" s="25"/>
      <c r="N442" s="25"/>
      <c r="O442" s="25">
        <v>1</v>
      </c>
      <c r="P442" s="26">
        <f>SUM(L442:O442)</f>
        <v>1</v>
      </c>
      <c r="Q442" s="26">
        <f>F442+K442+P442</f>
        <v>9</v>
      </c>
      <c r="R442" s="55">
        <v>45962</v>
      </c>
      <c r="S442" s="31" t="s">
        <v>228</v>
      </c>
      <c r="T442" s="24"/>
      <c r="U442" s="25"/>
      <c r="V442" s="25"/>
      <c r="W442" s="25"/>
      <c r="X442" s="26">
        <f t="shared" si="624"/>
        <v>0</v>
      </c>
      <c r="Y442" s="24"/>
      <c r="Z442" s="25"/>
      <c r="AA442" s="25"/>
      <c r="AB442" s="25"/>
      <c r="AC442" s="26">
        <f t="shared" si="625"/>
        <v>0</v>
      </c>
      <c r="AD442" s="24"/>
      <c r="AE442" s="25"/>
      <c r="AF442" s="25"/>
      <c r="AG442" s="25">
        <v>2</v>
      </c>
      <c r="AH442" s="26">
        <f t="shared" si="626"/>
        <v>2</v>
      </c>
      <c r="AI442" s="26">
        <f t="shared" si="627"/>
        <v>2</v>
      </c>
      <c r="AJ442" s="64">
        <v>45932</v>
      </c>
    </row>
    <row r="443" spans="1:36" x14ac:dyDescent="0.15">
      <c r="A443" s="35" t="s">
        <v>37</v>
      </c>
      <c r="B443" s="24"/>
      <c r="C443" s="25"/>
      <c r="D443" s="25"/>
      <c r="E443" s="25"/>
      <c r="F443" s="26">
        <f t="shared" si="616"/>
        <v>0</v>
      </c>
      <c r="G443" s="24"/>
      <c r="H443" s="25"/>
      <c r="I443" s="25">
        <v>1</v>
      </c>
      <c r="J443" s="25">
        <v>1</v>
      </c>
      <c r="K443" s="26">
        <f t="shared" si="617"/>
        <v>2</v>
      </c>
      <c r="L443" s="24"/>
      <c r="M443" s="25"/>
      <c r="N443" s="25"/>
      <c r="O443" s="25"/>
      <c r="P443" s="26">
        <f t="shared" si="618"/>
        <v>0</v>
      </c>
      <c r="Q443" s="26">
        <f t="shared" si="619"/>
        <v>2</v>
      </c>
      <c r="R443" s="55">
        <v>45965</v>
      </c>
      <c r="S443" s="31" t="s">
        <v>229</v>
      </c>
      <c r="T443" s="24"/>
      <c r="U443" s="25"/>
      <c r="V443" s="25"/>
      <c r="W443" s="25"/>
      <c r="X443" s="26">
        <f t="shared" si="624"/>
        <v>0</v>
      </c>
      <c r="Y443" s="24"/>
      <c r="Z443" s="25"/>
      <c r="AA443" s="25"/>
      <c r="AB443" s="25"/>
      <c r="AC443" s="26">
        <f t="shared" si="625"/>
        <v>0</v>
      </c>
      <c r="AD443" s="24">
        <v>8</v>
      </c>
      <c r="AE443" s="25"/>
      <c r="AF443" s="25"/>
      <c r="AG443" s="25"/>
      <c r="AH443" s="26">
        <f t="shared" si="626"/>
        <v>8</v>
      </c>
      <c r="AI443" s="26">
        <f t="shared" si="627"/>
        <v>8</v>
      </c>
      <c r="AJ443" s="64">
        <v>45933</v>
      </c>
    </row>
    <row r="444" spans="1:36" x14ac:dyDescent="0.15">
      <c r="A444" s="35" t="s">
        <v>37</v>
      </c>
      <c r="B444" s="24"/>
      <c r="C444" s="25"/>
      <c r="D444" s="25"/>
      <c r="E444" s="25"/>
      <c r="F444" s="26">
        <f t="shared" si="616"/>
        <v>0</v>
      </c>
      <c r="G444" s="24"/>
      <c r="H444" s="25">
        <v>1</v>
      </c>
      <c r="I444" s="25"/>
      <c r="J444" s="25"/>
      <c r="K444" s="26">
        <f t="shared" si="617"/>
        <v>1</v>
      </c>
      <c r="L444" s="24"/>
      <c r="M444" s="25"/>
      <c r="N444" s="25"/>
      <c r="O444" s="25"/>
      <c r="P444" s="26">
        <f t="shared" si="618"/>
        <v>0</v>
      </c>
      <c r="Q444" s="26">
        <f t="shared" si="619"/>
        <v>1</v>
      </c>
      <c r="R444" s="55">
        <v>45971</v>
      </c>
      <c r="S444" s="31" t="s">
        <v>230</v>
      </c>
      <c r="T444" s="24"/>
      <c r="U444" s="25"/>
      <c r="V444" s="25"/>
      <c r="W444" s="25"/>
      <c r="X444" s="26">
        <f t="shared" si="624"/>
        <v>0</v>
      </c>
      <c r="Y444" s="24"/>
      <c r="Z444" s="25"/>
      <c r="AA444" s="25"/>
      <c r="AB444" s="25"/>
      <c r="AC444" s="26">
        <f t="shared" si="625"/>
        <v>0</v>
      </c>
      <c r="AD444" s="24">
        <v>1</v>
      </c>
      <c r="AE444" s="25"/>
      <c r="AF444" s="25"/>
      <c r="AG444" s="25"/>
      <c r="AH444" s="26">
        <f t="shared" si="626"/>
        <v>1</v>
      </c>
      <c r="AI444" s="26">
        <f t="shared" si="627"/>
        <v>1</v>
      </c>
      <c r="AJ444" s="64">
        <v>45933</v>
      </c>
    </row>
    <row r="445" spans="1:36" x14ac:dyDescent="0.15">
      <c r="A445" s="35" t="s">
        <v>37</v>
      </c>
      <c r="B445" s="24"/>
      <c r="C445" s="25"/>
      <c r="D445" s="25"/>
      <c r="E445" s="25"/>
      <c r="F445" s="26">
        <f t="shared" si="616"/>
        <v>0</v>
      </c>
      <c r="G445" s="24"/>
      <c r="H445" s="25">
        <v>1</v>
      </c>
      <c r="I445" s="25"/>
      <c r="J445" s="25"/>
      <c r="K445" s="26">
        <f t="shared" si="617"/>
        <v>1</v>
      </c>
      <c r="L445" s="24"/>
      <c r="M445" s="25"/>
      <c r="N445" s="25"/>
      <c r="O445" s="25"/>
      <c r="P445" s="26">
        <f t="shared" si="618"/>
        <v>0</v>
      </c>
      <c r="Q445" s="26">
        <f t="shared" si="619"/>
        <v>1</v>
      </c>
      <c r="R445" s="55">
        <v>45974</v>
      </c>
      <c r="S445" s="31" t="s">
        <v>231</v>
      </c>
      <c r="T445" s="24"/>
      <c r="U445" s="25"/>
      <c r="V445" s="25"/>
      <c r="W445" s="25"/>
      <c r="X445" s="26">
        <f t="shared" si="624"/>
        <v>0</v>
      </c>
      <c r="Y445" s="24"/>
      <c r="Z445" s="25"/>
      <c r="AA445" s="25"/>
      <c r="AB445" s="25"/>
      <c r="AC445" s="26">
        <f t="shared" si="625"/>
        <v>0</v>
      </c>
      <c r="AD445" s="24"/>
      <c r="AE445" s="25"/>
      <c r="AF445" s="25"/>
      <c r="AG445" s="25">
        <v>4</v>
      </c>
      <c r="AH445" s="26">
        <f t="shared" si="626"/>
        <v>4</v>
      </c>
      <c r="AI445" s="26">
        <f t="shared" si="627"/>
        <v>4</v>
      </c>
      <c r="AJ445" s="64">
        <v>45937</v>
      </c>
    </row>
    <row r="446" spans="1:36" x14ac:dyDescent="0.15">
      <c r="A446" s="35" t="s">
        <v>37</v>
      </c>
      <c r="B446" s="24"/>
      <c r="C446" s="25"/>
      <c r="D446" s="25"/>
      <c r="E446" s="25"/>
      <c r="F446" s="26">
        <f t="shared" si="616"/>
        <v>0</v>
      </c>
      <c r="G446" s="24"/>
      <c r="H446" s="25"/>
      <c r="I446" s="25"/>
      <c r="J446" s="25">
        <v>1</v>
      </c>
      <c r="K446" s="26">
        <f t="shared" si="617"/>
        <v>1</v>
      </c>
      <c r="L446" s="24"/>
      <c r="M446" s="25"/>
      <c r="N446" s="25"/>
      <c r="O446" s="25"/>
      <c r="P446" s="26">
        <f t="shared" si="618"/>
        <v>0</v>
      </c>
      <c r="Q446" s="26">
        <f t="shared" si="619"/>
        <v>1</v>
      </c>
      <c r="R446" s="55">
        <v>45978</v>
      </c>
      <c r="S446" s="102" t="s">
        <v>232</v>
      </c>
      <c r="T446" s="103"/>
      <c r="U446" s="104"/>
      <c r="V446" s="104"/>
      <c r="W446" s="104"/>
      <c r="X446" s="105">
        <f t="shared" si="624"/>
        <v>0</v>
      </c>
      <c r="Y446" s="103"/>
      <c r="Z446" s="104"/>
      <c r="AA446" s="104"/>
      <c r="AB446" s="104"/>
      <c r="AC446" s="105">
        <f t="shared" si="625"/>
        <v>0</v>
      </c>
      <c r="AD446" s="103"/>
      <c r="AE446" s="104">
        <v>2</v>
      </c>
      <c r="AF446" s="104"/>
      <c r="AG446" s="104"/>
      <c r="AH446" s="105">
        <f t="shared" si="626"/>
        <v>2</v>
      </c>
      <c r="AI446" s="105">
        <f t="shared" si="627"/>
        <v>2</v>
      </c>
      <c r="AJ446" s="100">
        <v>45939</v>
      </c>
    </row>
    <row r="447" spans="1:36" x14ac:dyDescent="0.15">
      <c r="A447" s="35" t="s">
        <v>37</v>
      </c>
      <c r="B447" s="24"/>
      <c r="C447" s="25"/>
      <c r="D447" s="25"/>
      <c r="E447" s="25"/>
      <c r="F447" s="26">
        <f t="shared" si="616"/>
        <v>0</v>
      </c>
      <c r="G447" s="24"/>
      <c r="H447" s="25"/>
      <c r="I447" s="25">
        <v>1</v>
      </c>
      <c r="J447" s="25"/>
      <c r="K447" s="26">
        <f t="shared" si="617"/>
        <v>1</v>
      </c>
      <c r="L447" s="24"/>
      <c r="M447" s="25"/>
      <c r="N447" s="25"/>
      <c r="O447" s="25"/>
      <c r="P447" s="26">
        <f t="shared" si="618"/>
        <v>0</v>
      </c>
      <c r="Q447" s="26">
        <f t="shared" si="619"/>
        <v>1</v>
      </c>
      <c r="R447" s="55">
        <v>45979</v>
      </c>
      <c r="S447" s="31" t="s">
        <v>233</v>
      </c>
      <c r="T447" s="24"/>
      <c r="U447" s="25"/>
      <c r="V447" s="25"/>
      <c r="W447" s="25"/>
      <c r="X447" s="26">
        <f t="shared" si="624"/>
        <v>0</v>
      </c>
      <c r="Y447" s="24"/>
      <c r="Z447" s="25"/>
      <c r="AA447" s="25"/>
      <c r="AB447" s="25"/>
      <c r="AC447" s="26">
        <f t="shared" si="625"/>
        <v>0</v>
      </c>
      <c r="AD447" s="24">
        <v>1</v>
      </c>
      <c r="AE447" s="25"/>
      <c r="AF447" s="25"/>
      <c r="AG447" s="25"/>
      <c r="AH447" s="26">
        <f t="shared" si="626"/>
        <v>1</v>
      </c>
      <c r="AI447" s="26">
        <f t="shared" si="627"/>
        <v>1</v>
      </c>
      <c r="AJ447" s="64">
        <v>45944</v>
      </c>
    </row>
    <row r="448" spans="1:36" x14ac:dyDescent="0.15">
      <c r="A448" s="35" t="s">
        <v>37</v>
      </c>
      <c r="B448" s="24"/>
      <c r="C448" s="25"/>
      <c r="D448" s="25"/>
      <c r="E448" s="25"/>
      <c r="F448" s="26">
        <f t="shared" ref="F448:F458" si="630">SUM(B448:E448)</f>
        <v>0</v>
      </c>
      <c r="G448" s="24"/>
      <c r="H448" s="25">
        <v>1</v>
      </c>
      <c r="I448" s="25"/>
      <c r="J448" s="25"/>
      <c r="K448" s="26">
        <f t="shared" ref="K448:K458" si="631">SUM(G448:J448)</f>
        <v>1</v>
      </c>
      <c r="L448" s="24"/>
      <c r="M448" s="25"/>
      <c r="N448" s="25"/>
      <c r="O448" s="25"/>
      <c r="P448" s="26">
        <f t="shared" ref="P448:P458" si="632">SUM(L448:O448)</f>
        <v>0</v>
      </c>
      <c r="Q448" s="26">
        <f t="shared" si="606"/>
        <v>1</v>
      </c>
      <c r="R448" s="55">
        <v>45986</v>
      </c>
      <c r="S448" s="31" t="s">
        <v>236</v>
      </c>
      <c r="T448" s="24"/>
      <c r="U448" s="25"/>
      <c r="V448" s="25"/>
      <c r="W448" s="25"/>
      <c r="X448" s="26">
        <f t="shared" si="624"/>
        <v>0</v>
      </c>
      <c r="Y448" s="24"/>
      <c r="Z448" s="25">
        <v>2</v>
      </c>
      <c r="AA448" s="25"/>
      <c r="AB448" s="25"/>
      <c r="AC448" s="26">
        <f t="shared" si="625"/>
        <v>2</v>
      </c>
      <c r="AD448" s="24"/>
      <c r="AE448" s="25"/>
      <c r="AF448" s="25"/>
      <c r="AG448" s="25"/>
      <c r="AH448" s="26">
        <f t="shared" si="626"/>
        <v>0</v>
      </c>
      <c r="AI448" s="26">
        <f t="shared" si="627"/>
        <v>2</v>
      </c>
      <c r="AJ448" s="64">
        <v>45967</v>
      </c>
    </row>
    <row r="449" spans="1:37" x14ac:dyDescent="0.15">
      <c r="A449" s="35" t="s">
        <v>37</v>
      </c>
      <c r="B449" s="24"/>
      <c r="C449" s="25"/>
      <c r="D449" s="25"/>
      <c r="E449" s="25"/>
      <c r="F449" s="26">
        <f t="shared" si="630"/>
        <v>0</v>
      </c>
      <c r="G449" s="24"/>
      <c r="H449" s="25"/>
      <c r="I449" s="25">
        <v>1</v>
      </c>
      <c r="J449" s="25"/>
      <c r="K449" s="26">
        <f t="shared" si="631"/>
        <v>1</v>
      </c>
      <c r="L449" s="24"/>
      <c r="M449" s="25"/>
      <c r="N449" s="25"/>
      <c r="O449" s="25"/>
      <c r="P449" s="26">
        <f t="shared" si="632"/>
        <v>0</v>
      </c>
      <c r="Q449" s="26">
        <f t="shared" si="606"/>
        <v>1</v>
      </c>
      <c r="R449" s="55">
        <v>45987</v>
      </c>
      <c r="S449" s="35" t="s">
        <v>237</v>
      </c>
      <c r="T449" s="24"/>
      <c r="U449" s="25"/>
      <c r="V449" s="25"/>
      <c r="W449" s="25"/>
      <c r="X449" s="26">
        <f t="shared" si="624"/>
        <v>0</v>
      </c>
      <c r="Y449" s="24"/>
      <c r="Z449" s="25"/>
      <c r="AA449" s="25"/>
      <c r="AB449" s="25">
        <v>2</v>
      </c>
      <c r="AC449" s="26">
        <f t="shared" si="625"/>
        <v>2</v>
      </c>
      <c r="AD449" s="24"/>
      <c r="AE449" s="25"/>
      <c r="AF449" s="25"/>
      <c r="AG449" s="25"/>
      <c r="AH449" s="26">
        <f t="shared" si="626"/>
        <v>0</v>
      </c>
      <c r="AI449" s="26">
        <f t="shared" si="627"/>
        <v>2</v>
      </c>
      <c r="AJ449" s="64">
        <v>45966</v>
      </c>
    </row>
    <row r="450" spans="1:37" x14ac:dyDescent="0.15">
      <c r="A450" s="35" t="s">
        <v>37</v>
      </c>
      <c r="B450" s="24"/>
      <c r="C450" s="25"/>
      <c r="D450" s="25"/>
      <c r="E450" s="25"/>
      <c r="F450" s="26">
        <f t="shared" si="630"/>
        <v>0</v>
      </c>
      <c r="G450" s="24"/>
      <c r="H450" s="25"/>
      <c r="I450" s="25"/>
      <c r="J450" s="25">
        <v>1</v>
      </c>
      <c r="K450" s="26">
        <f t="shared" si="631"/>
        <v>1</v>
      </c>
      <c r="L450" s="24"/>
      <c r="M450" s="25"/>
      <c r="N450" s="25"/>
      <c r="O450" s="25"/>
      <c r="P450" s="26">
        <f t="shared" si="632"/>
        <v>0</v>
      </c>
      <c r="Q450" s="26">
        <f t="shared" si="606"/>
        <v>1</v>
      </c>
      <c r="R450" s="55">
        <v>45992</v>
      </c>
      <c r="S450" s="35" t="s">
        <v>31</v>
      </c>
      <c r="T450" s="24"/>
      <c r="U450" s="25"/>
      <c r="V450" s="25"/>
      <c r="W450" s="25"/>
      <c r="X450" s="26">
        <f t="shared" si="624"/>
        <v>0</v>
      </c>
      <c r="Y450" s="24">
        <v>3</v>
      </c>
      <c r="Z450" s="25">
        <v>3</v>
      </c>
      <c r="AA450" s="25">
        <v>3</v>
      </c>
      <c r="AB450" s="25"/>
      <c r="AC450" s="26">
        <f t="shared" si="625"/>
        <v>9</v>
      </c>
      <c r="AD450" s="24"/>
      <c r="AE450" s="25"/>
      <c r="AF450" s="25"/>
      <c r="AG450" s="25"/>
      <c r="AH450" s="26">
        <f t="shared" si="626"/>
        <v>0</v>
      </c>
      <c r="AI450" s="26">
        <f t="shared" si="627"/>
        <v>9</v>
      </c>
      <c r="AJ450" s="64">
        <v>45980</v>
      </c>
    </row>
    <row r="451" spans="1:37" x14ac:dyDescent="0.15">
      <c r="A451" s="35" t="s">
        <v>37</v>
      </c>
      <c r="B451" s="24"/>
      <c r="C451" s="25"/>
      <c r="D451" s="25"/>
      <c r="E451" s="25"/>
      <c r="F451" s="26">
        <f t="shared" si="630"/>
        <v>0</v>
      </c>
      <c r="G451" s="24">
        <v>1</v>
      </c>
      <c r="H451" s="25"/>
      <c r="I451" s="25"/>
      <c r="J451" s="25">
        <v>1</v>
      </c>
      <c r="K451" s="26">
        <f t="shared" si="631"/>
        <v>2</v>
      </c>
      <c r="L451" s="24"/>
      <c r="M451" s="25"/>
      <c r="N451" s="25"/>
      <c r="O451" s="25"/>
      <c r="P451" s="26">
        <f t="shared" si="632"/>
        <v>0</v>
      </c>
      <c r="Q451" s="26">
        <f t="shared" si="606"/>
        <v>2</v>
      </c>
      <c r="R451" s="55">
        <v>45999</v>
      </c>
      <c r="S451" s="35" t="s">
        <v>31</v>
      </c>
      <c r="T451" s="24"/>
      <c r="U451" s="25"/>
      <c r="V451" s="25">
        <v>3</v>
      </c>
      <c r="W451" s="25"/>
      <c r="X451" s="26">
        <f t="shared" si="624"/>
        <v>3</v>
      </c>
      <c r="Y451" s="24"/>
      <c r="Z451" s="25"/>
      <c r="AA451" s="25"/>
      <c r="AB451" s="25">
        <v>3</v>
      </c>
      <c r="AC451" s="26">
        <f t="shared" si="625"/>
        <v>3</v>
      </c>
      <c r="AD451" s="24"/>
      <c r="AE451" s="25"/>
      <c r="AF451" s="25"/>
      <c r="AG451" s="25"/>
      <c r="AH451" s="26">
        <f t="shared" si="626"/>
        <v>0</v>
      </c>
      <c r="AI451" s="26">
        <f t="shared" si="627"/>
        <v>6</v>
      </c>
      <c r="AJ451" s="64">
        <v>45989</v>
      </c>
    </row>
    <row r="452" spans="1:37" x14ac:dyDescent="0.15">
      <c r="A452" s="35" t="s">
        <v>37</v>
      </c>
      <c r="B452" s="6"/>
      <c r="C452" s="7"/>
      <c r="D452" s="7">
        <v>1</v>
      </c>
      <c r="E452" s="7"/>
      <c r="F452" s="9">
        <f t="shared" si="630"/>
        <v>1</v>
      </c>
      <c r="G452" s="6"/>
      <c r="H452" s="7"/>
      <c r="I452" s="7"/>
      <c r="J452" s="7"/>
      <c r="K452" s="9">
        <f t="shared" si="631"/>
        <v>0</v>
      </c>
      <c r="L452" s="6"/>
      <c r="M452" s="7"/>
      <c r="N452" s="7"/>
      <c r="O452" s="7"/>
      <c r="P452" s="9">
        <f t="shared" si="632"/>
        <v>0</v>
      </c>
      <c r="Q452" s="26">
        <f t="shared" si="606"/>
        <v>1</v>
      </c>
      <c r="R452" s="55">
        <v>46002</v>
      </c>
      <c r="S452" s="31" t="s">
        <v>241</v>
      </c>
      <c r="T452" s="6">
        <v>1</v>
      </c>
      <c r="U452" s="7"/>
      <c r="V452" s="7"/>
      <c r="W452" s="7"/>
      <c r="X452" s="9">
        <f t="shared" si="624"/>
        <v>1</v>
      </c>
      <c r="Y452" s="6"/>
      <c r="Z452" s="7"/>
      <c r="AA452" s="7"/>
      <c r="AB452" s="7"/>
      <c r="AC452" s="9">
        <f t="shared" si="625"/>
        <v>0</v>
      </c>
      <c r="AD452" s="6"/>
      <c r="AE452" s="7"/>
      <c r="AF452" s="7"/>
      <c r="AG452" s="7"/>
      <c r="AH452" s="9">
        <f t="shared" si="626"/>
        <v>0</v>
      </c>
      <c r="AI452" s="26">
        <f t="shared" si="627"/>
        <v>1</v>
      </c>
      <c r="AJ452" s="64">
        <v>45995</v>
      </c>
    </row>
    <row r="453" spans="1:37" x14ac:dyDescent="0.15">
      <c r="A453" s="35" t="s">
        <v>37</v>
      </c>
      <c r="B453" s="24"/>
      <c r="C453" s="25"/>
      <c r="D453" s="25"/>
      <c r="E453" s="25"/>
      <c r="F453" s="26">
        <f t="shared" si="630"/>
        <v>0</v>
      </c>
      <c r="G453" s="24"/>
      <c r="H453" s="25">
        <v>1</v>
      </c>
      <c r="I453" s="25"/>
      <c r="J453" s="25"/>
      <c r="K453" s="26">
        <f t="shared" si="631"/>
        <v>1</v>
      </c>
      <c r="L453" s="24"/>
      <c r="M453" s="25"/>
      <c r="N453" s="25"/>
      <c r="O453" s="25"/>
      <c r="P453" s="26">
        <f t="shared" si="632"/>
        <v>0</v>
      </c>
      <c r="Q453" s="26">
        <f t="shared" si="606"/>
        <v>1</v>
      </c>
      <c r="R453" s="55">
        <v>46007</v>
      </c>
      <c r="S453" s="31" t="s">
        <v>242</v>
      </c>
      <c r="T453" s="24"/>
      <c r="U453" s="25"/>
      <c r="V453" s="25"/>
      <c r="W453" s="25"/>
      <c r="X453" s="26">
        <f t="shared" si="624"/>
        <v>0</v>
      </c>
      <c r="Y453" s="24"/>
      <c r="Z453" s="25"/>
      <c r="AA453" s="25">
        <v>1</v>
      </c>
      <c r="AB453" s="25"/>
      <c r="AC453" s="26">
        <f t="shared" si="625"/>
        <v>1</v>
      </c>
      <c r="AD453" s="24"/>
      <c r="AE453" s="25"/>
      <c r="AF453" s="25"/>
      <c r="AG453" s="25"/>
      <c r="AH453" s="26">
        <f t="shared" si="626"/>
        <v>0</v>
      </c>
      <c r="AI453" s="26">
        <f t="shared" si="627"/>
        <v>1</v>
      </c>
      <c r="AJ453" s="64">
        <v>46035</v>
      </c>
    </row>
    <row r="454" spans="1:37" x14ac:dyDescent="0.15">
      <c r="A454" s="35" t="s">
        <v>127</v>
      </c>
      <c r="B454" s="27"/>
      <c r="C454" s="28"/>
      <c r="D454" s="28"/>
      <c r="E454" s="28"/>
      <c r="F454" s="26">
        <f t="shared" si="630"/>
        <v>0</v>
      </c>
      <c r="G454" s="27"/>
      <c r="H454" s="28"/>
      <c r="I454" s="28"/>
      <c r="J454" s="28">
        <v>-1</v>
      </c>
      <c r="K454" s="26">
        <f t="shared" si="631"/>
        <v>-1</v>
      </c>
      <c r="L454" s="27"/>
      <c r="M454" s="28"/>
      <c r="N454" s="28"/>
      <c r="O454" s="28"/>
      <c r="P454" s="26">
        <f t="shared" si="632"/>
        <v>0</v>
      </c>
      <c r="Q454" s="26">
        <f t="shared" si="606"/>
        <v>-1</v>
      </c>
      <c r="R454" s="55">
        <v>46008</v>
      </c>
      <c r="S454" s="35" t="s">
        <v>243</v>
      </c>
      <c r="T454" s="27"/>
      <c r="U454" s="28"/>
      <c r="V454" s="28"/>
      <c r="W454" s="28">
        <v>2</v>
      </c>
      <c r="X454" s="26">
        <f t="shared" si="624"/>
        <v>2</v>
      </c>
      <c r="Y454" s="27"/>
      <c r="Z454" s="28"/>
      <c r="AA454" s="28"/>
      <c r="AB454" s="28"/>
      <c r="AC454" s="26">
        <f t="shared" si="625"/>
        <v>0</v>
      </c>
      <c r="AD454" s="27"/>
      <c r="AE454" s="28"/>
      <c r="AF454" s="28"/>
      <c r="AG454" s="28"/>
      <c r="AH454" s="26">
        <f t="shared" si="626"/>
        <v>0</v>
      </c>
      <c r="AI454" s="26">
        <f t="shared" si="627"/>
        <v>2</v>
      </c>
      <c r="AJ454" s="64">
        <v>46045</v>
      </c>
    </row>
    <row r="455" spans="1:37" x14ac:dyDescent="0.15">
      <c r="A455" s="35" t="s">
        <v>37</v>
      </c>
      <c r="B455" s="24"/>
      <c r="C455" s="25"/>
      <c r="D455" s="25"/>
      <c r="E455" s="25">
        <v>1</v>
      </c>
      <c r="F455" s="26">
        <f t="shared" si="630"/>
        <v>1</v>
      </c>
      <c r="G455" s="24"/>
      <c r="H455" s="25"/>
      <c r="I455" s="25"/>
      <c r="J455" s="25"/>
      <c r="K455" s="26">
        <f t="shared" si="631"/>
        <v>0</v>
      </c>
      <c r="L455" s="24"/>
      <c r="M455" s="25"/>
      <c r="N455" s="25"/>
      <c r="O455" s="25"/>
      <c r="P455" s="26">
        <f t="shared" si="632"/>
        <v>0</v>
      </c>
      <c r="Q455" s="26">
        <f t="shared" si="606"/>
        <v>1</v>
      </c>
      <c r="R455" s="55">
        <v>46044</v>
      </c>
      <c r="S455" s="31" t="s">
        <v>244</v>
      </c>
      <c r="T455" s="24"/>
      <c r="U455" s="25"/>
      <c r="V455" s="25"/>
      <c r="W455" s="25"/>
      <c r="X455" s="26">
        <f t="shared" si="624"/>
        <v>0</v>
      </c>
      <c r="Y455" s="24"/>
      <c r="Z455" s="25"/>
      <c r="AA455" s="25"/>
      <c r="AB455" s="25"/>
      <c r="AC455" s="26">
        <f t="shared" si="625"/>
        <v>0</v>
      </c>
      <c r="AD455" s="24"/>
      <c r="AE455" s="25"/>
      <c r="AF455" s="25">
        <v>3</v>
      </c>
      <c r="AG455" s="25"/>
      <c r="AH455" s="26">
        <f t="shared" si="626"/>
        <v>3</v>
      </c>
      <c r="AI455" s="26">
        <f t="shared" si="627"/>
        <v>3</v>
      </c>
      <c r="AJ455" s="64">
        <v>46051</v>
      </c>
    </row>
    <row r="456" spans="1:37" x14ac:dyDescent="0.15">
      <c r="A456" s="35" t="s">
        <v>37</v>
      </c>
      <c r="B456" s="24"/>
      <c r="C456" s="25"/>
      <c r="D456" s="25"/>
      <c r="E456" s="25">
        <v>1</v>
      </c>
      <c r="F456" s="26">
        <f t="shared" si="630"/>
        <v>1</v>
      </c>
      <c r="G456" s="24"/>
      <c r="H456" s="25"/>
      <c r="I456" s="25"/>
      <c r="J456" s="25"/>
      <c r="K456" s="26">
        <f t="shared" si="631"/>
        <v>0</v>
      </c>
      <c r="L456" s="24"/>
      <c r="M456" s="25"/>
      <c r="N456" s="25"/>
      <c r="O456" s="25"/>
      <c r="P456" s="26">
        <f t="shared" si="632"/>
        <v>0</v>
      </c>
      <c r="Q456" s="26">
        <f t="shared" si="606"/>
        <v>1</v>
      </c>
      <c r="R456" s="55">
        <v>46055</v>
      </c>
      <c r="S456" s="31" t="s">
        <v>245</v>
      </c>
      <c r="T456" s="24"/>
      <c r="U456" s="25"/>
      <c r="V456" s="25"/>
      <c r="W456" s="25"/>
      <c r="X456" s="26">
        <f t="shared" si="624"/>
        <v>0</v>
      </c>
      <c r="Y456" s="24"/>
      <c r="Z456" s="25"/>
      <c r="AA456" s="25"/>
      <c r="AB456" s="25"/>
      <c r="AC456" s="26">
        <f t="shared" si="625"/>
        <v>0</v>
      </c>
      <c r="AD456" s="24"/>
      <c r="AE456" s="25">
        <v>2</v>
      </c>
      <c r="AF456" s="25"/>
      <c r="AG456" s="25"/>
      <c r="AH456" s="26">
        <f t="shared" si="626"/>
        <v>2</v>
      </c>
      <c r="AI456" s="26">
        <f t="shared" si="627"/>
        <v>2</v>
      </c>
      <c r="AJ456" s="64">
        <v>46077</v>
      </c>
    </row>
    <row r="457" spans="1:37" x14ac:dyDescent="0.15">
      <c r="A457" s="117" t="s">
        <v>53</v>
      </c>
      <c r="B457" s="24"/>
      <c r="C457" s="25"/>
      <c r="D457" s="25"/>
      <c r="E457" s="25"/>
      <c r="F457" s="26"/>
      <c r="G457" s="24">
        <v>-1</v>
      </c>
      <c r="H457" s="25"/>
      <c r="I457" s="25"/>
      <c r="J457" s="25"/>
      <c r="K457" s="26"/>
      <c r="L457" s="24"/>
      <c r="M457" s="25"/>
      <c r="N457" s="25"/>
      <c r="O457" s="25"/>
      <c r="P457" s="26"/>
      <c r="Q457" s="26"/>
      <c r="R457" s="55"/>
      <c r="S457" s="118" t="s">
        <v>243</v>
      </c>
      <c r="T457" s="103"/>
      <c r="U457" s="104"/>
      <c r="V457" s="104"/>
      <c r="W457" s="104"/>
      <c r="X457" s="105">
        <f t="shared" ref="X457:X458" si="633">SUM(T457:W457)</f>
        <v>0</v>
      </c>
      <c r="Y457" s="103"/>
      <c r="Z457" s="104">
        <v>3</v>
      </c>
      <c r="AA457" s="104"/>
      <c r="AB457" s="104"/>
      <c r="AC457" s="105">
        <f t="shared" ref="AC457:AC458" si="634">SUM(Y457:AB457)</f>
        <v>3</v>
      </c>
      <c r="AD457" s="103"/>
      <c r="AE457" s="104"/>
      <c r="AF457" s="104"/>
      <c r="AG457" s="104"/>
      <c r="AH457" s="105">
        <f t="shared" ref="AH457:AH458" si="635">SUM(AD457:AG457)</f>
        <v>0</v>
      </c>
      <c r="AI457" s="105">
        <f t="shared" ref="AI457:AI458" si="636">X457+AC457+AH457</f>
        <v>3</v>
      </c>
      <c r="AJ457" s="100">
        <v>46092</v>
      </c>
    </row>
    <row r="458" spans="1:37" ht="14.25" thickBot="1" x14ac:dyDescent="0.2">
      <c r="A458" s="101" t="s">
        <v>37</v>
      </c>
      <c r="B458" s="10"/>
      <c r="C458" s="11"/>
      <c r="D458" s="11"/>
      <c r="E458" s="11"/>
      <c r="F458" s="9">
        <f t="shared" si="630"/>
        <v>0</v>
      </c>
      <c r="G458" s="10"/>
      <c r="H458" s="11"/>
      <c r="I458" s="11"/>
      <c r="J458" s="11">
        <v>1</v>
      </c>
      <c r="K458" s="9">
        <f t="shared" si="631"/>
        <v>1</v>
      </c>
      <c r="L458" s="10"/>
      <c r="M458" s="11"/>
      <c r="N458" s="11"/>
      <c r="O458" s="11"/>
      <c r="P458" s="9">
        <f t="shared" si="632"/>
        <v>0</v>
      </c>
      <c r="Q458" s="43">
        <f t="shared" si="606"/>
        <v>1</v>
      </c>
      <c r="R458" s="55">
        <v>46090</v>
      </c>
      <c r="S458" s="35"/>
      <c r="T458" s="24"/>
      <c r="U458" s="25"/>
      <c r="V458" s="25"/>
      <c r="W458" s="25"/>
      <c r="X458" s="26">
        <f t="shared" si="633"/>
        <v>0</v>
      </c>
      <c r="Y458" s="24"/>
      <c r="Z458" s="25"/>
      <c r="AA458" s="25"/>
      <c r="AB458" s="25"/>
      <c r="AC458" s="26">
        <f t="shared" si="634"/>
        <v>0</v>
      </c>
      <c r="AD458" s="24"/>
      <c r="AE458" s="25"/>
      <c r="AF458" s="25"/>
      <c r="AG458" s="25"/>
      <c r="AH458" s="26">
        <f t="shared" si="635"/>
        <v>0</v>
      </c>
      <c r="AI458" s="26">
        <f t="shared" si="636"/>
        <v>0</v>
      </c>
      <c r="AJ458" s="64"/>
    </row>
    <row r="459" spans="1:37" ht="15" thickBot="1" x14ac:dyDescent="0.2">
      <c r="A459" s="5" t="s">
        <v>14</v>
      </c>
      <c r="B459" s="12">
        <f>SUM(B433:B458)</f>
        <v>3</v>
      </c>
      <c r="C459" s="13">
        <f t="shared" ref="C459:P459" si="637">SUM(C433:C458)</f>
        <v>1</v>
      </c>
      <c r="D459" s="13">
        <f t="shared" si="637"/>
        <v>2</v>
      </c>
      <c r="E459" s="14">
        <f t="shared" si="637"/>
        <v>6</v>
      </c>
      <c r="F459" s="8">
        <f t="shared" si="637"/>
        <v>12</v>
      </c>
      <c r="G459" s="12">
        <f t="shared" si="637"/>
        <v>1</v>
      </c>
      <c r="H459" s="13">
        <f t="shared" si="637"/>
        <v>7</v>
      </c>
      <c r="I459" s="13">
        <f t="shared" si="637"/>
        <v>4</v>
      </c>
      <c r="J459" s="14">
        <f t="shared" si="637"/>
        <v>6</v>
      </c>
      <c r="K459" s="8">
        <f t="shared" si="637"/>
        <v>19</v>
      </c>
      <c r="L459" s="12">
        <f t="shared" si="637"/>
        <v>0</v>
      </c>
      <c r="M459" s="13">
        <f t="shared" si="637"/>
        <v>0</v>
      </c>
      <c r="N459" s="13">
        <f t="shared" si="637"/>
        <v>0</v>
      </c>
      <c r="O459" s="14">
        <f t="shared" si="637"/>
        <v>1</v>
      </c>
      <c r="P459" s="8">
        <f t="shared" si="637"/>
        <v>1</v>
      </c>
      <c r="Q459" s="34">
        <f t="shared" si="606"/>
        <v>32</v>
      </c>
      <c r="R459" s="54"/>
      <c r="S459" s="5"/>
      <c r="T459" s="12">
        <f>SUM(T433:T458)</f>
        <v>1</v>
      </c>
      <c r="U459" s="13">
        <f t="shared" ref="U459" si="638">SUM(U433:U458)</f>
        <v>0</v>
      </c>
      <c r="V459" s="13">
        <f t="shared" ref="V459" si="639">SUM(V433:V458)</f>
        <v>3</v>
      </c>
      <c r="W459" s="14">
        <f t="shared" ref="W459" si="640">SUM(W433:W458)</f>
        <v>2</v>
      </c>
      <c r="X459" s="8">
        <f>SUM(X433:X458)</f>
        <v>6</v>
      </c>
      <c r="Y459" s="12">
        <f>SUM(Y433:Y458)</f>
        <v>10</v>
      </c>
      <c r="Z459" s="13">
        <f t="shared" ref="Z459" si="641">SUM(Z433:Z458)</f>
        <v>13</v>
      </c>
      <c r="AA459" s="13">
        <f t="shared" ref="AA459" si="642">SUM(AA433:AA458)</f>
        <v>18</v>
      </c>
      <c r="AB459" s="14">
        <f t="shared" ref="AB459" si="643">SUM(AB433:AB458)</f>
        <v>12</v>
      </c>
      <c r="AC459" s="8">
        <f>SUM(AC433:AC458)</f>
        <v>53</v>
      </c>
      <c r="AD459" s="12">
        <f>SUM(AD433:AD458)</f>
        <v>11</v>
      </c>
      <c r="AE459" s="13">
        <f t="shared" ref="AE459" si="644">SUM(AE433:AE458)</f>
        <v>4</v>
      </c>
      <c r="AF459" s="13">
        <f t="shared" ref="AF459" si="645">SUM(AF433:AF458)</f>
        <v>10</v>
      </c>
      <c r="AG459" s="14">
        <f t="shared" ref="AG459" si="646">SUM(AG433:AG458)</f>
        <v>6</v>
      </c>
      <c r="AH459" s="8">
        <f>SUM(AH433:AH458)</f>
        <v>31</v>
      </c>
      <c r="AI459" s="34">
        <f>X459+AC459+AH459</f>
        <v>90</v>
      </c>
      <c r="AK459" t="s">
        <v>220</v>
      </c>
    </row>
    <row r="460" spans="1:37" ht="14.25" thickBot="1" x14ac:dyDescent="0.2">
      <c r="A460" s="15" t="s">
        <v>15</v>
      </c>
      <c r="B460" s="16">
        <f>B432-B459</f>
        <v>2</v>
      </c>
      <c r="C460" s="17">
        <f>C432-C459</f>
        <v>2</v>
      </c>
      <c r="D460" s="17">
        <f t="shared" ref="D460:P460" si="647">D432-D459</f>
        <v>3</v>
      </c>
      <c r="E460" s="18">
        <f t="shared" si="647"/>
        <v>2</v>
      </c>
      <c r="F460" s="44">
        <f t="shared" si="647"/>
        <v>9</v>
      </c>
      <c r="G460" s="16">
        <f t="shared" si="647"/>
        <v>4</v>
      </c>
      <c r="H460" s="17">
        <f t="shared" si="647"/>
        <v>2</v>
      </c>
      <c r="I460" s="17">
        <f t="shared" si="647"/>
        <v>2</v>
      </c>
      <c r="J460" s="18">
        <f t="shared" si="647"/>
        <v>2</v>
      </c>
      <c r="K460" s="44">
        <f t="shared" si="647"/>
        <v>9</v>
      </c>
      <c r="L460" s="16">
        <f t="shared" si="647"/>
        <v>0</v>
      </c>
      <c r="M460" s="17">
        <f t="shared" si="647"/>
        <v>0</v>
      </c>
      <c r="N460" s="17">
        <f t="shared" si="647"/>
        <v>0</v>
      </c>
      <c r="O460" s="18">
        <f t="shared" si="647"/>
        <v>0</v>
      </c>
      <c r="P460" s="44">
        <f t="shared" si="647"/>
        <v>0</v>
      </c>
      <c r="Q460" s="34">
        <f t="shared" si="606"/>
        <v>18</v>
      </c>
      <c r="R460" s="54"/>
      <c r="S460" s="15" t="s">
        <v>15</v>
      </c>
      <c r="T460" s="16">
        <f>T432-T459</f>
        <v>103</v>
      </c>
      <c r="U460" s="17">
        <f t="shared" ref="U460" si="648">U432-U459</f>
        <v>101</v>
      </c>
      <c r="V460" s="17">
        <f t="shared" ref="V460" si="649">V432-V459</f>
        <v>54</v>
      </c>
      <c r="W460" s="18">
        <f t="shared" ref="W460" si="650">W432-W459</f>
        <v>26</v>
      </c>
      <c r="X460" s="44">
        <f>X432-X459</f>
        <v>284</v>
      </c>
      <c r="Y460" s="16">
        <f>Y432-Y459</f>
        <v>92</v>
      </c>
      <c r="Z460" s="17">
        <f t="shared" ref="Z460" si="651">Z432-Z459</f>
        <v>106</v>
      </c>
      <c r="AA460" s="17">
        <f t="shared" ref="AA460" si="652">AA432-AA459</f>
        <v>94</v>
      </c>
      <c r="AB460" s="18">
        <f t="shared" ref="AB460" si="653">AB432-AB459</f>
        <v>39</v>
      </c>
      <c r="AC460" s="44">
        <f>AC432-AC459</f>
        <v>331</v>
      </c>
      <c r="AD460" s="16">
        <f>AD432-AD459</f>
        <v>103</v>
      </c>
      <c r="AE460" s="17">
        <f t="shared" ref="AE460" si="654">AE432-AE459</f>
        <v>174</v>
      </c>
      <c r="AF460" s="17">
        <f t="shared" ref="AF460" si="655">AF432-AF459</f>
        <v>104</v>
      </c>
      <c r="AG460" s="18">
        <f t="shared" ref="AG460" si="656">AG432-AG459</f>
        <v>115</v>
      </c>
      <c r="AH460" s="44">
        <f>AH432-AH459</f>
        <v>496</v>
      </c>
      <c r="AI460" s="34">
        <f>X460+AC460+AH460</f>
        <v>1111</v>
      </c>
    </row>
    <row r="463" spans="1:37" ht="19.5" thickBot="1" x14ac:dyDescent="0.25">
      <c r="A463" s="58" t="s">
        <v>1</v>
      </c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S463" s="58" t="s">
        <v>8</v>
      </c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75"/>
      <c r="AF463" s="75"/>
      <c r="AG463" s="75"/>
      <c r="AH463" s="59"/>
      <c r="AI463" s="59"/>
    </row>
    <row r="464" spans="1:37" ht="14.25" thickBot="1" x14ac:dyDescent="0.2">
      <c r="A464" s="52" t="s">
        <v>9</v>
      </c>
      <c r="B464" s="130" t="s">
        <v>10</v>
      </c>
      <c r="C464" s="131"/>
      <c r="D464" s="131"/>
      <c r="E464" s="131"/>
      <c r="F464" s="132"/>
      <c r="G464" s="133" t="s">
        <v>11</v>
      </c>
      <c r="H464" s="134"/>
      <c r="I464" s="134"/>
      <c r="J464" s="134"/>
      <c r="K464" s="135"/>
      <c r="L464" s="136" t="s">
        <v>131</v>
      </c>
      <c r="M464" s="137"/>
      <c r="N464" s="137"/>
      <c r="O464" s="137"/>
      <c r="P464" s="138"/>
      <c r="Q464" s="139" t="s">
        <v>7</v>
      </c>
      <c r="S464" s="52" t="s">
        <v>9</v>
      </c>
      <c r="T464" s="130" t="s">
        <v>10</v>
      </c>
      <c r="U464" s="131"/>
      <c r="V464" s="131"/>
      <c r="W464" s="131"/>
      <c r="X464" s="132"/>
      <c r="Y464" s="133" t="s">
        <v>11</v>
      </c>
      <c r="Z464" s="134"/>
      <c r="AA464" s="134"/>
      <c r="AB464" s="134"/>
      <c r="AC464" s="135"/>
      <c r="AD464" s="136" t="s">
        <v>131</v>
      </c>
      <c r="AE464" s="137"/>
      <c r="AF464" s="137"/>
      <c r="AG464" s="137"/>
      <c r="AH464" s="138"/>
      <c r="AI464" s="139" t="s">
        <v>7</v>
      </c>
    </row>
    <row r="465" spans="1:36" ht="14.25" thickBot="1" x14ac:dyDescent="0.2">
      <c r="A465" s="52" t="s">
        <v>2</v>
      </c>
      <c r="B465" s="2" t="s">
        <v>3</v>
      </c>
      <c r="C465" s="3" t="s">
        <v>4</v>
      </c>
      <c r="D465" s="3" t="s">
        <v>5</v>
      </c>
      <c r="E465" s="4" t="s">
        <v>6</v>
      </c>
      <c r="F465" s="1" t="s">
        <v>0</v>
      </c>
      <c r="G465" s="2" t="s">
        <v>3</v>
      </c>
      <c r="H465" s="3" t="s">
        <v>4</v>
      </c>
      <c r="I465" s="3" t="s">
        <v>5</v>
      </c>
      <c r="J465" s="4" t="s">
        <v>6</v>
      </c>
      <c r="K465" s="1" t="s">
        <v>0</v>
      </c>
      <c r="L465" s="2" t="s">
        <v>3</v>
      </c>
      <c r="M465" s="3" t="s">
        <v>4</v>
      </c>
      <c r="N465" s="3" t="s">
        <v>5</v>
      </c>
      <c r="O465" s="4" t="s">
        <v>6</v>
      </c>
      <c r="P465" s="1" t="s">
        <v>0</v>
      </c>
      <c r="Q465" s="140"/>
      <c r="S465" s="52" t="s">
        <v>2</v>
      </c>
      <c r="T465" s="2" t="s">
        <v>3</v>
      </c>
      <c r="U465" s="3" t="s">
        <v>4</v>
      </c>
      <c r="V465" s="3" t="s">
        <v>5</v>
      </c>
      <c r="W465" s="4" t="s">
        <v>6</v>
      </c>
      <c r="X465" s="1" t="s">
        <v>0</v>
      </c>
      <c r="Y465" s="2" t="s">
        <v>3</v>
      </c>
      <c r="Z465" s="3" t="s">
        <v>4</v>
      </c>
      <c r="AA465" s="3" t="s">
        <v>5</v>
      </c>
      <c r="AB465" s="4" t="s">
        <v>6</v>
      </c>
      <c r="AC465" s="1" t="s">
        <v>0</v>
      </c>
      <c r="AD465" s="2" t="s">
        <v>3</v>
      </c>
      <c r="AE465" s="3" t="s">
        <v>4</v>
      </c>
      <c r="AF465" s="3" t="s">
        <v>5</v>
      </c>
      <c r="AG465" s="4" t="s">
        <v>6</v>
      </c>
      <c r="AH465" s="1" t="s">
        <v>0</v>
      </c>
      <c r="AI465" s="140"/>
    </row>
    <row r="466" spans="1:36" ht="14.25" x14ac:dyDescent="0.15">
      <c r="A466" s="45" t="s">
        <v>16</v>
      </c>
      <c r="B466" s="32">
        <f>B460</f>
        <v>2</v>
      </c>
      <c r="C466" s="32">
        <f t="shared" ref="C466:P466" si="657">C460</f>
        <v>2</v>
      </c>
      <c r="D466" s="32">
        <f t="shared" si="657"/>
        <v>3</v>
      </c>
      <c r="E466" s="38">
        <f t="shared" si="657"/>
        <v>2</v>
      </c>
      <c r="F466" s="33">
        <f t="shared" si="657"/>
        <v>9</v>
      </c>
      <c r="G466" s="32">
        <f t="shared" si="657"/>
        <v>4</v>
      </c>
      <c r="H466" s="32">
        <f t="shared" si="657"/>
        <v>2</v>
      </c>
      <c r="I466" s="32">
        <f t="shared" si="657"/>
        <v>2</v>
      </c>
      <c r="J466" s="38">
        <f t="shared" si="657"/>
        <v>2</v>
      </c>
      <c r="K466" s="33">
        <f t="shared" si="657"/>
        <v>9</v>
      </c>
      <c r="L466" s="32">
        <f t="shared" si="657"/>
        <v>0</v>
      </c>
      <c r="M466" s="32">
        <f t="shared" si="657"/>
        <v>0</v>
      </c>
      <c r="N466" s="32">
        <f t="shared" si="657"/>
        <v>0</v>
      </c>
      <c r="O466" s="38">
        <f t="shared" si="657"/>
        <v>0</v>
      </c>
      <c r="P466" s="33">
        <f t="shared" si="657"/>
        <v>0</v>
      </c>
      <c r="Q466" s="33">
        <f>F466+K466+P466</f>
        <v>18</v>
      </c>
      <c r="S466" s="45" t="s">
        <v>16</v>
      </c>
      <c r="T466" s="32">
        <f>T460</f>
        <v>103</v>
      </c>
      <c r="U466" s="32">
        <f t="shared" ref="U466:AI466" si="658">U460</f>
        <v>101</v>
      </c>
      <c r="V466" s="32">
        <f t="shared" si="658"/>
        <v>54</v>
      </c>
      <c r="W466" s="38">
        <f t="shared" si="658"/>
        <v>26</v>
      </c>
      <c r="X466" s="33">
        <f t="shared" si="658"/>
        <v>284</v>
      </c>
      <c r="Y466" s="32">
        <f t="shared" si="658"/>
        <v>92</v>
      </c>
      <c r="Z466" s="32">
        <f t="shared" si="658"/>
        <v>106</v>
      </c>
      <c r="AA466" s="32">
        <f t="shared" si="658"/>
        <v>94</v>
      </c>
      <c r="AB466" s="38">
        <f t="shared" si="658"/>
        <v>39</v>
      </c>
      <c r="AC466" s="33">
        <f t="shared" si="658"/>
        <v>331</v>
      </c>
      <c r="AD466" s="32">
        <f t="shared" si="658"/>
        <v>103</v>
      </c>
      <c r="AE466" s="32">
        <f t="shared" si="658"/>
        <v>174</v>
      </c>
      <c r="AF466" s="32">
        <f t="shared" si="658"/>
        <v>104</v>
      </c>
      <c r="AG466" s="38">
        <f t="shared" si="658"/>
        <v>115</v>
      </c>
      <c r="AH466" s="33">
        <f t="shared" si="658"/>
        <v>496</v>
      </c>
      <c r="AI466" s="62">
        <f t="shared" si="658"/>
        <v>1111</v>
      </c>
    </row>
    <row r="467" spans="1:36" x14ac:dyDescent="0.15">
      <c r="A467" s="119" t="s">
        <v>17</v>
      </c>
      <c r="B467" s="104"/>
      <c r="C467" s="120"/>
      <c r="D467" s="120"/>
      <c r="E467" s="121"/>
      <c r="F467" s="105">
        <f t="shared" ref="F467:F471" si="659">SUM(B467:E467)</f>
        <v>0</v>
      </c>
      <c r="G467" s="104"/>
      <c r="H467" s="120">
        <v>3</v>
      </c>
      <c r="I467" s="120"/>
      <c r="J467" s="121"/>
      <c r="K467" s="105">
        <f t="shared" ref="K467:K471" si="660">SUM(G467:J467)</f>
        <v>3</v>
      </c>
      <c r="L467" s="104"/>
      <c r="M467" s="120"/>
      <c r="N467" s="120"/>
      <c r="O467" s="121"/>
      <c r="P467" s="105">
        <f t="shared" ref="P467:P471" si="661">SUM(L467:O467)</f>
        <v>0</v>
      </c>
      <c r="Q467" s="105">
        <f t="shared" ref="Q467:Q471" si="662">F467+K467+P467</f>
        <v>3</v>
      </c>
      <c r="R467" s="100">
        <v>46092</v>
      </c>
      <c r="S467" s="23" t="s">
        <v>17</v>
      </c>
      <c r="T467" s="25"/>
      <c r="U467" s="25"/>
      <c r="V467" s="25"/>
      <c r="W467" s="39"/>
      <c r="X467" s="22">
        <f t="shared" ref="X467:X468" si="663">SUM(T467:W467)</f>
        <v>0</v>
      </c>
      <c r="Y467" s="25"/>
      <c r="Z467" s="25"/>
      <c r="AA467" s="25"/>
      <c r="AB467" s="39"/>
      <c r="AC467" s="22">
        <f t="shared" ref="AC467:AC468" si="664">SUM(Y467:AB467)</f>
        <v>0</v>
      </c>
      <c r="AD467" s="25"/>
      <c r="AE467" s="25"/>
      <c r="AF467" s="25"/>
      <c r="AG467" s="39"/>
      <c r="AH467" s="22">
        <f t="shared" ref="AH467:AH468" si="665">SUM(AD467:AG467)</f>
        <v>0</v>
      </c>
      <c r="AI467" s="26">
        <f t="shared" ref="AI467:AI468" si="666">X467+AC467+AH467</f>
        <v>0</v>
      </c>
      <c r="AJ467" s="53"/>
    </row>
    <row r="468" spans="1:36" x14ac:dyDescent="0.15">
      <c r="A468" s="119" t="s">
        <v>17</v>
      </c>
      <c r="B468" s="104"/>
      <c r="C468" s="120"/>
      <c r="D468" s="120"/>
      <c r="E468" s="121"/>
      <c r="F468" s="105">
        <f t="shared" si="659"/>
        <v>0</v>
      </c>
      <c r="G468" s="104"/>
      <c r="H468" s="120"/>
      <c r="I468" s="120">
        <v>3</v>
      </c>
      <c r="J468" s="121"/>
      <c r="K468" s="105">
        <f t="shared" si="660"/>
        <v>3</v>
      </c>
      <c r="L468" s="104"/>
      <c r="M468" s="120"/>
      <c r="N468" s="120"/>
      <c r="O468" s="121"/>
      <c r="P468" s="105">
        <f t="shared" si="661"/>
        <v>0</v>
      </c>
      <c r="Q468" s="105">
        <f t="shared" si="662"/>
        <v>3</v>
      </c>
      <c r="R468" s="100">
        <v>46112</v>
      </c>
      <c r="S468" s="23" t="s">
        <v>17</v>
      </c>
      <c r="T468" s="25"/>
      <c r="U468" s="25"/>
      <c r="V468" s="25"/>
      <c r="W468" s="39"/>
      <c r="X468" s="22">
        <f t="shared" si="663"/>
        <v>0</v>
      </c>
      <c r="Y468" s="25"/>
      <c r="Z468" s="25"/>
      <c r="AA468" s="25"/>
      <c r="AB468" s="39"/>
      <c r="AC468" s="22">
        <f t="shared" si="664"/>
        <v>0</v>
      </c>
      <c r="AD468" s="25"/>
      <c r="AE468" s="25"/>
      <c r="AF468" s="25"/>
      <c r="AG468" s="39"/>
      <c r="AH468" s="22">
        <f t="shared" si="665"/>
        <v>0</v>
      </c>
      <c r="AI468" s="26">
        <f t="shared" si="666"/>
        <v>0</v>
      </c>
      <c r="AJ468" s="53"/>
    </row>
    <row r="469" spans="1:36" x14ac:dyDescent="0.15">
      <c r="A469" s="119" t="s">
        <v>17</v>
      </c>
      <c r="B469" s="104"/>
      <c r="C469" s="120"/>
      <c r="D469" s="120"/>
      <c r="E469" s="121"/>
      <c r="F469" s="105">
        <f t="shared" si="659"/>
        <v>0</v>
      </c>
      <c r="G469" s="104"/>
      <c r="H469" s="120"/>
      <c r="I469" s="120"/>
      <c r="J469" s="121">
        <v>4</v>
      </c>
      <c r="K469" s="105">
        <f t="shared" si="660"/>
        <v>4</v>
      </c>
      <c r="L469" s="104"/>
      <c r="M469" s="120"/>
      <c r="N469" s="120"/>
      <c r="O469" s="121"/>
      <c r="P469" s="105">
        <f t="shared" si="661"/>
        <v>0</v>
      </c>
      <c r="Q469" s="105">
        <f t="shared" si="662"/>
        <v>4</v>
      </c>
      <c r="R469" s="100">
        <v>46119</v>
      </c>
      <c r="S469" s="23" t="s">
        <v>17</v>
      </c>
      <c r="T469" s="25"/>
      <c r="U469" s="25"/>
      <c r="V469" s="25"/>
      <c r="W469" s="39"/>
      <c r="X469" s="22">
        <f t="shared" ref="X469:X473" si="667">SUM(T469:W469)</f>
        <v>0</v>
      </c>
      <c r="Y469" s="25"/>
      <c r="Z469" s="25"/>
      <c r="AA469" s="25"/>
      <c r="AB469" s="39"/>
      <c r="AC469" s="22">
        <f t="shared" ref="AC469:AC473" si="668">SUM(Y469:AB469)</f>
        <v>0</v>
      </c>
      <c r="AD469" s="25"/>
      <c r="AE469" s="25"/>
      <c r="AF469" s="25"/>
      <c r="AG469" s="39"/>
      <c r="AH469" s="22">
        <f t="shared" ref="AH469:AH473" si="669">SUM(AD469:AG469)</f>
        <v>0</v>
      </c>
      <c r="AI469" s="26">
        <f t="shared" ref="AI469:AI473" si="670">X469+AC469+AH469</f>
        <v>0</v>
      </c>
      <c r="AJ469" s="53"/>
    </row>
    <row r="470" spans="1:36" x14ac:dyDescent="0.15">
      <c r="A470" s="23" t="s">
        <v>34</v>
      </c>
      <c r="B470" s="25"/>
      <c r="C470" s="36"/>
      <c r="D470" s="36"/>
      <c r="E470" s="41"/>
      <c r="F470" s="26">
        <f t="shared" si="659"/>
        <v>0</v>
      </c>
      <c r="G470" s="25"/>
      <c r="H470" s="36">
        <v>1</v>
      </c>
      <c r="I470" s="36"/>
      <c r="J470" s="41"/>
      <c r="K470" s="26">
        <f t="shared" si="660"/>
        <v>1</v>
      </c>
      <c r="L470" s="25"/>
      <c r="M470" s="36"/>
      <c r="N470" s="36"/>
      <c r="O470" s="41"/>
      <c r="P470" s="26">
        <f t="shared" si="661"/>
        <v>0</v>
      </c>
      <c r="Q470" s="26">
        <f t="shared" si="662"/>
        <v>1</v>
      </c>
      <c r="R470" s="100">
        <v>46133</v>
      </c>
      <c r="S470" s="23" t="s">
        <v>17</v>
      </c>
      <c r="T470" s="28"/>
      <c r="U470" s="28"/>
      <c r="V470" s="28"/>
      <c r="W470" s="40"/>
      <c r="X470" s="29">
        <f t="shared" si="667"/>
        <v>0</v>
      </c>
      <c r="Y470" s="28"/>
      <c r="Z470" s="28"/>
      <c r="AA470" s="28"/>
      <c r="AB470" s="40"/>
      <c r="AC470" s="29">
        <f t="shared" si="668"/>
        <v>0</v>
      </c>
      <c r="AD470" s="28"/>
      <c r="AE470" s="28"/>
      <c r="AF470" s="28"/>
      <c r="AG470" s="40"/>
      <c r="AH470" s="29">
        <f t="shared" si="669"/>
        <v>0</v>
      </c>
      <c r="AI470" s="26">
        <f t="shared" si="670"/>
        <v>0</v>
      </c>
      <c r="AJ470" s="53"/>
    </row>
    <row r="471" spans="1:36" x14ac:dyDescent="0.15">
      <c r="A471" s="23" t="s">
        <v>17</v>
      </c>
      <c r="B471" s="25"/>
      <c r="C471" s="36"/>
      <c r="D471" s="36"/>
      <c r="E471" s="41"/>
      <c r="F471" s="26">
        <f t="shared" si="659"/>
        <v>0</v>
      </c>
      <c r="G471" s="25"/>
      <c r="H471" s="36">
        <v>3</v>
      </c>
      <c r="I471" s="36">
        <v>3</v>
      </c>
      <c r="J471" s="41"/>
      <c r="K471" s="26">
        <f t="shared" si="660"/>
        <v>6</v>
      </c>
      <c r="L471" s="25"/>
      <c r="M471" s="36"/>
      <c r="N471" s="36"/>
      <c r="O471" s="41"/>
      <c r="P471" s="26">
        <f t="shared" si="661"/>
        <v>0</v>
      </c>
      <c r="Q471" s="26">
        <f t="shared" si="662"/>
        <v>6</v>
      </c>
      <c r="R471" s="64">
        <v>46143</v>
      </c>
      <c r="S471" s="23" t="s">
        <v>17</v>
      </c>
      <c r="T471" s="25"/>
      <c r="U471" s="36"/>
      <c r="V471" s="36"/>
      <c r="W471" s="41"/>
      <c r="X471" s="26">
        <f t="shared" si="667"/>
        <v>0</v>
      </c>
      <c r="Y471" s="25"/>
      <c r="Z471" s="36"/>
      <c r="AA471" s="36"/>
      <c r="AB471" s="41"/>
      <c r="AC471" s="26">
        <f t="shared" si="668"/>
        <v>0</v>
      </c>
      <c r="AD471" s="25"/>
      <c r="AE471" s="36"/>
      <c r="AF471" s="36"/>
      <c r="AG471" s="41"/>
      <c r="AH471" s="26">
        <f t="shared" si="669"/>
        <v>0</v>
      </c>
      <c r="AI471" s="26">
        <f t="shared" si="670"/>
        <v>0</v>
      </c>
      <c r="AJ471" s="53"/>
    </row>
    <row r="472" spans="1:36" x14ac:dyDescent="0.15">
      <c r="A472" s="23" t="s">
        <v>17</v>
      </c>
      <c r="B472" s="25"/>
      <c r="C472" s="36"/>
      <c r="D472" s="36"/>
      <c r="E472" s="41"/>
      <c r="F472" s="26">
        <f t="shared" ref="F472:F473" si="671">SUM(B472:E472)</f>
        <v>0</v>
      </c>
      <c r="G472" s="25"/>
      <c r="H472" s="36"/>
      <c r="I472" s="36"/>
      <c r="J472" s="41"/>
      <c r="K472" s="26">
        <f t="shared" ref="K472:K473" si="672">SUM(G472:J472)</f>
        <v>0</v>
      </c>
      <c r="L472" s="25"/>
      <c r="M472" s="36"/>
      <c r="N472" s="36"/>
      <c r="O472" s="41"/>
      <c r="P472" s="26">
        <f t="shared" ref="P472:P473" si="673">SUM(L472:O472)</f>
        <v>0</v>
      </c>
      <c r="Q472" s="26">
        <f t="shared" ref="Q472:Q496" si="674">F472+K472+P472</f>
        <v>0</v>
      </c>
      <c r="R472" s="65"/>
      <c r="S472" s="23" t="s">
        <v>17</v>
      </c>
      <c r="T472" s="25"/>
      <c r="U472" s="36"/>
      <c r="V472" s="36"/>
      <c r="W472" s="41"/>
      <c r="X472" s="26">
        <f t="shared" si="667"/>
        <v>0</v>
      </c>
      <c r="Y472" s="25"/>
      <c r="Z472" s="36"/>
      <c r="AA472" s="36"/>
      <c r="AB472" s="41"/>
      <c r="AC472" s="26">
        <f t="shared" si="668"/>
        <v>0</v>
      </c>
      <c r="AD472" s="25"/>
      <c r="AE472" s="36"/>
      <c r="AF472" s="36"/>
      <c r="AG472" s="41"/>
      <c r="AH472" s="26">
        <f t="shared" si="669"/>
        <v>0</v>
      </c>
      <c r="AI472" s="26">
        <f t="shared" si="670"/>
        <v>0</v>
      </c>
    </row>
    <row r="473" spans="1:36" ht="14.25" thickBot="1" x14ac:dyDescent="0.2">
      <c r="A473" s="23" t="s">
        <v>17</v>
      </c>
      <c r="B473" s="28"/>
      <c r="C473" s="37"/>
      <c r="D473" s="37"/>
      <c r="E473" s="42"/>
      <c r="F473" s="43">
        <f t="shared" si="671"/>
        <v>0</v>
      </c>
      <c r="G473" s="28"/>
      <c r="H473" s="37"/>
      <c r="I473" s="37"/>
      <c r="J473" s="42"/>
      <c r="K473" s="43">
        <f t="shared" si="672"/>
        <v>0</v>
      </c>
      <c r="L473" s="28"/>
      <c r="M473" s="37"/>
      <c r="N473" s="37"/>
      <c r="O473" s="42"/>
      <c r="P473" s="43">
        <f t="shared" si="673"/>
        <v>0</v>
      </c>
      <c r="Q473" s="43">
        <f t="shared" si="674"/>
        <v>0</v>
      </c>
      <c r="S473" s="23" t="s">
        <v>17</v>
      </c>
      <c r="T473" s="28"/>
      <c r="U473" s="37"/>
      <c r="V473" s="37"/>
      <c r="W473" s="42"/>
      <c r="X473" s="43">
        <f t="shared" si="667"/>
        <v>0</v>
      </c>
      <c r="Y473" s="28"/>
      <c r="Z473" s="37"/>
      <c r="AA473" s="37"/>
      <c r="AB473" s="42"/>
      <c r="AC473" s="43">
        <f t="shared" si="668"/>
        <v>0</v>
      </c>
      <c r="AD473" s="28"/>
      <c r="AE473" s="37"/>
      <c r="AF473" s="37"/>
      <c r="AG473" s="42"/>
      <c r="AH473" s="43">
        <f t="shared" si="669"/>
        <v>0</v>
      </c>
      <c r="AI473" s="43">
        <f t="shared" si="670"/>
        <v>0</v>
      </c>
    </row>
    <row r="474" spans="1:36" ht="15" thickBot="1" x14ac:dyDescent="0.2">
      <c r="A474" s="46" t="s">
        <v>13</v>
      </c>
      <c r="B474" s="47">
        <f>SUM(B466:B473)</f>
        <v>2</v>
      </c>
      <c r="C474" s="48">
        <f t="shared" ref="C474:P474" si="675">SUM(C466:C473)</f>
        <v>2</v>
      </c>
      <c r="D474" s="48">
        <f t="shared" si="675"/>
        <v>3</v>
      </c>
      <c r="E474" s="49">
        <f t="shared" si="675"/>
        <v>2</v>
      </c>
      <c r="F474" s="34">
        <f t="shared" si="675"/>
        <v>9</v>
      </c>
      <c r="G474" s="47">
        <f t="shared" si="675"/>
        <v>4</v>
      </c>
      <c r="H474" s="48">
        <f t="shared" si="675"/>
        <v>9</v>
      </c>
      <c r="I474" s="48">
        <f t="shared" si="675"/>
        <v>8</v>
      </c>
      <c r="J474" s="49">
        <f t="shared" si="675"/>
        <v>6</v>
      </c>
      <c r="K474" s="34">
        <f t="shared" si="675"/>
        <v>26</v>
      </c>
      <c r="L474" s="47">
        <f t="shared" si="675"/>
        <v>0</v>
      </c>
      <c r="M474" s="48">
        <f t="shared" si="675"/>
        <v>0</v>
      </c>
      <c r="N474" s="48">
        <f t="shared" si="675"/>
        <v>0</v>
      </c>
      <c r="O474" s="49">
        <f t="shared" si="675"/>
        <v>0</v>
      </c>
      <c r="P474" s="34">
        <f t="shared" si="675"/>
        <v>0</v>
      </c>
      <c r="Q474" s="34">
        <f t="shared" si="674"/>
        <v>35</v>
      </c>
      <c r="S474" s="46" t="s">
        <v>13</v>
      </c>
      <c r="T474" s="47">
        <f>SUM(T466:T473)</f>
        <v>103</v>
      </c>
      <c r="U474" s="48">
        <f t="shared" ref="U474:W474" si="676">SUM(U466:U473)</f>
        <v>101</v>
      </c>
      <c r="V474" s="48">
        <f t="shared" si="676"/>
        <v>54</v>
      </c>
      <c r="W474" s="49">
        <f t="shared" si="676"/>
        <v>26</v>
      </c>
      <c r="X474" s="34">
        <f>SUM(X466:X473)</f>
        <v>284</v>
      </c>
      <c r="Y474" s="47">
        <f>SUM(Y466:Y473)</f>
        <v>92</v>
      </c>
      <c r="Z474" s="48">
        <f t="shared" ref="Z474:AB474" si="677">SUM(Z466:Z473)</f>
        <v>106</v>
      </c>
      <c r="AA474" s="48">
        <f t="shared" si="677"/>
        <v>94</v>
      </c>
      <c r="AB474" s="49">
        <f t="shared" si="677"/>
        <v>39</v>
      </c>
      <c r="AC474" s="34">
        <f>SUM(AC466:AC473)</f>
        <v>331</v>
      </c>
      <c r="AD474" s="47">
        <f>SUM(AD466:AD473)</f>
        <v>103</v>
      </c>
      <c r="AE474" s="48">
        <f t="shared" ref="AE474:AG474" si="678">SUM(AE466:AE473)</f>
        <v>174</v>
      </c>
      <c r="AF474" s="48">
        <f t="shared" si="678"/>
        <v>104</v>
      </c>
      <c r="AG474" s="49">
        <f t="shared" si="678"/>
        <v>115</v>
      </c>
      <c r="AH474" s="34">
        <f>SUM(AH466:AH473)</f>
        <v>496</v>
      </c>
      <c r="AI474" s="34">
        <f>X474+AC474+AH474</f>
        <v>1111</v>
      </c>
    </row>
    <row r="475" spans="1:36" x14ac:dyDescent="0.15">
      <c r="A475" s="35" t="s">
        <v>37</v>
      </c>
      <c r="B475" s="24"/>
      <c r="C475" s="25"/>
      <c r="D475" s="25"/>
      <c r="E475" s="25"/>
      <c r="F475" s="26">
        <f t="shared" ref="F475:F496" si="679">SUM(B475:E475)</f>
        <v>0</v>
      </c>
      <c r="G475" s="24"/>
      <c r="H475" s="25">
        <v>1</v>
      </c>
      <c r="I475" s="25"/>
      <c r="J475" s="25"/>
      <c r="K475" s="26">
        <f t="shared" ref="K475:K496" si="680">SUM(G475:J475)</f>
        <v>1</v>
      </c>
      <c r="L475" s="24"/>
      <c r="M475" s="25"/>
      <c r="N475" s="25"/>
      <c r="O475" s="25"/>
      <c r="P475" s="26">
        <f t="shared" ref="P475:P496" si="681">SUM(L475:O475)</f>
        <v>0</v>
      </c>
      <c r="Q475" s="26">
        <f t="shared" si="674"/>
        <v>1</v>
      </c>
      <c r="R475" s="100">
        <v>46091</v>
      </c>
      <c r="S475" s="101" t="s">
        <v>246</v>
      </c>
      <c r="T475" s="27"/>
      <c r="U475" s="28"/>
      <c r="V475" s="28"/>
      <c r="W475" s="28"/>
      <c r="X475" s="26">
        <f t="shared" ref="X475:X495" si="682">SUM(T475:W475)</f>
        <v>0</v>
      </c>
      <c r="Y475" s="27"/>
      <c r="Z475" s="28"/>
      <c r="AA475" s="28"/>
      <c r="AB475" s="28">
        <v>2</v>
      </c>
      <c r="AC475" s="26">
        <f t="shared" ref="AC475:AC495" si="683">SUM(Y475:AB475)</f>
        <v>2</v>
      </c>
      <c r="AD475" s="27"/>
      <c r="AE475" s="28"/>
      <c r="AF475" s="28"/>
      <c r="AG475" s="28"/>
      <c r="AH475" s="26">
        <f t="shared" ref="AH475:AH495" si="684">SUM(AD475:AG475)</f>
        <v>0</v>
      </c>
      <c r="AI475" s="26">
        <f t="shared" ref="AI475:AI495" si="685">X475+AC475+AH475</f>
        <v>2</v>
      </c>
      <c r="AJ475" s="64">
        <v>46084</v>
      </c>
    </row>
    <row r="476" spans="1:36" x14ac:dyDescent="0.15">
      <c r="A476" s="35" t="s">
        <v>37</v>
      </c>
      <c r="B476" s="24"/>
      <c r="C476" s="25"/>
      <c r="D476" s="25"/>
      <c r="E476" s="25"/>
      <c r="F476" s="26">
        <f t="shared" si="679"/>
        <v>0</v>
      </c>
      <c r="G476" s="24"/>
      <c r="H476" s="25"/>
      <c r="I476" s="25">
        <v>1</v>
      </c>
      <c r="J476" s="25"/>
      <c r="K476" s="26">
        <f t="shared" si="680"/>
        <v>1</v>
      </c>
      <c r="L476" s="24"/>
      <c r="M476" s="25"/>
      <c r="N476" s="25"/>
      <c r="O476" s="25"/>
      <c r="P476" s="26">
        <f t="shared" si="681"/>
        <v>0</v>
      </c>
      <c r="Q476" s="26">
        <f t="shared" si="674"/>
        <v>1</v>
      </c>
      <c r="R476" s="100">
        <v>46097</v>
      </c>
      <c r="S476" s="101" t="s">
        <v>247</v>
      </c>
      <c r="T476" s="27"/>
      <c r="U476" s="28"/>
      <c r="V476" s="28"/>
      <c r="W476" s="28"/>
      <c r="X476" s="26">
        <f t="shared" si="682"/>
        <v>0</v>
      </c>
      <c r="Y476" s="27"/>
      <c r="Z476" s="28"/>
      <c r="AA476" s="28"/>
      <c r="AB476" s="28"/>
      <c r="AC476" s="26">
        <f t="shared" si="683"/>
        <v>0</v>
      </c>
      <c r="AD476" s="27">
        <v>2</v>
      </c>
      <c r="AE476" s="28">
        <v>3</v>
      </c>
      <c r="AF476" s="28"/>
      <c r="AG476" s="28"/>
      <c r="AH476" s="26">
        <f t="shared" si="684"/>
        <v>5</v>
      </c>
      <c r="AI476" s="26">
        <f t="shared" si="685"/>
        <v>5</v>
      </c>
      <c r="AJ476" s="64">
        <v>46084</v>
      </c>
    </row>
    <row r="477" spans="1:36" x14ac:dyDescent="0.15">
      <c r="A477" s="35" t="s">
        <v>37</v>
      </c>
      <c r="B477" s="24"/>
      <c r="C477" s="25"/>
      <c r="D477" s="25"/>
      <c r="E477" s="25"/>
      <c r="F477" s="26">
        <f t="shared" si="679"/>
        <v>0</v>
      </c>
      <c r="G477" s="24"/>
      <c r="H477" s="25"/>
      <c r="I477" s="25"/>
      <c r="J477" s="25">
        <v>1</v>
      </c>
      <c r="K477" s="26">
        <f t="shared" si="680"/>
        <v>1</v>
      </c>
      <c r="L477" s="24"/>
      <c r="M477" s="25"/>
      <c r="N477" s="25"/>
      <c r="O477" s="25"/>
      <c r="P477" s="26">
        <f t="shared" si="681"/>
        <v>0</v>
      </c>
      <c r="Q477" s="26">
        <f t="shared" si="674"/>
        <v>1</v>
      </c>
      <c r="R477" s="100">
        <v>46098</v>
      </c>
      <c r="S477" s="101" t="s">
        <v>248</v>
      </c>
      <c r="T477" s="27"/>
      <c r="U477" s="28"/>
      <c r="V477" s="28"/>
      <c r="W477" s="28"/>
      <c r="X477" s="26">
        <f t="shared" si="682"/>
        <v>0</v>
      </c>
      <c r="Y477" s="27"/>
      <c r="Z477" s="28"/>
      <c r="AA477" s="28">
        <v>3</v>
      </c>
      <c r="AB477" s="28"/>
      <c r="AC477" s="26">
        <f t="shared" si="683"/>
        <v>3</v>
      </c>
      <c r="AD477" s="27"/>
      <c r="AE477" s="28"/>
      <c r="AF477" s="28"/>
      <c r="AG477" s="28"/>
      <c r="AH477" s="26">
        <f t="shared" si="684"/>
        <v>0</v>
      </c>
      <c r="AI477" s="26">
        <f t="shared" si="685"/>
        <v>3</v>
      </c>
      <c r="AJ477" s="64">
        <v>46091</v>
      </c>
    </row>
    <row r="478" spans="1:36" x14ac:dyDescent="0.15">
      <c r="A478" s="35" t="s">
        <v>37</v>
      </c>
      <c r="B478" s="24"/>
      <c r="C478" s="25"/>
      <c r="D478" s="25"/>
      <c r="E478" s="25"/>
      <c r="F478" s="26">
        <f t="shared" si="679"/>
        <v>0</v>
      </c>
      <c r="G478" s="24"/>
      <c r="H478" s="25"/>
      <c r="I478" s="25">
        <v>1</v>
      </c>
      <c r="J478" s="25"/>
      <c r="K478" s="26">
        <f t="shared" si="680"/>
        <v>1</v>
      </c>
      <c r="L478" s="24"/>
      <c r="M478" s="25"/>
      <c r="N478" s="25"/>
      <c r="O478" s="25"/>
      <c r="P478" s="26">
        <f t="shared" si="681"/>
        <v>0</v>
      </c>
      <c r="Q478" s="26">
        <f t="shared" si="674"/>
        <v>1</v>
      </c>
      <c r="R478" s="100">
        <v>46111</v>
      </c>
      <c r="S478" s="101" t="s">
        <v>249</v>
      </c>
      <c r="T478" s="27"/>
      <c r="U478" s="28"/>
      <c r="V478" s="28"/>
      <c r="W478" s="28"/>
      <c r="X478" s="26">
        <f t="shared" si="682"/>
        <v>0</v>
      </c>
      <c r="Y478" s="27"/>
      <c r="Z478" s="28"/>
      <c r="AA478" s="28">
        <v>4</v>
      </c>
      <c r="AB478" s="28"/>
      <c r="AC478" s="26">
        <f t="shared" si="683"/>
        <v>4</v>
      </c>
      <c r="AD478" s="27"/>
      <c r="AE478" s="28"/>
      <c r="AF478" s="28"/>
      <c r="AG478" s="28"/>
      <c r="AH478" s="26">
        <f t="shared" si="684"/>
        <v>0</v>
      </c>
      <c r="AI478" s="26">
        <f t="shared" si="685"/>
        <v>4</v>
      </c>
      <c r="AJ478" s="64">
        <v>46105</v>
      </c>
    </row>
    <row r="479" spans="1:36" x14ac:dyDescent="0.15">
      <c r="A479" s="35" t="s">
        <v>37</v>
      </c>
      <c r="B479" s="24"/>
      <c r="C479" s="25"/>
      <c r="D479" s="25"/>
      <c r="E479" s="25"/>
      <c r="F479" s="26">
        <f t="shared" si="679"/>
        <v>0</v>
      </c>
      <c r="G479" s="24"/>
      <c r="H479" s="25"/>
      <c r="I479" s="25"/>
      <c r="J479" s="25">
        <v>1</v>
      </c>
      <c r="K479" s="26">
        <f t="shared" si="680"/>
        <v>1</v>
      </c>
      <c r="L479" s="24"/>
      <c r="M479" s="25"/>
      <c r="N479" s="25"/>
      <c r="O479" s="25"/>
      <c r="P479" s="26">
        <f t="shared" si="681"/>
        <v>0</v>
      </c>
      <c r="Q479" s="26">
        <f t="shared" si="674"/>
        <v>1</v>
      </c>
      <c r="R479" s="100">
        <v>46118</v>
      </c>
      <c r="S479" s="101" t="s">
        <v>250</v>
      </c>
      <c r="T479" s="27"/>
      <c r="U479" s="28"/>
      <c r="V479" s="28"/>
      <c r="W479" s="28"/>
      <c r="X479" s="26">
        <f t="shared" si="682"/>
        <v>0</v>
      </c>
      <c r="Y479" s="27"/>
      <c r="Z479" s="28"/>
      <c r="AA479" s="28"/>
      <c r="AB479" s="28"/>
      <c r="AC479" s="26">
        <f t="shared" si="683"/>
        <v>0</v>
      </c>
      <c r="AD479" s="27">
        <v>3</v>
      </c>
      <c r="AE479" s="28"/>
      <c r="AF479" s="28"/>
      <c r="AG479" s="28"/>
      <c r="AH479" s="26">
        <f t="shared" si="684"/>
        <v>3</v>
      </c>
      <c r="AI479" s="26">
        <f t="shared" si="685"/>
        <v>3</v>
      </c>
      <c r="AJ479" s="64">
        <v>46114</v>
      </c>
    </row>
    <row r="480" spans="1:36" x14ac:dyDescent="0.15">
      <c r="A480" s="35" t="s">
        <v>127</v>
      </c>
      <c r="B480" s="24"/>
      <c r="C480" s="25"/>
      <c r="D480" s="25"/>
      <c r="E480" s="25"/>
      <c r="F480" s="26">
        <f t="shared" si="679"/>
        <v>0</v>
      </c>
      <c r="G480" s="24"/>
      <c r="H480" s="25"/>
      <c r="I480" s="25"/>
      <c r="J480" s="25">
        <v>-1</v>
      </c>
      <c r="K480" s="26">
        <f t="shared" si="680"/>
        <v>-1</v>
      </c>
      <c r="L480" s="24"/>
      <c r="M480" s="25"/>
      <c r="N480" s="25"/>
      <c r="O480" s="25"/>
      <c r="P480" s="26">
        <f t="shared" si="681"/>
        <v>0</v>
      </c>
      <c r="Q480" s="26">
        <f t="shared" si="674"/>
        <v>-1</v>
      </c>
      <c r="R480" s="100">
        <v>46118</v>
      </c>
      <c r="S480" s="101" t="s">
        <v>251</v>
      </c>
      <c r="T480" s="27"/>
      <c r="U480" s="28"/>
      <c r="V480" s="28"/>
      <c r="W480" s="28"/>
      <c r="X480" s="26">
        <f t="shared" si="682"/>
        <v>0</v>
      </c>
      <c r="Y480" s="27">
        <v>4</v>
      </c>
      <c r="Z480" s="28">
        <v>6</v>
      </c>
      <c r="AA480" s="28"/>
      <c r="AB480" s="28">
        <v>2</v>
      </c>
      <c r="AC480" s="26">
        <f t="shared" si="683"/>
        <v>12</v>
      </c>
      <c r="AD480" s="27"/>
      <c r="AE480" s="28"/>
      <c r="AF480" s="28"/>
      <c r="AG480" s="28"/>
      <c r="AH480" s="26">
        <f t="shared" si="684"/>
        <v>0</v>
      </c>
      <c r="AI480" s="26">
        <f t="shared" si="685"/>
        <v>12</v>
      </c>
      <c r="AJ480" s="64">
        <v>46115</v>
      </c>
    </row>
    <row r="481" spans="1:36" x14ac:dyDescent="0.15">
      <c r="A481" s="35" t="s">
        <v>37</v>
      </c>
      <c r="B481" s="24"/>
      <c r="C481" s="25"/>
      <c r="D481" s="25"/>
      <c r="E481" s="25"/>
      <c r="F481" s="26">
        <f t="shared" si="679"/>
        <v>0</v>
      </c>
      <c r="G481" s="24"/>
      <c r="H481" s="25">
        <v>1</v>
      </c>
      <c r="I481" s="25"/>
      <c r="J481" s="25"/>
      <c r="K481" s="26">
        <f t="shared" si="680"/>
        <v>1</v>
      </c>
      <c r="L481" s="24"/>
      <c r="M481" s="25"/>
      <c r="N481" s="25"/>
      <c r="O481" s="25"/>
      <c r="P481" s="26">
        <f t="shared" si="681"/>
        <v>0</v>
      </c>
      <c r="Q481" s="26">
        <f t="shared" si="674"/>
        <v>1</v>
      </c>
      <c r="R481" s="100">
        <v>46121</v>
      </c>
      <c r="S481" s="101" t="s">
        <v>252</v>
      </c>
      <c r="T481" s="27"/>
      <c r="U481" s="28"/>
      <c r="V481" s="28"/>
      <c r="W481" s="28"/>
      <c r="X481" s="26">
        <f t="shared" si="682"/>
        <v>0</v>
      </c>
      <c r="Y481" s="27">
        <v>1</v>
      </c>
      <c r="Z481" s="28">
        <v>1</v>
      </c>
      <c r="AA481" s="28"/>
      <c r="AB481" s="28">
        <v>1</v>
      </c>
      <c r="AC481" s="26">
        <f t="shared" si="683"/>
        <v>3</v>
      </c>
      <c r="AD481" s="27"/>
      <c r="AE481" s="28"/>
      <c r="AF481" s="28"/>
      <c r="AG481" s="28"/>
      <c r="AH481" s="26">
        <f t="shared" si="684"/>
        <v>0</v>
      </c>
      <c r="AI481" s="26">
        <f t="shared" si="685"/>
        <v>3</v>
      </c>
      <c r="AJ481" s="64">
        <v>46115</v>
      </c>
    </row>
    <row r="482" spans="1:36" x14ac:dyDescent="0.15">
      <c r="A482" s="35" t="s">
        <v>37</v>
      </c>
      <c r="B482" s="24"/>
      <c r="C482" s="25"/>
      <c r="D482" s="25"/>
      <c r="E482" s="25"/>
      <c r="F482" s="26">
        <f t="shared" si="679"/>
        <v>0</v>
      </c>
      <c r="G482" s="24"/>
      <c r="H482" s="25"/>
      <c r="I482" s="25">
        <v>1</v>
      </c>
      <c r="J482" s="25"/>
      <c r="K482" s="26">
        <f t="shared" si="680"/>
        <v>1</v>
      </c>
      <c r="L482" s="24"/>
      <c r="M482" s="25"/>
      <c r="N482" s="25"/>
      <c r="O482" s="25"/>
      <c r="P482" s="26">
        <f t="shared" si="681"/>
        <v>0</v>
      </c>
      <c r="Q482" s="26">
        <f t="shared" si="674"/>
        <v>1</v>
      </c>
      <c r="R482" s="100">
        <v>46127</v>
      </c>
      <c r="S482" s="118" t="s">
        <v>243</v>
      </c>
      <c r="T482" s="128"/>
      <c r="U482" s="129"/>
      <c r="V482" s="129"/>
      <c r="W482" s="129"/>
      <c r="X482" s="105">
        <f t="shared" si="682"/>
        <v>0</v>
      </c>
      <c r="Y482" s="128"/>
      <c r="Z482" s="129"/>
      <c r="AA482" s="129">
        <v>3</v>
      </c>
      <c r="AB482" s="129"/>
      <c r="AC482" s="105">
        <f t="shared" si="683"/>
        <v>3</v>
      </c>
      <c r="AD482" s="128"/>
      <c r="AE482" s="129"/>
      <c r="AF482" s="129"/>
      <c r="AG482" s="129"/>
      <c r="AH482" s="105">
        <f t="shared" si="684"/>
        <v>0</v>
      </c>
      <c r="AI482" s="105">
        <f t="shared" si="685"/>
        <v>3</v>
      </c>
      <c r="AJ482" s="100">
        <v>46112</v>
      </c>
    </row>
    <row r="483" spans="1:36" x14ac:dyDescent="0.15">
      <c r="A483" s="35" t="s">
        <v>37</v>
      </c>
      <c r="B483" s="24"/>
      <c r="C483" s="25"/>
      <c r="D483" s="25"/>
      <c r="E483" s="25"/>
      <c r="F483" s="26">
        <f t="shared" si="679"/>
        <v>0</v>
      </c>
      <c r="G483" s="24"/>
      <c r="H483" s="25"/>
      <c r="I483" s="25"/>
      <c r="J483" s="25">
        <v>1</v>
      </c>
      <c r="K483" s="26">
        <f t="shared" si="680"/>
        <v>1</v>
      </c>
      <c r="L483" s="24"/>
      <c r="M483" s="25"/>
      <c r="N483" s="25"/>
      <c r="O483" s="25"/>
      <c r="P483" s="26">
        <f t="shared" si="681"/>
        <v>0</v>
      </c>
      <c r="Q483" s="26">
        <f t="shared" si="674"/>
        <v>1</v>
      </c>
      <c r="R483" s="100">
        <v>46129</v>
      </c>
      <c r="S483" s="101" t="s">
        <v>253</v>
      </c>
      <c r="T483" s="27"/>
      <c r="U483" s="28"/>
      <c r="V483" s="28"/>
      <c r="W483" s="28"/>
      <c r="X483" s="26">
        <f t="shared" si="682"/>
        <v>0</v>
      </c>
      <c r="Y483" s="27"/>
      <c r="Z483" s="28"/>
      <c r="AA483" s="28"/>
      <c r="AB483" s="28"/>
      <c r="AC483" s="26">
        <f t="shared" si="683"/>
        <v>0</v>
      </c>
      <c r="AD483" s="27"/>
      <c r="AE483" s="28">
        <v>2</v>
      </c>
      <c r="AF483" s="28"/>
      <c r="AG483" s="28">
        <v>3</v>
      </c>
      <c r="AH483" s="26">
        <f t="shared" si="684"/>
        <v>5</v>
      </c>
      <c r="AI483" s="26">
        <f t="shared" si="685"/>
        <v>5</v>
      </c>
      <c r="AJ483" s="64">
        <v>46120</v>
      </c>
    </row>
    <row r="484" spans="1:36" x14ac:dyDescent="0.15">
      <c r="A484" s="35" t="s">
        <v>37</v>
      </c>
      <c r="B484" s="24"/>
      <c r="C484" s="25"/>
      <c r="D484" s="25"/>
      <c r="E484" s="25"/>
      <c r="F484" s="26">
        <f t="shared" si="679"/>
        <v>0</v>
      </c>
      <c r="G484" s="24"/>
      <c r="H484" s="25">
        <v>1</v>
      </c>
      <c r="I484" s="25"/>
      <c r="J484" s="25"/>
      <c r="K484" s="26">
        <f t="shared" si="680"/>
        <v>1</v>
      </c>
      <c r="L484" s="24"/>
      <c r="M484" s="25"/>
      <c r="N484" s="25"/>
      <c r="O484" s="25"/>
      <c r="P484" s="26">
        <f t="shared" si="681"/>
        <v>0</v>
      </c>
      <c r="Q484" s="26">
        <f t="shared" si="674"/>
        <v>1</v>
      </c>
      <c r="R484" s="100">
        <v>46132</v>
      </c>
      <c r="S484" s="101" t="s">
        <v>254</v>
      </c>
      <c r="T484" s="27"/>
      <c r="U484" s="28"/>
      <c r="V484" s="28"/>
      <c r="W484" s="28"/>
      <c r="X484" s="26">
        <f t="shared" si="682"/>
        <v>0</v>
      </c>
      <c r="Y484" s="27"/>
      <c r="Z484" s="28"/>
      <c r="AA484" s="28"/>
      <c r="AB484" s="28"/>
      <c r="AC484" s="26">
        <f t="shared" si="683"/>
        <v>0</v>
      </c>
      <c r="AD484" s="27"/>
      <c r="AE484" s="28"/>
      <c r="AF484" s="28">
        <v>1</v>
      </c>
      <c r="AG484" s="28"/>
      <c r="AH484" s="26">
        <f t="shared" si="684"/>
        <v>1</v>
      </c>
      <c r="AI484" s="26">
        <f t="shared" si="685"/>
        <v>1</v>
      </c>
      <c r="AJ484" s="64">
        <v>46120</v>
      </c>
    </row>
    <row r="485" spans="1:36" x14ac:dyDescent="0.15">
      <c r="A485" s="35" t="s">
        <v>37</v>
      </c>
      <c r="B485" s="24"/>
      <c r="C485" s="25"/>
      <c r="D485" s="25"/>
      <c r="E485" s="25"/>
      <c r="F485" s="26">
        <f t="shared" si="679"/>
        <v>0</v>
      </c>
      <c r="G485" s="24"/>
      <c r="H485" s="25">
        <v>1</v>
      </c>
      <c r="I485" s="25">
        <v>1</v>
      </c>
      <c r="J485" s="25"/>
      <c r="K485" s="26">
        <f t="shared" si="680"/>
        <v>2</v>
      </c>
      <c r="L485" s="24"/>
      <c r="M485" s="25"/>
      <c r="N485" s="25"/>
      <c r="O485" s="25"/>
      <c r="P485" s="26">
        <f t="shared" si="681"/>
        <v>0</v>
      </c>
      <c r="Q485" s="26">
        <f t="shared" si="674"/>
        <v>2</v>
      </c>
      <c r="R485" s="100">
        <v>46136</v>
      </c>
      <c r="S485" s="101" t="s">
        <v>255</v>
      </c>
      <c r="T485" s="27"/>
      <c r="U485" s="28"/>
      <c r="V485" s="28"/>
      <c r="W485" s="28"/>
      <c r="X485" s="26">
        <f t="shared" si="682"/>
        <v>0</v>
      </c>
      <c r="Y485" s="27"/>
      <c r="Z485" s="28"/>
      <c r="AA485" s="28"/>
      <c r="AB485" s="28"/>
      <c r="AC485" s="26">
        <f t="shared" si="683"/>
        <v>0</v>
      </c>
      <c r="AD485" s="27"/>
      <c r="AE485" s="28"/>
      <c r="AF485" s="28"/>
      <c r="AG485" s="28">
        <v>1</v>
      </c>
      <c r="AH485" s="26">
        <f t="shared" si="684"/>
        <v>1</v>
      </c>
      <c r="AI485" s="26">
        <f t="shared" si="685"/>
        <v>1</v>
      </c>
      <c r="AJ485" s="64">
        <v>46120</v>
      </c>
    </row>
    <row r="486" spans="1:36" x14ac:dyDescent="0.15">
      <c r="A486" s="35" t="s">
        <v>37</v>
      </c>
      <c r="B486" s="24"/>
      <c r="C486" s="25"/>
      <c r="D486" s="25"/>
      <c r="E486" s="25"/>
      <c r="F486" s="26">
        <f t="shared" si="679"/>
        <v>0</v>
      </c>
      <c r="G486" s="24"/>
      <c r="H486" s="25">
        <v>1</v>
      </c>
      <c r="I486" s="25"/>
      <c r="J486" s="25"/>
      <c r="K486" s="26">
        <f t="shared" si="680"/>
        <v>1</v>
      </c>
      <c r="L486" s="24"/>
      <c r="M486" s="25"/>
      <c r="N486" s="25"/>
      <c r="O486" s="25"/>
      <c r="P486" s="26">
        <f t="shared" si="681"/>
        <v>0</v>
      </c>
      <c r="Q486" s="26">
        <f t="shared" si="674"/>
        <v>1</v>
      </c>
      <c r="R486" s="100">
        <v>46139</v>
      </c>
      <c r="S486" s="118" t="s">
        <v>243</v>
      </c>
      <c r="T486" s="128"/>
      <c r="U486" s="129"/>
      <c r="V486" s="129"/>
      <c r="W486" s="129"/>
      <c r="X486" s="105">
        <f t="shared" si="682"/>
        <v>0</v>
      </c>
      <c r="Y486" s="128"/>
      <c r="Z486" s="129"/>
      <c r="AA486" s="129"/>
      <c r="AB486" s="129">
        <v>4</v>
      </c>
      <c r="AC486" s="105">
        <f t="shared" si="683"/>
        <v>4</v>
      </c>
      <c r="AD486" s="128"/>
      <c r="AE486" s="129"/>
      <c r="AF486" s="129"/>
      <c r="AG486" s="129"/>
      <c r="AH486" s="105">
        <f t="shared" si="684"/>
        <v>0</v>
      </c>
      <c r="AI486" s="105">
        <f t="shared" si="685"/>
        <v>4</v>
      </c>
      <c r="AJ486" s="100">
        <v>46119</v>
      </c>
    </row>
    <row r="487" spans="1:36" x14ac:dyDescent="0.15">
      <c r="A487" s="35" t="s">
        <v>37</v>
      </c>
      <c r="B487" s="24"/>
      <c r="C487" s="25"/>
      <c r="D487" s="25"/>
      <c r="E487" s="25"/>
      <c r="F487" s="26">
        <f t="shared" si="679"/>
        <v>0</v>
      </c>
      <c r="G487" s="24"/>
      <c r="H487" s="25"/>
      <c r="I487" s="25">
        <v>1</v>
      </c>
      <c r="J487" s="25">
        <v>1</v>
      </c>
      <c r="K487" s="26">
        <f t="shared" si="680"/>
        <v>2</v>
      </c>
      <c r="L487" s="24"/>
      <c r="M487" s="25"/>
      <c r="N487" s="25"/>
      <c r="O487" s="25"/>
      <c r="P487" s="26">
        <f t="shared" si="681"/>
        <v>0</v>
      </c>
      <c r="Q487" s="26">
        <f t="shared" si="674"/>
        <v>2</v>
      </c>
      <c r="R487" s="100">
        <v>46142</v>
      </c>
      <c r="S487" s="101" t="s">
        <v>256</v>
      </c>
      <c r="T487" s="27"/>
      <c r="U487" s="28"/>
      <c r="V487" s="28"/>
      <c r="W487" s="28"/>
      <c r="X487" s="26">
        <f t="shared" si="682"/>
        <v>0</v>
      </c>
      <c r="Y487" s="27"/>
      <c r="Z487" s="28"/>
      <c r="AA487" s="28">
        <v>2</v>
      </c>
      <c r="AB487" s="28"/>
      <c r="AC487" s="26">
        <f t="shared" si="683"/>
        <v>2</v>
      </c>
      <c r="AD487" s="27"/>
      <c r="AE487" s="28"/>
      <c r="AF487" s="28"/>
      <c r="AG487" s="28"/>
      <c r="AH487" s="26">
        <f t="shared" si="684"/>
        <v>0</v>
      </c>
      <c r="AI487" s="26">
        <f t="shared" si="685"/>
        <v>2</v>
      </c>
      <c r="AJ487" s="64">
        <v>46122</v>
      </c>
    </row>
    <row r="488" spans="1:36" x14ac:dyDescent="0.15">
      <c r="A488" s="35" t="s">
        <v>37</v>
      </c>
      <c r="B488" s="24"/>
      <c r="C488" s="25"/>
      <c r="D488" s="25"/>
      <c r="E488" s="25"/>
      <c r="F488" s="26">
        <f t="shared" si="679"/>
        <v>0</v>
      </c>
      <c r="G488" s="24">
        <v>1</v>
      </c>
      <c r="H488" s="25"/>
      <c r="I488" s="25"/>
      <c r="J488" s="25"/>
      <c r="K488" s="26">
        <f t="shared" si="680"/>
        <v>1</v>
      </c>
      <c r="L488" s="24"/>
      <c r="M488" s="25"/>
      <c r="N488" s="25"/>
      <c r="O488" s="25"/>
      <c r="P488" s="26">
        <f t="shared" si="681"/>
        <v>0</v>
      </c>
      <c r="Q488" s="26">
        <f t="shared" si="674"/>
        <v>1</v>
      </c>
      <c r="R488" s="100">
        <v>46149</v>
      </c>
      <c r="S488" s="101" t="s">
        <v>257</v>
      </c>
      <c r="T488" s="27">
        <v>3</v>
      </c>
      <c r="U488" s="28"/>
      <c r="V488" s="28"/>
      <c r="W488" s="28"/>
      <c r="X488" s="26">
        <f t="shared" si="682"/>
        <v>3</v>
      </c>
      <c r="Y488" s="27"/>
      <c r="Z488" s="28">
        <v>2</v>
      </c>
      <c r="AA488" s="28"/>
      <c r="AB488" s="28"/>
      <c r="AC488" s="26">
        <f t="shared" si="683"/>
        <v>2</v>
      </c>
      <c r="AD488" s="27"/>
      <c r="AE488" s="28"/>
      <c r="AF488" s="28">
        <v>8</v>
      </c>
      <c r="AG488" s="28"/>
      <c r="AH488" s="26">
        <f t="shared" si="684"/>
        <v>8</v>
      </c>
      <c r="AI488" s="26">
        <f t="shared" si="685"/>
        <v>13</v>
      </c>
      <c r="AJ488" s="64">
        <v>46122</v>
      </c>
    </row>
    <row r="489" spans="1:36" x14ac:dyDescent="0.15">
      <c r="A489" s="35" t="s">
        <v>272</v>
      </c>
      <c r="B489" s="24"/>
      <c r="C489" s="25"/>
      <c r="D489" s="25"/>
      <c r="E489" s="25"/>
      <c r="F489" s="26">
        <f t="shared" si="679"/>
        <v>0</v>
      </c>
      <c r="G489" s="24"/>
      <c r="H489" s="25"/>
      <c r="I489" s="25">
        <v>2</v>
      </c>
      <c r="J489" s="25"/>
      <c r="K489" s="26">
        <f t="shared" si="680"/>
        <v>2</v>
      </c>
      <c r="L489" s="24"/>
      <c r="M489" s="25"/>
      <c r="N489" s="25"/>
      <c r="O489" s="25"/>
      <c r="P489" s="26">
        <f t="shared" si="681"/>
        <v>0</v>
      </c>
      <c r="Q489" s="26">
        <f t="shared" si="674"/>
        <v>2</v>
      </c>
      <c r="S489" s="101" t="s">
        <v>258</v>
      </c>
      <c r="T489" s="27"/>
      <c r="U489" s="28"/>
      <c r="V489" s="28"/>
      <c r="W489" s="28"/>
      <c r="X489" s="26">
        <f t="shared" si="682"/>
        <v>0</v>
      </c>
      <c r="Y489" s="27"/>
      <c r="Z489" s="28"/>
      <c r="AA489" s="28">
        <v>1</v>
      </c>
      <c r="AB489" s="28"/>
      <c r="AC489" s="26">
        <f t="shared" si="683"/>
        <v>1</v>
      </c>
      <c r="AD489" s="27"/>
      <c r="AE489" s="28"/>
      <c r="AF489" s="28"/>
      <c r="AG489" s="28"/>
      <c r="AH489" s="26">
        <f t="shared" si="684"/>
        <v>0</v>
      </c>
      <c r="AI489" s="26">
        <f t="shared" si="685"/>
        <v>1</v>
      </c>
      <c r="AJ489" s="64">
        <v>46126</v>
      </c>
    </row>
    <row r="490" spans="1:36" x14ac:dyDescent="0.15">
      <c r="A490" s="35"/>
      <c r="B490" s="24"/>
      <c r="C490" s="25"/>
      <c r="D490" s="25"/>
      <c r="E490" s="25"/>
      <c r="F490" s="26">
        <f t="shared" si="679"/>
        <v>0</v>
      </c>
      <c r="G490" s="24"/>
      <c r="H490" s="25"/>
      <c r="I490" s="25"/>
      <c r="J490" s="25"/>
      <c r="K490" s="26">
        <f t="shared" si="680"/>
        <v>0</v>
      </c>
      <c r="L490" s="24"/>
      <c r="M490" s="25"/>
      <c r="N490" s="25"/>
      <c r="O490" s="25"/>
      <c r="P490" s="26">
        <f t="shared" si="681"/>
        <v>0</v>
      </c>
      <c r="Q490" s="26">
        <f t="shared" si="674"/>
        <v>0</v>
      </c>
      <c r="S490" s="101" t="s">
        <v>259</v>
      </c>
      <c r="T490" s="27"/>
      <c r="U490" s="28"/>
      <c r="V490" s="28"/>
      <c r="W490" s="28"/>
      <c r="X490" s="26">
        <f t="shared" si="682"/>
        <v>0</v>
      </c>
      <c r="Y490" s="27"/>
      <c r="Z490" s="28">
        <v>1</v>
      </c>
      <c r="AA490" s="28"/>
      <c r="AB490" s="28"/>
      <c r="AC490" s="26">
        <f t="shared" si="683"/>
        <v>1</v>
      </c>
      <c r="AD490" s="27"/>
      <c r="AE490" s="28"/>
      <c r="AF490" s="28"/>
      <c r="AG490" s="28"/>
      <c r="AH490" s="26">
        <f t="shared" si="684"/>
        <v>0</v>
      </c>
      <c r="AI490" s="26">
        <f t="shared" si="685"/>
        <v>1</v>
      </c>
      <c r="AJ490" s="64">
        <v>46126</v>
      </c>
    </row>
    <row r="491" spans="1:36" x14ac:dyDescent="0.15">
      <c r="A491" s="35"/>
      <c r="B491" s="24"/>
      <c r="C491" s="25"/>
      <c r="D491" s="25"/>
      <c r="E491" s="25"/>
      <c r="F491" s="26">
        <f t="shared" si="679"/>
        <v>0</v>
      </c>
      <c r="G491" s="24"/>
      <c r="H491" s="25"/>
      <c r="I491" s="25"/>
      <c r="J491" s="25"/>
      <c r="K491" s="26">
        <f t="shared" si="680"/>
        <v>0</v>
      </c>
      <c r="L491" s="24"/>
      <c r="M491" s="25"/>
      <c r="N491" s="25"/>
      <c r="O491" s="25"/>
      <c r="P491" s="26">
        <f t="shared" si="681"/>
        <v>0</v>
      </c>
      <c r="Q491" s="26">
        <f t="shared" si="674"/>
        <v>0</v>
      </c>
      <c r="S491" s="101" t="s">
        <v>260</v>
      </c>
      <c r="T491" s="27">
        <v>1</v>
      </c>
      <c r="U491" s="28"/>
      <c r="V491" s="28"/>
      <c r="W491" s="28"/>
      <c r="X491" s="26">
        <f t="shared" si="682"/>
        <v>1</v>
      </c>
      <c r="Y491" s="27"/>
      <c r="Z491" s="28"/>
      <c r="AA491" s="28">
        <v>2</v>
      </c>
      <c r="AB491" s="28"/>
      <c r="AC491" s="26">
        <f t="shared" si="683"/>
        <v>2</v>
      </c>
      <c r="AD491" s="27"/>
      <c r="AE491" s="28"/>
      <c r="AF491" s="28"/>
      <c r="AG491" s="28"/>
      <c r="AH491" s="26">
        <f t="shared" si="684"/>
        <v>0</v>
      </c>
      <c r="AI491" s="26">
        <f t="shared" si="685"/>
        <v>3</v>
      </c>
      <c r="AJ491" s="64">
        <v>46126</v>
      </c>
    </row>
    <row r="492" spans="1:36" x14ac:dyDescent="0.15">
      <c r="A492" s="35"/>
      <c r="B492" s="24"/>
      <c r="C492" s="25"/>
      <c r="D492" s="25"/>
      <c r="E492" s="25"/>
      <c r="F492" s="26">
        <f t="shared" si="679"/>
        <v>0</v>
      </c>
      <c r="G492" s="24"/>
      <c r="H492" s="25"/>
      <c r="I492" s="25"/>
      <c r="J492" s="25"/>
      <c r="K492" s="26">
        <f t="shared" si="680"/>
        <v>0</v>
      </c>
      <c r="L492" s="24"/>
      <c r="M492" s="25"/>
      <c r="N492" s="25"/>
      <c r="O492" s="25"/>
      <c r="P492" s="26">
        <f t="shared" si="681"/>
        <v>0</v>
      </c>
      <c r="Q492" s="26">
        <f t="shared" si="674"/>
        <v>0</v>
      </c>
      <c r="S492" s="101" t="s">
        <v>261</v>
      </c>
      <c r="T492" s="27"/>
      <c r="U492" s="28"/>
      <c r="V492" s="28"/>
      <c r="W492" s="28"/>
      <c r="X492" s="26">
        <f t="shared" si="682"/>
        <v>0</v>
      </c>
      <c r="Y492" s="27">
        <v>2</v>
      </c>
      <c r="Z492" s="28">
        <v>4</v>
      </c>
      <c r="AA492" s="28"/>
      <c r="AB492" s="28"/>
      <c r="AC492" s="26">
        <f t="shared" si="683"/>
        <v>6</v>
      </c>
      <c r="AD492" s="27"/>
      <c r="AE492" s="28"/>
      <c r="AF492" s="28"/>
      <c r="AG492" s="28"/>
      <c r="AH492" s="26">
        <f t="shared" si="684"/>
        <v>0</v>
      </c>
      <c r="AI492" s="26">
        <f t="shared" si="685"/>
        <v>6</v>
      </c>
      <c r="AJ492" s="64">
        <v>46136</v>
      </c>
    </row>
    <row r="493" spans="1:36" x14ac:dyDescent="0.15">
      <c r="A493" s="35"/>
      <c r="B493" s="24"/>
      <c r="C493" s="25"/>
      <c r="D493" s="25"/>
      <c r="E493" s="25"/>
      <c r="F493" s="26">
        <f t="shared" si="679"/>
        <v>0</v>
      </c>
      <c r="G493" s="24"/>
      <c r="H493" s="25"/>
      <c r="I493" s="25"/>
      <c r="J493" s="25"/>
      <c r="K493" s="26">
        <f t="shared" si="680"/>
        <v>0</v>
      </c>
      <c r="L493" s="24"/>
      <c r="M493" s="25"/>
      <c r="N493" s="25"/>
      <c r="O493" s="25"/>
      <c r="P493" s="26">
        <f t="shared" si="681"/>
        <v>0</v>
      </c>
      <c r="Q493" s="26">
        <f t="shared" si="674"/>
        <v>0</v>
      </c>
      <c r="S493" s="101" t="s">
        <v>262</v>
      </c>
      <c r="T493" s="27"/>
      <c r="U493" s="28"/>
      <c r="V493" s="28"/>
      <c r="W493" s="28">
        <v>4</v>
      </c>
      <c r="X493" s="26">
        <f t="shared" si="682"/>
        <v>4</v>
      </c>
      <c r="Y493" s="27"/>
      <c r="Z493" s="28"/>
      <c r="AA493" s="28"/>
      <c r="AB493" s="28"/>
      <c r="AC493" s="26">
        <f t="shared" si="683"/>
        <v>0</v>
      </c>
      <c r="AD493" s="27"/>
      <c r="AE493" s="28"/>
      <c r="AF493" s="28"/>
      <c r="AG493" s="28"/>
      <c r="AH493" s="26">
        <f t="shared" si="684"/>
        <v>0</v>
      </c>
      <c r="AI493" s="26">
        <f t="shared" si="685"/>
        <v>4</v>
      </c>
      <c r="AJ493" s="64">
        <v>46129</v>
      </c>
    </row>
    <row r="494" spans="1:36" x14ac:dyDescent="0.15">
      <c r="A494" s="35"/>
      <c r="B494" s="24"/>
      <c r="C494" s="25"/>
      <c r="D494" s="25"/>
      <c r="E494" s="25"/>
      <c r="F494" s="26">
        <f t="shared" si="679"/>
        <v>0</v>
      </c>
      <c r="G494" s="24"/>
      <c r="H494" s="25"/>
      <c r="I494" s="25"/>
      <c r="J494" s="25"/>
      <c r="K494" s="26">
        <f t="shared" si="680"/>
        <v>0</v>
      </c>
      <c r="L494" s="24"/>
      <c r="M494" s="25"/>
      <c r="N494" s="25"/>
      <c r="O494" s="25"/>
      <c r="P494" s="26">
        <f t="shared" si="681"/>
        <v>0</v>
      </c>
      <c r="Q494" s="26">
        <f t="shared" si="674"/>
        <v>0</v>
      </c>
      <c r="S494" s="101" t="s">
        <v>263</v>
      </c>
      <c r="T494" s="27"/>
      <c r="U494" s="28"/>
      <c r="V494" s="28"/>
      <c r="W494" s="28"/>
      <c r="X494" s="26">
        <f t="shared" si="682"/>
        <v>0</v>
      </c>
      <c r="Y494" s="27"/>
      <c r="Z494" s="28"/>
      <c r="AA494" s="28"/>
      <c r="AB494" s="28"/>
      <c r="AC494" s="26">
        <f t="shared" si="683"/>
        <v>0</v>
      </c>
      <c r="AD494" s="27"/>
      <c r="AE494" s="28"/>
      <c r="AF494" s="28"/>
      <c r="AG494" s="28">
        <v>8</v>
      </c>
      <c r="AH494" s="26">
        <f t="shared" si="684"/>
        <v>8</v>
      </c>
      <c r="AI494" s="26">
        <f t="shared" si="685"/>
        <v>8</v>
      </c>
      <c r="AJ494" s="64">
        <v>46132</v>
      </c>
    </row>
    <row r="495" spans="1:36" x14ac:dyDescent="0.15">
      <c r="A495" s="35"/>
      <c r="B495" s="24"/>
      <c r="C495" s="25"/>
      <c r="D495" s="25"/>
      <c r="E495" s="25"/>
      <c r="F495" s="26">
        <f t="shared" si="679"/>
        <v>0</v>
      </c>
      <c r="G495" s="24"/>
      <c r="H495" s="25"/>
      <c r="I495" s="25"/>
      <c r="J495" s="25"/>
      <c r="K495" s="26">
        <f t="shared" si="680"/>
        <v>0</v>
      </c>
      <c r="L495" s="24"/>
      <c r="M495" s="25"/>
      <c r="N495" s="25"/>
      <c r="O495" s="25"/>
      <c r="P495" s="26">
        <f t="shared" si="681"/>
        <v>0</v>
      </c>
      <c r="Q495" s="26">
        <f t="shared" si="674"/>
        <v>0</v>
      </c>
      <c r="S495" s="101" t="s">
        <v>264</v>
      </c>
      <c r="T495" s="27"/>
      <c r="U495" s="28"/>
      <c r="V495" s="28"/>
      <c r="W495" s="28"/>
      <c r="X495" s="26">
        <f t="shared" si="682"/>
        <v>0</v>
      </c>
      <c r="Y495" s="27"/>
      <c r="Z495" s="28"/>
      <c r="AA495" s="28"/>
      <c r="AB495" s="28">
        <v>2</v>
      </c>
      <c r="AC495" s="26">
        <f t="shared" si="683"/>
        <v>2</v>
      </c>
      <c r="AD495" s="27"/>
      <c r="AE495" s="28"/>
      <c r="AF495" s="28"/>
      <c r="AG495" s="28"/>
      <c r="AH495" s="26">
        <f t="shared" si="684"/>
        <v>0</v>
      </c>
      <c r="AI495" s="26">
        <f t="shared" si="685"/>
        <v>2</v>
      </c>
      <c r="AJ495" s="64">
        <v>46135</v>
      </c>
    </row>
    <row r="496" spans="1:36" x14ac:dyDescent="0.15">
      <c r="A496" s="35"/>
      <c r="B496" s="24"/>
      <c r="C496" s="25"/>
      <c r="D496" s="25"/>
      <c r="E496" s="25"/>
      <c r="F496" s="26">
        <f t="shared" si="679"/>
        <v>0</v>
      </c>
      <c r="G496" s="24"/>
      <c r="H496" s="25"/>
      <c r="I496" s="25"/>
      <c r="J496" s="25"/>
      <c r="K496" s="26">
        <f t="shared" si="680"/>
        <v>0</v>
      </c>
      <c r="L496" s="24"/>
      <c r="M496" s="25"/>
      <c r="N496" s="25"/>
      <c r="O496" s="25"/>
      <c r="P496" s="26">
        <f t="shared" si="681"/>
        <v>0</v>
      </c>
      <c r="Q496" s="26">
        <f t="shared" si="674"/>
        <v>0</v>
      </c>
      <c r="S496" s="101" t="s">
        <v>265</v>
      </c>
      <c r="T496" s="27"/>
      <c r="U496" s="28"/>
      <c r="V496" s="28"/>
      <c r="W496" s="28"/>
      <c r="X496" s="26">
        <f t="shared" ref="X496:X500" si="686">SUM(T496:W496)</f>
        <v>0</v>
      </c>
      <c r="Y496" s="27"/>
      <c r="Z496" s="28"/>
      <c r="AA496" s="28"/>
      <c r="AB496" s="28">
        <v>3</v>
      </c>
      <c r="AC496" s="26">
        <f t="shared" ref="AC496:AC500" si="687">SUM(Y496:AB496)</f>
        <v>3</v>
      </c>
      <c r="AD496" s="27"/>
      <c r="AE496" s="28"/>
      <c r="AF496" s="28"/>
      <c r="AG496" s="28"/>
      <c r="AH496" s="26">
        <f t="shared" ref="AH496:AH500" si="688">SUM(AD496:AG496)</f>
        <v>0</v>
      </c>
      <c r="AI496" s="26">
        <f t="shared" ref="AI496:AI500" si="689">X496+AC496+AH496</f>
        <v>3</v>
      </c>
      <c r="AJ496" s="64">
        <v>46135</v>
      </c>
    </row>
    <row r="497" spans="1:36" x14ac:dyDescent="0.15">
      <c r="A497" s="35"/>
      <c r="B497" s="24"/>
      <c r="C497" s="25"/>
      <c r="D497" s="25"/>
      <c r="E497" s="25"/>
      <c r="F497" s="26">
        <f t="shared" ref="F497:F500" si="690">SUM(B497:E497)</f>
        <v>0</v>
      </c>
      <c r="G497" s="24"/>
      <c r="H497" s="25"/>
      <c r="I497" s="25"/>
      <c r="J497" s="25"/>
      <c r="K497" s="26">
        <f t="shared" ref="K497:K500" si="691">SUM(G497:J497)</f>
        <v>0</v>
      </c>
      <c r="L497" s="24"/>
      <c r="M497" s="25"/>
      <c r="N497" s="25"/>
      <c r="O497" s="25"/>
      <c r="P497" s="26">
        <f t="shared" ref="P497:P500" si="692">SUM(L497:O497)</f>
        <v>0</v>
      </c>
      <c r="Q497" s="26">
        <f t="shared" ref="Q497:Q502" si="693">F497+K497+P497</f>
        <v>0</v>
      </c>
      <c r="S497" s="101" t="s">
        <v>266</v>
      </c>
      <c r="T497" s="24"/>
      <c r="U497" s="25"/>
      <c r="V497" s="25"/>
      <c r="W497" s="25"/>
      <c r="X497" s="26">
        <f t="shared" si="686"/>
        <v>0</v>
      </c>
      <c r="Y497" s="24"/>
      <c r="Z497" s="25">
        <v>3</v>
      </c>
      <c r="AA497" s="25"/>
      <c r="AB497" s="25"/>
      <c r="AC497" s="26">
        <f t="shared" si="687"/>
        <v>3</v>
      </c>
      <c r="AD497" s="24"/>
      <c r="AE497" s="25"/>
      <c r="AF497" s="25"/>
      <c r="AG497" s="25"/>
      <c r="AH497" s="26">
        <f t="shared" si="688"/>
        <v>0</v>
      </c>
      <c r="AI497" s="26">
        <f t="shared" si="689"/>
        <v>3</v>
      </c>
      <c r="AJ497" s="64">
        <v>46139</v>
      </c>
    </row>
    <row r="498" spans="1:36" x14ac:dyDescent="0.15">
      <c r="A498" s="35"/>
      <c r="B498" s="24"/>
      <c r="C498" s="25"/>
      <c r="D498" s="25"/>
      <c r="E498" s="25"/>
      <c r="F498" s="26">
        <f t="shared" si="690"/>
        <v>0</v>
      </c>
      <c r="G498" s="24"/>
      <c r="H498" s="25"/>
      <c r="I498" s="25"/>
      <c r="J498" s="25"/>
      <c r="K498" s="26">
        <f t="shared" si="691"/>
        <v>0</v>
      </c>
      <c r="L498" s="24"/>
      <c r="M498" s="25"/>
      <c r="N498" s="25"/>
      <c r="O498" s="25"/>
      <c r="P498" s="26">
        <f t="shared" si="692"/>
        <v>0</v>
      </c>
      <c r="Q498" s="26">
        <f t="shared" si="693"/>
        <v>0</v>
      </c>
      <c r="S498" s="35" t="s">
        <v>243</v>
      </c>
      <c r="T498" s="24"/>
      <c r="U498" s="25"/>
      <c r="V498" s="25"/>
      <c r="W498" s="25"/>
      <c r="X498" s="26">
        <f t="shared" si="686"/>
        <v>0</v>
      </c>
      <c r="Y498" s="24"/>
      <c r="Z498" s="25">
        <v>3</v>
      </c>
      <c r="AA498" s="25">
        <v>3</v>
      </c>
      <c r="AB498" s="25"/>
      <c r="AC498" s="26">
        <f t="shared" si="687"/>
        <v>6</v>
      </c>
      <c r="AD498" s="24"/>
      <c r="AE498" s="25"/>
      <c r="AF498" s="25"/>
      <c r="AG498" s="25"/>
      <c r="AH498" s="26">
        <f t="shared" si="688"/>
        <v>0</v>
      </c>
      <c r="AI498" s="26">
        <f t="shared" si="689"/>
        <v>6</v>
      </c>
      <c r="AJ498" s="64">
        <v>46143</v>
      </c>
    </row>
    <row r="499" spans="1:36" x14ac:dyDescent="0.15">
      <c r="A499" s="56"/>
      <c r="B499" s="24"/>
      <c r="C499" s="25"/>
      <c r="D499" s="25"/>
      <c r="E499" s="25"/>
      <c r="F499" s="26">
        <f t="shared" si="690"/>
        <v>0</v>
      </c>
      <c r="G499" s="24"/>
      <c r="H499" s="25"/>
      <c r="I499" s="25"/>
      <c r="J499" s="25"/>
      <c r="K499" s="26">
        <f t="shared" si="691"/>
        <v>0</v>
      </c>
      <c r="L499" s="24"/>
      <c r="M499" s="25"/>
      <c r="N499" s="25"/>
      <c r="O499" s="25"/>
      <c r="P499" s="26">
        <f t="shared" si="692"/>
        <v>0</v>
      </c>
      <c r="Q499" s="26">
        <f t="shared" si="693"/>
        <v>0</v>
      </c>
      <c r="S499" s="101"/>
      <c r="T499" s="24"/>
      <c r="U499" s="25"/>
      <c r="V499" s="25"/>
      <c r="W499" s="25"/>
      <c r="X499" s="26">
        <f t="shared" si="686"/>
        <v>0</v>
      </c>
      <c r="Y499" s="24"/>
      <c r="Z499" s="25"/>
      <c r="AA499" s="25"/>
      <c r="AB499" s="25"/>
      <c r="AC499" s="26">
        <f t="shared" si="687"/>
        <v>0</v>
      </c>
      <c r="AD499" s="24"/>
      <c r="AE499" s="25"/>
      <c r="AF499" s="25"/>
      <c r="AG499" s="25"/>
      <c r="AH499" s="26">
        <f t="shared" si="688"/>
        <v>0</v>
      </c>
      <c r="AI499" s="26">
        <f t="shared" si="689"/>
        <v>0</v>
      </c>
      <c r="AJ499" s="64"/>
    </row>
    <row r="500" spans="1:36" ht="14.25" thickBot="1" x14ac:dyDescent="0.2">
      <c r="A500" s="57"/>
      <c r="B500" s="10"/>
      <c r="C500" s="11"/>
      <c r="D500" s="11"/>
      <c r="E500" s="11"/>
      <c r="F500" s="9">
        <f t="shared" si="690"/>
        <v>0</v>
      </c>
      <c r="G500" s="10"/>
      <c r="H500" s="11"/>
      <c r="I500" s="11"/>
      <c r="J500" s="11"/>
      <c r="K500" s="9">
        <f t="shared" si="691"/>
        <v>0</v>
      </c>
      <c r="L500" s="10"/>
      <c r="M500" s="11"/>
      <c r="N500" s="11"/>
      <c r="O500" s="11"/>
      <c r="P500" s="9">
        <f t="shared" si="692"/>
        <v>0</v>
      </c>
      <c r="Q500" s="43">
        <f t="shared" si="693"/>
        <v>0</v>
      </c>
      <c r="S500" s="101"/>
      <c r="T500" s="10"/>
      <c r="U500" s="11"/>
      <c r="V500" s="11"/>
      <c r="W500" s="11"/>
      <c r="X500" s="9">
        <f t="shared" si="686"/>
        <v>0</v>
      </c>
      <c r="Y500" s="10"/>
      <c r="Z500" s="11"/>
      <c r="AA500" s="11"/>
      <c r="AB500" s="11"/>
      <c r="AC500" s="9">
        <f t="shared" si="687"/>
        <v>0</v>
      </c>
      <c r="AD500" s="10"/>
      <c r="AE500" s="11"/>
      <c r="AF500" s="11"/>
      <c r="AG500" s="11"/>
      <c r="AH500" s="9">
        <f t="shared" si="688"/>
        <v>0</v>
      </c>
      <c r="AI500" s="43">
        <f t="shared" si="689"/>
        <v>0</v>
      </c>
      <c r="AJ500" s="64"/>
    </row>
    <row r="501" spans="1:36" ht="15" thickBot="1" x14ac:dyDescent="0.2">
      <c r="A501" s="5" t="s">
        <v>14</v>
      </c>
      <c r="B501" s="12">
        <f>SUM(B475:B500)</f>
        <v>0</v>
      </c>
      <c r="C501" s="13">
        <f t="shared" ref="C501:P501" si="694">SUM(C475:C500)</f>
        <v>0</v>
      </c>
      <c r="D501" s="13">
        <f t="shared" si="694"/>
        <v>0</v>
      </c>
      <c r="E501" s="14">
        <f t="shared" si="694"/>
        <v>0</v>
      </c>
      <c r="F501" s="8">
        <f t="shared" si="694"/>
        <v>0</v>
      </c>
      <c r="G501" s="12">
        <f t="shared" si="694"/>
        <v>1</v>
      </c>
      <c r="H501" s="13">
        <f t="shared" si="694"/>
        <v>5</v>
      </c>
      <c r="I501" s="13">
        <f t="shared" si="694"/>
        <v>7</v>
      </c>
      <c r="J501" s="14">
        <f t="shared" si="694"/>
        <v>3</v>
      </c>
      <c r="K501" s="8">
        <f t="shared" si="694"/>
        <v>16</v>
      </c>
      <c r="L501" s="122">
        <f t="shared" si="694"/>
        <v>0</v>
      </c>
      <c r="M501" s="123">
        <f t="shared" si="694"/>
        <v>0</v>
      </c>
      <c r="N501" s="123">
        <f t="shared" si="694"/>
        <v>0</v>
      </c>
      <c r="O501" s="124">
        <f t="shared" si="694"/>
        <v>0</v>
      </c>
      <c r="P501" s="8">
        <f t="shared" si="694"/>
        <v>0</v>
      </c>
      <c r="Q501" s="34">
        <f t="shared" si="693"/>
        <v>16</v>
      </c>
      <c r="S501" s="5" t="s">
        <v>14</v>
      </c>
      <c r="T501" s="12">
        <f>SUM(T475:T500)</f>
        <v>4</v>
      </c>
      <c r="U501" s="13">
        <f t="shared" ref="U501:W501" si="695">SUM(U475:U500)</f>
        <v>0</v>
      </c>
      <c r="V501" s="13">
        <f t="shared" si="695"/>
        <v>0</v>
      </c>
      <c r="W501" s="14">
        <f t="shared" si="695"/>
        <v>4</v>
      </c>
      <c r="X501" s="8">
        <f>SUM(X475:X500)</f>
        <v>8</v>
      </c>
      <c r="Y501" s="12">
        <f>SUM(Y475:Y500)</f>
        <v>7</v>
      </c>
      <c r="Z501" s="13">
        <f t="shared" ref="Z501:AB501" si="696">SUM(Z475:Z500)</f>
        <v>20</v>
      </c>
      <c r="AA501" s="13">
        <f t="shared" si="696"/>
        <v>18</v>
      </c>
      <c r="AB501" s="14">
        <f t="shared" si="696"/>
        <v>14</v>
      </c>
      <c r="AC501" s="8">
        <f>SUM(AC475:AC500)</f>
        <v>59</v>
      </c>
      <c r="AD501" s="12">
        <f>SUM(AD475:AD500)</f>
        <v>5</v>
      </c>
      <c r="AE501" s="13">
        <f t="shared" ref="AE501:AG501" si="697">SUM(AE475:AE500)</f>
        <v>5</v>
      </c>
      <c r="AF501" s="13">
        <f t="shared" si="697"/>
        <v>9</v>
      </c>
      <c r="AG501" s="14">
        <f t="shared" si="697"/>
        <v>12</v>
      </c>
      <c r="AH501" s="8">
        <f>SUM(AH475:AH500)</f>
        <v>31</v>
      </c>
      <c r="AI501" s="34">
        <f>X501+AC501+AH501</f>
        <v>98</v>
      </c>
    </row>
    <row r="502" spans="1:36" ht="14.25" thickBot="1" x14ac:dyDescent="0.2">
      <c r="A502" s="15" t="s">
        <v>15</v>
      </c>
      <c r="B502" s="16">
        <f>B474-B501</f>
        <v>2</v>
      </c>
      <c r="C502" s="17">
        <f>C474-C501</f>
        <v>2</v>
      </c>
      <c r="D502" s="17">
        <f t="shared" ref="D502:P502" si="698">D474-D501</f>
        <v>3</v>
      </c>
      <c r="E502" s="18">
        <f t="shared" si="698"/>
        <v>2</v>
      </c>
      <c r="F502" s="44">
        <f t="shared" si="698"/>
        <v>9</v>
      </c>
      <c r="G502" s="16">
        <f t="shared" si="698"/>
        <v>3</v>
      </c>
      <c r="H502" s="17">
        <f t="shared" si="698"/>
        <v>4</v>
      </c>
      <c r="I502" s="17">
        <f t="shared" si="698"/>
        <v>1</v>
      </c>
      <c r="J502" s="18">
        <f t="shared" si="698"/>
        <v>3</v>
      </c>
      <c r="K502" s="44">
        <f t="shared" si="698"/>
        <v>10</v>
      </c>
      <c r="L502" s="125">
        <f t="shared" si="698"/>
        <v>0</v>
      </c>
      <c r="M502" s="126">
        <f t="shared" si="698"/>
        <v>0</v>
      </c>
      <c r="N502" s="126">
        <f t="shared" si="698"/>
        <v>0</v>
      </c>
      <c r="O502" s="127">
        <f t="shared" si="698"/>
        <v>0</v>
      </c>
      <c r="P502" s="44">
        <f t="shared" si="698"/>
        <v>0</v>
      </c>
      <c r="Q502" s="34">
        <f t="shared" si="693"/>
        <v>19</v>
      </c>
      <c r="S502" s="15" t="s">
        <v>15</v>
      </c>
      <c r="T502" s="16">
        <f>T474-T501</f>
        <v>99</v>
      </c>
      <c r="U502" s="17">
        <f t="shared" ref="U502:W502" si="699">U474-U501</f>
        <v>101</v>
      </c>
      <c r="V502" s="17">
        <f t="shared" si="699"/>
        <v>54</v>
      </c>
      <c r="W502" s="18">
        <f t="shared" si="699"/>
        <v>22</v>
      </c>
      <c r="X502" s="44">
        <f>X474-X501</f>
        <v>276</v>
      </c>
      <c r="Y502" s="16">
        <f>Y474-Y501</f>
        <v>85</v>
      </c>
      <c r="Z502" s="17">
        <f t="shared" ref="Z502:AB502" si="700">Z474-Z501</f>
        <v>86</v>
      </c>
      <c r="AA502" s="17">
        <f t="shared" si="700"/>
        <v>76</v>
      </c>
      <c r="AB502" s="18">
        <f t="shared" si="700"/>
        <v>25</v>
      </c>
      <c r="AC502" s="44">
        <f>AC474-AC501</f>
        <v>272</v>
      </c>
      <c r="AD502" s="16">
        <f>AD474-AD501</f>
        <v>98</v>
      </c>
      <c r="AE502" s="17">
        <f t="shared" ref="AE502:AG502" si="701">AE474-AE501</f>
        <v>169</v>
      </c>
      <c r="AF502" s="17">
        <f t="shared" si="701"/>
        <v>95</v>
      </c>
      <c r="AG502" s="18">
        <f t="shared" si="701"/>
        <v>103</v>
      </c>
      <c r="AH502" s="44">
        <f>AH474-AH501</f>
        <v>465</v>
      </c>
      <c r="AI502" s="34">
        <f>X502+AC502+AH502</f>
        <v>1013</v>
      </c>
    </row>
    <row r="503" spans="1:36" x14ac:dyDescent="0.15">
      <c r="T503">
        <f>T502+B502</f>
        <v>101</v>
      </c>
      <c r="U503">
        <f t="shared" ref="U503:AI503" si="702">U502+C502</f>
        <v>103</v>
      </c>
      <c r="V503">
        <f t="shared" si="702"/>
        <v>57</v>
      </c>
      <c r="W503">
        <f t="shared" si="702"/>
        <v>24</v>
      </c>
      <c r="X503">
        <f t="shared" si="702"/>
        <v>285</v>
      </c>
      <c r="Y503">
        <f t="shared" si="702"/>
        <v>88</v>
      </c>
      <c r="Z503">
        <f t="shared" si="702"/>
        <v>90</v>
      </c>
      <c r="AA503">
        <f t="shared" si="702"/>
        <v>77</v>
      </c>
      <c r="AB503">
        <f t="shared" si="702"/>
        <v>28</v>
      </c>
      <c r="AC503">
        <f t="shared" si="702"/>
        <v>282</v>
      </c>
      <c r="AD503">
        <f t="shared" si="702"/>
        <v>98</v>
      </c>
      <c r="AE503">
        <f t="shared" si="702"/>
        <v>169</v>
      </c>
      <c r="AF503">
        <f t="shared" si="702"/>
        <v>95</v>
      </c>
      <c r="AG503">
        <f t="shared" si="702"/>
        <v>103</v>
      </c>
      <c r="AH503">
        <f t="shared" si="702"/>
        <v>465</v>
      </c>
      <c r="AI503">
        <f t="shared" si="702"/>
        <v>1032</v>
      </c>
    </row>
    <row r="505" spans="1:36" ht="19.5" thickBot="1" x14ac:dyDescent="0.25">
      <c r="A505" s="58" t="s">
        <v>1</v>
      </c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S505" s="58" t="s">
        <v>8</v>
      </c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75"/>
      <c r="AF505" s="75"/>
      <c r="AG505" s="75"/>
      <c r="AH505" s="59"/>
      <c r="AI505" s="59"/>
    </row>
    <row r="506" spans="1:36" ht="14.25" thickBot="1" x14ac:dyDescent="0.2">
      <c r="A506" s="52" t="s">
        <v>9</v>
      </c>
      <c r="B506" s="130" t="s">
        <v>10</v>
      </c>
      <c r="C506" s="131"/>
      <c r="D506" s="131"/>
      <c r="E506" s="131"/>
      <c r="F506" s="132"/>
      <c r="G506" s="133" t="s">
        <v>11</v>
      </c>
      <c r="H506" s="134"/>
      <c r="I506" s="134"/>
      <c r="J506" s="134"/>
      <c r="K506" s="135"/>
      <c r="L506" s="136" t="s">
        <v>131</v>
      </c>
      <c r="M506" s="137"/>
      <c r="N506" s="137"/>
      <c r="O506" s="137"/>
      <c r="P506" s="138"/>
      <c r="Q506" s="139" t="s">
        <v>7</v>
      </c>
      <c r="S506" s="52" t="s">
        <v>9</v>
      </c>
      <c r="T506" s="130" t="s">
        <v>10</v>
      </c>
      <c r="U506" s="131"/>
      <c r="V506" s="131"/>
      <c r="W506" s="131"/>
      <c r="X506" s="132"/>
      <c r="Y506" s="133" t="s">
        <v>11</v>
      </c>
      <c r="Z506" s="134"/>
      <c r="AA506" s="134"/>
      <c r="AB506" s="134"/>
      <c r="AC506" s="135"/>
      <c r="AD506" s="136" t="s">
        <v>131</v>
      </c>
      <c r="AE506" s="137"/>
      <c r="AF506" s="137"/>
      <c r="AG506" s="137"/>
      <c r="AH506" s="138"/>
      <c r="AI506" s="139" t="s">
        <v>7</v>
      </c>
    </row>
    <row r="507" spans="1:36" ht="14.25" thickBot="1" x14ac:dyDescent="0.2">
      <c r="A507" s="52" t="s">
        <v>2</v>
      </c>
      <c r="B507" s="2" t="s">
        <v>3</v>
      </c>
      <c r="C507" s="3" t="s">
        <v>4</v>
      </c>
      <c r="D507" s="3" t="s">
        <v>5</v>
      </c>
      <c r="E507" s="4" t="s">
        <v>6</v>
      </c>
      <c r="F507" s="1" t="s">
        <v>0</v>
      </c>
      <c r="G507" s="2" t="s">
        <v>3</v>
      </c>
      <c r="H507" s="3" t="s">
        <v>4</v>
      </c>
      <c r="I507" s="3" t="s">
        <v>5</v>
      </c>
      <c r="J507" s="4" t="s">
        <v>6</v>
      </c>
      <c r="K507" s="1" t="s">
        <v>0</v>
      </c>
      <c r="L507" s="2" t="s">
        <v>3</v>
      </c>
      <c r="M507" s="3" t="s">
        <v>4</v>
      </c>
      <c r="N507" s="3" t="s">
        <v>5</v>
      </c>
      <c r="O507" s="4" t="s">
        <v>6</v>
      </c>
      <c r="P507" s="1" t="s">
        <v>0</v>
      </c>
      <c r="Q507" s="140"/>
      <c r="S507" s="52" t="s">
        <v>2</v>
      </c>
      <c r="T507" s="2" t="s">
        <v>3</v>
      </c>
      <c r="U507" s="3" t="s">
        <v>4</v>
      </c>
      <c r="V507" s="3" t="s">
        <v>5</v>
      </c>
      <c r="W507" s="4" t="s">
        <v>6</v>
      </c>
      <c r="X507" s="1" t="s">
        <v>0</v>
      </c>
      <c r="Y507" s="2" t="s">
        <v>3</v>
      </c>
      <c r="Z507" s="3" t="s">
        <v>4</v>
      </c>
      <c r="AA507" s="3" t="s">
        <v>5</v>
      </c>
      <c r="AB507" s="4" t="s">
        <v>6</v>
      </c>
      <c r="AC507" s="1" t="s">
        <v>0</v>
      </c>
      <c r="AD507" s="2" t="s">
        <v>3</v>
      </c>
      <c r="AE507" s="3" t="s">
        <v>4</v>
      </c>
      <c r="AF507" s="3" t="s">
        <v>5</v>
      </c>
      <c r="AG507" s="4" t="s">
        <v>6</v>
      </c>
      <c r="AH507" s="1" t="s">
        <v>0</v>
      </c>
      <c r="AI507" s="140"/>
    </row>
    <row r="508" spans="1:36" ht="14.25" x14ac:dyDescent="0.15">
      <c r="A508" s="45" t="s">
        <v>16</v>
      </c>
      <c r="B508" s="32">
        <f>B502</f>
        <v>2</v>
      </c>
      <c r="C508" s="32">
        <f t="shared" ref="C508:P508" si="703">C502</f>
        <v>2</v>
      </c>
      <c r="D508" s="32">
        <f t="shared" si="703"/>
        <v>3</v>
      </c>
      <c r="E508" s="38">
        <f t="shared" si="703"/>
        <v>2</v>
      </c>
      <c r="F508" s="33">
        <f t="shared" si="703"/>
        <v>9</v>
      </c>
      <c r="G508" s="32">
        <f t="shared" si="703"/>
        <v>3</v>
      </c>
      <c r="H508" s="32">
        <f t="shared" si="703"/>
        <v>4</v>
      </c>
      <c r="I508" s="32">
        <f t="shared" si="703"/>
        <v>1</v>
      </c>
      <c r="J508" s="38">
        <f t="shared" si="703"/>
        <v>3</v>
      </c>
      <c r="K508" s="33">
        <f t="shared" si="703"/>
        <v>10</v>
      </c>
      <c r="L508" s="32">
        <f t="shared" si="703"/>
        <v>0</v>
      </c>
      <c r="M508" s="32">
        <f t="shared" si="703"/>
        <v>0</v>
      </c>
      <c r="N508" s="32">
        <f t="shared" si="703"/>
        <v>0</v>
      </c>
      <c r="O508" s="38">
        <f t="shared" si="703"/>
        <v>0</v>
      </c>
      <c r="P508" s="33">
        <f t="shared" si="703"/>
        <v>0</v>
      </c>
      <c r="Q508" s="33">
        <f>F508+K508+P508</f>
        <v>19</v>
      </c>
      <c r="S508" s="45" t="s">
        <v>16</v>
      </c>
      <c r="T508" s="32">
        <f>T502</f>
        <v>99</v>
      </c>
      <c r="U508" s="32">
        <f t="shared" ref="U508:AI508" si="704">U502</f>
        <v>101</v>
      </c>
      <c r="V508" s="32">
        <f t="shared" si="704"/>
        <v>54</v>
      </c>
      <c r="W508" s="38">
        <f t="shared" si="704"/>
        <v>22</v>
      </c>
      <c r="X508" s="33">
        <f t="shared" si="704"/>
        <v>276</v>
      </c>
      <c r="Y508" s="32">
        <f t="shared" si="704"/>
        <v>85</v>
      </c>
      <c r="Z508" s="32">
        <f t="shared" si="704"/>
        <v>86</v>
      </c>
      <c r="AA508" s="32">
        <f t="shared" si="704"/>
        <v>76</v>
      </c>
      <c r="AB508" s="38">
        <f t="shared" si="704"/>
        <v>25</v>
      </c>
      <c r="AC508" s="33">
        <f t="shared" si="704"/>
        <v>272</v>
      </c>
      <c r="AD508" s="32">
        <f t="shared" si="704"/>
        <v>98</v>
      </c>
      <c r="AE508" s="32">
        <f t="shared" si="704"/>
        <v>169</v>
      </c>
      <c r="AF508" s="32">
        <f t="shared" si="704"/>
        <v>95</v>
      </c>
      <c r="AG508" s="38">
        <f t="shared" si="704"/>
        <v>103</v>
      </c>
      <c r="AH508" s="33">
        <f t="shared" si="704"/>
        <v>465</v>
      </c>
      <c r="AI508" s="62">
        <f t="shared" si="704"/>
        <v>1013</v>
      </c>
    </row>
    <row r="509" spans="1:36" x14ac:dyDescent="0.15">
      <c r="A509" s="23" t="s">
        <v>17</v>
      </c>
      <c r="B509" s="104"/>
      <c r="C509" s="120"/>
      <c r="D509" s="120"/>
      <c r="E509" s="121"/>
      <c r="F509" s="105">
        <f t="shared" ref="F509:F512" si="705">SUM(B509:E509)</f>
        <v>0</v>
      </c>
      <c r="G509" s="104"/>
      <c r="H509" s="120"/>
      <c r="I509" s="120">
        <v>5</v>
      </c>
      <c r="J509" s="121"/>
      <c r="K509" s="105">
        <f t="shared" ref="K509:K512" si="706">SUM(G509:J509)</f>
        <v>5</v>
      </c>
      <c r="L509" s="104"/>
      <c r="M509" s="120"/>
      <c r="N509" s="120"/>
      <c r="O509" s="121"/>
      <c r="P509" s="105">
        <f t="shared" ref="P509:P512" si="707">SUM(L509:O509)</f>
        <v>0</v>
      </c>
      <c r="Q509" s="105">
        <f t="shared" ref="Q509:Q512" si="708">F509+K509+P509</f>
        <v>5</v>
      </c>
      <c r="R509" s="100">
        <v>46176</v>
      </c>
      <c r="S509" s="23" t="s">
        <v>17</v>
      </c>
      <c r="T509" s="25"/>
      <c r="U509" s="25"/>
      <c r="V509" s="25"/>
      <c r="W509" s="39"/>
      <c r="X509" s="22">
        <f t="shared" ref="X509:X515" si="709">SUM(T509:W509)</f>
        <v>0</v>
      </c>
      <c r="Y509" s="25"/>
      <c r="Z509" s="25"/>
      <c r="AA509" s="25"/>
      <c r="AB509" s="39"/>
      <c r="AC509" s="22">
        <f t="shared" ref="AC509:AC515" si="710">SUM(Y509:AB509)</f>
        <v>0</v>
      </c>
      <c r="AD509" s="25"/>
      <c r="AE509" s="25"/>
      <c r="AF509" s="25"/>
      <c r="AG509" s="39"/>
      <c r="AH509" s="22">
        <f t="shared" ref="AH509:AH515" si="711">SUM(AD509:AG509)</f>
        <v>0</v>
      </c>
      <c r="AI509" s="26">
        <f t="shared" ref="AI509:AI515" si="712">X509+AC509+AH509</f>
        <v>0</v>
      </c>
      <c r="AJ509" s="53"/>
    </row>
    <row r="510" spans="1:36" x14ac:dyDescent="0.15">
      <c r="A510" s="23" t="s">
        <v>17</v>
      </c>
      <c r="B510" s="25"/>
      <c r="C510" s="36"/>
      <c r="D510" s="36"/>
      <c r="E510" s="41"/>
      <c r="F510" s="26">
        <f t="shared" ref="F510" si="713">SUM(B510:E510)</f>
        <v>0</v>
      </c>
      <c r="G510" s="25"/>
      <c r="H510" s="36"/>
      <c r="I510" s="36"/>
      <c r="J510" s="41"/>
      <c r="K510" s="26">
        <f t="shared" ref="K510" si="714">SUM(G510:J510)</f>
        <v>0</v>
      </c>
      <c r="L510" s="25"/>
      <c r="M510" s="36"/>
      <c r="N510" s="36"/>
      <c r="O510" s="41"/>
      <c r="P510" s="26">
        <f t="shared" ref="P510" si="715">SUM(L510:O510)</f>
        <v>0</v>
      </c>
      <c r="Q510" s="26">
        <f t="shared" ref="Q510" si="716">F510+K510+P510</f>
        <v>0</v>
      </c>
      <c r="S510" s="23" t="s">
        <v>17</v>
      </c>
      <c r="T510" s="25"/>
      <c r="U510" s="25"/>
      <c r="V510" s="25"/>
      <c r="W510" s="39"/>
      <c r="X510" s="22">
        <f t="shared" si="709"/>
        <v>0</v>
      </c>
      <c r="Y510" s="25"/>
      <c r="Z510" s="25"/>
      <c r="AA510" s="25"/>
      <c r="AB510" s="39"/>
      <c r="AC510" s="22">
        <f t="shared" si="710"/>
        <v>0</v>
      </c>
      <c r="AD510" s="25"/>
      <c r="AE510" s="25"/>
      <c r="AF510" s="25"/>
      <c r="AG510" s="39"/>
      <c r="AH510" s="22">
        <f t="shared" si="711"/>
        <v>0</v>
      </c>
      <c r="AI510" s="26">
        <f t="shared" si="712"/>
        <v>0</v>
      </c>
      <c r="AJ510" s="53"/>
    </row>
    <row r="511" spans="1:36" x14ac:dyDescent="0.15">
      <c r="A511" s="23" t="s">
        <v>17</v>
      </c>
      <c r="B511" s="25"/>
      <c r="C511" s="36"/>
      <c r="D511" s="36"/>
      <c r="E511" s="41"/>
      <c r="F511" s="26">
        <f t="shared" si="705"/>
        <v>0</v>
      </c>
      <c r="G511" s="25"/>
      <c r="H511" s="36"/>
      <c r="I511" s="36"/>
      <c r="J511" s="41"/>
      <c r="K511" s="26">
        <f t="shared" si="706"/>
        <v>0</v>
      </c>
      <c r="L511" s="25"/>
      <c r="M511" s="36"/>
      <c r="N511" s="36"/>
      <c r="O511" s="41"/>
      <c r="P511" s="26">
        <f t="shared" si="707"/>
        <v>0</v>
      </c>
      <c r="Q511" s="26">
        <f t="shared" si="708"/>
        <v>0</v>
      </c>
      <c r="S511" s="23" t="s">
        <v>17</v>
      </c>
      <c r="T511" s="25"/>
      <c r="U511" s="25"/>
      <c r="V511" s="25"/>
      <c r="W511" s="39"/>
      <c r="X511" s="22">
        <f t="shared" si="709"/>
        <v>0</v>
      </c>
      <c r="Y511" s="25"/>
      <c r="Z511" s="25"/>
      <c r="AA511" s="25"/>
      <c r="AB511" s="39"/>
      <c r="AC511" s="22">
        <f t="shared" si="710"/>
        <v>0</v>
      </c>
      <c r="AD511" s="25"/>
      <c r="AE511" s="25"/>
      <c r="AF511" s="25"/>
      <c r="AG511" s="39"/>
      <c r="AH511" s="22">
        <f t="shared" si="711"/>
        <v>0</v>
      </c>
      <c r="AI511" s="26">
        <f t="shared" si="712"/>
        <v>0</v>
      </c>
      <c r="AJ511" s="53"/>
    </row>
    <row r="512" spans="1:36" x14ac:dyDescent="0.15">
      <c r="A512" s="23" t="s">
        <v>17</v>
      </c>
      <c r="B512" s="25"/>
      <c r="C512" s="36"/>
      <c r="D512" s="36"/>
      <c r="E512" s="41"/>
      <c r="F512" s="26">
        <f t="shared" si="705"/>
        <v>0</v>
      </c>
      <c r="G512" s="25"/>
      <c r="H512" s="36"/>
      <c r="I512" s="36"/>
      <c r="J512" s="41"/>
      <c r="K512" s="26">
        <f t="shared" si="706"/>
        <v>0</v>
      </c>
      <c r="L512" s="25"/>
      <c r="M512" s="36"/>
      <c r="N512" s="36"/>
      <c r="O512" s="41"/>
      <c r="P512" s="26">
        <f t="shared" si="707"/>
        <v>0</v>
      </c>
      <c r="Q512" s="26">
        <f t="shared" si="708"/>
        <v>0</v>
      </c>
      <c r="S512" s="23" t="s">
        <v>17</v>
      </c>
      <c r="T512" s="28"/>
      <c r="U512" s="28"/>
      <c r="V512" s="28"/>
      <c r="W512" s="40"/>
      <c r="X512" s="29">
        <f t="shared" si="709"/>
        <v>0</v>
      </c>
      <c r="Y512" s="28"/>
      <c r="Z512" s="28"/>
      <c r="AA512" s="28"/>
      <c r="AB512" s="40"/>
      <c r="AC512" s="29">
        <f t="shared" si="710"/>
        <v>0</v>
      </c>
      <c r="AD512" s="28"/>
      <c r="AE512" s="28"/>
      <c r="AF512" s="28"/>
      <c r="AG512" s="40"/>
      <c r="AH512" s="29">
        <f t="shared" si="711"/>
        <v>0</v>
      </c>
      <c r="AI512" s="26">
        <f t="shared" si="712"/>
        <v>0</v>
      </c>
      <c r="AJ512" s="53"/>
    </row>
    <row r="513" spans="1:36" x14ac:dyDescent="0.15">
      <c r="A513" s="23" t="s">
        <v>17</v>
      </c>
      <c r="B513" s="25"/>
      <c r="C513" s="36"/>
      <c r="D513" s="36"/>
      <c r="E513" s="41"/>
      <c r="F513" s="26">
        <f t="shared" ref="F513:F515" si="717">SUM(B513:E513)</f>
        <v>0</v>
      </c>
      <c r="G513" s="25"/>
      <c r="H513" s="36"/>
      <c r="I513" s="36"/>
      <c r="J513" s="41"/>
      <c r="K513" s="26">
        <f t="shared" ref="K513:K515" si="718">SUM(G513:J513)</f>
        <v>0</v>
      </c>
      <c r="L513" s="25"/>
      <c r="M513" s="36"/>
      <c r="N513" s="36"/>
      <c r="O513" s="41"/>
      <c r="P513" s="26">
        <f t="shared" ref="P513:P515" si="719">SUM(L513:O513)</f>
        <v>0</v>
      </c>
      <c r="Q513" s="26">
        <f t="shared" ref="Q513:Q544" si="720">F513+K513+P513</f>
        <v>0</v>
      </c>
      <c r="S513" s="23" t="s">
        <v>17</v>
      </c>
      <c r="T513" s="25"/>
      <c r="U513" s="36"/>
      <c r="V513" s="36"/>
      <c r="W513" s="41"/>
      <c r="X513" s="26">
        <f t="shared" si="709"/>
        <v>0</v>
      </c>
      <c r="Y513" s="25"/>
      <c r="Z513" s="36"/>
      <c r="AA513" s="36"/>
      <c r="AB513" s="41"/>
      <c r="AC513" s="26">
        <f t="shared" si="710"/>
        <v>0</v>
      </c>
      <c r="AD513" s="25"/>
      <c r="AE513" s="36"/>
      <c r="AF513" s="36"/>
      <c r="AG513" s="41"/>
      <c r="AH513" s="26">
        <f t="shared" si="711"/>
        <v>0</v>
      </c>
      <c r="AI513" s="26">
        <f t="shared" si="712"/>
        <v>0</v>
      </c>
      <c r="AJ513" s="53"/>
    </row>
    <row r="514" spans="1:36" x14ac:dyDescent="0.15">
      <c r="A514" s="23" t="s">
        <v>17</v>
      </c>
      <c r="B514" s="25"/>
      <c r="C514" s="36"/>
      <c r="D514" s="36"/>
      <c r="E514" s="41"/>
      <c r="F514" s="26">
        <f t="shared" si="717"/>
        <v>0</v>
      </c>
      <c r="G514" s="25"/>
      <c r="H514" s="36"/>
      <c r="I514" s="36"/>
      <c r="J514" s="41"/>
      <c r="K514" s="26">
        <f t="shared" si="718"/>
        <v>0</v>
      </c>
      <c r="L514" s="25"/>
      <c r="M514" s="36"/>
      <c r="N514" s="36"/>
      <c r="O514" s="41"/>
      <c r="P514" s="26">
        <f t="shared" si="719"/>
        <v>0</v>
      </c>
      <c r="Q514" s="26">
        <f t="shared" si="720"/>
        <v>0</v>
      </c>
      <c r="S514" s="23" t="s">
        <v>17</v>
      </c>
      <c r="T514" s="25"/>
      <c r="U514" s="36"/>
      <c r="V514" s="36"/>
      <c r="W514" s="41"/>
      <c r="X514" s="26">
        <f t="shared" si="709"/>
        <v>0</v>
      </c>
      <c r="Y514" s="25"/>
      <c r="Z514" s="36"/>
      <c r="AA514" s="36"/>
      <c r="AB514" s="41"/>
      <c r="AC514" s="26">
        <f t="shared" si="710"/>
        <v>0</v>
      </c>
      <c r="AD514" s="25"/>
      <c r="AE514" s="36"/>
      <c r="AF514" s="36"/>
      <c r="AG514" s="41"/>
      <c r="AH514" s="26">
        <f t="shared" si="711"/>
        <v>0</v>
      </c>
      <c r="AI514" s="26">
        <f t="shared" si="712"/>
        <v>0</v>
      </c>
    </row>
    <row r="515" spans="1:36" ht="14.25" thickBot="1" x14ac:dyDescent="0.2">
      <c r="A515" s="23" t="s">
        <v>17</v>
      </c>
      <c r="B515" s="28"/>
      <c r="C515" s="37"/>
      <c r="D515" s="37"/>
      <c r="E515" s="42"/>
      <c r="F515" s="43">
        <f t="shared" si="717"/>
        <v>0</v>
      </c>
      <c r="G515" s="28"/>
      <c r="H515" s="37"/>
      <c r="I515" s="37"/>
      <c r="J515" s="42"/>
      <c r="K515" s="43">
        <f t="shared" si="718"/>
        <v>0</v>
      </c>
      <c r="L515" s="28"/>
      <c r="M515" s="37"/>
      <c r="N515" s="37"/>
      <c r="O515" s="42"/>
      <c r="P515" s="43">
        <f t="shared" si="719"/>
        <v>0</v>
      </c>
      <c r="Q515" s="43">
        <f t="shared" si="720"/>
        <v>0</v>
      </c>
      <c r="S515" s="23" t="s">
        <v>17</v>
      </c>
      <c r="T515" s="28"/>
      <c r="U515" s="37"/>
      <c r="V515" s="37"/>
      <c r="W515" s="42"/>
      <c r="X515" s="43">
        <f t="shared" si="709"/>
        <v>0</v>
      </c>
      <c r="Y515" s="28"/>
      <c r="Z515" s="37"/>
      <c r="AA515" s="37"/>
      <c r="AB515" s="42"/>
      <c r="AC515" s="43">
        <f t="shared" si="710"/>
        <v>0</v>
      </c>
      <c r="AD515" s="28"/>
      <c r="AE515" s="37"/>
      <c r="AF515" s="37"/>
      <c r="AG515" s="42"/>
      <c r="AH515" s="43">
        <f t="shared" si="711"/>
        <v>0</v>
      </c>
      <c r="AI515" s="43">
        <f t="shared" si="712"/>
        <v>0</v>
      </c>
    </row>
    <row r="516" spans="1:36" ht="15" thickBot="1" x14ac:dyDescent="0.2">
      <c r="A516" s="46" t="s">
        <v>13</v>
      </c>
      <c r="B516" s="47">
        <f>SUM(B508:B515)</f>
        <v>2</v>
      </c>
      <c r="C516" s="48">
        <f t="shared" ref="C516:P516" si="721">SUM(C508:C515)</f>
        <v>2</v>
      </c>
      <c r="D516" s="48">
        <f t="shared" si="721"/>
        <v>3</v>
      </c>
      <c r="E516" s="49">
        <f t="shared" si="721"/>
        <v>2</v>
      </c>
      <c r="F516" s="34">
        <f t="shared" si="721"/>
        <v>9</v>
      </c>
      <c r="G516" s="47">
        <f t="shared" si="721"/>
        <v>3</v>
      </c>
      <c r="H516" s="48">
        <f t="shared" si="721"/>
        <v>4</v>
      </c>
      <c r="I516" s="48">
        <f t="shared" si="721"/>
        <v>6</v>
      </c>
      <c r="J516" s="49">
        <f t="shared" si="721"/>
        <v>3</v>
      </c>
      <c r="K516" s="34">
        <f t="shared" si="721"/>
        <v>15</v>
      </c>
      <c r="L516" s="47">
        <f t="shared" si="721"/>
        <v>0</v>
      </c>
      <c r="M516" s="48">
        <f t="shared" si="721"/>
        <v>0</v>
      </c>
      <c r="N516" s="48">
        <f t="shared" si="721"/>
        <v>0</v>
      </c>
      <c r="O516" s="49">
        <f t="shared" si="721"/>
        <v>0</v>
      </c>
      <c r="P516" s="34">
        <f t="shared" si="721"/>
        <v>0</v>
      </c>
      <c r="Q516" s="34">
        <f t="shared" si="720"/>
        <v>24</v>
      </c>
      <c r="S516" s="46" t="s">
        <v>13</v>
      </c>
      <c r="T516" s="47">
        <f>SUM(T508:T515)</f>
        <v>99</v>
      </c>
      <c r="U516" s="48">
        <f t="shared" ref="U516:W516" si="722">SUM(U508:U515)</f>
        <v>101</v>
      </c>
      <c r="V516" s="48">
        <f t="shared" si="722"/>
        <v>54</v>
      </c>
      <c r="W516" s="49">
        <f t="shared" si="722"/>
        <v>22</v>
      </c>
      <c r="X516" s="34">
        <f>SUM(X508:X515)</f>
        <v>276</v>
      </c>
      <c r="Y516" s="47">
        <f>SUM(Y508:Y515)</f>
        <v>85</v>
      </c>
      <c r="Z516" s="48">
        <f t="shared" ref="Z516:AB516" si="723">SUM(Z508:Z515)</f>
        <v>86</v>
      </c>
      <c r="AA516" s="48">
        <f t="shared" si="723"/>
        <v>76</v>
      </c>
      <c r="AB516" s="49">
        <f t="shared" si="723"/>
        <v>25</v>
      </c>
      <c r="AC516" s="34">
        <f>SUM(AC508:AC515)</f>
        <v>272</v>
      </c>
      <c r="AD516" s="47">
        <f>SUM(AD508:AD515)</f>
        <v>98</v>
      </c>
      <c r="AE516" s="48">
        <f t="shared" ref="AE516:AG516" si="724">SUM(AE508:AE515)</f>
        <v>169</v>
      </c>
      <c r="AF516" s="48">
        <f t="shared" si="724"/>
        <v>95</v>
      </c>
      <c r="AG516" s="49">
        <f t="shared" si="724"/>
        <v>103</v>
      </c>
      <c r="AH516" s="34">
        <f>SUM(AH508:AH515)</f>
        <v>465</v>
      </c>
      <c r="AI516" s="34">
        <f>X516+AC516+AH516</f>
        <v>1013</v>
      </c>
    </row>
    <row r="517" spans="1:36" x14ac:dyDescent="0.15">
      <c r="A517" s="35" t="s">
        <v>270</v>
      </c>
      <c r="B517" s="24"/>
      <c r="C517" s="25"/>
      <c r="D517" s="25"/>
      <c r="E517" s="25"/>
      <c r="F517" s="26">
        <f t="shared" ref="F517:F527" si="725">SUM(B517:E517)</f>
        <v>0</v>
      </c>
      <c r="G517" s="24"/>
      <c r="H517" s="25"/>
      <c r="I517" s="25">
        <v>1</v>
      </c>
      <c r="J517" s="25"/>
      <c r="K517" s="26">
        <f t="shared" ref="K517:K527" si="726">SUM(G517:J517)</f>
        <v>1</v>
      </c>
      <c r="L517" s="24"/>
      <c r="M517" s="25"/>
      <c r="N517" s="25"/>
      <c r="O517" s="25"/>
      <c r="P517" s="26">
        <f t="shared" ref="P517:P527" si="727">SUM(L517:O517)</f>
        <v>0</v>
      </c>
      <c r="Q517" s="26">
        <f t="shared" ref="Q517:Q527" si="728">F517+K517+P517</f>
        <v>1</v>
      </c>
      <c r="R517" s="100">
        <v>46143</v>
      </c>
      <c r="S517" s="101" t="s">
        <v>267</v>
      </c>
      <c r="T517" s="24"/>
      <c r="U517" s="25"/>
      <c r="V517" s="25"/>
      <c r="W517" s="25"/>
      <c r="X517" s="26">
        <f t="shared" ref="X517:X539" si="729">SUM(T517:W517)</f>
        <v>0</v>
      </c>
      <c r="Y517" s="24"/>
      <c r="Z517" s="25"/>
      <c r="AA517" s="25"/>
      <c r="AB517" s="25"/>
      <c r="AC517" s="26">
        <f t="shared" ref="AC517:AC539" si="730">SUM(Y517:AB517)</f>
        <v>0</v>
      </c>
      <c r="AD517" s="24"/>
      <c r="AE517" s="25">
        <v>4</v>
      </c>
      <c r="AF517" s="25"/>
      <c r="AG517" s="25"/>
      <c r="AH517" s="26">
        <f t="shared" ref="AH517:AH539" si="731">SUM(AD517:AG517)</f>
        <v>4</v>
      </c>
      <c r="AI517" s="26">
        <f t="shared" ref="AI517:AI539" si="732">X517+AC517+AH517</f>
        <v>4</v>
      </c>
      <c r="AJ517" s="64">
        <v>46155</v>
      </c>
    </row>
    <row r="518" spans="1:36" x14ac:dyDescent="0.15">
      <c r="A518" s="35" t="s">
        <v>37</v>
      </c>
      <c r="B518" s="24"/>
      <c r="C518" s="25"/>
      <c r="D518" s="25"/>
      <c r="E518" s="25"/>
      <c r="F518" s="26">
        <f t="shared" si="725"/>
        <v>0</v>
      </c>
      <c r="G518" s="24"/>
      <c r="H518" s="25"/>
      <c r="I518" s="25"/>
      <c r="J518" s="25">
        <v>1</v>
      </c>
      <c r="K518" s="26">
        <f t="shared" si="726"/>
        <v>1</v>
      </c>
      <c r="L518" s="24"/>
      <c r="M518" s="25"/>
      <c r="N518" s="25"/>
      <c r="O518" s="25"/>
      <c r="P518" s="26">
        <f t="shared" si="727"/>
        <v>0</v>
      </c>
      <c r="Q518" s="26">
        <f t="shared" si="728"/>
        <v>1</v>
      </c>
      <c r="R518" s="100">
        <v>46160</v>
      </c>
      <c r="S518" s="101" t="s">
        <v>268</v>
      </c>
      <c r="T518" s="24"/>
      <c r="U518" s="25"/>
      <c r="V518" s="25"/>
      <c r="W518" s="25"/>
      <c r="X518" s="26">
        <f t="shared" si="729"/>
        <v>0</v>
      </c>
      <c r="Y518" s="24"/>
      <c r="Z518" s="25"/>
      <c r="AA518" s="25">
        <v>1</v>
      </c>
      <c r="AB518" s="25"/>
      <c r="AC518" s="26">
        <f t="shared" si="730"/>
        <v>1</v>
      </c>
      <c r="AD518" s="24"/>
      <c r="AE518" s="25"/>
      <c r="AF518" s="25"/>
      <c r="AG518" s="25"/>
      <c r="AH518" s="26">
        <f t="shared" si="731"/>
        <v>0</v>
      </c>
      <c r="AI518" s="26">
        <f t="shared" si="732"/>
        <v>1</v>
      </c>
      <c r="AJ518" s="64">
        <v>46150</v>
      </c>
    </row>
    <row r="519" spans="1:36" x14ac:dyDescent="0.15">
      <c r="A519" s="35" t="s">
        <v>37</v>
      </c>
      <c r="B519" s="24"/>
      <c r="C519" s="25"/>
      <c r="D519" s="25"/>
      <c r="E519" s="25"/>
      <c r="F519" s="26">
        <f t="shared" si="725"/>
        <v>0</v>
      </c>
      <c r="G519" s="24"/>
      <c r="H519" s="25">
        <v>1</v>
      </c>
      <c r="I519" s="25"/>
      <c r="J519" s="25"/>
      <c r="K519" s="26">
        <f t="shared" si="726"/>
        <v>1</v>
      </c>
      <c r="L519" s="24"/>
      <c r="M519" s="25"/>
      <c r="N519" s="25"/>
      <c r="O519" s="25"/>
      <c r="P519" s="26">
        <f t="shared" si="727"/>
        <v>0</v>
      </c>
      <c r="Q519" s="26">
        <f t="shared" si="728"/>
        <v>1</v>
      </c>
      <c r="R519" s="100">
        <v>46167</v>
      </c>
      <c r="S519" s="101" t="s">
        <v>269</v>
      </c>
      <c r="T519" s="24"/>
      <c r="U519" s="25"/>
      <c r="V519" s="25"/>
      <c r="W519" s="25"/>
      <c r="X519" s="26">
        <f t="shared" si="729"/>
        <v>0</v>
      </c>
      <c r="Y519" s="24"/>
      <c r="Z519" s="25">
        <v>2</v>
      </c>
      <c r="AA519" s="25"/>
      <c r="AB519" s="25"/>
      <c r="AC519" s="26">
        <f t="shared" si="730"/>
        <v>2</v>
      </c>
      <c r="AD519" s="24"/>
      <c r="AE519" s="25"/>
      <c r="AF519" s="25"/>
      <c r="AG519" s="25"/>
      <c r="AH519" s="26">
        <f t="shared" si="731"/>
        <v>0</v>
      </c>
      <c r="AI519" s="26">
        <f t="shared" si="732"/>
        <v>2</v>
      </c>
      <c r="AJ519" s="64">
        <v>46150</v>
      </c>
    </row>
    <row r="520" spans="1:36" x14ac:dyDescent="0.15">
      <c r="A520" s="35" t="s">
        <v>37</v>
      </c>
      <c r="B520" s="24"/>
      <c r="C520" s="25"/>
      <c r="D520" s="25">
        <v>1</v>
      </c>
      <c r="E520" s="25"/>
      <c r="F520" s="26">
        <f t="shared" si="725"/>
        <v>1</v>
      </c>
      <c r="G520" s="24"/>
      <c r="H520" s="25"/>
      <c r="I520" s="25"/>
      <c r="J520" s="25">
        <v>1</v>
      </c>
      <c r="K520" s="26">
        <f t="shared" si="726"/>
        <v>1</v>
      </c>
      <c r="L520" s="24"/>
      <c r="M520" s="25"/>
      <c r="N520" s="25"/>
      <c r="O520" s="25"/>
      <c r="P520" s="26">
        <f t="shared" si="727"/>
        <v>0</v>
      </c>
      <c r="Q520" s="26">
        <f t="shared" si="728"/>
        <v>2</v>
      </c>
      <c r="R520" s="100">
        <v>46168</v>
      </c>
      <c r="S520" s="101" t="s">
        <v>271</v>
      </c>
      <c r="T520" s="24"/>
      <c r="U520" s="25"/>
      <c r="V520" s="25"/>
      <c r="W520" s="25"/>
      <c r="X520" s="26">
        <f t="shared" si="729"/>
        <v>0</v>
      </c>
      <c r="Y520" s="24"/>
      <c r="Z520" s="25"/>
      <c r="AA520" s="25"/>
      <c r="AB520" s="25"/>
      <c r="AC520" s="26">
        <f t="shared" si="730"/>
        <v>0</v>
      </c>
      <c r="AD520" s="24"/>
      <c r="AE520" s="25">
        <v>2</v>
      </c>
      <c r="AF520" s="25"/>
      <c r="AG520" s="25"/>
      <c r="AH520" s="26">
        <f t="shared" si="731"/>
        <v>2</v>
      </c>
      <c r="AI520" s="26">
        <f t="shared" si="732"/>
        <v>2</v>
      </c>
      <c r="AJ520" s="64">
        <v>46155</v>
      </c>
    </row>
    <row r="521" spans="1:36" x14ac:dyDescent="0.15">
      <c r="A521" s="35" t="s">
        <v>37</v>
      </c>
      <c r="B521" s="24"/>
      <c r="C521" s="25"/>
      <c r="D521" s="25"/>
      <c r="E521" s="25"/>
      <c r="F521" s="26">
        <f t="shared" si="725"/>
        <v>0</v>
      </c>
      <c r="G521" s="24"/>
      <c r="H521" s="25"/>
      <c r="I521" s="25">
        <v>1</v>
      </c>
      <c r="J521" s="25"/>
      <c r="K521" s="26">
        <f t="shared" si="726"/>
        <v>1</v>
      </c>
      <c r="L521" s="24"/>
      <c r="M521" s="25"/>
      <c r="N521" s="25"/>
      <c r="O521" s="25"/>
      <c r="P521" s="26">
        <f t="shared" si="727"/>
        <v>0</v>
      </c>
      <c r="Q521" s="26">
        <f t="shared" si="728"/>
        <v>1</v>
      </c>
      <c r="R521" s="100">
        <v>46171</v>
      </c>
      <c r="S521" s="118" t="s">
        <v>273</v>
      </c>
      <c r="T521" s="103"/>
      <c r="U521" s="104"/>
      <c r="V521" s="104"/>
      <c r="W521" s="104"/>
      <c r="X521" s="105">
        <f t="shared" si="729"/>
        <v>0</v>
      </c>
      <c r="Y521" s="103"/>
      <c r="Z521" s="104"/>
      <c r="AA521" s="104">
        <v>5</v>
      </c>
      <c r="AB521" s="104"/>
      <c r="AC521" s="105">
        <f t="shared" si="730"/>
        <v>5</v>
      </c>
      <c r="AD521" s="103"/>
      <c r="AE521" s="104"/>
      <c r="AF521" s="104"/>
      <c r="AG521" s="104"/>
      <c r="AH521" s="105">
        <f t="shared" si="731"/>
        <v>0</v>
      </c>
      <c r="AI521" s="105">
        <f t="shared" si="732"/>
        <v>5</v>
      </c>
      <c r="AJ521" s="100">
        <v>46163</v>
      </c>
    </row>
    <row r="522" spans="1:36" x14ac:dyDescent="0.15">
      <c r="A522" s="35" t="s">
        <v>37</v>
      </c>
      <c r="B522" s="24"/>
      <c r="C522" s="25"/>
      <c r="D522" s="25"/>
      <c r="E522" s="25"/>
      <c r="F522" s="26">
        <f t="shared" si="725"/>
        <v>0</v>
      </c>
      <c r="G522" s="24"/>
      <c r="H522" s="25"/>
      <c r="I522" s="25"/>
      <c r="J522" s="25">
        <v>1</v>
      </c>
      <c r="K522" s="26">
        <f t="shared" si="726"/>
        <v>1</v>
      </c>
      <c r="L522" s="24"/>
      <c r="M522" s="25"/>
      <c r="N522" s="25"/>
      <c r="O522" s="25"/>
      <c r="P522" s="26">
        <f t="shared" si="727"/>
        <v>0</v>
      </c>
      <c r="Q522" s="26">
        <f t="shared" si="728"/>
        <v>1</v>
      </c>
      <c r="R522" s="100">
        <v>46175</v>
      </c>
      <c r="S522" s="101" t="s">
        <v>274</v>
      </c>
      <c r="T522" s="24"/>
      <c r="U522" s="25"/>
      <c r="V522" s="25"/>
      <c r="W522" s="25"/>
      <c r="X522" s="26">
        <f t="shared" si="729"/>
        <v>0</v>
      </c>
      <c r="Y522" s="24"/>
      <c r="Z522" s="25"/>
      <c r="AA522" s="25"/>
      <c r="AB522" s="25"/>
      <c r="AC522" s="26">
        <f t="shared" si="730"/>
        <v>0</v>
      </c>
      <c r="AD522" s="24"/>
      <c r="AE522" s="25">
        <v>7</v>
      </c>
      <c r="AF522" s="25">
        <v>3</v>
      </c>
      <c r="AG522" s="25"/>
      <c r="AH522" s="26">
        <f t="shared" si="731"/>
        <v>10</v>
      </c>
      <c r="AI522" s="26">
        <f t="shared" si="732"/>
        <v>10</v>
      </c>
      <c r="AJ522" s="64">
        <v>46178</v>
      </c>
    </row>
    <row r="523" spans="1:36" x14ac:dyDescent="0.15">
      <c r="A523" s="35" t="s">
        <v>37</v>
      </c>
      <c r="B523" s="24"/>
      <c r="C523" s="25"/>
      <c r="D523" s="25">
        <v>1</v>
      </c>
      <c r="E523" s="25"/>
      <c r="F523" s="26">
        <f t="shared" si="725"/>
        <v>1</v>
      </c>
      <c r="G523" s="24"/>
      <c r="H523" s="25"/>
      <c r="I523" s="25"/>
      <c r="J523" s="25"/>
      <c r="K523" s="26">
        <f t="shared" si="726"/>
        <v>0</v>
      </c>
      <c r="L523" s="24"/>
      <c r="M523" s="25"/>
      <c r="N523" s="25"/>
      <c r="O523" s="25"/>
      <c r="P523" s="26">
        <f t="shared" si="727"/>
        <v>0</v>
      </c>
      <c r="Q523" s="26">
        <f t="shared" si="728"/>
        <v>1</v>
      </c>
      <c r="R523" s="100">
        <v>46189</v>
      </c>
      <c r="S523" s="101" t="s">
        <v>275</v>
      </c>
      <c r="T523" s="24"/>
      <c r="U523" s="25"/>
      <c r="V523" s="25"/>
      <c r="W523" s="25"/>
      <c r="X523" s="26">
        <f t="shared" si="729"/>
        <v>0</v>
      </c>
      <c r="Y523" s="24"/>
      <c r="Z523" s="25"/>
      <c r="AA523" s="25"/>
      <c r="AB523" s="25">
        <v>2</v>
      </c>
      <c r="AC523" s="26">
        <f t="shared" si="730"/>
        <v>2</v>
      </c>
      <c r="AD523" s="24"/>
      <c r="AE523" s="25">
        <v>3</v>
      </c>
      <c r="AF523" s="25"/>
      <c r="AG523" s="25"/>
      <c r="AH523" s="26">
        <f t="shared" si="731"/>
        <v>3</v>
      </c>
      <c r="AI523" s="26">
        <f t="shared" si="732"/>
        <v>5</v>
      </c>
      <c r="AJ523" s="64">
        <v>46178</v>
      </c>
    </row>
    <row r="524" spans="1:36" x14ac:dyDescent="0.15">
      <c r="A524" s="35" t="s">
        <v>37</v>
      </c>
      <c r="B524" s="24"/>
      <c r="C524" s="25"/>
      <c r="D524" s="25"/>
      <c r="E524" s="25"/>
      <c r="F524" s="26">
        <f t="shared" si="725"/>
        <v>0</v>
      </c>
      <c r="G524" s="24"/>
      <c r="H524" s="25"/>
      <c r="I524" s="25">
        <v>1</v>
      </c>
      <c r="J524" s="25"/>
      <c r="K524" s="26">
        <f t="shared" si="726"/>
        <v>1</v>
      </c>
      <c r="L524" s="24"/>
      <c r="M524" s="25"/>
      <c r="N524" s="25"/>
      <c r="O524" s="25"/>
      <c r="P524" s="26">
        <f t="shared" si="727"/>
        <v>0</v>
      </c>
      <c r="Q524" s="26">
        <f t="shared" si="728"/>
        <v>1</v>
      </c>
      <c r="R524" s="100">
        <v>46190</v>
      </c>
      <c r="S524" s="101" t="s">
        <v>276</v>
      </c>
      <c r="T524" s="24"/>
      <c r="U524" s="25"/>
      <c r="V524" s="25"/>
      <c r="W524" s="25"/>
      <c r="X524" s="26">
        <f t="shared" si="729"/>
        <v>0</v>
      </c>
      <c r="Y524" s="24"/>
      <c r="Z524" s="25">
        <v>7</v>
      </c>
      <c r="AA524" s="25"/>
      <c r="AB524" s="25"/>
      <c r="AC524" s="26">
        <f t="shared" si="730"/>
        <v>7</v>
      </c>
      <c r="AD524" s="24"/>
      <c r="AE524" s="25"/>
      <c r="AF524" s="25"/>
      <c r="AG524" s="25"/>
      <c r="AH524" s="26">
        <f t="shared" si="731"/>
        <v>0</v>
      </c>
      <c r="AI524" s="26">
        <f t="shared" si="732"/>
        <v>7</v>
      </c>
      <c r="AJ524" s="64">
        <v>46181</v>
      </c>
    </row>
    <row r="525" spans="1:36" x14ac:dyDescent="0.15">
      <c r="A525" s="35" t="s">
        <v>280</v>
      </c>
      <c r="B525" s="24">
        <v>1</v>
      </c>
      <c r="C525" s="25"/>
      <c r="D525" s="25"/>
      <c r="E525" s="25">
        <v>1</v>
      </c>
      <c r="F525" s="26">
        <f t="shared" si="725"/>
        <v>2</v>
      </c>
      <c r="G525" s="24"/>
      <c r="H525" s="25"/>
      <c r="I525" s="25">
        <v>2</v>
      </c>
      <c r="J525" s="25"/>
      <c r="K525" s="26">
        <f t="shared" si="726"/>
        <v>2</v>
      </c>
      <c r="L525" s="24"/>
      <c r="M525" s="25"/>
      <c r="N525" s="25"/>
      <c r="O525" s="25"/>
      <c r="P525" s="26">
        <f t="shared" si="727"/>
        <v>0</v>
      </c>
      <c r="Q525" s="26">
        <f t="shared" si="728"/>
        <v>4</v>
      </c>
      <c r="R525" s="100">
        <v>46217</v>
      </c>
      <c r="S525" s="101" t="s">
        <v>277</v>
      </c>
      <c r="T525" s="24"/>
      <c r="U525" s="25"/>
      <c r="V525" s="25"/>
      <c r="W525" s="25"/>
      <c r="X525" s="26">
        <f t="shared" ref="X525" si="733">SUM(T525:W525)</f>
        <v>0</v>
      </c>
      <c r="Y525" s="24"/>
      <c r="Z525" s="25"/>
      <c r="AA525" s="25"/>
      <c r="AB525" s="25">
        <v>8</v>
      </c>
      <c r="AC525" s="26">
        <f t="shared" ref="AC525" si="734">SUM(Y525:AB525)</f>
        <v>8</v>
      </c>
      <c r="AD525" s="24"/>
      <c r="AE525" s="25"/>
      <c r="AF525" s="25"/>
      <c r="AG525" s="25"/>
      <c r="AH525" s="26">
        <f t="shared" ref="AH525" si="735">SUM(AD525:AG525)</f>
        <v>0</v>
      </c>
      <c r="AI525" s="26">
        <f t="shared" ref="AI525" si="736">X525+AC525+AH525</f>
        <v>8</v>
      </c>
      <c r="AJ525" s="64">
        <v>46185</v>
      </c>
    </row>
    <row r="526" spans="1:36" x14ac:dyDescent="0.15">
      <c r="A526" s="35"/>
      <c r="B526" s="24"/>
      <c r="C526" s="25"/>
      <c r="D526" s="25"/>
      <c r="E526" s="25"/>
      <c r="F526" s="26">
        <f t="shared" si="725"/>
        <v>0</v>
      </c>
      <c r="G526" s="24"/>
      <c r="H526" s="25"/>
      <c r="I526" s="25"/>
      <c r="J526" s="25"/>
      <c r="K526" s="26">
        <f t="shared" si="726"/>
        <v>0</v>
      </c>
      <c r="L526" s="24"/>
      <c r="M526" s="25"/>
      <c r="N526" s="25"/>
      <c r="O526" s="25"/>
      <c r="P526" s="26">
        <f t="shared" si="727"/>
        <v>0</v>
      </c>
      <c r="Q526" s="26">
        <f t="shared" si="728"/>
        <v>0</v>
      </c>
      <c r="S526" s="101" t="s">
        <v>278</v>
      </c>
      <c r="T526" s="24"/>
      <c r="U526" s="25">
        <v>2</v>
      </c>
      <c r="V526" s="25"/>
      <c r="W526" s="25"/>
      <c r="X526" s="26">
        <f t="shared" si="729"/>
        <v>2</v>
      </c>
      <c r="Y526" s="24"/>
      <c r="Z526" s="25"/>
      <c r="AA526" s="25"/>
      <c r="AB526" s="25"/>
      <c r="AC526" s="26">
        <f t="shared" si="730"/>
        <v>0</v>
      </c>
      <c r="AD526" s="24"/>
      <c r="AE526" s="25"/>
      <c r="AF526" s="25"/>
      <c r="AG526" s="25"/>
      <c r="AH526" s="26">
        <f t="shared" si="731"/>
        <v>0</v>
      </c>
      <c r="AI526" s="26">
        <f t="shared" si="732"/>
        <v>2</v>
      </c>
      <c r="AJ526" s="64">
        <v>46192</v>
      </c>
    </row>
    <row r="527" spans="1:36" x14ac:dyDescent="0.15">
      <c r="A527" s="35"/>
      <c r="B527" s="24"/>
      <c r="C527" s="25"/>
      <c r="D527" s="25"/>
      <c r="E527" s="25"/>
      <c r="F527" s="26">
        <f t="shared" si="725"/>
        <v>0</v>
      </c>
      <c r="G527" s="24"/>
      <c r="H527" s="25"/>
      <c r="I527" s="25"/>
      <c r="J527" s="25"/>
      <c r="K527" s="26">
        <f t="shared" si="726"/>
        <v>0</v>
      </c>
      <c r="L527" s="24"/>
      <c r="M527" s="25"/>
      <c r="N527" s="25"/>
      <c r="O527" s="25"/>
      <c r="P527" s="26">
        <f t="shared" si="727"/>
        <v>0</v>
      </c>
      <c r="Q527" s="26">
        <f t="shared" si="728"/>
        <v>0</v>
      </c>
      <c r="S527" s="101" t="s">
        <v>279</v>
      </c>
      <c r="T527" s="24"/>
      <c r="U527" s="25"/>
      <c r="V527" s="25"/>
      <c r="W527" s="25"/>
      <c r="X527" s="26">
        <f t="shared" si="729"/>
        <v>0</v>
      </c>
      <c r="Y527" s="24"/>
      <c r="Z527" s="25"/>
      <c r="AA527" s="25">
        <v>2</v>
      </c>
      <c r="AB527" s="25"/>
      <c r="AC527" s="26">
        <f t="shared" si="730"/>
        <v>2</v>
      </c>
      <c r="AD527" s="24"/>
      <c r="AE527" s="25"/>
      <c r="AF527" s="25"/>
      <c r="AG527" s="25"/>
      <c r="AH527" s="26">
        <f t="shared" si="731"/>
        <v>0</v>
      </c>
      <c r="AI527" s="26">
        <f t="shared" si="732"/>
        <v>2</v>
      </c>
      <c r="AJ527" s="64">
        <v>46192</v>
      </c>
    </row>
    <row r="528" spans="1:36" x14ac:dyDescent="0.15">
      <c r="A528" s="35"/>
      <c r="B528" s="24"/>
      <c r="C528" s="25"/>
      <c r="D528" s="25"/>
      <c r="E528" s="25"/>
      <c r="F528" s="26">
        <f t="shared" ref="F528:F542" si="737">SUM(B528:E528)</f>
        <v>0</v>
      </c>
      <c r="G528" s="24"/>
      <c r="H528" s="25"/>
      <c r="I528" s="25"/>
      <c r="J528" s="25"/>
      <c r="K528" s="26">
        <f t="shared" ref="K528:K542" si="738">SUM(G528:J528)</f>
        <v>0</v>
      </c>
      <c r="L528" s="24"/>
      <c r="M528" s="25"/>
      <c r="N528" s="25"/>
      <c r="O528" s="25"/>
      <c r="P528" s="26">
        <f t="shared" ref="P528:P542" si="739">SUM(L528:O528)</f>
        <v>0</v>
      </c>
      <c r="Q528" s="26">
        <f t="shared" si="720"/>
        <v>0</v>
      </c>
      <c r="S528" s="35"/>
      <c r="T528" s="24"/>
      <c r="U528" s="25"/>
      <c r="V528" s="25"/>
      <c r="W528" s="25"/>
      <c r="X528" s="26">
        <f t="shared" si="729"/>
        <v>0</v>
      </c>
      <c r="Y528" s="24"/>
      <c r="Z528" s="25"/>
      <c r="AA528" s="25"/>
      <c r="AB528" s="25"/>
      <c r="AC528" s="26">
        <f t="shared" si="730"/>
        <v>0</v>
      </c>
      <c r="AD528" s="24"/>
      <c r="AE528" s="25"/>
      <c r="AF528" s="25"/>
      <c r="AG528" s="25"/>
      <c r="AH528" s="26">
        <f t="shared" si="731"/>
        <v>0</v>
      </c>
      <c r="AI528" s="26">
        <f t="shared" si="732"/>
        <v>0</v>
      </c>
      <c r="AJ528" s="64"/>
    </row>
    <row r="529" spans="1:36" x14ac:dyDescent="0.15">
      <c r="A529" s="35"/>
      <c r="B529" s="24"/>
      <c r="C529" s="25"/>
      <c r="D529" s="25"/>
      <c r="E529" s="25"/>
      <c r="F529" s="26">
        <f t="shared" si="737"/>
        <v>0</v>
      </c>
      <c r="G529" s="24"/>
      <c r="H529" s="25"/>
      <c r="I529" s="25"/>
      <c r="J529" s="25"/>
      <c r="K529" s="26">
        <f t="shared" si="738"/>
        <v>0</v>
      </c>
      <c r="L529" s="24"/>
      <c r="M529" s="25"/>
      <c r="N529" s="25"/>
      <c r="O529" s="25"/>
      <c r="P529" s="26">
        <f t="shared" si="739"/>
        <v>0</v>
      </c>
      <c r="Q529" s="26">
        <f t="shared" si="720"/>
        <v>0</v>
      </c>
      <c r="S529" s="35"/>
      <c r="T529" s="24"/>
      <c r="U529" s="25"/>
      <c r="V529" s="25"/>
      <c r="W529" s="25"/>
      <c r="X529" s="26">
        <f t="shared" si="729"/>
        <v>0</v>
      </c>
      <c r="Y529" s="24"/>
      <c r="Z529" s="25"/>
      <c r="AA529" s="25"/>
      <c r="AB529" s="25"/>
      <c r="AC529" s="26">
        <f t="shared" si="730"/>
        <v>0</v>
      </c>
      <c r="AD529" s="24"/>
      <c r="AE529" s="25"/>
      <c r="AF529" s="25"/>
      <c r="AG529" s="25"/>
      <c r="AH529" s="26">
        <f t="shared" si="731"/>
        <v>0</v>
      </c>
      <c r="AI529" s="26">
        <f t="shared" si="732"/>
        <v>0</v>
      </c>
      <c r="AJ529" s="64"/>
    </row>
    <row r="530" spans="1:36" x14ac:dyDescent="0.15">
      <c r="A530" s="35"/>
      <c r="B530" s="24"/>
      <c r="C530" s="25"/>
      <c r="D530" s="25"/>
      <c r="E530" s="25"/>
      <c r="F530" s="26">
        <f t="shared" si="737"/>
        <v>0</v>
      </c>
      <c r="G530" s="24"/>
      <c r="H530" s="25"/>
      <c r="I530" s="25"/>
      <c r="J530" s="25"/>
      <c r="K530" s="26">
        <f t="shared" si="738"/>
        <v>0</v>
      </c>
      <c r="L530" s="24"/>
      <c r="M530" s="25"/>
      <c r="N530" s="25"/>
      <c r="O530" s="25"/>
      <c r="P530" s="26">
        <f t="shared" si="739"/>
        <v>0</v>
      </c>
      <c r="Q530" s="26">
        <f t="shared" si="720"/>
        <v>0</v>
      </c>
      <c r="S530" s="35"/>
      <c r="T530" s="24"/>
      <c r="U530" s="25"/>
      <c r="V530" s="25"/>
      <c r="W530" s="25"/>
      <c r="X530" s="26">
        <f t="shared" si="729"/>
        <v>0</v>
      </c>
      <c r="Y530" s="24"/>
      <c r="Z530" s="25"/>
      <c r="AA530" s="25"/>
      <c r="AB530" s="25"/>
      <c r="AC530" s="26">
        <f t="shared" si="730"/>
        <v>0</v>
      </c>
      <c r="AD530" s="24"/>
      <c r="AE530" s="25"/>
      <c r="AF530" s="25"/>
      <c r="AG530" s="25"/>
      <c r="AH530" s="26">
        <f t="shared" si="731"/>
        <v>0</v>
      </c>
      <c r="AI530" s="26">
        <f t="shared" si="732"/>
        <v>0</v>
      </c>
      <c r="AJ530" s="64"/>
    </row>
    <row r="531" spans="1:36" x14ac:dyDescent="0.15">
      <c r="A531" s="35"/>
      <c r="B531" s="24"/>
      <c r="C531" s="25"/>
      <c r="D531" s="25"/>
      <c r="E531" s="25"/>
      <c r="F531" s="26">
        <f t="shared" si="737"/>
        <v>0</v>
      </c>
      <c r="G531" s="24"/>
      <c r="H531" s="25"/>
      <c r="I531" s="25"/>
      <c r="J531" s="25"/>
      <c r="K531" s="26">
        <f t="shared" si="738"/>
        <v>0</v>
      </c>
      <c r="L531" s="24"/>
      <c r="M531" s="25"/>
      <c r="N531" s="25"/>
      <c r="O531" s="25"/>
      <c r="P531" s="26">
        <f t="shared" si="739"/>
        <v>0</v>
      </c>
      <c r="Q531" s="26">
        <f t="shared" si="720"/>
        <v>0</v>
      </c>
      <c r="S531" s="35"/>
      <c r="T531" s="24"/>
      <c r="U531" s="25"/>
      <c r="V531" s="25"/>
      <c r="W531" s="25"/>
      <c r="X531" s="26">
        <f t="shared" si="729"/>
        <v>0</v>
      </c>
      <c r="Y531" s="24"/>
      <c r="Z531" s="25"/>
      <c r="AA531" s="25"/>
      <c r="AB531" s="25"/>
      <c r="AC531" s="26">
        <f t="shared" si="730"/>
        <v>0</v>
      </c>
      <c r="AD531" s="24"/>
      <c r="AE531" s="25"/>
      <c r="AF531" s="25"/>
      <c r="AG531" s="25"/>
      <c r="AH531" s="26">
        <f t="shared" si="731"/>
        <v>0</v>
      </c>
      <c r="AI531" s="26">
        <f t="shared" si="732"/>
        <v>0</v>
      </c>
      <c r="AJ531" s="64"/>
    </row>
    <row r="532" spans="1:36" x14ac:dyDescent="0.15">
      <c r="A532" s="35"/>
      <c r="B532" s="24"/>
      <c r="C532" s="25"/>
      <c r="D532" s="25"/>
      <c r="E532" s="25"/>
      <c r="F532" s="26">
        <f t="shared" si="737"/>
        <v>0</v>
      </c>
      <c r="G532" s="24"/>
      <c r="H532" s="25"/>
      <c r="I532" s="25"/>
      <c r="J532" s="25"/>
      <c r="K532" s="26">
        <f t="shared" si="738"/>
        <v>0</v>
      </c>
      <c r="L532" s="24"/>
      <c r="M532" s="25"/>
      <c r="N532" s="25"/>
      <c r="O532" s="25"/>
      <c r="P532" s="26">
        <f t="shared" si="739"/>
        <v>0</v>
      </c>
      <c r="Q532" s="26">
        <f t="shared" si="720"/>
        <v>0</v>
      </c>
      <c r="S532" s="35"/>
      <c r="T532" s="24"/>
      <c r="U532" s="25"/>
      <c r="V532" s="25"/>
      <c r="W532" s="25"/>
      <c r="X532" s="26">
        <f t="shared" si="729"/>
        <v>0</v>
      </c>
      <c r="Y532" s="24"/>
      <c r="Z532" s="25"/>
      <c r="AA532" s="25"/>
      <c r="AB532" s="25"/>
      <c r="AC532" s="26">
        <f t="shared" si="730"/>
        <v>0</v>
      </c>
      <c r="AD532" s="24"/>
      <c r="AE532" s="25"/>
      <c r="AF532" s="25"/>
      <c r="AG532" s="25"/>
      <c r="AH532" s="26">
        <f t="shared" si="731"/>
        <v>0</v>
      </c>
      <c r="AI532" s="26">
        <f t="shared" si="732"/>
        <v>0</v>
      </c>
      <c r="AJ532" s="64"/>
    </row>
    <row r="533" spans="1:36" x14ac:dyDescent="0.15">
      <c r="A533" s="35"/>
      <c r="B533" s="24"/>
      <c r="C533" s="25"/>
      <c r="D533" s="25"/>
      <c r="E533" s="25"/>
      <c r="F533" s="26">
        <f t="shared" si="737"/>
        <v>0</v>
      </c>
      <c r="G533" s="24"/>
      <c r="H533" s="25"/>
      <c r="I533" s="25"/>
      <c r="J533" s="25"/>
      <c r="K533" s="26">
        <f t="shared" si="738"/>
        <v>0</v>
      </c>
      <c r="L533" s="24"/>
      <c r="M533" s="25"/>
      <c r="N533" s="25"/>
      <c r="O533" s="25"/>
      <c r="P533" s="26">
        <f t="shared" si="739"/>
        <v>0</v>
      </c>
      <c r="Q533" s="26">
        <f t="shared" si="720"/>
        <v>0</v>
      </c>
      <c r="S533" s="35"/>
      <c r="T533" s="24"/>
      <c r="U533" s="25"/>
      <c r="V533" s="25"/>
      <c r="W533" s="25"/>
      <c r="X533" s="26">
        <f t="shared" si="729"/>
        <v>0</v>
      </c>
      <c r="Y533" s="24"/>
      <c r="Z533" s="25"/>
      <c r="AA533" s="25"/>
      <c r="AB533" s="25"/>
      <c r="AC533" s="26">
        <f t="shared" si="730"/>
        <v>0</v>
      </c>
      <c r="AD533" s="24"/>
      <c r="AE533" s="25"/>
      <c r="AF533" s="25"/>
      <c r="AG533" s="25"/>
      <c r="AH533" s="26">
        <f t="shared" si="731"/>
        <v>0</v>
      </c>
      <c r="AI533" s="26">
        <f t="shared" si="732"/>
        <v>0</v>
      </c>
      <c r="AJ533" s="64"/>
    </row>
    <row r="534" spans="1:36" x14ac:dyDescent="0.15">
      <c r="A534" s="35"/>
      <c r="B534" s="24"/>
      <c r="C534" s="25"/>
      <c r="D534" s="25"/>
      <c r="E534" s="25"/>
      <c r="F534" s="26">
        <f t="shared" si="737"/>
        <v>0</v>
      </c>
      <c r="G534" s="24"/>
      <c r="H534" s="25"/>
      <c r="I534" s="25"/>
      <c r="J534" s="25"/>
      <c r="K534" s="26">
        <f t="shared" si="738"/>
        <v>0</v>
      </c>
      <c r="L534" s="24"/>
      <c r="M534" s="25"/>
      <c r="N534" s="25"/>
      <c r="O534" s="25"/>
      <c r="P534" s="26">
        <f t="shared" si="739"/>
        <v>0</v>
      </c>
      <c r="Q534" s="26">
        <f t="shared" si="720"/>
        <v>0</v>
      </c>
      <c r="S534" s="35"/>
      <c r="T534" s="24"/>
      <c r="U534" s="25"/>
      <c r="V534" s="25"/>
      <c r="W534" s="25"/>
      <c r="X534" s="26">
        <f t="shared" si="729"/>
        <v>0</v>
      </c>
      <c r="Y534" s="24"/>
      <c r="Z534" s="25"/>
      <c r="AA534" s="25"/>
      <c r="AB534" s="25"/>
      <c r="AC534" s="26">
        <f t="shared" si="730"/>
        <v>0</v>
      </c>
      <c r="AD534" s="24"/>
      <c r="AE534" s="25"/>
      <c r="AF534" s="25"/>
      <c r="AG534" s="25"/>
      <c r="AH534" s="26">
        <f t="shared" si="731"/>
        <v>0</v>
      </c>
      <c r="AI534" s="26">
        <f t="shared" si="732"/>
        <v>0</v>
      </c>
      <c r="AJ534" s="64"/>
    </row>
    <row r="535" spans="1:36" x14ac:dyDescent="0.15">
      <c r="A535" s="35"/>
      <c r="B535" s="24"/>
      <c r="C535" s="25"/>
      <c r="D535" s="25"/>
      <c r="E535" s="25"/>
      <c r="F535" s="26">
        <f t="shared" si="737"/>
        <v>0</v>
      </c>
      <c r="G535" s="24"/>
      <c r="H535" s="25"/>
      <c r="I535" s="25"/>
      <c r="J535" s="25"/>
      <c r="K535" s="26">
        <f t="shared" si="738"/>
        <v>0</v>
      </c>
      <c r="L535" s="24"/>
      <c r="M535" s="25"/>
      <c r="N535" s="25"/>
      <c r="O535" s="25"/>
      <c r="P535" s="26">
        <f t="shared" si="739"/>
        <v>0</v>
      </c>
      <c r="Q535" s="26">
        <f t="shared" si="720"/>
        <v>0</v>
      </c>
      <c r="S535" s="35"/>
      <c r="T535" s="24"/>
      <c r="U535" s="25"/>
      <c r="V535" s="25"/>
      <c r="W535" s="25"/>
      <c r="X535" s="26">
        <f t="shared" si="729"/>
        <v>0</v>
      </c>
      <c r="Y535" s="24"/>
      <c r="Z535" s="25"/>
      <c r="AA535" s="25"/>
      <c r="AB535" s="25"/>
      <c r="AC535" s="26">
        <f t="shared" si="730"/>
        <v>0</v>
      </c>
      <c r="AD535" s="24"/>
      <c r="AE535" s="25"/>
      <c r="AF535" s="25"/>
      <c r="AG535" s="25"/>
      <c r="AH535" s="26">
        <f t="shared" si="731"/>
        <v>0</v>
      </c>
      <c r="AI535" s="26">
        <f t="shared" si="732"/>
        <v>0</v>
      </c>
      <c r="AJ535" s="64"/>
    </row>
    <row r="536" spans="1:36" x14ac:dyDescent="0.15">
      <c r="A536" s="35"/>
      <c r="B536" s="24"/>
      <c r="C536" s="25"/>
      <c r="D536" s="25"/>
      <c r="E536" s="25"/>
      <c r="F536" s="26">
        <f t="shared" si="737"/>
        <v>0</v>
      </c>
      <c r="G536" s="24"/>
      <c r="H536" s="25"/>
      <c r="I536" s="25"/>
      <c r="J536" s="25"/>
      <c r="K536" s="26">
        <f t="shared" si="738"/>
        <v>0</v>
      </c>
      <c r="L536" s="24"/>
      <c r="M536" s="25"/>
      <c r="N536" s="25"/>
      <c r="O536" s="25"/>
      <c r="P536" s="26">
        <f t="shared" si="739"/>
        <v>0</v>
      </c>
      <c r="Q536" s="26">
        <f t="shared" si="720"/>
        <v>0</v>
      </c>
      <c r="S536" s="35"/>
      <c r="T536" s="24"/>
      <c r="U536" s="25"/>
      <c r="V536" s="25"/>
      <c r="W536" s="25"/>
      <c r="X536" s="26">
        <f t="shared" si="729"/>
        <v>0</v>
      </c>
      <c r="Y536" s="24"/>
      <c r="Z536" s="25"/>
      <c r="AA536" s="25"/>
      <c r="AB536" s="25"/>
      <c r="AC536" s="26">
        <f t="shared" si="730"/>
        <v>0</v>
      </c>
      <c r="AD536" s="24"/>
      <c r="AE536" s="25"/>
      <c r="AF536" s="25"/>
      <c r="AG536" s="25"/>
      <c r="AH536" s="26">
        <f t="shared" si="731"/>
        <v>0</v>
      </c>
      <c r="AI536" s="26">
        <f t="shared" si="732"/>
        <v>0</v>
      </c>
      <c r="AJ536" s="64"/>
    </row>
    <row r="537" spans="1:36" x14ac:dyDescent="0.15">
      <c r="A537" s="35"/>
      <c r="B537" s="24"/>
      <c r="C537" s="25"/>
      <c r="D537" s="25"/>
      <c r="E537" s="25"/>
      <c r="F537" s="26">
        <f t="shared" si="737"/>
        <v>0</v>
      </c>
      <c r="G537" s="24"/>
      <c r="H537" s="25"/>
      <c r="I537" s="25"/>
      <c r="J537" s="25"/>
      <c r="K537" s="26">
        <f t="shared" si="738"/>
        <v>0</v>
      </c>
      <c r="L537" s="24"/>
      <c r="M537" s="25"/>
      <c r="N537" s="25"/>
      <c r="O537" s="25"/>
      <c r="P537" s="26">
        <f t="shared" si="739"/>
        <v>0</v>
      </c>
      <c r="Q537" s="26">
        <f t="shared" si="720"/>
        <v>0</v>
      </c>
      <c r="S537" s="35"/>
      <c r="T537" s="24"/>
      <c r="U537" s="25"/>
      <c r="V537" s="25"/>
      <c r="W537" s="25"/>
      <c r="X537" s="26">
        <f t="shared" si="729"/>
        <v>0</v>
      </c>
      <c r="Y537" s="24"/>
      <c r="Z537" s="25"/>
      <c r="AA537" s="25"/>
      <c r="AB537" s="25"/>
      <c r="AC537" s="26">
        <f t="shared" si="730"/>
        <v>0</v>
      </c>
      <c r="AD537" s="24"/>
      <c r="AE537" s="25"/>
      <c r="AF537" s="25"/>
      <c r="AG537" s="25"/>
      <c r="AH537" s="26">
        <f t="shared" si="731"/>
        <v>0</v>
      </c>
      <c r="AI537" s="26">
        <f t="shared" si="732"/>
        <v>0</v>
      </c>
      <c r="AJ537" s="64"/>
    </row>
    <row r="538" spans="1:36" x14ac:dyDescent="0.15">
      <c r="A538" s="35"/>
      <c r="B538" s="24"/>
      <c r="C538" s="25"/>
      <c r="D538" s="25"/>
      <c r="E538" s="25"/>
      <c r="F538" s="26">
        <f t="shared" si="737"/>
        <v>0</v>
      </c>
      <c r="G538" s="24"/>
      <c r="H538" s="25"/>
      <c r="I538" s="25"/>
      <c r="J538" s="25"/>
      <c r="K538" s="26">
        <f t="shared" si="738"/>
        <v>0</v>
      </c>
      <c r="L538" s="24"/>
      <c r="M538" s="25"/>
      <c r="N538" s="25"/>
      <c r="O538" s="25"/>
      <c r="P538" s="26">
        <f t="shared" si="739"/>
        <v>0</v>
      </c>
      <c r="Q538" s="26">
        <f t="shared" si="720"/>
        <v>0</v>
      </c>
      <c r="S538" s="35"/>
      <c r="T538" s="24"/>
      <c r="U538" s="25"/>
      <c r="V538" s="25"/>
      <c r="W538" s="25"/>
      <c r="X538" s="26">
        <f t="shared" si="729"/>
        <v>0</v>
      </c>
      <c r="Y538" s="24"/>
      <c r="Z538" s="25"/>
      <c r="AA538" s="25"/>
      <c r="AB538" s="25"/>
      <c r="AC538" s="26">
        <f t="shared" si="730"/>
        <v>0</v>
      </c>
      <c r="AD538" s="24"/>
      <c r="AE538" s="25"/>
      <c r="AF538" s="25"/>
      <c r="AG538" s="25"/>
      <c r="AH538" s="26">
        <f t="shared" si="731"/>
        <v>0</v>
      </c>
      <c r="AI538" s="26">
        <f t="shared" si="732"/>
        <v>0</v>
      </c>
      <c r="AJ538" s="64"/>
    </row>
    <row r="539" spans="1:36" x14ac:dyDescent="0.15">
      <c r="A539" s="35"/>
      <c r="B539" s="24"/>
      <c r="C539" s="25"/>
      <c r="D539" s="25"/>
      <c r="E539" s="25"/>
      <c r="F539" s="26">
        <f t="shared" si="737"/>
        <v>0</v>
      </c>
      <c r="G539" s="24"/>
      <c r="H539" s="25"/>
      <c r="I539" s="25"/>
      <c r="J539" s="25"/>
      <c r="K539" s="26">
        <f t="shared" si="738"/>
        <v>0</v>
      </c>
      <c r="L539" s="24"/>
      <c r="M539" s="25"/>
      <c r="N539" s="25"/>
      <c r="O539" s="25"/>
      <c r="P539" s="26">
        <f t="shared" si="739"/>
        <v>0</v>
      </c>
      <c r="Q539" s="26">
        <f t="shared" si="720"/>
        <v>0</v>
      </c>
      <c r="S539" s="35"/>
      <c r="T539" s="24"/>
      <c r="U539" s="25"/>
      <c r="V539" s="25"/>
      <c r="W539" s="25"/>
      <c r="X539" s="26">
        <f t="shared" si="729"/>
        <v>0</v>
      </c>
      <c r="Y539" s="24"/>
      <c r="Z539" s="25"/>
      <c r="AA539" s="25"/>
      <c r="AB539" s="25"/>
      <c r="AC539" s="26">
        <f t="shared" si="730"/>
        <v>0</v>
      </c>
      <c r="AD539" s="24"/>
      <c r="AE539" s="25"/>
      <c r="AF539" s="25"/>
      <c r="AG539" s="25"/>
      <c r="AH539" s="26">
        <f t="shared" si="731"/>
        <v>0</v>
      </c>
      <c r="AI539" s="26">
        <f t="shared" si="732"/>
        <v>0</v>
      </c>
      <c r="AJ539" s="64"/>
    </row>
    <row r="540" spans="1:36" x14ac:dyDescent="0.15">
      <c r="A540" s="35"/>
      <c r="B540" s="24"/>
      <c r="C540" s="25"/>
      <c r="D540" s="25"/>
      <c r="E540" s="25"/>
      <c r="F540" s="26">
        <f t="shared" si="737"/>
        <v>0</v>
      </c>
      <c r="G540" s="24"/>
      <c r="H540" s="25"/>
      <c r="I540" s="25"/>
      <c r="J540" s="25"/>
      <c r="K540" s="26">
        <f t="shared" si="738"/>
        <v>0</v>
      </c>
      <c r="L540" s="24"/>
      <c r="M540" s="25"/>
      <c r="N540" s="25"/>
      <c r="O540" s="25"/>
      <c r="P540" s="26">
        <f t="shared" si="739"/>
        <v>0</v>
      </c>
      <c r="Q540" s="26">
        <f t="shared" si="720"/>
        <v>0</v>
      </c>
      <c r="S540" s="35"/>
      <c r="T540" s="24"/>
      <c r="U540" s="25"/>
      <c r="V540" s="25"/>
      <c r="W540" s="25"/>
      <c r="X540" s="26">
        <f t="shared" ref="X540:X542" si="740">SUM(T540:W540)</f>
        <v>0</v>
      </c>
      <c r="Y540" s="24"/>
      <c r="Z540" s="25"/>
      <c r="AA540" s="25"/>
      <c r="AB540" s="25"/>
      <c r="AC540" s="26">
        <f t="shared" ref="AC540:AC542" si="741">SUM(Y540:AB540)</f>
        <v>0</v>
      </c>
      <c r="AD540" s="24"/>
      <c r="AE540" s="25"/>
      <c r="AF540" s="25"/>
      <c r="AG540" s="25"/>
      <c r="AH540" s="26">
        <f t="shared" ref="AH540:AH542" si="742">SUM(AD540:AG540)</f>
        <v>0</v>
      </c>
      <c r="AI540" s="26">
        <f t="shared" ref="AI540:AI542" si="743">X540+AC540+AH540</f>
        <v>0</v>
      </c>
      <c r="AJ540" s="64"/>
    </row>
    <row r="541" spans="1:36" x14ac:dyDescent="0.15">
      <c r="A541" s="56"/>
      <c r="B541" s="24"/>
      <c r="C541" s="25"/>
      <c r="D541" s="25"/>
      <c r="E541" s="25"/>
      <c r="F541" s="26">
        <f t="shared" si="737"/>
        <v>0</v>
      </c>
      <c r="G541" s="24"/>
      <c r="H541" s="25"/>
      <c r="I541" s="25"/>
      <c r="J541" s="25"/>
      <c r="K541" s="26">
        <f t="shared" si="738"/>
        <v>0</v>
      </c>
      <c r="L541" s="24"/>
      <c r="M541" s="25"/>
      <c r="N541" s="25"/>
      <c r="O541" s="25"/>
      <c r="P541" s="26">
        <f t="shared" si="739"/>
        <v>0</v>
      </c>
      <c r="Q541" s="26">
        <f t="shared" si="720"/>
        <v>0</v>
      </c>
      <c r="S541" s="106" t="s">
        <v>239</v>
      </c>
      <c r="T541" s="113">
        <f>10-3-1</f>
        <v>6</v>
      </c>
      <c r="U541" s="114">
        <f>10-2</f>
        <v>8</v>
      </c>
      <c r="V541" s="114">
        <v>10</v>
      </c>
      <c r="W541" s="114">
        <f>10-4</f>
        <v>6</v>
      </c>
      <c r="X541" s="62">
        <f t="shared" si="740"/>
        <v>30</v>
      </c>
      <c r="Y541" s="115"/>
      <c r="Z541" s="116"/>
      <c r="AA541" s="116"/>
      <c r="AB541" s="116"/>
      <c r="AC541" s="62">
        <f t="shared" si="741"/>
        <v>0</v>
      </c>
      <c r="AD541" s="113">
        <f>11-2</f>
        <v>9</v>
      </c>
      <c r="AE541" s="114">
        <f>12-3-2-4-3</f>
        <v>0</v>
      </c>
      <c r="AF541" s="114">
        <f>10-1-8-1</f>
        <v>0</v>
      </c>
      <c r="AG541" s="114">
        <f>11-3-1-7</f>
        <v>0</v>
      </c>
      <c r="AH541" s="62">
        <f t="shared" si="742"/>
        <v>9</v>
      </c>
      <c r="AI541" s="62">
        <f t="shared" si="743"/>
        <v>39</v>
      </c>
      <c r="AJ541" s="63" t="s">
        <v>240</v>
      </c>
    </row>
    <row r="542" spans="1:36" ht="14.25" thickBot="1" x14ac:dyDescent="0.2">
      <c r="A542" s="57"/>
      <c r="B542" s="10"/>
      <c r="C542" s="11"/>
      <c r="D542" s="11"/>
      <c r="E542" s="11"/>
      <c r="F542" s="9">
        <f t="shared" si="737"/>
        <v>0</v>
      </c>
      <c r="G542" s="10"/>
      <c r="H542" s="11"/>
      <c r="I542" s="11"/>
      <c r="J542" s="11"/>
      <c r="K542" s="9">
        <f t="shared" si="738"/>
        <v>0</v>
      </c>
      <c r="L542" s="10"/>
      <c r="M542" s="11"/>
      <c r="N542" s="11"/>
      <c r="O542" s="11"/>
      <c r="P542" s="9">
        <f t="shared" si="739"/>
        <v>0</v>
      </c>
      <c r="Q542" s="43">
        <f t="shared" si="720"/>
        <v>0</v>
      </c>
      <c r="S542" s="106" t="s">
        <v>238</v>
      </c>
      <c r="T542" s="110"/>
      <c r="U542" s="111"/>
      <c r="V542" s="111"/>
      <c r="W542" s="111"/>
      <c r="X542" s="81">
        <f t="shared" si="740"/>
        <v>0</v>
      </c>
      <c r="Y542" s="107">
        <f>36-4-1-2</f>
        <v>29</v>
      </c>
      <c r="Z542" s="108">
        <f>43-6-1-2-1-4-3-2</f>
        <v>24</v>
      </c>
      <c r="AA542" s="108">
        <f>31-3-4-2-1-2-1-2</f>
        <v>16</v>
      </c>
      <c r="AB542" s="108">
        <f>35-2-2-1-2-3-2-8</f>
        <v>15</v>
      </c>
      <c r="AC542" s="81">
        <f t="shared" si="741"/>
        <v>84</v>
      </c>
      <c r="AD542" s="110"/>
      <c r="AE542" s="111"/>
      <c r="AF542" s="111"/>
      <c r="AG542" s="111"/>
      <c r="AH542" s="81">
        <f t="shared" si="742"/>
        <v>0</v>
      </c>
      <c r="AI542" s="109">
        <f t="shared" si="743"/>
        <v>84</v>
      </c>
      <c r="AJ542" s="63" t="s">
        <v>240</v>
      </c>
    </row>
    <row r="543" spans="1:36" ht="15" thickBot="1" x14ac:dyDescent="0.2">
      <c r="A543" s="5" t="s">
        <v>14</v>
      </c>
      <c r="B543" s="12">
        <f>SUM(B517:B542)</f>
        <v>1</v>
      </c>
      <c r="C543" s="13">
        <f t="shared" ref="C543:P543" si="744">SUM(C517:C542)</f>
        <v>0</v>
      </c>
      <c r="D543" s="13">
        <f t="shared" si="744"/>
        <v>2</v>
      </c>
      <c r="E543" s="14">
        <f t="shared" si="744"/>
        <v>1</v>
      </c>
      <c r="F543" s="8">
        <f t="shared" si="744"/>
        <v>4</v>
      </c>
      <c r="G543" s="12">
        <f t="shared" si="744"/>
        <v>0</v>
      </c>
      <c r="H543" s="13">
        <f t="shared" si="744"/>
        <v>1</v>
      </c>
      <c r="I543" s="13">
        <f t="shared" si="744"/>
        <v>5</v>
      </c>
      <c r="J543" s="124">
        <f t="shared" si="744"/>
        <v>3</v>
      </c>
      <c r="K543" s="8">
        <f t="shared" si="744"/>
        <v>9</v>
      </c>
      <c r="L543" s="122">
        <f t="shared" si="744"/>
        <v>0</v>
      </c>
      <c r="M543" s="123">
        <f t="shared" si="744"/>
        <v>0</v>
      </c>
      <c r="N543" s="123">
        <f t="shared" si="744"/>
        <v>0</v>
      </c>
      <c r="O543" s="124">
        <f t="shared" si="744"/>
        <v>0</v>
      </c>
      <c r="P543" s="8">
        <f t="shared" si="744"/>
        <v>0</v>
      </c>
      <c r="Q543" s="34">
        <f t="shared" si="720"/>
        <v>13</v>
      </c>
      <c r="S543" s="5" t="s">
        <v>14</v>
      </c>
      <c r="T543" s="12">
        <f>SUM(T517:T542)</f>
        <v>6</v>
      </c>
      <c r="U543" s="13">
        <f t="shared" ref="U543:W543" si="745">SUM(U517:U542)</f>
        <v>10</v>
      </c>
      <c r="V543" s="13">
        <f t="shared" si="745"/>
        <v>10</v>
      </c>
      <c r="W543" s="14">
        <f t="shared" si="745"/>
        <v>6</v>
      </c>
      <c r="X543" s="8">
        <f>SUM(X517:X542)</f>
        <v>32</v>
      </c>
      <c r="Y543" s="12">
        <f>SUM(Y517:Y542)</f>
        <v>29</v>
      </c>
      <c r="Z543" s="13">
        <f t="shared" ref="Z543:AB543" si="746">SUM(Z517:Z542)</f>
        <v>33</v>
      </c>
      <c r="AA543" s="13">
        <f t="shared" si="746"/>
        <v>24</v>
      </c>
      <c r="AB543" s="14">
        <f t="shared" si="746"/>
        <v>25</v>
      </c>
      <c r="AC543" s="8">
        <f>SUM(AC517:AC542)</f>
        <v>111</v>
      </c>
      <c r="AD543" s="12">
        <f>SUM(AD517:AD542)</f>
        <v>9</v>
      </c>
      <c r="AE543" s="13">
        <f t="shared" ref="AE543:AG543" si="747">SUM(AE517:AE542)</f>
        <v>16</v>
      </c>
      <c r="AF543" s="13">
        <f t="shared" si="747"/>
        <v>3</v>
      </c>
      <c r="AG543" s="14">
        <f t="shared" si="747"/>
        <v>0</v>
      </c>
      <c r="AH543" s="8">
        <f>SUM(AH517:AH542)</f>
        <v>28</v>
      </c>
      <c r="AI543" s="34">
        <f>X543+AC543+AH543</f>
        <v>171</v>
      </c>
    </row>
    <row r="544" spans="1:36" ht="14.25" thickBot="1" x14ac:dyDescent="0.2">
      <c r="A544" s="15" t="s">
        <v>15</v>
      </c>
      <c r="B544" s="16">
        <f>B516-B543</f>
        <v>1</v>
      </c>
      <c r="C544" s="17">
        <f>C516-C543</f>
        <v>2</v>
      </c>
      <c r="D544" s="17">
        <f t="shared" ref="D544:P544" si="748">D516-D543</f>
        <v>1</v>
      </c>
      <c r="E544" s="18">
        <f t="shared" si="748"/>
        <v>1</v>
      </c>
      <c r="F544" s="44">
        <f t="shared" si="748"/>
        <v>5</v>
      </c>
      <c r="G544" s="16">
        <f t="shared" si="748"/>
        <v>3</v>
      </c>
      <c r="H544" s="17">
        <f t="shared" si="748"/>
        <v>3</v>
      </c>
      <c r="I544" s="17">
        <f t="shared" si="748"/>
        <v>1</v>
      </c>
      <c r="J544" s="127">
        <f t="shared" si="748"/>
        <v>0</v>
      </c>
      <c r="K544" s="44">
        <f t="shared" si="748"/>
        <v>6</v>
      </c>
      <c r="L544" s="125">
        <f t="shared" si="748"/>
        <v>0</v>
      </c>
      <c r="M544" s="126">
        <f t="shared" si="748"/>
        <v>0</v>
      </c>
      <c r="N544" s="126">
        <f t="shared" si="748"/>
        <v>0</v>
      </c>
      <c r="O544" s="127">
        <f t="shared" si="748"/>
        <v>0</v>
      </c>
      <c r="P544" s="44">
        <f t="shared" si="748"/>
        <v>0</v>
      </c>
      <c r="Q544" s="34">
        <f t="shared" si="720"/>
        <v>11</v>
      </c>
      <c r="S544" s="15" t="s">
        <v>15</v>
      </c>
      <c r="T544" s="16">
        <f>T516-T543</f>
        <v>93</v>
      </c>
      <c r="U544" s="17">
        <f t="shared" ref="U544:W544" si="749">U516-U543</f>
        <v>91</v>
      </c>
      <c r="V544" s="17">
        <f t="shared" si="749"/>
        <v>44</v>
      </c>
      <c r="W544" s="18">
        <f t="shared" si="749"/>
        <v>16</v>
      </c>
      <c r="X544" s="44">
        <f>X516-X543</f>
        <v>244</v>
      </c>
      <c r="Y544" s="16">
        <f>Y516-Y543</f>
        <v>56</v>
      </c>
      <c r="Z544" s="17">
        <f t="shared" ref="Z544:AB544" si="750">Z516-Z543</f>
        <v>53</v>
      </c>
      <c r="AA544" s="17">
        <f t="shared" si="750"/>
        <v>52</v>
      </c>
      <c r="AB544" s="18">
        <f t="shared" si="750"/>
        <v>0</v>
      </c>
      <c r="AC544" s="44">
        <f>AC516-AC543</f>
        <v>161</v>
      </c>
      <c r="AD544" s="16">
        <f>AD516-AD543</f>
        <v>89</v>
      </c>
      <c r="AE544" s="17">
        <f t="shared" ref="AE544:AG544" si="751">AE516-AE543</f>
        <v>153</v>
      </c>
      <c r="AF544" s="17">
        <f t="shared" si="751"/>
        <v>92</v>
      </c>
      <c r="AG544" s="18">
        <f t="shared" si="751"/>
        <v>103</v>
      </c>
      <c r="AH544" s="44">
        <f>AH516-AH543</f>
        <v>437</v>
      </c>
      <c r="AI544" s="34">
        <f>X544+AC544+AH544</f>
        <v>842</v>
      </c>
    </row>
  </sheetData>
  <mergeCells count="232">
    <mergeCell ref="B506:F506"/>
    <mergeCell ref="G506:K506"/>
    <mergeCell ref="L506:P506"/>
    <mergeCell ref="Q506:Q507"/>
    <mergeCell ref="T506:X506"/>
    <mergeCell ref="Y506:AC506"/>
    <mergeCell ref="AD506:AH506"/>
    <mergeCell ref="AI506:AI507"/>
    <mergeCell ref="AE187:AF187"/>
    <mergeCell ref="AD212:AD213"/>
    <mergeCell ref="L212:L213"/>
    <mergeCell ref="B254:F254"/>
    <mergeCell ref="G254:K254"/>
    <mergeCell ref="L254:P254"/>
    <mergeCell ref="Q254:Q255"/>
    <mergeCell ref="T254:X254"/>
    <mergeCell ref="AE188:AF188"/>
    <mergeCell ref="AE189:AF189"/>
    <mergeCell ref="AE205:AF205"/>
    <mergeCell ref="AE206:AF206"/>
    <mergeCell ref="AE200:AF200"/>
    <mergeCell ref="AE201:AF201"/>
    <mergeCell ref="AE202:AF202"/>
    <mergeCell ref="AE203:AF203"/>
    <mergeCell ref="AE139:AF139"/>
    <mergeCell ref="AE140:AF140"/>
    <mergeCell ref="AE141:AF141"/>
    <mergeCell ref="AE181:AF181"/>
    <mergeCell ref="AE182:AF182"/>
    <mergeCell ref="AE183:AF183"/>
    <mergeCell ref="AE175:AF175"/>
    <mergeCell ref="AE184:AF184"/>
    <mergeCell ref="AE186:AF186"/>
    <mergeCell ref="AE179:AF179"/>
    <mergeCell ref="AE180:AF180"/>
    <mergeCell ref="AE173:AF173"/>
    <mergeCell ref="AE174:AF174"/>
    <mergeCell ref="AE144:AF144"/>
    <mergeCell ref="AE145:AF145"/>
    <mergeCell ref="AE146:AF146"/>
    <mergeCell ref="AE147:AF147"/>
    <mergeCell ref="AE148:AF148"/>
    <mergeCell ref="AE163:AF163"/>
    <mergeCell ref="AE159:AF159"/>
    <mergeCell ref="AE160:AF160"/>
    <mergeCell ref="AE161:AF161"/>
    <mergeCell ref="AE162:AF162"/>
    <mergeCell ref="AE185:AF185"/>
    <mergeCell ref="AE121:AF121"/>
    <mergeCell ref="AE122:AF122"/>
    <mergeCell ref="AE113:AF113"/>
    <mergeCell ref="B338:F338"/>
    <mergeCell ref="G338:K338"/>
    <mergeCell ref="L338:P338"/>
    <mergeCell ref="Q338:Q339"/>
    <mergeCell ref="T338:X338"/>
    <mergeCell ref="Y338:AC338"/>
    <mergeCell ref="AD338:AH338"/>
    <mergeCell ref="B170:F170"/>
    <mergeCell ref="G170:K170"/>
    <mergeCell ref="L170:L171"/>
    <mergeCell ref="T170:X170"/>
    <mergeCell ref="Y170:AC170"/>
    <mergeCell ref="B212:F212"/>
    <mergeCell ref="G212:K212"/>
    <mergeCell ref="T212:X212"/>
    <mergeCell ref="Y212:AC212"/>
    <mergeCell ref="M178:N178"/>
    <mergeCell ref="AE131:AF131"/>
    <mergeCell ref="AE176:AF176"/>
    <mergeCell ref="AE177:AF177"/>
    <mergeCell ref="AE178:AF178"/>
    <mergeCell ref="B86:F86"/>
    <mergeCell ref="G86:K86"/>
    <mergeCell ref="AD128:AD129"/>
    <mergeCell ref="B128:F128"/>
    <mergeCell ref="G128:K128"/>
    <mergeCell ref="L128:L129"/>
    <mergeCell ref="T128:X128"/>
    <mergeCell ref="Y128:AC128"/>
    <mergeCell ref="B2:F2"/>
    <mergeCell ref="G2:K2"/>
    <mergeCell ref="L2:L3"/>
    <mergeCell ref="B44:F44"/>
    <mergeCell ref="G44:K44"/>
    <mergeCell ref="L44:L45"/>
    <mergeCell ref="T44:X44"/>
    <mergeCell ref="Y2:AC2"/>
    <mergeCell ref="AD2:AD3"/>
    <mergeCell ref="Y44:AC44"/>
    <mergeCell ref="AD44:AD45"/>
    <mergeCell ref="T2:X2"/>
    <mergeCell ref="L86:L87"/>
    <mergeCell ref="T86:X86"/>
    <mergeCell ref="Y86:AC86"/>
    <mergeCell ref="AD86:AD87"/>
    <mergeCell ref="AE26:AF26"/>
    <mergeCell ref="AE27:AF27"/>
    <mergeCell ref="AE28:AF28"/>
    <mergeCell ref="AE29:AF29"/>
    <mergeCell ref="AE30:AF30"/>
    <mergeCell ref="Y254:AC254"/>
    <mergeCell ref="AD254:AH254"/>
    <mergeCell ref="AI254:AI255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36:AF36"/>
    <mergeCell ref="AE37:AF37"/>
    <mergeCell ref="AD170:AD171"/>
    <mergeCell ref="AE38:AF38"/>
    <mergeCell ref="AE55:AF55"/>
    <mergeCell ref="AE56:AF56"/>
    <mergeCell ref="AE31:AF31"/>
    <mergeCell ref="AE32:AF32"/>
    <mergeCell ref="AE33:AF33"/>
    <mergeCell ref="AE34:AF34"/>
    <mergeCell ref="AE35:AF35"/>
    <mergeCell ref="AE62:AF62"/>
    <mergeCell ref="AE63:AF63"/>
    <mergeCell ref="AE64:AF64"/>
    <mergeCell ref="AE65:AF65"/>
    <mergeCell ref="AE66:AF66"/>
    <mergeCell ref="AE57:AF57"/>
    <mergeCell ref="AE58:AF58"/>
    <mergeCell ref="AE59:AF59"/>
    <mergeCell ref="AE60:AF60"/>
    <mergeCell ref="AE61:AF61"/>
    <mergeCell ref="AE72:AF72"/>
    <mergeCell ref="AE73:AF73"/>
    <mergeCell ref="AE74:AF74"/>
    <mergeCell ref="AE75:AF75"/>
    <mergeCell ref="AE76:AF76"/>
    <mergeCell ref="AE67:AF67"/>
    <mergeCell ref="AE68:AF68"/>
    <mergeCell ref="AE69:AF69"/>
    <mergeCell ref="AE70:AF70"/>
    <mergeCell ref="AE71:AF71"/>
    <mergeCell ref="AE77:AF77"/>
    <mergeCell ref="AE78:AF78"/>
    <mergeCell ref="AE79:AF79"/>
    <mergeCell ref="AE80:AF80"/>
    <mergeCell ref="AE97:AF97"/>
    <mergeCell ref="AE108:AF108"/>
    <mergeCell ref="AE109:AF109"/>
    <mergeCell ref="AE110:AF110"/>
    <mergeCell ref="AE111:AF111"/>
    <mergeCell ref="AE103:AF103"/>
    <mergeCell ref="AE104:AF104"/>
    <mergeCell ref="AE105:AF105"/>
    <mergeCell ref="AE106:AF106"/>
    <mergeCell ref="AE107:AF107"/>
    <mergeCell ref="AE98:AF98"/>
    <mergeCell ref="AE99:AF99"/>
    <mergeCell ref="AE100:AF100"/>
    <mergeCell ref="AE101:AF101"/>
    <mergeCell ref="AE102:AF102"/>
    <mergeCell ref="AE112:AF112"/>
    <mergeCell ref="AE118:AF118"/>
    <mergeCell ref="AE119:AF119"/>
    <mergeCell ref="AE120:AF120"/>
    <mergeCell ref="AE192:AF192"/>
    <mergeCell ref="AE193:AF193"/>
    <mergeCell ref="AE194:AF194"/>
    <mergeCell ref="AE114:AF114"/>
    <mergeCell ref="AE115:AF115"/>
    <mergeCell ref="AE116:AF116"/>
    <mergeCell ref="AE117:AF117"/>
    <mergeCell ref="AE150:AF150"/>
    <mergeCell ref="AE151:AF151"/>
    <mergeCell ref="AE152:AF152"/>
    <mergeCell ref="AE153:AF153"/>
    <mergeCell ref="AE164:AF164"/>
    <mergeCell ref="AE142:AF142"/>
    <mergeCell ref="AE143:AF143"/>
    <mergeCell ref="AE154:AF154"/>
    <mergeCell ref="AE155:AF155"/>
    <mergeCell ref="AE156:AF156"/>
    <mergeCell ref="AE157:AF157"/>
    <mergeCell ref="AE158:AF158"/>
    <mergeCell ref="AE149:AF149"/>
    <mergeCell ref="AE204:AF204"/>
    <mergeCell ref="AE195:AF195"/>
    <mergeCell ref="AE196:AF196"/>
    <mergeCell ref="AE197:AF197"/>
    <mergeCell ref="AE198:AF198"/>
    <mergeCell ref="AE199:AF199"/>
    <mergeCell ref="AE190:AF190"/>
    <mergeCell ref="AE191:AF191"/>
    <mergeCell ref="B380:F380"/>
    <mergeCell ref="G380:K380"/>
    <mergeCell ref="L380:P380"/>
    <mergeCell ref="Q380:Q381"/>
    <mergeCell ref="T380:X380"/>
    <mergeCell ref="Y380:AC380"/>
    <mergeCell ref="AD380:AH380"/>
    <mergeCell ref="AI380:AI381"/>
    <mergeCell ref="B296:F296"/>
    <mergeCell ref="G296:K296"/>
    <mergeCell ref="L296:P296"/>
    <mergeCell ref="Q296:Q297"/>
    <mergeCell ref="T296:X296"/>
    <mergeCell ref="Y296:AC296"/>
    <mergeCell ref="AD296:AH296"/>
    <mergeCell ref="AI296:AI297"/>
    <mergeCell ref="AI338:AI339"/>
    <mergeCell ref="T464:X464"/>
    <mergeCell ref="Y464:AC464"/>
    <mergeCell ref="AD464:AH464"/>
    <mergeCell ref="AI464:AI465"/>
    <mergeCell ref="B464:F464"/>
    <mergeCell ref="G464:K464"/>
    <mergeCell ref="L464:P464"/>
    <mergeCell ref="Q464:Q465"/>
    <mergeCell ref="B422:F422"/>
    <mergeCell ref="G422:K422"/>
    <mergeCell ref="L422:P422"/>
    <mergeCell ref="Q422:Q423"/>
    <mergeCell ref="T422:X422"/>
    <mergeCell ref="Y422:AC422"/>
    <mergeCell ref="AD422:AH422"/>
    <mergeCell ref="AI422:AI423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新ブラウジング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dcterms:created xsi:type="dcterms:W3CDTF">2017-10-31T07:26:18Z</dcterms:created>
  <dcterms:modified xsi:type="dcterms:W3CDTF">2026-07-14T09:40:52Z</dcterms:modified>
</cp:coreProperties>
</file>