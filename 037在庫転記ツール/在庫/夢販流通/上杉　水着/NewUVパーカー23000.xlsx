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上杉　水着\"/>
    </mc:Choice>
  </mc:AlternateContent>
  <xr:revisionPtr revIDLastSave="0" documentId="13_ncr:1_{EE97B86E-78EE-4A38-8903-06BEA394E4BF}" xr6:coauthVersionLast="47" xr6:coauthVersionMax="47" xr10:uidLastSave="{00000000-0000-0000-0000-000000000000}"/>
  <bookViews>
    <workbookView xWindow="12540" yWindow="960" windowWidth="16065" windowHeight="12450" xr2:uid="{00000000-000D-0000-FFFF-FFFF00000000}"/>
  </bookViews>
  <sheets>
    <sheet name="UVパーカー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854" i="3" l="1"/>
  <c r="S854" i="3"/>
  <c r="T815" i="3"/>
  <c r="Y815" i="3"/>
  <c r="Z815" i="3" s="1"/>
  <c r="T816" i="3"/>
  <c r="Y816" i="3"/>
  <c r="Z816" i="3"/>
  <c r="P817" i="3"/>
  <c r="R817" i="3"/>
  <c r="Q817" i="3"/>
  <c r="S817" i="3"/>
  <c r="U817" i="3"/>
  <c r="V817" i="3"/>
  <c r="Y817" i="3" s="1"/>
  <c r="W817" i="3"/>
  <c r="X817" i="3"/>
  <c r="Y855" i="3"/>
  <c r="S855" i="3"/>
  <c r="R855" i="3"/>
  <c r="Q855" i="3"/>
  <c r="P855" i="3"/>
  <c r="T855" i="3" s="1"/>
  <c r="Z855" i="3" s="1"/>
  <c r="Y854" i="3"/>
  <c r="R856" i="3"/>
  <c r="Q854" i="3"/>
  <c r="P854" i="3"/>
  <c r="P856" i="3" s="1"/>
  <c r="F816" i="3"/>
  <c r="K816" i="3"/>
  <c r="L816" i="3" s="1"/>
  <c r="L855" i="3"/>
  <c r="K855" i="3"/>
  <c r="F855" i="3"/>
  <c r="T830" i="3"/>
  <c r="Y830" i="3"/>
  <c r="Y812" i="3"/>
  <c r="T812" i="3"/>
  <c r="Z812" i="3" s="1"/>
  <c r="T831" i="3"/>
  <c r="Y831" i="3"/>
  <c r="Z831" i="3"/>
  <c r="T832" i="3"/>
  <c r="Y832" i="3"/>
  <c r="Z832" i="3" s="1"/>
  <c r="T833" i="3"/>
  <c r="Y833" i="3"/>
  <c r="Z833" i="3"/>
  <c r="T834" i="3"/>
  <c r="Y834" i="3"/>
  <c r="Z834" i="3" s="1"/>
  <c r="T835" i="3"/>
  <c r="Y835" i="3"/>
  <c r="T836" i="3"/>
  <c r="Y836" i="3"/>
  <c r="Z836" i="3" s="1"/>
  <c r="T837" i="3"/>
  <c r="Y837" i="3"/>
  <c r="Z837" i="3"/>
  <c r="T838" i="3"/>
  <c r="Y838" i="3"/>
  <c r="Z838" i="3" s="1"/>
  <c r="T839" i="3"/>
  <c r="Y839" i="3"/>
  <c r="Z839" i="3"/>
  <c r="T840" i="3"/>
  <c r="Y840" i="3"/>
  <c r="Z840" i="3" s="1"/>
  <c r="T841" i="3"/>
  <c r="Y841" i="3"/>
  <c r="Z841" i="3"/>
  <c r="T842" i="3"/>
  <c r="Y842" i="3"/>
  <c r="Z842" i="3" s="1"/>
  <c r="T843" i="3"/>
  <c r="Y843" i="3"/>
  <c r="Z843" i="3"/>
  <c r="T844" i="3"/>
  <c r="Y844" i="3"/>
  <c r="Z844" i="3" s="1"/>
  <c r="T845" i="3"/>
  <c r="Y845" i="3"/>
  <c r="Z845" i="3"/>
  <c r="T846" i="3"/>
  <c r="Y846" i="3"/>
  <c r="Z846" i="3" s="1"/>
  <c r="T847" i="3"/>
  <c r="Y847" i="3"/>
  <c r="Z847" i="3"/>
  <c r="T848" i="3"/>
  <c r="Y848" i="3"/>
  <c r="Z848" i="3" s="1"/>
  <c r="T849" i="3"/>
  <c r="Y849" i="3"/>
  <c r="Z849" i="3"/>
  <c r="T850" i="3"/>
  <c r="Y850" i="3"/>
  <c r="Z850" i="3" s="1"/>
  <c r="F830" i="3"/>
  <c r="K830" i="3"/>
  <c r="F831" i="3"/>
  <c r="K831" i="3"/>
  <c r="L831" i="3"/>
  <c r="F832" i="3"/>
  <c r="K832" i="3"/>
  <c r="F833" i="3"/>
  <c r="K833" i="3"/>
  <c r="L833" i="3" s="1"/>
  <c r="F834" i="3"/>
  <c r="K834" i="3"/>
  <c r="F835" i="3"/>
  <c r="K835" i="3"/>
  <c r="L835" i="3"/>
  <c r="F836" i="3"/>
  <c r="K836" i="3"/>
  <c r="F837" i="3"/>
  <c r="K837" i="3"/>
  <c r="L837" i="3" s="1"/>
  <c r="F838" i="3"/>
  <c r="K838" i="3"/>
  <c r="F839" i="3"/>
  <c r="K839" i="3"/>
  <c r="L839" i="3"/>
  <c r="F840" i="3"/>
  <c r="K840" i="3"/>
  <c r="L840" i="3" s="1"/>
  <c r="F841" i="3"/>
  <c r="K841" i="3"/>
  <c r="L841" i="3" s="1"/>
  <c r="F842" i="3"/>
  <c r="K842" i="3"/>
  <c r="L842" i="3" s="1"/>
  <c r="F843" i="3"/>
  <c r="K843" i="3"/>
  <c r="L843" i="3" s="1"/>
  <c r="F844" i="3"/>
  <c r="K844" i="3"/>
  <c r="L844" i="3" s="1"/>
  <c r="F845" i="3"/>
  <c r="K845" i="3"/>
  <c r="L845" i="3"/>
  <c r="F846" i="3"/>
  <c r="K846" i="3"/>
  <c r="F847" i="3"/>
  <c r="K847" i="3"/>
  <c r="X856" i="3"/>
  <c r="W856" i="3"/>
  <c r="V856" i="3"/>
  <c r="U856" i="3"/>
  <c r="S856" i="3"/>
  <c r="Q856" i="3"/>
  <c r="J856" i="3"/>
  <c r="I856" i="3"/>
  <c r="H856" i="3"/>
  <c r="G856" i="3"/>
  <c r="E856" i="3"/>
  <c r="D856" i="3"/>
  <c r="C856" i="3"/>
  <c r="B856" i="3"/>
  <c r="L854" i="3"/>
  <c r="K854" i="3"/>
  <c r="F854" i="3"/>
  <c r="Z853" i="3"/>
  <c r="Y853" i="3"/>
  <c r="T853" i="3"/>
  <c r="L853" i="3"/>
  <c r="K853" i="3"/>
  <c r="F853" i="3"/>
  <c r="Z852" i="3"/>
  <c r="Y852" i="3"/>
  <c r="T852" i="3"/>
  <c r="L852" i="3"/>
  <c r="K852" i="3"/>
  <c r="F852" i="3"/>
  <c r="Z851" i="3"/>
  <c r="Y851" i="3"/>
  <c r="T851" i="3"/>
  <c r="L851" i="3"/>
  <c r="K851" i="3"/>
  <c r="F851" i="3"/>
  <c r="L850" i="3"/>
  <c r="K850" i="3"/>
  <c r="F850" i="3"/>
  <c r="K849" i="3"/>
  <c r="F849" i="3"/>
  <c r="L849" i="3" s="1"/>
  <c r="K848" i="3"/>
  <c r="F848" i="3"/>
  <c r="L848" i="3" s="1"/>
  <c r="Y828" i="3"/>
  <c r="Z828" i="3" s="1"/>
  <c r="T828" i="3"/>
  <c r="K828" i="3"/>
  <c r="F828" i="3"/>
  <c r="Y827" i="3"/>
  <c r="Z827" i="3" s="1"/>
  <c r="T827" i="3"/>
  <c r="K827" i="3"/>
  <c r="F827" i="3"/>
  <c r="Y826" i="3"/>
  <c r="Z826" i="3" s="1"/>
  <c r="T826" i="3"/>
  <c r="K826" i="3"/>
  <c r="F826" i="3"/>
  <c r="L826" i="3" s="1"/>
  <c r="Y825" i="3"/>
  <c r="Z825" i="3" s="1"/>
  <c r="T825" i="3"/>
  <c r="K825" i="3"/>
  <c r="F825" i="3"/>
  <c r="L825" i="3" s="1"/>
  <c r="T811" i="3"/>
  <c r="Y811" i="3"/>
  <c r="Z811" i="3" s="1"/>
  <c r="T767" i="3"/>
  <c r="Y767" i="3"/>
  <c r="Z767" i="3" s="1"/>
  <c r="Y792" i="3"/>
  <c r="T792" i="3"/>
  <c r="Z792" i="3" s="1"/>
  <c r="F786" i="3"/>
  <c r="K786" i="3"/>
  <c r="L786" i="3"/>
  <c r="Y748" i="3"/>
  <c r="T748" i="3"/>
  <c r="Z748" i="3" s="1"/>
  <c r="T788" i="3"/>
  <c r="Z788" i="3" s="1"/>
  <c r="Y788" i="3"/>
  <c r="Y753" i="3"/>
  <c r="T753" i="3"/>
  <c r="J817" i="3"/>
  <c r="I817" i="3"/>
  <c r="H817" i="3"/>
  <c r="G817" i="3"/>
  <c r="E817" i="3"/>
  <c r="D817" i="3"/>
  <c r="C817" i="3"/>
  <c r="B817" i="3"/>
  <c r="K815" i="3"/>
  <c r="F815" i="3"/>
  <c r="L815" i="3" s="1"/>
  <c r="K814" i="3"/>
  <c r="F814" i="3"/>
  <c r="K813" i="3"/>
  <c r="F813" i="3"/>
  <c r="L813" i="3" s="1"/>
  <c r="K812" i="3"/>
  <c r="F812" i="3"/>
  <c r="L812" i="3" s="1"/>
  <c r="K811" i="3"/>
  <c r="F811" i="3"/>
  <c r="L811" i="3" s="1"/>
  <c r="K810" i="3"/>
  <c r="F810" i="3"/>
  <c r="L810" i="3" s="1"/>
  <c r="K809" i="3"/>
  <c r="F809" i="3"/>
  <c r="K808" i="3"/>
  <c r="F808" i="3"/>
  <c r="L808" i="3" s="1"/>
  <c r="K807" i="3"/>
  <c r="F807" i="3"/>
  <c r="K806" i="3"/>
  <c r="F806" i="3"/>
  <c r="L806" i="3" s="1"/>
  <c r="K805" i="3"/>
  <c r="F805" i="3"/>
  <c r="K804" i="3"/>
  <c r="F804" i="3"/>
  <c r="K803" i="3"/>
  <c r="F803" i="3"/>
  <c r="K802" i="3"/>
  <c r="F802" i="3"/>
  <c r="K801" i="3"/>
  <c r="F801" i="3"/>
  <c r="L801" i="3" s="1"/>
  <c r="K800" i="3"/>
  <c r="F800" i="3"/>
  <c r="K799" i="3"/>
  <c r="F799" i="3"/>
  <c r="K798" i="3"/>
  <c r="F798" i="3"/>
  <c r="L798" i="3" s="1"/>
  <c r="K797" i="3"/>
  <c r="F797" i="3"/>
  <c r="L797" i="3" s="1"/>
  <c r="K796" i="3"/>
  <c r="F796" i="3"/>
  <c r="K795" i="3"/>
  <c r="F795" i="3"/>
  <c r="L795" i="3" s="1"/>
  <c r="K794" i="3"/>
  <c r="F794" i="3"/>
  <c r="K793" i="3"/>
  <c r="F793" i="3"/>
  <c r="L793" i="3" s="1"/>
  <c r="K792" i="3"/>
  <c r="F792" i="3"/>
  <c r="K791" i="3"/>
  <c r="F791" i="3"/>
  <c r="L791" i="3" s="1"/>
  <c r="K789" i="3"/>
  <c r="F789" i="3"/>
  <c r="L789" i="3" s="1"/>
  <c r="K788" i="3"/>
  <c r="F788" i="3"/>
  <c r="L788" i="3" s="1"/>
  <c r="K787" i="3"/>
  <c r="F787" i="3"/>
  <c r="L787" i="3" s="1"/>
  <c r="T749" i="3"/>
  <c r="Y749" i="3"/>
  <c r="Y814" i="3"/>
  <c r="T814" i="3"/>
  <c r="Z814" i="3" s="1"/>
  <c r="Y813" i="3"/>
  <c r="T813" i="3"/>
  <c r="Z813" i="3" s="1"/>
  <c r="Y810" i="3"/>
  <c r="T810" i="3"/>
  <c r="Z810" i="3" s="1"/>
  <c r="Y809" i="3"/>
  <c r="Z809" i="3" s="1"/>
  <c r="T809" i="3"/>
  <c r="Y808" i="3"/>
  <c r="T808" i="3"/>
  <c r="Z808" i="3" s="1"/>
  <c r="Y807" i="3"/>
  <c r="T807" i="3"/>
  <c r="Y806" i="3"/>
  <c r="T806" i="3"/>
  <c r="Z806" i="3" s="1"/>
  <c r="Y805" i="3"/>
  <c r="T805" i="3"/>
  <c r="Z805" i="3" s="1"/>
  <c r="Y804" i="3"/>
  <c r="T804" i="3"/>
  <c r="Z804" i="3" s="1"/>
  <c r="Y803" i="3"/>
  <c r="T803" i="3"/>
  <c r="Z803" i="3" s="1"/>
  <c r="Y802" i="3"/>
  <c r="T802" i="3"/>
  <c r="Y801" i="3"/>
  <c r="T801" i="3"/>
  <c r="Z801" i="3" s="1"/>
  <c r="Y800" i="3"/>
  <c r="T800" i="3"/>
  <c r="Z800" i="3" s="1"/>
  <c r="Y799" i="3"/>
  <c r="T799" i="3"/>
  <c r="Z799" i="3" s="1"/>
  <c r="Y798" i="3"/>
  <c r="T798" i="3"/>
  <c r="Z798" i="3" s="1"/>
  <c r="Y797" i="3"/>
  <c r="T797" i="3"/>
  <c r="Y796" i="3"/>
  <c r="T796" i="3"/>
  <c r="Z796" i="3" s="1"/>
  <c r="Y795" i="3"/>
  <c r="T795" i="3"/>
  <c r="Y794" i="3"/>
  <c r="T794" i="3"/>
  <c r="Z794" i="3" s="1"/>
  <c r="Y793" i="3"/>
  <c r="T793" i="3"/>
  <c r="Z793" i="3" s="1"/>
  <c r="Y791" i="3"/>
  <c r="T791" i="3"/>
  <c r="Z791" i="3" s="1"/>
  <c r="Y789" i="3"/>
  <c r="Z789" i="3" s="1"/>
  <c r="T789" i="3"/>
  <c r="Y787" i="3"/>
  <c r="T787" i="3"/>
  <c r="Z787" i="3" s="1"/>
  <c r="Y786" i="3"/>
  <c r="T786" i="3"/>
  <c r="E737" i="3"/>
  <c r="E739" i="3" s="1"/>
  <c r="Y752" i="3"/>
  <c r="T752" i="3"/>
  <c r="Z752" i="3" s="1"/>
  <c r="T754" i="3"/>
  <c r="Y754" i="3"/>
  <c r="Z754" i="3" s="1"/>
  <c r="T755" i="3"/>
  <c r="Z755" i="3" s="1"/>
  <c r="Y755" i="3"/>
  <c r="T756" i="3"/>
  <c r="Y756" i="3"/>
  <c r="T757" i="3"/>
  <c r="Z757" i="3" s="1"/>
  <c r="Y757" i="3"/>
  <c r="T758" i="3"/>
  <c r="Y758" i="3"/>
  <c r="Z758" i="3" s="1"/>
  <c r="T759" i="3"/>
  <c r="Y759" i="3"/>
  <c r="T760" i="3"/>
  <c r="Y760" i="3"/>
  <c r="T761" i="3"/>
  <c r="Y761" i="3"/>
  <c r="T762" i="3"/>
  <c r="Y762" i="3"/>
  <c r="F752" i="3"/>
  <c r="K752" i="3"/>
  <c r="L752" i="3" s="1"/>
  <c r="F753" i="3"/>
  <c r="K753" i="3"/>
  <c r="F754" i="3"/>
  <c r="K754" i="3"/>
  <c r="L754" i="3" s="1"/>
  <c r="F755" i="3"/>
  <c r="K755" i="3"/>
  <c r="F756" i="3"/>
  <c r="K756" i="3"/>
  <c r="F757" i="3"/>
  <c r="L757" i="3" s="1"/>
  <c r="K757" i="3"/>
  <c r="F758" i="3"/>
  <c r="K758" i="3"/>
  <c r="F759" i="3"/>
  <c r="L759" i="3" s="1"/>
  <c r="K759" i="3"/>
  <c r="F760" i="3"/>
  <c r="K760" i="3"/>
  <c r="L760" i="3" s="1"/>
  <c r="F761" i="3"/>
  <c r="K761" i="3"/>
  <c r="F762" i="3"/>
  <c r="K762" i="3"/>
  <c r="L762" i="3" s="1"/>
  <c r="F763" i="3"/>
  <c r="K763" i="3"/>
  <c r="F764" i="3"/>
  <c r="K764" i="3"/>
  <c r="L764" i="3" s="1"/>
  <c r="F765" i="3"/>
  <c r="L765" i="3" s="1"/>
  <c r="K765" i="3"/>
  <c r="F766" i="3"/>
  <c r="K766" i="3"/>
  <c r="F767" i="3"/>
  <c r="K767" i="3"/>
  <c r="L767" i="3" s="1"/>
  <c r="F768" i="3"/>
  <c r="K768" i="3"/>
  <c r="L768" i="3" s="1"/>
  <c r="F769" i="3"/>
  <c r="K769" i="3"/>
  <c r="F770" i="3"/>
  <c r="K770" i="3"/>
  <c r="L770" i="3" s="1"/>
  <c r="F771" i="3"/>
  <c r="K771" i="3"/>
  <c r="F772" i="3"/>
  <c r="K772" i="3"/>
  <c r="L772" i="3" s="1"/>
  <c r="F773" i="3"/>
  <c r="K773" i="3"/>
  <c r="F774" i="3"/>
  <c r="K774" i="3"/>
  <c r="X778" i="3"/>
  <c r="W778" i="3"/>
  <c r="V778" i="3"/>
  <c r="U778" i="3"/>
  <c r="S778" i="3"/>
  <c r="R778" i="3"/>
  <c r="Q778" i="3"/>
  <c r="P778" i="3"/>
  <c r="J778" i="3"/>
  <c r="I778" i="3"/>
  <c r="H778" i="3"/>
  <c r="G778" i="3"/>
  <c r="E778" i="3"/>
  <c r="D778" i="3"/>
  <c r="C778" i="3"/>
  <c r="B778" i="3"/>
  <c r="Y777" i="3"/>
  <c r="T777" i="3"/>
  <c r="K777" i="3"/>
  <c r="F777" i="3"/>
  <c r="L777" i="3" s="1"/>
  <c r="Z776" i="3"/>
  <c r="Y776" i="3"/>
  <c r="T776" i="3"/>
  <c r="K776" i="3"/>
  <c r="F776" i="3"/>
  <c r="Y775" i="3"/>
  <c r="T775" i="3"/>
  <c r="Z775" i="3" s="1"/>
  <c r="K775" i="3"/>
  <c r="F775" i="3"/>
  <c r="L775" i="3" s="1"/>
  <c r="Y774" i="3"/>
  <c r="T774" i="3"/>
  <c r="Z774" i="3" s="1"/>
  <c r="Y773" i="3"/>
  <c r="Z773" i="3" s="1"/>
  <c r="T773" i="3"/>
  <c r="Y772" i="3"/>
  <c r="T772" i="3"/>
  <c r="Z772" i="3" s="1"/>
  <c r="Y771" i="3"/>
  <c r="T771" i="3"/>
  <c r="Y770" i="3"/>
  <c r="T770" i="3"/>
  <c r="Z770" i="3" s="1"/>
  <c r="Y769" i="3"/>
  <c r="T769" i="3"/>
  <c r="Y768" i="3"/>
  <c r="T768" i="3"/>
  <c r="Z768" i="3" s="1"/>
  <c r="Y766" i="3"/>
  <c r="T766" i="3"/>
  <c r="Y765" i="3"/>
  <c r="T765" i="3"/>
  <c r="Z765" i="3" s="1"/>
  <c r="Y764" i="3"/>
  <c r="T764" i="3"/>
  <c r="Y763" i="3"/>
  <c r="T763" i="3"/>
  <c r="Z763" i="3" s="1"/>
  <c r="Y750" i="3"/>
  <c r="T750" i="3"/>
  <c r="K750" i="3"/>
  <c r="F750" i="3"/>
  <c r="L750" i="3" s="1"/>
  <c r="K749" i="3"/>
  <c r="F749" i="3"/>
  <c r="K748" i="3"/>
  <c r="F748" i="3"/>
  <c r="L748" i="3" s="1"/>
  <c r="Y747" i="3"/>
  <c r="T747" i="3"/>
  <c r="K747" i="3"/>
  <c r="F747" i="3"/>
  <c r="L747" i="3" s="1"/>
  <c r="Y723" i="3"/>
  <c r="T723" i="3"/>
  <c r="D733" i="3"/>
  <c r="D739" i="3" s="1"/>
  <c r="Y721" i="3"/>
  <c r="T721" i="3"/>
  <c r="Z721" i="3" s="1"/>
  <c r="H719" i="3"/>
  <c r="K719" i="3" s="1"/>
  <c r="Y715" i="3"/>
  <c r="T715" i="3"/>
  <c r="X739" i="3"/>
  <c r="W739" i="3"/>
  <c r="V739" i="3"/>
  <c r="U739" i="3"/>
  <c r="S739" i="3"/>
  <c r="J739" i="3"/>
  <c r="H739" i="3"/>
  <c r="G739" i="3"/>
  <c r="B739" i="3"/>
  <c r="Y738" i="3"/>
  <c r="T738" i="3"/>
  <c r="K738" i="3"/>
  <c r="F738" i="3"/>
  <c r="L738" i="3" s="1"/>
  <c r="Y737" i="3"/>
  <c r="P739" i="3"/>
  <c r="K737" i="3"/>
  <c r="Y736" i="3"/>
  <c r="R739" i="3"/>
  <c r="T736" i="3"/>
  <c r="K736" i="3"/>
  <c r="F736" i="3"/>
  <c r="L736" i="3" s="1"/>
  <c r="Y735" i="3"/>
  <c r="T735" i="3"/>
  <c r="K735" i="3"/>
  <c r="F735" i="3"/>
  <c r="Y734" i="3"/>
  <c r="T734" i="3"/>
  <c r="K734" i="3"/>
  <c r="F734" i="3"/>
  <c r="L734" i="3" s="1"/>
  <c r="Y733" i="3"/>
  <c r="T733" i="3"/>
  <c r="K733" i="3"/>
  <c r="F733" i="3"/>
  <c r="Y732" i="3"/>
  <c r="T732" i="3"/>
  <c r="K732" i="3"/>
  <c r="F732" i="3"/>
  <c r="L732" i="3" s="1"/>
  <c r="Y731" i="3"/>
  <c r="T731" i="3"/>
  <c r="K731" i="3"/>
  <c r="F731" i="3"/>
  <c r="Y730" i="3"/>
  <c r="T730" i="3"/>
  <c r="K730" i="3"/>
  <c r="F730" i="3"/>
  <c r="Y729" i="3"/>
  <c r="T729" i="3"/>
  <c r="K729" i="3"/>
  <c r="Y728" i="3"/>
  <c r="T728" i="3"/>
  <c r="K728" i="3"/>
  <c r="F728" i="3"/>
  <c r="Y727" i="3"/>
  <c r="T727" i="3"/>
  <c r="K727" i="3"/>
  <c r="F727" i="3"/>
  <c r="Y726" i="3"/>
  <c r="T726" i="3"/>
  <c r="K726" i="3"/>
  <c r="F726" i="3"/>
  <c r="Y725" i="3"/>
  <c r="T725" i="3"/>
  <c r="K725" i="3"/>
  <c r="F725" i="3"/>
  <c r="Y724" i="3"/>
  <c r="T724" i="3"/>
  <c r="K724" i="3"/>
  <c r="F724" i="3"/>
  <c r="K723" i="3"/>
  <c r="F723" i="3"/>
  <c r="Y722" i="3"/>
  <c r="T722" i="3"/>
  <c r="K722" i="3"/>
  <c r="F722" i="3"/>
  <c r="K721" i="3"/>
  <c r="F721" i="3"/>
  <c r="Y720" i="3"/>
  <c r="T720" i="3"/>
  <c r="K720" i="3"/>
  <c r="F720" i="3"/>
  <c r="Y719" i="3"/>
  <c r="T719" i="3"/>
  <c r="F719" i="3"/>
  <c r="Y718" i="3"/>
  <c r="K718" i="3"/>
  <c r="F718" i="3"/>
  <c r="Y717" i="3"/>
  <c r="T717" i="3"/>
  <c r="K717" i="3"/>
  <c r="F717" i="3"/>
  <c r="Y716" i="3"/>
  <c r="T716" i="3"/>
  <c r="K716" i="3"/>
  <c r="F716" i="3"/>
  <c r="K715" i="3"/>
  <c r="F715" i="3"/>
  <c r="Y714" i="3"/>
  <c r="T714" i="3"/>
  <c r="K714" i="3"/>
  <c r="F714" i="3"/>
  <c r="Y713" i="3"/>
  <c r="T713" i="3"/>
  <c r="I739" i="3"/>
  <c r="K713" i="3"/>
  <c r="F713" i="3"/>
  <c r="Y711" i="3"/>
  <c r="T711" i="3"/>
  <c r="Z711" i="3" s="1"/>
  <c r="K711" i="3"/>
  <c r="F711" i="3"/>
  <c r="Y710" i="3"/>
  <c r="T710" i="3"/>
  <c r="Z710" i="3" s="1"/>
  <c r="K710" i="3"/>
  <c r="F710" i="3"/>
  <c r="Y709" i="3"/>
  <c r="T709" i="3"/>
  <c r="Z709" i="3" s="1"/>
  <c r="K709" i="3"/>
  <c r="F709" i="3"/>
  <c r="Y708" i="3"/>
  <c r="T708" i="3"/>
  <c r="Z708" i="3" s="1"/>
  <c r="K708" i="3"/>
  <c r="F708" i="3"/>
  <c r="Y694" i="3"/>
  <c r="T694" i="3"/>
  <c r="C690" i="3"/>
  <c r="X700" i="3"/>
  <c r="Y691" i="3"/>
  <c r="T691" i="3"/>
  <c r="Z691" i="3" s="1"/>
  <c r="K683" i="3"/>
  <c r="F683" i="3"/>
  <c r="Y683" i="3"/>
  <c r="T683" i="3"/>
  <c r="Z683" i="3" s="1"/>
  <c r="E679" i="3"/>
  <c r="Y680" i="3"/>
  <c r="T680" i="3"/>
  <c r="L847" i="3" l="1"/>
  <c r="L846" i="3"/>
  <c r="L828" i="3"/>
  <c r="L838" i="3"/>
  <c r="Z835" i="3"/>
  <c r="L827" i="3"/>
  <c r="T817" i="3"/>
  <c r="Z817" i="3" s="1"/>
  <c r="T854" i="3"/>
  <c r="Z854" i="3" s="1"/>
  <c r="L836" i="3"/>
  <c r="L834" i="3"/>
  <c r="L832" i="3"/>
  <c r="L830" i="3"/>
  <c r="Z830" i="3"/>
  <c r="F856" i="3"/>
  <c r="K856" i="3"/>
  <c r="Y856" i="3"/>
  <c r="T856" i="3"/>
  <c r="L805" i="3"/>
  <c r="L803" i="3"/>
  <c r="L799" i="3"/>
  <c r="Z766" i="3"/>
  <c r="L773" i="3"/>
  <c r="Z762" i="3"/>
  <c r="Z760" i="3"/>
  <c r="L776" i="3"/>
  <c r="L771" i="3"/>
  <c r="L769" i="3"/>
  <c r="L755" i="3"/>
  <c r="L753" i="3"/>
  <c r="Z802" i="3"/>
  <c r="Z723" i="3"/>
  <c r="L749" i="3"/>
  <c r="Z764" i="3"/>
  <c r="Z769" i="3"/>
  <c r="Z771" i="3"/>
  <c r="Z777" i="3"/>
  <c r="L763" i="3"/>
  <c r="L761" i="3"/>
  <c r="Z761" i="3"/>
  <c r="Z759" i="3"/>
  <c r="Z786" i="3"/>
  <c r="Z797" i="3"/>
  <c r="L794" i="3"/>
  <c r="L796" i="3"/>
  <c r="L809" i="3"/>
  <c r="F737" i="3"/>
  <c r="L737" i="3" s="1"/>
  <c r="Z750" i="3"/>
  <c r="Z680" i="3"/>
  <c r="Z736" i="3"/>
  <c r="L683" i="3"/>
  <c r="Z719" i="3"/>
  <c r="Z725" i="3"/>
  <c r="Z727" i="3"/>
  <c r="Z738" i="3"/>
  <c r="Z715" i="3"/>
  <c r="L774" i="3"/>
  <c r="L766" i="3"/>
  <c r="Z795" i="3"/>
  <c r="Z807" i="3"/>
  <c r="Z749" i="3"/>
  <c r="L792" i="3"/>
  <c r="L800" i="3"/>
  <c r="L802" i="3"/>
  <c r="L804" i="3"/>
  <c r="L807" i="3"/>
  <c r="L814" i="3"/>
  <c r="Z753" i="3"/>
  <c r="L758" i="3"/>
  <c r="K817" i="3"/>
  <c r="F817" i="3"/>
  <c r="L756" i="3"/>
  <c r="F778" i="3"/>
  <c r="K778" i="3"/>
  <c r="Z756" i="3"/>
  <c r="Z747" i="3"/>
  <c r="T778" i="3"/>
  <c r="Y778" i="3"/>
  <c r="L730" i="3"/>
  <c r="Y739" i="3"/>
  <c r="L713" i="3"/>
  <c r="Z714" i="3"/>
  <c r="Z716" i="3"/>
  <c r="Z729" i="3"/>
  <c r="Z730" i="3"/>
  <c r="Z731" i="3"/>
  <c r="Z732" i="3"/>
  <c r="Z733" i="3"/>
  <c r="Z734" i="3"/>
  <c r="Z735" i="3"/>
  <c r="L708" i="3"/>
  <c r="L710" i="3"/>
  <c r="L711" i="3"/>
  <c r="L714" i="3"/>
  <c r="L715" i="3"/>
  <c r="L716" i="3"/>
  <c r="L717" i="3"/>
  <c r="L719" i="3"/>
  <c r="L720" i="3"/>
  <c r="L721" i="3"/>
  <c r="L722" i="3"/>
  <c r="L723" i="3"/>
  <c r="L724" i="3"/>
  <c r="L725" i="3"/>
  <c r="L726" i="3"/>
  <c r="L727" i="3"/>
  <c r="L728" i="3"/>
  <c r="L709" i="3"/>
  <c r="K739" i="3"/>
  <c r="Z713" i="3"/>
  <c r="Z717" i="3"/>
  <c r="L718" i="3"/>
  <c r="T718" i="3"/>
  <c r="Z718" i="3" s="1"/>
  <c r="Q739" i="3"/>
  <c r="Z720" i="3"/>
  <c r="Z722" i="3"/>
  <c r="Z724" i="3"/>
  <c r="Z726" i="3"/>
  <c r="Z728" i="3"/>
  <c r="C739" i="3"/>
  <c r="F739" i="3" s="1"/>
  <c r="F729" i="3"/>
  <c r="L729" i="3" s="1"/>
  <c r="L731" i="3"/>
  <c r="L733" i="3"/>
  <c r="L735" i="3"/>
  <c r="T739" i="3"/>
  <c r="T737" i="3"/>
  <c r="Z737" i="3" s="1"/>
  <c r="Z694" i="3"/>
  <c r="Q679" i="3"/>
  <c r="T679" i="3" s="1"/>
  <c r="H674" i="3"/>
  <c r="H700" i="3" s="1"/>
  <c r="F658" i="3"/>
  <c r="K658" i="3"/>
  <c r="I674" i="3"/>
  <c r="I700" i="3" s="1"/>
  <c r="E674" i="3"/>
  <c r="F674" i="3" s="1"/>
  <c r="I661" i="3"/>
  <c r="Y678" i="3"/>
  <c r="T678" i="3"/>
  <c r="Y677" i="3"/>
  <c r="T677" i="3"/>
  <c r="Y657" i="3"/>
  <c r="T657" i="3"/>
  <c r="T656" i="3"/>
  <c r="Y656" i="3"/>
  <c r="T658" i="3"/>
  <c r="Y658" i="3"/>
  <c r="Y660" i="3"/>
  <c r="T660" i="3"/>
  <c r="Y659" i="3"/>
  <c r="T659" i="3"/>
  <c r="Y699" i="3"/>
  <c r="T699" i="3"/>
  <c r="Z699" i="3" s="1"/>
  <c r="Y698" i="3"/>
  <c r="R700" i="3"/>
  <c r="T698" i="3"/>
  <c r="Y697" i="3"/>
  <c r="T697" i="3"/>
  <c r="Z697" i="3" s="1"/>
  <c r="F675" i="3"/>
  <c r="K675" i="3"/>
  <c r="F676" i="3"/>
  <c r="K676" i="3"/>
  <c r="L676" i="3" s="1"/>
  <c r="F677" i="3"/>
  <c r="K677" i="3"/>
  <c r="F678" i="3"/>
  <c r="K678" i="3"/>
  <c r="L678" i="3" s="1"/>
  <c r="F679" i="3"/>
  <c r="K679" i="3"/>
  <c r="F680" i="3"/>
  <c r="K680" i="3"/>
  <c r="F681" i="3"/>
  <c r="K681" i="3"/>
  <c r="F682" i="3"/>
  <c r="K682" i="3"/>
  <c r="L682" i="3" s="1"/>
  <c r="F684" i="3"/>
  <c r="K684" i="3"/>
  <c r="F685" i="3"/>
  <c r="K685" i="3"/>
  <c r="F686" i="3"/>
  <c r="K686" i="3"/>
  <c r="F687" i="3"/>
  <c r="K687" i="3"/>
  <c r="F688" i="3"/>
  <c r="K688" i="3"/>
  <c r="L688" i="3" s="1"/>
  <c r="W700" i="3"/>
  <c r="V700" i="3"/>
  <c r="U700" i="3"/>
  <c r="P700" i="3"/>
  <c r="J700" i="3"/>
  <c r="G700" i="3"/>
  <c r="E700" i="3"/>
  <c r="D700" i="3"/>
  <c r="C700" i="3"/>
  <c r="B700" i="3"/>
  <c r="K699" i="3"/>
  <c r="F699" i="3"/>
  <c r="S700" i="3"/>
  <c r="K698" i="3"/>
  <c r="F698" i="3"/>
  <c r="L698" i="3" s="1"/>
  <c r="K697" i="3"/>
  <c r="F697" i="3"/>
  <c r="L697" i="3" s="1"/>
  <c r="Y696" i="3"/>
  <c r="T696" i="3"/>
  <c r="Z696" i="3" s="1"/>
  <c r="K696" i="3"/>
  <c r="F696" i="3"/>
  <c r="L696" i="3" s="1"/>
  <c r="Y695" i="3"/>
  <c r="T695" i="3"/>
  <c r="Z695" i="3" s="1"/>
  <c r="K695" i="3"/>
  <c r="F695" i="3"/>
  <c r="L695" i="3" s="1"/>
  <c r="K694" i="3"/>
  <c r="F694" i="3"/>
  <c r="L694" i="3" s="1"/>
  <c r="Y693" i="3"/>
  <c r="T693" i="3"/>
  <c r="Z693" i="3" s="1"/>
  <c r="K693" i="3"/>
  <c r="F693" i="3"/>
  <c r="L693" i="3" s="1"/>
  <c r="Y692" i="3"/>
  <c r="T692" i="3"/>
  <c r="Z692" i="3" s="1"/>
  <c r="K692" i="3"/>
  <c r="F692" i="3"/>
  <c r="L692" i="3" s="1"/>
  <c r="K691" i="3"/>
  <c r="F691" i="3"/>
  <c r="Y690" i="3"/>
  <c r="T690" i="3"/>
  <c r="Z690" i="3" s="1"/>
  <c r="K690" i="3"/>
  <c r="F690" i="3"/>
  <c r="L690" i="3" s="1"/>
  <c r="Y689" i="3"/>
  <c r="T689" i="3"/>
  <c r="Z689" i="3" s="1"/>
  <c r="K689" i="3"/>
  <c r="F689" i="3"/>
  <c r="Y688" i="3"/>
  <c r="T688" i="3"/>
  <c r="Z688" i="3" s="1"/>
  <c r="Y687" i="3"/>
  <c r="T687" i="3"/>
  <c r="Z687" i="3" s="1"/>
  <c r="Y686" i="3"/>
  <c r="T686" i="3"/>
  <c r="Z686" i="3" s="1"/>
  <c r="Y685" i="3"/>
  <c r="T685" i="3"/>
  <c r="Z685" i="3" s="1"/>
  <c r="Y684" i="3"/>
  <c r="T684" i="3"/>
  <c r="Z684" i="3" s="1"/>
  <c r="Y682" i="3"/>
  <c r="T682" i="3"/>
  <c r="Z682" i="3" s="1"/>
  <c r="Y681" i="3"/>
  <c r="T681" i="3"/>
  <c r="Y679" i="3"/>
  <c r="Y676" i="3"/>
  <c r="T676" i="3"/>
  <c r="Y675" i="3"/>
  <c r="T675" i="3"/>
  <c r="Y674" i="3"/>
  <c r="T674" i="3"/>
  <c r="Y672" i="3"/>
  <c r="T672" i="3"/>
  <c r="K672" i="3"/>
  <c r="F672" i="3"/>
  <c r="Y671" i="3"/>
  <c r="T671" i="3"/>
  <c r="K671" i="3"/>
  <c r="F671" i="3"/>
  <c r="Y670" i="3"/>
  <c r="T670" i="3"/>
  <c r="K670" i="3"/>
  <c r="F670" i="3"/>
  <c r="Y669" i="3"/>
  <c r="T669" i="3"/>
  <c r="K669" i="3"/>
  <c r="F669" i="3"/>
  <c r="Q661" i="3"/>
  <c r="H646" i="3"/>
  <c r="K646" i="3" s="1"/>
  <c r="Y650" i="3"/>
  <c r="T650" i="3"/>
  <c r="T653" i="3"/>
  <c r="Y653" i="3"/>
  <c r="Z653" i="3"/>
  <c r="T654" i="3"/>
  <c r="Y654" i="3"/>
  <c r="T655" i="3"/>
  <c r="Y655" i="3"/>
  <c r="C607" i="3"/>
  <c r="T616" i="3"/>
  <c r="Y616" i="3"/>
  <c r="T617" i="3"/>
  <c r="Y617" i="3"/>
  <c r="T618" i="3"/>
  <c r="Y618" i="3"/>
  <c r="T619" i="3"/>
  <c r="Y619" i="3"/>
  <c r="T620" i="3"/>
  <c r="Y620" i="3"/>
  <c r="Y621" i="3"/>
  <c r="F630" i="3"/>
  <c r="K630" i="3"/>
  <c r="F631" i="3"/>
  <c r="K631" i="3"/>
  <c r="T652" i="3"/>
  <c r="Y652" i="3"/>
  <c r="T635" i="3"/>
  <c r="Y635" i="3"/>
  <c r="T636" i="3"/>
  <c r="Y636" i="3"/>
  <c r="T637" i="3"/>
  <c r="Y637" i="3"/>
  <c r="T638" i="3"/>
  <c r="Y638" i="3"/>
  <c r="Z638" i="3"/>
  <c r="T639" i="3"/>
  <c r="Z639" i="3" s="1"/>
  <c r="Y639" i="3"/>
  <c r="T640" i="3"/>
  <c r="Y640" i="3"/>
  <c r="Z640" i="3"/>
  <c r="T641" i="3"/>
  <c r="Y641" i="3"/>
  <c r="T642" i="3"/>
  <c r="Y642" i="3"/>
  <c r="T643" i="3"/>
  <c r="Y643" i="3"/>
  <c r="T644" i="3"/>
  <c r="Y644" i="3"/>
  <c r="T645" i="3"/>
  <c r="Y645" i="3"/>
  <c r="T646" i="3"/>
  <c r="Y646" i="3"/>
  <c r="T647" i="3"/>
  <c r="Y647" i="3"/>
  <c r="T648" i="3"/>
  <c r="Z648" i="3" s="1"/>
  <c r="Y648" i="3"/>
  <c r="T649" i="3"/>
  <c r="Y649" i="3"/>
  <c r="F635" i="3"/>
  <c r="K635" i="3"/>
  <c r="F636" i="3"/>
  <c r="K636" i="3"/>
  <c r="L636" i="3" s="1"/>
  <c r="F637" i="3"/>
  <c r="K637" i="3"/>
  <c r="F638" i="3"/>
  <c r="K638" i="3"/>
  <c r="F639" i="3"/>
  <c r="K639" i="3"/>
  <c r="L639" i="3" s="1"/>
  <c r="F640" i="3"/>
  <c r="K640" i="3"/>
  <c r="F641" i="3"/>
  <c r="K641" i="3"/>
  <c r="L641" i="3"/>
  <c r="F642" i="3"/>
  <c r="K642" i="3"/>
  <c r="F643" i="3"/>
  <c r="K643" i="3"/>
  <c r="F644" i="3"/>
  <c r="K644" i="3"/>
  <c r="L644" i="3"/>
  <c r="X661" i="3"/>
  <c r="W661" i="3"/>
  <c r="V661" i="3"/>
  <c r="U661" i="3"/>
  <c r="J661" i="3"/>
  <c r="G661" i="3"/>
  <c r="E661" i="3"/>
  <c r="D661" i="3"/>
  <c r="C661" i="3"/>
  <c r="B661" i="3"/>
  <c r="K660" i="3"/>
  <c r="L660" i="3" s="1"/>
  <c r="F660" i="3"/>
  <c r="K659" i="3"/>
  <c r="F659" i="3"/>
  <c r="K657" i="3"/>
  <c r="F657" i="3"/>
  <c r="K656" i="3"/>
  <c r="F656" i="3"/>
  <c r="K655" i="3"/>
  <c r="F655" i="3"/>
  <c r="K654" i="3"/>
  <c r="F654" i="3"/>
  <c r="K653" i="3"/>
  <c r="F653" i="3"/>
  <c r="K652" i="3"/>
  <c r="F652" i="3"/>
  <c r="Y651" i="3"/>
  <c r="T651" i="3"/>
  <c r="K651" i="3"/>
  <c r="F651" i="3"/>
  <c r="K650" i="3"/>
  <c r="F650" i="3"/>
  <c r="K649" i="3"/>
  <c r="F649" i="3"/>
  <c r="K648" i="3"/>
  <c r="F648" i="3"/>
  <c r="K647" i="3"/>
  <c r="F647" i="3"/>
  <c r="F646" i="3"/>
  <c r="K645" i="3"/>
  <c r="F645" i="3"/>
  <c r="S661" i="3"/>
  <c r="R661" i="3"/>
  <c r="P661" i="3"/>
  <c r="Y633" i="3"/>
  <c r="T633" i="3"/>
  <c r="K633" i="3"/>
  <c r="F633" i="3"/>
  <c r="Y632" i="3"/>
  <c r="T632" i="3"/>
  <c r="Z632" i="3" s="1"/>
  <c r="K632" i="3"/>
  <c r="F632" i="3"/>
  <c r="L632" i="3" s="1"/>
  <c r="Y631" i="3"/>
  <c r="T631" i="3"/>
  <c r="Z631" i="3" s="1"/>
  <c r="Y630" i="3"/>
  <c r="T630" i="3"/>
  <c r="Z630" i="3" s="1"/>
  <c r="Y609" i="3"/>
  <c r="T609" i="3"/>
  <c r="K592" i="3"/>
  <c r="K591" i="3"/>
  <c r="F591" i="3"/>
  <c r="L591" i="3" s="1"/>
  <c r="S605" i="3"/>
  <c r="T605" i="3" s="1"/>
  <c r="Y560" i="3"/>
  <c r="T560" i="3"/>
  <c r="Z560" i="3" s="1"/>
  <c r="Y559" i="3"/>
  <c r="T559" i="3"/>
  <c r="Z559" i="3" s="1"/>
  <c r="S596" i="3"/>
  <c r="S622" i="3" s="1"/>
  <c r="R596" i="3"/>
  <c r="R622" i="3" s="1"/>
  <c r="Q596" i="3"/>
  <c r="P596" i="3"/>
  <c r="Y558" i="3"/>
  <c r="T558" i="3"/>
  <c r="Z558" i="3" s="1"/>
  <c r="Y557" i="3"/>
  <c r="T557" i="3"/>
  <c r="Z557" i="3" s="1"/>
  <c r="T574" i="3"/>
  <c r="Y574" i="3"/>
  <c r="T575" i="3"/>
  <c r="Y575" i="3"/>
  <c r="T576" i="3"/>
  <c r="Y576" i="3"/>
  <c r="T577" i="3"/>
  <c r="Y577" i="3"/>
  <c r="T578" i="3"/>
  <c r="Y578" i="3"/>
  <c r="T579" i="3"/>
  <c r="Y579" i="3"/>
  <c r="Z579" i="3"/>
  <c r="T580" i="3"/>
  <c r="Z580" i="3" s="1"/>
  <c r="Y580" i="3"/>
  <c r="T581" i="3"/>
  <c r="Y581" i="3"/>
  <c r="Z581" i="3"/>
  <c r="T582" i="3"/>
  <c r="Y582" i="3"/>
  <c r="X622" i="3"/>
  <c r="W622" i="3"/>
  <c r="V622" i="3"/>
  <c r="U622" i="3"/>
  <c r="Q622" i="3"/>
  <c r="J622" i="3"/>
  <c r="I622" i="3"/>
  <c r="H622" i="3"/>
  <c r="G622" i="3"/>
  <c r="E622" i="3"/>
  <c r="D622" i="3"/>
  <c r="B622" i="3"/>
  <c r="L621" i="3"/>
  <c r="K621" i="3"/>
  <c r="F621" i="3"/>
  <c r="K620" i="3"/>
  <c r="F620" i="3"/>
  <c r="K619" i="3"/>
  <c r="F619" i="3"/>
  <c r="L619" i="3" s="1"/>
  <c r="K618" i="3"/>
  <c r="F618" i="3"/>
  <c r="L618" i="3" s="1"/>
  <c r="K617" i="3"/>
  <c r="F617" i="3"/>
  <c r="L617" i="3" s="1"/>
  <c r="K616" i="3"/>
  <c r="L616" i="3" s="1"/>
  <c r="F616" i="3"/>
  <c r="Y615" i="3"/>
  <c r="T615" i="3"/>
  <c r="Z615" i="3" s="1"/>
  <c r="L615" i="3"/>
  <c r="K615" i="3"/>
  <c r="F615" i="3"/>
  <c r="Y614" i="3"/>
  <c r="T614" i="3"/>
  <c r="Z614" i="3" s="1"/>
  <c r="K614" i="3"/>
  <c r="F614" i="3"/>
  <c r="L614" i="3" s="1"/>
  <c r="Y613" i="3"/>
  <c r="T613" i="3"/>
  <c r="K613" i="3"/>
  <c r="F613" i="3"/>
  <c r="L613" i="3" s="1"/>
  <c r="Y612" i="3"/>
  <c r="T612" i="3"/>
  <c r="Z612" i="3" s="1"/>
  <c r="K612" i="3"/>
  <c r="F612" i="3"/>
  <c r="Y611" i="3"/>
  <c r="T611" i="3"/>
  <c r="Z611" i="3" s="1"/>
  <c r="K611" i="3"/>
  <c r="F611" i="3"/>
  <c r="L611" i="3" s="1"/>
  <c r="Y610" i="3"/>
  <c r="T610" i="3"/>
  <c r="K610" i="3"/>
  <c r="F610" i="3"/>
  <c r="L610" i="3" s="1"/>
  <c r="L609" i="3"/>
  <c r="K609" i="3"/>
  <c r="F609" i="3"/>
  <c r="Y608" i="3"/>
  <c r="T608" i="3"/>
  <c r="Z608" i="3" s="1"/>
  <c r="K608" i="3"/>
  <c r="F608" i="3"/>
  <c r="L608" i="3" s="1"/>
  <c r="Y607" i="3"/>
  <c r="T607" i="3"/>
  <c r="K607" i="3"/>
  <c r="Y606" i="3"/>
  <c r="T606" i="3"/>
  <c r="K606" i="3"/>
  <c r="F606" i="3"/>
  <c r="Y605" i="3"/>
  <c r="K605" i="3"/>
  <c r="F605" i="3"/>
  <c r="L605" i="3" s="1"/>
  <c r="Y604" i="3"/>
  <c r="T604" i="3"/>
  <c r="K604" i="3"/>
  <c r="F604" i="3"/>
  <c r="L604" i="3" s="1"/>
  <c r="Y603" i="3"/>
  <c r="T603" i="3"/>
  <c r="K603" i="3"/>
  <c r="F603" i="3"/>
  <c r="L603" i="3" s="1"/>
  <c r="Y602" i="3"/>
  <c r="T602" i="3"/>
  <c r="K602" i="3"/>
  <c r="F602" i="3"/>
  <c r="L602" i="3" s="1"/>
  <c r="Y601" i="3"/>
  <c r="T601" i="3"/>
  <c r="K601" i="3"/>
  <c r="F601" i="3"/>
  <c r="L601" i="3" s="1"/>
  <c r="Y600" i="3"/>
  <c r="T600" i="3"/>
  <c r="K600" i="3"/>
  <c r="F600" i="3"/>
  <c r="L600" i="3" s="1"/>
  <c r="Y599" i="3"/>
  <c r="T599" i="3"/>
  <c r="K599" i="3"/>
  <c r="F599" i="3"/>
  <c r="L599" i="3" s="1"/>
  <c r="Y598" i="3"/>
  <c r="T598" i="3"/>
  <c r="K598" i="3"/>
  <c r="F598" i="3"/>
  <c r="L598" i="3" s="1"/>
  <c r="Y597" i="3"/>
  <c r="T597" i="3"/>
  <c r="K597" i="3"/>
  <c r="F597" i="3"/>
  <c r="L597" i="3" s="1"/>
  <c r="Y596" i="3"/>
  <c r="K596" i="3"/>
  <c r="F596" i="3"/>
  <c r="L596" i="3" s="1"/>
  <c r="Y594" i="3"/>
  <c r="T594" i="3"/>
  <c r="K594" i="3"/>
  <c r="F594" i="3"/>
  <c r="L594" i="3" s="1"/>
  <c r="Y593" i="3"/>
  <c r="T593" i="3"/>
  <c r="K593" i="3"/>
  <c r="F593" i="3"/>
  <c r="L593" i="3" s="1"/>
  <c r="Y592" i="3"/>
  <c r="T592" i="3"/>
  <c r="F592" i="3"/>
  <c r="Y591" i="3"/>
  <c r="T591" i="3"/>
  <c r="Y522" i="3"/>
  <c r="T522" i="3"/>
  <c r="Y521" i="3"/>
  <c r="T521" i="3"/>
  <c r="Y520" i="3"/>
  <c r="T520" i="3"/>
  <c r="Z520" i="3" s="1"/>
  <c r="Y519" i="3"/>
  <c r="T519" i="3"/>
  <c r="T533" i="3"/>
  <c r="Y533" i="3"/>
  <c r="T534" i="3"/>
  <c r="Y534" i="3"/>
  <c r="T535" i="3"/>
  <c r="Y535" i="3"/>
  <c r="T536" i="3"/>
  <c r="Y536" i="3"/>
  <c r="T537" i="3"/>
  <c r="Y537" i="3"/>
  <c r="T538" i="3"/>
  <c r="Z538" i="3" s="1"/>
  <c r="Y538" i="3"/>
  <c r="T539" i="3"/>
  <c r="Y539" i="3"/>
  <c r="T540" i="3"/>
  <c r="Y540" i="3"/>
  <c r="T541" i="3"/>
  <c r="Y541" i="3"/>
  <c r="T542" i="3"/>
  <c r="Y542" i="3"/>
  <c r="T543" i="3"/>
  <c r="Y543" i="3"/>
  <c r="K555" i="3"/>
  <c r="F555" i="3"/>
  <c r="L555" i="3" s="1"/>
  <c r="K554" i="3"/>
  <c r="F554" i="3"/>
  <c r="K553" i="3"/>
  <c r="F553" i="3"/>
  <c r="K552" i="3"/>
  <c r="F552" i="3"/>
  <c r="T552" i="3"/>
  <c r="Y552" i="3"/>
  <c r="T553" i="3"/>
  <c r="Y553" i="3"/>
  <c r="F557" i="3"/>
  <c r="K557" i="3"/>
  <c r="F558" i="3"/>
  <c r="K558" i="3"/>
  <c r="F559" i="3"/>
  <c r="K559" i="3"/>
  <c r="F560" i="3"/>
  <c r="K560" i="3"/>
  <c r="F561" i="3"/>
  <c r="K561" i="3"/>
  <c r="L561" i="3" s="1"/>
  <c r="F562" i="3"/>
  <c r="K562" i="3"/>
  <c r="F563" i="3"/>
  <c r="K563" i="3"/>
  <c r="L563" i="3"/>
  <c r="F564" i="3"/>
  <c r="L564" i="3" s="1"/>
  <c r="K564" i="3"/>
  <c r="F565" i="3"/>
  <c r="K565" i="3"/>
  <c r="L565" i="3" s="1"/>
  <c r="F566" i="3"/>
  <c r="L566" i="3" s="1"/>
  <c r="K566" i="3"/>
  <c r="F567" i="3"/>
  <c r="K567" i="3"/>
  <c r="F568" i="3"/>
  <c r="K568" i="3"/>
  <c r="X583" i="3"/>
  <c r="W583" i="3"/>
  <c r="V583" i="3"/>
  <c r="U583" i="3"/>
  <c r="S583" i="3"/>
  <c r="R583" i="3"/>
  <c r="Q583" i="3"/>
  <c r="P583" i="3"/>
  <c r="J583" i="3"/>
  <c r="I583" i="3"/>
  <c r="H583" i="3"/>
  <c r="G583" i="3"/>
  <c r="E583" i="3"/>
  <c r="D583" i="3"/>
  <c r="C583" i="3"/>
  <c r="B583" i="3"/>
  <c r="K582" i="3"/>
  <c r="F582" i="3"/>
  <c r="L582" i="3" s="1"/>
  <c r="K581" i="3"/>
  <c r="F581" i="3"/>
  <c r="L581" i="3" s="1"/>
  <c r="K580" i="3"/>
  <c r="L580" i="3" s="1"/>
  <c r="F580" i="3"/>
  <c r="K579" i="3"/>
  <c r="F579" i="3"/>
  <c r="L579" i="3" s="1"/>
  <c r="K578" i="3"/>
  <c r="F578" i="3"/>
  <c r="K577" i="3"/>
  <c r="F577" i="3"/>
  <c r="L577" i="3" s="1"/>
  <c r="K576" i="3"/>
  <c r="F576" i="3"/>
  <c r="K575" i="3"/>
  <c r="F575" i="3"/>
  <c r="L575" i="3" s="1"/>
  <c r="K574" i="3"/>
  <c r="F574" i="3"/>
  <c r="L574" i="3" s="1"/>
  <c r="Y573" i="3"/>
  <c r="Z573" i="3" s="1"/>
  <c r="T573" i="3"/>
  <c r="K573" i="3"/>
  <c r="F573" i="3"/>
  <c r="Y572" i="3"/>
  <c r="T572" i="3"/>
  <c r="K572" i="3"/>
  <c r="F572" i="3"/>
  <c r="L572" i="3" s="1"/>
  <c r="Z571" i="3"/>
  <c r="Y571" i="3"/>
  <c r="T571" i="3"/>
  <c r="K571" i="3"/>
  <c r="F571" i="3"/>
  <c r="Y570" i="3"/>
  <c r="T570" i="3"/>
  <c r="Z570" i="3" s="1"/>
  <c r="K570" i="3"/>
  <c r="F570" i="3"/>
  <c r="Y569" i="3"/>
  <c r="T569" i="3"/>
  <c r="Z569" i="3" s="1"/>
  <c r="K569" i="3"/>
  <c r="F569" i="3"/>
  <c r="Y568" i="3"/>
  <c r="T568" i="3"/>
  <c r="Y567" i="3"/>
  <c r="T567" i="3"/>
  <c r="Z567" i="3" s="1"/>
  <c r="Y566" i="3"/>
  <c r="T566" i="3"/>
  <c r="Z566" i="3" s="1"/>
  <c r="Y565" i="3"/>
  <c r="Z565" i="3" s="1"/>
  <c r="T565" i="3"/>
  <c r="Y564" i="3"/>
  <c r="T564" i="3"/>
  <c r="Y563" i="3"/>
  <c r="T563" i="3"/>
  <c r="Y562" i="3"/>
  <c r="T562" i="3"/>
  <c r="Z562" i="3" s="1"/>
  <c r="Z561" i="3"/>
  <c r="Y561" i="3"/>
  <c r="T561" i="3"/>
  <c r="Y555" i="3"/>
  <c r="T555" i="3"/>
  <c r="Y554" i="3"/>
  <c r="T554" i="3"/>
  <c r="Z554" i="3" s="1"/>
  <c r="S514" i="3"/>
  <c r="R514" i="3"/>
  <c r="Q514" i="3"/>
  <c r="P514" i="3"/>
  <c r="F515" i="3"/>
  <c r="Y518" i="3"/>
  <c r="T518" i="3"/>
  <c r="Y489" i="3"/>
  <c r="T489" i="3"/>
  <c r="E513" i="3"/>
  <c r="F513" i="3" s="1"/>
  <c r="L513" i="3" s="1"/>
  <c r="T475" i="3"/>
  <c r="Y475" i="3"/>
  <c r="Y513" i="3"/>
  <c r="T513" i="3"/>
  <c r="K516" i="3"/>
  <c r="F516" i="3"/>
  <c r="L516" i="3" s="1"/>
  <c r="K515" i="3"/>
  <c r="K514" i="3"/>
  <c r="F514" i="3"/>
  <c r="K513" i="3"/>
  <c r="Y514" i="3"/>
  <c r="F541" i="3"/>
  <c r="K541" i="3"/>
  <c r="F542" i="3"/>
  <c r="K542" i="3"/>
  <c r="F543" i="3"/>
  <c r="K543" i="3"/>
  <c r="L543" i="3" s="1"/>
  <c r="F518" i="3"/>
  <c r="K518" i="3"/>
  <c r="F519" i="3"/>
  <c r="K519" i="3"/>
  <c r="F520" i="3"/>
  <c r="K520" i="3"/>
  <c r="F521" i="3"/>
  <c r="K521" i="3"/>
  <c r="F522" i="3"/>
  <c r="K522" i="3"/>
  <c r="F523" i="3"/>
  <c r="K523" i="3"/>
  <c r="T523" i="3"/>
  <c r="Y523" i="3"/>
  <c r="F524" i="3"/>
  <c r="K524" i="3"/>
  <c r="T524" i="3"/>
  <c r="Y524" i="3"/>
  <c r="F525" i="3"/>
  <c r="K525" i="3"/>
  <c r="T525" i="3"/>
  <c r="Z525" i="3" s="1"/>
  <c r="Y525" i="3"/>
  <c r="F526" i="3"/>
  <c r="K526" i="3"/>
  <c r="T526" i="3"/>
  <c r="Y526" i="3"/>
  <c r="F527" i="3"/>
  <c r="K527" i="3"/>
  <c r="T527" i="3"/>
  <c r="Y527" i="3"/>
  <c r="F528" i="3"/>
  <c r="L528" i="3" s="1"/>
  <c r="K528" i="3"/>
  <c r="T528" i="3"/>
  <c r="Y528" i="3"/>
  <c r="Z528" i="3"/>
  <c r="F529" i="3"/>
  <c r="L529" i="3" s="1"/>
  <c r="K529" i="3"/>
  <c r="T529" i="3"/>
  <c r="Y529" i="3"/>
  <c r="Z529" i="3" s="1"/>
  <c r="F530" i="3"/>
  <c r="K530" i="3"/>
  <c r="T530" i="3"/>
  <c r="Y530" i="3"/>
  <c r="F531" i="3"/>
  <c r="K531" i="3"/>
  <c r="T531" i="3"/>
  <c r="Y531" i="3"/>
  <c r="F532" i="3"/>
  <c r="K532" i="3"/>
  <c r="T532" i="3"/>
  <c r="Y532" i="3"/>
  <c r="Z532" i="3" s="1"/>
  <c r="F533" i="3"/>
  <c r="K533" i="3"/>
  <c r="F534" i="3"/>
  <c r="K534" i="3"/>
  <c r="F535" i="3"/>
  <c r="K535" i="3"/>
  <c r="F536" i="3"/>
  <c r="K536" i="3"/>
  <c r="F537" i="3"/>
  <c r="K537" i="3"/>
  <c r="F538" i="3"/>
  <c r="K538" i="3"/>
  <c r="F539" i="3"/>
  <c r="K539" i="3"/>
  <c r="X544" i="3"/>
  <c r="W544" i="3"/>
  <c r="V544" i="3"/>
  <c r="U544" i="3"/>
  <c r="S544" i="3"/>
  <c r="R544" i="3"/>
  <c r="Q544" i="3"/>
  <c r="P544" i="3"/>
  <c r="J544" i="3"/>
  <c r="I544" i="3"/>
  <c r="H544" i="3"/>
  <c r="G544" i="3"/>
  <c r="E544" i="3"/>
  <c r="D544" i="3"/>
  <c r="C544" i="3"/>
  <c r="B544" i="3"/>
  <c r="K540" i="3"/>
  <c r="F540" i="3"/>
  <c r="Y516" i="3"/>
  <c r="T516" i="3"/>
  <c r="Y515" i="3"/>
  <c r="Z515" i="3" s="1"/>
  <c r="T515" i="3"/>
  <c r="Y488" i="3"/>
  <c r="T488" i="3"/>
  <c r="Y486" i="3"/>
  <c r="T486" i="3"/>
  <c r="Z856" i="3" l="1"/>
  <c r="L856" i="3"/>
  <c r="L817" i="3"/>
  <c r="L638" i="3"/>
  <c r="Z524" i="3"/>
  <c r="Z523" i="3"/>
  <c r="Z536" i="3"/>
  <c r="L685" i="3"/>
  <c r="Z486" i="3"/>
  <c r="Z646" i="3"/>
  <c r="L522" i="3"/>
  <c r="L542" i="3"/>
  <c r="L570" i="3"/>
  <c r="L567" i="3"/>
  <c r="Z553" i="3"/>
  <c r="L554" i="3"/>
  <c r="Z534" i="3"/>
  <c r="L620" i="3"/>
  <c r="Z644" i="3"/>
  <c r="L658" i="3"/>
  <c r="Z531" i="3"/>
  <c r="Z530" i="3"/>
  <c r="L525" i="3"/>
  <c r="Z564" i="3"/>
  <c r="L573" i="3"/>
  <c r="F583" i="3"/>
  <c r="Z537" i="3"/>
  <c r="Z633" i="3"/>
  <c r="L647" i="3"/>
  <c r="L652" i="3"/>
  <c r="L659" i="3"/>
  <c r="Z647" i="3"/>
  <c r="Z660" i="3"/>
  <c r="Z656" i="3"/>
  <c r="L539" i="3"/>
  <c r="L537" i="3"/>
  <c r="Z527" i="3"/>
  <c r="Z518" i="3"/>
  <c r="Z563" i="3"/>
  <c r="Z568" i="3"/>
  <c r="Z572" i="3"/>
  <c r="L576" i="3"/>
  <c r="L578" i="3"/>
  <c r="L559" i="3"/>
  <c r="L557" i="3"/>
  <c r="Z542" i="3"/>
  <c r="Z540" i="3"/>
  <c r="Z592" i="3"/>
  <c r="Z593" i="3"/>
  <c r="Z594" i="3"/>
  <c r="Z610" i="3"/>
  <c r="L612" i="3"/>
  <c r="Z577" i="3"/>
  <c r="Z575" i="3"/>
  <c r="Z605" i="3"/>
  <c r="Z609" i="3"/>
  <c r="L633" i="3"/>
  <c r="L645" i="3"/>
  <c r="Z651" i="3"/>
  <c r="L653" i="3"/>
  <c r="L655" i="3"/>
  <c r="L657" i="3"/>
  <c r="H661" i="3"/>
  <c r="L642" i="3"/>
  <c r="Z636" i="3"/>
  <c r="Z652" i="3"/>
  <c r="Z654" i="3"/>
  <c r="Z650" i="3"/>
  <c r="Z674" i="3"/>
  <c r="Z676" i="3"/>
  <c r="L677" i="3"/>
  <c r="Z659" i="3"/>
  <c r="Z678" i="3"/>
  <c r="L635" i="3"/>
  <c r="C622" i="3"/>
  <c r="F622" i="3" s="1"/>
  <c r="F607" i="3"/>
  <c r="L607" i="3" s="1"/>
  <c r="Z619" i="3"/>
  <c r="L687" i="3"/>
  <c r="L630" i="3"/>
  <c r="Z526" i="3"/>
  <c r="Z513" i="3"/>
  <c r="T596" i="3"/>
  <c r="Z596" i="3" s="1"/>
  <c r="P622" i="3"/>
  <c r="T622" i="3" s="1"/>
  <c r="Z622" i="3" s="1"/>
  <c r="L643" i="3"/>
  <c r="Z642" i="3"/>
  <c r="L571" i="3"/>
  <c r="L568" i="3"/>
  <c r="L562" i="3"/>
  <c r="L560" i="3"/>
  <c r="Z543" i="3"/>
  <c r="Z535" i="3"/>
  <c r="Z578" i="3"/>
  <c r="L640" i="3"/>
  <c r="Z645" i="3"/>
  <c r="Z637" i="3"/>
  <c r="Z617" i="3"/>
  <c r="Z516" i="3"/>
  <c r="L538" i="3"/>
  <c r="L536" i="3"/>
  <c r="L527" i="3"/>
  <c r="L523" i="3"/>
  <c r="L519" i="3"/>
  <c r="T514" i="3"/>
  <c r="Z514" i="3" s="1"/>
  <c r="L558" i="3"/>
  <c r="Z552" i="3"/>
  <c r="Z541" i="3"/>
  <c r="Z533" i="3"/>
  <c r="L606" i="3"/>
  <c r="Z576" i="3"/>
  <c r="L648" i="3"/>
  <c r="L650" i="3"/>
  <c r="Z643" i="3"/>
  <c r="Z635" i="3"/>
  <c r="L631" i="3"/>
  <c r="Z620" i="3"/>
  <c r="Z655" i="3"/>
  <c r="Z658" i="3"/>
  <c r="L530" i="3"/>
  <c r="L526" i="3"/>
  <c r="L541" i="3"/>
  <c r="Z489" i="3"/>
  <c r="Z555" i="3"/>
  <c r="L569" i="3"/>
  <c r="L552" i="3"/>
  <c r="Z539" i="3"/>
  <c r="Z519" i="3"/>
  <c r="Z521" i="3"/>
  <c r="Z591" i="3"/>
  <c r="Z597" i="3"/>
  <c r="Z598" i="3"/>
  <c r="Z599" i="3"/>
  <c r="Z600" i="3"/>
  <c r="Z601" i="3"/>
  <c r="Z602" i="3"/>
  <c r="Z603" i="3"/>
  <c r="Z604" i="3"/>
  <c r="Z606" i="3"/>
  <c r="Z607" i="3"/>
  <c r="Z613" i="3"/>
  <c r="Z582" i="3"/>
  <c r="Z574" i="3"/>
  <c r="L656" i="3"/>
  <c r="L637" i="3"/>
  <c r="Z649" i="3"/>
  <c r="Z641" i="3"/>
  <c r="Z616" i="3"/>
  <c r="L646" i="3"/>
  <c r="Z670" i="3"/>
  <c r="Z672" i="3"/>
  <c r="L699" i="3"/>
  <c r="L684" i="3"/>
  <c r="L679" i="3"/>
  <c r="Z698" i="3"/>
  <c r="Z677" i="3"/>
  <c r="L778" i="3"/>
  <c r="Z778" i="3"/>
  <c r="Z739" i="3"/>
  <c r="L739" i="3"/>
  <c r="L686" i="3"/>
  <c r="L681" i="3"/>
  <c r="L680" i="3"/>
  <c r="L675" i="3"/>
  <c r="F700" i="3"/>
  <c r="K674" i="3"/>
  <c r="L674" i="3" s="1"/>
  <c r="K700" i="3"/>
  <c r="L654" i="3"/>
  <c r="Z657" i="3"/>
  <c r="L651" i="3"/>
  <c r="L649" i="3"/>
  <c r="Y700" i="3"/>
  <c r="L669" i="3"/>
  <c r="L670" i="3"/>
  <c r="L671" i="3"/>
  <c r="L672" i="3"/>
  <c r="Z669" i="3"/>
  <c r="Z671" i="3"/>
  <c r="Z675" i="3"/>
  <c r="Z679" i="3"/>
  <c r="Z681" i="3"/>
  <c r="L689" i="3"/>
  <c r="L691" i="3"/>
  <c r="Q700" i="3"/>
  <c r="T700" i="3" s="1"/>
  <c r="Z618" i="3"/>
  <c r="T621" i="3"/>
  <c r="Z621" i="3" s="1"/>
  <c r="Y661" i="3"/>
  <c r="T661" i="3"/>
  <c r="K661" i="3"/>
  <c r="F661" i="3"/>
  <c r="Y622" i="3"/>
  <c r="L592" i="3"/>
  <c r="K622" i="3"/>
  <c r="L553" i="3"/>
  <c r="Y583" i="3"/>
  <c r="Z522" i="3"/>
  <c r="L540" i="3"/>
  <c r="L535" i="3"/>
  <c r="L534" i="3"/>
  <c r="L533" i="3"/>
  <c r="L532" i="3"/>
  <c r="L531" i="3"/>
  <c r="T583" i="3"/>
  <c r="K583" i="3"/>
  <c r="L583" i="3" s="1"/>
  <c r="L515" i="3"/>
  <c r="L524" i="3"/>
  <c r="F544" i="3"/>
  <c r="L521" i="3"/>
  <c r="L520" i="3"/>
  <c r="L514" i="3"/>
  <c r="L518" i="3"/>
  <c r="Z475" i="3"/>
  <c r="K544" i="3"/>
  <c r="Y544" i="3"/>
  <c r="T544" i="3"/>
  <c r="Z488" i="3"/>
  <c r="F490" i="3"/>
  <c r="K490" i="3"/>
  <c r="Y485" i="3"/>
  <c r="T485" i="3"/>
  <c r="Z485" i="3" s="1"/>
  <c r="K487" i="3"/>
  <c r="F487" i="3"/>
  <c r="L487" i="3" s="1"/>
  <c r="Y481" i="3"/>
  <c r="T481" i="3"/>
  <c r="Z481" i="3" s="1"/>
  <c r="Y479" i="3"/>
  <c r="T479" i="3"/>
  <c r="Z479" i="3" s="1"/>
  <c r="K477" i="3"/>
  <c r="F477" i="3"/>
  <c r="L477" i="3" s="1"/>
  <c r="K476" i="3"/>
  <c r="F476" i="3"/>
  <c r="L476" i="3" s="1"/>
  <c r="K475" i="3"/>
  <c r="F475" i="3"/>
  <c r="K474" i="3"/>
  <c r="F474" i="3"/>
  <c r="L474" i="3" s="1"/>
  <c r="F479" i="3"/>
  <c r="K479" i="3"/>
  <c r="F480" i="3"/>
  <c r="K480" i="3"/>
  <c r="T480" i="3"/>
  <c r="Z480" i="3" s="1"/>
  <c r="Y480" i="3"/>
  <c r="F481" i="3"/>
  <c r="K481" i="3"/>
  <c r="F482" i="3"/>
  <c r="K482" i="3"/>
  <c r="T482" i="3"/>
  <c r="Y482" i="3"/>
  <c r="F483" i="3"/>
  <c r="K483" i="3"/>
  <c r="T483" i="3"/>
  <c r="Y483" i="3"/>
  <c r="Z483" i="3"/>
  <c r="F484" i="3"/>
  <c r="K484" i="3"/>
  <c r="T484" i="3"/>
  <c r="Z484" i="3" s="1"/>
  <c r="Y484" i="3"/>
  <c r="F485" i="3"/>
  <c r="K485" i="3"/>
  <c r="F486" i="3"/>
  <c r="K486" i="3"/>
  <c r="T487" i="3"/>
  <c r="Y487" i="3"/>
  <c r="Z487" i="3"/>
  <c r="F488" i="3"/>
  <c r="K488" i="3"/>
  <c r="F489" i="3"/>
  <c r="K489" i="3"/>
  <c r="T490" i="3"/>
  <c r="Y490" i="3"/>
  <c r="F491" i="3"/>
  <c r="K491" i="3"/>
  <c r="T491" i="3"/>
  <c r="Y491" i="3"/>
  <c r="Z491" i="3"/>
  <c r="F492" i="3"/>
  <c r="K492" i="3"/>
  <c r="T492" i="3"/>
  <c r="Y492" i="3"/>
  <c r="Z492" i="3"/>
  <c r="F493" i="3"/>
  <c r="K493" i="3"/>
  <c r="T493" i="3"/>
  <c r="Y493" i="3"/>
  <c r="F494" i="3"/>
  <c r="K494" i="3"/>
  <c r="T494" i="3"/>
  <c r="Y494" i="3"/>
  <c r="X505" i="3"/>
  <c r="W505" i="3"/>
  <c r="V505" i="3"/>
  <c r="U505" i="3"/>
  <c r="R505" i="3"/>
  <c r="Q505" i="3"/>
  <c r="P505" i="3"/>
  <c r="J505" i="3"/>
  <c r="I505" i="3"/>
  <c r="H505" i="3"/>
  <c r="G505" i="3"/>
  <c r="E505" i="3"/>
  <c r="D505" i="3"/>
  <c r="C505" i="3"/>
  <c r="B505" i="3"/>
  <c r="Y504" i="3"/>
  <c r="T504" i="3"/>
  <c r="K504" i="3"/>
  <c r="F504" i="3"/>
  <c r="Y503" i="3"/>
  <c r="T503" i="3"/>
  <c r="K503" i="3"/>
  <c r="F503" i="3"/>
  <c r="Y502" i="3"/>
  <c r="T502" i="3"/>
  <c r="K502" i="3"/>
  <c r="F502" i="3"/>
  <c r="Y501" i="3"/>
  <c r="T501" i="3"/>
  <c r="K501" i="3"/>
  <c r="F501" i="3"/>
  <c r="Y500" i="3"/>
  <c r="T500" i="3"/>
  <c r="K500" i="3"/>
  <c r="F500" i="3"/>
  <c r="Y499" i="3"/>
  <c r="T499" i="3"/>
  <c r="K499" i="3"/>
  <c r="F499" i="3"/>
  <c r="Y498" i="3"/>
  <c r="T498" i="3"/>
  <c r="K498" i="3"/>
  <c r="F498" i="3"/>
  <c r="Y497" i="3"/>
  <c r="T497" i="3"/>
  <c r="K497" i="3"/>
  <c r="F497" i="3"/>
  <c r="Y496" i="3"/>
  <c r="T496" i="3"/>
  <c r="K496" i="3"/>
  <c r="F496" i="3"/>
  <c r="Y495" i="3"/>
  <c r="T495" i="3"/>
  <c r="K495" i="3"/>
  <c r="F495" i="3"/>
  <c r="Y477" i="3"/>
  <c r="T477" i="3"/>
  <c r="Y476" i="3"/>
  <c r="T476" i="3"/>
  <c r="Z476" i="3" s="1"/>
  <c r="Y474" i="3"/>
  <c r="T474" i="3"/>
  <c r="S440" i="3"/>
  <c r="S466" i="3" s="1"/>
  <c r="Y441" i="3"/>
  <c r="T441" i="3"/>
  <c r="Y421" i="3"/>
  <c r="T421" i="3"/>
  <c r="Z421" i="3" s="1"/>
  <c r="I422" i="3"/>
  <c r="K422" i="3" s="1"/>
  <c r="L422" i="3" s="1"/>
  <c r="H418" i="3"/>
  <c r="K418" i="3" s="1"/>
  <c r="Y415" i="3"/>
  <c r="T415" i="3"/>
  <c r="Z415" i="3" s="1"/>
  <c r="E418" i="3"/>
  <c r="F418" i="3" s="1"/>
  <c r="D418" i="3"/>
  <c r="C415" i="3"/>
  <c r="F415" i="3" s="1"/>
  <c r="Y413" i="3"/>
  <c r="T413" i="3"/>
  <c r="F416" i="3"/>
  <c r="Y412" i="3"/>
  <c r="T412" i="3"/>
  <c r="Z412" i="3" s="1"/>
  <c r="Y409" i="3"/>
  <c r="T409" i="3"/>
  <c r="F440" i="3"/>
  <c r="K440" i="3"/>
  <c r="F441" i="3"/>
  <c r="K441" i="3"/>
  <c r="F442" i="3"/>
  <c r="K442" i="3"/>
  <c r="F443" i="3"/>
  <c r="K443" i="3"/>
  <c r="F444" i="3"/>
  <c r="K444" i="3"/>
  <c r="F445" i="3"/>
  <c r="K445" i="3"/>
  <c r="F446" i="3"/>
  <c r="K446" i="3"/>
  <c r="F447" i="3"/>
  <c r="K447" i="3"/>
  <c r="F448" i="3"/>
  <c r="K448" i="3"/>
  <c r="F449" i="3"/>
  <c r="K449" i="3"/>
  <c r="J466" i="3"/>
  <c r="H466" i="3"/>
  <c r="E466" i="3"/>
  <c r="D466" i="3"/>
  <c r="B466" i="3"/>
  <c r="K465" i="3"/>
  <c r="F465" i="3"/>
  <c r="K464" i="3"/>
  <c r="F464" i="3"/>
  <c r="L464" i="3" s="1"/>
  <c r="K463" i="3"/>
  <c r="F463" i="3"/>
  <c r="K462" i="3"/>
  <c r="F462" i="3"/>
  <c r="L462" i="3" s="1"/>
  <c r="K461" i="3"/>
  <c r="F461" i="3"/>
  <c r="K460" i="3"/>
  <c r="F460" i="3"/>
  <c r="L460" i="3" s="1"/>
  <c r="K459" i="3"/>
  <c r="F459" i="3"/>
  <c r="L459" i="3" s="1"/>
  <c r="K458" i="3"/>
  <c r="F458" i="3"/>
  <c r="K457" i="3"/>
  <c r="F457" i="3"/>
  <c r="K456" i="3"/>
  <c r="F456" i="3"/>
  <c r="K455" i="3"/>
  <c r="F455" i="3"/>
  <c r="L455" i="3" s="1"/>
  <c r="K454" i="3"/>
  <c r="F454" i="3"/>
  <c r="L454" i="3" s="1"/>
  <c r="K453" i="3"/>
  <c r="F453" i="3"/>
  <c r="K452" i="3"/>
  <c r="F452" i="3"/>
  <c r="L452" i="3" s="1"/>
  <c r="K451" i="3"/>
  <c r="F451" i="3"/>
  <c r="K450" i="3"/>
  <c r="F450" i="3"/>
  <c r="L450" i="3" s="1"/>
  <c r="I466" i="3"/>
  <c r="G466" i="3"/>
  <c r="C466" i="3"/>
  <c r="K438" i="3"/>
  <c r="F438" i="3"/>
  <c r="K437" i="3"/>
  <c r="F437" i="3"/>
  <c r="L437" i="3" s="1"/>
  <c r="K436" i="3"/>
  <c r="F436" i="3"/>
  <c r="K435" i="3"/>
  <c r="F435" i="3"/>
  <c r="T425" i="3"/>
  <c r="Y425" i="3"/>
  <c r="T426" i="3"/>
  <c r="Y426" i="3"/>
  <c r="Z426" i="3"/>
  <c r="T440" i="3"/>
  <c r="Z440" i="3" s="1"/>
  <c r="Y440" i="3"/>
  <c r="T442" i="3"/>
  <c r="Y442" i="3"/>
  <c r="T443" i="3"/>
  <c r="Y443" i="3"/>
  <c r="T444" i="3"/>
  <c r="Y444" i="3"/>
  <c r="T445" i="3"/>
  <c r="Y445" i="3"/>
  <c r="T446" i="3"/>
  <c r="Y446" i="3"/>
  <c r="T447" i="3"/>
  <c r="Z447" i="3" s="1"/>
  <c r="Y447" i="3"/>
  <c r="X466" i="3"/>
  <c r="W466" i="3"/>
  <c r="V466" i="3"/>
  <c r="U466" i="3"/>
  <c r="R466" i="3"/>
  <c r="Y465" i="3"/>
  <c r="T465" i="3"/>
  <c r="Y464" i="3"/>
  <c r="Q466" i="3"/>
  <c r="P466" i="3"/>
  <c r="Y463" i="3"/>
  <c r="T463" i="3"/>
  <c r="Y462" i="3"/>
  <c r="T462" i="3"/>
  <c r="Z462" i="3" s="1"/>
  <c r="Y461" i="3"/>
  <c r="T461" i="3"/>
  <c r="Y460" i="3"/>
  <c r="T460" i="3"/>
  <c r="Z460" i="3" s="1"/>
  <c r="Y459" i="3"/>
  <c r="T459" i="3"/>
  <c r="Z459" i="3" s="1"/>
  <c r="Y458" i="3"/>
  <c r="T458" i="3"/>
  <c r="Y457" i="3"/>
  <c r="T457" i="3"/>
  <c r="Y456" i="3"/>
  <c r="T456" i="3"/>
  <c r="Y455" i="3"/>
  <c r="T455" i="3"/>
  <c r="Z455" i="3" s="1"/>
  <c r="Y454" i="3"/>
  <c r="Z454" i="3" s="1"/>
  <c r="T454" i="3"/>
  <c r="Y453" i="3"/>
  <c r="T453" i="3"/>
  <c r="Y452" i="3"/>
  <c r="T452" i="3"/>
  <c r="Y451" i="3"/>
  <c r="T451" i="3"/>
  <c r="Z451" i="3" s="1"/>
  <c r="Y450" i="3"/>
  <c r="T450" i="3"/>
  <c r="Y449" i="3"/>
  <c r="T449" i="3"/>
  <c r="Y448" i="3"/>
  <c r="T448" i="3"/>
  <c r="Y438" i="3"/>
  <c r="T438" i="3"/>
  <c r="Z438" i="3" s="1"/>
  <c r="Y437" i="3"/>
  <c r="T437" i="3"/>
  <c r="Y436" i="3"/>
  <c r="T436" i="3"/>
  <c r="Z436" i="3" s="1"/>
  <c r="Y435" i="3"/>
  <c r="T435" i="3"/>
  <c r="Z435" i="3" s="1"/>
  <c r="G409" i="3"/>
  <c r="G427" i="3" s="1"/>
  <c r="Y407" i="3"/>
  <c r="T407" i="3"/>
  <c r="I409" i="3"/>
  <c r="C409" i="3"/>
  <c r="F409" i="3" s="1"/>
  <c r="Y405" i="3"/>
  <c r="T405" i="3"/>
  <c r="Y404" i="3"/>
  <c r="T404" i="3"/>
  <c r="H403" i="3"/>
  <c r="K403" i="3" s="1"/>
  <c r="C403" i="3"/>
  <c r="D403" i="3"/>
  <c r="D427" i="3" s="1"/>
  <c r="T384" i="3"/>
  <c r="Z384" i="3" s="1"/>
  <c r="Y384" i="3"/>
  <c r="T385" i="3"/>
  <c r="Y385" i="3"/>
  <c r="Y387" i="3"/>
  <c r="T387" i="3"/>
  <c r="Y386" i="3"/>
  <c r="T386" i="3"/>
  <c r="Z386" i="3" s="1"/>
  <c r="R427" i="3"/>
  <c r="P427" i="3"/>
  <c r="Y402" i="3"/>
  <c r="T402" i="3"/>
  <c r="Z402" i="3" s="1"/>
  <c r="D387" i="3"/>
  <c r="D388" i="3" s="1"/>
  <c r="Y401" i="3"/>
  <c r="T401" i="3"/>
  <c r="Y380" i="3"/>
  <c r="T380" i="3"/>
  <c r="K399" i="3"/>
  <c r="F399" i="3"/>
  <c r="K398" i="3"/>
  <c r="F398" i="3"/>
  <c r="K397" i="3"/>
  <c r="F397" i="3"/>
  <c r="K396" i="3"/>
  <c r="F396" i="3"/>
  <c r="L396" i="3" s="1"/>
  <c r="T403" i="3"/>
  <c r="Y403" i="3"/>
  <c r="T406" i="3"/>
  <c r="Y406" i="3"/>
  <c r="T408" i="3"/>
  <c r="Y408" i="3"/>
  <c r="Z408" i="3"/>
  <c r="T410" i="3"/>
  <c r="Z410" i="3" s="1"/>
  <c r="Y410" i="3"/>
  <c r="T411" i="3"/>
  <c r="Y411" i="3"/>
  <c r="T414" i="3"/>
  <c r="Y414" i="3"/>
  <c r="T416" i="3"/>
  <c r="Y416" i="3"/>
  <c r="Z416" i="3" s="1"/>
  <c r="T417" i="3"/>
  <c r="Y417" i="3"/>
  <c r="T418" i="3"/>
  <c r="Y418" i="3"/>
  <c r="T419" i="3"/>
  <c r="Y419" i="3"/>
  <c r="T420" i="3"/>
  <c r="Y420" i="3"/>
  <c r="T422" i="3"/>
  <c r="Y422" i="3"/>
  <c r="T423" i="3"/>
  <c r="Y423" i="3"/>
  <c r="Z423" i="3" s="1"/>
  <c r="T424" i="3"/>
  <c r="Y424" i="3"/>
  <c r="F401" i="3"/>
  <c r="K401" i="3"/>
  <c r="F402" i="3"/>
  <c r="K402" i="3"/>
  <c r="F404" i="3"/>
  <c r="K404" i="3"/>
  <c r="F405" i="3"/>
  <c r="K405" i="3"/>
  <c r="F406" i="3"/>
  <c r="L406" i="3" s="1"/>
  <c r="K406" i="3"/>
  <c r="F407" i="3"/>
  <c r="K407" i="3"/>
  <c r="F408" i="3"/>
  <c r="L408" i="3" s="1"/>
  <c r="K408" i="3"/>
  <c r="F410" i="3"/>
  <c r="K410" i="3"/>
  <c r="F411" i="3"/>
  <c r="K411" i="3"/>
  <c r="F412" i="3"/>
  <c r="K412" i="3"/>
  <c r="F413" i="3"/>
  <c r="K413" i="3"/>
  <c r="F414" i="3"/>
  <c r="K414" i="3"/>
  <c r="K415" i="3"/>
  <c r="K416" i="3"/>
  <c r="F417" i="3"/>
  <c r="K417" i="3"/>
  <c r="F419" i="3"/>
  <c r="K419" i="3"/>
  <c r="F420" i="3"/>
  <c r="K420" i="3"/>
  <c r="F421" i="3"/>
  <c r="K421" i="3"/>
  <c r="F422" i="3"/>
  <c r="F423" i="3"/>
  <c r="K423" i="3"/>
  <c r="X427" i="3"/>
  <c r="W427" i="3"/>
  <c r="V427" i="3"/>
  <c r="U427" i="3"/>
  <c r="J427" i="3"/>
  <c r="K426" i="3"/>
  <c r="F426" i="3"/>
  <c r="L426" i="3" s="1"/>
  <c r="S427" i="3"/>
  <c r="Q427" i="3"/>
  <c r="K425" i="3"/>
  <c r="F425" i="3"/>
  <c r="K424" i="3"/>
  <c r="F424" i="3"/>
  <c r="B427" i="3"/>
  <c r="H427" i="3"/>
  <c r="Y399" i="3"/>
  <c r="T399" i="3"/>
  <c r="Z399" i="3" s="1"/>
  <c r="Y398" i="3"/>
  <c r="T398" i="3"/>
  <c r="Z398" i="3" s="1"/>
  <c r="Y397" i="3"/>
  <c r="T397" i="3"/>
  <c r="Z397" i="3" s="1"/>
  <c r="Y396" i="3"/>
  <c r="T396" i="3"/>
  <c r="Z396" i="3" s="1"/>
  <c r="C383" i="3"/>
  <c r="B383" i="3"/>
  <c r="B388" i="3" s="1"/>
  <c r="R388" i="3"/>
  <c r="Q388" i="3"/>
  <c r="P388" i="3"/>
  <c r="Y378" i="3"/>
  <c r="T378" i="3"/>
  <c r="Z378" i="3" s="1"/>
  <c r="Y377" i="3"/>
  <c r="T377" i="3"/>
  <c r="Y376" i="3"/>
  <c r="T376" i="3"/>
  <c r="Z376" i="3" s="1"/>
  <c r="Y370" i="3"/>
  <c r="T370" i="3"/>
  <c r="J371" i="3"/>
  <c r="J388" i="3" s="1"/>
  <c r="C371" i="3"/>
  <c r="F371" i="3" s="1"/>
  <c r="Y366" i="3"/>
  <c r="T366" i="3"/>
  <c r="T345" i="3"/>
  <c r="Y345" i="3"/>
  <c r="Z345" i="3" s="1"/>
  <c r="T346" i="3"/>
  <c r="Z346" i="3" s="1"/>
  <c r="Y346" i="3"/>
  <c r="T347" i="3"/>
  <c r="Y347" i="3"/>
  <c r="T348" i="3"/>
  <c r="Y348" i="3"/>
  <c r="Z348" i="3"/>
  <c r="T383" i="3"/>
  <c r="Z383" i="3" s="1"/>
  <c r="Y383" i="3"/>
  <c r="T382" i="3"/>
  <c r="Y382" i="3"/>
  <c r="H363" i="3"/>
  <c r="H388" i="3" s="1"/>
  <c r="Y341" i="3"/>
  <c r="T341" i="3"/>
  <c r="C343" i="3"/>
  <c r="C349" i="3" s="1"/>
  <c r="Y340" i="3"/>
  <c r="T340" i="3"/>
  <c r="Y360" i="3"/>
  <c r="T360" i="3"/>
  <c r="Z360" i="3" s="1"/>
  <c r="Y359" i="3"/>
  <c r="T359" i="3"/>
  <c r="Y358" i="3"/>
  <c r="T358" i="3"/>
  <c r="Z358" i="3" s="1"/>
  <c r="Y357" i="3"/>
  <c r="T357" i="3"/>
  <c r="Z357" i="3" s="1"/>
  <c r="T362" i="3"/>
  <c r="Z362" i="3" s="1"/>
  <c r="Y362" i="3"/>
  <c r="T363" i="3"/>
  <c r="Y363" i="3"/>
  <c r="T364" i="3"/>
  <c r="Z364" i="3" s="1"/>
  <c r="Y364" i="3"/>
  <c r="T365" i="3"/>
  <c r="Y365" i="3"/>
  <c r="T367" i="3"/>
  <c r="Y367" i="3"/>
  <c r="T368" i="3"/>
  <c r="Y368" i="3"/>
  <c r="Z368" i="3" s="1"/>
  <c r="T369" i="3"/>
  <c r="Y369" i="3"/>
  <c r="T371" i="3"/>
  <c r="Y371" i="3"/>
  <c r="T372" i="3"/>
  <c r="Z372" i="3" s="1"/>
  <c r="Y372" i="3"/>
  <c r="T373" i="3"/>
  <c r="Y373" i="3"/>
  <c r="T374" i="3"/>
  <c r="Y374" i="3"/>
  <c r="Z374" i="3"/>
  <c r="T375" i="3"/>
  <c r="Y375" i="3"/>
  <c r="T379" i="3"/>
  <c r="Y379" i="3"/>
  <c r="F362" i="3"/>
  <c r="K362" i="3"/>
  <c r="F363" i="3"/>
  <c r="K363" i="3"/>
  <c r="L363" i="3" s="1"/>
  <c r="F364" i="3"/>
  <c r="L364" i="3" s="1"/>
  <c r="K364" i="3"/>
  <c r="F365" i="3"/>
  <c r="K365" i="3"/>
  <c r="F366" i="3"/>
  <c r="K366" i="3"/>
  <c r="F367" i="3"/>
  <c r="K367" i="3"/>
  <c r="F368" i="3"/>
  <c r="K368" i="3"/>
  <c r="L368" i="3"/>
  <c r="F369" i="3"/>
  <c r="K369" i="3"/>
  <c r="F370" i="3"/>
  <c r="K370" i="3"/>
  <c r="F372" i="3"/>
  <c r="L372" i="3" s="1"/>
  <c r="K372" i="3"/>
  <c r="F373" i="3"/>
  <c r="K373" i="3"/>
  <c r="L373" i="3" s="1"/>
  <c r="F374" i="3"/>
  <c r="L374" i="3" s="1"/>
  <c r="K374" i="3"/>
  <c r="F375" i="3"/>
  <c r="K375" i="3"/>
  <c r="F376" i="3"/>
  <c r="L376" i="3" s="1"/>
  <c r="K376" i="3"/>
  <c r="F377" i="3"/>
  <c r="K377" i="3"/>
  <c r="F378" i="3"/>
  <c r="K378" i="3"/>
  <c r="L378" i="3"/>
  <c r="F379" i="3"/>
  <c r="K379" i="3"/>
  <c r="F380" i="3"/>
  <c r="K380" i="3"/>
  <c r="F381" i="3"/>
  <c r="K381" i="3"/>
  <c r="F382" i="3"/>
  <c r="K382" i="3"/>
  <c r="X388" i="3"/>
  <c r="W388" i="3"/>
  <c r="V388" i="3"/>
  <c r="U388" i="3"/>
  <c r="I388" i="3"/>
  <c r="G388" i="3"/>
  <c r="E388" i="3"/>
  <c r="K387" i="3"/>
  <c r="F387" i="3"/>
  <c r="K386" i="3"/>
  <c r="F386" i="3"/>
  <c r="K385" i="3"/>
  <c r="F385" i="3"/>
  <c r="K384" i="3"/>
  <c r="F384" i="3"/>
  <c r="K383" i="3"/>
  <c r="Y381" i="3"/>
  <c r="T381" i="3"/>
  <c r="K360" i="3"/>
  <c r="F360" i="3"/>
  <c r="K359" i="3"/>
  <c r="F359" i="3"/>
  <c r="K358" i="3"/>
  <c r="F358" i="3"/>
  <c r="K357" i="3"/>
  <c r="F357" i="3"/>
  <c r="T305" i="3"/>
  <c r="Y305" i="3"/>
  <c r="T306" i="3"/>
  <c r="Z306" i="3" s="1"/>
  <c r="Y306" i="3"/>
  <c r="T307" i="3"/>
  <c r="Y307" i="3"/>
  <c r="Z307" i="3"/>
  <c r="T308" i="3"/>
  <c r="Y308" i="3"/>
  <c r="T309" i="3"/>
  <c r="Y309" i="3"/>
  <c r="Y334" i="3"/>
  <c r="T334" i="3"/>
  <c r="Z334" i="3" s="1"/>
  <c r="Y330" i="3"/>
  <c r="T330" i="3"/>
  <c r="C330" i="3"/>
  <c r="P297" i="3"/>
  <c r="P310" i="3" s="1"/>
  <c r="Y295" i="3"/>
  <c r="T295" i="3"/>
  <c r="Z295" i="3" s="1"/>
  <c r="Y294" i="3"/>
  <c r="T294" i="3"/>
  <c r="Z294" i="3" s="1"/>
  <c r="Y291" i="3"/>
  <c r="T291" i="3"/>
  <c r="Z291" i="3" s="1"/>
  <c r="Y290" i="3"/>
  <c r="T290" i="3"/>
  <c r="Z290" i="3" s="1"/>
  <c r="T268" i="3"/>
  <c r="Y268" i="3"/>
  <c r="T269" i="3"/>
  <c r="Y269" i="3"/>
  <c r="Z269" i="3"/>
  <c r="T270" i="3"/>
  <c r="Y270" i="3"/>
  <c r="S310" i="3"/>
  <c r="Q310" i="3"/>
  <c r="T265" i="3"/>
  <c r="Y265" i="3"/>
  <c r="Y287" i="3"/>
  <c r="T287" i="3"/>
  <c r="Z287" i="3" s="1"/>
  <c r="T323" i="3"/>
  <c r="Y323" i="3"/>
  <c r="F321" i="3"/>
  <c r="K321" i="3"/>
  <c r="L321" i="3" s="1"/>
  <c r="F323" i="3"/>
  <c r="K323" i="3"/>
  <c r="F324" i="3"/>
  <c r="K324" i="3"/>
  <c r="L324" i="3" s="1"/>
  <c r="F325" i="3"/>
  <c r="K325" i="3"/>
  <c r="F326" i="3"/>
  <c r="K326" i="3"/>
  <c r="F327" i="3"/>
  <c r="K327" i="3"/>
  <c r="F328" i="3"/>
  <c r="K328" i="3"/>
  <c r="T280" i="3"/>
  <c r="Y280" i="3"/>
  <c r="X349" i="3"/>
  <c r="W349" i="3"/>
  <c r="V349" i="3"/>
  <c r="U349" i="3"/>
  <c r="R349" i="3"/>
  <c r="Q349" i="3"/>
  <c r="P349" i="3"/>
  <c r="J349" i="3"/>
  <c r="I349" i="3"/>
  <c r="H349" i="3"/>
  <c r="G349" i="3"/>
  <c r="E349" i="3"/>
  <c r="D349" i="3"/>
  <c r="B349" i="3"/>
  <c r="K348" i="3"/>
  <c r="F348" i="3"/>
  <c r="L348" i="3" s="1"/>
  <c r="K347" i="3"/>
  <c r="F347" i="3"/>
  <c r="K346" i="3"/>
  <c r="F346" i="3"/>
  <c r="K345" i="3"/>
  <c r="F345" i="3"/>
  <c r="L345" i="3" s="1"/>
  <c r="Y344" i="3"/>
  <c r="T344" i="3"/>
  <c r="Z344" i="3" s="1"/>
  <c r="K344" i="3"/>
  <c r="F344" i="3"/>
  <c r="Y343" i="3"/>
  <c r="T343" i="3"/>
  <c r="Z343" i="3" s="1"/>
  <c r="K343" i="3"/>
  <c r="F343" i="3"/>
  <c r="L343" i="3" s="1"/>
  <c r="Y342" i="3"/>
  <c r="T342" i="3"/>
  <c r="Z342" i="3" s="1"/>
  <c r="K342" i="3"/>
  <c r="F342" i="3"/>
  <c r="L342" i="3" s="1"/>
  <c r="K341" i="3"/>
  <c r="F341" i="3"/>
  <c r="K340" i="3"/>
  <c r="F340" i="3"/>
  <c r="Y339" i="3"/>
  <c r="T339" i="3"/>
  <c r="Z339" i="3" s="1"/>
  <c r="K339" i="3"/>
  <c r="F339" i="3"/>
  <c r="L339" i="3" s="1"/>
  <c r="Y338" i="3"/>
  <c r="T338" i="3"/>
  <c r="Z338" i="3" s="1"/>
  <c r="K338" i="3"/>
  <c r="F338" i="3"/>
  <c r="Y337" i="3"/>
  <c r="T337" i="3"/>
  <c r="Z337" i="3" s="1"/>
  <c r="K337" i="3"/>
  <c r="F337" i="3"/>
  <c r="L337" i="3" s="1"/>
  <c r="Y336" i="3"/>
  <c r="T336" i="3"/>
  <c r="Z336" i="3" s="1"/>
  <c r="K336" i="3"/>
  <c r="F336" i="3"/>
  <c r="Y335" i="3"/>
  <c r="T335" i="3"/>
  <c r="Z335" i="3" s="1"/>
  <c r="K335" i="3"/>
  <c r="F335" i="3"/>
  <c r="L335" i="3" s="1"/>
  <c r="K334" i="3"/>
  <c r="F334" i="3"/>
  <c r="Y333" i="3"/>
  <c r="T333" i="3"/>
  <c r="Z333" i="3" s="1"/>
  <c r="K333" i="3"/>
  <c r="F333" i="3"/>
  <c r="L333" i="3" s="1"/>
  <c r="Y332" i="3"/>
  <c r="T332" i="3"/>
  <c r="Z332" i="3" s="1"/>
  <c r="K332" i="3"/>
  <c r="F332" i="3"/>
  <c r="Y331" i="3"/>
  <c r="T331" i="3"/>
  <c r="Z331" i="3" s="1"/>
  <c r="K331" i="3"/>
  <c r="F331" i="3"/>
  <c r="L331" i="3" s="1"/>
  <c r="K330" i="3"/>
  <c r="F330" i="3"/>
  <c r="Y329" i="3"/>
  <c r="T329" i="3"/>
  <c r="Z329" i="3" s="1"/>
  <c r="K329" i="3"/>
  <c r="F329" i="3"/>
  <c r="L329" i="3" s="1"/>
  <c r="Y328" i="3"/>
  <c r="T328" i="3"/>
  <c r="Z328" i="3" s="1"/>
  <c r="Y327" i="3"/>
  <c r="T327" i="3"/>
  <c r="Z327" i="3" s="1"/>
  <c r="Y326" i="3"/>
  <c r="T326" i="3"/>
  <c r="Z326" i="3" s="1"/>
  <c r="Y325" i="3"/>
  <c r="T325" i="3"/>
  <c r="Z325" i="3" s="1"/>
  <c r="Y324" i="3"/>
  <c r="T324" i="3"/>
  <c r="Z324" i="3" s="1"/>
  <c r="Y321" i="3"/>
  <c r="T321" i="3"/>
  <c r="Z321" i="3" s="1"/>
  <c r="Y320" i="3"/>
  <c r="T320" i="3"/>
  <c r="Z320" i="3" s="1"/>
  <c r="K320" i="3"/>
  <c r="F320" i="3"/>
  <c r="Y319" i="3"/>
  <c r="T319" i="3"/>
  <c r="Z319" i="3" s="1"/>
  <c r="K319" i="3"/>
  <c r="F319" i="3"/>
  <c r="Y318" i="3"/>
  <c r="T318" i="3"/>
  <c r="Z318" i="3" s="1"/>
  <c r="K318" i="3"/>
  <c r="F318" i="3"/>
  <c r="T260" i="3"/>
  <c r="Y260" i="3"/>
  <c r="Z260" i="3" s="1"/>
  <c r="Y258" i="3"/>
  <c r="T258" i="3"/>
  <c r="Z258" i="3" s="1"/>
  <c r="Y254" i="3"/>
  <c r="T254" i="3"/>
  <c r="E243" i="3"/>
  <c r="Y252" i="3"/>
  <c r="T252" i="3"/>
  <c r="Y255" i="3"/>
  <c r="T255" i="3"/>
  <c r="Z255" i="3" s="1"/>
  <c r="Y253" i="3"/>
  <c r="T253" i="3"/>
  <c r="Y251" i="3"/>
  <c r="T251" i="3"/>
  <c r="Z251" i="3" s="1"/>
  <c r="Y250" i="3"/>
  <c r="T250" i="3"/>
  <c r="Y249" i="3"/>
  <c r="T249" i="3"/>
  <c r="Z249" i="3" s="1"/>
  <c r="Y248" i="3"/>
  <c r="T248" i="3"/>
  <c r="Y247" i="3"/>
  <c r="T247" i="3"/>
  <c r="Z247" i="3" s="1"/>
  <c r="Y246" i="3"/>
  <c r="T246" i="3"/>
  <c r="Y245" i="3"/>
  <c r="T245" i="3"/>
  <c r="Z245" i="3" s="1"/>
  <c r="K257" i="3"/>
  <c r="F257" i="3"/>
  <c r="T281" i="3"/>
  <c r="Y281" i="3"/>
  <c r="T267" i="3"/>
  <c r="Y267" i="3"/>
  <c r="F279" i="3"/>
  <c r="K279" i="3"/>
  <c r="F284" i="3"/>
  <c r="L284" i="3" s="1"/>
  <c r="K284" i="3"/>
  <c r="F285" i="3"/>
  <c r="K285" i="3"/>
  <c r="J310" i="3"/>
  <c r="I310" i="3"/>
  <c r="H310" i="3"/>
  <c r="G310" i="3"/>
  <c r="E310" i="3"/>
  <c r="D310" i="3"/>
  <c r="C310" i="3"/>
  <c r="B310" i="3"/>
  <c r="K309" i="3"/>
  <c r="F309" i="3"/>
  <c r="K308" i="3"/>
  <c r="F308" i="3"/>
  <c r="L308" i="3" s="1"/>
  <c r="K307" i="3"/>
  <c r="F307" i="3"/>
  <c r="K306" i="3"/>
  <c r="F306" i="3"/>
  <c r="L306" i="3" s="1"/>
  <c r="K305" i="3"/>
  <c r="F305" i="3"/>
  <c r="K304" i="3"/>
  <c r="F304" i="3"/>
  <c r="L304" i="3" s="1"/>
  <c r="K303" i="3"/>
  <c r="F303" i="3"/>
  <c r="K302" i="3"/>
  <c r="F302" i="3"/>
  <c r="K301" i="3"/>
  <c r="F301" i="3"/>
  <c r="K300" i="3"/>
  <c r="F300" i="3"/>
  <c r="K299" i="3"/>
  <c r="F299" i="3"/>
  <c r="K298" i="3"/>
  <c r="F298" i="3"/>
  <c r="K297" i="3"/>
  <c r="F297" i="3"/>
  <c r="K296" i="3"/>
  <c r="F296" i="3"/>
  <c r="K295" i="3"/>
  <c r="F295" i="3"/>
  <c r="K294" i="3"/>
  <c r="F294" i="3"/>
  <c r="K293" i="3"/>
  <c r="F293" i="3"/>
  <c r="K292" i="3"/>
  <c r="F292" i="3"/>
  <c r="K291" i="3"/>
  <c r="F291" i="3"/>
  <c r="K290" i="3"/>
  <c r="F290" i="3"/>
  <c r="K289" i="3"/>
  <c r="F289" i="3"/>
  <c r="K288" i="3"/>
  <c r="F288" i="3"/>
  <c r="K287" i="3"/>
  <c r="F287" i="3"/>
  <c r="K286" i="3"/>
  <c r="F286" i="3"/>
  <c r="K282" i="3"/>
  <c r="F282" i="3"/>
  <c r="K281" i="3"/>
  <c r="F281" i="3"/>
  <c r="K280" i="3"/>
  <c r="F280" i="3"/>
  <c r="T282" i="3"/>
  <c r="Y282" i="3"/>
  <c r="X310" i="3"/>
  <c r="W310" i="3"/>
  <c r="V310" i="3"/>
  <c r="U310" i="3"/>
  <c r="R310" i="3"/>
  <c r="Y304" i="3"/>
  <c r="T304" i="3"/>
  <c r="Y303" i="3"/>
  <c r="T303" i="3"/>
  <c r="Y302" i="3"/>
  <c r="T302" i="3"/>
  <c r="Z302" i="3" s="1"/>
  <c r="Y301" i="3"/>
  <c r="T301" i="3"/>
  <c r="Y300" i="3"/>
  <c r="T300" i="3"/>
  <c r="Z300" i="3" s="1"/>
  <c r="Y299" i="3"/>
  <c r="T299" i="3"/>
  <c r="Y298" i="3"/>
  <c r="T298" i="3"/>
  <c r="Z298" i="3" s="1"/>
  <c r="Y297" i="3"/>
  <c r="Y296" i="3"/>
  <c r="T296" i="3"/>
  <c r="Y293" i="3"/>
  <c r="T293" i="3"/>
  <c r="Y292" i="3"/>
  <c r="T292" i="3"/>
  <c r="Z292" i="3" s="1"/>
  <c r="Y289" i="3"/>
  <c r="T289" i="3"/>
  <c r="Y288" i="3"/>
  <c r="T288" i="3"/>
  <c r="Z288" i="3" s="1"/>
  <c r="Y286" i="3"/>
  <c r="T286" i="3"/>
  <c r="Y285" i="3"/>
  <c r="T285" i="3"/>
  <c r="Z285" i="3" s="1"/>
  <c r="Y284" i="3"/>
  <c r="T284" i="3"/>
  <c r="Y279" i="3"/>
  <c r="T279" i="3"/>
  <c r="Z279" i="3" s="1"/>
  <c r="Y209" i="3"/>
  <c r="T209" i="3"/>
  <c r="Y240" i="3"/>
  <c r="Y241" i="3"/>
  <c r="T240" i="3"/>
  <c r="T241" i="3"/>
  <c r="L377" i="3" l="1"/>
  <c r="L367" i="3"/>
  <c r="Z373" i="3"/>
  <c r="Z382" i="3"/>
  <c r="L417" i="3"/>
  <c r="L410" i="3"/>
  <c r="Z420" i="3"/>
  <c r="Z418" i="3"/>
  <c r="Z411" i="3"/>
  <c r="Z406" i="3"/>
  <c r="Z458" i="3"/>
  <c r="L465" i="3"/>
  <c r="Z494" i="3"/>
  <c r="Z493" i="3"/>
  <c r="L302" i="3"/>
  <c r="L370" i="3"/>
  <c r="E427" i="3"/>
  <c r="Z385" i="3"/>
  <c r="I427" i="3"/>
  <c r="K427" i="3" s="1"/>
  <c r="Z449" i="3"/>
  <c r="Z446" i="3"/>
  <c r="Z444" i="3"/>
  <c r="L496" i="3"/>
  <c r="L498" i="3"/>
  <c r="L499" i="3"/>
  <c r="L500" i="3"/>
  <c r="L501" i="3"/>
  <c r="L503" i="3"/>
  <c r="L504" i="3"/>
  <c r="Z482" i="3"/>
  <c r="Z209" i="3"/>
  <c r="Z286" i="3"/>
  <c r="Z293" i="3"/>
  <c r="T297" i="3"/>
  <c r="Z297" i="3" s="1"/>
  <c r="Z299" i="3"/>
  <c r="Z303" i="3"/>
  <c r="L293" i="3"/>
  <c r="L307" i="3"/>
  <c r="L309" i="3"/>
  <c r="L257" i="3"/>
  <c r="Z246" i="3"/>
  <c r="Z248" i="3"/>
  <c r="Z250" i="3"/>
  <c r="Z253" i="3"/>
  <c r="L357" i="3"/>
  <c r="L369" i="3"/>
  <c r="Z359" i="3"/>
  <c r="Z366" i="3"/>
  <c r="Z370" i="3"/>
  <c r="Z417" i="3"/>
  <c r="Z414" i="3"/>
  <c r="Z403" i="3"/>
  <c r="Z387" i="3"/>
  <c r="Z405" i="3"/>
  <c r="Z407" i="3"/>
  <c r="Z448" i="3"/>
  <c r="Z450" i="3"/>
  <c r="Z452" i="3"/>
  <c r="L451" i="3"/>
  <c r="L458" i="3"/>
  <c r="Z409" i="3"/>
  <c r="Z441" i="3"/>
  <c r="Z477" i="3"/>
  <c r="Z495" i="3"/>
  <c r="Z496" i="3"/>
  <c r="Z497" i="3"/>
  <c r="Z498" i="3"/>
  <c r="Z499" i="3"/>
  <c r="Z500" i="3"/>
  <c r="Z501" i="3"/>
  <c r="Z502" i="3"/>
  <c r="Z503" i="3"/>
  <c r="Z504" i="3"/>
  <c r="Z490" i="3"/>
  <c r="Z365" i="3"/>
  <c r="K409" i="3"/>
  <c r="L409" i="3" s="1"/>
  <c r="Z422" i="3"/>
  <c r="F403" i="3"/>
  <c r="L403" i="3" s="1"/>
  <c r="Z437" i="3"/>
  <c r="Z453" i="3"/>
  <c r="L436" i="3"/>
  <c r="L453" i="3"/>
  <c r="L448" i="3"/>
  <c r="L282" i="3"/>
  <c r="L291" i="3"/>
  <c r="L326" i="3"/>
  <c r="Z363" i="3"/>
  <c r="F383" i="3"/>
  <c r="L383" i="3" s="1"/>
  <c r="L413" i="3"/>
  <c r="Z419" i="3"/>
  <c r="Z457" i="3"/>
  <c r="Z445" i="3"/>
  <c r="L457" i="3"/>
  <c r="L494" i="3"/>
  <c r="L489" i="3"/>
  <c r="L482" i="3"/>
  <c r="Z268" i="3"/>
  <c r="Z309" i="3"/>
  <c r="Z371" i="3"/>
  <c r="Z340" i="3"/>
  <c r="L419" i="3"/>
  <c r="Z424" i="3"/>
  <c r="Z465" i="3"/>
  <c r="Z425" i="3"/>
  <c r="L491" i="3"/>
  <c r="L486" i="3"/>
  <c r="L483" i="3"/>
  <c r="L328" i="3"/>
  <c r="Z304" i="3"/>
  <c r="L281" i="3"/>
  <c r="L286" i="3"/>
  <c r="L288" i="3"/>
  <c r="L290" i="3"/>
  <c r="L292" i="3"/>
  <c r="L294" i="3"/>
  <c r="L296" i="3"/>
  <c r="L298" i="3"/>
  <c r="Z280" i="3"/>
  <c r="L325" i="3"/>
  <c r="Z323" i="3"/>
  <c r="Z265" i="3"/>
  <c r="Z270" i="3"/>
  <c r="Z308" i="3"/>
  <c r="Z305" i="3"/>
  <c r="L365" i="3"/>
  <c r="L362" i="3"/>
  <c r="Z375" i="3"/>
  <c r="Z369" i="3"/>
  <c r="Z367" i="3"/>
  <c r="Z341" i="3"/>
  <c r="Z347" i="3"/>
  <c r="L412" i="3"/>
  <c r="L407" i="3"/>
  <c r="L397" i="3"/>
  <c r="L399" i="3"/>
  <c r="Z401" i="3"/>
  <c r="Z404" i="3"/>
  <c r="Z456" i="3"/>
  <c r="Z461" i="3"/>
  <c r="Z463" i="3"/>
  <c r="L456" i="3"/>
  <c r="L461" i="3"/>
  <c r="L463" i="3"/>
  <c r="L449" i="3"/>
  <c r="L447" i="3"/>
  <c r="L445" i="3"/>
  <c r="Z413" i="3"/>
  <c r="L493" i="3"/>
  <c r="L485" i="3"/>
  <c r="L479" i="3"/>
  <c r="L700" i="3"/>
  <c r="Z700" i="3"/>
  <c r="Z661" i="3"/>
  <c r="L661" i="3"/>
  <c r="L622" i="3"/>
  <c r="Z583" i="3"/>
  <c r="Z544" i="3"/>
  <c r="L544" i="3"/>
  <c r="L502" i="3"/>
  <c r="L497" i="3"/>
  <c r="L495" i="3"/>
  <c r="Z474" i="3"/>
  <c r="L492" i="3"/>
  <c r="L490" i="3"/>
  <c r="K505" i="3"/>
  <c r="L488" i="3"/>
  <c r="L484" i="3"/>
  <c r="L475" i="3"/>
  <c r="F505" i="3"/>
  <c r="L481" i="3"/>
  <c r="L480" i="3"/>
  <c r="Y505" i="3"/>
  <c r="S505" i="3"/>
  <c r="Z443" i="3"/>
  <c r="L446" i="3"/>
  <c r="L444" i="3"/>
  <c r="Z442" i="3"/>
  <c r="Y466" i="3"/>
  <c r="L443" i="3"/>
  <c r="L442" i="3"/>
  <c r="L441" i="3"/>
  <c r="L440" i="3"/>
  <c r="L425" i="3"/>
  <c r="L424" i="3"/>
  <c r="L423" i="3"/>
  <c r="L421" i="3"/>
  <c r="L420" i="3"/>
  <c r="L418" i="3"/>
  <c r="L416" i="3"/>
  <c r="L415" i="3"/>
  <c r="L414" i="3"/>
  <c r="L411" i="3"/>
  <c r="F466" i="3"/>
  <c r="L438" i="3"/>
  <c r="L435" i="3"/>
  <c r="K466" i="3"/>
  <c r="T466" i="3"/>
  <c r="T464" i="3"/>
  <c r="Z464" i="3" s="1"/>
  <c r="L405" i="3"/>
  <c r="L404" i="3"/>
  <c r="L398" i="3"/>
  <c r="C427" i="3"/>
  <c r="F427" i="3" s="1"/>
  <c r="L402" i="3"/>
  <c r="L401" i="3"/>
  <c r="L387" i="3"/>
  <c r="Y427" i="3"/>
  <c r="L386" i="3"/>
  <c r="L385" i="3"/>
  <c r="Z381" i="3"/>
  <c r="Z380" i="3"/>
  <c r="L384" i="3"/>
  <c r="T427" i="3"/>
  <c r="C388" i="3"/>
  <c r="F388" i="3" s="1"/>
  <c r="L382" i="3"/>
  <c r="Z379" i="3"/>
  <c r="L381" i="3"/>
  <c r="L380" i="3"/>
  <c r="Z377" i="3"/>
  <c r="L379" i="3"/>
  <c r="L360" i="3"/>
  <c r="L375" i="3"/>
  <c r="K371" i="3"/>
  <c r="L371" i="3" s="1"/>
  <c r="L358" i="3"/>
  <c r="L366" i="3"/>
  <c r="Y388" i="3"/>
  <c r="L347" i="3"/>
  <c r="L346" i="3"/>
  <c r="L344" i="3"/>
  <c r="L359" i="3"/>
  <c r="K388" i="3"/>
  <c r="S388" i="3"/>
  <c r="L341" i="3"/>
  <c r="L340" i="3"/>
  <c r="Z330" i="3"/>
  <c r="L327" i="3"/>
  <c r="L323" i="3"/>
  <c r="L301" i="3"/>
  <c r="L300" i="3"/>
  <c r="L299" i="3"/>
  <c r="Y349" i="3"/>
  <c r="L319" i="3"/>
  <c r="F349" i="3"/>
  <c r="K349" i="3"/>
  <c r="L318" i="3"/>
  <c r="L320" i="3"/>
  <c r="L330" i="3"/>
  <c r="L332" i="3"/>
  <c r="L334" i="3"/>
  <c r="L336" i="3"/>
  <c r="L338" i="3"/>
  <c r="S349" i="3"/>
  <c r="T349" i="3" s="1"/>
  <c r="Z254" i="3"/>
  <c r="Z252" i="3"/>
  <c r="L287" i="3"/>
  <c r="L285" i="3"/>
  <c r="Z267" i="3"/>
  <c r="L295" i="3"/>
  <c r="L303" i="3"/>
  <c r="Z284" i="3"/>
  <c r="Z289" i="3"/>
  <c r="Z296" i="3"/>
  <c r="Z301" i="3"/>
  <c r="L289" i="3"/>
  <c r="L297" i="3"/>
  <c r="L305" i="3"/>
  <c r="Z282" i="3"/>
  <c r="Z281" i="3"/>
  <c r="T310" i="3"/>
  <c r="Y310" i="3"/>
  <c r="L280" i="3"/>
  <c r="L279" i="3"/>
  <c r="F310" i="3"/>
  <c r="K310" i="3"/>
  <c r="Z240" i="3"/>
  <c r="Z241" i="3"/>
  <c r="Y201" i="3"/>
  <c r="T201" i="3"/>
  <c r="L505" i="3" l="1"/>
  <c r="T505" i="3"/>
  <c r="Z505" i="3" s="1"/>
  <c r="Z466" i="3"/>
  <c r="L466" i="3"/>
  <c r="Z427" i="3"/>
  <c r="L427" i="3"/>
  <c r="L388" i="3"/>
  <c r="T388" i="3"/>
  <c r="Z388" i="3" s="1"/>
  <c r="Z349" i="3"/>
  <c r="L349" i="3"/>
  <c r="Z310" i="3"/>
  <c r="L310" i="3"/>
  <c r="Z201" i="3"/>
  <c r="F245" i="3"/>
  <c r="K245" i="3"/>
  <c r="F246" i="3"/>
  <c r="K246" i="3"/>
  <c r="F247" i="3"/>
  <c r="K247" i="3"/>
  <c r="F248" i="3"/>
  <c r="K248" i="3"/>
  <c r="F249" i="3"/>
  <c r="K249" i="3"/>
  <c r="F250" i="3"/>
  <c r="K250" i="3"/>
  <c r="F251" i="3"/>
  <c r="K251" i="3"/>
  <c r="F240" i="3"/>
  <c r="K240" i="3"/>
  <c r="F241" i="3"/>
  <c r="K241" i="3"/>
  <c r="F242" i="3"/>
  <c r="K242" i="3"/>
  <c r="X271" i="3"/>
  <c r="X429" i="3" s="1"/>
  <c r="W271" i="3"/>
  <c r="W429" i="3" s="1"/>
  <c r="V271" i="3"/>
  <c r="V429" i="3" s="1"/>
  <c r="U271" i="3"/>
  <c r="U429" i="3" s="1"/>
  <c r="S271" i="3"/>
  <c r="S429" i="3" s="1"/>
  <c r="R271" i="3"/>
  <c r="R429" i="3" s="1"/>
  <c r="Q271" i="3"/>
  <c r="Q429" i="3" s="1"/>
  <c r="P271" i="3"/>
  <c r="P429" i="3" s="1"/>
  <c r="I271" i="3"/>
  <c r="H271" i="3"/>
  <c r="G271" i="3"/>
  <c r="E271" i="3"/>
  <c r="D271" i="3"/>
  <c r="C271" i="3"/>
  <c r="B271" i="3"/>
  <c r="K270" i="3"/>
  <c r="F270" i="3"/>
  <c r="K269" i="3"/>
  <c r="F269" i="3"/>
  <c r="K268" i="3"/>
  <c r="F268" i="3"/>
  <c r="K267" i="3"/>
  <c r="F267" i="3"/>
  <c r="Y266" i="3"/>
  <c r="T266" i="3"/>
  <c r="K266" i="3"/>
  <c r="F266" i="3"/>
  <c r="K265" i="3"/>
  <c r="F265" i="3"/>
  <c r="Y264" i="3"/>
  <c r="T264" i="3"/>
  <c r="K264" i="3"/>
  <c r="F264" i="3"/>
  <c r="Y263" i="3"/>
  <c r="T263" i="3"/>
  <c r="K263" i="3"/>
  <c r="F263" i="3"/>
  <c r="Y262" i="3"/>
  <c r="T262" i="3"/>
  <c r="K262" i="3"/>
  <c r="F262" i="3"/>
  <c r="Y261" i="3"/>
  <c r="T261" i="3"/>
  <c r="K261" i="3"/>
  <c r="F261" i="3"/>
  <c r="K260" i="3"/>
  <c r="F260" i="3"/>
  <c r="Y259" i="3"/>
  <c r="T259" i="3"/>
  <c r="K259" i="3"/>
  <c r="F259" i="3"/>
  <c r="K258" i="3"/>
  <c r="F258" i="3"/>
  <c r="Y257" i="3"/>
  <c r="T257" i="3"/>
  <c r="Y256" i="3"/>
  <c r="T256" i="3"/>
  <c r="K256" i="3"/>
  <c r="F256" i="3"/>
  <c r="K255" i="3"/>
  <c r="F255" i="3"/>
  <c r="K254" i="3"/>
  <c r="F254" i="3"/>
  <c r="K253" i="3"/>
  <c r="F253" i="3"/>
  <c r="K252" i="3"/>
  <c r="F252" i="3"/>
  <c r="J271" i="3"/>
  <c r="Y243" i="3"/>
  <c r="T243" i="3"/>
  <c r="K243" i="3"/>
  <c r="F243" i="3"/>
  <c r="Y242" i="3"/>
  <c r="T242" i="3"/>
  <c r="L253" i="3" l="1"/>
  <c r="L256" i="3"/>
  <c r="Z257" i="3"/>
  <c r="L259" i="3"/>
  <c r="L262" i="3"/>
  <c r="Z263" i="3"/>
  <c r="L265" i="3"/>
  <c r="Z266" i="3"/>
  <c r="L268" i="3"/>
  <c r="L249" i="3"/>
  <c r="L242" i="3"/>
  <c r="Z242" i="3"/>
  <c r="L247" i="3"/>
  <c r="L254" i="3"/>
  <c r="L260" i="3"/>
  <c r="Z261" i="3"/>
  <c r="L263" i="3"/>
  <c r="Z264" i="3"/>
  <c r="L266" i="3"/>
  <c r="L269" i="3"/>
  <c r="L243" i="3"/>
  <c r="L251" i="3"/>
  <c r="L248" i="3"/>
  <c r="L252" i="3"/>
  <c r="L255" i="3"/>
  <c r="Z256" i="3"/>
  <c r="L258" i="3"/>
  <c r="Z259" i="3"/>
  <c r="L261" i="3"/>
  <c r="Z262" i="3"/>
  <c r="L264" i="3"/>
  <c r="L267" i="3"/>
  <c r="L270" i="3"/>
  <c r="L250" i="3"/>
  <c r="L240" i="3"/>
  <c r="Z243" i="3"/>
  <c r="K271" i="3"/>
  <c r="L245" i="3"/>
  <c r="T271" i="3"/>
  <c r="T429" i="3" s="1"/>
  <c r="L241" i="3"/>
  <c r="L246" i="3"/>
  <c r="Y271" i="3"/>
  <c r="Y429" i="3" s="1"/>
  <c r="F271" i="3"/>
  <c r="Y206" i="3"/>
  <c r="T206" i="3"/>
  <c r="F209" i="3"/>
  <c r="F210" i="3"/>
  <c r="F211" i="3"/>
  <c r="F212" i="3"/>
  <c r="F181" i="3"/>
  <c r="K181" i="3"/>
  <c r="F182" i="3"/>
  <c r="K182" i="3"/>
  <c r="K207" i="3"/>
  <c r="F207" i="3"/>
  <c r="J206" i="3"/>
  <c r="K206" i="3" s="1"/>
  <c r="F206" i="3"/>
  <c r="T430" i="3" l="1"/>
  <c r="S430" i="3"/>
  <c r="Q430" i="3"/>
  <c r="R430" i="3"/>
  <c r="P430" i="3"/>
  <c r="L271" i="3"/>
  <c r="Z206" i="3"/>
  <c r="Z271" i="3"/>
  <c r="Z429" i="3" s="1"/>
  <c r="L181" i="3"/>
  <c r="L207" i="3"/>
  <c r="L182" i="3"/>
  <c r="L206" i="3"/>
  <c r="T207" i="3"/>
  <c r="Y207" i="3"/>
  <c r="T208" i="3"/>
  <c r="Y208" i="3"/>
  <c r="T210" i="3"/>
  <c r="Y210" i="3"/>
  <c r="T211" i="3"/>
  <c r="Y211" i="3"/>
  <c r="T212" i="3"/>
  <c r="Y212" i="3"/>
  <c r="T213" i="3"/>
  <c r="Y213" i="3"/>
  <c r="T214" i="3"/>
  <c r="Y214" i="3"/>
  <c r="T215" i="3"/>
  <c r="Y215" i="3"/>
  <c r="T216" i="3"/>
  <c r="Y216" i="3"/>
  <c r="T217" i="3"/>
  <c r="Y217" i="3"/>
  <c r="F208" i="3"/>
  <c r="K208" i="3"/>
  <c r="K209" i="3"/>
  <c r="K210" i="3"/>
  <c r="L210" i="3" s="1"/>
  <c r="K211" i="3"/>
  <c r="L211" i="3" s="1"/>
  <c r="K212" i="3"/>
  <c r="F213" i="3"/>
  <c r="K213" i="3"/>
  <c r="F214" i="3"/>
  <c r="K214" i="3"/>
  <c r="F215" i="3"/>
  <c r="K215" i="3"/>
  <c r="F216" i="3"/>
  <c r="K216" i="3"/>
  <c r="F217" i="3"/>
  <c r="K217" i="3"/>
  <c r="F218" i="3"/>
  <c r="K218" i="3"/>
  <c r="F219" i="3"/>
  <c r="K219" i="3"/>
  <c r="X232" i="3"/>
  <c r="W232" i="3"/>
  <c r="V232" i="3"/>
  <c r="U232" i="3"/>
  <c r="S232" i="3"/>
  <c r="R232" i="3"/>
  <c r="Q232" i="3"/>
  <c r="P232" i="3"/>
  <c r="G232" i="3"/>
  <c r="D232" i="3"/>
  <c r="C232" i="3"/>
  <c r="B232" i="3"/>
  <c r="Y231" i="3"/>
  <c r="T231" i="3"/>
  <c r="K231" i="3"/>
  <c r="F231" i="3"/>
  <c r="Y230" i="3"/>
  <c r="T230" i="3"/>
  <c r="K230" i="3"/>
  <c r="F230" i="3"/>
  <c r="Y229" i="3"/>
  <c r="T229" i="3"/>
  <c r="K229" i="3"/>
  <c r="F229" i="3"/>
  <c r="Y228" i="3"/>
  <c r="T228" i="3"/>
  <c r="K228" i="3"/>
  <c r="F228" i="3"/>
  <c r="Y227" i="3"/>
  <c r="T227" i="3"/>
  <c r="K227" i="3"/>
  <c r="F227" i="3"/>
  <c r="Y226" i="3"/>
  <c r="T226" i="3"/>
  <c r="K226" i="3"/>
  <c r="F226" i="3"/>
  <c r="Y225" i="3"/>
  <c r="T225" i="3"/>
  <c r="K225" i="3"/>
  <c r="F225" i="3"/>
  <c r="Y224" i="3"/>
  <c r="T224" i="3"/>
  <c r="K224" i="3"/>
  <c r="F224" i="3"/>
  <c r="Y223" i="3"/>
  <c r="T223" i="3"/>
  <c r="K223" i="3"/>
  <c r="F223" i="3"/>
  <c r="Y222" i="3"/>
  <c r="T222" i="3"/>
  <c r="K222" i="3"/>
  <c r="F222" i="3"/>
  <c r="Y221" i="3"/>
  <c r="T221" i="3"/>
  <c r="K221" i="3"/>
  <c r="F221" i="3"/>
  <c r="Y220" i="3"/>
  <c r="T220" i="3"/>
  <c r="K220" i="3"/>
  <c r="F220" i="3"/>
  <c r="Y219" i="3"/>
  <c r="T219" i="3"/>
  <c r="Y218" i="3"/>
  <c r="T218" i="3"/>
  <c r="J232" i="3"/>
  <c r="I232" i="3"/>
  <c r="E232" i="3"/>
  <c r="Y204" i="3"/>
  <c r="T204" i="3"/>
  <c r="K204" i="3"/>
  <c r="F204" i="3"/>
  <c r="Y203" i="3"/>
  <c r="T203" i="3"/>
  <c r="K203" i="3"/>
  <c r="F203" i="3"/>
  <c r="K202" i="3"/>
  <c r="F202" i="3"/>
  <c r="K201" i="3"/>
  <c r="F201" i="3"/>
  <c r="Z215" i="3" l="1"/>
  <c r="L202" i="3"/>
  <c r="L208" i="3"/>
  <c r="Z219" i="3"/>
  <c r="L221" i="3"/>
  <c r="Z222" i="3"/>
  <c r="L224" i="3"/>
  <c r="Z225" i="3"/>
  <c r="L227" i="3"/>
  <c r="Z228" i="3"/>
  <c r="L230" i="3"/>
  <c r="Z231" i="3"/>
  <c r="L218" i="3"/>
  <c r="Z214" i="3"/>
  <c r="Z208" i="3"/>
  <c r="L201" i="3"/>
  <c r="Z213" i="3"/>
  <c r="Z207" i="3"/>
  <c r="L214" i="3"/>
  <c r="L204" i="3"/>
  <c r="L213" i="3"/>
  <c r="Z212" i="3"/>
  <c r="L212" i="3"/>
  <c r="Z216" i="3"/>
  <c r="Z210" i="3"/>
  <c r="Z218" i="3"/>
  <c r="Z220" i="3"/>
  <c r="L222" i="3"/>
  <c r="Z223" i="3"/>
  <c r="L225" i="3"/>
  <c r="Z226" i="3"/>
  <c r="L228" i="3"/>
  <c r="Z229" i="3"/>
  <c r="L231" i="3"/>
  <c r="Z217" i="3"/>
  <c r="Z211" i="3"/>
  <c r="Z203" i="3"/>
  <c r="L217" i="3"/>
  <c r="L220" i="3"/>
  <c r="Z221" i="3"/>
  <c r="L223" i="3"/>
  <c r="Z224" i="3"/>
  <c r="L226" i="3"/>
  <c r="Z227" i="3"/>
  <c r="L229" i="3"/>
  <c r="Z230" i="3"/>
  <c r="L219" i="3"/>
  <c r="L209" i="3"/>
  <c r="L216" i="3"/>
  <c r="L203" i="3"/>
  <c r="Z204" i="3"/>
  <c r="L215" i="3"/>
  <c r="T232" i="3"/>
  <c r="Y232" i="3"/>
  <c r="F232" i="3"/>
  <c r="H232" i="3"/>
  <c r="Y173" i="3"/>
  <c r="T173" i="3"/>
  <c r="Y171" i="3"/>
  <c r="T171" i="3"/>
  <c r="H171" i="3"/>
  <c r="H193" i="3" s="1"/>
  <c r="J171" i="3"/>
  <c r="I171" i="3"/>
  <c r="I193" i="3" s="1"/>
  <c r="E167" i="3"/>
  <c r="F167" i="3" s="1"/>
  <c r="T167" i="3"/>
  <c r="Y167" i="3"/>
  <c r="Y168" i="3"/>
  <c r="Y169" i="3"/>
  <c r="Y170" i="3"/>
  <c r="Y172" i="3"/>
  <c r="Y174" i="3"/>
  <c r="Y175" i="3"/>
  <c r="Y176" i="3"/>
  <c r="T168" i="3"/>
  <c r="T169" i="3"/>
  <c r="T170" i="3"/>
  <c r="T172" i="3"/>
  <c r="T174" i="3"/>
  <c r="T175" i="3"/>
  <c r="T176" i="3"/>
  <c r="T136" i="3"/>
  <c r="Y136" i="3"/>
  <c r="K167" i="3"/>
  <c r="F168" i="3"/>
  <c r="K168" i="3"/>
  <c r="F169" i="3"/>
  <c r="K169" i="3"/>
  <c r="F170" i="3"/>
  <c r="K170" i="3"/>
  <c r="F171" i="3"/>
  <c r="F172" i="3"/>
  <c r="K172" i="3"/>
  <c r="F173" i="3"/>
  <c r="K173" i="3"/>
  <c r="F174" i="3"/>
  <c r="K174" i="3"/>
  <c r="F175" i="3"/>
  <c r="K175" i="3"/>
  <c r="F176" i="3"/>
  <c r="K176" i="3"/>
  <c r="F177" i="3"/>
  <c r="K177" i="3"/>
  <c r="F178" i="3"/>
  <c r="K178" i="3"/>
  <c r="F179" i="3"/>
  <c r="K179" i="3"/>
  <c r="F180" i="3"/>
  <c r="K180" i="3"/>
  <c r="X193" i="3"/>
  <c r="W193" i="3"/>
  <c r="V193" i="3"/>
  <c r="U193" i="3"/>
  <c r="S193" i="3"/>
  <c r="R193" i="3"/>
  <c r="Q193" i="3"/>
  <c r="P193" i="3"/>
  <c r="D193" i="3"/>
  <c r="B193" i="3"/>
  <c r="Y192" i="3"/>
  <c r="T192" i="3"/>
  <c r="K192" i="3"/>
  <c r="F192" i="3"/>
  <c r="Y191" i="3"/>
  <c r="T191" i="3"/>
  <c r="K191" i="3"/>
  <c r="F191" i="3"/>
  <c r="Y190" i="3"/>
  <c r="T190" i="3"/>
  <c r="K190" i="3"/>
  <c r="F190" i="3"/>
  <c r="Y189" i="3"/>
  <c r="T189" i="3"/>
  <c r="K189" i="3"/>
  <c r="F189" i="3"/>
  <c r="Y188" i="3"/>
  <c r="T188" i="3"/>
  <c r="K188" i="3"/>
  <c r="F188" i="3"/>
  <c r="Y187" i="3"/>
  <c r="T187" i="3"/>
  <c r="K187" i="3"/>
  <c r="F187" i="3"/>
  <c r="Y186" i="3"/>
  <c r="T186" i="3"/>
  <c r="K186" i="3"/>
  <c r="F186" i="3"/>
  <c r="Y185" i="3"/>
  <c r="T185" i="3"/>
  <c r="K185" i="3"/>
  <c r="F185" i="3"/>
  <c r="Y184" i="3"/>
  <c r="T184" i="3"/>
  <c r="K184" i="3"/>
  <c r="F184" i="3"/>
  <c r="Y183" i="3"/>
  <c r="T183" i="3"/>
  <c r="K183" i="3"/>
  <c r="F183" i="3"/>
  <c r="Y182" i="3"/>
  <c r="T182" i="3"/>
  <c r="Y181" i="3"/>
  <c r="T181" i="3"/>
  <c r="Y180" i="3"/>
  <c r="T180" i="3"/>
  <c r="Y179" i="3"/>
  <c r="T179" i="3"/>
  <c r="Y178" i="3"/>
  <c r="T178" i="3"/>
  <c r="Y177" i="3"/>
  <c r="T177" i="3"/>
  <c r="G193" i="3"/>
  <c r="C193" i="3"/>
  <c r="Y165" i="3"/>
  <c r="T165" i="3"/>
  <c r="K165" i="3"/>
  <c r="F165" i="3"/>
  <c r="Y164" i="3"/>
  <c r="T164" i="3"/>
  <c r="K164" i="3"/>
  <c r="F164" i="3"/>
  <c r="K163" i="3"/>
  <c r="F163" i="3"/>
  <c r="K162" i="3"/>
  <c r="F162" i="3"/>
  <c r="Z178" i="3" l="1"/>
  <c r="Z181" i="3"/>
  <c r="Z183" i="3"/>
  <c r="L185" i="3"/>
  <c r="Z186" i="3"/>
  <c r="L188" i="3"/>
  <c r="Z189" i="3"/>
  <c r="L191" i="3"/>
  <c r="Z192" i="3"/>
  <c r="Z232" i="3"/>
  <c r="K232" i="3"/>
  <c r="L232" i="3" s="1"/>
  <c r="L173" i="3"/>
  <c r="Z173" i="3"/>
  <c r="Z171" i="3"/>
  <c r="L175" i="3"/>
  <c r="L170" i="3"/>
  <c r="Z179" i="3"/>
  <c r="Z182" i="3"/>
  <c r="L184" i="3"/>
  <c r="Z185" i="3"/>
  <c r="L187" i="3"/>
  <c r="Z188" i="3"/>
  <c r="L190" i="3"/>
  <c r="Z191" i="3"/>
  <c r="L178" i="3"/>
  <c r="L172" i="3"/>
  <c r="K171" i="3"/>
  <c r="L171" i="3" s="1"/>
  <c r="Z175" i="3"/>
  <c r="Z177" i="3"/>
  <c r="Z180" i="3"/>
  <c r="L183" i="3"/>
  <c r="Z184" i="3"/>
  <c r="L186" i="3"/>
  <c r="Z187" i="3"/>
  <c r="L189" i="3"/>
  <c r="Z190" i="3"/>
  <c r="L192" i="3"/>
  <c r="L177" i="3"/>
  <c r="L168" i="3"/>
  <c r="Z172" i="3"/>
  <c r="Z174" i="3"/>
  <c r="Z164" i="3"/>
  <c r="L174" i="3"/>
  <c r="L169" i="3"/>
  <c r="Z176" i="3"/>
  <c r="Z170" i="3"/>
  <c r="Z165" i="3"/>
  <c r="L180" i="3"/>
  <c r="Z136" i="3"/>
  <c r="Z168" i="3"/>
  <c r="E193" i="3"/>
  <c r="F193" i="3" s="1"/>
  <c r="L167" i="3"/>
  <c r="Z169" i="3"/>
  <c r="L179" i="3"/>
  <c r="L176" i="3"/>
  <c r="Z167" i="3"/>
  <c r="T193" i="3"/>
  <c r="Y193" i="3"/>
  <c r="L162" i="3"/>
  <c r="L163" i="3"/>
  <c r="L164" i="3"/>
  <c r="L165" i="3"/>
  <c r="J193" i="3"/>
  <c r="K193" i="3" s="1"/>
  <c r="Y135" i="3"/>
  <c r="T135" i="3"/>
  <c r="K138" i="3"/>
  <c r="F138" i="3"/>
  <c r="Z193" i="3" l="1"/>
  <c r="L193" i="3"/>
  <c r="L138" i="3"/>
  <c r="Z135" i="3"/>
  <c r="F137" i="3"/>
  <c r="K137" i="3"/>
  <c r="Y134" i="3"/>
  <c r="T134" i="3"/>
  <c r="L137" i="3" l="1"/>
  <c r="Z134" i="3"/>
  <c r="J133" i="3"/>
  <c r="Y131" i="3"/>
  <c r="T131" i="3"/>
  <c r="Y129" i="3"/>
  <c r="T129" i="3"/>
  <c r="H132" i="3"/>
  <c r="G132" i="3"/>
  <c r="C132" i="3"/>
  <c r="Y128" i="3"/>
  <c r="T128" i="3"/>
  <c r="T98" i="3"/>
  <c r="Y98" i="3"/>
  <c r="K128" i="3"/>
  <c r="F128" i="3"/>
  <c r="Z131" i="3" l="1"/>
  <c r="L128" i="3"/>
  <c r="Z128" i="3"/>
  <c r="Z129" i="3"/>
  <c r="Z98" i="3"/>
  <c r="Y96" i="3"/>
  <c r="T96" i="3"/>
  <c r="F129" i="3"/>
  <c r="K129" i="3"/>
  <c r="F130" i="3"/>
  <c r="K130" i="3"/>
  <c r="T130" i="3"/>
  <c r="Y130" i="3"/>
  <c r="F131" i="3"/>
  <c r="K131" i="3"/>
  <c r="F132" i="3"/>
  <c r="K132" i="3"/>
  <c r="T132" i="3"/>
  <c r="Y132" i="3"/>
  <c r="F133" i="3"/>
  <c r="K133" i="3"/>
  <c r="T133" i="3"/>
  <c r="Y133" i="3"/>
  <c r="F134" i="3"/>
  <c r="K134" i="3"/>
  <c r="F135" i="3"/>
  <c r="K135" i="3"/>
  <c r="F136" i="3"/>
  <c r="K136" i="3"/>
  <c r="T137" i="3"/>
  <c r="Y137" i="3"/>
  <c r="T138" i="3"/>
  <c r="Y138" i="3"/>
  <c r="F139" i="3"/>
  <c r="K139" i="3"/>
  <c r="T139" i="3"/>
  <c r="Y139" i="3"/>
  <c r="F140" i="3"/>
  <c r="K140" i="3"/>
  <c r="T140" i="3"/>
  <c r="Y140" i="3"/>
  <c r="F141" i="3"/>
  <c r="K141" i="3"/>
  <c r="T141" i="3"/>
  <c r="Y141" i="3"/>
  <c r="F142" i="3"/>
  <c r="K142" i="3"/>
  <c r="T142" i="3"/>
  <c r="Y142" i="3"/>
  <c r="F143" i="3"/>
  <c r="K143" i="3"/>
  <c r="T143" i="3"/>
  <c r="Y143" i="3"/>
  <c r="F144" i="3"/>
  <c r="K144" i="3"/>
  <c r="T144" i="3"/>
  <c r="Y144" i="3"/>
  <c r="F145" i="3"/>
  <c r="K145" i="3"/>
  <c r="T145" i="3"/>
  <c r="Y145" i="3"/>
  <c r="F146" i="3"/>
  <c r="K146" i="3"/>
  <c r="T146" i="3"/>
  <c r="Y146" i="3"/>
  <c r="F147" i="3"/>
  <c r="K147" i="3"/>
  <c r="T147" i="3"/>
  <c r="Y147" i="3"/>
  <c r="F148" i="3"/>
  <c r="K148" i="3"/>
  <c r="T148" i="3"/>
  <c r="Y148" i="3"/>
  <c r="F149" i="3"/>
  <c r="K149" i="3"/>
  <c r="T149" i="3"/>
  <c r="Y149" i="3"/>
  <c r="F125" i="3"/>
  <c r="K125" i="3"/>
  <c r="F126" i="3"/>
  <c r="K126" i="3"/>
  <c r="F123" i="3"/>
  <c r="K123" i="3"/>
  <c r="F124" i="3"/>
  <c r="K124" i="3"/>
  <c r="X154" i="3"/>
  <c r="W154" i="3"/>
  <c r="V154" i="3"/>
  <c r="U154" i="3"/>
  <c r="S154" i="3"/>
  <c r="R154" i="3"/>
  <c r="Q154" i="3"/>
  <c r="P154" i="3"/>
  <c r="J154" i="3"/>
  <c r="I154" i="3"/>
  <c r="H154" i="3"/>
  <c r="G154" i="3"/>
  <c r="E154" i="3"/>
  <c r="D154" i="3"/>
  <c r="C154" i="3"/>
  <c r="B154" i="3"/>
  <c r="Y153" i="3"/>
  <c r="T153" i="3"/>
  <c r="K153" i="3"/>
  <c r="F153" i="3"/>
  <c r="Y152" i="3"/>
  <c r="T152" i="3"/>
  <c r="K152" i="3"/>
  <c r="F152" i="3"/>
  <c r="Y151" i="3"/>
  <c r="T151" i="3"/>
  <c r="K151" i="3"/>
  <c r="F151" i="3"/>
  <c r="Y150" i="3"/>
  <c r="T150" i="3"/>
  <c r="K150" i="3"/>
  <c r="F150" i="3"/>
  <c r="Y126" i="3"/>
  <c r="T126" i="3"/>
  <c r="Y125" i="3"/>
  <c r="T125" i="3"/>
  <c r="Y124" i="3"/>
  <c r="T124" i="3"/>
  <c r="Y123" i="3"/>
  <c r="T123" i="3"/>
  <c r="J103" i="3"/>
  <c r="Y93" i="3"/>
  <c r="T93" i="3"/>
  <c r="Y60" i="3"/>
  <c r="T60" i="3"/>
  <c r="T36" i="3"/>
  <c r="Y36" i="3"/>
  <c r="Y75" i="3"/>
  <c r="T75" i="3"/>
  <c r="L152" i="3" l="1"/>
  <c r="Z141" i="3"/>
  <c r="L143" i="3"/>
  <c r="Z138" i="3"/>
  <c r="Z149" i="3"/>
  <c r="Z144" i="3"/>
  <c r="L140" i="3"/>
  <c r="Z147" i="3"/>
  <c r="Z145" i="3"/>
  <c r="L134" i="3"/>
  <c r="Z132" i="3"/>
  <c r="Z139" i="3"/>
  <c r="Z146" i="3"/>
  <c r="L149" i="3"/>
  <c r="L131" i="3"/>
  <c r="L123" i="3"/>
  <c r="Z142" i="3"/>
  <c r="Z124" i="3"/>
  <c r="L150" i="3"/>
  <c r="Z151" i="3"/>
  <c r="Z143" i="3"/>
  <c r="Z153" i="3"/>
  <c r="L146" i="3"/>
  <c r="Z140" i="3"/>
  <c r="Z137" i="3"/>
  <c r="Z133" i="3"/>
  <c r="Z148" i="3"/>
  <c r="Z130" i="3"/>
  <c r="T154" i="3"/>
  <c r="L147" i="3"/>
  <c r="L141" i="3"/>
  <c r="L135" i="3"/>
  <c r="L129" i="3"/>
  <c r="L153" i="3"/>
  <c r="L148" i="3"/>
  <c r="L142" i="3"/>
  <c r="L136" i="3"/>
  <c r="L130" i="3"/>
  <c r="L125" i="3"/>
  <c r="L144" i="3"/>
  <c r="L132" i="3"/>
  <c r="L151" i="3"/>
  <c r="L145" i="3"/>
  <c r="L139" i="3"/>
  <c r="L133" i="3"/>
  <c r="F154" i="3"/>
  <c r="L126" i="3"/>
  <c r="Z125" i="3"/>
  <c r="Z152" i="3"/>
  <c r="L124" i="3"/>
  <c r="Z123" i="3"/>
  <c r="Z126" i="3"/>
  <c r="Z150" i="3"/>
  <c r="Y154" i="3"/>
  <c r="Z96" i="3"/>
  <c r="K154" i="3"/>
  <c r="Z93" i="3"/>
  <c r="Z36" i="3"/>
  <c r="Z60" i="3"/>
  <c r="Z75" i="3"/>
  <c r="E74" i="3"/>
  <c r="Y58" i="3"/>
  <c r="T58" i="3"/>
  <c r="Y56" i="3"/>
  <c r="T56" i="3"/>
  <c r="K47" i="3"/>
  <c r="F47" i="3"/>
  <c r="Z154" i="3" l="1"/>
  <c r="L154" i="3"/>
  <c r="Z58" i="3"/>
  <c r="Z56" i="3"/>
  <c r="L47" i="3"/>
  <c r="Y29" i="3"/>
  <c r="T29" i="3"/>
  <c r="S23" i="3"/>
  <c r="Q23" i="3"/>
  <c r="Z29" i="3" l="1"/>
  <c r="Y22" i="3"/>
  <c r="T22" i="3"/>
  <c r="I31" i="3"/>
  <c r="Y19" i="3"/>
  <c r="T19" i="3"/>
  <c r="Z22" i="3" l="1"/>
  <c r="Z19" i="3"/>
  <c r="Y17" i="3"/>
  <c r="T17" i="3"/>
  <c r="T16" i="3"/>
  <c r="Y16" i="3"/>
  <c r="Z17" i="3" l="1"/>
  <c r="Z16" i="3"/>
  <c r="Y14" i="3"/>
  <c r="T14" i="3"/>
  <c r="Y13" i="3"/>
  <c r="T13" i="3"/>
  <c r="T12" i="3"/>
  <c r="Y12" i="3"/>
  <c r="T11" i="3"/>
  <c r="Y11" i="3"/>
  <c r="Y8" i="3"/>
  <c r="T8" i="3"/>
  <c r="Y7" i="3"/>
  <c r="T7" i="3"/>
  <c r="Y6" i="3"/>
  <c r="T6" i="3"/>
  <c r="Y5" i="3"/>
  <c r="T5" i="3"/>
  <c r="Z13" i="3" l="1"/>
  <c r="Z14" i="3"/>
  <c r="Z11" i="3"/>
  <c r="Z5" i="3"/>
  <c r="Z6" i="3"/>
  <c r="Z7" i="3"/>
  <c r="Z8" i="3"/>
  <c r="Z12" i="3"/>
  <c r="T9" i="3"/>
  <c r="Y9" i="3"/>
  <c r="Z9" i="3" l="1"/>
  <c r="X115" i="3" l="1"/>
  <c r="W115" i="3"/>
  <c r="V115" i="3"/>
  <c r="U115" i="3"/>
  <c r="S115" i="3"/>
  <c r="R115" i="3"/>
  <c r="Q115" i="3"/>
  <c r="P115" i="3"/>
  <c r="J115" i="3"/>
  <c r="I115" i="3"/>
  <c r="H115" i="3"/>
  <c r="G115" i="3"/>
  <c r="E115" i="3"/>
  <c r="D115" i="3"/>
  <c r="C115" i="3"/>
  <c r="B115" i="3"/>
  <c r="Y114" i="3"/>
  <c r="T114" i="3"/>
  <c r="K114" i="3"/>
  <c r="F114" i="3"/>
  <c r="Y113" i="3"/>
  <c r="T113" i="3"/>
  <c r="K113" i="3"/>
  <c r="F113" i="3"/>
  <c r="Y112" i="3"/>
  <c r="T112" i="3"/>
  <c r="K112" i="3"/>
  <c r="F112" i="3"/>
  <c r="Y111" i="3"/>
  <c r="T111" i="3"/>
  <c r="K111" i="3"/>
  <c r="F111" i="3"/>
  <c r="Y110" i="3"/>
  <c r="T110" i="3"/>
  <c r="K110" i="3"/>
  <c r="F110" i="3"/>
  <c r="Y109" i="3"/>
  <c r="T109" i="3"/>
  <c r="K109" i="3"/>
  <c r="F109" i="3"/>
  <c r="Y108" i="3"/>
  <c r="T108" i="3"/>
  <c r="K108" i="3"/>
  <c r="F108" i="3"/>
  <c r="Y107" i="3"/>
  <c r="T107" i="3"/>
  <c r="K107" i="3"/>
  <c r="F107" i="3"/>
  <c r="Y106" i="3"/>
  <c r="T106" i="3"/>
  <c r="K106" i="3"/>
  <c r="F106" i="3"/>
  <c r="Y105" i="3"/>
  <c r="T105" i="3"/>
  <c r="K105" i="3"/>
  <c r="F105" i="3"/>
  <c r="Y104" i="3"/>
  <c r="T104" i="3"/>
  <c r="K104" i="3"/>
  <c r="F104" i="3"/>
  <c r="Y103" i="3"/>
  <c r="T103" i="3"/>
  <c r="K103" i="3"/>
  <c r="F103" i="3"/>
  <c r="Y102" i="3"/>
  <c r="T102" i="3"/>
  <c r="K102" i="3"/>
  <c r="F102" i="3"/>
  <c r="Y101" i="3"/>
  <c r="T101" i="3"/>
  <c r="K101" i="3"/>
  <c r="F101" i="3"/>
  <c r="Y100" i="3"/>
  <c r="T100" i="3"/>
  <c r="K100" i="3"/>
  <c r="F100" i="3"/>
  <c r="Y99" i="3"/>
  <c r="T99" i="3"/>
  <c r="K99" i="3"/>
  <c r="F99" i="3"/>
  <c r="K98" i="3"/>
  <c r="F98" i="3"/>
  <c r="Y97" i="3"/>
  <c r="T97" i="3"/>
  <c r="K97" i="3"/>
  <c r="F97" i="3"/>
  <c r="K96" i="3"/>
  <c r="F96" i="3"/>
  <c r="Y95" i="3"/>
  <c r="T95" i="3"/>
  <c r="K95" i="3"/>
  <c r="F95" i="3"/>
  <c r="Y94" i="3"/>
  <c r="T94" i="3"/>
  <c r="K94" i="3"/>
  <c r="F94" i="3"/>
  <c r="K93" i="3"/>
  <c r="F93" i="3"/>
  <c r="Y92" i="3"/>
  <c r="T92" i="3"/>
  <c r="K92" i="3"/>
  <c r="F92" i="3"/>
  <c r="Y91" i="3"/>
  <c r="T91" i="3"/>
  <c r="K91" i="3"/>
  <c r="F91" i="3"/>
  <c r="Y90" i="3"/>
  <c r="T90" i="3"/>
  <c r="K90" i="3"/>
  <c r="F90" i="3"/>
  <c r="Y89" i="3"/>
  <c r="T89" i="3"/>
  <c r="K89" i="3"/>
  <c r="F89" i="3"/>
  <c r="Y87" i="3"/>
  <c r="T87" i="3"/>
  <c r="K87" i="3"/>
  <c r="F87" i="3"/>
  <c r="Y86" i="3"/>
  <c r="T86" i="3"/>
  <c r="K86" i="3"/>
  <c r="F86" i="3"/>
  <c r="Y85" i="3"/>
  <c r="T85" i="3"/>
  <c r="K85" i="3"/>
  <c r="F85" i="3"/>
  <c r="Y84" i="3"/>
  <c r="T84" i="3"/>
  <c r="K84" i="3"/>
  <c r="F84" i="3"/>
  <c r="L85" i="3" l="1"/>
  <c r="L95" i="3"/>
  <c r="L92" i="3"/>
  <c r="L89" i="3"/>
  <c r="Z87" i="3"/>
  <c r="L111" i="3"/>
  <c r="L99" i="3"/>
  <c r="L84" i="3"/>
  <c r="L87" i="3"/>
  <c r="L91" i="3"/>
  <c r="L94" i="3"/>
  <c r="Z95" i="3"/>
  <c r="L97" i="3"/>
  <c r="L96" i="3"/>
  <c r="Z114" i="3"/>
  <c r="Z84" i="3"/>
  <c r="Z97" i="3"/>
  <c r="L98" i="3"/>
  <c r="Z99" i="3"/>
  <c r="Z101" i="3"/>
  <c r="L102" i="3"/>
  <c r="Z105" i="3"/>
  <c r="L108" i="3"/>
  <c r="L110" i="3"/>
  <c r="Z111" i="3"/>
  <c r="L112" i="3"/>
  <c r="L113" i="3"/>
  <c r="Z113" i="3"/>
  <c r="L114" i="3"/>
  <c r="Y115" i="3"/>
  <c r="K115" i="3"/>
  <c r="L93" i="3"/>
  <c r="Z100" i="3"/>
  <c r="Z102" i="3"/>
  <c r="Z89" i="3"/>
  <c r="L101" i="3"/>
  <c r="L103" i="3"/>
  <c r="L105" i="3"/>
  <c r="L107" i="3"/>
  <c r="L109" i="3"/>
  <c r="T115" i="3"/>
  <c r="Z86" i="3"/>
  <c r="Z90" i="3"/>
  <c r="Z92" i="3"/>
  <c r="Z85" i="3"/>
  <c r="Z94" i="3"/>
  <c r="L100" i="3"/>
  <c r="Z103" i="3"/>
  <c r="Z110" i="3"/>
  <c r="Z108" i="3"/>
  <c r="Z112" i="3"/>
  <c r="Z106" i="3"/>
  <c r="L86" i="3"/>
  <c r="Z91" i="3"/>
  <c r="L104" i="3"/>
  <c r="Z107" i="3"/>
  <c r="Z104" i="3"/>
  <c r="L90" i="3"/>
  <c r="L106" i="3"/>
  <c r="Z109" i="3"/>
  <c r="F115" i="3"/>
  <c r="B10" i="3"/>
  <c r="B37" i="3"/>
  <c r="B76" i="3"/>
  <c r="C10" i="3"/>
  <c r="C37" i="3"/>
  <c r="C76" i="3"/>
  <c r="D10" i="3"/>
  <c r="D37" i="3"/>
  <c r="D76" i="3"/>
  <c r="E10" i="3"/>
  <c r="E37" i="3"/>
  <c r="E76" i="3"/>
  <c r="G10" i="3"/>
  <c r="G37" i="3"/>
  <c r="G76" i="3"/>
  <c r="H10" i="3"/>
  <c r="H37" i="3"/>
  <c r="H76" i="3"/>
  <c r="I10" i="3"/>
  <c r="I37" i="3"/>
  <c r="I76" i="3"/>
  <c r="J10" i="3"/>
  <c r="J37" i="3"/>
  <c r="J76" i="3"/>
  <c r="P10" i="3"/>
  <c r="P37" i="3"/>
  <c r="P76" i="3"/>
  <c r="Q10" i="3"/>
  <c r="Q37" i="3"/>
  <c r="Q76" i="3"/>
  <c r="R10" i="3"/>
  <c r="R37" i="3"/>
  <c r="R76" i="3"/>
  <c r="S10" i="3"/>
  <c r="S37" i="3"/>
  <c r="S76" i="3"/>
  <c r="U10" i="3"/>
  <c r="U37" i="3"/>
  <c r="U76" i="3"/>
  <c r="V10" i="3"/>
  <c r="V37" i="3"/>
  <c r="V76" i="3"/>
  <c r="W10" i="3"/>
  <c r="W37" i="3"/>
  <c r="W76" i="3"/>
  <c r="X10" i="3"/>
  <c r="X37" i="3"/>
  <c r="X76" i="3"/>
  <c r="Y51" i="3"/>
  <c r="T51" i="3"/>
  <c r="Y72" i="3"/>
  <c r="T72" i="3"/>
  <c r="K53" i="3"/>
  <c r="F53" i="3"/>
  <c r="F32" i="3"/>
  <c r="K32" i="3"/>
  <c r="F33" i="3"/>
  <c r="K33" i="3"/>
  <c r="F34" i="3"/>
  <c r="K34" i="3"/>
  <c r="F35" i="3"/>
  <c r="K35" i="3"/>
  <c r="K75" i="3"/>
  <c r="F75" i="3"/>
  <c r="Y74" i="3"/>
  <c r="T74" i="3"/>
  <c r="K74" i="3"/>
  <c r="F74" i="3"/>
  <c r="Y73" i="3"/>
  <c r="T73" i="3"/>
  <c r="K73" i="3"/>
  <c r="F73" i="3"/>
  <c r="K72" i="3"/>
  <c r="F72" i="3"/>
  <c r="Y71" i="3"/>
  <c r="T71" i="3"/>
  <c r="K71" i="3"/>
  <c r="F71" i="3"/>
  <c r="Y70" i="3"/>
  <c r="T70" i="3"/>
  <c r="K70" i="3"/>
  <c r="F70" i="3"/>
  <c r="Y69" i="3"/>
  <c r="T69" i="3"/>
  <c r="K69" i="3"/>
  <c r="F69" i="3"/>
  <c r="Y68" i="3"/>
  <c r="T68" i="3"/>
  <c r="K68" i="3"/>
  <c r="F68" i="3"/>
  <c r="Y67" i="3"/>
  <c r="T67" i="3"/>
  <c r="K67" i="3"/>
  <c r="F67" i="3"/>
  <c r="Y66" i="3"/>
  <c r="T66" i="3"/>
  <c r="K66" i="3"/>
  <c r="F66" i="3"/>
  <c r="Y65" i="3"/>
  <c r="T65" i="3"/>
  <c r="K65" i="3"/>
  <c r="F65" i="3"/>
  <c r="Y64" i="3"/>
  <c r="T64" i="3"/>
  <c r="K64" i="3"/>
  <c r="F64" i="3"/>
  <c r="Y63" i="3"/>
  <c r="T63" i="3"/>
  <c r="K63" i="3"/>
  <c r="F63" i="3"/>
  <c r="Y62" i="3"/>
  <c r="T62" i="3"/>
  <c r="K62" i="3"/>
  <c r="F62" i="3"/>
  <c r="Y61" i="3"/>
  <c r="T61" i="3"/>
  <c r="K61" i="3"/>
  <c r="F61" i="3"/>
  <c r="K60" i="3"/>
  <c r="F60" i="3"/>
  <c r="Y59" i="3"/>
  <c r="T59" i="3"/>
  <c r="K59" i="3"/>
  <c r="F59" i="3"/>
  <c r="K58" i="3"/>
  <c r="F58" i="3"/>
  <c r="Y57" i="3"/>
  <c r="T57" i="3"/>
  <c r="K57" i="3"/>
  <c r="F57" i="3"/>
  <c r="K56" i="3"/>
  <c r="F56" i="3"/>
  <c r="Y55" i="3"/>
  <c r="T55" i="3"/>
  <c r="K55" i="3"/>
  <c r="F55" i="3"/>
  <c r="Y54" i="3"/>
  <c r="T54" i="3"/>
  <c r="K54" i="3"/>
  <c r="F54" i="3"/>
  <c r="Y53" i="3"/>
  <c r="T53" i="3"/>
  <c r="Y52" i="3"/>
  <c r="T52" i="3"/>
  <c r="K52" i="3"/>
  <c r="F52" i="3"/>
  <c r="K51" i="3"/>
  <c r="F51" i="3"/>
  <c r="Y50" i="3"/>
  <c r="T50" i="3"/>
  <c r="K50" i="3"/>
  <c r="F50" i="3"/>
  <c r="Y48" i="3"/>
  <c r="T48" i="3"/>
  <c r="K48" i="3"/>
  <c r="F48" i="3"/>
  <c r="Y47" i="3"/>
  <c r="T47" i="3"/>
  <c r="Y46" i="3"/>
  <c r="T46" i="3"/>
  <c r="K46" i="3"/>
  <c r="F46" i="3"/>
  <c r="Y45" i="3"/>
  <c r="T45" i="3"/>
  <c r="K45" i="3"/>
  <c r="F45" i="3"/>
  <c r="K36" i="3"/>
  <c r="F36" i="3"/>
  <c r="K31" i="3"/>
  <c r="F31" i="3"/>
  <c r="K30" i="3"/>
  <c r="F30" i="3"/>
  <c r="K29" i="3"/>
  <c r="F29" i="3"/>
  <c r="K28" i="3"/>
  <c r="F28" i="3"/>
  <c r="K27" i="3"/>
  <c r="F27" i="3"/>
  <c r="K26" i="3"/>
  <c r="F26" i="3"/>
  <c r="K25" i="3"/>
  <c r="F25" i="3"/>
  <c r="K24" i="3"/>
  <c r="F24" i="3"/>
  <c r="K23" i="3"/>
  <c r="F23" i="3"/>
  <c r="K22" i="3"/>
  <c r="F22" i="3"/>
  <c r="K21" i="3"/>
  <c r="F21" i="3"/>
  <c r="K20" i="3"/>
  <c r="F20" i="3"/>
  <c r="K19" i="3"/>
  <c r="F19" i="3"/>
  <c r="K18" i="3"/>
  <c r="F18" i="3"/>
  <c r="K17" i="3"/>
  <c r="F17" i="3"/>
  <c r="K16" i="3"/>
  <c r="F16" i="3"/>
  <c r="K15" i="3"/>
  <c r="F15" i="3"/>
  <c r="K14" i="3"/>
  <c r="F14" i="3"/>
  <c r="K13" i="3"/>
  <c r="F13" i="3"/>
  <c r="K12" i="3"/>
  <c r="F12" i="3"/>
  <c r="K11" i="3"/>
  <c r="F11" i="3"/>
  <c r="K9" i="3"/>
  <c r="F9" i="3"/>
  <c r="K8" i="3"/>
  <c r="F8" i="3"/>
  <c r="K7" i="3"/>
  <c r="F7" i="3"/>
  <c r="K6" i="3"/>
  <c r="F6" i="3"/>
  <c r="K5" i="3"/>
  <c r="F5" i="3"/>
  <c r="Y35" i="3"/>
  <c r="T35" i="3"/>
  <c r="Y34" i="3"/>
  <c r="T34" i="3"/>
  <c r="Y33" i="3"/>
  <c r="T33" i="3"/>
  <c r="Y32" i="3"/>
  <c r="T32" i="3"/>
  <c r="Y31" i="3"/>
  <c r="T31" i="3"/>
  <c r="Y30" i="3"/>
  <c r="T30" i="3"/>
  <c r="Y28" i="3"/>
  <c r="T28" i="3"/>
  <c r="Y27" i="3"/>
  <c r="T27" i="3"/>
  <c r="Y26" i="3"/>
  <c r="T26" i="3"/>
  <c r="Y25" i="3"/>
  <c r="T25" i="3"/>
  <c r="Y24" i="3"/>
  <c r="T24" i="3"/>
  <c r="Y23" i="3"/>
  <c r="T23" i="3"/>
  <c r="Y21" i="3"/>
  <c r="T21" i="3"/>
  <c r="Y20" i="3"/>
  <c r="T20" i="3"/>
  <c r="Y18" i="3"/>
  <c r="T18" i="3"/>
  <c r="Y15" i="3"/>
  <c r="T15" i="3"/>
  <c r="W234" i="3" l="1"/>
  <c r="U234" i="3"/>
  <c r="R234" i="3"/>
  <c r="P234" i="3"/>
  <c r="X234" i="3"/>
  <c r="V234" i="3"/>
  <c r="S234" i="3"/>
  <c r="Q234" i="3"/>
  <c r="Z115" i="3"/>
  <c r="L115" i="3"/>
  <c r="Z18" i="3"/>
  <c r="F76" i="3"/>
  <c r="Y10" i="3"/>
  <c r="T76" i="3"/>
  <c r="Z73" i="3"/>
  <c r="K76" i="3"/>
  <c r="Z47" i="3"/>
  <c r="K10" i="3"/>
  <c r="F10" i="3"/>
  <c r="T10" i="3"/>
  <c r="L65" i="3"/>
  <c r="Y76" i="3"/>
  <c r="Z26" i="3"/>
  <c r="Z30" i="3"/>
  <c r="Z34" i="3"/>
  <c r="L6" i="3"/>
  <c r="L11" i="3"/>
  <c r="L15" i="3"/>
  <c r="Z21" i="3"/>
  <c r="Z25" i="3"/>
  <c r="Z33" i="3"/>
  <c r="L9" i="3"/>
  <c r="L14" i="3"/>
  <c r="L18" i="3"/>
  <c r="L26" i="3"/>
  <c r="L30" i="3"/>
  <c r="Z45" i="3"/>
  <c r="Z50" i="3"/>
  <c r="Z53" i="3"/>
  <c r="Z55" i="3"/>
  <c r="Z57" i="3"/>
  <c r="Z59" i="3"/>
  <c r="Z61" i="3"/>
  <c r="Z63" i="3"/>
  <c r="Z65" i="3"/>
  <c r="Z67" i="3"/>
  <c r="Z69" i="3"/>
  <c r="Z71" i="3"/>
  <c r="L74" i="3"/>
  <c r="L53" i="3"/>
  <c r="Z72" i="3"/>
  <c r="L35" i="3"/>
  <c r="L19" i="3"/>
  <c r="L23" i="3"/>
  <c r="L27" i="3"/>
  <c r="L31" i="3"/>
  <c r="L46" i="3"/>
  <c r="L48" i="3"/>
  <c r="L51" i="3"/>
  <c r="L54" i="3"/>
  <c r="L56" i="3"/>
  <c r="L58" i="3"/>
  <c r="L60" i="3"/>
  <c r="L62" i="3"/>
  <c r="L64" i="3"/>
  <c r="L66" i="3"/>
  <c r="L68" i="3"/>
  <c r="L70" i="3"/>
  <c r="L72" i="3"/>
  <c r="Z74" i="3"/>
  <c r="L34" i="3"/>
  <c r="Z51" i="3"/>
  <c r="Z54" i="3"/>
  <c r="Z20" i="3"/>
  <c r="Z24" i="3"/>
  <c r="Z28" i="3"/>
  <c r="Z32" i="3"/>
  <c r="L8" i="3"/>
  <c r="L13" i="3"/>
  <c r="L17" i="3"/>
  <c r="L21" i="3"/>
  <c r="L25" i="3"/>
  <c r="L29" i="3"/>
  <c r="L45" i="3"/>
  <c r="L50" i="3"/>
  <c r="Z52" i="3"/>
  <c r="L55" i="3"/>
  <c r="L57" i="3"/>
  <c r="L59" i="3"/>
  <c r="L61" i="3"/>
  <c r="L67" i="3"/>
  <c r="L69" i="3"/>
  <c r="L71" i="3"/>
  <c r="L32" i="3"/>
  <c r="K37" i="3"/>
  <c r="L28" i="3"/>
  <c r="Z62" i="3"/>
  <c r="Z70" i="3"/>
  <c r="L33" i="3"/>
  <c r="Z15" i="3"/>
  <c r="Z23" i="3"/>
  <c r="Z27" i="3"/>
  <c r="Z31" i="3"/>
  <c r="Z35" i="3"/>
  <c r="L7" i="3"/>
  <c r="L12" i="3"/>
  <c r="L16" i="3"/>
  <c r="L20" i="3"/>
  <c r="L24" i="3"/>
  <c r="L36" i="3"/>
  <c r="Z46" i="3"/>
  <c r="Z48" i="3"/>
  <c r="L52" i="3"/>
  <c r="Z64" i="3"/>
  <c r="Z66" i="3"/>
  <c r="Z68" i="3"/>
  <c r="L73" i="3"/>
  <c r="L75" i="3"/>
  <c r="Y37" i="3"/>
  <c r="T37" i="3"/>
  <c r="F37" i="3"/>
  <c r="Q38" i="3"/>
  <c r="Q44" i="3" s="1"/>
  <c r="Q49" i="3" s="1"/>
  <c r="Q77" i="3" s="1"/>
  <c r="Q83" i="3" s="1"/>
  <c r="Q88" i="3" s="1"/>
  <c r="Q116" i="3" s="1"/>
  <c r="Q122" i="3" s="1"/>
  <c r="Q127" i="3" s="1"/>
  <c r="Q155" i="3" s="1"/>
  <c r="Q161" i="3" s="1"/>
  <c r="Q166" i="3" s="1"/>
  <c r="Q194" i="3" s="1"/>
  <c r="Q200" i="3" s="1"/>
  <c r="Q205" i="3" s="1"/>
  <c r="Q233" i="3" s="1"/>
  <c r="Q239" i="3" s="1"/>
  <c r="Q244" i="3" s="1"/>
  <c r="Q272" i="3" s="1"/>
  <c r="Q278" i="3" s="1"/>
  <c r="Q283" i="3" s="1"/>
  <c r="Q311" i="3" s="1"/>
  <c r="Q317" i="3" s="1"/>
  <c r="Q322" i="3" s="1"/>
  <c r="Q350" i="3" s="1"/>
  <c r="Q356" i="3" s="1"/>
  <c r="Q361" i="3" s="1"/>
  <c r="Q389" i="3" s="1"/>
  <c r="Q395" i="3" s="1"/>
  <c r="Q400" i="3" s="1"/>
  <c r="Q428" i="3" s="1"/>
  <c r="Q434" i="3" s="1"/>
  <c r="Q439" i="3" s="1"/>
  <c r="Q467" i="3" s="1"/>
  <c r="Q473" i="3" s="1"/>
  <c r="Q478" i="3" s="1"/>
  <c r="Q506" i="3" s="1"/>
  <c r="Q512" i="3" s="1"/>
  <c r="Q517" i="3" s="1"/>
  <c r="Q545" i="3" s="1"/>
  <c r="Q551" i="3" s="1"/>
  <c r="Q556" i="3" s="1"/>
  <c r="Q584" i="3" s="1"/>
  <c r="Q590" i="3" s="1"/>
  <c r="Q595" i="3" s="1"/>
  <c r="Q623" i="3" s="1"/>
  <c r="Q629" i="3" s="1"/>
  <c r="Q634" i="3" s="1"/>
  <c r="Q662" i="3" s="1"/>
  <c r="Q668" i="3" s="1"/>
  <c r="Q673" i="3" s="1"/>
  <c r="Q701" i="3" s="1"/>
  <c r="Q707" i="3" s="1"/>
  <c r="Q712" i="3" s="1"/>
  <c r="Q740" i="3" s="1"/>
  <c r="Q746" i="3" s="1"/>
  <c r="J38" i="3"/>
  <c r="J44" i="3" s="1"/>
  <c r="J49" i="3" s="1"/>
  <c r="J77" i="3" s="1"/>
  <c r="J83" i="3" s="1"/>
  <c r="J88" i="3" s="1"/>
  <c r="J116" i="3" s="1"/>
  <c r="J122" i="3" s="1"/>
  <c r="I38" i="3"/>
  <c r="I44" i="3" s="1"/>
  <c r="I49" i="3" s="1"/>
  <c r="I77" i="3" s="1"/>
  <c r="I83" i="3" s="1"/>
  <c r="I88" i="3" s="1"/>
  <c r="I116" i="3" s="1"/>
  <c r="I122" i="3" s="1"/>
  <c r="I127" i="3" s="1"/>
  <c r="I155" i="3" s="1"/>
  <c r="I161" i="3" s="1"/>
  <c r="I166" i="3" s="1"/>
  <c r="I194" i="3" s="1"/>
  <c r="I200" i="3" s="1"/>
  <c r="I205" i="3" s="1"/>
  <c r="I233" i="3" s="1"/>
  <c r="I239" i="3" s="1"/>
  <c r="I244" i="3" s="1"/>
  <c r="I272" i="3" s="1"/>
  <c r="I278" i="3" s="1"/>
  <c r="I283" i="3" s="1"/>
  <c r="I311" i="3" s="1"/>
  <c r="I317" i="3" s="1"/>
  <c r="I322" i="3" s="1"/>
  <c r="I350" i="3" s="1"/>
  <c r="I356" i="3" s="1"/>
  <c r="I361" i="3" s="1"/>
  <c r="I389" i="3" s="1"/>
  <c r="I395" i="3" s="1"/>
  <c r="I400" i="3" s="1"/>
  <c r="I428" i="3" s="1"/>
  <c r="I434" i="3" s="1"/>
  <c r="H38" i="3"/>
  <c r="H44" i="3" s="1"/>
  <c r="H49" i="3" s="1"/>
  <c r="H77" i="3" s="1"/>
  <c r="H83" i="3" s="1"/>
  <c r="H88" i="3" s="1"/>
  <c r="H116" i="3" s="1"/>
  <c r="H122" i="3" s="1"/>
  <c r="H127" i="3" s="1"/>
  <c r="H155" i="3" s="1"/>
  <c r="H161" i="3" s="1"/>
  <c r="H166" i="3" s="1"/>
  <c r="H194" i="3" s="1"/>
  <c r="H200" i="3" s="1"/>
  <c r="H205" i="3" s="1"/>
  <c r="H233" i="3" s="1"/>
  <c r="H239" i="3" s="1"/>
  <c r="H244" i="3" s="1"/>
  <c r="H272" i="3" s="1"/>
  <c r="H278" i="3" s="1"/>
  <c r="H283" i="3" s="1"/>
  <c r="H311" i="3" s="1"/>
  <c r="H317" i="3" s="1"/>
  <c r="H322" i="3" s="1"/>
  <c r="H350" i="3" s="1"/>
  <c r="H356" i="3" s="1"/>
  <c r="G38" i="3"/>
  <c r="E38" i="3"/>
  <c r="E44" i="3" s="1"/>
  <c r="E49" i="3" s="1"/>
  <c r="E77" i="3" s="1"/>
  <c r="E83" i="3" s="1"/>
  <c r="E88" i="3" s="1"/>
  <c r="E116" i="3" s="1"/>
  <c r="E122" i="3" s="1"/>
  <c r="E127" i="3" s="1"/>
  <c r="E155" i="3" s="1"/>
  <c r="E161" i="3" s="1"/>
  <c r="E166" i="3" s="1"/>
  <c r="E194" i="3" s="1"/>
  <c r="E200" i="3" s="1"/>
  <c r="E205" i="3" s="1"/>
  <c r="E233" i="3" s="1"/>
  <c r="E239" i="3" s="1"/>
  <c r="E244" i="3" s="1"/>
  <c r="E272" i="3" s="1"/>
  <c r="E278" i="3" s="1"/>
  <c r="E283" i="3" s="1"/>
  <c r="E311" i="3" s="1"/>
  <c r="E317" i="3" s="1"/>
  <c r="E322" i="3" s="1"/>
  <c r="E350" i="3" s="1"/>
  <c r="E356" i="3" s="1"/>
  <c r="E361" i="3" s="1"/>
  <c r="E389" i="3" s="1"/>
  <c r="E395" i="3" s="1"/>
  <c r="E400" i="3" s="1"/>
  <c r="E428" i="3" s="1"/>
  <c r="E434" i="3" s="1"/>
  <c r="E439" i="3" s="1"/>
  <c r="E467" i="3" s="1"/>
  <c r="E473" i="3" s="1"/>
  <c r="E478" i="3" s="1"/>
  <c r="E506" i="3" s="1"/>
  <c r="E512" i="3" s="1"/>
  <c r="E517" i="3" s="1"/>
  <c r="E545" i="3" s="1"/>
  <c r="E551" i="3" s="1"/>
  <c r="E556" i="3" s="1"/>
  <c r="E584" i="3" s="1"/>
  <c r="E590" i="3" s="1"/>
  <c r="E595" i="3" s="1"/>
  <c r="E623" i="3" s="1"/>
  <c r="E629" i="3" s="1"/>
  <c r="E634" i="3" s="1"/>
  <c r="E662" i="3" s="1"/>
  <c r="E668" i="3" s="1"/>
  <c r="E673" i="3" s="1"/>
  <c r="E701" i="3" s="1"/>
  <c r="E707" i="3" s="1"/>
  <c r="E712" i="3" s="1"/>
  <c r="E740" i="3" s="1"/>
  <c r="E746" i="3" s="1"/>
  <c r="E751" i="3" s="1"/>
  <c r="E779" i="3" s="1"/>
  <c r="E785" i="3" s="1"/>
  <c r="E790" i="3" s="1"/>
  <c r="E818" i="3" s="1"/>
  <c r="E824" i="3" s="1"/>
  <c r="E829" i="3" s="1"/>
  <c r="E857" i="3" s="1"/>
  <c r="D38" i="3"/>
  <c r="D44" i="3" s="1"/>
  <c r="D49" i="3" s="1"/>
  <c r="D77" i="3" s="1"/>
  <c r="D83" i="3" s="1"/>
  <c r="D88" i="3" s="1"/>
  <c r="D116" i="3" s="1"/>
  <c r="D122" i="3" s="1"/>
  <c r="C38" i="3"/>
  <c r="C44" i="3" s="1"/>
  <c r="C49" i="3" s="1"/>
  <c r="C77" i="3" s="1"/>
  <c r="C83" i="3" s="1"/>
  <c r="C88" i="3" s="1"/>
  <c r="C116" i="3" s="1"/>
  <c r="C122" i="3" s="1"/>
  <c r="C127" i="3" s="1"/>
  <c r="C155" i="3" s="1"/>
  <c r="C161" i="3" s="1"/>
  <c r="C166" i="3" s="1"/>
  <c r="C194" i="3" s="1"/>
  <c r="C200" i="3" s="1"/>
  <c r="C205" i="3" s="1"/>
  <c r="C233" i="3" s="1"/>
  <c r="C239" i="3" s="1"/>
  <c r="C244" i="3" s="1"/>
  <c r="C272" i="3" s="1"/>
  <c r="C278" i="3" s="1"/>
  <c r="C283" i="3" s="1"/>
  <c r="C311" i="3" s="1"/>
  <c r="C317" i="3" s="1"/>
  <c r="L63" i="3"/>
  <c r="B38" i="3"/>
  <c r="S38" i="3"/>
  <c r="S44" i="3" s="1"/>
  <c r="S49" i="3" s="1"/>
  <c r="S77" i="3" s="1"/>
  <c r="S83" i="3" s="1"/>
  <c r="S88" i="3" s="1"/>
  <c r="S116" i="3" s="1"/>
  <c r="S122" i="3" s="1"/>
  <c r="S127" i="3" s="1"/>
  <c r="S155" i="3" s="1"/>
  <c r="S161" i="3" s="1"/>
  <c r="S166" i="3" s="1"/>
  <c r="S194" i="3" s="1"/>
  <c r="S200" i="3" s="1"/>
  <c r="S205" i="3" s="1"/>
  <c r="S233" i="3" s="1"/>
  <c r="S239" i="3" s="1"/>
  <c r="S244" i="3" s="1"/>
  <c r="S272" i="3" s="1"/>
  <c r="S278" i="3" s="1"/>
  <c r="S283" i="3" s="1"/>
  <c r="S311" i="3" s="1"/>
  <c r="S317" i="3" s="1"/>
  <c r="S322" i="3" s="1"/>
  <c r="S350" i="3" s="1"/>
  <c r="S356" i="3" s="1"/>
  <c r="S361" i="3" s="1"/>
  <c r="S389" i="3" s="1"/>
  <c r="S395" i="3" s="1"/>
  <c r="S400" i="3" s="1"/>
  <c r="S428" i="3" s="1"/>
  <c r="S434" i="3" s="1"/>
  <c r="S439" i="3" s="1"/>
  <c r="S467" i="3" s="1"/>
  <c r="S473" i="3" s="1"/>
  <c r="S478" i="3" s="1"/>
  <c r="S506" i="3" s="1"/>
  <c r="S512" i="3" s="1"/>
  <c r="S517" i="3" s="1"/>
  <c r="S545" i="3" s="1"/>
  <c r="S551" i="3" s="1"/>
  <c r="S556" i="3" s="1"/>
  <c r="S584" i="3" s="1"/>
  <c r="S590" i="3" s="1"/>
  <c r="S595" i="3" s="1"/>
  <c r="S623" i="3" s="1"/>
  <c r="S629" i="3" s="1"/>
  <c r="S634" i="3" s="1"/>
  <c r="S662" i="3" s="1"/>
  <c r="S668" i="3" s="1"/>
  <c r="S673" i="3" s="1"/>
  <c r="S701" i="3" s="1"/>
  <c r="S707" i="3" s="1"/>
  <c r="S712" i="3" s="1"/>
  <c r="S740" i="3" s="1"/>
  <c r="S746" i="3" s="1"/>
  <c r="S751" i="3" s="1"/>
  <c r="S779" i="3" s="1"/>
  <c r="S785" i="3" s="1"/>
  <c r="S790" i="3" s="1"/>
  <c r="S818" i="3" s="1"/>
  <c r="S824" i="3" s="1"/>
  <c r="S829" i="3" s="1"/>
  <c r="S857" i="3" s="1"/>
  <c r="R38" i="3"/>
  <c r="R44" i="3" s="1"/>
  <c r="R49" i="3" s="1"/>
  <c r="R77" i="3" s="1"/>
  <c r="R83" i="3" s="1"/>
  <c r="R88" i="3" s="1"/>
  <c r="R116" i="3" s="1"/>
  <c r="R122" i="3" s="1"/>
  <c r="R127" i="3" s="1"/>
  <c r="R155" i="3" s="1"/>
  <c r="R161" i="3" s="1"/>
  <c r="R166" i="3" s="1"/>
  <c r="R194" i="3" s="1"/>
  <c r="R200" i="3" s="1"/>
  <c r="R205" i="3" s="1"/>
  <c r="R233" i="3" s="1"/>
  <c r="R239" i="3" s="1"/>
  <c r="R244" i="3" s="1"/>
  <c r="R272" i="3" s="1"/>
  <c r="R278" i="3" s="1"/>
  <c r="R283" i="3" s="1"/>
  <c r="R311" i="3" s="1"/>
  <c r="R317" i="3" s="1"/>
  <c r="R322" i="3" s="1"/>
  <c r="R350" i="3" s="1"/>
  <c r="R356" i="3" s="1"/>
  <c r="R361" i="3" s="1"/>
  <c r="R389" i="3" s="1"/>
  <c r="R395" i="3" s="1"/>
  <c r="R400" i="3" s="1"/>
  <c r="R428" i="3" s="1"/>
  <c r="R434" i="3" s="1"/>
  <c r="R439" i="3" s="1"/>
  <c r="R467" i="3" s="1"/>
  <c r="R473" i="3" s="1"/>
  <c r="R478" i="3" s="1"/>
  <c r="R506" i="3" s="1"/>
  <c r="R512" i="3" s="1"/>
  <c r="R517" i="3" s="1"/>
  <c r="R545" i="3" s="1"/>
  <c r="R551" i="3" s="1"/>
  <c r="R556" i="3" s="1"/>
  <c r="R584" i="3" s="1"/>
  <c r="R590" i="3" s="1"/>
  <c r="R595" i="3" s="1"/>
  <c r="R623" i="3" s="1"/>
  <c r="R629" i="3" s="1"/>
  <c r="R634" i="3" s="1"/>
  <c r="R662" i="3" s="1"/>
  <c r="R668" i="3" s="1"/>
  <c r="R673" i="3" s="1"/>
  <c r="R701" i="3" s="1"/>
  <c r="R707" i="3" s="1"/>
  <c r="R712" i="3" s="1"/>
  <c r="R740" i="3" s="1"/>
  <c r="R746" i="3" s="1"/>
  <c r="R751" i="3" s="1"/>
  <c r="R779" i="3" s="1"/>
  <c r="R785" i="3" s="1"/>
  <c r="R790" i="3" s="1"/>
  <c r="R818" i="3" s="1"/>
  <c r="R824" i="3" s="1"/>
  <c r="R829" i="3" s="1"/>
  <c r="R857" i="3" s="1"/>
  <c r="L5" i="3"/>
  <c r="L22" i="3"/>
  <c r="X38" i="3"/>
  <c r="X44" i="3" s="1"/>
  <c r="X49" i="3" s="1"/>
  <c r="X77" i="3" s="1"/>
  <c r="X83" i="3" s="1"/>
  <c r="X88" i="3" s="1"/>
  <c r="X116" i="3" s="1"/>
  <c r="X122" i="3" s="1"/>
  <c r="X127" i="3" s="1"/>
  <c r="X155" i="3" s="1"/>
  <c r="X161" i="3" s="1"/>
  <c r="X166" i="3" s="1"/>
  <c r="X194" i="3" s="1"/>
  <c r="X200" i="3" s="1"/>
  <c r="X205" i="3" s="1"/>
  <c r="X233" i="3" s="1"/>
  <c r="X239" i="3" s="1"/>
  <c r="X244" i="3" s="1"/>
  <c r="X272" i="3" s="1"/>
  <c r="X278" i="3" s="1"/>
  <c r="X283" i="3" s="1"/>
  <c r="X311" i="3" s="1"/>
  <c r="X317" i="3" s="1"/>
  <c r="X322" i="3" s="1"/>
  <c r="X350" i="3" s="1"/>
  <c r="X356" i="3" s="1"/>
  <c r="X361" i="3" s="1"/>
  <c r="X389" i="3" s="1"/>
  <c r="X395" i="3" s="1"/>
  <c r="X400" i="3" s="1"/>
  <c r="X428" i="3" s="1"/>
  <c r="X434" i="3" s="1"/>
  <c r="X439" i="3" s="1"/>
  <c r="X467" i="3" s="1"/>
  <c r="X473" i="3" s="1"/>
  <c r="X478" i="3" s="1"/>
  <c r="X506" i="3" s="1"/>
  <c r="X512" i="3" s="1"/>
  <c r="X517" i="3" s="1"/>
  <c r="X545" i="3" s="1"/>
  <c r="X551" i="3" s="1"/>
  <c r="X556" i="3" s="1"/>
  <c r="X584" i="3" s="1"/>
  <c r="X590" i="3" s="1"/>
  <c r="X595" i="3" s="1"/>
  <c r="X623" i="3" s="1"/>
  <c r="X629" i="3" s="1"/>
  <c r="X634" i="3" s="1"/>
  <c r="X662" i="3" s="1"/>
  <c r="X668" i="3" s="1"/>
  <c r="X673" i="3" s="1"/>
  <c r="X701" i="3" s="1"/>
  <c r="X707" i="3" s="1"/>
  <c r="X712" i="3" s="1"/>
  <c r="X740" i="3" s="1"/>
  <c r="X746" i="3" s="1"/>
  <c r="X751" i="3" s="1"/>
  <c r="X779" i="3" s="1"/>
  <c r="X785" i="3" s="1"/>
  <c r="X790" i="3" s="1"/>
  <c r="X818" i="3" s="1"/>
  <c r="X824" i="3" s="1"/>
  <c r="X829" i="3" s="1"/>
  <c r="X857" i="3" s="1"/>
  <c r="W38" i="3"/>
  <c r="W44" i="3" s="1"/>
  <c r="W49" i="3" s="1"/>
  <c r="W77" i="3" s="1"/>
  <c r="W83" i="3" s="1"/>
  <c r="W88" i="3" s="1"/>
  <c r="W116" i="3" s="1"/>
  <c r="W122" i="3" s="1"/>
  <c r="W127" i="3" s="1"/>
  <c r="W155" i="3" s="1"/>
  <c r="W161" i="3" s="1"/>
  <c r="W166" i="3" s="1"/>
  <c r="W194" i="3" s="1"/>
  <c r="W200" i="3" s="1"/>
  <c r="W205" i="3" s="1"/>
  <c r="W233" i="3" s="1"/>
  <c r="W239" i="3" s="1"/>
  <c r="W244" i="3" s="1"/>
  <c r="W272" i="3" s="1"/>
  <c r="W278" i="3" s="1"/>
  <c r="W283" i="3" s="1"/>
  <c r="W311" i="3" s="1"/>
  <c r="W317" i="3" s="1"/>
  <c r="W322" i="3" s="1"/>
  <c r="W350" i="3" s="1"/>
  <c r="W356" i="3" s="1"/>
  <c r="W361" i="3" s="1"/>
  <c r="W389" i="3" s="1"/>
  <c r="W395" i="3" s="1"/>
  <c r="W400" i="3" s="1"/>
  <c r="W428" i="3" s="1"/>
  <c r="W434" i="3" s="1"/>
  <c r="W439" i="3" s="1"/>
  <c r="W467" i="3" s="1"/>
  <c r="W473" i="3" s="1"/>
  <c r="W478" i="3" s="1"/>
  <c r="W506" i="3" s="1"/>
  <c r="W512" i="3" s="1"/>
  <c r="W517" i="3" s="1"/>
  <c r="W545" i="3" s="1"/>
  <c r="W551" i="3" s="1"/>
  <c r="W556" i="3" s="1"/>
  <c r="W584" i="3" s="1"/>
  <c r="W590" i="3" s="1"/>
  <c r="W595" i="3" s="1"/>
  <c r="W623" i="3" s="1"/>
  <c r="W629" i="3" s="1"/>
  <c r="W634" i="3" s="1"/>
  <c r="W662" i="3" s="1"/>
  <c r="W668" i="3" s="1"/>
  <c r="W673" i="3" s="1"/>
  <c r="W701" i="3" s="1"/>
  <c r="W707" i="3" s="1"/>
  <c r="W712" i="3" s="1"/>
  <c r="W740" i="3" s="1"/>
  <c r="W746" i="3" s="1"/>
  <c r="W751" i="3" s="1"/>
  <c r="W779" i="3" s="1"/>
  <c r="W785" i="3" s="1"/>
  <c r="W790" i="3" s="1"/>
  <c r="W818" i="3" s="1"/>
  <c r="W824" i="3" s="1"/>
  <c r="W829" i="3" s="1"/>
  <c r="W857" i="3" s="1"/>
  <c r="V38" i="3"/>
  <c r="V44" i="3" s="1"/>
  <c r="V49" i="3" s="1"/>
  <c r="V77" i="3" s="1"/>
  <c r="V83" i="3" s="1"/>
  <c r="V88" i="3" s="1"/>
  <c r="V116" i="3" s="1"/>
  <c r="V122" i="3" s="1"/>
  <c r="V127" i="3" s="1"/>
  <c r="V155" i="3" s="1"/>
  <c r="V161" i="3" s="1"/>
  <c r="V166" i="3" s="1"/>
  <c r="V194" i="3" s="1"/>
  <c r="V200" i="3" s="1"/>
  <c r="V205" i="3" s="1"/>
  <c r="V233" i="3" s="1"/>
  <c r="V239" i="3" s="1"/>
  <c r="V244" i="3" s="1"/>
  <c r="V272" i="3" s="1"/>
  <c r="V278" i="3" s="1"/>
  <c r="V283" i="3" s="1"/>
  <c r="V311" i="3" s="1"/>
  <c r="V317" i="3" s="1"/>
  <c r="V322" i="3" s="1"/>
  <c r="V350" i="3" s="1"/>
  <c r="V356" i="3" s="1"/>
  <c r="V361" i="3" s="1"/>
  <c r="V389" i="3" s="1"/>
  <c r="V395" i="3" s="1"/>
  <c r="V400" i="3" s="1"/>
  <c r="V428" i="3" s="1"/>
  <c r="V434" i="3" s="1"/>
  <c r="V439" i="3" s="1"/>
  <c r="V467" i="3" s="1"/>
  <c r="V473" i="3" s="1"/>
  <c r="V478" i="3" s="1"/>
  <c r="V506" i="3" s="1"/>
  <c r="V512" i="3" s="1"/>
  <c r="V517" i="3" s="1"/>
  <c r="V545" i="3" s="1"/>
  <c r="V551" i="3" s="1"/>
  <c r="V556" i="3" s="1"/>
  <c r="V584" i="3" s="1"/>
  <c r="V590" i="3" s="1"/>
  <c r="V595" i="3" s="1"/>
  <c r="V623" i="3" s="1"/>
  <c r="V629" i="3" s="1"/>
  <c r="V634" i="3" s="1"/>
  <c r="V662" i="3" s="1"/>
  <c r="V668" i="3" s="1"/>
  <c r="V673" i="3" s="1"/>
  <c r="V701" i="3" s="1"/>
  <c r="V707" i="3" s="1"/>
  <c r="V712" i="3" s="1"/>
  <c r="V740" i="3" s="1"/>
  <c r="V746" i="3" s="1"/>
  <c r="V751" i="3" s="1"/>
  <c r="V779" i="3" s="1"/>
  <c r="V785" i="3" s="1"/>
  <c r="V790" i="3" s="1"/>
  <c r="V818" i="3" s="1"/>
  <c r="V824" i="3" s="1"/>
  <c r="V829" i="3" s="1"/>
  <c r="V857" i="3" s="1"/>
  <c r="U38" i="3"/>
  <c r="P38" i="3"/>
  <c r="S819" i="3" l="1"/>
  <c r="Q751" i="3"/>
  <c r="Q779" i="3" s="1"/>
  <c r="Q785" i="3" s="1"/>
  <c r="Q790" i="3" s="1"/>
  <c r="Q818" i="3" s="1"/>
  <c r="Q824" i="3" s="1"/>
  <c r="I439" i="3"/>
  <c r="H361" i="3"/>
  <c r="C322" i="3"/>
  <c r="Y234" i="3"/>
  <c r="T234" i="3"/>
  <c r="P235" i="3" s="1"/>
  <c r="Y235" i="3"/>
  <c r="V235" i="3"/>
  <c r="U235" i="3"/>
  <c r="W235" i="3"/>
  <c r="X235" i="3"/>
  <c r="J127" i="3"/>
  <c r="D127" i="3"/>
  <c r="L76" i="3"/>
  <c r="Z76" i="3"/>
  <c r="Z10" i="3"/>
  <c r="L10" i="3"/>
  <c r="L37" i="3"/>
  <c r="Z37" i="3"/>
  <c r="G44" i="3"/>
  <c r="K38" i="3"/>
  <c r="B44" i="3"/>
  <c r="F38" i="3"/>
  <c r="U44" i="3"/>
  <c r="Y38" i="3"/>
  <c r="P44" i="3"/>
  <c r="T38" i="3"/>
  <c r="Q829" i="3" l="1"/>
  <c r="I467" i="3"/>
  <c r="I473" i="3" s="1"/>
  <c r="I478" i="3" s="1"/>
  <c r="I506" i="3" s="1"/>
  <c r="I512" i="3" s="1"/>
  <c r="I517" i="3" s="1"/>
  <c r="I545" i="3" s="1"/>
  <c r="I551" i="3" s="1"/>
  <c r="I556" i="3" s="1"/>
  <c r="I584" i="3" s="1"/>
  <c r="I590" i="3" s="1"/>
  <c r="I595" i="3" s="1"/>
  <c r="I623" i="3" s="1"/>
  <c r="I629" i="3" s="1"/>
  <c r="I634" i="3" s="1"/>
  <c r="I662" i="3" s="1"/>
  <c r="I668" i="3" s="1"/>
  <c r="I673" i="3" s="1"/>
  <c r="I701" i="3" s="1"/>
  <c r="H389" i="3"/>
  <c r="H395" i="3" s="1"/>
  <c r="C350" i="3"/>
  <c r="C356" i="3" s="1"/>
  <c r="C361" i="3" s="1"/>
  <c r="C389" i="3" s="1"/>
  <c r="C395" i="3" s="1"/>
  <c r="C400" i="3" s="1"/>
  <c r="C428" i="3" s="1"/>
  <c r="C434" i="3" s="1"/>
  <c r="C439" i="3" s="1"/>
  <c r="C467" i="3" s="1"/>
  <c r="C473" i="3" s="1"/>
  <c r="C478" i="3" s="1"/>
  <c r="C506" i="3" s="1"/>
  <c r="C512" i="3" s="1"/>
  <c r="C517" i="3" s="1"/>
  <c r="C545" i="3" s="1"/>
  <c r="C551" i="3" s="1"/>
  <c r="C556" i="3" s="1"/>
  <c r="C584" i="3" s="1"/>
  <c r="C590" i="3" s="1"/>
  <c r="C595" i="3" s="1"/>
  <c r="C623" i="3" s="1"/>
  <c r="C629" i="3" s="1"/>
  <c r="C634" i="3" s="1"/>
  <c r="C662" i="3" s="1"/>
  <c r="C668" i="3" s="1"/>
  <c r="C673" i="3" s="1"/>
  <c r="C701" i="3" s="1"/>
  <c r="C707" i="3" s="1"/>
  <c r="C712" i="3" s="1"/>
  <c r="C740" i="3" s="1"/>
  <c r="C746" i="3" s="1"/>
  <c r="C751" i="3" s="1"/>
  <c r="C779" i="3" s="1"/>
  <c r="C785" i="3" s="1"/>
  <c r="C790" i="3" s="1"/>
  <c r="C818" i="3" s="1"/>
  <c r="Q235" i="3"/>
  <c r="T235" i="3"/>
  <c r="S235" i="3"/>
  <c r="R235" i="3"/>
  <c r="Z234" i="3"/>
  <c r="J155" i="3"/>
  <c r="J161" i="3" s="1"/>
  <c r="J166" i="3" s="1"/>
  <c r="J194" i="3" s="1"/>
  <c r="J200" i="3" s="1"/>
  <c r="J205" i="3" s="1"/>
  <c r="J233" i="3" s="1"/>
  <c r="J239" i="3" s="1"/>
  <c r="J244" i="3" s="1"/>
  <c r="J272" i="3" s="1"/>
  <c r="J278" i="3" s="1"/>
  <c r="J283" i="3" s="1"/>
  <c r="J311" i="3" s="1"/>
  <c r="J317" i="3" s="1"/>
  <c r="J322" i="3" s="1"/>
  <c r="J350" i="3" s="1"/>
  <c r="J356" i="3" s="1"/>
  <c r="D155" i="3"/>
  <c r="D161" i="3" s="1"/>
  <c r="D166" i="3" s="1"/>
  <c r="D194" i="3" s="1"/>
  <c r="D200" i="3" s="1"/>
  <c r="D205" i="3" s="1"/>
  <c r="D233" i="3" s="1"/>
  <c r="D239" i="3" s="1"/>
  <c r="D244" i="3" s="1"/>
  <c r="D272" i="3" s="1"/>
  <c r="D278" i="3" s="1"/>
  <c r="D283" i="3" s="1"/>
  <c r="D311" i="3" s="1"/>
  <c r="D317" i="3" s="1"/>
  <c r="D322" i="3" s="1"/>
  <c r="D350" i="3" s="1"/>
  <c r="D356" i="3" s="1"/>
  <c r="D361" i="3" s="1"/>
  <c r="D389" i="3" s="1"/>
  <c r="D395" i="3" s="1"/>
  <c r="D400" i="3" s="1"/>
  <c r="D428" i="3" s="1"/>
  <c r="D434" i="3" s="1"/>
  <c r="D439" i="3" s="1"/>
  <c r="D467" i="3" s="1"/>
  <c r="D473" i="3" s="1"/>
  <c r="D478" i="3" s="1"/>
  <c r="D506" i="3" s="1"/>
  <c r="D512" i="3" s="1"/>
  <c r="D517" i="3" s="1"/>
  <c r="D545" i="3" s="1"/>
  <c r="D551" i="3" s="1"/>
  <c r="D556" i="3" s="1"/>
  <c r="D584" i="3" s="1"/>
  <c r="D590" i="3" s="1"/>
  <c r="D595" i="3" s="1"/>
  <c r="D623" i="3" s="1"/>
  <c r="D629" i="3" s="1"/>
  <c r="D634" i="3" s="1"/>
  <c r="D662" i="3" s="1"/>
  <c r="D668" i="3" s="1"/>
  <c r="D673" i="3" s="1"/>
  <c r="D701" i="3" s="1"/>
  <c r="D707" i="3" s="1"/>
  <c r="D712" i="3" s="1"/>
  <c r="D740" i="3" s="1"/>
  <c r="D746" i="3" s="1"/>
  <c r="D751" i="3" s="1"/>
  <c r="D779" i="3" s="1"/>
  <c r="D785" i="3" s="1"/>
  <c r="D790" i="3" s="1"/>
  <c r="D818" i="3" s="1"/>
  <c r="L38" i="3"/>
  <c r="G49" i="3"/>
  <c r="K44" i="3"/>
  <c r="B49" i="3"/>
  <c r="F44" i="3"/>
  <c r="Z38" i="3"/>
  <c r="U49" i="3"/>
  <c r="Y44" i="3"/>
  <c r="P49" i="3"/>
  <c r="T44" i="3"/>
  <c r="Q857" i="3" l="1"/>
  <c r="R819" i="3"/>
  <c r="D824" i="3"/>
  <c r="D829" i="3" s="1"/>
  <c r="D857" i="3" s="1"/>
  <c r="Q819" i="3"/>
  <c r="C824" i="3"/>
  <c r="C829" i="3" s="1"/>
  <c r="C857" i="3" s="1"/>
  <c r="I707" i="3"/>
  <c r="I712" i="3" s="1"/>
  <c r="I740" i="3" s="1"/>
  <c r="I746" i="3" s="1"/>
  <c r="I751" i="3" s="1"/>
  <c r="I779" i="3" s="1"/>
  <c r="I785" i="3" s="1"/>
  <c r="I790" i="3" s="1"/>
  <c r="I818" i="3" s="1"/>
  <c r="H400" i="3"/>
  <c r="J361" i="3"/>
  <c r="L44" i="3"/>
  <c r="G77" i="3"/>
  <c r="G83" i="3" s="1"/>
  <c r="K49" i="3"/>
  <c r="F49" i="3"/>
  <c r="B77" i="3"/>
  <c r="B83" i="3" s="1"/>
  <c r="Z44" i="3"/>
  <c r="U77" i="3"/>
  <c r="U83" i="3" s="1"/>
  <c r="Y49" i="3"/>
  <c r="P77" i="3"/>
  <c r="P83" i="3" s="1"/>
  <c r="T49" i="3"/>
  <c r="W819" i="3" l="1"/>
  <c r="I824" i="3"/>
  <c r="I829" i="3" s="1"/>
  <c r="I857" i="3" s="1"/>
  <c r="H428" i="3"/>
  <c r="H434" i="3" s="1"/>
  <c r="H439" i="3" s="1"/>
  <c r="H467" i="3" s="1"/>
  <c r="H473" i="3" s="1"/>
  <c r="H478" i="3" s="1"/>
  <c r="H506" i="3" s="1"/>
  <c r="H512" i="3" s="1"/>
  <c r="J389" i="3"/>
  <c r="K83" i="3"/>
  <c r="G88" i="3"/>
  <c r="Y83" i="3"/>
  <c r="U88" i="3"/>
  <c r="P88" i="3"/>
  <c r="T83" i="3"/>
  <c r="F83" i="3"/>
  <c r="B88" i="3"/>
  <c r="Z49" i="3"/>
  <c r="L49" i="3"/>
  <c r="K77" i="3"/>
  <c r="F77" i="3"/>
  <c r="Y77" i="3"/>
  <c r="T77" i="3"/>
  <c r="H517" i="3" l="1"/>
  <c r="H545" i="3" s="1"/>
  <c r="H551" i="3" s="1"/>
  <c r="H556" i="3" s="1"/>
  <c r="H584" i="3" s="1"/>
  <c r="H590" i="3" s="1"/>
  <c r="H595" i="3" s="1"/>
  <c r="H623" i="3" s="1"/>
  <c r="H629" i="3" s="1"/>
  <c r="H634" i="3" s="1"/>
  <c r="H662" i="3" s="1"/>
  <c r="H668" i="3" s="1"/>
  <c r="H673" i="3" s="1"/>
  <c r="H701" i="3" s="1"/>
  <c r="H707" i="3" s="1"/>
  <c r="H712" i="3" s="1"/>
  <c r="H740" i="3" s="1"/>
  <c r="H746" i="3" s="1"/>
  <c r="J395" i="3"/>
  <c r="L83" i="3"/>
  <c r="G116" i="3"/>
  <c r="K88" i="3"/>
  <c r="U116" i="3"/>
  <c r="Y88" i="3"/>
  <c r="Z83" i="3"/>
  <c r="P116" i="3"/>
  <c r="T88" i="3"/>
  <c r="F88" i="3"/>
  <c r="B116" i="3"/>
  <c r="L77" i="3"/>
  <c r="Z77" i="3"/>
  <c r="H751" i="3" l="1"/>
  <c r="H779" i="3" s="1"/>
  <c r="H785" i="3" s="1"/>
  <c r="H790" i="3" s="1"/>
  <c r="H818" i="3" s="1"/>
  <c r="J400" i="3"/>
  <c r="F116" i="3"/>
  <c r="B122" i="3"/>
  <c r="K116" i="3"/>
  <c r="G122" i="3"/>
  <c r="Y116" i="3"/>
  <c r="U122" i="3"/>
  <c r="T116" i="3"/>
  <c r="P122" i="3"/>
  <c r="L88" i="3"/>
  <c r="Z88" i="3"/>
  <c r="V819" i="3" l="1"/>
  <c r="H824" i="3"/>
  <c r="J428" i="3"/>
  <c r="L116" i="3"/>
  <c r="G127" i="3"/>
  <c r="K122" i="3"/>
  <c r="B127" i="3"/>
  <c r="F122" i="3"/>
  <c r="Z116" i="3"/>
  <c r="P127" i="3"/>
  <c r="T122" i="3"/>
  <c r="U127" i="3"/>
  <c r="Y122" i="3"/>
  <c r="H829" i="3" l="1"/>
  <c r="H857" i="3" s="1"/>
  <c r="J434" i="3"/>
  <c r="L122" i="3"/>
  <c r="B155" i="3"/>
  <c r="F127" i="3"/>
  <c r="G155" i="3"/>
  <c r="K127" i="3"/>
  <c r="Z122" i="3"/>
  <c r="U155" i="3"/>
  <c r="Y127" i="3"/>
  <c r="P155" i="3"/>
  <c r="T127" i="3"/>
  <c r="J439" i="3" l="1"/>
  <c r="F155" i="3"/>
  <c r="B161" i="3"/>
  <c r="K155" i="3"/>
  <c r="G161" i="3"/>
  <c r="T155" i="3"/>
  <c r="P161" i="3"/>
  <c r="Y155" i="3"/>
  <c r="U161" i="3"/>
  <c r="L127" i="3"/>
  <c r="Z127" i="3"/>
  <c r="J467" i="3" l="1"/>
  <c r="Z155" i="3"/>
  <c r="L155" i="3"/>
  <c r="G166" i="3"/>
  <c r="K161" i="3"/>
  <c r="B166" i="3"/>
  <c r="F161" i="3"/>
  <c r="U166" i="3"/>
  <c r="Y161" i="3"/>
  <c r="P166" i="3"/>
  <c r="T161" i="3"/>
  <c r="J473" i="3" l="1"/>
  <c r="J478" i="3" s="1"/>
  <c r="J506" i="3" s="1"/>
  <c r="J512" i="3" s="1"/>
  <c r="J517" i="3" s="1"/>
  <c r="J545" i="3" s="1"/>
  <c r="J551" i="3" s="1"/>
  <c r="J556" i="3" s="1"/>
  <c r="J584" i="3" s="1"/>
  <c r="J590" i="3" s="1"/>
  <c r="J595" i="3" s="1"/>
  <c r="J623" i="3" s="1"/>
  <c r="J629" i="3" s="1"/>
  <c r="J634" i="3" s="1"/>
  <c r="J662" i="3" s="1"/>
  <c r="J668" i="3" s="1"/>
  <c r="J673" i="3" s="1"/>
  <c r="J701" i="3" s="1"/>
  <c r="J707" i="3" s="1"/>
  <c r="J712" i="3" s="1"/>
  <c r="J740" i="3" s="1"/>
  <c r="Z161" i="3"/>
  <c r="G194" i="3"/>
  <c r="K166" i="3"/>
  <c r="L161" i="3"/>
  <c r="B194" i="3"/>
  <c r="F166" i="3"/>
  <c r="T166" i="3"/>
  <c r="P194" i="3"/>
  <c r="Y166" i="3"/>
  <c r="U194" i="3"/>
  <c r="J746" i="3" l="1"/>
  <c r="J751" i="3" s="1"/>
  <c r="J779" i="3" s="1"/>
  <c r="J785" i="3" s="1"/>
  <c r="J790" i="3" s="1"/>
  <c r="J818" i="3" s="1"/>
  <c r="Y194" i="3"/>
  <c r="U200" i="3"/>
  <c r="K194" i="3"/>
  <c r="G200" i="3"/>
  <c r="F194" i="3"/>
  <c r="B200" i="3"/>
  <c r="T194" i="3"/>
  <c r="P200" i="3"/>
  <c r="L166" i="3"/>
  <c r="Z166" i="3"/>
  <c r="X819" i="3" l="1"/>
  <c r="J824" i="3"/>
  <c r="J829" i="3" s="1"/>
  <c r="J857" i="3" s="1"/>
  <c r="L194" i="3"/>
  <c r="Z194" i="3"/>
  <c r="G205" i="3"/>
  <c r="K200" i="3"/>
  <c r="U205" i="3"/>
  <c r="Y200" i="3"/>
  <c r="B205" i="3"/>
  <c r="F200" i="3"/>
  <c r="L200" i="3" s="1"/>
  <c r="P205" i="3"/>
  <c r="T200" i="3"/>
  <c r="Z200" i="3" l="1"/>
  <c r="B233" i="3"/>
  <c r="F205" i="3"/>
  <c r="Y205" i="3"/>
  <c r="U233" i="3"/>
  <c r="P233" i="3"/>
  <c r="T205" i="3"/>
  <c r="G233" i="3"/>
  <c r="K205" i="3"/>
  <c r="T233" i="3" l="1"/>
  <c r="P239" i="3"/>
  <c r="K233" i="3"/>
  <c r="G239" i="3"/>
  <c r="Y233" i="3"/>
  <c r="U239" i="3"/>
  <c r="F233" i="3"/>
  <c r="B239" i="3"/>
  <c r="Z205" i="3"/>
  <c r="L205" i="3"/>
  <c r="L233" i="3" l="1"/>
  <c r="G244" i="3"/>
  <c r="K239" i="3"/>
  <c r="P244" i="3"/>
  <c r="T239" i="3"/>
  <c r="U244" i="3"/>
  <c r="Y239" i="3"/>
  <c r="B244" i="3"/>
  <c r="F239" i="3"/>
  <c r="Z233" i="3"/>
  <c r="L239" i="3" l="1"/>
  <c r="U272" i="3"/>
  <c r="U278" i="3" s="1"/>
  <c r="Y244" i="3"/>
  <c r="Z239" i="3"/>
  <c r="P272" i="3"/>
  <c r="T244" i="3"/>
  <c r="F244" i="3"/>
  <c r="B272" i="3"/>
  <c r="G272" i="3"/>
  <c r="K244" i="3"/>
  <c r="F272" i="3" l="1"/>
  <c r="B278" i="3"/>
  <c r="K272" i="3"/>
  <c r="G278" i="3"/>
  <c r="Y278" i="3"/>
  <c r="U283" i="3"/>
  <c r="T272" i="3"/>
  <c r="P278" i="3"/>
  <c r="Y272" i="3"/>
  <c r="Z244" i="3"/>
  <c r="L244" i="3"/>
  <c r="Z272" i="3" l="1"/>
  <c r="L272" i="3"/>
  <c r="F278" i="3"/>
  <c r="B283" i="3"/>
  <c r="K278" i="3"/>
  <c r="G283" i="3"/>
  <c r="T278" i="3"/>
  <c r="Z278" i="3" s="1"/>
  <c r="P283" i="3"/>
  <c r="U311" i="3"/>
  <c r="Y283" i="3"/>
  <c r="Y311" i="3" l="1"/>
  <c r="U317" i="3"/>
  <c r="L278" i="3"/>
  <c r="F283" i="3"/>
  <c r="B311" i="3"/>
  <c r="G311" i="3"/>
  <c r="K283" i="3"/>
  <c r="P311" i="3"/>
  <c r="T283" i="3"/>
  <c r="Z283" i="3" s="1"/>
  <c r="F311" i="3" l="1"/>
  <c r="B317" i="3"/>
  <c r="K311" i="3"/>
  <c r="G317" i="3"/>
  <c r="T311" i="3"/>
  <c r="Z311" i="3" s="1"/>
  <c r="P317" i="3"/>
  <c r="U322" i="3"/>
  <c r="Y317" i="3"/>
  <c r="L283" i="3"/>
  <c r="B322" i="3" l="1"/>
  <c r="F317" i="3"/>
  <c r="L311" i="3"/>
  <c r="G322" i="3"/>
  <c r="K317" i="3"/>
  <c r="T317" i="3"/>
  <c r="Z317" i="3" s="1"/>
  <c r="P322" i="3"/>
  <c r="U350" i="3"/>
  <c r="Y322" i="3"/>
  <c r="Y350" i="3" l="1"/>
  <c r="U356" i="3"/>
  <c r="L317" i="3"/>
  <c r="B350" i="3"/>
  <c r="F322" i="3"/>
  <c r="G350" i="3"/>
  <c r="K322" i="3"/>
  <c r="P350" i="3"/>
  <c r="T322" i="3"/>
  <c r="Z322" i="3" s="1"/>
  <c r="K350" i="3" l="1"/>
  <c r="G356" i="3"/>
  <c r="T350" i="3"/>
  <c r="Z350" i="3" s="1"/>
  <c r="P356" i="3"/>
  <c r="U361" i="3"/>
  <c r="Y356" i="3"/>
  <c r="F350" i="3"/>
  <c r="B356" i="3"/>
  <c r="L322" i="3"/>
  <c r="L350" i="3" l="1"/>
  <c r="G361" i="3"/>
  <c r="K356" i="3"/>
  <c r="U389" i="3"/>
  <c r="Y361" i="3"/>
  <c r="P361" i="3"/>
  <c r="T356" i="3"/>
  <c r="Z356" i="3" s="1"/>
  <c r="B361" i="3"/>
  <c r="F356" i="3"/>
  <c r="G389" i="3" l="1"/>
  <c r="K361" i="3"/>
  <c r="L356" i="3"/>
  <c r="Y389" i="3"/>
  <c r="U395" i="3"/>
  <c r="P389" i="3"/>
  <c r="T361" i="3"/>
  <c r="Z361" i="3" s="1"/>
  <c r="B389" i="3"/>
  <c r="F361" i="3"/>
  <c r="L361" i="3" l="1"/>
  <c r="G395" i="3"/>
  <c r="K389" i="3"/>
  <c r="T389" i="3"/>
  <c r="Z389" i="3" s="1"/>
  <c r="P395" i="3"/>
  <c r="U400" i="3"/>
  <c r="Y395" i="3"/>
  <c r="F389" i="3"/>
  <c r="L389" i="3" s="1"/>
  <c r="B395" i="3"/>
  <c r="G400" i="3" l="1"/>
  <c r="K395" i="3"/>
  <c r="U428" i="3"/>
  <c r="Y400" i="3"/>
  <c r="P400" i="3"/>
  <c r="T395" i="3"/>
  <c r="Z395" i="3" s="1"/>
  <c r="B400" i="3"/>
  <c r="F395" i="3"/>
  <c r="L395" i="3" s="1"/>
  <c r="G428" i="3" l="1"/>
  <c r="K400" i="3"/>
  <c r="Y428" i="3"/>
  <c r="U434" i="3"/>
  <c r="T400" i="3"/>
  <c r="Z400" i="3" s="1"/>
  <c r="P428" i="3"/>
  <c r="F400" i="3"/>
  <c r="L400" i="3" s="1"/>
  <c r="B428" i="3"/>
  <c r="G434" i="3" l="1"/>
  <c r="K428" i="3"/>
  <c r="F428" i="3"/>
  <c r="B434" i="3"/>
  <c r="T428" i="3"/>
  <c r="Z428" i="3" s="1"/>
  <c r="P434" i="3"/>
  <c r="Y434" i="3"/>
  <c r="U439" i="3"/>
  <c r="L428" i="3" l="1"/>
  <c r="G439" i="3"/>
  <c r="K434" i="3"/>
  <c r="B439" i="3"/>
  <c r="F434" i="3"/>
  <c r="L434" i="3" s="1"/>
  <c r="Y439" i="3"/>
  <c r="U467" i="3"/>
  <c r="T434" i="3"/>
  <c r="Z434" i="3" s="1"/>
  <c r="P439" i="3"/>
  <c r="Y467" i="3" l="1"/>
  <c r="U473" i="3"/>
  <c r="G467" i="3"/>
  <c r="K439" i="3"/>
  <c r="B467" i="3"/>
  <c r="F439" i="3"/>
  <c r="P467" i="3"/>
  <c r="T439" i="3"/>
  <c r="Z439" i="3" s="1"/>
  <c r="T467" i="3" l="1"/>
  <c r="Z467" i="3" s="1"/>
  <c r="P473" i="3"/>
  <c r="G473" i="3"/>
  <c r="K467" i="3"/>
  <c r="U478" i="3"/>
  <c r="Y473" i="3"/>
  <c r="L439" i="3"/>
  <c r="F467" i="3"/>
  <c r="L467" i="3" s="1"/>
  <c r="B473" i="3"/>
  <c r="P478" i="3" l="1"/>
  <c r="T473" i="3"/>
  <c r="Z473" i="3" s="1"/>
  <c r="G478" i="3"/>
  <c r="K473" i="3"/>
  <c r="F473" i="3"/>
  <c r="B478" i="3"/>
  <c r="Y478" i="3"/>
  <c r="U506" i="3"/>
  <c r="U512" i="3" l="1"/>
  <c r="Y506" i="3"/>
  <c r="K478" i="3"/>
  <c r="G506" i="3"/>
  <c r="B506" i="3"/>
  <c r="F478" i="3"/>
  <c r="L473" i="3"/>
  <c r="P506" i="3"/>
  <c r="T478" i="3"/>
  <c r="Z478" i="3" s="1"/>
  <c r="G512" i="3" l="1"/>
  <c r="K506" i="3"/>
  <c r="P512" i="3"/>
  <c r="T506" i="3"/>
  <c r="Z506" i="3" s="1"/>
  <c r="L478" i="3"/>
  <c r="B512" i="3"/>
  <c r="F506" i="3"/>
  <c r="L506" i="3" s="1"/>
  <c r="Y512" i="3"/>
  <c r="U517" i="3"/>
  <c r="P517" i="3" l="1"/>
  <c r="T512" i="3"/>
  <c r="Z512" i="3" s="1"/>
  <c r="F512" i="3"/>
  <c r="B517" i="3"/>
  <c r="Y517" i="3"/>
  <c r="U545" i="3"/>
  <c r="G517" i="3"/>
  <c r="K512" i="3"/>
  <c r="G545" i="3" l="1"/>
  <c r="K517" i="3"/>
  <c r="F517" i="3"/>
  <c r="L517" i="3" s="1"/>
  <c r="B545" i="3"/>
  <c r="L512" i="3"/>
  <c r="Y545" i="3"/>
  <c r="U551" i="3"/>
  <c r="Z517" i="3"/>
  <c r="P545" i="3"/>
  <c r="T517" i="3"/>
  <c r="B551" i="3" l="1"/>
  <c r="F545" i="3"/>
  <c r="U556" i="3"/>
  <c r="Y551" i="3"/>
  <c r="P551" i="3"/>
  <c r="T545" i="3"/>
  <c r="Z545" i="3" s="1"/>
  <c r="G551" i="3"/>
  <c r="K545" i="3"/>
  <c r="L545" i="3" l="1"/>
  <c r="G556" i="3"/>
  <c r="K551" i="3"/>
  <c r="Z551" i="3"/>
  <c r="Y556" i="3"/>
  <c r="U584" i="3"/>
  <c r="T551" i="3"/>
  <c r="P556" i="3"/>
  <c r="B556" i="3"/>
  <c r="F551" i="3"/>
  <c r="B584" i="3" l="1"/>
  <c r="F556" i="3"/>
  <c r="L556" i="3" s="1"/>
  <c r="Z556" i="3"/>
  <c r="P584" i="3"/>
  <c r="T556" i="3"/>
  <c r="L551" i="3"/>
  <c r="Y584" i="3"/>
  <c r="U590" i="3"/>
  <c r="G584" i="3"/>
  <c r="K556" i="3"/>
  <c r="U595" i="3" l="1"/>
  <c r="Y590" i="3"/>
  <c r="T584" i="3"/>
  <c r="Z584" i="3" s="1"/>
  <c r="P590" i="3"/>
  <c r="G590" i="3"/>
  <c r="K584" i="3"/>
  <c r="F584" i="3"/>
  <c r="B590" i="3"/>
  <c r="L584" i="3" l="1"/>
  <c r="P595" i="3"/>
  <c r="T590" i="3"/>
  <c r="Z590" i="3" s="1"/>
  <c r="G595" i="3"/>
  <c r="K590" i="3"/>
  <c r="B595" i="3"/>
  <c r="F590" i="3"/>
  <c r="L590" i="3" s="1"/>
  <c r="U623" i="3"/>
  <c r="Y595" i="3"/>
  <c r="B623" i="3" l="1"/>
  <c r="F595" i="3"/>
  <c r="Y623" i="3"/>
  <c r="U629" i="3"/>
  <c r="G623" i="3"/>
  <c r="K595" i="3"/>
  <c r="T595" i="3"/>
  <c r="Z595" i="3" s="1"/>
  <c r="P623" i="3"/>
  <c r="L595" i="3" l="1"/>
  <c r="U634" i="3"/>
  <c r="Y629" i="3"/>
  <c r="Z623" i="3"/>
  <c r="T623" i="3"/>
  <c r="P629" i="3"/>
  <c r="G629" i="3"/>
  <c r="K623" i="3"/>
  <c r="F623" i="3"/>
  <c r="B629" i="3"/>
  <c r="L623" i="3" l="1"/>
  <c r="G634" i="3"/>
  <c r="K629" i="3"/>
  <c r="B634" i="3"/>
  <c r="F629" i="3"/>
  <c r="P634" i="3"/>
  <c r="T629" i="3"/>
  <c r="Z629" i="3" s="1"/>
  <c r="Y634" i="3"/>
  <c r="U662" i="3"/>
  <c r="B662" i="3" l="1"/>
  <c r="F634" i="3"/>
  <c r="L634" i="3" s="1"/>
  <c r="T634" i="3"/>
  <c r="Z634" i="3" s="1"/>
  <c r="P662" i="3"/>
  <c r="Y662" i="3"/>
  <c r="U668" i="3"/>
  <c r="L629" i="3"/>
  <c r="G662" i="3"/>
  <c r="K634" i="3"/>
  <c r="T662" i="3" l="1"/>
  <c r="Z662" i="3" s="1"/>
  <c r="P668" i="3"/>
  <c r="Y668" i="3"/>
  <c r="U673" i="3"/>
  <c r="G668" i="3"/>
  <c r="K662" i="3"/>
  <c r="F662" i="3"/>
  <c r="L662" i="3" s="1"/>
  <c r="B668" i="3"/>
  <c r="U701" i="3" l="1"/>
  <c r="Y673" i="3"/>
  <c r="P673" i="3"/>
  <c r="T668" i="3"/>
  <c r="Z668" i="3" s="1"/>
  <c r="G673" i="3"/>
  <c r="K668" i="3"/>
  <c r="B673" i="3"/>
  <c r="F668" i="3"/>
  <c r="T673" i="3" l="1"/>
  <c r="P701" i="3"/>
  <c r="B701" i="3"/>
  <c r="F673" i="3"/>
  <c r="L673" i="3" s="1"/>
  <c r="G701" i="3"/>
  <c r="K673" i="3"/>
  <c r="Z673" i="3"/>
  <c r="L668" i="3"/>
  <c r="Y701" i="3"/>
  <c r="U707" i="3"/>
  <c r="F701" i="3" l="1"/>
  <c r="B707" i="3"/>
  <c r="T701" i="3"/>
  <c r="P707" i="3"/>
  <c r="U712" i="3"/>
  <c r="Y707" i="3"/>
  <c r="Z701" i="3"/>
  <c r="G707" i="3"/>
  <c r="K701" i="3"/>
  <c r="G712" i="3" l="1"/>
  <c r="K707" i="3"/>
  <c r="B712" i="3"/>
  <c r="F707" i="3"/>
  <c r="L707" i="3" s="1"/>
  <c r="T707" i="3"/>
  <c r="Z707" i="3" s="1"/>
  <c r="P712" i="3"/>
  <c r="Y712" i="3"/>
  <c r="U740" i="3"/>
  <c r="L701" i="3"/>
  <c r="U746" i="3" l="1"/>
  <c r="Y740" i="3"/>
  <c r="B740" i="3"/>
  <c r="F712" i="3"/>
  <c r="P740" i="3"/>
  <c r="T712" i="3"/>
  <c r="Z712" i="3" s="1"/>
  <c r="G740" i="3"/>
  <c r="K712" i="3"/>
  <c r="G746" i="3" l="1"/>
  <c r="K740" i="3"/>
  <c r="L712" i="3"/>
  <c r="B746" i="3"/>
  <c r="F740" i="3"/>
  <c r="T740" i="3"/>
  <c r="Z740" i="3" s="1"/>
  <c r="P746" i="3"/>
  <c r="U751" i="3"/>
  <c r="Y746" i="3"/>
  <c r="U779" i="3" l="1"/>
  <c r="Y751" i="3"/>
  <c r="B751" i="3"/>
  <c r="F746" i="3"/>
  <c r="L746" i="3" s="1"/>
  <c r="P751" i="3"/>
  <c r="T746" i="3"/>
  <c r="Z746" i="3" s="1"/>
  <c r="L740" i="3"/>
  <c r="G751" i="3"/>
  <c r="K746" i="3"/>
  <c r="B779" i="3" l="1"/>
  <c r="F751" i="3"/>
  <c r="G779" i="3"/>
  <c r="K751" i="3"/>
  <c r="P779" i="3"/>
  <c r="T751" i="3"/>
  <c r="Z751" i="3" s="1"/>
  <c r="U785" i="3"/>
  <c r="Y779" i="3"/>
  <c r="U790" i="3" l="1"/>
  <c r="Y785" i="3"/>
  <c r="L751" i="3"/>
  <c r="G785" i="3"/>
  <c r="K779" i="3"/>
  <c r="P785" i="3"/>
  <c r="T779" i="3"/>
  <c r="Z779" i="3" s="1"/>
  <c r="B785" i="3"/>
  <c r="F779" i="3"/>
  <c r="L779" i="3" l="1"/>
  <c r="P790" i="3"/>
  <c r="T785" i="3"/>
  <c r="Z785" i="3" s="1"/>
  <c r="B790" i="3"/>
  <c r="F785" i="3"/>
  <c r="G790" i="3"/>
  <c r="K785" i="3"/>
  <c r="U818" i="3"/>
  <c r="U824" i="3" s="1"/>
  <c r="Y790" i="3"/>
  <c r="U829" i="3" l="1"/>
  <c r="Y824" i="3"/>
  <c r="Y818" i="3"/>
  <c r="L785" i="3"/>
  <c r="B818" i="3"/>
  <c r="F790" i="3"/>
  <c r="G818" i="3"/>
  <c r="K790" i="3"/>
  <c r="T790" i="3"/>
  <c r="Z790" i="3" s="1"/>
  <c r="P818" i="3"/>
  <c r="P824" i="3" s="1"/>
  <c r="P829" i="3" l="1"/>
  <c r="T824" i="3"/>
  <c r="Z824" i="3" s="1"/>
  <c r="U857" i="3"/>
  <c r="Y857" i="3" s="1"/>
  <c r="Y829" i="3"/>
  <c r="K818" i="3"/>
  <c r="Y819" i="3" s="1"/>
  <c r="G824" i="3"/>
  <c r="F818" i="3"/>
  <c r="L818" i="3" s="1"/>
  <c r="B824" i="3"/>
  <c r="U819" i="3"/>
  <c r="T818" i="3"/>
  <c r="P819" i="3"/>
  <c r="L790" i="3"/>
  <c r="T819" i="3" l="1"/>
  <c r="P857" i="3"/>
  <c r="T857" i="3" s="1"/>
  <c r="Z857" i="3" s="1"/>
  <c r="T829" i="3"/>
  <c r="Z829" i="3" s="1"/>
  <c r="B829" i="3"/>
  <c r="F824" i="3"/>
  <c r="G829" i="3"/>
  <c r="K824" i="3"/>
  <c r="Z818" i="3"/>
  <c r="Z819" i="3" s="1"/>
  <c r="L824" i="3" l="1"/>
  <c r="G857" i="3"/>
  <c r="K857" i="3" s="1"/>
  <c r="K829" i="3"/>
  <c r="B857" i="3"/>
  <c r="F857" i="3" s="1"/>
  <c r="F829" i="3"/>
  <c r="L829" i="3" l="1"/>
  <c r="L857" i="3"/>
</calcChain>
</file>

<file path=xl/sharedStrings.xml><?xml version="1.0" encoding="utf-8"?>
<sst xmlns="http://schemas.openxmlformats.org/spreadsheetml/2006/main" count="1943" uniqueCount="288">
  <si>
    <t>カラー</t>
    <phoneticPr fontId="2"/>
  </si>
  <si>
    <t>サイズ</t>
    <phoneticPr fontId="2"/>
  </si>
  <si>
    <t>計</t>
    <rPh sb="0" eb="1">
      <t>ケイ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</si>
  <si>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</si>
  <si>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</si>
  <si>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</si>
  <si>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総数</t>
    <rPh sb="0" eb="2">
      <t>ソウスウ</t>
    </rPh>
    <phoneticPr fontId="2"/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</si>
  <si>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</si>
  <si>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</si>
  <si>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在庫</t>
    <rPh sb="0" eb="2">
      <t>ザイコ</t>
    </rPh>
    <phoneticPr fontId="2"/>
  </si>
  <si>
    <t>追加１</t>
    <rPh sb="0" eb="2">
      <t>ツイカ</t>
    </rPh>
    <phoneticPr fontId="2"/>
  </si>
  <si>
    <t>M</t>
    <phoneticPr fontId="2"/>
  </si>
  <si>
    <t>L</t>
    <phoneticPr fontId="2"/>
  </si>
  <si>
    <t>LL</t>
    <phoneticPr fontId="2"/>
  </si>
  <si>
    <t>3L</t>
    <phoneticPr fontId="2"/>
  </si>
  <si>
    <t>ホワイト</t>
    <phoneticPr fontId="2"/>
  </si>
  <si>
    <t>計</t>
    <rPh sb="0" eb="1">
      <t>ケイ</t>
    </rPh>
    <phoneticPr fontId="2"/>
  </si>
  <si>
    <t>合計</t>
    <rPh sb="0" eb="2">
      <t>ゴウケイ</t>
    </rPh>
    <phoneticPr fontId="2"/>
  </si>
  <si>
    <t>グレージュ</t>
    <phoneticPr fontId="2"/>
  </si>
  <si>
    <t>UVパーカー2023(夢販在庫）</t>
    <rPh sb="11" eb="12">
      <t>ユメ</t>
    </rPh>
    <rPh sb="12" eb="13">
      <t>ハン</t>
    </rPh>
    <rPh sb="13" eb="15">
      <t>ザイコ</t>
    </rPh>
    <phoneticPr fontId="2"/>
  </si>
  <si>
    <t>YM23000</t>
    <phoneticPr fontId="2"/>
  </si>
  <si>
    <t>UVパーカー2023(K-port在庫）</t>
    <rPh sb="17" eb="19">
      <t>ザイコ</t>
    </rPh>
    <phoneticPr fontId="2"/>
  </si>
  <si>
    <t>初回</t>
    <rPh sb="0" eb="2">
      <t>ショカイ</t>
    </rPh>
    <phoneticPr fontId="2"/>
  </si>
  <si>
    <t>ディノス23夏</t>
    <rPh sb="6" eb="7">
      <t>ナツ</t>
    </rPh>
    <phoneticPr fontId="2"/>
  </si>
  <si>
    <t>3/6～</t>
    <phoneticPr fontId="2"/>
  </si>
  <si>
    <t>伝票2月</t>
    <rPh sb="0" eb="2">
      <t>デンピョウ</t>
    </rPh>
    <rPh sb="3" eb="4">
      <t>ガツ</t>
    </rPh>
    <phoneticPr fontId="2"/>
  </si>
  <si>
    <t>伝票4月</t>
    <rPh sb="0" eb="2">
      <t>デンピョウ</t>
    </rPh>
    <rPh sb="3" eb="4">
      <t>ガツ</t>
    </rPh>
    <phoneticPr fontId="2"/>
  </si>
  <si>
    <t>納前分</t>
    <rPh sb="0" eb="2">
      <t>ノウマエ</t>
    </rPh>
    <rPh sb="2" eb="3">
      <t>ブン</t>
    </rPh>
    <phoneticPr fontId="2"/>
  </si>
  <si>
    <t>不足分</t>
    <rPh sb="0" eb="3">
      <t>フソクブン</t>
    </rPh>
    <phoneticPr fontId="2"/>
  </si>
  <si>
    <t>ディノス23夏①</t>
    <rPh sb="6" eb="7">
      <t>ナツ</t>
    </rPh>
    <phoneticPr fontId="2"/>
  </si>
  <si>
    <t>2023/1/27数</t>
    <rPh sb="9" eb="10">
      <t>スウ</t>
    </rPh>
    <phoneticPr fontId="2"/>
  </si>
  <si>
    <t>夢販</t>
    <rPh sb="0" eb="2">
      <t>ユメハン</t>
    </rPh>
    <phoneticPr fontId="2"/>
  </si>
  <si>
    <t>2023/1/7数伝</t>
    <rPh sb="8" eb="10">
      <t>スウデン</t>
    </rPh>
    <phoneticPr fontId="2"/>
  </si>
  <si>
    <t>千趣会①</t>
    <rPh sb="0" eb="3">
      <t>センシュカイ</t>
    </rPh>
    <phoneticPr fontId="2"/>
  </si>
  <si>
    <t>千趣会②</t>
    <rPh sb="0" eb="3">
      <t>センシュカイ</t>
    </rPh>
    <phoneticPr fontId="2"/>
  </si>
  <si>
    <t>ネット</t>
    <phoneticPr fontId="2"/>
  </si>
  <si>
    <t xml:space="preserve">追加２ </t>
    <rPh sb="0" eb="2">
      <t>ツイカ</t>
    </rPh>
    <phoneticPr fontId="2"/>
  </si>
  <si>
    <t>千趣会返品</t>
    <rPh sb="0" eb="3">
      <t>センシュカイ</t>
    </rPh>
    <rPh sb="3" eb="5">
      <t>ヘンピン</t>
    </rPh>
    <phoneticPr fontId="2"/>
  </si>
  <si>
    <t>ディノス返品</t>
    <rPh sb="4" eb="6">
      <t>ヘンピン</t>
    </rPh>
    <phoneticPr fontId="2"/>
  </si>
  <si>
    <t>千趣会③</t>
    <rPh sb="0" eb="3">
      <t>センシュカイ</t>
    </rPh>
    <phoneticPr fontId="2"/>
  </si>
  <si>
    <t>追加</t>
    <rPh sb="0" eb="2">
      <t>ツイカ</t>
    </rPh>
    <phoneticPr fontId="2"/>
  </si>
  <si>
    <t>千趣会④</t>
    <rPh sb="0" eb="3">
      <t>センシュカイ</t>
    </rPh>
    <phoneticPr fontId="2"/>
  </si>
  <si>
    <t>ネット交換</t>
    <rPh sb="3" eb="5">
      <t>コウカン</t>
    </rPh>
    <phoneticPr fontId="2"/>
  </si>
  <si>
    <t>千趣会⑤</t>
    <rPh sb="0" eb="3">
      <t>センシュカイ</t>
    </rPh>
    <phoneticPr fontId="2"/>
  </si>
  <si>
    <t>千趣会⑥</t>
    <rPh sb="0" eb="3">
      <t>センシュカイ</t>
    </rPh>
    <phoneticPr fontId="2"/>
  </si>
  <si>
    <t>ディノス23夏②</t>
    <rPh sb="6" eb="7">
      <t>ナツ</t>
    </rPh>
    <phoneticPr fontId="2"/>
  </si>
  <si>
    <t>千趣会⑦</t>
    <rPh sb="0" eb="3">
      <t>センシュカイ</t>
    </rPh>
    <phoneticPr fontId="2"/>
  </si>
  <si>
    <t>ディノス23夏③</t>
    <rPh sb="6" eb="7">
      <t>ナツ</t>
    </rPh>
    <phoneticPr fontId="2"/>
  </si>
  <si>
    <t>千趣会⑧</t>
    <rPh sb="0" eb="3">
      <t>センシュカイ</t>
    </rPh>
    <phoneticPr fontId="2"/>
  </si>
  <si>
    <t>夢販移動</t>
    <rPh sb="0" eb="4">
      <t>ユメハンイドウ</t>
    </rPh>
    <phoneticPr fontId="2"/>
  </si>
  <si>
    <t>KPORT</t>
    <phoneticPr fontId="2"/>
  </si>
  <si>
    <t>かりん</t>
    <phoneticPr fontId="2"/>
  </si>
  <si>
    <t>千趣会⑨</t>
    <rPh sb="0" eb="3">
      <t>センシュカイ</t>
    </rPh>
    <phoneticPr fontId="2"/>
  </si>
  <si>
    <t>上杉納前</t>
    <rPh sb="0" eb="2">
      <t>ウエスギ</t>
    </rPh>
    <rPh sb="2" eb="4">
      <t>ノウマエ</t>
    </rPh>
    <phoneticPr fontId="2"/>
  </si>
  <si>
    <t>KPORT</t>
    <phoneticPr fontId="2"/>
  </si>
  <si>
    <t>夢販移動</t>
    <rPh sb="0" eb="2">
      <t>ユメハン</t>
    </rPh>
    <rPh sb="2" eb="4">
      <t>イドウ</t>
    </rPh>
    <phoneticPr fontId="2"/>
  </si>
  <si>
    <t>ディノス23夏④</t>
    <rPh sb="6" eb="7">
      <t>ナツ</t>
    </rPh>
    <phoneticPr fontId="2"/>
  </si>
  <si>
    <t>ディノス23夏⑤</t>
    <rPh sb="6" eb="7">
      <t>ナツ</t>
    </rPh>
    <phoneticPr fontId="2"/>
  </si>
  <si>
    <t>ディノス23夏⑥</t>
    <rPh sb="6" eb="7">
      <t>ナツ</t>
    </rPh>
    <phoneticPr fontId="2"/>
  </si>
  <si>
    <t>減産分</t>
    <rPh sb="0" eb="3">
      <t>ゲンサンブン</t>
    </rPh>
    <phoneticPr fontId="2"/>
  </si>
  <si>
    <t>千趣会⑩</t>
    <rPh sb="0" eb="3">
      <t>センシュカイ</t>
    </rPh>
    <phoneticPr fontId="2"/>
  </si>
  <si>
    <t>千趣会⑪</t>
    <rPh sb="0" eb="3">
      <t>センシュカイ</t>
    </rPh>
    <phoneticPr fontId="2"/>
  </si>
  <si>
    <t>ディノス23夏⑦</t>
    <rPh sb="6" eb="7">
      <t>ナツ</t>
    </rPh>
    <phoneticPr fontId="2"/>
  </si>
  <si>
    <t>千趣会⑫</t>
    <rPh sb="0" eb="3">
      <t>センシュカイ</t>
    </rPh>
    <phoneticPr fontId="2"/>
  </si>
  <si>
    <t>追加</t>
    <rPh sb="0" eb="2">
      <t>ツイカ</t>
    </rPh>
    <phoneticPr fontId="2"/>
  </si>
  <si>
    <t>千趣会⑬</t>
    <rPh sb="0" eb="3">
      <t>センシュカイ</t>
    </rPh>
    <phoneticPr fontId="2"/>
  </si>
  <si>
    <t>2023/6/1数伝</t>
    <rPh sb="8" eb="9">
      <t>スウ</t>
    </rPh>
    <rPh sb="9" eb="10">
      <t>デン</t>
    </rPh>
    <phoneticPr fontId="2"/>
  </si>
  <si>
    <t>2023/5/16数伝</t>
    <rPh sb="9" eb="11">
      <t>スウデン</t>
    </rPh>
    <phoneticPr fontId="2"/>
  </si>
  <si>
    <t>千趣会⑭</t>
    <rPh sb="0" eb="3">
      <t>センシュカイ</t>
    </rPh>
    <phoneticPr fontId="2"/>
  </si>
  <si>
    <t>千趣会⑮</t>
    <rPh sb="0" eb="3">
      <t>センシュカイ</t>
    </rPh>
    <phoneticPr fontId="2"/>
  </si>
  <si>
    <t>ディノス23夏⑧</t>
    <rPh sb="6" eb="7">
      <t>ナツ</t>
    </rPh>
    <phoneticPr fontId="2"/>
  </si>
  <si>
    <t>ディノス23夏⑨</t>
    <rPh sb="6" eb="7">
      <t>ナツ</t>
    </rPh>
    <phoneticPr fontId="2"/>
  </si>
  <si>
    <t>千趣会⑯</t>
    <rPh sb="0" eb="3">
      <t>センシュカイ</t>
    </rPh>
    <phoneticPr fontId="2"/>
  </si>
  <si>
    <t>夢販</t>
    <rPh sb="0" eb="2">
      <t>ユメハン</t>
    </rPh>
    <phoneticPr fontId="2"/>
  </si>
  <si>
    <t>かりん</t>
    <phoneticPr fontId="2"/>
  </si>
  <si>
    <t>千趣会⑰</t>
    <rPh sb="0" eb="3">
      <t>センシュカイ</t>
    </rPh>
    <phoneticPr fontId="2"/>
  </si>
  <si>
    <t>追加</t>
    <rPh sb="0" eb="2">
      <t>ツイカ</t>
    </rPh>
    <phoneticPr fontId="2"/>
  </si>
  <si>
    <t>千趣会⑱</t>
    <rPh sb="0" eb="3">
      <t>センシュカイ</t>
    </rPh>
    <phoneticPr fontId="2"/>
  </si>
  <si>
    <t>ディノス23夏⑩</t>
    <rPh sb="6" eb="7">
      <t>ナツ</t>
    </rPh>
    <phoneticPr fontId="2"/>
  </si>
  <si>
    <t>ディノス23夏⑪</t>
    <rPh sb="6" eb="7">
      <t>ナツ</t>
    </rPh>
    <phoneticPr fontId="2"/>
  </si>
  <si>
    <t>夢販</t>
    <rPh sb="0" eb="2">
      <t>ユメハン</t>
    </rPh>
    <phoneticPr fontId="2"/>
  </si>
  <si>
    <t>千趣会⑲</t>
    <rPh sb="0" eb="3">
      <t>センシュカイ</t>
    </rPh>
    <phoneticPr fontId="2"/>
  </si>
  <si>
    <t>追加</t>
    <rPh sb="0" eb="2">
      <t>ツイカ</t>
    </rPh>
    <phoneticPr fontId="2"/>
  </si>
  <si>
    <t>ディノス23夏⑫</t>
    <rPh sb="6" eb="7">
      <t>ナツ</t>
    </rPh>
    <phoneticPr fontId="2"/>
  </si>
  <si>
    <t>千趣会⑳</t>
    <rPh sb="0" eb="3">
      <t>センシュカイ</t>
    </rPh>
    <phoneticPr fontId="2"/>
  </si>
  <si>
    <t>ディノス23夏⑬</t>
    <rPh sb="6" eb="7">
      <t>ナツ</t>
    </rPh>
    <phoneticPr fontId="2"/>
  </si>
  <si>
    <t>追加</t>
    <rPh sb="0" eb="2">
      <t>ツイカ</t>
    </rPh>
    <phoneticPr fontId="2"/>
  </si>
  <si>
    <t>在庫確認</t>
    <rPh sb="0" eb="4">
      <t>ザイコカクニン</t>
    </rPh>
    <phoneticPr fontId="2"/>
  </si>
  <si>
    <t>ディノス23夏⑭</t>
    <rPh sb="6" eb="7">
      <t>ナツ</t>
    </rPh>
    <phoneticPr fontId="2"/>
  </si>
  <si>
    <t>夢販</t>
    <rPh sb="0" eb="2">
      <t>ユメハン</t>
    </rPh>
    <phoneticPr fontId="2"/>
  </si>
  <si>
    <t>千趣会㉑</t>
    <rPh sb="0" eb="3">
      <t>センシュカイ</t>
    </rPh>
    <phoneticPr fontId="2"/>
  </si>
  <si>
    <t>ディノス23夏⑮</t>
    <rPh sb="6" eb="7">
      <t>ナツ</t>
    </rPh>
    <phoneticPr fontId="2"/>
  </si>
  <si>
    <t>千趣会㉒</t>
    <rPh sb="0" eb="3">
      <t>センシュカイ</t>
    </rPh>
    <phoneticPr fontId="2"/>
  </si>
  <si>
    <t>ディノス23夏⑯</t>
    <rPh sb="6" eb="7">
      <t>ナツ</t>
    </rPh>
    <phoneticPr fontId="2"/>
  </si>
  <si>
    <t>追加</t>
    <rPh sb="0" eb="2">
      <t>ツイカ</t>
    </rPh>
    <phoneticPr fontId="2"/>
  </si>
  <si>
    <t>千趣会㉓</t>
    <rPh sb="0" eb="3">
      <t>センシュカイ</t>
    </rPh>
    <phoneticPr fontId="2"/>
  </si>
  <si>
    <t>追加</t>
    <rPh sb="0" eb="2">
      <t>ツイカ</t>
    </rPh>
    <phoneticPr fontId="2"/>
  </si>
  <si>
    <t>ディノス23夏⑰</t>
    <rPh sb="6" eb="7">
      <t>ナツ</t>
    </rPh>
    <phoneticPr fontId="2"/>
  </si>
  <si>
    <t>かりん</t>
    <phoneticPr fontId="2"/>
  </si>
  <si>
    <t>ディノス23夏⑱</t>
    <rPh sb="6" eb="7">
      <t>ナツ</t>
    </rPh>
    <phoneticPr fontId="2"/>
  </si>
  <si>
    <t>K-PORT</t>
    <phoneticPr fontId="2"/>
  </si>
  <si>
    <t>千趣会返品</t>
    <rPh sb="0" eb="5">
      <t>センシュカイヘンピン</t>
    </rPh>
    <phoneticPr fontId="2"/>
  </si>
  <si>
    <t>きなり　11/16提案予定</t>
    <rPh sb="9" eb="11">
      <t>テイアン</t>
    </rPh>
    <rPh sb="11" eb="13">
      <t>ヨテイ</t>
    </rPh>
    <phoneticPr fontId="2"/>
  </si>
  <si>
    <t>アバウト　4/16の予定</t>
    <rPh sb="10" eb="12">
      <t>ヨテイ</t>
    </rPh>
    <phoneticPr fontId="2"/>
  </si>
  <si>
    <t>各　１５０点くらい</t>
    <rPh sb="0" eb="1">
      <t>カク</t>
    </rPh>
    <rPh sb="5" eb="6">
      <t>テン</t>
    </rPh>
    <phoneticPr fontId="2"/>
  </si>
  <si>
    <t>4/2～</t>
    <phoneticPr fontId="2"/>
  </si>
  <si>
    <t>5/16～</t>
    <phoneticPr fontId="2"/>
  </si>
  <si>
    <t>ディノス撮影用sample</t>
    <rPh sb="4" eb="7">
      <t>サツエイヨウ</t>
    </rPh>
    <phoneticPr fontId="2"/>
  </si>
  <si>
    <t>ディノス24夏号単品</t>
    <rPh sb="6" eb="7">
      <t>ナツ</t>
    </rPh>
    <rPh sb="7" eb="8">
      <t>ゴウ</t>
    </rPh>
    <rPh sb="8" eb="10">
      <t>タンピン</t>
    </rPh>
    <phoneticPr fontId="2"/>
  </si>
  <si>
    <t>ディノス24夏号３点セット</t>
    <rPh sb="6" eb="7">
      <t>ナツ</t>
    </rPh>
    <rPh sb="7" eb="8">
      <t>ゴウ</t>
    </rPh>
    <rPh sb="9" eb="10">
      <t>テン</t>
    </rPh>
    <phoneticPr fontId="2"/>
  </si>
  <si>
    <t>ディノス24盛夏号単品</t>
    <rPh sb="6" eb="9">
      <t>セイカゴウ</t>
    </rPh>
    <rPh sb="9" eb="11">
      <t>タンピン</t>
    </rPh>
    <phoneticPr fontId="2"/>
  </si>
  <si>
    <t>ディノス24盛夏号３点セット</t>
    <rPh sb="6" eb="9">
      <t>セイカゴウ</t>
    </rPh>
    <rPh sb="10" eb="11">
      <t>テン</t>
    </rPh>
    <phoneticPr fontId="2"/>
  </si>
  <si>
    <t>ディノス23夏⑲</t>
    <rPh sb="6" eb="7">
      <t>ナツ</t>
    </rPh>
    <phoneticPr fontId="2"/>
  </si>
  <si>
    <t>ディノス24夏号３点セット①</t>
    <rPh sb="6" eb="7">
      <t>ナツ</t>
    </rPh>
    <rPh sb="7" eb="8">
      <t>ゴウ</t>
    </rPh>
    <rPh sb="9" eb="10">
      <t>テン</t>
    </rPh>
    <phoneticPr fontId="2"/>
  </si>
  <si>
    <t>ディノス24夏号３点セット②</t>
    <rPh sb="6" eb="7">
      <t>ナツ</t>
    </rPh>
    <rPh sb="7" eb="8">
      <t>ゴウ</t>
    </rPh>
    <rPh sb="9" eb="10">
      <t>テン</t>
    </rPh>
    <phoneticPr fontId="2"/>
  </si>
  <si>
    <t>千趣会</t>
    <rPh sb="0" eb="3">
      <t>センシュカイ</t>
    </rPh>
    <phoneticPr fontId="2"/>
  </si>
  <si>
    <t>千趣会WEB(24SS)①</t>
    <rPh sb="0" eb="3">
      <t>センシュカイ</t>
    </rPh>
    <phoneticPr fontId="2"/>
  </si>
  <si>
    <t>ディノス差分予測</t>
    <rPh sb="4" eb="6">
      <t>サブン</t>
    </rPh>
    <rPh sb="6" eb="8">
      <t>ヨソク</t>
    </rPh>
    <phoneticPr fontId="2"/>
  </si>
  <si>
    <t>追加</t>
    <rPh sb="0" eb="2">
      <t>ツイカ</t>
    </rPh>
    <phoneticPr fontId="2"/>
  </si>
  <si>
    <t>ディノス</t>
    <phoneticPr fontId="2"/>
  </si>
  <si>
    <t>ネット返品</t>
    <rPh sb="3" eb="5">
      <t>ヘンピン</t>
    </rPh>
    <phoneticPr fontId="2"/>
  </si>
  <si>
    <t>かりん</t>
    <phoneticPr fontId="2"/>
  </si>
  <si>
    <t>千趣会WEB(24SS)②</t>
    <rPh sb="0" eb="3">
      <t>センシュカイ</t>
    </rPh>
    <phoneticPr fontId="2"/>
  </si>
  <si>
    <t>追加</t>
    <rPh sb="0" eb="2">
      <t>ツイカ</t>
    </rPh>
    <phoneticPr fontId="2"/>
  </si>
  <si>
    <t>千趣会WEB(24SS)③</t>
    <rPh sb="0" eb="3">
      <t>センシュカイ</t>
    </rPh>
    <phoneticPr fontId="2"/>
  </si>
  <si>
    <t>納前分</t>
    <rPh sb="0" eb="3">
      <t>ノウマエブン</t>
    </rPh>
    <phoneticPr fontId="2"/>
  </si>
  <si>
    <t>千趣会WEB(24SS)④</t>
    <rPh sb="0" eb="3">
      <t>センシュカイ</t>
    </rPh>
    <phoneticPr fontId="2"/>
  </si>
  <si>
    <t>KPORT</t>
    <phoneticPr fontId="2"/>
  </si>
  <si>
    <t>ゆめはん</t>
    <phoneticPr fontId="2"/>
  </si>
  <si>
    <t>千趣会WEB(24SS)⑤</t>
    <rPh sb="0" eb="3">
      <t>センシュカイ</t>
    </rPh>
    <phoneticPr fontId="2"/>
  </si>
  <si>
    <t>かりん</t>
    <phoneticPr fontId="2"/>
  </si>
  <si>
    <t>追加</t>
    <rPh sb="0" eb="2">
      <t>ツイカ</t>
    </rPh>
    <phoneticPr fontId="2"/>
  </si>
  <si>
    <t>夢販</t>
    <rPh sb="0" eb="2">
      <t>ユメハン</t>
    </rPh>
    <phoneticPr fontId="2"/>
  </si>
  <si>
    <t>2024/4/18数</t>
    <rPh sb="9" eb="10">
      <t>スウ</t>
    </rPh>
    <phoneticPr fontId="2"/>
  </si>
  <si>
    <t>ディノス返品</t>
    <rPh sb="4" eb="6">
      <t>ヘンピン</t>
    </rPh>
    <phoneticPr fontId="2"/>
  </si>
  <si>
    <t>千趣会WEB(24SS)⑥</t>
    <rPh sb="0" eb="3">
      <t>センシュカイ</t>
    </rPh>
    <phoneticPr fontId="2"/>
  </si>
  <si>
    <t>千趣会WEB(24SS)⑦</t>
    <rPh sb="0" eb="3">
      <t>センシュカイ</t>
    </rPh>
    <phoneticPr fontId="2"/>
  </si>
  <si>
    <t>追加</t>
    <rPh sb="0" eb="2">
      <t>ツイカ</t>
    </rPh>
    <phoneticPr fontId="2"/>
  </si>
  <si>
    <t>追加</t>
    <rPh sb="0" eb="2">
      <t>ツイカ</t>
    </rPh>
    <phoneticPr fontId="2"/>
  </si>
  <si>
    <t>千趣会WEB(24SS)⑧</t>
    <rPh sb="0" eb="3">
      <t>センシュカイ</t>
    </rPh>
    <phoneticPr fontId="2"/>
  </si>
  <si>
    <t>納前</t>
    <rPh sb="0" eb="2">
      <t>ノウマエ</t>
    </rPh>
    <phoneticPr fontId="2"/>
  </si>
  <si>
    <t>千趣会WEB(24SS)⑨</t>
    <rPh sb="0" eb="3">
      <t>センシュカイ</t>
    </rPh>
    <phoneticPr fontId="2"/>
  </si>
  <si>
    <t>千趣会WEB(24SS)⑩</t>
    <rPh sb="0" eb="3">
      <t>センシュカイ</t>
    </rPh>
    <phoneticPr fontId="2"/>
  </si>
  <si>
    <t>千趣会WEB(24SS)⑪</t>
    <rPh sb="0" eb="3">
      <t>センシュカイ</t>
    </rPh>
    <phoneticPr fontId="2"/>
  </si>
  <si>
    <t>2024/5/27数伝</t>
    <rPh sb="9" eb="10">
      <t>スウ</t>
    </rPh>
    <rPh sb="10" eb="11">
      <t>デン</t>
    </rPh>
    <phoneticPr fontId="2"/>
  </si>
  <si>
    <t>追加</t>
    <rPh sb="0" eb="2">
      <t>ツイカ</t>
    </rPh>
    <phoneticPr fontId="2"/>
  </si>
  <si>
    <t>追加</t>
    <rPh sb="0" eb="2">
      <t>ツイカ</t>
    </rPh>
    <phoneticPr fontId="2"/>
  </si>
  <si>
    <t>追加</t>
    <rPh sb="0" eb="2">
      <t>ツイカ</t>
    </rPh>
    <phoneticPr fontId="2"/>
  </si>
  <si>
    <t>2024年２月～７月</t>
    <rPh sb="4" eb="5">
      <t>ネン</t>
    </rPh>
    <rPh sb="6" eb="7">
      <t>ガツ</t>
    </rPh>
    <rPh sb="9" eb="10">
      <t>ガツ</t>
    </rPh>
    <phoneticPr fontId="2"/>
  </si>
  <si>
    <t>ディノス</t>
  </si>
  <si>
    <t>千趣会㉔</t>
    <rPh sb="0" eb="3">
      <t>センシュカイ</t>
    </rPh>
    <phoneticPr fontId="2"/>
  </si>
  <si>
    <t>千趣会㉕</t>
    <rPh sb="0" eb="3">
      <t>センシュカイ</t>
    </rPh>
    <phoneticPr fontId="2"/>
  </si>
  <si>
    <t>追加</t>
    <rPh sb="0" eb="2">
      <t>ツイカ</t>
    </rPh>
    <phoneticPr fontId="2"/>
  </si>
  <si>
    <t>千趣会返品②</t>
    <rPh sb="0" eb="3">
      <t>センシュカイ</t>
    </rPh>
    <rPh sb="3" eb="5">
      <t>ヘンピン</t>
    </rPh>
    <phoneticPr fontId="2"/>
  </si>
  <si>
    <t>ディノスsample</t>
    <phoneticPr fontId="2"/>
  </si>
  <si>
    <t>ネット返品</t>
    <rPh sb="3" eb="5">
      <t>ヘンピン</t>
    </rPh>
    <phoneticPr fontId="2"/>
  </si>
  <si>
    <t>千趣会返品 インディゴ</t>
    <rPh sb="0" eb="3">
      <t>センシュカイ</t>
    </rPh>
    <rPh sb="3" eb="5">
      <t>ヘンピン</t>
    </rPh>
    <phoneticPr fontId="2"/>
  </si>
  <si>
    <t>千趣会返品 パープル</t>
    <rPh sb="0" eb="3">
      <t>センシュカイ</t>
    </rPh>
    <rPh sb="3" eb="5">
      <t>ヘンピン</t>
    </rPh>
    <phoneticPr fontId="2"/>
  </si>
  <si>
    <t>ディノス返品</t>
  </si>
  <si>
    <t>ディノス夏号　単品</t>
    <rPh sb="4" eb="6">
      <t>ナツゴウ</t>
    </rPh>
    <rPh sb="7" eb="9">
      <t>タンピン</t>
    </rPh>
    <phoneticPr fontId="2"/>
  </si>
  <si>
    <t>ディノス盛夏号　単品</t>
    <rPh sb="4" eb="7">
      <t>セイカゴウ</t>
    </rPh>
    <rPh sb="8" eb="10">
      <t>タンピン</t>
    </rPh>
    <phoneticPr fontId="2"/>
  </si>
  <si>
    <t>追加</t>
    <rPh sb="0" eb="2">
      <t>ツイカ</t>
    </rPh>
    <phoneticPr fontId="2"/>
  </si>
  <si>
    <t>ディノス夏号パーカーセット①</t>
    <rPh sb="4" eb="6">
      <t>ナツゴウ</t>
    </rPh>
    <phoneticPr fontId="2"/>
  </si>
  <si>
    <t>ディノス夏号パーカーセット分</t>
    <rPh sb="4" eb="6">
      <t>ナツゴウ</t>
    </rPh>
    <rPh sb="13" eb="14">
      <t>ブン</t>
    </rPh>
    <phoneticPr fontId="2"/>
  </si>
  <si>
    <t>ディノス盛夏号パーカーセット分</t>
    <rPh sb="4" eb="7">
      <t>セイカゴウ</t>
    </rPh>
    <rPh sb="14" eb="15">
      <t>ブン</t>
    </rPh>
    <phoneticPr fontId="2"/>
  </si>
  <si>
    <t>ディノス夏号　単品①</t>
    <rPh sb="4" eb="6">
      <t>ナツゴウ</t>
    </rPh>
    <rPh sb="7" eb="9">
      <t>タンピン</t>
    </rPh>
    <phoneticPr fontId="2"/>
  </si>
  <si>
    <t>7/1～</t>
    <phoneticPr fontId="2"/>
  </si>
  <si>
    <t>千趣会WEB(25SS)</t>
    <rPh sb="0" eb="3">
      <t>センシュカイ</t>
    </rPh>
    <phoneticPr fontId="2"/>
  </si>
  <si>
    <t>ディノス7月チラシパーカーセット分</t>
    <rPh sb="5" eb="6">
      <t>ガツ</t>
    </rPh>
    <rPh sb="16" eb="17">
      <t>ブン</t>
    </rPh>
    <phoneticPr fontId="2"/>
  </si>
  <si>
    <t>4/9～</t>
    <phoneticPr fontId="2"/>
  </si>
  <si>
    <t>千趣会WEB(25SS)①</t>
    <rPh sb="0" eb="3">
      <t>センシュカイ</t>
    </rPh>
    <phoneticPr fontId="2"/>
  </si>
  <si>
    <t>ディノス夏号パーカーセット②</t>
    <rPh sb="4" eb="6">
      <t>ナツゴウ</t>
    </rPh>
    <phoneticPr fontId="2"/>
  </si>
  <si>
    <t>ディノス夏号パーカーセット③</t>
    <rPh sb="4" eb="6">
      <t>ナツゴウ</t>
    </rPh>
    <phoneticPr fontId="2"/>
  </si>
  <si>
    <t>ディノス夏号　単品②</t>
    <rPh sb="4" eb="6">
      <t>ナツゴウ</t>
    </rPh>
    <rPh sb="7" eb="9">
      <t>タンピン</t>
    </rPh>
    <phoneticPr fontId="2"/>
  </si>
  <si>
    <t>ディノス夏号パーカーセット④</t>
    <rPh sb="4" eb="6">
      <t>ナツゴウ</t>
    </rPh>
    <phoneticPr fontId="2"/>
  </si>
  <si>
    <t>ディノス夏号パーカーセット⑤</t>
    <rPh sb="4" eb="6">
      <t>ナツゴウ</t>
    </rPh>
    <phoneticPr fontId="2"/>
  </si>
  <si>
    <t>ディノス夏号パーカーセット⑥</t>
    <rPh sb="4" eb="6">
      <t>ナツゴウ</t>
    </rPh>
    <phoneticPr fontId="2"/>
  </si>
  <si>
    <t>ディノス夏号パーカーセット⑦</t>
    <rPh sb="4" eb="6">
      <t>ナツゴウ</t>
    </rPh>
    <phoneticPr fontId="2"/>
  </si>
  <si>
    <t>千趣会WEB(25SS)②</t>
    <rPh sb="0" eb="3">
      <t>センシュカイ</t>
    </rPh>
    <phoneticPr fontId="2"/>
  </si>
  <si>
    <t>ディノス夏号パーカーセット⑧</t>
    <rPh sb="4" eb="6">
      <t>ナツゴウ</t>
    </rPh>
    <phoneticPr fontId="2"/>
  </si>
  <si>
    <t>ディノス夏号パーカーセット⑨</t>
    <rPh sb="4" eb="6">
      <t>ナツゴウ</t>
    </rPh>
    <phoneticPr fontId="2"/>
  </si>
  <si>
    <t>かりん</t>
    <phoneticPr fontId="2"/>
  </si>
  <si>
    <t>ディノス盛夏号パーカーセット分①</t>
    <rPh sb="4" eb="7">
      <t>セイカゴウ</t>
    </rPh>
    <rPh sb="14" eb="15">
      <t>ブン</t>
    </rPh>
    <phoneticPr fontId="2"/>
  </si>
  <si>
    <t>ディノス盛夏号　単品①</t>
    <rPh sb="4" eb="7">
      <t>セイカゴウ</t>
    </rPh>
    <rPh sb="8" eb="10">
      <t>タンピン</t>
    </rPh>
    <phoneticPr fontId="2"/>
  </si>
  <si>
    <t>ディノス盛夏号パーカーセット分②</t>
    <rPh sb="4" eb="7">
      <t>セイカゴウ</t>
    </rPh>
    <rPh sb="14" eb="15">
      <t>ブン</t>
    </rPh>
    <phoneticPr fontId="2"/>
  </si>
  <si>
    <t>ディノス盛夏号　単品②</t>
    <rPh sb="4" eb="7">
      <t>セイカゴウ</t>
    </rPh>
    <rPh sb="8" eb="10">
      <t>タンピン</t>
    </rPh>
    <phoneticPr fontId="2"/>
  </si>
  <si>
    <t>ディノス盛夏号パーカーセット分③</t>
    <rPh sb="4" eb="7">
      <t>セイカゴウ</t>
    </rPh>
    <rPh sb="14" eb="15">
      <t>ブン</t>
    </rPh>
    <phoneticPr fontId="2"/>
  </si>
  <si>
    <t>ディノス盛夏号　単品③</t>
    <rPh sb="4" eb="7">
      <t>セイカゴウ</t>
    </rPh>
    <rPh sb="8" eb="10">
      <t>タンピン</t>
    </rPh>
    <phoneticPr fontId="2"/>
  </si>
  <si>
    <t>ディノス盛夏号パーカーセット分④</t>
    <rPh sb="4" eb="7">
      <t>セイカゴウ</t>
    </rPh>
    <rPh sb="14" eb="15">
      <t>ブン</t>
    </rPh>
    <phoneticPr fontId="2"/>
  </si>
  <si>
    <t>ディノス盛夏号　単品④</t>
    <rPh sb="4" eb="7">
      <t>セイカゴウ</t>
    </rPh>
    <rPh sb="8" eb="10">
      <t>タンピン</t>
    </rPh>
    <phoneticPr fontId="2"/>
  </si>
  <si>
    <t>千趣会WEB(25SS)③</t>
    <rPh sb="0" eb="3">
      <t>センシュカイ</t>
    </rPh>
    <phoneticPr fontId="2"/>
  </si>
  <si>
    <t>ディノス盛夏号　単品⑤</t>
    <rPh sb="4" eb="7">
      <t>セイカゴウ</t>
    </rPh>
    <rPh sb="8" eb="10">
      <t>タンピン</t>
    </rPh>
    <phoneticPr fontId="2"/>
  </si>
  <si>
    <t>ディノス盛夏号パーカーセット分⑤</t>
    <rPh sb="4" eb="7">
      <t>セイカゴウ</t>
    </rPh>
    <rPh sb="14" eb="15">
      <t>ブン</t>
    </rPh>
    <phoneticPr fontId="2"/>
  </si>
  <si>
    <t>ディノス盛夏号　単品⑥</t>
    <rPh sb="4" eb="7">
      <t>セイカゴウ</t>
    </rPh>
    <rPh sb="8" eb="10">
      <t>タンピン</t>
    </rPh>
    <phoneticPr fontId="2"/>
  </si>
  <si>
    <t>ディノス盛夏号パーカーセット分⑥</t>
    <rPh sb="4" eb="7">
      <t>セイカゴウ</t>
    </rPh>
    <rPh sb="14" eb="15">
      <t>ブン</t>
    </rPh>
    <phoneticPr fontId="2"/>
  </si>
  <si>
    <t>ディノス盛夏号パーカーセット分⑦</t>
    <rPh sb="4" eb="7">
      <t>セイカゴウ</t>
    </rPh>
    <rPh sb="14" eb="15">
      <t>ブン</t>
    </rPh>
    <phoneticPr fontId="2"/>
  </si>
  <si>
    <t>ディノス盛夏号　単品⑦</t>
    <rPh sb="4" eb="7">
      <t>セイカゴウ</t>
    </rPh>
    <rPh sb="8" eb="10">
      <t>タンピン</t>
    </rPh>
    <phoneticPr fontId="2"/>
  </si>
  <si>
    <t>ディノス盛夏号　単品⑧</t>
    <rPh sb="4" eb="7">
      <t>セイカゴウ</t>
    </rPh>
    <rPh sb="8" eb="10">
      <t>タンピン</t>
    </rPh>
    <phoneticPr fontId="2"/>
  </si>
  <si>
    <t>ディノス盛夏号パーカーセット分⑧</t>
    <rPh sb="4" eb="7">
      <t>セイカゴウ</t>
    </rPh>
    <rPh sb="14" eb="15">
      <t>ブン</t>
    </rPh>
    <phoneticPr fontId="2"/>
  </si>
  <si>
    <t>ディノス盛夏号パーカーセット分⑨</t>
    <rPh sb="4" eb="7">
      <t>セイカゴウ</t>
    </rPh>
    <rPh sb="14" eb="15">
      <t>ブン</t>
    </rPh>
    <phoneticPr fontId="2"/>
  </si>
  <si>
    <t>ディノス盛夏号　単品⑨</t>
    <rPh sb="4" eb="7">
      <t>セイカゴウ</t>
    </rPh>
    <rPh sb="8" eb="10">
      <t>タンピン</t>
    </rPh>
    <phoneticPr fontId="2"/>
  </si>
  <si>
    <t>ディノス盛夏号パーカーセット分⑩</t>
    <rPh sb="4" eb="7">
      <t>セイカゴウ</t>
    </rPh>
    <rPh sb="14" eb="15">
      <t>ブン</t>
    </rPh>
    <phoneticPr fontId="2"/>
  </si>
  <si>
    <t>かりん</t>
    <phoneticPr fontId="2"/>
  </si>
  <si>
    <t>ディノス盛夏号パーカーセット分⑪</t>
    <rPh sb="4" eb="7">
      <t>セイカゴウ</t>
    </rPh>
    <rPh sb="14" eb="15">
      <t>ブン</t>
    </rPh>
    <phoneticPr fontId="2"/>
  </si>
  <si>
    <t>ディノス盛夏号パーカーセット分⑫</t>
    <rPh sb="4" eb="7">
      <t>セイカゴウ</t>
    </rPh>
    <rPh sb="14" eb="15">
      <t>ブン</t>
    </rPh>
    <phoneticPr fontId="2"/>
  </si>
  <si>
    <t>ディノス盛夏号　単品⑩</t>
    <rPh sb="4" eb="7">
      <t>セイカゴウ</t>
    </rPh>
    <rPh sb="8" eb="10">
      <t>タンピン</t>
    </rPh>
    <phoneticPr fontId="2"/>
  </si>
  <si>
    <t>ディノス盛夏号パーカーセット分⑬</t>
    <rPh sb="4" eb="7">
      <t>セイカゴウ</t>
    </rPh>
    <rPh sb="14" eb="15">
      <t>ブン</t>
    </rPh>
    <phoneticPr fontId="2"/>
  </si>
  <si>
    <t>ディノス盛夏号パーカーセット分⑭</t>
    <rPh sb="4" eb="7">
      <t>セイカゴウ</t>
    </rPh>
    <rPh sb="14" eb="15">
      <t>ブン</t>
    </rPh>
    <phoneticPr fontId="2"/>
  </si>
  <si>
    <t>ディノス盛夏号パーカーセット分⑮</t>
    <rPh sb="4" eb="7">
      <t>セイカゴウ</t>
    </rPh>
    <rPh sb="14" eb="15">
      <t>ブン</t>
    </rPh>
    <phoneticPr fontId="2"/>
  </si>
  <si>
    <t>ディノス盛夏号パーカーセット分⑯</t>
    <rPh sb="4" eb="7">
      <t>セイカゴウ</t>
    </rPh>
    <rPh sb="14" eb="15">
      <t>ブン</t>
    </rPh>
    <phoneticPr fontId="2"/>
  </si>
  <si>
    <t>ディノス盛夏号パーカーセット分⑰</t>
    <rPh sb="4" eb="7">
      <t>セイカゴウ</t>
    </rPh>
    <rPh sb="14" eb="15">
      <t>ブン</t>
    </rPh>
    <phoneticPr fontId="2"/>
  </si>
  <si>
    <t>ディノス盛夏号　単品⑪</t>
    <rPh sb="4" eb="7">
      <t>セイカゴウ</t>
    </rPh>
    <rPh sb="8" eb="10">
      <t>タンピン</t>
    </rPh>
    <phoneticPr fontId="2"/>
  </si>
  <si>
    <t>追加</t>
    <rPh sb="0" eb="2">
      <t>ツイカ</t>
    </rPh>
    <phoneticPr fontId="2"/>
  </si>
  <si>
    <t>ディノス盛夏号パーカーセット分⑱</t>
    <rPh sb="4" eb="7">
      <t>セイカゴウ</t>
    </rPh>
    <rPh sb="14" eb="15">
      <t>ブン</t>
    </rPh>
    <phoneticPr fontId="2"/>
  </si>
  <si>
    <t>ディノス盛夏号パーカーセット分⑲</t>
    <rPh sb="4" eb="7">
      <t>セイカゴウ</t>
    </rPh>
    <rPh sb="14" eb="15">
      <t>ブン</t>
    </rPh>
    <phoneticPr fontId="2"/>
  </si>
  <si>
    <t>ディノス盛夏号　単品⑫</t>
    <rPh sb="4" eb="7">
      <t>セイカゴウ</t>
    </rPh>
    <rPh sb="8" eb="10">
      <t>タンピン</t>
    </rPh>
    <phoneticPr fontId="2"/>
  </si>
  <si>
    <t>ディノス盛夏号パーカーセット分⑳</t>
    <rPh sb="4" eb="7">
      <t>セイカゴウ</t>
    </rPh>
    <rPh sb="14" eb="15">
      <t>ブン</t>
    </rPh>
    <phoneticPr fontId="2"/>
  </si>
  <si>
    <t>千趣会WEB(25SS)④</t>
    <rPh sb="0" eb="3">
      <t>センシュカイ</t>
    </rPh>
    <phoneticPr fontId="2"/>
  </si>
  <si>
    <t>ディノス盛夏号パーカーセット分㉑</t>
    <rPh sb="4" eb="7">
      <t>セイカゴウ</t>
    </rPh>
    <rPh sb="14" eb="15">
      <t>ブン</t>
    </rPh>
    <phoneticPr fontId="2"/>
  </si>
  <si>
    <t>千趣会WEB(25SS)⑤</t>
    <rPh sb="0" eb="3">
      <t>センシュカイ</t>
    </rPh>
    <phoneticPr fontId="2"/>
  </si>
  <si>
    <t>ディノス盛夏号　単品⑬</t>
    <rPh sb="4" eb="7">
      <t>セイカゴウ</t>
    </rPh>
    <rPh sb="8" eb="10">
      <t>タンピン</t>
    </rPh>
    <phoneticPr fontId="2"/>
  </si>
  <si>
    <t>ディノス盛夏号パーカーセット分㉒</t>
    <rPh sb="4" eb="7">
      <t>セイカゴウ</t>
    </rPh>
    <rPh sb="14" eb="15">
      <t>ブン</t>
    </rPh>
    <phoneticPr fontId="2"/>
  </si>
  <si>
    <t>ディノス盛夏号パーカーセット分㉓</t>
    <rPh sb="4" eb="7">
      <t>セイカゴウ</t>
    </rPh>
    <rPh sb="14" eb="15">
      <t>ブン</t>
    </rPh>
    <phoneticPr fontId="2"/>
  </si>
  <si>
    <t>ディノス盛夏号パーカーセット分㉔</t>
    <rPh sb="4" eb="7">
      <t>セイカゴウ</t>
    </rPh>
    <rPh sb="14" eb="15">
      <t>ブン</t>
    </rPh>
    <phoneticPr fontId="2"/>
  </si>
  <si>
    <t>ディノス盛夏号パーカーセット分㉕</t>
    <rPh sb="4" eb="7">
      <t>セイカゴウ</t>
    </rPh>
    <rPh sb="14" eb="15">
      <t>ブン</t>
    </rPh>
    <phoneticPr fontId="2"/>
  </si>
  <si>
    <t>ディノスsample返却</t>
    <rPh sb="10" eb="12">
      <t>ヘンキャク</t>
    </rPh>
    <phoneticPr fontId="2"/>
  </si>
  <si>
    <t>ディノス盛夏号パーカーセット分㉖</t>
    <rPh sb="4" eb="7">
      <t>セイカゴウ</t>
    </rPh>
    <rPh sb="14" eb="15">
      <t>ブン</t>
    </rPh>
    <phoneticPr fontId="2"/>
  </si>
  <si>
    <t>ディノス盛夏号　単品⑭</t>
    <rPh sb="4" eb="7">
      <t>セイカゴウ</t>
    </rPh>
    <rPh sb="8" eb="10">
      <t>タンピン</t>
    </rPh>
    <phoneticPr fontId="2"/>
  </si>
  <si>
    <t>追加</t>
    <rPh sb="0" eb="2">
      <t>ツイカ</t>
    </rPh>
    <phoneticPr fontId="2"/>
  </si>
  <si>
    <t>ディノス盛夏号パーカーセット分㉗</t>
    <rPh sb="4" eb="7">
      <t>セイカゴウ</t>
    </rPh>
    <rPh sb="14" eb="15">
      <t>ブン</t>
    </rPh>
    <phoneticPr fontId="2"/>
  </si>
  <si>
    <t>ディノス返品</t>
    <rPh sb="4" eb="6">
      <t>ヘンピン</t>
    </rPh>
    <phoneticPr fontId="2"/>
  </si>
  <si>
    <t>ディノス盛夏号パーカーセット分㉘</t>
    <rPh sb="4" eb="7">
      <t>セイカゴウ</t>
    </rPh>
    <rPh sb="14" eb="15">
      <t>ブン</t>
    </rPh>
    <phoneticPr fontId="2"/>
  </si>
  <si>
    <t>ディノス盛夏号パーカーセット分㉙</t>
    <rPh sb="4" eb="7">
      <t>セイカゴウ</t>
    </rPh>
    <rPh sb="14" eb="15">
      <t>ブン</t>
    </rPh>
    <phoneticPr fontId="2"/>
  </si>
  <si>
    <t>ディノス盛夏号　単品⑮</t>
    <rPh sb="4" eb="7">
      <t>セイカゴウ</t>
    </rPh>
    <rPh sb="8" eb="10">
      <t>タンピン</t>
    </rPh>
    <phoneticPr fontId="2"/>
  </si>
  <si>
    <t>ディノス盛夏号パーカーセット分㉚</t>
    <rPh sb="4" eb="7">
      <t>セイカゴウ</t>
    </rPh>
    <rPh sb="14" eb="15">
      <t>ブン</t>
    </rPh>
    <phoneticPr fontId="2"/>
  </si>
  <si>
    <t>ディノス盛夏号パーカーセット分㉛</t>
    <rPh sb="4" eb="7">
      <t>セイカゴウ</t>
    </rPh>
    <rPh sb="14" eb="15">
      <t>ブン</t>
    </rPh>
    <phoneticPr fontId="2"/>
  </si>
  <si>
    <t>ディノス盛夏号パーカーセット分㉜</t>
    <rPh sb="4" eb="7">
      <t>セイカゴウ</t>
    </rPh>
    <rPh sb="14" eb="15">
      <t>ブン</t>
    </rPh>
    <phoneticPr fontId="2"/>
  </si>
  <si>
    <t>ディノス盛夏号パーカーセット分㉝</t>
    <rPh sb="4" eb="7">
      <t>セイカゴウ</t>
    </rPh>
    <rPh sb="14" eb="15">
      <t>ブン</t>
    </rPh>
    <phoneticPr fontId="2"/>
  </si>
  <si>
    <t>ディノス盛夏号パーカーセット分㉞</t>
    <rPh sb="4" eb="7">
      <t>セイカゴウ</t>
    </rPh>
    <rPh sb="14" eb="15">
      <t>ブン</t>
    </rPh>
    <phoneticPr fontId="2"/>
  </si>
  <si>
    <t>ディノス返品</t>
    <rPh sb="4" eb="6">
      <t>ヘンピン</t>
    </rPh>
    <phoneticPr fontId="2"/>
  </si>
  <si>
    <t>ディノス盛夏号　単品⑯</t>
    <rPh sb="4" eb="7">
      <t>セイカゴウ</t>
    </rPh>
    <rPh sb="8" eb="10">
      <t>タンピン</t>
    </rPh>
    <phoneticPr fontId="2"/>
  </si>
  <si>
    <t>追加</t>
    <rPh sb="0" eb="2">
      <t>ツイカ</t>
    </rPh>
    <phoneticPr fontId="2"/>
  </si>
  <si>
    <t>ディノス盛夏号パーカーセット分㉟</t>
    <rPh sb="4" eb="7">
      <t>セイカゴウ</t>
    </rPh>
    <rPh sb="14" eb="15">
      <t>ブン</t>
    </rPh>
    <phoneticPr fontId="2"/>
  </si>
  <si>
    <t>ディノス盛夏号パーカーセット分㊱</t>
    <rPh sb="4" eb="7">
      <t>セイカゴウ</t>
    </rPh>
    <rPh sb="14" eb="15">
      <t>ブン</t>
    </rPh>
    <phoneticPr fontId="2"/>
  </si>
  <si>
    <t>ディノス盛夏号パーカーセット分㊲</t>
    <rPh sb="4" eb="7">
      <t>セイカゴウ</t>
    </rPh>
    <rPh sb="14" eb="15">
      <t>ブン</t>
    </rPh>
    <phoneticPr fontId="2"/>
  </si>
  <si>
    <t>ディノス盛夏号パーカーセット分㊳</t>
    <rPh sb="4" eb="7">
      <t>セイカゴウ</t>
    </rPh>
    <rPh sb="14" eb="15">
      <t>ブン</t>
    </rPh>
    <phoneticPr fontId="2"/>
  </si>
  <si>
    <t>ディノス盛夏号　単品⑰</t>
    <rPh sb="4" eb="7">
      <t>セイカゴウ</t>
    </rPh>
    <rPh sb="8" eb="10">
      <t>タンピン</t>
    </rPh>
    <phoneticPr fontId="2"/>
  </si>
  <si>
    <t>ディノス盛夏号パーカーセット分㊴</t>
    <rPh sb="4" eb="7">
      <t>セイカゴウ</t>
    </rPh>
    <rPh sb="14" eb="15">
      <t>ブン</t>
    </rPh>
    <phoneticPr fontId="2"/>
  </si>
  <si>
    <t>KPORT</t>
    <phoneticPr fontId="2"/>
  </si>
  <si>
    <t>ディノス26年夏号　単品</t>
    <rPh sb="6" eb="7">
      <t>ネン</t>
    </rPh>
    <rPh sb="7" eb="8">
      <t>ナツ</t>
    </rPh>
    <rPh sb="8" eb="9">
      <t>ゴウ</t>
    </rPh>
    <rPh sb="10" eb="12">
      <t>タンピン</t>
    </rPh>
    <phoneticPr fontId="2"/>
  </si>
  <si>
    <t>ディノス26年夏号　パーカーセット</t>
    <rPh sb="6" eb="7">
      <t>ネン</t>
    </rPh>
    <rPh sb="7" eb="8">
      <t>ナツ</t>
    </rPh>
    <rPh sb="8" eb="9">
      <t>ゴウ</t>
    </rPh>
    <phoneticPr fontId="2"/>
  </si>
  <si>
    <t>事前搬入3/6、受注期間3/30～10/31</t>
    <rPh sb="0" eb="4">
      <t>ジゼンハンニュウ</t>
    </rPh>
    <rPh sb="8" eb="17">
      <t>ジュチュウキカン3/30カラ</t>
    </rPh>
    <phoneticPr fontId="2"/>
  </si>
  <si>
    <t>夢販</t>
    <rPh sb="0" eb="2">
      <t>y</t>
    </rPh>
    <phoneticPr fontId="2"/>
  </si>
  <si>
    <t>×</t>
    <phoneticPr fontId="2"/>
  </si>
  <si>
    <t>ディノス盛夏号パーカーセット分㊵</t>
    <rPh sb="4" eb="7">
      <t>セイカゴウ</t>
    </rPh>
    <rPh sb="14" eb="15">
      <t>ブン</t>
    </rPh>
    <phoneticPr fontId="2"/>
  </si>
  <si>
    <t>ディノス 確保</t>
    <rPh sb="5" eb="7">
      <t>カクホ</t>
    </rPh>
    <phoneticPr fontId="2"/>
  </si>
  <si>
    <t>ディノス盛夏号パーカーセット分㊶</t>
    <rPh sb="4" eb="7">
      <t>セイカゴウ</t>
    </rPh>
    <rPh sb="14" eb="15">
      <t>ブン</t>
    </rPh>
    <phoneticPr fontId="2"/>
  </si>
  <si>
    <t>ディノス盛夏号パーカーセット分㊷</t>
    <rPh sb="4" eb="7">
      <t>セイカゴウ</t>
    </rPh>
    <rPh sb="14" eb="15">
      <t>ブン</t>
    </rPh>
    <phoneticPr fontId="2"/>
  </si>
  <si>
    <t>ディノス26年夏号　パーカーセット①</t>
    <rPh sb="6" eb="7">
      <t>ネン</t>
    </rPh>
    <rPh sb="7" eb="8">
      <t>ナツ</t>
    </rPh>
    <rPh sb="8" eb="9">
      <t>ゴウ</t>
    </rPh>
    <phoneticPr fontId="2"/>
  </si>
  <si>
    <t>ディノス26年夏号　パーカーセット②</t>
    <rPh sb="6" eb="7">
      <t>ネン</t>
    </rPh>
    <rPh sb="7" eb="8">
      <t>ナツ</t>
    </rPh>
    <rPh sb="8" eb="9">
      <t>ゴウ</t>
    </rPh>
    <phoneticPr fontId="2"/>
  </si>
  <si>
    <t>ディノス26年夏号　パーカーセット③</t>
    <rPh sb="6" eb="7">
      <t>ネン</t>
    </rPh>
    <rPh sb="7" eb="8">
      <t>ナツ</t>
    </rPh>
    <rPh sb="8" eb="9">
      <t>ゴウ</t>
    </rPh>
    <phoneticPr fontId="2"/>
  </si>
  <si>
    <t>ディノス26年夏号　パーカーセット④</t>
    <rPh sb="6" eb="7">
      <t>ネン</t>
    </rPh>
    <rPh sb="7" eb="8">
      <t>ナツ</t>
    </rPh>
    <rPh sb="8" eb="9">
      <t>ゴウ</t>
    </rPh>
    <phoneticPr fontId="2"/>
  </si>
  <si>
    <t>ディノス26年夏号　単品①</t>
    <rPh sb="6" eb="7">
      <t>ネン</t>
    </rPh>
    <rPh sb="7" eb="8">
      <t>ナツ</t>
    </rPh>
    <rPh sb="8" eb="9">
      <t>ゴウ</t>
    </rPh>
    <rPh sb="10" eb="12">
      <t>タンピン</t>
    </rPh>
    <phoneticPr fontId="2"/>
  </si>
  <si>
    <t>ディノス26年夏号　パーカーセット⑤</t>
    <rPh sb="6" eb="7">
      <t>ネン</t>
    </rPh>
    <rPh sb="7" eb="8">
      <t>ナツ</t>
    </rPh>
    <rPh sb="8" eb="9">
      <t>ゴウ</t>
    </rPh>
    <phoneticPr fontId="2"/>
  </si>
  <si>
    <t>ディノス26年夏号　パーカーセット⑥</t>
    <rPh sb="6" eb="7">
      <t>ネン</t>
    </rPh>
    <rPh sb="7" eb="8">
      <t>ナツ</t>
    </rPh>
    <rPh sb="8" eb="9">
      <t>ゴウ</t>
    </rPh>
    <phoneticPr fontId="2"/>
  </si>
  <si>
    <t>ディノス26年夏号　パーカーセット⑦</t>
    <rPh sb="6" eb="7">
      <t>ネン</t>
    </rPh>
    <rPh sb="7" eb="8">
      <t>ナツ</t>
    </rPh>
    <rPh sb="8" eb="9">
      <t>ゴウ</t>
    </rPh>
    <phoneticPr fontId="2"/>
  </si>
  <si>
    <t>ディノス26年夏号　単品②</t>
    <rPh sb="6" eb="7">
      <t>ネン</t>
    </rPh>
    <rPh sb="7" eb="8">
      <t>ナツ</t>
    </rPh>
    <rPh sb="8" eb="9">
      <t>ゴウ</t>
    </rPh>
    <rPh sb="10" eb="12">
      <t>タンピン</t>
    </rPh>
    <phoneticPr fontId="2"/>
  </si>
  <si>
    <t>ディノス26年夏号　パーカーセット⑧</t>
    <rPh sb="6" eb="7">
      <t>ネン</t>
    </rPh>
    <rPh sb="7" eb="8">
      <t>ナツ</t>
    </rPh>
    <rPh sb="8" eb="9">
      <t>ゴウ</t>
    </rPh>
    <phoneticPr fontId="2"/>
  </si>
  <si>
    <t>ディノス26年夏号　単品③</t>
    <rPh sb="6" eb="7">
      <t>ネン</t>
    </rPh>
    <rPh sb="7" eb="8">
      <t>ナツ</t>
    </rPh>
    <rPh sb="8" eb="9">
      <t>ゴウ</t>
    </rPh>
    <rPh sb="10" eb="12">
      <t>タンピン</t>
    </rPh>
    <phoneticPr fontId="2"/>
  </si>
  <si>
    <t>ディノス26年夏号　単品④　</t>
    <rPh sb="6" eb="7">
      <t>ネン</t>
    </rPh>
    <rPh sb="7" eb="8">
      <t>ナツ</t>
    </rPh>
    <rPh sb="8" eb="9">
      <t>ゴウ</t>
    </rPh>
    <rPh sb="10" eb="12">
      <t>タンピン</t>
    </rPh>
    <phoneticPr fontId="2"/>
  </si>
  <si>
    <t>ディノス26年夏号　パーカーセット⑨</t>
    <rPh sb="6" eb="7">
      <t>ネン</t>
    </rPh>
    <rPh sb="7" eb="8">
      <t>ナツ</t>
    </rPh>
    <rPh sb="8" eb="9">
      <t>ゴウ</t>
    </rPh>
    <phoneticPr fontId="2"/>
  </si>
  <si>
    <t>ディノス26年夏号　パーカーセット⑩</t>
    <rPh sb="6" eb="7">
      <t>ネン</t>
    </rPh>
    <rPh sb="7" eb="8">
      <t>ナツ</t>
    </rPh>
    <rPh sb="8" eb="9">
      <t>ゴウ</t>
    </rPh>
    <phoneticPr fontId="2"/>
  </si>
  <si>
    <t>ディノス26年夏号　パーカーセット⑪</t>
    <rPh sb="6" eb="7">
      <t>ネン</t>
    </rPh>
    <rPh sb="7" eb="8">
      <t>ナツ</t>
    </rPh>
    <rPh sb="8" eb="9">
      <t>ゴウ</t>
    </rPh>
    <phoneticPr fontId="2"/>
  </si>
  <si>
    <t>ディノス26年夏号　パーカーセット⑫</t>
    <rPh sb="6" eb="7">
      <t>ネン</t>
    </rPh>
    <rPh sb="7" eb="8">
      <t>ナツ</t>
    </rPh>
    <rPh sb="8" eb="9">
      <t>ゴウ</t>
    </rPh>
    <phoneticPr fontId="2"/>
  </si>
  <si>
    <t>ディノス26年夏号　単品⑤</t>
    <rPh sb="6" eb="7">
      <t>ネン</t>
    </rPh>
    <rPh sb="7" eb="8">
      <t>ナツ</t>
    </rPh>
    <rPh sb="8" eb="9">
      <t>ゴウ</t>
    </rPh>
    <rPh sb="10" eb="12">
      <t>タンピン</t>
    </rPh>
    <phoneticPr fontId="2"/>
  </si>
  <si>
    <t>ディノス26年夏号　パーカーセット⑬</t>
    <rPh sb="6" eb="7">
      <t>ネン</t>
    </rPh>
    <rPh sb="7" eb="8">
      <t>ナツ</t>
    </rPh>
    <rPh sb="8" eb="9">
      <t>ゴウ</t>
    </rPh>
    <phoneticPr fontId="2"/>
  </si>
  <si>
    <t>ディノス26年夏号　パーカーセット⑭</t>
    <rPh sb="6" eb="7">
      <t>ネン</t>
    </rPh>
    <rPh sb="7" eb="8">
      <t>ナツ</t>
    </rPh>
    <rPh sb="8" eb="9">
      <t>ゴウ</t>
    </rPh>
    <phoneticPr fontId="2"/>
  </si>
  <si>
    <t>ディノス26年夏号　パーカーセット⑮</t>
    <rPh sb="6" eb="7">
      <t>ネン</t>
    </rPh>
    <rPh sb="7" eb="8">
      <t>ナツ</t>
    </rPh>
    <rPh sb="8" eb="9">
      <t>ゴウ</t>
    </rPh>
    <phoneticPr fontId="2"/>
  </si>
  <si>
    <t>ディノス26年夏号　単品⑥</t>
    <rPh sb="6" eb="7">
      <t>ネン</t>
    </rPh>
    <rPh sb="7" eb="8">
      <t>ナツ</t>
    </rPh>
    <rPh sb="8" eb="9">
      <t>ゴウ</t>
    </rPh>
    <rPh sb="10" eb="12">
      <t>タンピン</t>
    </rPh>
    <phoneticPr fontId="2"/>
  </si>
  <si>
    <t>ディノス26年夏号　単品⑦</t>
    <rPh sb="6" eb="7">
      <t>ネン</t>
    </rPh>
    <rPh sb="7" eb="8">
      <t>ナツ</t>
    </rPh>
    <rPh sb="8" eb="9">
      <t>ゴウ</t>
    </rPh>
    <rPh sb="10" eb="12">
      <t>タンピン</t>
    </rPh>
    <phoneticPr fontId="2"/>
  </si>
  <si>
    <t>ディノス26年夏号　パーカーセット⑯</t>
    <rPh sb="6" eb="7">
      <t>ネン</t>
    </rPh>
    <rPh sb="7" eb="8">
      <t>ナツ</t>
    </rPh>
    <rPh sb="8" eb="9">
      <t>ゴウ</t>
    </rPh>
    <phoneticPr fontId="2"/>
  </si>
  <si>
    <t>ディノス26年夏号　単品⑧</t>
    <rPh sb="6" eb="7">
      <t>ネン</t>
    </rPh>
    <rPh sb="7" eb="8">
      <t>ナツ</t>
    </rPh>
    <rPh sb="8" eb="9">
      <t>ゴウ</t>
    </rPh>
    <rPh sb="10" eb="12">
      <t>タンピン</t>
    </rPh>
    <phoneticPr fontId="2"/>
  </si>
  <si>
    <t>ゆめはん</t>
    <phoneticPr fontId="2"/>
  </si>
  <si>
    <t>ディノス26年夏号　パーカーセット⑰</t>
    <rPh sb="6" eb="7">
      <t>ネン</t>
    </rPh>
    <rPh sb="7" eb="8">
      <t>ナツ</t>
    </rPh>
    <rPh sb="8" eb="9">
      <t>ゴウ</t>
    </rPh>
    <phoneticPr fontId="2"/>
  </si>
  <si>
    <t>夢販</t>
    <rPh sb="0" eb="1">
      <t>ユメ</t>
    </rPh>
    <phoneticPr fontId="2"/>
  </si>
  <si>
    <t>ディノス26年夏号　パーカーセット⑱</t>
    <rPh sb="6" eb="7">
      <t>ネン</t>
    </rPh>
    <rPh sb="7" eb="8">
      <t>ナツ</t>
    </rPh>
    <rPh sb="8" eb="9">
      <t>ゴウ</t>
    </rPh>
    <phoneticPr fontId="2"/>
  </si>
  <si>
    <t>ディノス26年夏号　パーカーセット⑲</t>
    <rPh sb="6" eb="7">
      <t>ネン</t>
    </rPh>
    <rPh sb="7" eb="8">
      <t>ナツ</t>
    </rPh>
    <rPh sb="8" eb="9">
      <t>ゴウ</t>
    </rPh>
    <phoneticPr fontId="2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</si>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</sst>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 x14ac:knownFonts="1"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4" xfId="0" applyBorder="1"/>
    <xf numFmtId="56" fontId="0" fillId="0" borderId="0" xfId="0" applyNumberFormat="1"/>
    <xf numFmtId="0" fontId="0" fillId="0" borderId="14" xfId="0" applyBorder="1"/>
    <xf numFmtId="0" fontId="0" fillId="0" borderId="15" xfId="0" applyBorder="1"/>
    <xf numFmtId="0" fontId="0" fillId="0" borderId="12" xfId="0" applyBorder="1"/>
    <xf numFmtId="0" fontId="5" fillId="0" borderId="5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5" fillId="0" borderId="1" xfId="0" applyFont="1" applyBorder="1" applyAlignment="1">
      <alignment horizontal="center" vertical="center"/>
    </xf>
    <xf numFmtId="0" fontId="5" fillId="0" borderId="6" xfId="0" applyFont="1" applyBorder="1"/>
    <xf numFmtId="0" fontId="5" fillId="0" borderId="2" xfId="0" applyFont="1" applyBorder="1"/>
    <xf numFmtId="0" fontId="5" fillId="0" borderId="3" xfId="0" applyFont="1" applyBorder="1"/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5" fillId="0" borderId="17" xfId="0" applyFont="1" applyBorder="1"/>
    <xf numFmtId="0" fontId="5" fillId="0" borderId="28" xfId="0" applyFont="1" applyBorder="1"/>
    <xf numFmtId="0" fontId="5" fillId="0" borderId="4" xfId="0" applyFont="1" applyBorder="1"/>
    <xf numFmtId="0" fontId="0" fillId="0" borderId="29" xfId="0" applyBorder="1"/>
    <xf numFmtId="0" fontId="0" fillId="0" borderId="32" xfId="0" applyBorder="1"/>
    <xf numFmtId="0" fontId="0" fillId="0" borderId="33" xfId="0" applyBorder="1"/>
    <xf numFmtId="0" fontId="0" fillId="0" borderId="5" xfId="0" applyBorder="1"/>
    <xf numFmtId="0" fontId="0" fillId="0" borderId="19" xfId="0" applyBorder="1" applyAlignment="1">
      <alignment horizontal="center" vertical="center"/>
    </xf>
    <xf numFmtId="0" fontId="6" fillId="0" borderId="0" xfId="0" applyFont="1"/>
    <xf numFmtId="0" fontId="0" fillId="0" borderId="22" xfId="0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0" borderId="12" xfId="0" applyBorder="1" applyAlignment="1">
      <alignment horizontal="center" vertical="center"/>
    </xf>
    <xf numFmtId="0" fontId="0" fillId="0" borderId="37" xfId="0" applyBorder="1"/>
    <xf numFmtId="0" fontId="0" fillId="0" borderId="27" xfId="0" applyBorder="1"/>
    <xf numFmtId="0" fontId="0" fillId="0" borderId="36" xfId="0" applyBorder="1"/>
    <xf numFmtId="0" fontId="5" fillId="0" borderId="40" xfId="0" applyFont="1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3" fillId="0" borderId="5" xfId="0" applyFont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45" xfId="0" applyBorder="1"/>
    <xf numFmtId="0" fontId="5" fillId="0" borderId="8" xfId="0" applyFont="1" applyBorder="1"/>
    <xf numFmtId="0" fontId="5" fillId="0" borderId="34" xfId="0" applyFont="1" applyBorder="1"/>
    <xf numFmtId="0" fontId="5" fillId="0" borderId="46" xfId="0" applyFont="1" applyBorder="1"/>
    <xf numFmtId="0" fontId="5" fillId="0" borderId="35" xfId="0" applyFont="1" applyBorder="1"/>
    <xf numFmtId="0" fontId="5" fillId="0" borderId="9" xfId="0" applyFont="1" applyBorder="1" applyAlignment="1">
      <alignment horizontal="center" vertical="center"/>
    </xf>
    <xf numFmtId="0" fontId="0" fillId="0" borderId="13" xfId="0" applyBorder="1"/>
    <xf numFmtId="0" fontId="0" fillId="0" borderId="8" xfId="0" applyBorder="1"/>
    <xf numFmtId="0" fontId="0" fillId="0" borderId="47" xfId="0" applyBorder="1"/>
    <xf numFmtId="0" fontId="0" fillId="0" borderId="38" xfId="0" applyBorder="1"/>
    <xf numFmtId="0" fontId="0" fillId="0" borderId="22" xfId="0" applyBorder="1"/>
    <xf numFmtId="0" fontId="0" fillId="0" borderId="48" xfId="0" applyBorder="1"/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/>
    <xf numFmtId="0" fontId="7" fillId="0" borderId="15" xfId="0" applyFont="1" applyBorder="1"/>
    <xf numFmtId="0" fontId="7" fillId="0" borderId="37" xfId="0" applyFont="1" applyBorder="1"/>
    <xf numFmtId="0" fontId="7" fillId="0" borderId="19" xfId="0" applyFont="1" applyBorder="1"/>
    <xf numFmtId="0" fontId="7" fillId="0" borderId="13" xfId="0" applyFont="1" applyBorder="1" applyAlignment="1">
      <alignment horizontal="center" vertical="center"/>
    </xf>
    <xf numFmtId="0" fontId="7" fillId="0" borderId="8" xfId="0" applyFont="1" applyBorder="1"/>
    <xf numFmtId="0" fontId="7" fillId="0" borderId="1" xfId="0" applyFont="1" applyBorder="1" applyAlignment="1">
      <alignment horizontal="center" vertical="center"/>
    </xf>
    <xf numFmtId="0" fontId="7" fillId="0" borderId="32" xfId="0" applyFont="1" applyBorder="1"/>
    <xf numFmtId="0" fontId="7" fillId="0" borderId="33" xfId="0" applyFont="1" applyBorder="1"/>
    <xf numFmtId="0" fontId="7" fillId="0" borderId="43" xfId="0" applyFont="1" applyBorder="1"/>
    <xf numFmtId="0" fontId="7" fillId="0" borderId="5" xfId="0" applyFont="1" applyBorder="1"/>
    <xf numFmtId="0" fontId="7" fillId="0" borderId="36" xfId="0" applyFont="1" applyBorder="1"/>
    <xf numFmtId="0" fontId="7" fillId="0" borderId="17" xfId="0" applyFont="1" applyBorder="1"/>
    <xf numFmtId="0" fontId="7" fillId="0" borderId="18" xfId="0" applyFont="1" applyBorder="1"/>
    <xf numFmtId="0" fontId="7" fillId="0" borderId="44" xfId="0" applyFont="1" applyBorder="1"/>
    <xf numFmtId="0" fontId="7" fillId="0" borderId="4" xfId="0" applyFont="1" applyBorder="1"/>
    <xf numFmtId="0" fontId="7" fillId="0" borderId="20" xfId="0" applyFont="1" applyBorder="1"/>
    <xf numFmtId="0" fontId="7" fillId="0" borderId="21" xfId="0" applyFont="1" applyBorder="1"/>
    <xf numFmtId="0" fontId="7" fillId="0" borderId="38" xfId="0" applyFont="1" applyBorder="1"/>
    <xf numFmtId="0" fontId="7" fillId="0" borderId="22" xfId="0" applyFont="1" applyBorder="1"/>
    <xf numFmtId="0" fontId="0" fillId="0" borderId="13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2" xfId="0" applyFont="1" applyBorder="1"/>
    <xf numFmtId="0" fontId="6" fillId="0" borderId="33" xfId="0" applyFont="1" applyBorder="1"/>
    <xf numFmtId="0" fontId="6" fillId="0" borderId="43" xfId="0" applyFont="1" applyBorder="1"/>
    <xf numFmtId="0" fontId="6" fillId="0" borderId="5" xfId="0" applyFont="1" applyBorder="1"/>
    <xf numFmtId="0" fontId="6" fillId="0" borderId="36" xfId="0" applyFont="1" applyBorder="1"/>
    <xf numFmtId="0" fontId="6" fillId="0" borderId="22" xfId="0" applyFont="1" applyBorder="1" applyAlignment="1">
      <alignment horizontal="center" vertical="center"/>
    </xf>
    <xf numFmtId="0" fontId="6" fillId="0" borderId="20" xfId="0" applyFont="1" applyBorder="1"/>
    <xf numFmtId="0" fontId="6" fillId="0" borderId="21" xfId="0" applyFont="1" applyBorder="1"/>
    <xf numFmtId="0" fontId="6" fillId="0" borderId="38" xfId="0" applyFont="1" applyBorder="1"/>
    <xf numFmtId="0" fontId="6" fillId="0" borderId="8" xfId="0" applyFont="1" applyBorder="1"/>
    <xf numFmtId="0" fontId="6" fillId="0" borderId="22" xfId="0" applyFont="1" applyBorder="1"/>
    <xf numFmtId="0" fontId="6" fillId="3" borderId="21" xfId="0" applyFont="1" applyFill="1" applyBorder="1"/>
    <xf numFmtId="0" fontId="6" fillId="3" borderId="38" xfId="0" applyFont="1" applyFill="1" applyBorder="1"/>
    <xf numFmtId="0" fontId="0" fillId="0" borderId="9" xfId="0" applyBorder="1" applyAlignment="1">
      <alignment horizontal="center" vertical="center"/>
    </xf>
    <xf numFmtId="0" fontId="0" fillId="0" borderId="28" xfId="0" applyBorder="1"/>
    <xf numFmtId="0" fontId="0" fillId="0" borderId="40" xfId="0" applyBorder="1"/>
    <xf numFmtId="0" fontId="0" fillId="0" borderId="46" xfId="0" applyBorder="1"/>
    <xf numFmtId="0" fontId="6" fillId="0" borderId="32" xfId="0" applyFont="1" applyBorder="1" applyAlignment="1">
      <alignment horizontal="center" vertical="center"/>
    </xf>
    <xf numFmtId="0" fontId="6" fillId="0" borderId="35" xfId="0" applyFont="1" applyBorder="1"/>
    <xf numFmtId="0" fontId="0" fillId="0" borderId="6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56" fontId="3" fillId="0" borderId="0" xfId="0" applyNumberFormat="1" applyFont="1"/>
    <xf numFmtId="0" fontId="0" fillId="0" borderId="49" xfId="0" applyBorder="1"/>
    <xf numFmtId="0" fontId="0" fillId="0" borderId="50" xfId="0" applyBorder="1"/>
    <xf numFmtId="0" fontId="0" fillId="0" borderId="9" xfId="0" applyBorder="1"/>
    <xf numFmtId="0" fontId="0" fillId="0" borderId="35" xfId="0" applyBorder="1"/>
    <xf numFmtId="0" fontId="4" fillId="0" borderId="19" xfId="0" applyFont="1" applyBorder="1" applyAlignment="1">
      <alignment horizontal="center" vertical="center"/>
    </xf>
    <xf numFmtId="0" fontId="0" fillId="0" borderId="52" xfId="0" applyBorder="1"/>
    <xf numFmtId="0" fontId="5" fillId="0" borderId="18" xfId="0" applyFont="1" applyBorder="1"/>
    <xf numFmtId="0" fontId="5" fillId="0" borderId="53" xfId="0" applyFont="1" applyBorder="1"/>
    <xf numFmtId="0" fontId="0" fillId="0" borderId="54" xfId="0" applyBorder="1"/>
    <xf numFmtId="0" fontId="5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14" xfId="0" applyFont="1" applyBorder="1"/>
    <xf numFmtId="0" fontId="6" fillId="0" borderId="29" xfId="0" applyFont="1" applyBorder="1"/>
    <xf numFmtId="0" fontId="6" fillId="0" borderId="41" xfId="0" applyFont="1" applyBorder="1"/>
    <xf numFmtId="0" fontId="6" fillId="0" borderId="19" xfId="0" applyFont="1" applyBorder="1"/>
    <xf numFmtId="0" fontId="6" fillId="0" borderId="15" xfId="0" applyFont="1" applyBorder="1"/>
    <xf numFmtId="176" fontId="6" fillId="0" borderId="0" xfId="0" applyNumberFormat="1" applyFont="1"/>
    <xf numFmtId="176" fontId="8" fillId="0" borderId="0" xfId="0" applyNumberFormat="1" applyFont="1"/>
    <xf numFmtId="0" fontId="0" fillId="0" borderId="55" xfId="0" applyBorder="1"/>
    <xf numFmtId="0" fontId="6" fillId="0" borderId="37" xfId="0" applyFont="1" applyBorder="1"/>
    <xf numFmtId="0" fontId="0" fillId="0" borderId="32" xfId="0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0" fillId="0" borderId="56" xfId="0" applyBorder="1"/>
    <xf numFmtId="0" fontId="0" fillId="0" borderId="57" xfId="0" applyBorder="1"/>
    <xf numFmtId="0" fontId="0" fillId="3" borderId="15" xfId="0" applyFill="1" applyBorder="1"/>
    <xf numFmtId="0" fontId="0" fillId="3" borderId="37" xfId="0" applyFill="1" applyBorder="1"/>
    <xf numFmtId="0" fontId="0" fillId="3" borderId="21" xfId="0" applyFill="1" applyBorder="1"/>
    <xf numFmtId="0" fontId="0" fillId="3" borderId="38" xfId="0" applyFill="1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1" xfId="0" applyBorder="1"/>
    <xf numFmtId="0" fontId="0" fillId="0" borderId="2" xfId="0" applyBorder="1"/>
    <xf numFmtId="0" fontId="0" fillId="0" borderId="34" xfId="0" applyBorder="1"/>
    <xf numFmtId="0" fontId="0" fillId="0" borderId="7" xfId="0" applyBorder="1"/>
    <xf numFmtId="0" fontId="0" fillId="0" borderId="4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76" fontId="0" fillId="0" borderId="0" xfId="0" applyNumberFormat="1"/>
    <xf numFmtId="0" fontId="0" fillId="3" borderId="24" xfId="0" applyFill="1" applyBorder="1"/>
    <xf numFmtId="0" fontId="5" fillId="3" borderId="2" xfId="0" applyFont="1" applyFill="1" applyBorder="1"/>
    <xf numFmtId="0" fontId="7" fillId="0" borderId="22" xfId="0" applyFont="1" applyBorder="1" applyAlignment="1">
      <alignment horizontal="center" vertical="center"/>
    </xf>
    <xf numFmtId="56" fontId="7" fillId="0" borderId="0" xfId="0" applyNumberFormat="1" applyFont="1"/>
    <xf numFmtId="0" fontId="7" fillId="0" borderId="0" xfId="0" applyFont="1"/>
    <xf numFmtId="0" fontId="8" fillId="0" borderId="37" xfId="0" applyFont="1" applyBorder="1"/>
    <xf numFmtId="0" fontId="7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56" fontId="6" fillId="0" borderId="0" xfId="0" applyNumberFormat="1" applyFont="1"/>
    <xf numFmtId="0" fontId="7" fillId="0" borderId="29" xfId="0" applyFont="1" applyBorder="1"/>
    <xf numFmtId="0" fontId="7" fillId="0" borderId="41" xfId="0" applyFont="1" applyBorder="1"/>
    <xf numFmtId="0" fontId="7" fillId="0" borderId="55" xfId="0" applyFont="1" applyBorder="1"/>
    <xf numFmtId="0" fontId="0" fillId="3" borderId="27" xfId="0" applyFill="1" applyBorder="1"/>
    <xf numFmtId="0" fontId="5" fillId="3" borderId="3" xfId="0" applyFont="1" applyFill="1" applyBorder="1"/>
    <xf numFmtId="0" fontId="7" fillId="0" borderId="59" xfId="0" applyFont="1" applyBorder="1"/>
    <xf numFmtId="0" fontId="7" fillId="0" borderId="60" xfId="0" applyFont="1" applyBorder="1"/>
    <xf numFmtId="0" fontId="7" fillId="0" borderId="61" xfId="0" applyFont="1" applyBorder="1"/>
    <xf numFmtId="0" fontId="7" fillId="0" borderId="62" xfId="0" applyFont="1" applyBorder="1"/>
    <xf numFmtId="0" fontId="1" fillId="0" borderId="36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857"/>
  <sheetViews>
    <sheetView tabSelected="1" topLeftCell="A825" zoomScaleNormal="100" workbookViewId="0">
      <selection activeCell="A848" sqref="A848"/>
    </sheetView>
  </sheetViews>
  <sheetFormatPr defaultRowHeight="13.5" x14ac:dyDescent="0.15"/>
  <cols>
    <col min="1" max="1" width="28.25" customWidth="1"/>
    <col min="2" max="12" width="6.625" customWidth="1"/>
    <col min="13" max="13" width="9.75" customWidth="1"/>
    <col min="14" max="14" width="10.375" customWidth="1"/>
    <col min="15" max="15" width="29.625" customWidth="1"/>
    <col min="16" max="17" width="6.625" customWidth="1"/>
    <col min="18" max="18" width="6.5" customWidth="1"/>
    <col min="19" max="25" width="6.625" customWidth="1"/>
    <col min="26" max="26" width="9.375" customWidth="1"/>
    <col min="27" max="27" width="9.5" bestFit="1" customWidth="1"/>
    <col min="248" max="248" width="18.625" customWidth="1"/>
    <col min="249" max="263" width="5.75" customWidth="1"/>
    <col min="264" max="264" width="6.25" customWidth="1"/>
    <col min="265" max="265" width="9.25" bestFit="1" customWidth="1"/>
    <col min="266" max="266" width="26" customWidth="1"/>
    <col min="267" max="282" width="6.625" customWidth="1"/>
    <col min="283" max="283" width="9.5" bestFit="1" customWidth="1"/>
    <col min="504" max="504" width="18.625" customWidth="1"/>
    <col min="505" max="519" width="5.75" customWidth="1"/>
    <col min="520" max="520" width="6.25" customWidth="1"/>
    <col min="521" max="521" width="9.25" bestFit="1" customWidth="1"/>
    <col min="522" max="522" width="26" customWidth="1"/>
    <col min="523" max="538" width="6.625" customWidth="1"/>
    <col min="539" max="539" width="9.5" bestFit="1" customWidth="1"/>
    <col min="760" max="760" width="18.625" customWidth="1"/>
    <col min="761" max="775" width="5.75" customWidth="1"/>
    <col min="776" max="776" width="6.25" customWidth="1"/>
    <col min="777" max="777" width="9.25" bestFit="1" customWidth="1"/>
    <col min="778" max="778" width="26" customWidth="1"/>
    <col min="779" max="794" width="6.625" customWidth="1"/>
    <col min="795" max="795" width="9.5" bestFit="1" customWidth="1"/>
    <col min="1016" max="1016" width="18.625" customWidth="1"/>
    <col min="1017" max="1031" width="5.75" customWidth="1"/>
    <col min="1032" max="1032" width="6.25" customWidth="1"/>
    <col min="1033" max="1033" width="9.25" bestFit="1" customWidth="1"/>
    <col min="1034" max="1034" width="26" customWidth="1"/>
    <col min="1035" max="1050" width="6.625" customWidth="1"/>
    <col min="1051" max="1051" width="9.5" bestFit="1" customWidth="1"/>
    <col min="1272" max="1272" width="18.625" customWidth="1"/>
    <col min="1273" max="1287" width="5.75" customWidth="1"/>
    <col min="1288" max="1288" width="6.25" customWidth="1"/>
    <col min="1289" max="1289" width="9.25" bestFit="1" customWidth="1"/>
    <col min="1290" max="1290" width="26" customWidth="1"/>
    <col min="1291" max="1306" width="6.625" customWidth="1"/>
    <col min="1307" max="1307" width="9.5" bestFit="1" customWidth="1"/>
    <col min="1528" max="1528" width="18.625" customWidth="1"/>
    <col min="1529" max="1543" width="5.75" customWidth="1"/>
    <col min="1544" max="1544" width="6.25" customWidth="1"/>
    <col min="1545" max="1545" width="9.25" bestFit="1" customWidth="1"/>
    <col min="1546" max="1546" width="26" customWidth="1"/>
    <col min="1547" max="1562" width="6.625" customWidth="1"/>
    <col min="1563" max="1563" width="9.5" bestFit="1" customWidth="1"/>
    <col min="1784" max="1784" width="18.625" customWidth="1"/>
    <col min="1785" max="1799" width="5.75" customWidth="1"/>
    <col min="1800" max="1800" width="6.25" customWidth="1"/>
    <col min="1801" max="1801" width="9.25" bestFit="1" customWidth="1"/>
    <col min="1802" max="1802" width="26" customWidth="1"/>
    <col min="1803" max="1818" width="6.625" customWidth="1"/>
    <col min="1819" max="1819" width="9.5" bestFit="1" customWidth="1"/>
    <col min="2040" max="2040" width="18.625" customWidth="1"/>
    <col min="2041" max="2055" width="5.75" customWidth="1"/>
    <col min="2056" max="2056" width="6.25" customWidth="1"/>
    <col min="2057" max="2057" width="9.25" bestFit="1" customWidth="1"/>
    <col min="2058" max="2058" width="26" customWidth="1"/>
    <col min="2059" max="2074" width="6.625" customWidth="1"/>
    <col min="2075" max="2075" width="9.5" bestFit="1" customWidth="1"/>
    <col min="2296" max="2296" width="18.625" customWidth="1"/>
    <col min="2297" max="2311" width="5.75" customWidth="1"/>
    <col min="2312" max="2312" width="6.25" customWidth="1"/>
    <col min="2313" max="2313" width="9.25" bestFit="1" customWidth="1"/>
    <col min="2314" max="2314" width="26" customWidth="1"/>
    <col min="2315" max="2330" width="6.625" customWidth="1"/>
    <col min="2331" max="2331" width="9.5" bestFit="1" customWidth="1"/>
    <col min="2552" max="2552" width="18.625" customWidth="1"/>
    <col min="2553" max="2567" width="5.75" customWidth="1"/>
    <col min="2568" max="2568" width="6.25" customWidth="1"/>
    <col min="2569" max="2569" width="9.25" bestFit="1" customWidth="1"/>
    <col min="2570" max="2570" width="26" customWidth="1"/>
    <col min="2571" max="2586" width="6.625" customWidth="1"/>
    <col min="2587" max="2587" width="9.5" bestFit="1" customWidth="1"/>
    <col min="2808" max="2808" width="18.625" customWidth="1"/>
    <col min="2809" max="2823" width="5.75" customWidth="1"/>
    <col min="2824" max="2824" width="6.25" customWidth="1"/>
    <col min="2825" max="2825" width="9.25" bestFit="1" customWidth="1"/>
    <col min="2826" max="2826" width="26" customWidth="1"/>
    <col min="2827" max="2842" width="6.625" customWidth="1"/>
    <col min="2843" max="2843" width="9.5" bestFit="1" customWidth="1"/>
    <col min="3064" max="3064" width="18.625" customWidth="1"/>
    <col min="3065" max="3079" width="5.75" customWidth="1"/>
    <col min="3080" max="3080" width="6.25" customWidth="1"/>
    <col min="3081" max="3081" width="9.25" bestFit="1" customWidth="1"/>
    <col min="3082" max="3082" width="26" customWidth="1"/>
    <col min="3083" max="3098" width="6.625" customWidth="1"/>
    <col min="3099" max="3099" width="9.5" bestFit="1" customWidth="1"/>
    <col min="3320" max="3320" width="18.625" customWidth="1"/>
    <col min="3321" max="3335" width="5.75" customWidth="1"/>
    <col min="3336" max="3336" width="6.25" customWidth="1"/>
    <col min="3337" max="3337" width="9.25" bestFit="1" customWidth="1"/>
    <col min="3338" max="3338" width="26" customWidth="1"/>
    <col min="3339" max="3354" width="6.625" customWidth="1"/>
    <col min="3355" max="3355" width="9.5" bestFit="1" customWidth="1"/>
    <col min="3576" max="3576" width="18.625" customWidth="1"/>
    <col min="3577" max="3591" width="5.75" customWidth="1"/>
    <col min="3592" max="3592" width="6.25" customWidth="1"/>
    <col min="3593" max="3593" width="9.25" bestFit="1" customWidth="1"/>
    <col min="3594" max="3594" width="26" customWidth="1"/>
    <col min="3595" max="3610" width="6.625" customWidth="1"/>
    <col min="3611" max="3611" width="9.5" bestFit="1" customWidth="1"/>
    <col min="3832" max="3832" width="18.625" customWidth="1"/>
    <col min="3833" max="3847" width="5.75" customWidth="1"/>
    <col min="3848" max="3848" width="6.25" customWidth="1"/>
    <col min="3849" max="3849" width="9.25" bestFit="1" customWidth="1"/>
    <col min="3850" max="3850" width="26" customWidth="1"/>
    <col min="3851" max="3866" width="6.625" customWidth="1"/>
    <col min="3867" max="3867" width="9.5" bestFit="1" customWidth="1"/>
    <col min="4088" max="4088" width="18.625" customWidth="1"/>
    <col min="4089" max="4103" width="5.75" customWidth="1"/>
    <col min="4104" max="4104" width="6.25" customWidth="1"/>
    <col min="4105" max="4105" width="9.25" bestFit="1" customWidth="1"/>
    <col min="4106" max="4106" width="26" customWidth="1"/>
    <col min="4107" max="4122" width="6.625" customWidth="1"/>
    <col min="4123" max="4123" width="9.5" bestFit="1" customWidth="1"/>
    <col min="4344" max="4344" width="18.625" customWidth="1"/>
    <col min="4345" max="4359" width="5.75" customWidth="1"/>
    <col min="4360" max="4360" width="6.25" customWidth="1"/>
    <col min="4361" max="4361" width="9.25" bestFit="1" customWidth="1"/>
    <col min="4362" max="4362" width="26" customWidth="1"/>
    <col min="4363" max="4378" width="6.625" customWidth="1"/>
    <col min="4379" max="4379" width="9.5" bestFit="1" customWidth="1"/>
    <col min="4600" max="4600" width="18.625" customWidth="1"/>
    <col min="4601" max="4615" width="5.75" customWidth="1"/>
    <col min="4616" max="4616" width="6.25" customWidth="1"/>
    <col min="4617" max="4617" width="9.25" bestFit="1" customWidth="1"/>
    <col min="4618" max="4618" width="26" customWidth="1"/>
    <col min="4619" max="4634" width="6.625" customWidth="1"/>
    <col min="4635" max="4635" width="9.5" bestFit="1" customWidth="1"/>
    <col min="4856" max="4856" width="18.625" customWidth="1"/>
    <col min="4857" max="4871" width="5.75" customWidth="1"/>
    <col min="4872" max="4872" width="6.25" customWidth="1"/>
    <col min="4873" max="4873" width="9.25" bestFit="1" customWidth="1"/>
    <col min="4874" max="4874" width="26" customWidth="1"/>
    <col min="4875" max="4890" width="6.625" customWidth="1"/>
    <col min="4891" max="4891" width="9.5" bestFit="1" customWidth="1"/>
    <col min="5112" max="5112" width="18.625" customWidth="1"/>
    <col min="5113" max="5127" width="5.75" customWidth="1"/>
    <col min="5128" max="5128" width="6.25" customWidth="1"/>
    <col min="5129" max="5129" width="9.25" bestFit="1" customWidth="1"/>
    <col min="5130" max="5130" width="26" customWidth="1"/>
    <col min="5131" max="5146" width="6.625" customWidth="1"/>
    <col min="5147" max="5147" width="9.5" bestFit="1" customWidth="1"/>
    <col min="5368" max="5368" width="18.625" customWidth="1"/>
    <col min="5369" max="5383" width="5.75" customWidth="1"/>
    <col min="5384" max="5384" width="6.25" customWidth="1"/>
    <col min="5385" max="5385" width="9.25" bestFit="1" customWidth="1"/>
    <col min="5386" max="5386" width="26" customWidth="1"/>
    <col min="5387" max="5402" width="6.625" customWidth="1"/>
    <col min="5403" max="5403" width="9.5" bestFit="1" customWidth="1"/>
    <col min="5624" max="5624" width="18.625" customWidth="1"/>
    <col min="5625" max="5639" width="5.75" customWidth="1"/>
    <col min="5640" max="5640" width="6.25" customWidth="1"/>
    <col min="5641" max="5641" width="9.25" bestFit="1" customWidth="1"/>
    <col min="5642" max="5642" width="26" customWidth="1"/>
    <col min="5643" max="5658" width="6.625" customWidth="1"/>
    <col min="5659" max="5659" width="9.5" bestFit="1" customWidth="1"/>
    <col min="5880" max="5880" width="18.625" customWidth="1"/>
    <col min="5881" max="5895" width="5.75" customWidth="1"/>
    <col min="5896" max="5896" width="6.25" customWidth="1"/>
    <col min="5897" max="5897" width="9.25" bestFit="1" customWidth="1"/>
    <col min="5898" max="5898" width="26" customWidth="1"/>
    <col min="5899" max="5914" width="6.625" customWidth="1"/>
    <col min="5915" max="5915" width="9.5" bestFit="1" customWidth="1"/>
    <col min="6136" max="6136" width="18.625" customWidth="1"/>
    <col min="6137" max="6151" width="5.75" customWidth="1"/>
    <col min="6152" max="6152" width="6.25" customWidth="1"/>
    <col min="6153" max="6153" width="9.25" bestFit="1" customWidth="1"/>
    <col min="6154" max="6154" width="26" customWidth="1"/>
    <col min="6155" max="6170" width="6.625" customWidth="1"/>
    <col min="6171" max="6171" width="9.5" bestFit="1" customWidth="1"/>
    <col min="6392" max="6392" width="18.625" customWidth="1"/>
    <col min="6393" max="6407" width="5.75" customWidth="1"/>
    <col min="6408" max="6408" width="6.25" customWidth="1"/>
    <col min="6409" max="6409" width="9.25" bestFit="1" customWidth="1"/>
    <col min="6410" max="6410" width="26" customWidth="1"/>
    <col min="6411" max="6426" width="6.625" customWidth="1"/>
    <col min="6427" max="6427" width="9.5" bestFit="1" customWidth="1"/>
    <col min="6648" max="6648" width="18.625" customWidth="1"/>
    <col min="6649" max="6663" width="5.75" customWidth="1"/>
    <col min="6664" max="6664" width="6.25" customWidth="1"/>
    <col min="6665" max="6665" width="9.25" bestFit="1" customWidth="1"/>
    <col min="6666" max="6666" width="26" customWidth="1"/>
    <col min="6667" max="6682" width="6.625" customWidth="1"/>
    <col min="6683" max="6683" width="9.5" bestFit="1" customWidth="1"/>
    <col min="6904" max="6904" width="18.625" customWidth="1"/>
    <col min="6905" max="6919" width="5.75" customWidth="1"/>
    <col min="6920" max="6920" width="6.25" customWidth="1"/>
    <col min="6921" max="6921" width="9.25" bestFit="1" customWidth="1"/>
    <col min="6922" max="6922" width="26" customWidth="1"/>
    <col min="6923" max="6938" width="6.625" customWidth="1"/>
    <col min="6939" max="6939" width="9.5" bestFit="1" customWidth="1"/>
    <col min="7160" max="7160" width="18.625" customWidth="1"/>
    <col min="7161" max="7175" width="5.75" customWidth="1"/>
    <col min="7176" max="7176" width="6.25" customWidth="1"/>
    <col min="7177" max="7177" width="9.25" bestFit="1" customWidth="1"/>
    <col min="7178" max="7178" width="26" customWidth="1"/>
    <col min="7179" max="7194" width="6.625" customWidth="1"/>
    <col min="7195" max="7195" width="9.5" bestFit="1" customWidth="1"/>
    <col min="7416" max="7416" width="18.625" customWidth="1"/>
    <col min="7417" max="7431" width="5.75" customWidth="1"/>
    <col min="7432" max="7432" width="6.25" customWidth="1"/>
    <col min="7433" max="7433" width="9.25" bestFit="1" customWidth="1"/>
    <col min="7434" max="7434" width="26" customWidth="1"/>
    <col min="7435" max="7450" width="6.625" customWidth="1"/>
    <col min="7451" max="7451" width="9.5" bestFit="1" customWidth="1"/>
    <col min="7672" max="7672" width="18.625" customWidth="1"/>
    <col min="7673" max="7687" width="5.75" customWidth="1"/>
    <col min="7688" max="7688" width="6.25" customWidth="1"/>
    <col min="7689" max="7689" width="9.25" bestFit="1" customWidth="1"/>
    <col min="7690" max="7690" width="26" customWidth="1"/>
    <col min="7691" max="7706" width="6.625" customWidth="1"/>
    <col min="7707" max="7707" width="9.5" bestFit="1" customWidth="1"/>
    <col min="7928" max="7928" width="18.625" customWidth="1"/>
    <col min="7929" max="7943" width="5.75" customWidth="1"/>
    <col min="7944" max="7944" width="6.25" customWidth="1"/>
    <col min="7945" max="7945" width="9.25" bestFit="1" customWidth="1"/>
    <col min="7946" max="7946" width="26" customWidth="1"/>
    <col min="7947" max="7962" width="6.625" customWidth="1"/>
    <col min="7963" max="7963" width="9.5" bestFit="1" customWidth="1"/>
    <col min="8184" max="8184" width="18.625" customWidth="1"/>
    <col min="8185" max="8199" width="5.75" customWidth="1"/>
    <col min="8200" max="8200" width="6.25" customWidth="1"/>
    <col min="8201" max="8201" width="9.25" bestFit="1" customWidth="1"/>
    <col min="8202" max="8202" width="26" customWidth="1"/>
    <col min="8203" max="8218" width="6.625" customWidth="1"/>
    <col min="8219" max="8219" width="9.5" bestFit="1" customWidth="1"/>
    <col min="8440" max="8440" width="18.625" customWidth="1"/>
    <col min="8441" max="8455" width="5.75" customWidth="1"/>
    <col min="8456" max="8456" width="6.25" customWidth="1"/>
    <col min="8457" max="8457" width="9.25" bestFit="1" customWidth="1"/>
    <col min="8458" max="8458" width="26" customWidth="1"/>
    <col min="8459" max="8474" width="6.625" customWidth="1"/>
    <col min="8475" max="8475" width="9.5" bestFit="1" customWidth="1"/>
    <col min="8696" max="8696" width="18.625" customWidth="1"/>
    <col min="8697" max="8711" width="5.75" customWidth="1"/>
    <col min="8712" max="8712" width="6.25" customWidth="1"/>
    <col min="8713" max="8713" width="9.25" bestFit="1" customWidth="1"/>
    <col min="8714" max="8714" width="26" customWidth="1"/>
    <col min="8715" max="8730" width="6.625" customWidth="1"/>
    <col min="8731" max="8731" width="9.5" bestFit="1" customWidth="1"/>
    <col min="8952" max="8952" width="18.625" customWidth="1"/>
    <col min="8953" max="8967" width="5.75" customWidth="1"/>
    <col min="8968" max="8968" width="6.25" customWidth="1"/>
    <col min="8969" max="8969" width="9.25" bestFit="1" customWidth="1"/>
    <col min="8970" max="8970" width="26" customWidth="1"/>
    <col min="8971" max="8986" width="6.625" customWidth="1"/>
    <col min="8987" max="8987" width="9.5" bestFit="1" customWidth="1"/>
    <col min="9208" max="9208" width="18.625" customWidth="1"/>
    <col min="9209" max="9223" width="5.75" customWidth="1"/>
    <col min="9224" max="9224" width="6.25" customWidth="1"/>
    <col min="9225" max="9225" width="9.25" bestFit="1" customWidth="1"/>
    <col min="9226" max="9226" width="26" customWidth="1"/>
    <col min="9227" max="9242" width="6.625" customWidth="1"/>
    <col min="9243" max="9243" width="9.5" bestFit="1" customWidth="1"/>
    <col min="9464" max="9464" width="18.625" customWidth="1"/>
    <col min="9465" max="9479" width="5.75" customWidth="1"/>
    <col min="9480" max="9480" width="6.25" customWidth="1"/>
    <col min="9481" max="9481" width="9.25" bestFit="1" customWidth="1"/>
    <col min="9482" max="9482" width="26" customWidth="1"/>
    <col min="9483" max="9498" width="6.625" customWidth="1"/>
    <col min="9499" max="9499" width="9.5" bestFit="1" customWidth="1"/>
    <col min="9720" max="9720" width="18.625" customWidth="1"/>
    <col min="9721" max="9735" width="5.75" customWidth="1"/>
    <col min="9736" max="9736" width="6.25" customWidth="1"/>
    <col min="9737" max="9737" width="9.25" bestFit="1" customWidth="1"/>
    <col min="9738" max="9738" width="26" customWidth="1"/>
    <col min="9739" max="9754" width="6.625" customWidth="1"/>
    <col min="9755" max="9755" width="9.5" bestFit="1" customWidth="1"/>
    <col min="9976" max="9976" width="18.625" customWidth="1"/>
    <col min="9977" max="9991" width="5.75" customWidth="1"/>
    <col min="9992" max="9992" width="6.25" customWidth="1"/>
    <col min="9993" max="9993" width="9.25" bestFit="1" customWidth="1"/>
    <col min="9994" max="9994" width="26" customWidth="1"/>
    <col min="9995" max="10010" width="6.625" customWidth="1"/>
    <col min="10011" max="10011" width="9.5" bestFit="1" customWidth="1"/>
    <col min="10232" max="10232" width="18.625" customWidth="1"/>
    <col min="10233" max="10247" width="5.75" customWidth="1"/>
    <col min="10248" max="10248" width="6.25" customWidth="1"/>
    <col min="10249" max="10249" width="9.25" bestFit="1" customWidth="1"/>
    <col min="10250" max="10250" width="26" customWidth="1"/>
    <col min="10251" max="10266" width="6.625" customWidth="1"/>
    <col min="10267" max="10267" width="9.5" bestFit="1" customWidth="1"/>
    <col min="10488" max="10488" width="18.625" customWidth="1"/>
    <col min="10489" max="10503" width="5.75" customWidth="1"/>
    <col min="10504" max="10504" width="6.25" customWidth="1"/>
    <col min="10505" max="10505" width="9.25" bestFit="1" customWidth="1"/>
    <col min="10506" max="10506" width="26" customWidth="1"/>
    <col min="10507" max="10522" width="6.625" customWidth="1"/>
    <col min="10523" max="10523" width="9.5" bestFit="1" customWidth="1"/>
    <col min="10744" max="10744" width="18.625" customWidth="1"/>
    <col min="10745" max="10759" width="5.75" customWidth="1"/>
    <col min="10760" max="10760" width="6.25" customWidth="1"/>
    <col min="10761" max="10761" width="9.25" bestFit="1" customWidth="1"/>
    <col min="10762" max="10762" width="26" customWidth="1"/>
    <col min="10763" max="10778" width="6.625" customWidth="1"/>
    <col min="10779" max="10779" width="9.5" bestFit="1" customWidth="1"/>
    <col min="11000" max="11000" width="18.625" customWidth="1"/>
    <col min="11001" max="11015" width="5.75" customWidth="1"/>
    <col min="11016" max="11016" width="6.25" customWidth="1"/>
    <col min="11017" max="11017" width="9.25" bestFit="1" customWidth="1"/>
    <col min="11018" max="11018" width="26" customWidth="1"/>
    <col min="11019" max="11034" width="6.625" customWidth="1"/>
    <col min="11035" max="11035" width="9.5" bestFit="1" customWidth="1"/>
    <col min="11256" max="11256" width="18.625" customWidth="1"/>
    <col min="11257" max="11271" width="5.75" customWidth="1"/>
    <col min="11272" max="11272" width="6.25" customWidth="1"/>
    <col min="11273" max="11273" width="9.25" bestFit="1" customWidth="1"/>
    <col min="11274" max="11274" width="26" customWidth="1"/>
    <col min="11275" max="11290" width="6.625" customWidth="1"/>
    <col min="11291" max="11291" width="9.5" bestFit="1" customWidth="1"/>
    <col min="11512" max="11512" width="18.625" customWidth="1"/>
    <col min="11513" max="11527" width="5.75" customWidth="1"/>
    <col min="11528" max="11528" width="6.25" customWidth="1"/>
    <col min="11529" max="11529" width="9.25" bestFit="1" customWidth="1"/>
    <col min="11530" max="11530" width="26" customWidth="1"/>
    <col min="11531" max="11546" width="6.625" customWidth="1"/>
    <col min="11547" max="11547" width="9.5" bestFit="1" customWidth="1"/>
    <col min="11768" max="11768" width="18.625" customWidth="1"/>
    <col min="11769" max="11783" width="5.75" customWidth="1"/>
    <col min="11784" max="11784" width="6.25" customWidth="1"/>
    <col min="11785" max="11785" width="9.25" bestFit="1" customWidth="1"/>
    <col min="11786" max="11786" width="26" customWidth="1"/>
    <col min="11787" max="11802" width="6.625" customWidth="1"/>
    <col min="11803" max="11803" width="9.5" bestFit="1" customWidth="1"/>
    <col min="12024" max="12024" width="18.625" customWidth="1"/>
    <col min="12025" max="12039" width="5.75" customWidth="1"/>
    <col min="12040" max="12040" width="6.25" customWidth="1"/>
    <col min="12041" max="12041" width="9.25" bestFit="1" customWidth="1"/>
    <col min="12042" max="12042" width="26" customWidth="1"/>
    <col min="12043" max="12058" width="6.625" customWidth="1"/>
    <col min="12059" max="12059" width="9.5" bestFit="1" customWidth="1"/>
    <col min="12280" max="12280" width="18.625" customWidth="1"/>
    <col min="12281" max="12295" width="5.75" customWidth="1"/>
    <col min="12296" max="12296" width="6.25" customWidth="1"/>
    <col min="12297" max="12297" width="9.25" bestFit="1" customWidth="1"/>
    <col min="12298" max="12298" width="26" customWidth="1"/>
    <col min="12299" max="12314" width="6.625" customWidth="1"/>
    <col min="12315" max="12315" width="9.5" bestFit="1" customWidth="1"/>
    <col min="12536" max="12536" width="18.625" customWidth="1"/>
    <col min="12537" max="12551" width="5.75" customWidth="1"/>
    <col min="12552" max="12552" width="6.25" customWidth="1"/>
    <col min="12553" max="12553" width="9.25" bestFit="1" customWidth="1"/>
    <col min="12554" max="12554" width="26" customWidth="1"/>
    <col min="12555" max="12570" width="6.625" customWidth="1"/>
    <col min="12571" max="12571" width="9.5" bestFit="1" customWidth="1"/>
    <col min="12792" max="12792" width="18.625" customWidth="1"/>
    <col min="12793" max="12807" width="5.75" customWidth="1"/>
    <col min="12808" max="12808" width="6.25" customWidth="1"/>
    <col min="12809" max="12809" width="9.25" bestFit="1" customWidth="1"/>
    <col min="12810" max="12810" width="26" customWidth="1"/>
    <col min="12811" max="12826" width="6.625" customWidth="1"/>
    <col min="12827" max="12827" width="9.5" bestFit="1" customWidth="1"/>
    <col min="13048" max="13048" width="18.625" customWidth="1"/>
    <col min="13049" max="13063" width="5.75" customWidth="1"/>
    <col min="13064" max="13064" width="6.25" customWidth="1"/>
    <col min="13065" max="13065" width="9.25" bestFit="1" customWidth="1"/>
    <col min="13066" max="13066" width="26" customWidth="1"/>
    <col min="13067" max="13082" width="6.625" customWidth="1"/>
    <col min="13083" max="13083" width="9.5" bestFit="1" customWidth="1"/>
    <col min="13304" max="13304" width="18.625" customWidth="1"/>
    <col min="13305" max="13319" width="5.75" customWidth="1"/>
    <col min="13320" max="13320" width="6.25" customWidth="1"/>
    <col min="13321" max="13321" width="9.25" bestFit="1" customWidth="1"/>
    <col min="13322" max="13322" width="26" customWidth="1"/>
    <col min="13323" max="13338" width="6.625" customWidth="1"/>
    <col min="13339" max="13339" width="9.5" bestFit="1" customWidth="1"/>
    <col min="13560" max="13560" width="18.625" customWidth="1"/>
    <col min="13561" max="13575" width="5.75" customWidth="1"/>
    <col min="13576" max="13576" width="6.25" customWidth="1"/>
    <col min="13577" max="13577" width="9.25" bestFit="1" customWidth="1"/>
    <col min="13578" max="13578" width="26" customWidth="1"/>
    <col min="13579" max="13594" width="6.625" customWidth="1"/>
    <col min="13595" max="13595" width="9.5" bestFit="1" customWidth="1"/>
    <col min="13816" max="13816" width="18.625" customWidth="1"/>
    <col min="13817" max="13831" width="5.75" customWidth="1"/>
    <col min="13832" max="13832" width="6.25" customWidth="1"/>
    <col min="13833" max="13833" width="9.25" bestFit="1" customWidth="1"/>
    <col min="13834" max="13834" width="26" customWidth="1"/>
    <col min="13835" max="13850" width="6.625" customWidth="1"/>
    <col min="13851" max="13851" width="9.5" bestFit="1" customWidth="1"/>
    <col min="14072" max="14072" width="18.625" customWidth="1"/>
    <col min="14073" max="14087" width="5.75" customWidth="1"/>
    <col min="14088" max="14088" width="6.25" customWidth="1"/>
    <col min="14089" max="14089" width="9.25" bestFit="1" customWidth="1"/>
    <col min="14090" max="14090" width="26" customWidth="1"/>
    <col min="14091" max="14106" width="6.625" customWidth="1"/>
    <col min="14107" max="14107" width="9.5" bestFit="1" customWidth="1"/>
    <col min="14328" max="14328" width="18.625" customWidth="1"/>
    <col min="14329" max="14343" width="5.75" customWidth="1"/>
    <col min="14344" max="14344" width="6.25" customWidth="1"/>
    <col min="14345" max="14345" width="9.25" bestFit="1" customWidth="1"/>
    <col min="14346" max="14346" width="26" customWidth="1"/>
    <col min="14347" max="14362" width="6.625" customWidth="1"/>
    <col min="14363" max="14363" width="9.5" bestFit="1" customWidth="1"/>
    <col min="14584" max="14584" width="18.625" customWidth="1"/>
    <col min="14585" max="14599" width="5.75" customWidth="1"/>
    <col min="14600" max="14600" width="6.25" customWidth="1"/>
    <col min="14601" max="14601" width="9.25" bestFit="1" customWidth="1"/>
    <col min="14602" max="14602" width="26" customWidth="1"/>
    <col min="14603" max="14618" width="6.625" customWidth="1"/>
    <col min="14619" max="14619" width="9.5" bestFit="1" customWidth="1"/>
    <col min="14840" max="14840" width="18.625" customWidth="1"/>
    <col min="14841" max="14855" width="5.75" customWidth="1"/>
    <col min="14856" max="14856" width="6.25" customWidth="1"/>
    <col min="14857" max="14857" width="9.25" bestFit="1" customWidth="1"/>
    <col min="14858" max="14858" width="26" customWidth="1"/>
    <col min="14859" max="14874" width="6.625" customWidth="1"/>
    <col min="14875" max="14875" width="9.5" bestFit="1" customWidth="1"/>
    <col min="15096" max="15096" width="18.625" customWidth="1"/>
    <col min="15097" max="15111" width="5.75" customWidth="1"/>
    <col min="15112" max="15112" width="6.25" customWidth="1"/>
    <col min="15113" max="15113" width="9.25" bestFit="1" customWidth="1"/>
    <col min="15114" max="15114" width="26" customWidth="1"/>
    <col min="15115" max="15130" width="6.625" customWidth="1"/>
    <col min="15131" max="15131" width="9.5" bestFit="1" customWidth="1"/>
    <col min="15352" max="15352" width="18.625" customWidth="1"/>
    <col min="15353" max="15367" width="5.75" customWidth="1"/>
    <col min="15368" max="15368" width="6.25" customWidth="1"/>
    <col min="15369" max="15369" width="9.25" bestFit="1" customWidth="1"/>
    <col min="15370" max="15370" width="26" customWidth="1"/>
    <col min="15371" max="15386" width="6.625" customWidth="1"/>
    <col min="15387" max="15387" width="9.5" bestFit="1" customWidth="1"/>
    <col min="15608" max="15608" width="18.625" customWidth="1"/>
    <col min="15609" max="15623" width="5.75" customWidth="1"/>
    <col min="15624" max="15624" width="6.25" customWidth="1"/>
    <col min="15625" max="15625" width="9.25" bestFit="1" customWidth="1"/>
    <col min="15626" max="15626" width="26" customWidth="1"/>
    <col min="15627" max="15642" width="6.625" customWidth="1"/>
    <col min="15643" max="15643" width="9.5" bestFit="1" customWidth="1"/>
    <col min="15864" max="15864" width="18.625" customWidth="1"/>
    <col min="15865" max="15879" width="5.75" customWidth="1"/>
    <col min="15880" max="15880" width="6.25" customWidth="1"/>
    <col min="15881" max="15881" width="9.25" bestFit="1" customWidth="1"/>
    <col min="15882" max="15882" width="26" customWidth="1"/>
    <col min="15883" max="15898" width="6.625" customWidth="1"/>
    <col min="15899" max="15899" width="9.5" bestFit="1" customWidth="1"/>
    <col min="16120" max="16120" width="18.625" customWidth="1"/>
    <col min="16121" max="16135" width="5.75" customWidth="1"/>
    <col min="16136" max="16136" width="6.25" customWidth="1"/>
    <col min="16137" max="16137" width="9.25" bestFit="1" customWidth="1"/>
    <col min="16138" max="16138" width="26" customWidth="1"/>
    <col min="16139" max="16154" width="6.625" customWidth="1"/>
    <col min="16155" max="16155" width="9.5" bestFit="1" customWidth="1"/>
  </cols>
  <sheetData>
    <row r="2" spans="1:27" ht="19.5" thickBot="1" x14ac:dyDescent="0.25">
      <c r="A2" s="1" t="s">
        <v>19</v>
      </c>
      <c r="C2" s="164" t="s">
        <v>20</v>
      </c>
      <c r="D2" s="164"/>
      <c r="O2" s="1" t="s">
        <v>21</v>
      </c>
      <c r="S2" s="164" t="s">
        <v>20</v>
      </c>
      <c r="T2" s="164"/>
    </row>
    <row r="3" spans="1:27" ht="14.25" thickBot="1" x14ac:dyDescent="0.2">
      <c r="A3" s="3" t="s">
        <v>0</v>
      </c>
      <c r="B3" s="165" t="s">
        <v>15</v>
      </c>
      <c r="C3" s="166"/>
      <c r="D3" s="166"/>
      <c r="E3" s="166"/>
      <c r="F3" s="167"/>
      <c r="G3" s="168" t="s">
        <v>18</v>
      </c>
      <c r="H3" s="169"/>
      <c r="I3" s="169"/>
      <c r="J3" s="169"/>
      <c r="K3" s="170"/>
      <c r="L3" s="47"/>
      <c r="O3" s="3" t="s">
        <v>0</v>
      </c>
      <c r="P3" s="165" t="s">
        <v>15</v>
      </c>
      <c r="Q3" s="166"/>
      <c r="R3" s="166"/>
      <c r="S3" s="166"/>
      <c r="T3" s="167"/>
      <c r="U3" s="168" t="s">
        <v>18</v>
      </c>
      <c r="V3" s="169"/>
      <c r="W3" s="169"/>
      <c r="X3" s="169"/>
      <c r="Y3" s="170"/>
      <c r="Z3" s="47"/>
    </row>
    <row r="4" spans="1:27" ht="14.25" thickBot="1" x14ac:dyDescent="0.2">
      <c r="A4" s="3" t="s">
        <v>1</v>
      </c>
      <c r="B4" s="23" t="s">
        <v>11</v>
      </c>
      <c r="C4" s="24" t="s">
        <v>12</v>
      </c>
      <c r="D4" s="24" t="s">
        <v>13</v>
      </c>
      <c r="E4" s="25" t="s">
        <v>14</v>
      </c>
      <c r="F4" s="48" t="s">
        <v>16</v>
      </c>
      <c r="G4" s="23" t="s">
        <v>11</v>
      </c>
      <c r="H4" s="24" t="s">
        <v>12</v>
      </c>
      <c r="I4" s="24" t="s">
        <v>13</v>
      </c>
      <c r="J4" s="25" t="s">
        <v>14</v>
      </c>
      <c r="K4" s="48" t="s">
        <v>16</v>
      </c>
      <c r="L4" s="48" t="s">
        <v>17</v>
      </c>
      <c r="O4" s="3" t="s">
        <v>1</v>
      </c>
      <c r="P4" s="103" t="s">
        <v>11</v>
      </c>
      <c r="Q4" s="104" t="s">
        <v>12</v>
      </c>
      <c r="R4" s="104" t="s">
        <v>13</v>
      </c>
      <c r="S4" s="105" t="s">
        <v>14</v>
      </c>
      <c r="T4" s="3" t="s">
        <v>16</v>
      </c>
      <c r="U4" s="103" t="s">
        <v>11</v>
      </c>
      <c r="V4" s="104" t="s">
        <v>12</v>
      </c>
      <c r="W4" s="104" t="s">
        <v>13</v>
      </c>
      <c r="X4" s="105" t="s">
        <v>14</v>
      </c>
      <c r="Y4" s="3" t="s">
        <v>16</v>
      </c>
      <c r="Z4" s="3" t="s">
        <v>17</v>
      </c>
    </row>
    <row r="5" spans="1:27" x14ac:dyDescent="0.15">
      <c r="A5" s="97" t="s">
        <v>27</v>
      </c>
      <c r="B5" s="12">
        <v>1</v>
      </c>
      <c r="C5" s="98"/>
      <c r="D5" s="98">
        <v>1</v>
      </c>
      <c r="E5" s="99"/>
      <c r="F5" s="6">
        <f>SUM(B5:E5)</f>
        <v>2</v>
      </c>
      <c r="G5" s="13"/>
      <c r="H5" s="98">
        <v>1</v>
      </c>
      <c r="I5" s="98"/>
      <c r="J5" s="99">
        <v>1</v>
      </c>
      <c r="K5" s="100">
        <f>SUM(G5:J5)</f>
        <v>2</v>
      </c>
      <c r="L5" s="6">
        <f>F5+K5</f>
        <v>4</v>
      </c>
      <c r="M5" s="7" t="s">
        <v>32</v>
      </c>
      <c r="O5" s="97" t="s">
        <v>22</v>
      </c>
      <c r="P5" s="4">
        <v>85</v>
      </c>
      <c r="Q5" s="107">
        <v>115</v>
      </c>
      <c r="R5" s="107">
        <v>75</v>
      </c>
      <c r="S5" s="108">
        <v>75</v>
      </c>
      <c r="T5" s="10">
        <f>SUM(P5:S5)</f>
        <v>350</v>
      </c>
      <c r="U5" s="5">
        <v>40</v>
      </c>
      <c r="V5" s="107">
        <v>50</v>
      </c>
      <c r="W5" s="107">
        <v>30</v>
      </c>
      <c r="X5" s="108">
        <v>30</v>
      </c>
      <c r="Y5" s="109">
        <f>SUM(U5:X5)</f>
        <v>150</v>
      </c>
      <c r="Z5" s="10">
        <f>T5+Y5</f>
        <v>500</v>
      </c>
      <c r="AA5" s="7" t="s">
        <v>30</v>
      </c>
    </row>
    <row r="6" spans="1:27" x14ac:dyDescent="0.15">
      <c r="A6" s="82" t="s">
        <v>10</v>
      </c>
      <c r="B6" s="8">
        <v>2</v>
      </c>
      <c r="C6" s="29">
        <v>2</v>
      </c>
      <c r="D6" s="29">
        <v>2</v>
      </c>
      <c r="E6" s="43">
        <v>0</v>
      </c>
      <c r="F6" s="14">
        <f t="shared" ref="F6:F9" si="0">SUM(B6:E6)</f>
        <v>6</v>
      </c>
      <c r="G6" s="9">
        <v>2</v>
      </c>
      <c r="H6" s="29">
        <v>2</v>
      </c>
      <c r="I6" s="29">
        <v>0</v>
      </c>
      <c r="J6" s="43"/>
      <c r="K6" s="55">
        <f t="shared" ref="K6:K9" si="1">SUM(G6:J6)</f>
        <v>4</v>
      </c>
      <c r="L6" s="14">
        <f t="shared" ref="L6:L38" si="2">F6+K6</f>
        <v>10</v>
      </c>
      <c r="M6" s="7">
        <v>44964</v>
      </c>
      <c r="O6" s="82" t="s">
        <v>10</v>
      </c>
      <c r="P6" s="8"/>
      <c r="Q6" s="29"/>
      <c r="R6" s="29"/>
      <c r="S6" s="43"/>
      <c r="T6" s="14">
        <f t="shared" ref="T6:T8" si="3">SUM(P6:S6)</f>
        <v>0</v>
      </c>
      <c r="U6" s="9"/>
      <c r="V6" s="29"/>
      <c r="W6" s="29"/>
      <c r="X6" s="43"/>
      <c r="Y6" s="55">
        <f t="shared" ref="Y6:Y8" si="4">SUM(U6:X6)</f>
        <v>0</v>
      </c>
      <c r="Z6" s="14">
        <f t="shared" ref="Z6:Z8" si="5">T6+Y6</f>
        <v>0</v>
      </c>
      <c r="AA6" s="106" t="s">
        <v>25</v>
      </c>
    </row>
    <row r="7" spans="1:27" x14ac:dyDescent="0.15">
      <c r="A7" s="82" t="s">
        <v>3</v>
      </c>
      <c r="B7" s="8"/>
      <c r="C7" s="29"/>
      <c r="D7" s="29">
        <v>2</v>
      </c>
      <c r="E7" s="43"/>
      <c r="F7" s="14">
        <f t="shared" si="0"/>
        <v>2</v>
      </c>
      <c r="G7" s="9"/>
      <c r="H7" s="29">
        <v>2</v>
      </c>
      <c r="I7" s="29">
        <v>2</v>
      </c>
      <c r="J7" s="43"/>
      <c r="K7" s="55">
        <f t="shared" si="1"/>
        <v>4</v>
      </c>
      <c r="L7" s="14">
        <f t="shared" si="2"/>
        <v>6</v>
      </c>
      <c r="M7" s="7">
        <v>44966</v>
      </c>
      <c r="O7" s="82" t="s">
        <v>3</v>
      </c>
      <c r="P7" s="8">
        <v>85</v>
      </c>
      <c r="Q7" s="29">
        <v>115</v>
      </c>
      <c r="R7" s="29">
        <v>75</v>
      </c>
      <c r="S7" s="43">
        <v>75</v>
      </c>
      <c r="T7" s="14">
        <f t="shared" si="3"/>
        <v>350</v>
      </c>
      <c r="U7" s="9">
        <v>40</v>
      </c>
      <c r="V7" s="29">
        <v>50</v>
      </c>
      <c r="W7" s="29">
        <v>30</v>
      </c>
      <c r="X7" s="43">
        <v>30</v>
      </c>
      <c r="Y7" s="55">
        <f t="shared" si="4"/>
        <v>150</v>
      </c>
      <c r="Z7" s="14">
        <f t="shared" si="5"/>
        <v>500</v>
      </c>
      <c r="AA7" s="7" t="s">
        <v>30</v>
      </c>
    </row>
    <row r="8" spans="1:27" x14ac:dyDescent="0.15">
      <c r="A8" s="82" t="s">
        <v>4</v>
      </c>
      <c r="B8" s="8"/>
      <c r="C8" s="29"/>
      <c r="D8" s="29"/>
      <c r="E8" s="43">
        <v>2</v>
      </c>
      <c r="F8" s="14">
        <f t="shared" si="0"/>
        <v>2</v>
      </c>
      <c r="G8" s="9"/>
      <c r="H8" s="29"/>
      <c r="I8" s="29"/>
      <c r="J8" s="43">
        <v>2</v>
      </c>
      <c r="K8" s="55">
        <f t="shared" si="1"/>
        <v>2</v>
      </c>
      <c r="L8" s="14">
        <f t="shared" si="2"/>
        <v>4</v>
      </c>
      <c r="M8" s="7">
        <v>44967</v>
      </c>
      <c r="O8" s="82" t="s">
        <v>28</v>
      </c>
      <c r="P8" s="8">
        <v>-20</v>
      </c>
      <c r="Q8" s="29">
        <v>-22</v>
      </c>
      <c r="R8" s="29">
        <v>-10</v>
      </c>
      <c r="S8" s="43">
        <v>-11</v>
      </c>
      <c r="T8" s="14">
        <f t="shared" si="3"/>
        <v>-63</v>
      </c>
      <c r="U8" s="9">
        <v>-2</v>
      </c>
      <c r="V8" s="29">
        <v>-1</v>
      </c>
      <c r="W8" s="29">
        <v>-1</v>
      </c>
      <c r="X8" s="43">
        <v>-2</v>
      </c>
      <c r="Y8" s="55">
        <f t="shared" si="4"/>
        <v>-6</v>
      </c>
      <c r="Z8" s="14">
        <f t="shared" si="5"/>
        <v>-69</v>
      </c>
      <c r="AA8" s="106" t="s">
        <v>26</v>
      </c>
    </row>
    <row r="9" spans="1:27" ht="14.25" thickBot="1" x14ac:dyDescent="0.2">
      <c r="A9" s="82" t="s">
        <v>5</v>
      </c>
      <c r="B9" s="36">
        <v>3</v>
      </c>
      <c r="C9" s="37">
        <v>5</v>
      </c>
      <c r="D9" s="37"/>
      <c r="E9" s="44">
        <v>3</v>
      </c>
      <c r="F9" s="56">
        <f t="shared" si="0"/>
        <v>11</v>
      </c>
      <c r="G9" s="49">
        <v>3</v>
      </c>
      <c r="H9" s="37"/>
      <c r="I9" s="37">
        <v>5</v>
      </c>
      <c r="J9" s="44">
        <v>3</v>
      </c>
      <c r="K9" s="57">
        <f t="shared" si="1"/>
        <v>11</v>
      </c>
      <c r="L9" s="56">
        <f t="shared" si="2"/>
        <v>22</v>
      </c>
      <c r="M9" s="7">
        <v>44993</v>
      </c>
      <c r="O9" s="143" t="s">
        <v>49</v>
      </c>
      <c r="P9" s="36">
        <v>2</v>
      </c>
      <c r="Q9" s="37"/>
      <c r="R9" s="37"/>
      <c r="S9" s="44"/>
      <c r="T9" s="56">
        <f t="shared" ref="T9" si="6">SUM(P9:S9)</f>
        <v>2</v>
      </c>
      <c r="U9" s="49"/>
      <c r="V9" s="37"/>
      <c r="W9" s="37"/>
      <c r="X9" s="44"/>
      <c r="Y9" s="57">
        <f t="shared" ref="Y9" si="7">SUM(U9:X9)</f>
        <v>0</v>
      </c>
      <c r="Z9" s="56">
        <f t="shared" ref="Z9" si="8">T9+Y9</f>
        <v>2</v>
      </c>
      <c r="AA9" s="7">
        <v>45056</v>
      </c>
    </row>
    <row r="10" spans="1:27" ht="14.25" thickBot="1" x14ac:dyDescent="0.2">
      <c r="A10" s="68" t="s">
        <v>6</v>
      </c>
      <c r="B10" s="69">
        <f>SUM(B5:B9)</f>
        <v>6</v>
      </c>
      <c r="C10" s="70">
        <f>SUM(C5:C9)</f>
        <v>7</v>
      </c>
      <c r="D10" s="70">
        <f>SUM(D5:D9)</f>
        <v>5</v>
      </c>
      <c r="E10" s="71">
        <f>SUM(E5:E9)</f>
        <v>5</v>
      </c>
      <c r="F10" s="72">
        <f>SUM(B10:E10)</f>
        <v>23</v>
      </c>
      <c r="G10" s="73">
        <f>SUM(G5:G9)</f>
        <v>5</v>
      </c>
      <c r="H10" s="70">
        <f>SUM(H5:H9)</f>
        <v>5</v>
      </c>
      <c r="I10" s="70">
        <f>SUM(I5:I9)</f>
        <v>7</v>
      </c>
      <c r="J10" s="71">
        <f>SUM(J5:J9)</f>
        <v>6</v>
      </c>
      <c r="K10" s="72">
        <f>SUM(G10:J10)</f>
        <v>23</v>
      </c>
      <c r="L10" s="67">
        <f t="shared" si="2"/>
        <v>46</v>
      </c>
      <c r="O10" s="101" t="s">
        <v>6</v>
      </c>
      <c r="P10" s="84">
        <f>SUM(P5:P9)</f>
        <v>152</v>
      </c>
      <c r="Q10" s="85">
        <f>SUM(Q5:Q9)</f>
        <v>208</v>
      </c>
      <c r="R10" s="85">
        <f>SUM(R5:R9)</f>
        <v>140</v>
      </c>
      <c r="S10" s="86">
        <f>SUM(S5:S9)</f>
        <v>139</v>
      </c>
      <c r="T10" s="102">
        <f>SUM(P10:S10)</f>
        <v>639</v>
      </c>
      <c r="U10" s="88">
        <f>SUM(U5:U9)</f>
        <v>78</v>
      </c>
      <c r="V10" s="85">
        <f>SUM(V5:V9)</f>
        <v>99</v>
      </c>
      <c r="W10" s="85">
        <f>SUM(W5:W9)</f>
        <v>59</v>
      </c>
      <c r="X10" s="86">
        <f>SUM(X5:X9)</f>
        <v>58</v>
      </c>
      <c r="Y10" s="102">
        <f>SUM(U10:X10)</f>
        <v>294</v>
      </c>
      <c r="Z10" s="53">
        <f t="shared" ref="Z10:Z38" si="9">T10+Y10</f>
        <v>933</v>
      </c>
    </row>
    <row r="11" spans="1:27" x14ac:dyDescent="0.15">
      <c r="A11" s="61" t="s">
        <v>35</v>
      </c>
      <c r="B11" s="74"/>
      <c r="C11" s="75">
        <v>1</v>
      </c>
      <c r="D11" s="75"/>
      <c r="E11" s="76"/>
      <c r="F11" s="77">
        <f>SUM(B11:E11)</f>
        <v>1</v>
      </c>
      <c r="G11" s="75"/>
      <c r="H11" s="75"/>
      <c r="I11" s="75">
        <v>1</v>
      </c>
      <c r="J11" s="76"/>
      <c r="K11" s="77">
        <f>SUM(G11:J11)</f>
        <v>1</v>
      </c>
      <c r="L11" s="65">
        <f t="shared" si="2"/>
        <v>2</v>
      </c>
      <c r="M11" s="7">
        <v>44992</v>
      </c>
      <c r="O11" s="33" t="s">
        <v>29</v>
      </c>
      <c r="P11" s="8">
        <v>110</v>
      </c>
      <c r="Q11" s="9">
        <v>144</v>
      </c>
      <c r="R11" s="9">
        <v>82</v>
      </c>
      <c r="S11" s="39">
        <v>93</v>
      </c>
      <c r="T11" s="14">
        <f t="shared" ref="T11:T14" si="10">SUM(P11:S11)</f>
        <v>429</v>
      </c>
      <c r="U11" s="9"/>
      <c r="V11" s="9"/>
      <c r="W11" s="9"/>
      <c r="X11" s="39"/>
      <c r="Y11" s="14">
        <f t="shared" ref="Y11:Y14" si="11">SUM(U11:X11)</f>
        <v>0</v>
      </c>
      <c r="Z11" s="14">
        <f t="shared" ref="Z11:Z14" si="12">T11+Y11</f>
        <v>429</v>
      </c>
      <c r="AA11" s="7">
        <v>44993</v>
      </c>
    </row>
    <row r="12" spans="1:27" x14ac:dyDescent="0.15">
      <c r="A12" s="61" t="s">
        <v>35</v>
      </c>
      <c r="B12" s="62"/>
      <c r="C12" s="63"/>
      <c r="D12" s="63">
        <v>1</v>
      </c>
      <c r="E12" s="64"/>
      <c r="F12" s="65">
        <f t="shared" ref="F12:F38" si="13">SUM(B12:E12)</f>
        <v>1</v>
      </c>
      <c r="G12" s="63"/>
      <c r="H12" s="63"/>
      <c r="I12" s="63"/>
      <c r="J12" s="64"/>
      <c r="K12" s="65">
        <f t="shared" ref="K12:K38" si="14">SUM(G12:J12)</f>
        <v>0</v>
      </c>
      <c r="L12" s="65">
        <f t="shared" si="2"/>
        <v>1</v>
      </c>
      <c r="M12" s="7">
        <v>44998</v>
      </c>
      <c r="O12" s="38" t="s">
        <v>31</v>
      </c>
      <c r="P12" s="8">
        <v>2</v>
      </c>
      <c r="Q12" s="29">
        <v>2</v>
      </c>
      <c r="R12" s="29">
        <v>2</v>
      </c>
      <c r="S12" s="43">
        <v>0</v>
      </c>
      <c r="T12" s="14">
        <f t="shared" si="10"/>
        <v>6</v>
      </c>
      <c r="U12" s="9">
        <v>2</v>
      </c>
      <c r="V12" s="29">
        <v>2</v>
      </c>
      <c r="W12" s="29">
        <v>0</v>
      </c>
      <c r="X12" s="43"/>
      <c r="Y12" s="14">
        <f t="shared" si="11"/>
        <v>4</v>
      </c>
      <c r="Z12" s="14">
        <f t="shared" si="12"/>
        <v>10</v>
      </c>
      <c r="AA12" s="7">
        <v>44964</v>
      </c>
    </row>
    <row r="13" spans="1:27" x14ac:dyDescent="0.15">
      <c r="A13" s="61" t="s">
        <v>37</v>
      </c>
      <c r="B13" s="62"/>
      <c r="C13" s="63"/>
      <c r="D13" s="63"/>
      <c r="E13" s="64">
        <v>1</v>
      </c>
      <c r="F13" s="65">
        <f t="shared" si="13"/>
        <v>1</v>
      </c>
      <c r="G13" s="63"/>
      <c r="H13" s="63"/>
      <c r="I13" s="63"/>
      <c r="J13" s="64"/>
      <c r="K13" s="65">
        <f t="shared" si="14"/>
        <v>0</v>
      </c>
      <c r="L13" s="65">
        <f t="shared" si="2"/>
        <v>1</v>
      </c>
      <c r="M13" s="7">
        <v>45000</v>
      </c>
      <c r="O13" s="38" t="s">
        <v>31</v>
      </c>
      <c r="P13" s="8"/>
      <c r="Q13" s="9"/>
      <c r="R13" s="9">
        <v>2</v>
      </c>
      <c r="S13" s="39"/>
      <c r="T13" s="14">
        <f t="shared" si="10"/>
        <v>2</v>
      </c>
      <c r="U13" s="9"/>
      <c r="V13" s="9">
        <v>2</v>
      </c>
      <c r="W13" s="9">
        <v>2</v>
      </c>
      <c r="X13" s="39"/>
      <c r="Y13" s="14">
        <f t="shared" si="11"/>
        <v>4</v>
      </c>
      <c r="Z13" s="14">
        <f t="shared" si="12"/>
        <v>6</v>
      </c>
      <c r="AA13" s="7">
        <v>44966</v>
      </c>
    </row>
    <row r="14" spans="1:27" x14ac:dyDescent="0.15">
      <c r="A14" s="61" t="s">
        <v>35</v>
      </c>
      <c r="B14" s="62"/>
      <c r="C14" s="63"/>
      <c r="D14" s="63"/>
      <c r="E14" s="64"/>
      <c r="F14" s="65">
        <f t="shared" si="13"/>
        <v>0</v>
      </c>
      <c r="G14" s="63"/>
      <c r="H14" s="63">
        <v>1</v>
      </c>
      <c r="I14" s="63"/>
      <c r="J14" s="64"/>
      <c r="K14" s="65">
        <f t="shared" si="14"/>
        <v>1</v>
      </c>
      <c r="L14" s="65">
        <f t="shared" si="2"/>
        <v>1</v>
      </c>
      <c r="M14" s="7">
        <v>45005</v>
      </c>
      <c r="O14" s="38" t="s">
        <v>31</v>
      </c>
      <c r="P14" s="8"/>
      <c r="Q14" s="9"/>
      <c r="R14" s="9"/>
      <c r="S14" s="39">
        <v>2</v>
      </c>
      <c r="T14" s="14">
        <f t="shared" si="10"/>
        <v>2</v>
      </c>
      <c r="U14" s="9"/>
      <c r="V14" s="9"/>
      <c r="W14" s="9"/>
      <c r="X14" s="39">
        <v>2</v>
      </c>
      <c r="Y14" s="14">
        <f t="shared" si="11"/>
        <v>2</v>
      </c>
      <c r="Z14" s="14">
        <f t="shared" si="12"/>
        <v>4</v>
      </c>
      <c r="AA14" s="7">
        <v>44967</v>
      </c>
    </row>
    <row r="15" spans="1:27" x14ac:dyDescent="0.15">
      <c r="A15" s="61" t="s">
        <v>38</v>
      </c>
      <c r="B15" s="62">
        <v>-1</v>
      </c>
      <c r="C15" s="63">
        <v>-1</v>
      </c>
      <c r="D15" s="63"/>
      <c r="E15" s="64"/>
      <c r="F15" s="65">
        <f t="shared" si="13"/>
        <v>-2</v>
      </c>
      <c r="G15" s="63"/>
      <c r="H15" s="63"/>
      <c r="I15" s="63"/>
      <c r="J15" s="64"/>
      <c r="K15" s="65">
        <f t="shared" si="14"/>
        <v>0</v>
      </c>
      <c r="L15" s="65">
        <f t="shared" si="2"/>
        <v>-2</v>
      </c>
      <c r="M15" s="7">
        <v>45002</v>
      </c>
      <c r="O15" s="38" t="s">
        <v>33</v>
      </c>
      <c r="P15" s="8">
        <v>6</v>
      </c>
      <c r="Q15" s="9">
        <v>6</v>
      </c>
      <c r="R15" s="9">
        <v>4</v>
      </c>
      <c r="S15" s="39">
        <v>4</v>
      </c>
      <c r="T15" s="14">
        <f t="shared" ref="T15:T38" si="15">SUM(P15:S15)</f>
        <v>20</v>
      </c>
      <c r="U15" s="9"/>
      <c r="V15" s="9"/>
      <c r="W15" s="9"/>
      <c r="X15" s="39"/>
      <c r="Y15" s="14">
        <f t="shared" ref="Y15:Y38" si="16">SUM(U15:X15)</f>
        <v>0</v>
      </c>
      <c r="Z15" s="14">
        <f t="shared" si="9"/>
        <v>20</v>
      </c>
      <c r="AA15" s="7">
        <v>44995</v>
      </c>
    </row>
    <row r="16" spans="1:27" x14ac:dyDescent="0.15">
      <c r="A16" s="61" t="s">
        <v>35</v>
      </c>
      <c r="B16" s="62"/>
      <c r="C16" s="63"/>
      <c r="D16" s="63"/>
      <c r="E16" s="64"/>
      <c r="F16" s="65">
        <f t="shared" si="13"/>
        <v>0</v>
      </c>
      <c r="G16" s="63"/>
      <c r="H16" s="63">
        <v>1</v>
      </c>
      <c r="I16" s="63"/>
      <c r="J16" s="64"/>
      <c r="K16" s="65">
        <f t="shared" si="14"/>
        <v>1</v>
      </c>
      <c r="L16" s="65">
        <f t="shared" si="2"/>
        <v>1</v>
      </c>
      <c r="M16" s="7">
        <v>45007</v>
      </c>
      <c r="O16" s="38" t="s">
        <v>34</v>
      </c>
      <c r="P16" s="8">
        <v>16</v>
      </c>
      <c r="Q16" s="9">
        <v>16</v>
      </c>
      <c r="R16" s="9">
        <v>8</v>
      </c>
      <c r="S16" s="39">
        <v>8</v>
      </c>
      <c r="T16" s="14">
        <f t="shared" ref="T16:T17" si="17">SUM(P16:S16)</f>
        <v>48</v>
      </c>
      <c r="U16" s="9"/>
      <c r="V16" s="9"/>
      <c r="W16" s="9"/>
      <c r="X16" s="39"/>
      <c r="Y16" s="14">
        <f t="shared" ref="Y16:Y17" si="18">SUM(U16:X16)</f>
        <v>0</v>
      </c>
      <c r="Z16" s="14">
        <f t="shared" ref="Z16:Z17" si="19">T16+Y16</f>
        <v>48</v>
      </c>
      <c r="AA16" s="7">
        <v>45009</v>
      </c>
    </row>
    <row r="17" spans="1:27" x14ac:dyDescent="0.15">
      <c r="A17" s="61" t="s">
        <v>35</v>
      </c>
      <c r="B17" s="62"/>
      <c r="C17" s="63"/>
      <c r="D17" s="63">
        <v>1</v>
      </c>
      <c r="E17" s="64"/>
      <c r="F17" s="65">
        <f t="shared" si="13"/>
        <v>1</v>
      </c>
      <c r="G17" s="63"/>
      <c r="H17" s="63"/>
      <c r="I17" s="63">
        <v>1</v>
      </c>
      <c r="J17" s="64"/>
      <c r="K17" s="65">
        <f t="shared" si="14"/>
        <v>1</v>
      </c>
      <c r="L17" s="65">
        <f t="shared" si="2"/>
        <v>2</v>
      </c>
      <c r="M17" s="7">
        <v>45012</v>
      </c>
      <c r="O17" s="38" t="s">
        <v>31</v>
      </c>
      <c r="P17" s="8">
        <v>3</v>
      </c>
      <c r="Q17" s="9">
        <v>5</v>
      </c>
      <c r="R17" s="9"/>
      <c r="S17" s="39">
        <v>3</v>
      </c>
      <c r="T17" s="14">
        <f t="shared" si="17"/>
        <v>11</v>
      </c>
      <c r="U17" s="9">
        <v>3</v>
      </c>
      <c r="V17" s="9"/>
      <c r="W17" s="9">
        <v>5</v>
      </c>
      <c r="X17" s="39">
        <v>3</v>
      </c>
      <c r="Y17" s="14">
        <f t="shared" si="18"/>
        <v>11</v>
      </c>
      <c r="Z17" s="14">
        <f t="shared" si="19"/>
        <v>22</v>
      </c>
      <c r="AA17" s="7">
        <v>44993</v>
      </c>
    </row>
    <row r="18" spans="1:27" x14ac:dyDescent="0.15">
      <c r="A18" s="61" t="s">
        <v>35</v>
      </c>
      <c r="B18" s="62">
        <v>1</v>
      </c>
      <c r="C18" s="63">
        <v>1</v>
      </c>
      <c r="D18" s="63"/>
      <c r="E18" s="64"/>
      <c r="F18" s="65">
        <f t="shared" si="13"/>
        <v>2</v>
      </c>
      <c r="G18" s="63"/>
      <c r="H18" s="63"/>
      <c r="I18" s="63"/>
      <c r="J18" s="64"/>
      <c r="K18" s="65">
        <f t="shared" si="14"/>
        <v>0</v>
      </c>
      <c r="L18" s="65">
        <f t="shared" si="2"/>
        <v>2</v>
      </c>
      <c r="M18" s="7">
        <v>45013</v>
      </c>
      <c r="O18" s="38" t="s">
        <v>39</v>
      </c>
      <c r="P18" s="8">
        <v>2</v>
      </c>
      <c r="Q18" s="9"/>
      <c r="R18" s="9">
        <v>1</v>
      </c>
      <c r="S18" s="39">
        <v>1</v>
      </c>
      <c r="T18" s="14">
        <f t="shared" si="15"/>
        <v>4</v>
      </c>
      <c r="U18" s="9"/>
      <c r="V18" s="9"/>
      <c r="W18" s="9"/>
      <c r="X18" s="39"/>
      <c r="Y18" s="14">
        <f t="shared" si="16"/>
        <v>0</v>
      </c>
      <c r="Z18" s="14">
        <f t="shared" si="9"/>
        <v>4</v>
      </c>
      <c r="AA18" s="7">
        <v>45023</v>
      </c>
    </row>
    <row r="19" spans="1:27" x14ac:dyDescent="0.15">
      <c r="A19" s="61" t="s">
        <v>35</v>
      </c>
      <c r="B19" s="62"/>
      <c r="C19" s="63"/>
      <c r="D19" s="63"/>
      <c r="E19" s="64"/>
      <c r="F19" s="65">
        <f t="shared" si="13"/>
        <v>0</v>
      </c>
      <c r="G19" s="63"/>
      <c r="H19" s="63">
        <v>1</v>
      </c>
      <c r="I19" s="63"/>
      <c r="J19" s="64"/>
      <c r="K19" s="65">
        <f t="shared" si="14"/>
        <v>1</v>
      </c>
      <c r="L19" s="65">
        <f t="shared" si="2"/>
        <v>1</v>
      </c>
      <c r="M19" s="7">
        <v>45019</v>
      </c>
      <c r="O19" s="38" t="s">
        <v>31</v>
      </c>
      <c r="P19" s="8"/>
      <c r="Q19" s="9"/>
      <c r="R19" s="9">
        <v>3</v>
      </c>
      <c r="S19" s="39"/>
      <c r="T19" s="14">
        <f t="shared" si="15"/>
        <v>3</v>
      </c>
      <c r="U19" s="9"/>
      <c r="V19" s="9">
        <v>5</v>
      </c>
      <c r="W19" s="9"/>
      <c r="X19" s="39"/>
      <c r="Y19" s="14">
        <f t="shared" si="16"/>
        <v>5</v>
      </c>
      <c r="Z19" s="14">
        <f t="shared" si="9"/>
        <v>8</v>
      </c>
      <c r="AA19" s="7">
        <v>45021</v>
      </c>
    </row>
    <row r="20" spans="1:27" x14ac:dyDescent="0.15">
      <c r="A20" s="61" t="s">
        <v>35</v>
      </c>
      <c r="B20" s="78"/>
      <c r="C20" s="79"/>
      <c r="D20" s="79"/>
      <c r="E20" s="80"/>
      <c r="F20" s="65">
        <f t="shared" si="13"/>
        <v>0</v>
      </c>
      <c r="G20" s="79"/>
      <c r="H20" s="79">
        <v>1</v>
      </c>
      <c r="I20" s="79"/>
      <c r="J20" s="80"/>
      <c r="K20" s="65">
        <f t="shared" si="14"/>
        <v>1</v>
      </c>
      <c r="L20" s="65">
        <f t="shared" si="2"/>
        <v>1</v>
      </c>
      <c r="M20" s="7">
        <v>45020</v>
      </c>
      <c r="O20" s="38" t="s">
        <v>41</v>
      </c>
      <c r="P20" s="15">
        <v>1</v>
      </c>
      <c r="Q20" s="16"/>
      <c r="R20" s="16"/>
      <c r="S20" s="58"/>
      <c r="T20" s="14">
        <f t="shared" si="15"/>
        <v>1</v>
      </c>
      <c r="U20" s="16"/>
      <c r="V20" s="16"/>
      <c r="W20" s="16"/>
      <c r="X20" s="58"/>
      <c r="Y20" s="14">
        <f t="shared" si="16"/>
        <v>0</v>
      </c>
      <c r="Z20" s="14">
        <f t="shared" si="9"/>
        <v>1</v>
      </c>
      <c r="AA20" s="7">
        <v>45030</v>
      </c>
    </row>
    <row r="21" spans="1:27" x14ac:dyDescent="0.15">
      <c r="A21" s="33" t="s">
        <v>40</v>
      </c>
      <c r="B21" s="8"/>
      <c r="C21" s="9"/>
      <c r="D21" s="9">
        <v>-3</v>
      </c>
      <c r="E21" s="39"/>
      <c r="F21" s="14">
        <f t="shared" si="13"/>
        <v>-3</v>
      </c>
      <c r="G21" s="9"/>
      <c r="H21" s="9">
        <v>-5</v>
      </c>
      <c r="I21" s="9"/>
      <c r="J21" s="39"/>
      <c r="K21" s="14">
        <f t="shared" si="14"/>
        <v>-5</v>
      </c>
      <c r="L21" s="14">
        <f t="shared" si="2"/>
        <v>-8</v>
      </c>
      <c r="M21" s="7">
        <v>45021</v>
      </c>
      <c r="O21" s="38" t="s">
        <v>43</v>
      </c>
      <c r="P21" s="8"/>
      <c r="Q21" s="9"/>
      <c r="R21" s="9">
        <v>2</v>
      </c>
      <c r="S21" s="39"/>
      <c r="T21" s="14">
        <f t="shared" si="15"/>
        <v>2</v>
      </c>
      <c r="U21" s="9"/>
      <c r="V21" s="9"/>
      <c r="W21" s="9"/>
      <c r="X21" s="39"/>
      <c r="Y21" s="14">
        <f t="shared" si="16"/>
        <v>0</v>
      </c>
      <c r="Z21" s="14">
        <f t="shared" si="9"/>
        <v>2</v>
      </c>
      <c r="AA21" s="7">
        <v>45037</v>
      </c>
    </row>
    <row r="22" spans="1:27" x14ac:dyDescent="0.15">
      <c r="A22" s="61" t="s">
        <v>35</v>
      </c>
      <c r="B22" s="62"/>
      <c r="C22" s="63">
        <v>1</v>
      </c>
      <c r="D22" s="63"/>
      <c r="E22" s="64"/>
      <c r="F22" s="65">
        <f t="shared" si="13"/>
        <v>1</v>
      </c>
      <c r="G22" s="63"/>
      <c r="H22" s="63"/>
      <c r="I22" s="63"/>
      <c r="J22" s="64"/>
      <c r="K22" s="65">
        <f t="shared" si="14"/>
        <v>0</v>
      </c>
      <c r="L22" s="65">
        <f t="shared" si="2"/>
        <v>1</v>
      </c>
      <c r="M22" s="7">
        <v>45021</v>
      </c>
      <c r="O22" s="38" t="s">
        <v>31</v>
      </c>
      <c r="P22" s="8"/>
      <c r="Q22" s="9">
        <v>5</v>
      </c>
      <c r="R22" s="9"/>
      <c r="S22" s="39"/>
      <c r="T22" s="14">
        <f t="shared" si="15"/>
        <v>5</v>
      </c>
      <c r="U22" s="9"/>
      <c r="V22" s="9"/>
      <c r="W22" s="9">
        <v>5</v>
      </c>
      <c r="X22" s="39"/>
      <c r="Y22" s="14">
        <f t="shared" si="16"/>
        <v>5</v>
      </c>
      <c r="Z22" s="14">
        <f t="shared" si="9"/>
        <v>10</v>
      </c>
      <c r="AA22" s="7">
        <v>45041</v>
      </c>
    </row>
    <row r="23" spans="1:27" x14ac:dyDescent="0.15">
      <c r="A23" s="61" t="s">
        <v>35</v>
      </c>
      <c r="B23" s="62"/>
      <c r="C23" s="63"/>
      <c r="D23" s="63"/>
      <c r="E23" s="64"/>
      <c r="F23" s="65">
        <f t="shared" si="13"/>
        <v>0</v>
      </c>
      <c r="G23" s="63"/>
      <c r="H23" s="63"/>
      <c r="I23" s="63">
        <v>1</v>
      </c>
      <c r="J23" s="64"/>
      <c r="K23" s="65">
        <f t="shared" si="14"/>
        <v>1</v>
      </c>
      <c r="L23" s="65">
        <f t="shared" si="2"/>
        <v>1</v>
      </c>
      <c r="M23" s="7">
        <v>45026</v>
      </c>
      <c r="O23" s="38" t="s">
        <v>44</v>
      </c>
      <c r="P23" s="8"/>
      <c r="Q23" s="9">
        <f>1+1</f>
        <v>2</v>
      </c>
      <c r="R23" s="9">
        <v>3</v>
      </c>
      <c r="S23" s="39">
        <f>3+1</f>
        <v>4</v>
      </c>
      <c r="T23" s="14">
        <f t="shared" si="15"/>
        <v>9</v>
      </c>
      <c r="U23" s="9"/>
      <c r="V23" s="9"/>
      <c r="W23" s="9"/>
      <c r="X23" s="39"/>
      <c r="Y23" s="14">
        <f t="shared" si="16"/>
        <v>0</v>
      </c>
      <c r="Z23" s="14">
        <f t="shared" si="9"/>
        <v>9</v>
      </c>
      <c r="AA23" s="7">
        <v>45044</v>
      </c>
    </row>
    <row r="24" spans="1:27" x14ac:dyDescent="0.15">
      <c r="A24" s="61" t="s">
        <v>35</v>
      </c>
      <c r="B24" s="62"/>
      <c r="C24" s="63"/>
      <c r="D24" s="63">
        <v>1</v>
      </c>
      <c r="E24" s="64"/>
      <c r="F24" s="65">
        <f t="shared" si="13"/>
        <v>1</v>
      </c>
      <c r="G24" s="63"/>
      <c r="H24" s="63"/>
      <c r="I24" s="63"/>
      <c r="J24" s="64"/>
      <c r="K24" s="65">
        <f t="shared" si="14"/>
        <v>0</v>
      </c>
      <c r="L24" s="65">
        <f t="shared" si="2"/>
        <v>1</v>
      </c>
      <c r="M24" s="7">
        <v>45027</v>
      </c>
      <c r="O24" s="33" t="s">
        <v>45</v>
      </c>
      <c r="P24" s="8">
        <v>5</v>
      </c>
      <c r="Q24" s="9"/>
      <c r="R24" s="9"/>
      <c r="S24" s="39"/>
      <c r="T24" s="14">
        <f t="shared" si="15"/>
        <v>5</v>
      </c>
      <c r="U24" s="9"/>
      <c r="V24" s="9"/>
      <c r="W24" s="9"/>
      <c r="X24" s="39"/>
      <c r="Y24" s="14">
        <f t="shared" si="16"/>
        <v>0</v>
      </c>
      <c r="Z24" s="14">
        <f t="shared" si="9"/>
        <v>5</v>
      </c>
      <c r="AA24" s="7">
        <v>45047</v>
      </c>
    </row>
    <row r="25" spans="1:27" x14ac:dyDescent="0.15">
      <c r="A25" s="61" t="s">
        <v>35</v>
      </c>
      <c r="B25" s="62"/>
      <c r="C25" s="63">
        <v>1</v>
      </c>
      <c r="D25" s="63"/>
      <c r="E25" s="64"/>
      <c r="F25" s="65">
        <f t="shared" si="13"/>
        <v>1</v>
      </c>
      <c r="G25" s="63"/>
      <c r="H25" s="63"/>
      <c r="I25" s="63"/>
      <c r="J25" s="64"/>
      <c r="K25" s="65">
        <f t="shared" si="14"/>
        <v>0</v>
      </c>
      <c r="L25" s="65">
        <f t="shared" si="2"/>
        <v>1</v>
      </c>
      <c r="M25" s="7">
        <v>45028</v>
      </c>
      <c r="O25" s="38" t="s">
        <v>46</v>
      </c>
      <c r="P25" s="8">
        <v>4</v>
      </c>
      <c r="Q25" s="9">
        <v>1</v>
      </c>
      <c r="R25" s="9">
        <v>3</v>
      </c>
      <c r="S25" s="39">
        <v>3</v>
      </c>
      <c r="T25" s="14">
        <f t="shared" si="15"/>
        <v>11</v>
      </c>
      <c r="U25" s="9"/>
      <c r="V25" s="9"/>
      <c r="W25" s="9"/>
      <c r="X25" s="39"/>
      <c r="Y25" s="14">
        <f t="shared" si="16"/>
        <v>0</v>
      </c>
      <c r="Z25" s="14">
        <f t="shared" si="9"/>
        <v>11</v>
      </c>
      <c r="AA25" s="7">
        <v>45056</v>
      </c>
    </row>
    <row r="26" spans="1:27" x14ac:dyDescent="0.15">
      <c r="A26" s="61" t="s">
        <v>35</v>
      </c>
      <c r="B26" s="62"/>
      <c r="C26" s="63">
        <v>1</v>
      </c>
      <c r="D26" s="63"/>
      <c r="E26" s="64"/>
      <c r="F26" s="65">
        <f t="shared" si="13"/>
        <v>1</v>
      </c>
      <c r="G26" s="63"/>
      <c r="H26" s="63"/>
      <c r="I26" s="63"/>
      <c r="J26" s="64"/>
      <c r="K26" s="65">
        <f t="shared" si="14"/>
        <v>0</v>
      </c>
      <c r="L26" s="65">
        <f t="shared" si="2"/>
        <v>1</v>
      </c>
      <c r="M26" s="7">
        <v>45031</v>
      </c>
      <c r="O26" s="33" t="s">
        <v>47</v>
      </c>
      <c r="P26" s="8"/>
      <c r="Q26" s="9"/>
      <c r="R26" s="9"/>
      <c r="S26" s="39">
        <v>5</v>
      </c>
      <c r="T26" s="14">
        <f t="shared" si="15"/>
        <v>5</v>
      </c>
      <c r="U26" s="9"/>
      <c r="V26" s="9"/>
      <c r="W26" s="9"/>
      <c r="X26" s="39"/>
      <c r="Y26" s="14">
        <f t="shared" si="16"/>
        <v>0</v>
      </c>
      <c r="Z26" s="14">
        <f t="shared" si="9"/>
        <v>5</v>
      </c>
      <c r="AA26" s="7">
        <v>45057</v>
      </c>
    </row>
    <row r="27" spans="1:27" x14ac:dyDescent="0.15">
      <c r="A27" s="61" t="s">
        <v>35</v>
      </c>
      <c r="B27" s="62"/>
      <c r="C27" s="63"/>
      <c r="D27" s="63"/>
      <c r="E27" s="64"/>
      <c r="F27" s="65">
        <f t="shared" si="13"/>
        <v>0</v>
      </c>
      <c r="G27" s="63"/>
      <c r="H27" s="63">
        <v>1</v>
      </c>
      <c r="I27" s="63">
        <v>1</v>
      </c>
      <c r="J27" s="64"/>
      <c r="K27" s="65">
        <f t="shared" si="14"/>
        <v>2</v>
      </c>
      <c r="L27" s="65">
        <f t="shared" si="2"/>
        <v>2</v>
      </c>
      <c r="M27" s="7">
        <v>45033</v>
      </c>
      <c r="O27" s="38" t="s">
        <v>48</v>
      </c>
      <c r="P27" s="8">
        <v>3</v>
      </c>
      <c r="Q27" s="9">
        <v>4</v>
      </c>
      <c r="R27" s="9"/>
      <c r="S27" s="39">
        <v>3</v>
      </c>
      <c r="T27" s="14">
        <f t="shared" si="15"/>
        <v>10</v>
      </c>
      <c r="U27" s="9"/>
      <c r="V27" s="9"/>
      <c r="W27" s="9"/>
      <c r="X27" s="39"/>
      <c r="Y27" s="14">
        <f t="shared" si="16"/>
        <v>0</v>
      </c>
      <c r="Z27" s="14">
        <f t="shared" si="9"/>
        <v>10</v>
      </c>
      <c r="AA27" s="7">
        <v>45058</v>
      </c>
    </row>
    <row r="28" spans="1:27" x14ac:dyDescent="0.15">
      <c r="A28" s="61" t="s">
        <v>42</v>
      </c>
      <c r="B28" s="62"/>
      <c r="C28" s="63"/>
      <c r="D28" s="63">
        <v>-1</v>
      </c>
      <c r="E28" s="64">
        <v>1</v>
      </c>
      <c r="F28" s="65">
        <f t="shared" si="13"/>
        <v>0</v>
      </c>
      <c r="G28" s="63"/>
      <c r="H28" s="63"/>
      <c r="I28" s="63"/>
      <c r="J28" s="64"/>
      <c r="K28" s="65">
        <f t="shared" si="14"/>
        <v>0</v>
      </c>
      <c r="L28" s="65">
        <f t="shared" si="2"/>
        <v>0</v>
      </c>
      <c r="M28" s="7">
        <v>45033</v>
      </c>
      <c r="O28" s="38" t="s">
        <v>52</v>
      </c>
      <c r="P28" s="8"/>
      <c r="Q28" s="9">
        <v>6</v>
      </c>
      <c r="R28" s="9"/>
      <c r="S28" s="39"/>
      <c r="T28" s="14">
        <f t="shared" si="15"/>
        <v>6</v>
      </c>
      <c r="U28" s="9"/>
      <c r="V28" s="9"/>
      <c r="W28" s="9"/>
      <c r="X28" s="39"/>
      <c r="Y28" s="14">
        <f t="shared" si="16"/>
        <v>0</v>
      </c>
      <c r="Z28" s="14">
        <f t="shared" si="9"/>
        <v>6</v>
      </c>
      <c r="AA28" s="7">
        <v>45065</v>
      </c>
    </row>
    <row r="29" spans="1:27" x14ac:dyDescent="0.15">
      <c r="A29" s="61" t="s">
        <v>35</v>
      </c>
      <c r="B29" s="62"/>
      <c r="C29" s="63">
        <v>1</v>
      </c>
      <c r="D29" s="63"/>
      <c r="E29" s="64"/>
      <c r="F29" s="65">
        <f t="shared" si="13"/>
        <v>1</v>
      </c>
      <c r="G29" s="63"/>
      <c r="H29" s="63">
        <v>1</v>
      </c>
      <c r="I29" s="63"/>
      <c r="J29" s="64"/>
      <c r="K29" s="65">
        <f t="shared" si="14"/>
        <v>1</v>
      </c>
      <c r="L29" s="65">
        <f t="shared" si="2"/>
        <v>2</v>
      </c>
      <c r="M29" s="7">
        <v>45034</v>
      </c>
      <c r="O29" s="38" t="s">
        <v>31</v>
      </c>
      <c r="P29" s="8"/>
      <c r="Q29" s="9">
        <v>2</v>
      </c>
      <c r="R29" s="9">
        <v>2</v>
      </c>
      <c r="S29" s="39">
        <v>2</v>
      </c>
      <c r="T29" s="14">
        <f t="shared" si="15"/>
        <v>6</v>
      </c>
      <c r="U29" s="9">
        <v>2</v>
      </c>
      <c r="V29" s="9">
        <v>2</v>
      </c>
      <c r="W29" s="9">
        <v>2</v>
      </c>
      <c r="X29" s="39">
        <v>2</v>
      </c>
      <c r="Y29" s="14">
        <f t="shared" si="16"/>
        <v>8</v>
      </c>
      <c r="Z29" s="14">
        <f t="shared" si="9"/>
        <v>14</v>
      </c>
      <c r="AA29" s="7">
        <v>45064</v>
      </c>
    </row>
    <row r="30" spans="1:27" x14ac:dyDescent="0.15">
      <c r="A30" s="61" t="s">
        <v>35</v>
      </c>
      <c r="B30" s="62"/>
      <c r="C30" s="63">
        <v>1</v>
      </c>
      <c r="D30" s="63"/>
      <c r="E30" s="64"/>
      <c r="F30" s="65">
        <f t="shared" si="13"/>
        <v>1</v>
      </c>
      <c r="G30" s="63"/>
      <c r="H30" s="63"/>
      <c r="I30" s="63">
        <v>1</v>
      </c>
      <c r="J30" s="64"/>
      <c r="K30" s="65">
        <f t="shared" si="14"/>
        <v>1</v>
      </c>
      <c r="L30" s="65">
        <f t="shared" si="2"/>
        <v>2</v>
      </c>
      <c r="M30" s="7">
        <v>45037</v>
      </c>
      <c r="O30" s="33" t="s">
        <v>56</v>
      </c>
      <c r="P30" s="8"/>
      <c r="Q30" s="9">
        <v>4</v>
      </c>
      <c r="R30" s="9"/>
      <c r="S30" s="39">
        <v>4</v>
      </c>
      <c r="T30" s="14">
        <f t="shared" si="15"/>
        <v>8</v>
      </c>
      <c r="U30" s="9"/>
      <c r="V30" s="9"/>
      <c r="W30" s="9"/>
      <c r="X30" s="39"/>
      <c r="Y30" s="14">
        <f t="shared" si="16"/>
        <v>0</v>
      </c>
      <c r="Z30" s="14">
        <f t="shared" si="9"/>
        <v>8</v>
      </c>
      <c r="AA30" s="7">
        <v>45075</v>
      </c>
    </row>
    <row r="31" spans="1:27" x14ac:dyDescent="0.15">
      <c r="A31" s="61" t="s">
        <v>35</v>
      </c>
      <c r="B31" s="62"/>
      <c r="C31" s="63"/>
      <c r="D31" s="63"/>
      <c r="E31" s="64"/>
      <c r="F31" s="65">
        <f t="shared" si="13"/>
        <v>0</v>
      </c>
      <c r="G31" s="63"/>
      <c r="H31" s="63"/>
      <c r="I31" s="63">
        <f>1+1</f>
        <v>2</v>
      </c>
      <c r="J31" s="64">
        <v>1</v>
      </c>
      <c r="K31" s="65">
        <f t="shared" si="14"/>
        <v>3</v>
      </c>
      <c r="L31" s="65">
        <f t="shared" si="2"/>
        <v>3</v>
      </c>
      <c r="M31" s="7">
        <v>45040</v>
      </c>
      <c r="O31" s="38" t="s">
        <v>60</v>
      </c>
      <c r="P31" s="8"/>
      <c r="Q31" s="9">
        <v>1</v>
      </c>
      <c r="R31" s="9"/>
      <c r="S31" s="39"/>
      <c r="T31" s="14">
        <f t="shared" si="15"/>
        <v>1</v>
      </c>
      <c r="U31" s="9"/>
      <c r="V31" s="9"/>
      <c r="W31" s="9"/>
      <c r="X31" s="39"/>
      <c r="Y31" s="14">
        <f t="shared" si="16"/>
        <v>0</v>
      </c>
      <c r="Z31" s="14">
        <f t="shared" si="9"/>
        <v>1</v>
      </c>
      <c r="AA31" s="7">
        <v>45072</v>
      </c>
    </row>
    <row r="32" spans="1:27" x14ac:dyDescent="0.15">
      <c r="A32" s="33" t="s">
        <v>40</v>
      </c>
      <c r="B32" s="8"/>
      <c r="C32" s="9">
        <v>-5</v>
      </c>
      <c r="D32" s="9"/>
      <c r="E32" s="39"/>
      <c r="F32" s="14">
        <f t="shared" ref="F32:F35" si="20">SUM(B32:E32)</f>
        <v>-5</v>
      </c>
      <c r="G32" s="9"/>
      <c r="H32" s="9"/>
      <c r="I32" s="9">
        <v>-5</v>
      </c>
      <c r="J32" s="39"/>
      <c r="K32" s="14">
        <f t="shared" ref="K32:K35" si="21">SUM(G32:J32)</f>
        <v>-5</v>
      </c>
      <c r="L32" s="14">
        <f t="shared" ref="L32:L35" si="22">F32+K32</f>
        <v>-10</v>
      </c>
      <c r="M32" s="7">
        <v>45041</v>
      </c>
      <c r="O32" s="35"/>
      <c r="P32" s="8"/>
      <c r="Q32" s="9"/>
      <c r="R32" s="9"/>
      <c r="S32" s="39"/>
      <c r="T32" s="14">
        <f t="shared" si="15"/>
        <v>0</v>
      </c>
      <c r="U32" s="9"/>
      <c r="V32" s="9"/>
      <c r="W32" s="9"/>
      <c r="X32" s="39"/>
      <c r="Y32" s="14">
        <f t="shared" si="16"/>
        <v>0</v>
      </c>
      <c r="Z32" s="14">
        <f t="shared" si="9"/>
        <v>0</v>
      </c>
    </row>
    <row r="33" spans="1:27" x14ac:dyDescent="0.15">
      <c r="A33" s="61" t="s">
        <v>35</v>
      </c>
      <c r="B33" s="62"/>
      <c r="C33" s="63"/>
      <c r="D33" s="63">
        <v>1</v>
      </c>
      <c r="E33" s="64"/>
      <c r="F33" s="65">
        <f t="shared" si="20"/>
        <v>1</v>
      </c>
      <c r="G33" s="63"/>
      <c r="H33" s="63"/>
      <c r="I33" s="63"/>
      <c r="J33" s="64"/>
      <c r="K33" s="65">
        <f t="shared" si="21"/>
        <v>0</v>
      </c>
      <c r="L33" s="65">
        <f t="shared" si="22"/>
        <v>1</v>
      </c>
      <c r="M33" s="7">
        <v>45041</v>
      </c>
      <c r="O33" s="35"/>
      <c r="P33" s="8"/>
      <c r="Q33" s="9"/>
      <c r="R33" s="9"/>
      <c r="S33" s="39"/>
      <c r="T33" s="14">
        <f t="shared" si="15"/>
        <v>0</v>
      </c>
      <c r="U33" s="9"/>
      <c r="V33" s="9"/>
      <c r="W33" s="9"/>
      <c r="X33" s="39"/>
      <c r="Y33" s="14">
        <f t="shared" si="16"/>
        <v>0</v>
      </c>
      <c r="Z33" s="14">
        <f t="shared" si="9"/>
        <v>0</v>
      </c>
    </row>
    <row r="34" spans="1:27" x14ac:dyDescent="0.15">
      <c r="A34" s="61" t="s">
        <v>35</v>
      </c>
      <c r="B34" s="62">
        <v>1</v>
      </c>
      <c r="C34" s="63"/>
      <c r="D34" s="63"/>
      <c r="E34" s="64"/>
      <c r="F34" s="65">
        <f t="shared" si="20"/>
        <v>1</v>
      </c>
      <c r="G34" s="63">
        <v>1</v>
      </c>
      <c r="H34" s="63"/>
      <c r="I34" s="63"/>
      <c r="J34" s="64"/>
      <c r="K34" s="65">
        <f t="shared" si="21"/>
        <v>1</v>
      </c>
      <c r="L34" s="65">
        <f t="shared" si="22"/>
        <v>2</v>
      </c>
      <c r="M34" s="7">
        <v>45042</v>
      </c>
      <c r="O34" s="35"/>
      <c r="P34" s="8"/>
      <c r="Q34" s="9"/>
      <c r="R34" s="9"/>
      <c r="S34" s="39"/>
      <c r="T34" s="14">
        <f t="shared" si="15"/>
        <v>0</v>
      </c>
      <c r="U34" s="9"/>
      <c r="V34" s="9"/>
      <c r="W34" s="9"/>
      <c r="X34" s="39"/>
      <c r="Y34" s="14">
        <f t="shared" si="16"/>
        <v>0</v>
      </c>
      <c r="Z34" s="14">
        <f t="shared" si="9"/>
        <v>0</v>
      </c>
    </row>
    <row r="35" spans="1:27" x14ac:dyDescent="0.15">
      <c r="A35" s="61" t="s">
        <v>35</v>
      </c>
      <c r="B35" s="62"/>
      <c r="C35" s="63">
        <v>1</v>
      </c>
      <c r="D35" s="63"/>
      <c r="E35" s="64"/>
      <c r="F35" s="65">
        <f t="shared" si="20"/>
        <v>1</v>
      </c>
      <c r="G35" s="63"/>
      <c r="H35" s="63">
        <v>1</v>
      </c>
      <c r="I35" s="63">
        <v>1</v>
      </c>
      <c r="J35" s="64"/>
      <c r="K35" s="65">
        <f t="shared" si="21"/>
        <v>2</v>
      </c>
      <c r="L35" s="65">
        <f t="shared" si="22"/>
        <v>3</v>
      </c>
      <c r="M35" s="7">
        <v>45047</v>
      </c>
      <c r="O35" s="33"/>
      <c r="P35" s="8"/>
      <c r="Q35" s="9"/>
      <c r="R35" s="9"/>
      <c r="S35" s="39"/>
      <c r="T35" s="14">
        <f t="shared" si="15"/>
        <v>0</v>
      </c>
      <c r="U35" s="9"/>
      <c r="V35" s="9"/>
      <c r="W35" s="9"/>
      <c r="X35" s="39"/>
      <c r="Y35" s="14">
        <f t="shared" si="16"/>
        <v>0</v>
      </c>
      <c r="Z35" s="14">
        <f t="shared" si="9"/>
        <v>0</v>
      </c>
      <c r="AA35" s="34"/>
    </row>
    <row r="36" spans="1:27" ht="14.25" thickBot="1" x14ac:dyDescent="0.2">
      <c r="A36" s="61" t="s">
        <v>35</v>
      </c>
      <c r="B36" s="78"/>
      <c r="C36" s="79"/>
      <c r="D36" s="79">
        <v>1</v>
      </c>
      <c r="E36" s="80"/>
      <c r="F36" s="67">
        <f t="shared" si="13"/>
        <v>1</v>
      </c>
      <c r="G36" s="79"/>
      <c r="H36" s="79">
        <v>1</v>
      </c>
      <c r="I36" s="79"/>
      <c r="J36" s="80">
        <v>1</v>
      </c>
      <c r="K36" s="67">
        <f t="shared" si="14"/>
        <v>2</v>
      </c>
      <c r="L36" s="81">
        <f t="shared" si="2"/>
        <v>3</v>
      </c>
      <c r="M36" s="7">
        <v>45054</v>
      </c>
      <c r="O36" s="33"/>
      <c r="P36" s="8"/>
      <c r="Q36" s="9"/>
      <c r="R36" s="9"/>
      <c r="S36" s="39"/>
      <c r="T36" s="14">
        <f t="shared" ref="T36" si="23">SUM(P36:S36)</f>
        <v>0</v>
      </c>
      <c r="U36" s="9"/>
      <c r="V36" s="9"/>
      <c r="W36" s="9"/>
      <c r="X36" s="39"/>
      <c r="Y36" s="14">
        <f t="shared" ref="Y36" si="24">SUM(U36:X36)</f>
        <v>0</v>
      </c>
      <c r="Z36" s="14">
        <f t="shared" ref="Z36" si="25">T36+Y36</f>
        <v>0</v>
      </c>
      <c r="AA36" s="34"/>
    </row>
    <row r="37" spans="1:27" ht="14.25" thickBot="1" x14ac:dyDescent="0.2">
      <c r="A37" s="3" t="s">
        <v>7</v>
      </c>
      <c r="B37" s="17">
        <f t="shared" ref="B37:E37" si="26">SUM(B11:B36)</f>
        <v>1</v>
      </c>
      <c r="C37" s="18">
        <f t="shared" si="26"/>
        <v>2</v>
      </c>
      <c r="D37" s="18">
        <f t="shared" si="26"/>
        <v>1</v>
      </c>
      <c r="E37" s="40">
        <f t="shared" si="26"/>
        <v>2</v>
      </c>
      <c r="F37" s="11">
        <f t="shared" si="13"/>
        <v>6</v>
      </c>
      <c r="G37" s="17">
        <f t="shared" ref="G37:J37" si="27">SUM(G11:G36)</f>
        <v>1</v>
      </c>
      <c r="H37" s="18">
        <f t="shared" si="27"/>
        <v>3</v>
      </c>
      <c r="I37" s="18">
        <f t="shared" si="27"/>
        <v>3</v>
      </c>
      <c r="J37" s="40">
        <f t="shared" si="27"/>
        <v>2</v>
      </c>
      <c r="K37" s="11">
        <f t="shared" si="14"/>
        <v>9</v>
      </c>
      <c r="L37" s="11">
        <f t="shared" si="2"/>
        <v>15</v>
      </c>
      <c r="O37" s="3" t="s">
        <v>7</v>
      </c>
      <c r="P37" s="17">
        <f t="shared" ref="P37:S37" si="28">SUM(P11:P36)</f>
        <v>152</v>
      </c>
      <c r="Q37" s="18">
        <f t="shared" si="28"/>
        <v>198</v>
      </c>
      <c r="R37" s="18">
        <f t="shared" si="28"/>
        <v>112</v>
      </c>
      <c r="S37" s="40">
        <f t="shared" si="28"/>
        <v>132</v>
      </c>
      <c r="T37" s="11">
        <f t="shared" si="15"/>
        <v>594</v>
      </c>
      <c r="U37" s="17">
        <f t="shared" ref="U37:X37" si="29">SUM(U11:U36)</f>
        <v>7</v>
      </c>
      <c r="V37" s="18">
        <f t="shared" si="29"/>
        <v>11</v>
      </c>
      <c r="W37" s="18">
        <f t="shared" si="29"/>
        <v>14</v>
      </c>
      <c r="X37" s="40">
        <f t="shared" si="29"/>
        <v>7</v>
      </c>
      <c r="Y37" s="11">
        <f t="shared" si="16"/>
        <v>39</v>
      </c>
      <c r="Z37" s="11">
        <f t="shared" si="9"/>
        <v>633</v>
      </c>
    </row>
    <row r="38" spans="1:27" ht="14.25" thickBot="1" x14ac:dyDescent="0.2">
      <c r="A38" s="19" t="s">
        <v>8</v>
      </c>
      <c r="B38" s="20">
        <f t="shared" ref="B38:E38" si="30">B10-B37</f>
        <v>5</v>
      </c>
      <c r="C38" s="21">
        <f t="shared" si="30"/>
        <v>5</v>
      </c>
      <c r="D38" s="21">
        <f t="shared" si="30"/>
        <v>4</v>
      </c>
      <c r="E38" s="22">
        <f t="shared" si="30"/>
        <v>3</v>
      </c>
      <c r="F38" s="11">
        <f t="shared" si="13"/>
        <v>17</v>
      </c>
      <c r="G38" s="20">
        <f t="shared" ref="G38:J38" si="31">G10-G37</f>
        <v>4</v>
      </c>
      <c r="H38" s="21">
        <f t="shared" si="31"/>
        <v>2</v>
      </c>
      <c r="I38" s="21">
        <f t="shared" si="31"/>
        <v>4</v>
      </c>
      <c r="J38" s="51">
        <f t="shared" si="31"/>
        <v>4</v>
      </c>
      <c r="K38" s="11">
        <f t="shared" si="14"/>
        <v>14</v>
      </c>
      <c r="L38" s="53">
        <f t="shared" si="2"/>
        <v>31</v>
      </c>
      <c r="O38" s="19" t="s">
        <v>8</v>
      </c>
      <c r="P38" s="20">
        <f t="shared" ref="P38:S38" si="32">P10-P37</f>
        <v>0</v>
      </c>
      <c r="Q38" s="21">
        <f t="shared" si="32"/>
        <v>10</v>
      </c>
      <c r="R38" s="21">
        <f t="shared" si="32"/>
        <v>28</v>
      </c>
      <c r="S38" s="22">
        <f t="shared" si="32"/>
        <v>7</v>
      </c>
      <c r="T38" s="11">
        <f t="shared" si="15"/>
        <v>45</v>
      </c>
      <c r="U38" s="20">
        <f t="shared" ref="U38:X38" si="33">U10-U37</f>
        <v>71</v>
      </c>
      <c r="V38" s="21">
        <f t="shared" si="33"/>
        <v>88</v>
      </c>
      <c r="W38" s="21">
        <f t="shared" si="33"/>
        <v>45</v>
      </c>
      <c r="X38" s="51">
        <f t="shared" si="33"/>
        <v>51</v>
      </c>
      <c r="Y38" s="11">
        <f t="shared" si="16"/>
        <v>255</v>
      </c>
      <c r="Z38" s="53">
        <f t="shared" si="9"/>
        <v>300</v>
      </c>
    </row>
    <row r="41" spans="1:27" ht="19.5" thickBot="1" x14ac:dyDescent="0.25">
      <c r="A41" s="1" t="s">
        <v>19</v>
      </c>
      <c r="C41" s="164" t="s">
        <v>20</v>
      </c>
      <c r="D41" s="164"/>
      <c r="O41" s="1" t="s">
        <v>21</v>
      </c>
      <c r="S41" s="164" t="s">
        <v>20</v>
      </c>
      <c r="T41" s="164"/>
    </row>
    <row r="42" spans="1:27" ht="14.25" thickBot="1" x14ac:dyDescent="0.2">
      <c r="A42" s="3" t="s">
        <v>0</v>
      </c>
      <c r="B42" s="165" t="s">
        <v>15</v>
      </c>
      <c r="C42" s="166"/>
      <c r="D42" s="166"/>
      <c r="E42" s="166"/>
      <c r="F42" s="167"/>
      <c r="G42" s="168" t="s">
        <v>18</v>
      </c>
      <c r="H42" s="169"/>
      <c r="I42" s="169"/>
      <c r="J42" s="169"/>
      <c r="K42" s="170"/>
      <c r="L42" s="47"/>
      <c r="O42" s="3" t="s">
        <v>0</v>
      </c>
      <c r="P42" s="165" t="s">
        <v>15</v>
      </c>
      <c r="Q42" s="166"/>
      <c r="R42" s="166"/>
      <c r="S42" s="166"/>
      <c r="T42" s="167"/>
      <c r="U42" s="168" t="s">
        <v>18</v>
      </c>
      <c r="V42" s="169"/>
      <c r="W42" s="169"/>
      <c r="X42" s="169"/>
      <c r="Y42" s="170"/>
      <c r="Z42" s="47"/>
    </row>
    <row r="43" spans="1:27" ht="14.25" thickBot="1" x14ac:dyDescent="0.2">
      <c r="A43" s="3" t="s">
        <v>1</v>
      </c>
      <c r="B43" s="23" t="s">
        <v>11</v>
      </c>
      <c r="C43" s="24" t="s">
        <v>12</v>
      </c>
      <c r="D43" s="24" t="s">
        <v>13</v>
      </c>
      <c r="E43" s="25" t="s">
        <v>14</v>
      </c>
      <c r="F43" s="48" t="s">
        <v>16</v>
      </c>
      <c r="G43" s="23" t="s">
        <v>11</v>
      </c>
      <c r="H43" s="24" t="s">
        <v>12</v>
      </c>
      <c r="I43" s="24" t="s">
        <v>13</v>
      </c>
      <c r="J43" s="25" t="s">
        <v>14</v>
      </c>
      <c r="K43" s="48" t="s">
        <v>16</v>
      </c>
      <c r="L43" s="48" t="s">
        <v>17</v>
      </c>
      <c r="O43" s="3" t="s">
        <v>1</v>
      </c>
      <c r="P43" s="23" t="s">
        <v>11</v>
      </c>
      <c r="Q43" s="24" t="s">
        <v>12</v>
      </c>
      <c r="R43" s="24" t="s">
        <v>13</v>
      </c>
      <c r="S43" s="25" t="s">
        <v>14</v>
      </c>
      <c r="T43" s="48" t="s">
        <v>16</v>
      </c>
      <c r="U43" s="23" t="s">
        <v>11</v>
      </c>
      <c r="V43" s="24" t="s">
        <v>12</v>
      </c>
      <c r="W43" s="24" t="s">
        <v>13</v>
      </c>
      <c r="X43" s="25" t="s">
        <v>14</v>
      </c>
      <c r="Y43" s="48" t="s">
        <v>16</v>
      </c>
      <c r="Z43" s="48" t="s">
        <v>17</v>
      </c>
    </row>
    <row r="44" spans="1:27" x14ac:dyDescent="0.15">
      <c r="A44" s="54" t="s">
        <v>9</v>
      </c>
      <c r="B44" s="26">
        <f>B38</f>
        <v>5</v>
      </c>
      <c r="C44" s="27">
        <f>C38</f>
        <v>5</v>
      </c>
      <c r="D44" s="27">
        <f>D38</f>
        <v>4</v>
      </c>
      <c r="E44" s="42">
        <f>E38</f>
        <v>3</v>
      </c>
      <c r="F44" s="28">
        <f>SUM(B44:E44)</f>
        <v>17</v>
      </c>
      <c r="G44" s="26">
        <f>G38</f>
        <v>4</v>
      </c>
      <c r="H44" s="27">
        <f>H38</f>
        <v>2</v>
      </c>
      <c r="I44" s="27">
        <f>I38</f>
        <v>4</v>
      </c>
      <c r="J44" s="42">
        <f>J38</f>
        <v>4</v>
      </c>
      <c r="K44" s="52">
        <f>SUM(G44:J44)</f>
        <v>14</v>
      </c>
      <c r="L44" s="28">
        <f>F44+K44</f>
        <v>31</v>
      </c>
      <c r="O44" s="54" t="s">
        <v>9</v>
      </c>
      <c r="P44" s="26">
        <f>P38</f>
        <v>0</v>
      </c>
      <c r="Q44" s="27">
        <f>Q38</f>
        <v>10</v>
      </c>
      <c r="R44" s="27">
        <f>R38</f>
        <v>28</v>
      </c>
      <c r="S44" s="42">
        <f>S38</f>
        <v>7</v>
      </c>
      <c r="T44" s="28">
        <f>SUM(P44:S44)</f>
        <v>45</v>
      </c>
      <c r="U44" s="26">
        <f>U38</f>
        <v>71</v>
      </c>
      <c r="V44" s="27">
        <f>V38</f>
        <v>88</v>
      </c>
      <c r="W44" s="27">
        <f>W38</f>
        <v>45</v>
      </c>
      <c r="X44" s="42">
        <f>X38</f>
        <v>51</v>
      </c>
      <c r="Y44" s="52">
        <f>SUM(U44:X44)</f>
        <v>255</v>
      </c>
      <c r="Z44" s="28">
        <f>T44+Y44</f>
        <v>300</v>
      </c>
    </row>
    <row r="45" spans="1:27" x14ac:dyDescent="0.15">
      <c r="A45" s="66" t="s">
        <v>38</v>
      </c>
      <c r="B45" s="8"/>
      <c r="C45" s="29"/>
      <c r="D45" s="29">
        <v>2</v>
      </c>
      <c r="E45" s="43">
        <v>1</v>
      </c>
      <c r="F45" s="14">
        <f t="shared" ref="F45:F48" si="34">SUM(B45:E45)</f>
        <v>3</v>
      </c>
      <c r="G45" s="9"/>
      <c r="H45" s="29"/>
      <c r="I45" s="29"/>
      <c r="J45" s="43"/>
      <c r="K45" s="55">
        <f t="shared" ref="K45:K48" si="35">SUM(G45:J45)</f>
        <v>0</v>
      </c>
      <c r="L45" s="14">
        <f t="shared" ref="L45:L77" si="36">F45+K45</f>
        <v>3</v>
      </c>
      <c r="M45" s="7">
        <v>45044</v>
      </c>
      <c r="O45" s="82" t="s">
        <v>55</v>
      </c>
      <c r="P45" s="8">
        <v>1</v>
      </c>
      <c r="Q45" s="29"/>
      <c r="R45" s="29"/>
      <c r="S45" s="43"/>
      <c r="T45" s="14">
        <f t="shared" ref="T45:T48" si="37">SUM(P45:S45)</f>
        <v>1</v>
      </c>
      <c r="U45" s="9"/>
      <c r="V45" s="29"/>
      <c r="W45" s="29"/>
      <c r="X45" s="43"/>
      <c r="Y45" s="55">
        <f t="shared" ref="Y45:Y48" si="38">SUM(U45:X45)</f>
        <v>0</v>
      </c>
      <c r="Z45" s="14">
        <f t="shared" ref="Z45:Z77" si="39">T45+Y45</f>
        <v>1</v>
      </c>
      <c r="AA45" s="7">
        <v>45066</v>
      </c>
    </row>
    <row r="46" spans="1:27" x14ac:dyDescent="0.15">
      <c r="A46" s="82" t="s">
        <v>53</v>
      </c>
      <c r="B46" s="8">
        <v>1</v>
      </c>
      <c r="C46" s="29">
        <v>1</v>
      </c>
      <c r="D46" s="29">
        <v>1</v>
      </c>
      <c r="E46" s="43">
        <v>1</v>
      </c>
      <c r="F46" s="14">
        <f t="shared" si="34"/>
        <v>4</v>
      </c>
      <c r="G46" s="9"/>
      <c r="H46" s="29"/>
      <c r="I46" s="29"/>
      <c r="J46" s="43"/>
      <c r="K46" s="55">
        <f t="shared" si="35"/>
        <v>0</v>
      </c>
      <c r="L46" s="14">
        <f t="shared" si="36"/>
        <v>4</v>
      </c>
      <c r="M46" s="7" t="s">
        <v>67</v>
      </c>
      <c r="O46" s="82" t="s">
        <v>36</v>
      </c>
      <c r="P46" s="8">
        <v>150</v>
      </c>
      <c r="Q46" s="29">
        <v>200</v>
      </c>
      <c r="R46" s="29">
        <v>150</v>
      </c>
      <c r="S46" s="43">
        <v>100</v>
      </c>
      <c r="T46" s="14">
        <f t="shared" si="37"/>
        <v>600</v>
      </c>
      <c r="U46" s="9"/>
      <c r="V46" s="29"/>
      <c r="W46" s="29"/>
      <c r="X46" s="43"/>
      <c r="Y46" s="55">
        <f t="shared" si="38"/>
        <v>0</v>
      </c>
      <c r="Z46" s="14">
        <f t="shared" si="39"/>
        <v>600</v>
      </c>
      <c r="AA46" s="7" t="s">
        <v>66</v>
      </c>
    </row>
    <row r="47" spans="1:27" x14ac:dyDescent="0.15">
      <c r="A47" s="82" t="s">
        <v>4</v>
      </c>
      <c r="B47" s="8"/>
      <c r="C47" s="29">
        <v>2</v>
      </c>
      <c r="D47" s="29">
        <v>2</v>
      </c>
      <c r="E47" s="43">
        <v>2</v>
      </c>
      <c r="F47" s="14">
        <f t="shared" ref="F47" si="40">SUM(B47:E47)</f>
        <v>6</v>
      </c>
      <c r="G47" s="9">
        <v>2</v>
      </c>
      <c r="H47" s="29">
        <v>2</v>
      </c>
      <c r="I47" s="29">
        <v>2</v>
      </c>
      <c r="J47" s="43">
        <v>2</v>
      </c>
      <c r="K47" s="55">
        <f t="shared" ref="K47" si="41">SUM(G47:J47)</f>
        <v>8</v>
      </c>
      <c r="L47" s="14">
        <f t="shared" ref="L47" si="42">F47+K47</f>
        <v>14</v>
      </c>
      <c r="M47" s="7">
        <v>45064</v>
      </c>
      <c r="O47" s="82" t="s">
        <v>59</v>
      </c>
      <c r="P47" s="8">
        <v>-7</v>
      </c>
      <c r="Q47" s="29">
        <v>-10</v>
      </c>
      <c r="R47" s="29">
        <v>-6</v>
      </c>
      <c r="S47" s="43">
        <v>-4</v>
      </c>
      <c r="T47" s="14">
        <f t="shared" si="37"/>
        <v>-27</v>
      </c>
      <c r="U47" s="9"/>
      <c r="V47" s="29"/>
      <c r="W47" s="29"/>
      <c r="X47" s="43"/>
      <c r="Y47" s="55">
        <f t="shared" si="38"/>
        <v>0</v>
      </c>
      <c r="Z47" s="14">
        <f t="shared" si="39"/>
        <v>-27</v>
      </c>
      <c r="AA47" s="7">
        <v>45078</v>
      </c>
    </row>
    <row r="48" spans="1:27" ht="14.25" thickBot="1" x14ac:dyDescent="0.2">
      <c r="A48" s="82" t="s">
        <v>5</v>
      </c>
      <c r="B48" s="36">
        <v>5</v>
      </c>
      <c r="C48" s="37"/>
      <c r="D48" s="37"/>
      <c r="E48" s="44"/>
      <c r="F48" s="56">
        <f t="shared" si="34"/>
        <v>5</v>
      </c>
      <c r="G48" s="49"/>
      <c r="H48" s="37"/>
      <c r="I48" s="37"/>
      <c r="J48" s="44"/>
      <c r="K48" s="57">
        <f t="shared" si="35"/>
        <v>0</v>
      </c>
      <c r="L48" s="56">
        <f t="shared" si="36"/>
        <v>5</v>
      </c>
      <c r="M48" s="7">
        <v>45079</v>
      </c>
      <c r="O48" s="66" t="s">
        <v>5</v>
      </c>
      <c r="P48" s="36"/>
      <c r="Q48" s="37"/>
      <c r="R48" s="37"/>
      <c r="S48" s="44"/>
      <c r="T48" s="56">
        <f t="shared" si="37"/>
        <v>0</v>
      </c>
      <c r="U48" s="49"/>
      <c r="V48" s="37"/>
      <c r="W48" s="37"/>
      <c r="X48" s="44"/>
      <c r="Y48" s="57">
        <f t="shared" si="38"/>
        <v>0</v>
      </c>
      <c r="Z48" s="56">
        <f t="shared" si="39"/>
        <v>0</v>
      </c>
    </row>
    <row r="49" spans="1:27" ht="14.25" thickBot="1" x14ac:dyDescent="0.2">
      <c r="A49" s="2" t="s">
        <v>6</v>
      </c>
      <c r="B49" s="30">
        <f>SUM(B44:B48)</f>
        <v>11</v>
      </c>
      <c r="C49" s="31">
        <f>SUM(C44:C48)</f>
        <v>8</v>
      </c>
      <c r="D49" s="31">
        <f>SUM(D44:D48)</f>
        <v>9</v>
      </c>
      <c r="E49" s="45">
        <f>SUM(E44:E48)</f>
        <v>7</v>
      </c>
      <c r="F49" s="32">
        <f>SUM(B49:E49)</f>
        <v>35</v>
      </c>
      <c r="G49" s="41">
        <f>SUM(G44:G48)</f>
        <v>6</v>
      </c>
      <c r="H49" s="31">
        <f>SUM(H44:H48)</f>
        <v>4</v>
      </c>
      <c r="I49" s="31">
        <f>SUM(I44:I48)</f>
        <v>6</v>
      </c>
      <c r="J49" s="45">
        <f>SUM(J44:J48)</f>
        <v>6</v>
      </c>
      <c r="K49" s="32">
        <f>SUM(G49:J49)</f>
        <v>22</v>
      </c>
      <c r="L49" s="50">
        <f t="shared" si="36"/>
        <v>57</v>
      </c>
      <c r="O49" s="83" t="s">
        <v>6</v>
      </c>
      <c r="P49" s="84">
        <f>SUM(P44:P48)</f>
        <v>144</v>
      </c>
      <c r="Q49" s="85">
        <f>SUM(Q44:Q48)</f>
        <v>200</v>
      </c>
      <c r="R49" s="85">
        <f>SUM(R44:R48)</f>
        <v>172</v>
      </c>
      <c r="S49" s="86">
        <f>SUM(S44:S48)</f>
        <v>103</v>
      </c>
      <c r="T49" s="87">
        <f>SUM(P49:S49)</f>
        <v>619</v>
      </c>
      <c r="U49" s="88">
        <f>SUM(U44:U48)</f>
        <v>71</v>
      </c>
      <c r="V49" s="85">
        <f>SUM(V44:V48)</f>
        <v>88</v>
      </c>
      <c r="W49" s="85">
        <f>SUM(W44:W48)</f>
        <v>45</v>
      </c>
      <c r="X49" s="86">
        <f>SUM(X44:X48)</f>
        <v>51</v>
      </c>
      <c r="Y49" s="87">
        <f>SUM(U49:X49)</f>
        <v>255</v>
      </c>
      <c r="Z49" s="50">
        <f t="shared" si="39"/>
        <v>874</v>
      </c>
    </row>
    <row r="50" spans="1:27" x14ac:dyDescent="0.15">
      <c r="A50" s="38" t="s">
        <v>50</v>
      </c>
      <c r="B50" s="12">
        <v>2</v>
      </c>
      <c r="C50" s="13"/>
      <c r="D50" s="13"/>
      <c r="E50" s="46"/>
      <c r="F50" s="6">
        <f>SUM(B50:E50)</f>
        <v>2</v>
      </c>
      <c r="G50" s="13"/>
      <c r="H50" s="13"/>
      <c r="I50" s="13"/>
      <c r="J50" s="46"/>
      <c r="K50" s="6">
        <f>SUM(G50:J50)</f>
        <v>0</v>
      </c>
      <c r="L50" s="14">
        <f t="shared" si="36"/>
        <v>2</v>
      </c>
      <c r="M50" s="7">
        <v>45056</v>
      </c>
      <c r="O50" s="33" t="s">
        <v>57</v>
      </c>
      <c r="P50" s="12">
        <v>1</v>
      </c>
      <c r="Q50" s="13"/>
      <c r="R50" s="13"/>
      <c r="S50" s="46"/>
      <c r="T50" s="6">
        <f>SUM(P50:S50)</f>
        <v>1</v>
      </c>
      <c r="U50" s="13"/>
      <c r="V50" s="13"/>
      <c r="W50" s="13"/>
      <c r="X50" s="46"/>
      <c r="Y50" s="6">
        <f>SUM(U50:X50)</f>
        <v>0</v>
      </c>
      <c r="Z50" s="14">
        <f t="shared" si="39"/>
        <v>1</v>
      </c>
      <c r="AA50" s="7">
        <v>45069</v>
      </c>
    </row>
    <row r="51" spans="1:27" x14ac:dyDescent="0.15">
      <c r="A51" s="61" t="s">
        <v>35</v>
      </c>
      <c r="B51" s="8">
        <v>1</v>
      </c>
      <c r="C51" s="9"/>
      <c r="D51" s="9"/>
      <c r="E51" s="39"/>
      <c r="F51" s="14">
        <f t="shared" ref="F51:F77" si="43">SUM(B51:E51)</f>
        <v>1</v>
      </c>
      <c r="G51" s="9"/>
      <c r="H51" s="9"/>
      <c r="I51" s="9"/>
      <c r="J51" s="39"/>
      <c r="K51" s="14">
        <f t="shared" ref="K51:K77" si="44">SUM(G51:J51)</f>
        <v>0</v>
      </c>
      <c r="L51" s="14">
        <f t="shared" si="36"/>
        <v>1</v>
      </c>
      <c r="M51" s="7">
        <v>45056</v>
      </c>
      <c r="O51" s="33" t="s">
        <v>58</v>
      </c>
      <c r="P51" s="8">
        <v>5</v>
      </c>
      <c r="Q51" s="29"/>
      <c r="R51" s="29"/>
      <c r="S51" s="43"/>
      <c r="T51" s="14">
        <f t="shared" ref="T51" si="45">SUM(P51:S51)</f>
        <v>5</v>
      </c>
      <c r="U51" s="9"/>
      <c r="V51" s="29"/>
      <c r="W51" s="29"/>
      <c r="X51" s="43"/>
      <c r="Y51" s="55">
        <f t="shared" ref="Y51" si="46">SUM(U51:X51)</f>
        <v>0</v>
      </c>
      <c r="Z51" s="14">
        <f t="shared" si="39"/>
        <v>5</v>
      </c>
      <c r="AA51" s="7">
        <v>45082</v>
      </c>
    </row>
    <row r="52" spans="1:27" x14ac:dyDescent="0.15">
      <c r="A52" s="38" t="s">
        <v>51</v>
      </c>
      <c r="B52" s="8"/>
      <c r="C52" s="9"/>
      <c r="D52" s="9"/>
      <c r="E52" s="39"/>
      <c r="F52" s="14">
        <f t="shared" si="43"/>
        <v>0</v>
      </c>
      <c r="G52" s="9"/>
      <c r="H52" s="9"/>
      <c r="I52" s="9"/>
      <c r="J52" s="39">
        <v>1</v>
      </c>
      <c r="K52" s="14">
        <f t="shared" si="44"/>
        <v>1</v>
      </c>
      <c r="L52" s="14">
        <f t="shared" si="36"/>
        <v>1</v>
      </c>
      <c r="M52" s="7">
        <v>45059</v>
      </c>
      <c r="O52" s="38" t="s">
        <v>61</v>
      </c>
      <c r="P52" s="4">
        <v>2</v>
      </c>
      <c r="Q52" s="5"/>
      <c r="R52" s="5"/>
      <c r="S52" s="60"/>
      <c r="T52" s="10">
        <f t="shared" ref="T52:T77" si="47">SUM(P52:S52)</f>
        <v>2</v>
      </c>
      <c r="U52" s="5"/>
      <c r="V52" s="5"/>
      <c r="W52" s="5"/>
      <c r="X52" s="60"/>
      <c r="Y52" s="10">
        <f t="shared" ref="Y52:Y77" si="48">SUM(U52:X52)</f>
        <v>0</v>
      </c>
      <c r="Z52" s="10">
        <f t="shared" si="39"/>
        <v>2</v>
      </c>
      <c r="AA52" s="7">
        <v>45079</v>
      </c>
    </row>
    <row r="53" spans="1:27" x14ac:dyDescent="0.15">
      <c r="A53" s="61" t="s">
        <v>35</v>
      </c>
      <c r="B53" s="8"/>
      <c r="C53" s="9">
        <v>1</v>
      </c>
      <c r="D53" s="9"/>
      <c r="E53" s="39"/>
      <c r="F53" s="14">
        <f t="shared" ref="F53" si="49">SUM(B53:E53)</f>
        <v>1</v>
      </c>
      <c r="G53" s="9"/>
      <c r="H53" s="9"/>
      <c r="I53" s="9"/>
      <c r="J53" s="39"/>
      <c r="K53" s="14">
        <f t="shared" ref="K53" si="50">SUM(G53:J53)</f>
        <v>0</v>
      </c>
      <c r="L53" s="14">
        <f t="shared" ref="L53" si="51">F53+K53</f>
        <v>1</v>
      </c>
      <c r="M53" s="7">
        <v>45058</v>
      </c>
      <c r="O53" s="33" t="s">
        <v>62</v>
      </c>
      <c r="P53" s="8">
        <v>6</v>
      </c>
      <c r="Q53" s="9">
        <v>6</v>
      </c>
      <c r="R53" s="9">
        <v>6</v>
      </c>
      <c r="S53" s="39"/>
      <c r="T53" s="14">
        <f t="shared" si="47"/>
        <v>18</v>
      </c>
      <c r="U53" s="9"/>
      <c r="V53" s="9"/>
      <c r="W53" s="9"/>
      <c r="X53" s="39"/>
      <c r="Y53" s="14">
        <f t="shared" si="48"/>
        <v>0</v>
      </c>
      <c r="Z53" s="14">
        <f t="shared" si="39"/>
        <v>18</v>
      </c>
      <c r="AA53" s="7">
        <v>45082</v>
      </c>
    </row>
    <row r="54" spans="1:27" x14ac:dyDescent="0.15">
      <c r="A54" s="61" t="s">
        <v>35</v>
      </c>
      <c r="B54" s="8"/>
      <c r="C54" s="9"/>
      <c r="D54" s="9"/>
      <c r="E54" s="39">
        <v>1</v>
      </c>
      <c r="F54" s="14">
        <f t="shared" si="43"/>
        <v>1</v>
      </c>
      <c r="G54" s="9"/>
      <c r="H54" s="9"/>
      <c r="I54" s="9">
        <v>1</v>
      </c>
      <c r="J54" s="39"/>
      <c r="K54" s="14">
        <f t="shared" si="44"/>
        <v>1</v>
      </c>
      <c r="L54" s="14">
        <f t="shared" si="36"/>
        <v>2</v>
      </c>
      <c r="M54" s="7">
        <v>45061</v>
      </c>
      <c r="O54" s="38" t="s">
        <v>63</v>
      </c>
      <c r="P54" s="8"/>
      <c r="Q54" s="9">
        <v>3</v>
      </c>
      <c r="R54" s="9">
        <v>3</v>
      </c>
      <c r="S54" s="39">
        <v>1</v>
      </c>
      <c r="T54" s="14">
        <f t="shared" si="47"/>
        <v>7</v>
      </c>
      <c r="U54" s="9"/>
      <c r="V54" s="9"/>
      <c r="W54" s="9"/>
      <c r="X54" s="39"/>
      <c r="Y54" s="14">
        <f t="shared" si="48"/>
        <v>0</v>
      </c>
      <c r="Z54" s="14">
        <f t="shared" si="39"/>
        <v>7</v>
      </c>
      <c r="AA54" s="7">
        <v>45079</v>
      </c>
    </row>
    <row r="55" spans="1:27" x14ac:dyDescent="0.15">
      <c r="A55" s="38" t="s">
        <v>52</v>
      </c>
      <c r="B55" s="8">
        <v>1</v>
      </c>
      <c r="C55" s="9"/>
      <c r="D55" s="9">
        <v>3</v>
      </c>
      <c r="E55" s="39"/>
      <c r="F55" s="14">
        <f t="shared" si="43"/>
        <v>4</v>
      </c>
      <c r="G55" s="9"/>
      <c r="H55" s="9"/>
      <c r="I55" s="9"/>
      <c r="J55" s="39"/>
      <c r="K55" s="14">
        <f t="shared" si="44"/>
        <v>0</v>
      </c>
      <c r="L55" s="14">
        <f t="shared" si="36"/>
        <v>4</v>
      </c>
      <c r="M55" s="7">
        <v>45065</v>
      </c>
      <c r="O55" s="38" t="s">
        <v>31</v>
      </c>
      <c r="P55" s="8">
        <v>5</v>
      </c>
      <c r="Q55" s="9"/>
      <c r="R55" s="9"/>
      <c r="S55" s="39"/>
      <c r="T55" s="14">
        <f t="shared" si="47"/>
        <v>5</v>
      </c>
      <c r="U55" s="9"/>
      <c r="V55" s="9"/>
      <c r="W55" s="9"/>
      <c r="X55" s="39"/>
      <c r="Y55" s="14">
        <f t="shared" si="48"/>
        <v>0</v>
      </c>
      <c r="Z55" s="14">
        <f t="shared" si="39"/>
        <v>5</v>
      </c>
      <c r="AA55" s="7">
        <v>45079</v>
      </c>
    </row>
    <row r="56" spans="1:27" x14ac:dyDescent="0.15">
      <c r="A56" s="38" t="s">
        <v>35</v>
      </c>
      <c r="B56" s="8"/>
      <c r="C56" s="9">
        <v>1</v>
      </c>
      <c r="D56" s="9"/>
      <c r="E56" s="39"/>
      <c r="F56" s="14">
        <f t="shared" si="43"/>
        <v>1</v>
      </c>
      <c r="G56" s="9"/>
      <c r="H56" s="9"/>
      <c r="I56" s="9"/>
      <c r="J56" s="39"/>
      <c r="K56" s="14">
        <f t="shared" si="44"/>
        <v>0</v>
      </c>
      <c r="L56" s="14">
        <f t="shared" si="36"/>
        <v>1</v>
      </c>
      <c r="M56" s="7">
        <v>45062</v>
      </c>
      <c r="O56" s="38" t="s">
        <v>31</v>
      </c>
      <c r="P56" s="8"/>
      <c r="Q56" s="9"/>
      <c r="R56" s="9"/>
      <c r="S56" s="39"/>
      <c r="T56" s="14">
        <f t="shared" si="47"/>
        <v>0</v>
      </c>
      <c r="U56" s="9"/>
      <c r="V56" s="9">
        <v>3</v>
      </c>
      <c r="W56" s="9"/>
      <c r="X56" s="39"/>
      <c r="Y56" s="14">
        <f t="shared" si="48"/>
        <v>3</v>
      </c>
      <c r="Z56" s="14">
        <f t="shared" si="39"/>
        <v>3</v>
      </c>
      <c r="AA56" s="7">
        <v>45080</v>
      </c>
    </row>
    <row r="57" spans="1:27" x14ac:dyDescent="0.15">
      <c r="A57" s="38" t="s">
        <v>35</v>
      </c>
      <c r="B57" s="8"/>
      <c r="C57" s="9">
        <v>1</v>
      </c>
      <c r="D57" s="9">
        <v>1</v>
      </c>
      <c r="E57" s="39"/>
      <c r="F57" s="14">
        <f t="shared" si="43"/>
        <v>2</v>
      </c>
      <c r="G57" s="9">
        <v>1</v>
      </c>
      <c r="H57" s="9"/>
      <c r="I57" s="9"/>
      <c r="J57" s="39"/>
      <c r="K57" s="14">
        <f t="shared" si="44"/>
        <v>1</v>
      </c>
      <c r="L57" s="14">
        <f t="shared" si="36"/>
        <v>3</v>
      </c>
      <c r="M57" s="7">
        <v>45063</v>
      </c>
      <c r="O57" s="38" t="s">
        <v>65</v>
      </c>
      <c r="P57" s="8">
        <v>5</v>
      </c>
      <c r="Q57" s="9">
        <v>7</v>
      </c>
      <c r="R57" s="9"/>
      <c r="S57" s="39"/>
      <c r="T57" s="14">
        <f t="shared" si="47"/>
        <v>12</v>
      </c>
      <c r="U57" s="9"/>
      <c r="V57" s="9"/>
      <c r="W57" s="9"/>
      <c r="X57" s="39"/>
      <c r="Y57" s="14">
        <f t="shared" si="48"/>
        <v>0</v>
      </c>
      <c r="Z57" s="14">
        <f t="shared" si="39"/>
        <v>12</v>
      </c>
      <c r="AA57" s="7">
        <v>45086</v>
      </c>
    </row>
    <row r="58" spans="1:27" x14ac:dyDescent="0.15">
      <c r="A58" s="33" t="s">
        <v>54</v>
      </c>
      <c r="B58" s="8">
        <v>1</v>
      </c>
      <c r="C58" s="9"/>
      <c r="D58" s="9"/>
      <c r="E58" s="39"/>
      <c r="F58" s="14">
        <f t="shared" si="43"/>
        <v>1</v>
      </c>
      <c r="G58" s="9"/>
      <c r="H58" s="9"/>
      <c r="I58" s="9"/>
      <c r="J58" s="39"/>
      <c r="K58" s="14">
        <f t="shared" si="44"/>
        <v>0</v>
      </c>
      <c r="L58" s="14">
        <f t="shared" si="36"/>
        <v>1</v>
      </c>
      <c r="M58" s="7">
        <v>45066</v>
      </c>
      <c r="O58" s="38" t="s">
        <v>31</v>
      </c>
      <c r="P58" s="8">
        <v>2</v>
      </c>
      <c r="Q58" s="9">
        <v>2</v>
      </c>
      <c r="R58" s="9"/>
      <c r="S58" s="39"/>
      <c r="T58" s="14">
        <f t="shared" si="47"/>
        <v>4</v>
      </c>
      <c r="U58" s="9"/>
      <c r="V58" s="9">
        <v>2</v>
      </c>
      <c r="W58" s="9">
        <v>2</v>
      </c>
      <c r="X58" s="39"/>
      <c r="Y58" s="14">
        <f t="shared" si="48"/>
        <v>4</v>
      </c>
      <c r="Z58" s="14">
        <f t="shared" si="39"/>
        <v>8</v>
      </c>
      <c r="AA58" s="7">
        <v>45089</v>
      </c>
    </row>
    <row r="59" spans="1:27" x14ac:dyDescent="0.15">
      <c r="A59" s="61" t="s">
        <v>35</v>
      </c>
      <c r="B59" s="15"/>
      <c r="C59" s="16"/>
      <c r="D59" s="16"/>
      <c r="E59" s="58">
        <v>1</v>
      </c>
      <c r="F59" s="14">
        <f t="shared" si="43"/>
        <v>1</v>
      </c>
      <c r="G59" s="16"/>
      <c r="H59" s="16"/>
      <c r="I59" s="16"/>
      <c r="J59" s="58"/>
      <c r="K59" s="14">
        <f t="shared" si="44"/>
        <v>0</v>
      </c>
      <c r="L59" s="14">
        <f t="shared" si="36"/>
        <v>1</v>
      </c>
      <c r="M59" s="7">
        <v>45064</v>
      </c>
      <c r="O59" s="38" t="s">
        <v>68</v>
      </c>
      <c r="P59" s="15">
        <v>1</v>
      </c>
      <c r="Q59" s="16">
        <v>1</v>
      </c>
      <c r="R59" s="16"/>
      <c r="S59" s="58">
        <v>1</v>
      </c>
      <c r="T59" s="14">
        <f t="shared" si="47"/>
        <v>3</v>
      </c>
      <c r="U59" s="16"/>
      <c r="V59" s="16"/>
      <c r="W59" s="16"/>
      <c r="X59" s="58"/>
      <c r="Y59" s="14">
        <f t="shared" si="48"/>
        <v>0</v>
      </c>
      <c r="Z59" s="14">
        <f t="shared" si="39"/>
        <v>3</v>
      </c>
      <c r="AA59" s="7">
        <v>45093</v>
      </c>
    </row>
    <row r="60" spans="1:27" x14ac:dyDescent="0.15">
      <c r="A60" s="61" t="s">
        <v>35</v>
      </c>
      <c r="B60" s="8"/>
      <c r="C60" s="9">
        <v>1</v>
      </c>
      <c r="D60" s="9"/>
      <c r="E60" s="39"/>
      <c r="F60" s="14">
        <f t="shared" si="43"/>
        <v>1</v>
      </c>
      <c r="G60" s="9"/>
      <c r="H60" s="9"/>
      <c r="I60" s="9"/>
      <c r="J60" s="39"/>
      <c r="K60" s="14">
        <f t="shared" si="44"/>
        <v>0</v>
      </c>
      <c r="L60" s="14">
        <f t="shared" si="36"/>
        <v>1</v>
      </c>
      <c r="M60" s="7">
        <v>45070</v>
      </c>
      <c r="O60" s="38" t="s">
        <v>31</v>
      </c>
      <c r="P60" s="8">
        <v>3</v>
      </c>
      <c r="Q60" s="9">
        <v>3</v>
      </c>
      <c r="R60" s="9">
        <v>3</v>
      </c>
      <c r="S60" s="39">
        <v>3</v>
      </c>
      <c r="T60" s="14">
        <f t="shared" si="47"/>
        <v>12</v>
      </c>
      <c r="U60" s="9">
        <v>3</v>
      </c>
      <c r="V60" s="9">
        <v>3</v>
      </c>
      <c r="W60" s="9">
        <v>3</v>
      </c>
      <c r="X60" s="39">
        <v>3</v>
      </c>
      <c r="Y60" s="14">
        <f t="shared" si="48"/>
        <v>12</v>
      </c>
      <c r="Z60" s="14">
        <f t="shared" si="39"/>
        <v>24</v>
      </c>
      <c r="AA60" s="7">
        <v>45094</v>
      </c>
    </row>
    <row r="61" spans="1:27" x14ac:dyDescent="0.15">
      <c r="A61" s="38" t="s">
        <v>35</v>
      </c>
      <c r="B61" s="8"/>
      <c r="C61" s="9"/>
      <c r="D61" s="9"/>
      <c r="E61" s="39"/>
      <c r="F61" s="14">
        <f t="shared" si="43"/>
        <v>0</v>
      </c>
      <c r="G61" s="9"/>
      <c r="H61" s="9">
        <v>1</v>
      </c>
      <c r="I61" s="9"/>
      <c r="J61" s="39"/>
      <c r="K61" s="14">
        <f t="shared" si="44"/>
        <v>1</v>
      </c>
      <c r="L61" s="14">
        <f t="shared" si="36"/>
        <v>1</v>
      </c>
      <c r="M61" s="7">
        <v>45072</v>
      </c>
      <c r="O61" s="33"/>
      <c r="P61" s="8"/>
      <c r="Q61" s="9"/>
      <c r="R61" s="9"/>
      <c r="S61" s="39"/>
      <c r="T61" s="14">
        <f t="shared" si="47"/>
        <v>0</v>
      </c>
      <c r="U61" s="9"/>
      <c r="V61" s="9"/>
      <c r="W61" s="9"/>
      <c r="X61" s="39"/>
      <c r="Y61" s="14">
        <f t="shared" si="48"/>
        <v>0</v>
      </c>
      <c r="Z61" s="14">
        <f t="shared" si="39"/>
        <v>0</v>
      </c>
    </row>
    <row r="62" spans="1:27" x14ac:dyDescent="0.15">
      <c r="A62" s="38" t="s">
        <v>51</v>
      </c>
      <c r="B62" s="8"/>
      <c r="C62" s="9"/>
      <c r="D62" s="9"/>
      <c r="E62" s="39"/>
      <c r="F62" s="14">
        <f t="shared" si="43"/>
        <v>0</v>
      </c>
      <c r="G62" s="9"/>
      <c r="H62" s="9">
        <v>1</v>
      </c>
      <c r="I62" s="9"/>
      <c r="J62" s="39"/>
      <c r="K62" s="14">
        <f t="shared" si="44"/>
        <v>1</v>
      </c>
      <c r="L62" s="14">
        <f t="shared" si="36"/>
        <v>1</v>
      </c>
      <c r="M62" s="7">
        <v>45076</v>
      </c>
      <c r="O62" s="33"/>
      <c r="P62" s="8"/>
      <c r="Q62" s="9"/>
      <c r="R62" s="9"/>
      <c r="S62" s="39"/>
      <c r="T62" s="14">
        <f t="shared" si="47"/>
        <v>0</v>
      </c>
      <c r="U62" s="9"/>
      <c r="V62" s="9"/>
      <c r="W62" s="9"/>
      <c r="X62" s="39"/>
      <c r="Y62" s="14">
        <f t="shared" si="48"/>
        <v>0</v>
      </c>
      <c r="Z62" s="14">
        <f t="shared" si="39"/>
        <v>0</v>
      </c>
    </row>
    <row r="63" spans="1:27" x14ac:dyDescent="0.15">
      <c r="A63" s="61" t="s">
        <v>35</v>
      </c>
      <c r="B63" s="8">
        <v>1</v>
      </c>
      <c r="C63" s="9"/>
      <c r="D63" s="9">
        <v>1</v>
      </c>
      <c r="E63" s="39"/>
      <c r="F63" s="14">
        <f t="shared" si="43"/>
        <v>2</v>
      </c>
      <c r="G63" s="9"/>
      <c r="H63" s="9"/>
      <c r="I63" s="9"/>
      <c r="J63" s="39"/>
      <c r="K63" s="14">
        <f t="shared" si="44"/>
        <v>0</v>
      </c>
      <c r="L63" s="14">
        <f t="shared" si="36"/>
        <v>2</v>
      </c>
      <c r="M63" s="7">
        <v>45075</v>
      </c>
      <c r="O63" s="33"/>
      <c r="P63" s="8"/>
      <c r="Q63" s="9"/>
      <c r="R63" s="9"/>
      <c r="S63" s="39"/>
      <c r="T63" s="14">
        <f t="shared" si="47"/>
        <v>0</v>
      </c>
      <c r="U63" s="9"/>
      <c r="V63" s="9"/>
      <c r="W63" s="9"/>
      <c r="X63" s="39"/>
      <c r="Y63" s="14">
        <f t="shared" si="48"/>
        <v>0</v>
      </c>
      <c r="Z63" s="14">
        <f t="shared" si="39"/>
        <v>0</v>
      </c>
    </row>
    <row r="64" spans="1:27" x14ac:dyDescent="0.15">
      <c r="A64" s="61" t="s">
        <v>35</v>
      </c>
      <c r="B64" s="8"/>
      <c r="C64" s="9"/>
      <c r="D64" s="9"/>
      <c r="E64" s="39"/>
      <c r="F64" s="14">
        <f t="shared" si="43"/>
        <v>0</v>
      </c>
      <c r="G64" s="9"/>
      <c r="H64" s="9"/>
      <c r="I64" s="9">
        <v>1</v>
      </c>
      <c r="J64" s="39"/>
      <c r="K64" s="14">
        <f t="shared" si="44"/>
        <v>1</v>
      </c>
      <c r="L64" s="14">
        <f t="shared" si="36"/>
        <v>1</v>
      </c>
      <c r="M64" s="7">
        <v>45077</v>
      </c>
      <c r="O64" s="33"/>
      <c r="P64" s="8"/>
      <c r="Q64" s="9"/>
      <c r="R64" s="9"/>
      <c r="S64" s="39"/>
      <c r="T64" s="14">
        <f t="shared" si="47"/>
        <v>0</v>
      </c>
      <c r="U64" s="9"/>
      <c r="V64" s="9"/>
      <c r="W64" s="9"/>
      <c r="X64" s="39"/>
      <c r="Y64" s="14">
        <f t="shared" si="48"/>
        <v>0</v>
      </c>
      <c r="Z64" s="14">
        <f t="shared" si="39"/>
        <v>0</v>
      </c>
    </row>
    <row r="65" spans="1:27" x14ac:dyDescent="0.15">
      <c r="A65" s="33" t="s">
        <v>64</v>
      </c>
      <c r="B65" s="8"/>
      <c r="C65" s="9"/>
      <c r="D65" s="9"/>
      <c r="E65" s="39"/>
      <c r="F65" s="14">
        <f t="shared" si="43"/>
        <v>0</v>
      </c>
      <c r="G65" s="9"/>
      <c r="H65" s="9">
        <v>-3</v>
      </c>
      <c r="I65" s="9"/>
      <c r="J65" s="39"/>
      <c r="K65" s="14">
        <f t="shared" si="44"/>
        <v>-3</v>
      </c>
      <c r="L65" s="14">
        <f t="shared" si="36"/>
        <v>-3</v>
      </c>
      <c r="M65" s="7">
        <v>45080</v>
      </c>
      <c r="O65" s="33"/>
      <c r="P65" s="8"/>
      <c r="Q65" s="9"/>
      <c r="R65" s="9"/>
      <c r="S65" s="39"/>
      <c r="T65" s="14">
        <f t="shared" si="47"/>
        <v>0</v>
      </c>
      <c r="U65" s="9"/>
      <c r="V65" s="9"/>
      <c r="W65" s="9"/>
      <c r="X65" s="39"/>
      <c r="Y65" s="14">
        <f t="shared" si="48"/>
        <v>0</v>
      </c>
      <c r="Z65" s="14">
        <f t="shared" si="39"/>
        <v>0</v>
      </c>
    </row>
    <row r="66" spans="1:27" x14ac:dyDescent="0.15">
      <c r="A66" s="38" t="s">
        <v>51</v>
      </c>
      <c r="B66" s="8"/>
      <c r="C66" s="9"/>
      <c r="D66" s="9"/>
      <c r="E66" s="39"/>
      <c r="F66" s="14">
        <f t="shared" si="43"/>
        <v>0</v>
      </c>
      <c r="G66" s="9"/>
      <c r="H66" s="9"/>
      <c r="I66" s="9"/>
      <c r="J66" s="39">
        <v>1</v>
      </c>
      <c r="K66" s="14">
        <f t="shared" si="44"/>
        <v>1</v>
      </c>
      <c r="L66" s="14">
        <f t="shared" si="36"/>
        <v>1</v>
      </c>
      <c r="M66" s="7">
        <v>45083</v>
      </c>
      <c r="O66" s="33"/>
      <c r="P66" s="8"/>
      <c r="Q66" s="9"/>
      <c r="R66" s="9"/>
      <c r="S66" s="39"/>
      <c r="T66" s="14">
        <f t="shared" si="47"/>
        <v>0</v>
      </c>
      <c r="U66" s="9"/>
      <c r="V66" s="9"/>
      <c r="W66" s="9"/>
      <c r="X66" s="39"/>
      <c r="Y66" s="14">
        <f t="shared" si="48"/>
        <v>0</v>
      </c>
      <c r="Z66" s="14">
        <f t="shared" si="39"/>
        <v>0</v>
      </c>
    </row>
    <row r="67" spans="1:27" x14ac:dyDescent="0.15">
      <c r="A67" s="38" t="s">
        <v>35</v>
      </c>
      <c r="B67" s="8">
        <v>1</v>
      </c>
      <c r="C67" s="9"/>
      <c r="D67" s="9"/>
      <c r="E67" s="39"/>
      <c r="F67" s="14">
        <f t="shared" si="43"/>
        <v>1</v>
      </c>
      <c r="G67" s="9"/>
      <c r="H67" s="9"/>
      <c r="I67" s="9">
        <v>1</v>
      </c>
      <c r="J67" s="39"/>
      <c r="K67" s="14">
        <f t="shared" si="44"/>
        <v>1</v>
      </c>
      <c r="L67" s="14">
        <f t="shared" si="36"/>
        <v>2</v>
      </c>
      <c r="M67" s="7">
        <v>45082</v>
      </c>
      <c r="O67" s="33"/>
      <c r="P67" s="8"/>
      <c r="Q67" s="9"/>
      <c r="R67" s="9"/>
      <c r="S67" s="39"/>
      <c r="T67" s="14">
        <f t="shared" si="47"/>
        <v>0</v>
      </c>
      <c r="U67" s="9"/>
      <c r="V67" s="9"/>
      <c r="W67" s="9"/>
      <c r="X67" s="39"/>
      <c r="Y67" s="14">
        <f t="shared" si="48"/>
        <v>0</v>
      </c>
      <c r="Z67" s="14">
        <f t="shared" si="39"/>
        <v>0</v>
      </c>
    </row>
    <row r="68" spans="1:27" x14ac:dyDescent="0.15">
      <c r="A68" s="38" t="s">
        <v>35</v>
      </c>
      <c r="B68" s="8"/>
      <c r="C68" s="9">
        <v>1</v>
      </c>
      <c r="D68" s="9"/>
      <c r="E68" s="39"/>
      <c r="F68" s="14">
        <f t="shared" si="43"/>
        <v>1</v>
      </c>
      <c r="G68" s="9"/>
      <c r="H68" s="9">
        <v>1</v>
      </c>
      <c r="I68" s="9"/>
      <c r="J68" s="39"/>
      <c r="K68" s="14">
        <f t="shared" si="44"/>
        <v>1</v>
      </c>
      <c r="L68" s="14">
        <f t="shared" si="36"/>
        <v>2</v>
      </c>
      <c r="M68" s="7">
        <v>45083</v>
      </c>
      <c r="O68" s="33"/>
      <c r="P68" s="8"/>
      <c r="Q68" s="9"/>
      <c r="R68" s="9"/>
      <c r="S68" s="39"/>
      <c r="T68" s="14">
        <f t="shared" si="47"/>
        <v>0</v>
      </c>
      <c r="U68" s="9"/>
      <c r="V68" s="9"/>
      <c r="W68" s="9"/>
      <c r="X68" s="39"/>
      <c r="Y68" s="14">
        <f t="shared" si="48"/>
        <v>0</v>
      </c>
      <c r="Z68" s="14">
        <f t="shared" si="39"/>
        <v>0</v>
      </c>
    </row>
    <row r="69" spans="1:27" x14ac:dyDescent="0.15">
      <c r="A69" s="38" t="s">
        <v>35</v>
      </c>
      <c r="B69" s="8">
        <v>1</v>
      </c>
      <c r="C69" s="9"/>
      <c r="D69" s="9"/>
      <c r="E69" s="39"/>
      <c r="F69" s="14">
        <f t="shared" si="43"/>
        <v>1</v>
      </c>
      <c r="G69" s="9"/>
      <c r="H69" s="9"/>
      <c r="I69" s="9"/>
      <c r="J69" s="39"/>
      <c r="K69" s="14">
        <f t="shared" si="44"/>
        <v>0</v>
      </c>
      <c r="L69" s="14">
        <f t="shared" si="36"/>
        <v>1</v>
      </c>
      <c r="M69" s="7">
        <v>45084</v>
      </c>
      <c r="O69" s="33"/>
      <c r="P69" s="8"/>
      <c r="Q69" s="9"/>
      <c r="R69" s="9"/>
      <c r="S69" s="39"/>
      <c r="T69" s="14">
        <f t="shared" si="47"/>
        <v>0</v>
      </c>
      <c r="U69" s="9"/>
      <c r="V69" s="9"/>
      <c r="W69" s="9"/>
      <c r="X69" s="39"/>
      <c r="Y69" s="14">
        <f t="shared" si="48"/>
        <v>0</v>
      </c>
      <c r="Z69" s="14">
        <f t="shared" si="39"/>
        <v>0</v>
      </c>
    </row>
    <row r="70" spans="1:27" x14ac:dyDescent="0.15">
      <c r="A70" s="82" t="s">
        <v>38</v>
      </c>
      <c r="B70" s="8"/>
      <c r="C70" s="9">
        <v>-1</v>
      </c>
      <c r="D70" s="9">
        <v>-1</v>
      </c>
      <c r="E70" s="39">
        <v>-1</v>
      </c>
      <c r="F70" s="14">
        <f t="shared" si="43"/>
        <v>-3</v>
      </c>
      <c r="G70" s="9"/>
      <c r="H70" s="9"/>
      <c r="I70" s="9"/>
      <c r="J70" s="39"/>
      <c r="K70" s="14">
        <f t="shared" si="44"/>
        <v>0</v>
      </c>
      <c r="L70" s="14">
        <f t="shared" si="36"/>
        <v>-3</v>
      </c>
      <c r="M70" s="7">
        <v>45086</v>
      </c>
      <c r="O70" s="33"/>
      <c r="P70" s="8"/>
      <c r="Q70" s="9"/>
      <c r="R70" s="9"/>
      <c r="S70" s="39"/>
      <c r="T70" s="14">
        <f t="shared" si="47"/>
        <v>0</v>
      </c>
      <c r="U70" s="9"/>
      <c r="V70" s="9"/>
      <c r="W70" s="9"/>
      <c r="X70" s="39"/>
      <c r="Y70" s="14">
        <f t="shared" si="48"/>
        <v>0</v>
      </c>
      <c r="Z70" s="14">
        <f t="shared" si="39"/>
        <v>0</v>
      </c>
    </row>
    <row r="71" spans="1:27" x14ac:dyDescent="0.15">
      <c r="A71" s="38" t="s">
        <v>35</v>
      </c>
      <c r="B71" s="8"/>
      <c r="C71" s="9">
        <v>1</v>
      </c>
      <c r="D71" s="9"/>
      <c r="E71" s="39"/>
      <c r="F71" s="14">
        <f t="shared" si="43"/>
        <v>1</v>
      </c>
      <c r="G71" s="9"/>
      <c r="H71" s="9"/>
      <c r="I71" s="9"/>
      <c r="J71" s="39"/>
      <c r="K71" s="14">
        <f t="shared" si="44"/>
        <v>0</v>
      </c>
      <c r="L71" s="14">
        <f t="shared" si="36"/>
        <v>1</v>
      </c>
      <c r="M71" s="7">
        <v>45086</v>
      </c>
      <c r="O71" s="35"/>
      <c r="P71" s="8"/>
      <c r="Q71" s="9"/>
      <c r="R71" s="9"/>
      <c r="S71" s="39"/>
      <c r="T71" s="14">
        <f t="shared" si="47"/>
        <v>0</v>
      </c>
      <c r="U71" s="9"/>
      <c r="V71" s="9"/>
      <c r="W71" s="9"/>
      <c r="X71" s="39"/>
      <c r="Y71" s="14">
        <f t="shared" si="48"/>
        <v>0</v>
      </c>
      <c r="Z71" s="14">
        <f t="shared" si="39"/>
        <v>0</v>
      </c>
    </row>
    <row r="72" spans="1:27" x14ac:dyDescent="0.15">
      <c r="A72" s="33" t="s">
        <v>40</v>
      </c>
      <c r="B72" s="8">
        <v>-2</v>
      </c>
      <c r="C72" s="9">
        <v>-2</v>
      </c>
      <c r="D72" s="9"/>
      <c r="E72" s="39"/>
      <c r="F72" s="14">
        <f t="shared" si="43"/>
        <v>-4</v>
      </c>
      <c r="G72" s="9"/>
      <c r="H72" s="9">
        <v>-2</v>
      </c>
      <c r="I72" s="9">
        <v>-2</v>
      </c>
      <c r="J72" s="39"/>
      <c r="K72" s="14">
        <f t="shared" si="44"/>
        <v>-4</v>
      </c>
      <c r="L72" s="14">
        <f t="shared" si="36"/>
        <v>-8</v>
      </c>
      <c r="M72" s="7">
        <v>45089</v>
      </c>
      <c r="O72" s="35"/>
      <c r="P72" s="8"/>
      <c r="Q72" s="9"/>
      <c r="R72" s="9"/>
      <c r="S72" s="39"/>
      <c r="T72" s="14">
        <f t="shared" ref="T72" si="52">SUM(P72:S72)</f>
        <v>0</v>
      </c>
      <c r="U72" s="9"/>
      <c r="V72" s="9"/>
      <c r="W72" s="9"/>
      <c r="X72" s="39"/>
      <c r="Y72" s="14">
        <f t="shared" ref="Y72" si="53">SUM(U72:X72)</f>
        <v>0</v>
      </c>
      <c r="Z72" s="14">
        <f t="shared" ref="Z72" si="54">T72+Y72</f>
        <v>0</v>
      </c>
    </row>
    <row r="73" spans="1:27" x14ac:dyDescent="0.15">
      <c r="A73" s="38" t="s">
        <v>51</v>
      </c>
      <c r="B73" s="8"/>
      <c r="C73" s="9">
        <v>1</v>
      </c>
      <c r="D73" s="9"/>
      <c r="E73" s="39"/>
      <c r="F73" s="14">
        <f t="shared" si="43"/>
        <v>1</v>
      </c>
      <c r="G73" s="9"/>
      <c r="H73" s="9"/>
      <c r="I73" s="9"/>
      <c r="J73" s="39"/>
      <c r="K73" s="14">
        <f t="shared" si="44"/>
        <v>0</v>
      </c>
      <c r="L73" s="14">
        <f t="shared" si="36"/>
        <v>1</v>
      </c>
      <c r="M73" s="7">
        <v>45090</v>
      </c>
      <c r="O73" s="33"/>
      <c r="P73" s="8"/>
      <c r="Q73" s="9"/>
      <c r="R73" s="9"/>
      <c r="S73" s="39"/>
      <c r="T73" s="14">
        <f t="shared" si="47"/>
        <v>0</v>
      </c>
      <c r="U73" s="9"/>
      <c r="V73" s="9"/>
      <c r="W73" s="9"/>
      <c r="X73" s="39"/>
      <c r="Y73" s="14">
        <f t="shared" si="48"/>
        <v>0</v>
      </c>
      <c r="Z73" s="14">
        <f t="shared" si="39"/>
        <v>0</v>
      </c>
      <c r="AA73" s="7"/>
    </row>
    <row r="74" spans="1:27" x14ac:dyDescent="0.15">
      <c r="A74" s="38" t="s">
        <v>35</v>
      </c>
      <c r="B74" s="8"/>
      <c r="C74" s="9"/>
      <c r="D74" s="9">
        <v>1</v>
      </c>
      <c r="E74" s="39">
        <f>1+1</f>
        <v>2</v>
      </c>
      <c r="F74" s="14">
        <f t="shared" si="43"/>
        <v>3</v>
      </c>
      <c r="G74" s="9"/>
      <c r="H74" s="9"/>
      <c r="I74" s="9"/>
      <c r="J74" s="39"/>
      <c r="K74" s="14">
        <f t="shared" si="44"/>
        <v>0</v>
      </c>
      <c r="L74" s="14">
        <f t="shared" si="36"/>
        <v>3</v>
      </c>
      <c r="M74" s="7">
        <v>45089</v>
      </c>
      <c r="O74" s="33"/>
      <c r="P74" s="8"/>
      <c r="Q74" s="9"/>
      <c r="R74" s="9"/>
      <c r="S74" s="39"/>
      <c r="T74" s="14">
        <f t="shared" si="47"/>
        <v>0</v>
      </c>
      <c r="U74" s="9"/>
      <c r="V74" s="9"/>
      <c r="W74" s="9"/>
      <c r="X74" s="39"/>
      <c r="Y74" s="14">
        <f t="shared" si="48"/>
        <v>0</v>
      </c>
      <c r="Z74" s="14">
        <f t="shared" si="39"/>
        <v>0</v>
      </c>
      <c r="AA74" s="7"/>
    </row>
    <row r="75" spans="1:27" ht="14.25" thickBot="1" x14ac:dyDescent="0.2">
      <c r="A75" s="38" t="s">
        <v>35</v>
      </c>
      <c r="B75" s="15"/>
      <c r="C75" s="16"/>
      <c r="D75" s="16"/>
      <c r="E75" s="58">
        <v>1</v>
      </c>
      <c r="F75" s="56">
        <f t="shared" si="43"/>
        <v>1</v>
      </c>
      <c r="G75" s="16"/>
      <c r="H75" s="16"/>
      <c r="I75" s="16"/>
      <c r="J75" s="58"/>
      <c r="K75" s="56">
        <f t="shared" si="44"/>
        <v>0</v>
      </c>
      <c r="L75" s="59">
        <f t="shared" si="36"/>
        <v>1</v>
      </c>
      <c r="M75" s="7">
        <v>45090</v>
      </c>
      <c r="O75" s="89" t="s">
        <v>23</v>
      </c>
      <c r="P75" s="90"/>
      <c r="Q75" s="91"/>
      <c r="R75" s="91"/>
      <c r="S75" s="92"/>
      <c r="T75" s="93">
        <f t="shared" si="47"/>
        <v>0</v>
      </c>
      <c r="U75" s="95"/>
      <c r="V75" s="95"/>
      <c r="W75" s="95"/>
      <c r="X75" s="96"/>
      <c r="Y75" s="93">
        <f t="shared" si="48"/>
        <v>0</v>
      </c>
      <c r="Z75" s="94">
        <f t="shared" si="39"/>
        <v>0</v>
      </c>
      <c r="AA75" s="34" t="s">
        <v>24</v>
      </c>
    </row>
    <row r="76" spans="1:27" ht="14.25" thickBot="1" x14ac:dyDescent="0.2">
      <c r="A76" s="3" t="s">
        <v>7</v>
      </c>
      <c r="B76" s="17">
        <f t="shared" ref="B76:E76" si="55">SUM(B50:B75)</f>
        <v>6</v>
      </c>
      <c r="C76" s="18">
        <f t="shared" si="55"/>
        <v>4</v>
      </c>
      <c r="D76" s="18">
        <f t="shared" si="55"/>
        <v>5</v>
      </c>
      <c r="E76" s="40">
        <f t="shared" si="55"/>
        <v>4</v>
      </c>
      <c r="F76" s="11">
        <f t="shared" si="43"/>
        <v>19</v>
      </c>
      <c r="G76" s="17">
        <f t="shared" ref="G76:J76" si="56">SUM(G50:G75)</f>
        <v>1</v>
      </c>
      <c r="H76" s="18">
        <f t="shared" si="56"/>
        <v>-2</v>
      </c>
      <c r="I76" s="18">
        <f t="shared" si="56"/>
        <v>1</v>
      </c>
      <c r="J76" s="40">
        <f t="shared" si="56"/>
        <v>2</v>
      </c>
      <c r="K76" s="11">
        <f t="shared" si="44"/>
        <v>2</v>
      </c>
      <c r="L76" s="11">
        <f t="shared" si="36"/>
        <v>21</v>
      </c>
      <c r="O76" s="3" t="s">
        <v>7</v>
      </c>
      <c r="P76" s="17">
        <f t="shared" ref="P76:S76" si="57">SUM(P50:P75)</f>
        <v>30</v>
      </c>
      <c r="Q76" s="18">
        <f t="shared" si="57"/>
        <v>22</v>
      </c>
      <c r="R76" s="18">
        <f t="shared" si="57"/>
        <v>12</v>
      </c>
      <c r="S76" s="40">
        <f t="shared" si="57"/>
        <v>5</v>
      </c>
      <c r="T76" s="11">
        <f t="shared" si="47"/>
        <v>69</v>
      </c>
      <c r="U76" s="17">
        <f t="shared" ref="U76:X76" si="58">SUM(U50:U75)</f>
        <v>3</v>
      </c>
      <c r="V76" s="18">
        <f t="shared" si="58"/>
        <v>8</v>
      </c>
      <c r="W76" s="18">
        <f t="shared" si="58"/>
        <v>5</v>
      </c>
      <c r="X76" s="40">
        <f t="shared" si="58"/>
        <v>3</v>
      </c>
      <c r="Y76" s="11">
        <f t="shared" si="48"/>
        <v>19</v>
      </c>
      <c r="Z76" s="11">
        <f t="shared" si="39"/>
        <v>88</v>
      </c>
    </row>
    <row r="77" spans="1:27" ht="14.25" thickBot="1" x14ac:dyDescent="0.2">
      <c r="A77" s="19" t="s">
        <v>8</v>
      </c>
      <c r="B77" s="20">
        <f t="shared" ref="B77:E77" si="59">B49-B76</f>
        <v>5</v>
      </c>
      <c r="C77" s="21">
        <f t="shared" si="59"/>
        <v>4</v>
      </c>
      <c r="D77" s="21">
        <f t="shared" si="59"/>
        <v>4</v>
      </c>
      <c r="E77" s="22">
        <f t="shared" si="59"/>
        <v>3</v>
      </c>
      <c r="F77" s="11">
        <f t="shared" si="43"/>
        <v>16</v>
      </c>
      <c r="G77" s="20">
        <f t="shared" ref="G77:J77" si="60">G49-G76</f>
        <v>5</v>
      </c>
      <c r="H77" s="21">
        <f t="shared" si="60"/>
        <v>6</v>
      </c>
      <c r="I77" s="21">
        <f t="shared" si="60"/>
        <v>5</v>
      </c>
      <c r="J77" s="51">
        <f t="shared" si="60"/>
        <v>4</v>
      </c>
      <c r="K77" s="11">
        <f t="shared" si="44"/>
        <v>20</v>
      </c>
      <c r="L77" s="53">
        <f t="shared" si="36"/>
        <v>36</v>
      </c>
      <c r="O77" s="19" t="s">
        <v>8</v>
      </c>
      <c r="P77" s="20">
        <f t="shared" ref="P77:S77" si="61">P49-P76</f>
        <v>114</v>
      </c>
      <c r="Q77" s="21">
        <f t="shared" si="61"/>
        <v>178</v>
      </c>
      <c r="R77" s="21">
        <f t="shared" si="61"/>
        <v>160</v>
      </c>
      <c r="S77" s="22">
        <f t="shared" si="61"/>
        <v>98</v>
      </c>
      <c r="T77" s="11">
        <f t="shared" si="47"/>
        <v>550</v>
      </c>
      <c r="U77" s="20">
        <f t="shared" ref="U77:X77" si="62">U49-U76</f>
        <v>68</v>
      </c>
      <c r="V77" s="21">
        <f t="shared" si="62"/>
        <v>80</v>
      </c>
      <c r="W77" s="21">
        <f t="shared" si="62"/>
        <v>40</v>
      </c>
      <c r="X77" s="51">
        <f t="shared" si="62"/>
        <v>48</v>
      </c>
      <c r="Y77" s="11">
        <f t="shared" si="48"/>
        <v>236</v>
      </c>
      <c r="Z77" s="53">
        <f t="shared" si="39"/>
        <v>786</v>
      </c>
    </row>
    <row r="80" spans="1:27" ht="19.5" thickBot="1" x14ac:dyDescent="0.25">
      <c r="A80" s="1" t="s">
        <v>19</v>
      </c>
      <c r="C80" s="164" t="s">
        <v>20</v>
      </c>
      <c r="D80" s="164"/>
      <c r="O80" s="1" t="s">
        <v>21</v>
      </c>
      <c r="S80" s="164" t="s">
        <v>20</v>
      </c>
      <c r="T80" s="164"/>
    </row>
    <row r="81" spans="1:27" ht="14.25" thickBot="1" x14ac:dyDescent="0.2">
      <c r="A81" s="3" t="s">
        <v>0</v>
      </c>
      <c r="B81" s="165" t="s">
        <v>15</v>
      </c>
      <c r="C81" s="166"/>
      <c r="D81" s="166"/>
      <c r="E81" s="166"/>
      <c r="F81" s="167"/>
      <c r="G81" s="168" t="s">
        <v>18</v>
      </c>
      <c r="H81" s="169"/>
      <c r="I81" s="169"/>
      <c r="J81" s="169"/>
      <c r="K81" s="170"/>
      <c r="L81" s="47"/>
      <c r="O81" s="3" t="s">
        <v>0</v>
      </c>
      <c r="P81" s="165" t="s">
        <v>15</v>
      </c>
      <c r="Q81" s="166"/>
      <c r="R81" s="166"/>
      <c r="S81" s="166"/>
      <c r="T81" s="167"/>
      <c r="U81" s="168" t="s">
        <v>18</v>
      </c>
      <c r="V81" s="169"/>
      <c r="W81" s="169"/>
      <c r="X81" s="169"/>
      <c r="Y81" s="170"/>
      <c r="Z81" s="47"/>
    </row>
    <row r="82" spans="1:27" ht="14.25" thickBot="1" x14ac:dyDescent="0.2">
      <c r="A82" s="3" t="s">
        <v>1</v>
      </c>
      <c r="B82" s="23" t="s">
        <v>11</v>
      </c>
      <c r="C82" s="24" t="s">
        <v>12</v>
      </c>
      <c r="D82" s="24" t="s">
        <v>13</v>
      </c>
      <c r="E82" s="25" t="s">
        <v>14</v>
      </c>
      <c r="F82" s="48" t="s">
        <v>2</v>
      </c>
      <c r="G82" s="23" t="s">
        <v>11</v>
      </c>
      <c r="H82" s="24" t="s">
        <v>12</v>
      </c>
      <c r="I82" s="24" t="s">
        <v>13</v>
      </c>
      <c r="J82" s="25" t="s">
        <v>14</v>
      </c>
      <c r="K82" s="48" t="s">
        <v>2</v>
      </c>
      <c r="L82" s="48" t="s">
        <v>17</v>
      </c>
      <c r="O82" s="3" t="s">
        <v>1</v>
      </c>
      <c r="P82" s="23" t="s">
        <v>11</v>
      </c>
      <c r="Q82" s="24" t="s">
        <v>12</v>
      </c>
      <c r="R82" s="24" t="s">
        <v>13</v>
      </c>
      <c r="S82" s="25" t="s">
        <v>14</v>
      </c>
      <c r="T82" s="48" t="s">
        <v>2</v>
      </c>
      <c r="U82" s="23" t="s">
        <v>11</v>
      </c>
      <c r="V82" s="24" t="s">
        <v>12</v>
      </c>
      <c r="W82" s="24" t="s">
        <v>13</v>
      </c>
      <c r="X82" s="25" t="s">
        <v>14</v>
      </c>
      <c r="Y82" s="48" t="s">
        <v>2</v>
      </c>
      <c r="Z82" s="48" t="s">
        <v>17</v>
      </c>
    </row>
    <row r="83" spans="1:27" x14ac:dyDescent="0.15">
      <c r="A83" s="54" t="s">
        <v>9</v>
      </c>
      <c r="B83" s="26">
        <f>B77</f>
        <v>5</v>
      </c>
      <c r="C83" s="27">
        <f>C77</f>
        <v>4</v>
      </c>
      <c r="D83" s="27">
        <f>D77</f>
        <v>4</v>
      </c>
      <c r="E83" s="42">
        <f>E77</f>
        <v>3</v>
      </c>
      <c r="F83" s="28">
        <f>SUM(B83:E83)</f>
        <v>16</v>
      </c>
      <c r="G83" s="26">
        <f>G77</f>
        <v>5</v>
      </c>
      <c r="H83" s="27">
        <f>H77</f>
        <v>6</v>
      </c>
      <c r="I83" s="27">
        <f>I77</f>
        <v>5</v>
      </c>
      <c r="J83" s="42">
        <f>J77</f>
        <v>4</v>
      </c>
      <c r="K83" s="52">
        <f>SUM(G83:J83)</f>
        <v>20</v>
      </c>
      <c r="L83" s="28">
        <f>F83+K83</f>
        <v>36</v>
      </c>
      <c r="O83" s="54" t="s">
        <v>9</v>
      </c>
      <c r="P83" s="26">
        <f>P77</f>
        <v>114</v>
      </c>
      <c r="Q83" s="27">
        <f>Q77</f>
        <v>178</v>
      </c>
      <c r="R83" s="27">
        <f>R77</f>
        <v>160</v>
      </c>
      <c r="S83" s="42">
        <f>S77</f>
        <v>98</v>
      </c>
      <c r="T83" s="28">
        <f>SUM(P83:S83)</f>
        <v>550</v>
      </c>
      <c r="U83" s="26">
        <f>U77</f>
        <v>68</v>
      </c>
      <c r="V83" s="27">
        <f>V77</f>
        <v>80</v>
      </c>
      <c r="W83" s="27">
        <f>W77</f>
        <v>40</v>
      </c>
      <c r="X83" s="42">
        <f>X77</f>
        <v>48</v>
      </c>
      <c r="Y83" s="52">
        <f>SUM(U83:X83)</f>
        <v>236</v>
      </c>
      <c r="Z83" s="28">
        <f>T83+Y83</f>
        <v>786</v>
      </c>
    </row>
    <row r="84" spans="1:27" x14ac:dyDescent="0.15">
      <c r="A84" s="82" t="s">
        <v>10</v>
      </c>
      <c r="B84" s="8">
        <v>3</v>
      </c>
      <c r="C84" s="29">
        <v>3</v>
      </c>
      <c r="D84" s="29">
        <v>3</v>
      </c>
      <c r="E84" s="43">
        <v>3</v>
      </c>
      <c r="F84" s="14">
        <f t="shared" ref="F84:F87" si="63">SUM(B84:E84)</f>
        <v>12</v>
      </c>
      <c r="G84" s="9">
        <v>3</v>
      </c>
      <c r="H84" s="29">
        <v>3</v>
      </c>
      <c r="I84" s="29">
        <v>3</v>
      </c>
      <c r="J84" s="43">
        <v>3</v>
      </c>
      <c r="K84" s="55">
        <f t="shared" ref="K84:K87" si="64">SUM(G84:J84)</f>
        <v>12</v>
      </c>
      <c r="L84" s="14">
        <f t="shared" ref="L84:L116" si="65">F84+K84</f>
        <v>24</v>
      </c>
      <c r="M84" s="7">
        <v>45094</v>
      </c>
      <c r="O84" s="66" t="s">
        <v>10</v>
      </c>
      <c r="P84" s="8"/>
      <c r="Q84" s="29"/>
      <c r="R84" s="29"/>
      <c r="S84" s="43"/>
      <c r="T84" s="14">
        <f t="shared" ref="T84:T87" si="66">SUM(P84:S84)</f>
        <v>0</v>
      </c>
      <c r="U84" s="9"/>
      <c r="V84" s="29"/>
      <c r="W84" s="29"/>
      <c r="X84" s="43"/>
      <c r="Y84" s="55">
        <f t="shared" ref="Y84:Y87" si="67">SUM(U84:X84)</f>
        <v>0</v>
      </c>
      <c r="Z84" s="14">
        <f t="shared" ref="Z84:Z116" si="68">T84+Y84</f>
        <v>0</v>
      </c>
    </row>
    <row r="85" spans="1:27" x14ac:dyDescent="0.15">
      <c r="A85" s="82" t="s">
        <v>3</v>
      </c>
      <c r="B85" s="8"/>
      <c r="C85" s="29">
        <v>3</v>
      </c>
      <c r="D85" s="29">
        <v>3</v>
      </c>
      <c r="E85" s="43">
        <v>3</v>
      </c>
      <c r="F85" s="14">
        <f t="shared" si="63"/>
        <v>9</v>
      </c>
      <c r="G85" s="9"/>
      <c r="H85" s="29"/>
      <c r="I85" s="29"/>
      <c r="J85" s="43"/>
      <c r="K85" s="55">
        <f t="shared" si="64"/>
        <v>0</v>
      </c>
      <c r="L85" s="14">
        <f t="shared" si="65"/>
        <v>9</v>
      </c>
      <c r="M85" s="7">
        <v>45105</v>
      </c>
      <c r="O85" s="66" t="s">
        <v>3</v>
      </c>
      <c r="P85" s="8"/>
      <c r="Q85" s="29"/>
      <c r="R85" s="29"/>
      <c r="S85" s="43"/>
      <c r="T85" s="14">
        <f t="shared" si="66"/>
        <v>0</v>
      </c>
      <c r="U85" s="9"/>
      <c r="V85" s="29"/>
      <c r="W85" s="29"/>
      <c r="X85" s="43"/>
      <c r="Y85" s="55">
        <f t="shared" si="67"/>
        <v>0</v>
      </c>
      <c r="Z85" s="14">
        <f t="shared" si="68"/>
        <v>0</v>
      </c>
    </row>
    <row r="86" spans="1:27" x14ac:dyDescent="0.15">
      <c r="A86" s="66" t="s">
        <v>38</v>
      </c>
      <c r="B86" s="8"/>
      <c r="C86" s="29"/>
      <c r="D86" s="29">
        <v>1</v>
      </c>
      <c r="E86" s="43">
        <v>1</v>
      </c>
      <c r="F86" s="14">
        <f t="shared" si="63"/>
        <v>2</v>
      </c>
      <c r="G86" s="9"/>
      <c r="H86" s="29"/>
      <c r="I86" s="29"/>
      <c r="J86" s="43"/>
      <c r="K86" s="55">
        <f t="shared" si="64"/>
        <v>0</v>
      </c>
      <c r="L86" s="14">
        <f t="shared" si="65"/>
        <v>2</v>
      </c>
      <c r="M86" s="7">
        <v>45104</v>
      </c>
      <c r="O86" s="66" t="s">
        <v>4</v>
      </c>
      <c r="P86" s="8"/>
      <c r="Q86" s="29"/>
      <c r="R86" s="29"/>
      <c r="S86" s="43"/>
      <c r="T86" s="14">
        <f t="shared" si="66"/>
        <v>0</v>
      </c>
      <c r="U86" s="9"/>
      <c r="V86" s="29"/>
      <c r="W86" s="29"/>
      <c r="X86" s="43"/>
      <c r="Y86" s="55">
        <f t="shared" si="67"/>
        <v>0</v>
      </c>
      <c r="Z86" s="14">
        <f t="shared" si="68"/>
        <v>0</v>
      </c>
    </row>
    <row r="87" spans="1:27" ht="14.25" thickBot="1" x14ac:dyDescent="0.2">
      <c r="A87" s="82" t="s">
        <v>5</v>
      </c>
      <c r="B87" s="36"/>
      <c r="C87" s="37"/>
      <c r="D87" s="37"/>
      <c r="E87" s="44"/>
      <c r="F87" s="56">
        <f t="shared" si="63"/>
        <v>0</v>
      </c>
      <c r="G87" s="49"/>
      <c r="H87" s="37"/>
      <c r="I87" s="37"/>
      <c r="J87" s="44">
        <v>5</v>
      </c>
      <c r="K87" s="57">
        <f t="shared" si="64"/>
        <v>5</v>
      </c>
      <c r="L87" s="56">
        <f t="shared" si="65"/>
        <v>5</v>
      </c>
      <c r="M87" s="7">
        <v>45108</v>
      </c>
      <c r="O87" s="66" t="s">
        <v>5</v>
      </c>
      <c r="P87" s="36"/>
      <c r="Q87" s="37"/>
      <c r="R87" s="37"/>
      <c r="S87" s="44"/>
      <c r="T87" s="56">
        <f t="shared" si="66"/>
        <v>0</v>
      </c>
      <c r="U87" s="49"/>
      <c r="V87" s="37"/>
      <c r="W87" s="37"/>
      <c r="X87" s="44"/>
      <c r="Y87" s="57">
        <f t="shared" si="67"/>
        <v>0</v>
      </c>
      <c r="Z87" s="56">
        <f t="shared" si="68"/>
        <v>0</v>
      </c>
    </row>
    <row r="88" spans="1:27" ht="14.25" thickBot="1" x14ac:dyDescent="0.2">
      <c r="A88" s="2" t="s">
        <v>6</v>
      </c>
      <c r="B88" s="30">
        <f>SUM(B83:B87)</f>
        <v>8</v>
      </c>
      <c r="C88" s="31">
        <f>SUM(C83:C87)</f>
        <v>10</v>
      </c>
      <c r="D88" s="31">
        <f>SUM(D83:D87)</f>
        <v>11</v>
      </c>
      <c r="E88" s="45">
        <f>SUM(E83:E87)</f>
        <v>10</v>
      </c>
      <c r="F88" s="32">
        <f>SUM(B88:E88)</f>
        <v>39</v>
      </c>
      <c r="G88" s="41">
        <f>SUM(G83:G87)</f>
        <v>8</v>
      </c>
      <c r="H88" s="31">
        <f>SUM(H83:H87)</f>
        <v>9</v>
      </c>
      <c r="I88" s="31">
        <f>SUM(I83:I87)</f>
        <v>8</v>
      </c>
      <c r="J88" s="45">
        <f>SUM(J83:J87)</f>
        <v>12</v>
      </c>
      <c r="K88" s="32">
        <f>SUM(G88:J88)</f>
        <v>37</v>
      </c>
      <c r="L88" s="50">
        <f t="shared" si="65"/>
        <v>76</v>
      </c>
      <c r="O88" s="2" t="s">
        <v>6</v>
      </c>
      <c r="P88" s="30">
        <f>SUM(P83:P87)</f>
        <v>114</v>
      </c>
      <c r="Q88" s="31">
        <f>SUM(Q83:Q87)</f>
        <v>178</v>
      </c>
      <c r="R88" s="31">
        <f>SUM(R83:R87)</f>
        <v>160</v>
      </c>
      <c r="S88" s="45">
        <f>SUM(S83:S87)</f>
        <v>98</v>
      </c>
      <c r="T88" s="32">
        <f>SUM(P88:S88)</f>
        <v>550</v>
      </c>
      <c r="U88" s="41">
        <f>SUM(U83:U87)</f>
        <v>68</v>
      </c>
      <c r="V88" s="31">
        <f>SUM(V83:V87)</f>
        <v>80</v>
      </c>
      <c r="W88" s="31">
        <f>SUM(W83:W87)</f>
        <v>40</v>
      </c>
      <c r="X88" s="45">
        <f>SUM(X83:X87)</f>
        <v>48</v>
      </c>
      <c r="Y88" s="32">
        <f>SUM(U88:X88)</f>
        <v>236</v>
      </c>
      <c r="Z88" s="50">
        <f t="shared" si="68"/>
        <v>786</v>
      </c>
    </row>
    <row r="89" spans="1:27" x14ac:dyDescent="0.15">
      <c r="A89" s="38" t="s">
        <v>35</v>
      </c>
      <c r="B89" s="12"/>
      <c r="C89" s="13"/>
      <c r="D89" s="13"/>
      <c r="E89" s="46"/>
      <c r="F89" s="6">
        <f>SUM(B89:E89)</f>
        <v>0</v>
      </c>
      <c r="G89" s="13"/>
      <c r="H89" s="13"/>
      <c r="I89" s="13"/>
      <c r="J89" s="46">
        <v>1</v>
      </c>
      <c r="K89" s="6">
        <f>SUM(G89:J89)</f>
        <v>1</v>
      </c>
      <c r="L89" s="14">
        <f t="shared" si="65"/>
        <v>1</v>
      </c>
      <c r="M89" s="7">
        <v>45091</v>
      </c>
      <c r="O89" s="38" t="s">
        <v>69</v>
      </c>
      <c r="P89" s="12"/>
      <c r="Q89" s="13">
        <v>3</v>
      </c>
      <c r="R89" s="13">
        <v>2</v>
      </c>
      <c r="S89" s="46">
        <v>2</v>
      </c>
      <c r="T89" s="6">
        <f>SUM(P89:S89)</f>
        <v>7</v>
      </c>
      <c r="U89" s="13"/>
      <c r="V89" s="13"/>
      <c r="W89" s="13"/>
      <c r="X89" s="46"/>
      <c r="Y89" s="6">
        <f>SUM(U89:X89)</f>
        <v>0</v>
      </c>
      <c r="Z89" s="14">
        <f t="shared" si="68"/>
        <v>7</v>
      </c>
      <c r="AA89" s="7">
        <v>45100</v>
      </c>
    </row>
    <row r="90" spans="1:27" x14ac:dyDescent="0.15">
      <c r="A90" s="38" t="s">
        <v>35</v>
      </c>
      <c r="B90" s="8"/>
      <c r="C90" s="9"/>
      <c r="D90" s="9"/>
      <c r="E90" s="39"/>
      <c r="F90" s="14">
        <f t="shared" ref="F90:F116" si="69">SUM(B90:E90)</f>
        <v>0</v>
      </c>
      <c r="G90" s="9"/>
      <c r="H90" s="9"/>
      <c r="I90" s="9"/>
      <c r="J90" s="39">
        <v>1</v>
      </c>
      <c r="K90" s="14">
        <f t="shared" ref="K90:K116" si="70">SUM(G90:J90)</f>
        <v>1</v>
      </c>
      <c r="L90" s="14">
        <f t="shared" si="65"/>
        <v>1</v>
      </c>
      <c r="M90" s="7">
        <v>45093</v>
      </c>
      <c r="O90" s="33" t="s">
        <v>70</v>
      </c>
      <c r="P90" s="8"/>
      <c r="Q90" s="29">
        <v>10</v>
      </c>
      <c r="R90" s="29"/>
      <c r="S90" s="43"/>
      <c r="T90" s="14">
        <f t="shared" ref="T90:T116" si="71">SUM(P90:S90)</f>
        <v>10</v>
      </c>
      <c r="U90" s="9"/>
      <c r="V90" s="29"/>
      <c r="W90" s="29"/>
      <c r="X90" s="43"/>
      <c r="Y90" s="55">
        <f t="shared" ref="Y90:Y116" si="72">SUM(U90:X90)</f>
        <v>0</v>
      </c>
      <c r="Z90" s="14">
        <f t="shared" si="68"/>
        <v>10</v>
      </c>
      <c r="AA90" s="7">
        <v>45100</v>
      </c>
    </row>
    <row r="91" spans="1:27" x14ac:dyDescent="0.15">
      <c r="A91" s="38" t="s">
        <v>35</v>
      </c>
      <c r="B91" s="8"/>
      <c r="C91" s="9"/>
      <c r="D91" s="9"/>
      <c r="E91" s="39"/>
      <c r="F91" s="14">
        <f t="shared" si="69"/>
        <v>0</v>
      </c>
      <c r="G91" s="9">
        <v>1</v>
      </c>
      <c r="H91" s="9"/>
      <c r="I91" s="9"/>
      <c r="J91" s="39"/>
      <c r="K91" s="14">
        <f t="shared" si="70"/>
        <v>1</v>
      </c>
      <c r="L91" s="14">
        <f t="shared" si="65"/>
        <v>1</v>
      </c>
      <c r="M91" s="7">
        <v>45096</v>
      </c>
      <c r="O91" s="33" t="s">
        <v>71</v>
      </c>
      <c r="P91" s="4"/>
      <c r="Q91" s="5"/>
      <c r="R91" s="5">
        <v>10</v>
      </c>
      <c r="S91" s="60"/>
      <c r="T91" s="10">
        <f t="shared" si="71"/>
        <v>10</v>
      </c>
      <c r="U91" s="5"/>
      <c r="V91" s="5"/>
      <c r="W91" s="5"/>
      <c r="X91" s="60"/>
      <c r="Y91" s="10">
        <f t="shared" si="72"/>
        <v>0</v>
      </c>
      <c r="Z91" s="10">
        <f t="shared" si="68"/>
        <v>10</v>
      </c>
      <c r="AA91" s="7">
        <v>45107</v>
      </c>
    </row>
    <row r="92" spans="1:27" x14ac:dyDescent="0.15">
      <c r="A92" s="38" t="s">
        <v>35</v>
      </c>
      <c r="B92" s="8"/>
      <c r="C92" s="9"/>
      <c r="D92" s="9">
        <v>1</v>
      </c>
      <c r="E92" s="39"/>
      <c r="F92" s="14">
        <f t="shared" si="69"/>
        <v>1</v>
      </c>
      <c r="G92" s="9"/>
      <c r="H92" s="9">
        <v>1</v>
      </c>
      <c r="I92" s="9"/>
      <c r="J92" s="39"/>
      <c r="K92" s="14">
        <f t="shared" si="70"/>
        <v>1</v>
      </c>
      <c r="L92" s="14">
        <f t="shared" si="65"/>
        <v>2</v>
      </c>
      <c r="M92" s="7">
        <v>45098</v>
      </c>
      <c r="O92" s="38" t="s">
        <v>73</v>
      </c>
      <c r="P92" s="8"/>
      <c r="Q92" s="9">
        <v>3</v>
      </c>
      <c r="R92" s="9">
        <v>3</v>
      </c>
      <c r="S92" s="39">
        <v>3</v>
      </c>
      <c r="T92" s="14">
        <f t="shared" si="71"/>
        <v>9</v>
      </c>
      <c r="U92" s="9"/>
      <c r="V92" s="9"/>
      <c r="W92" s="9"/>
      <c r="X92" s="39"/>
      <c r="Y92" s="14">
        <f t="shared" si="72"/>
        <v>0</v>
      </c>
      <c r="Z92" s="14">
        <f t="shared" si="68"/>
        <v>9</v>
      </c>
      <c r="AA92" s="7">
        <v>45105</v>
      </c>
    </row>
    <row r="93" spans="1:27" x14ac:dyDescent="0.15">
      <c r="A93" s="38" t="s">
        <v>35</v>
      </c>
      <c r="B93" s="8"/>
      <c r="C93" s="9">
        <v>2</v>
      </c>
      <c r="D93" s="9">
        <v>1</v>
      </c>
      <c r="E93" s="39">
        <v>1</v>
      </c>
      <c r="F93" s="14">
        <f t="shared" si="69"/>
        <v>4</v>
      </c>
      <c r="G93" s="9"/>
      <c r="H93" s="9"/>
      <c r="I93" s="9"/>
      <c r="J93" s="39">
        <v>1</v>
      </c>
      <c r="K93" s="14">
        <f t="shared" si="70"/>
        <v>1</v>
      </c>
      <c r="L93" s="14">
        <f t="shared" si="65"/>
        <v>5</v>
      </c>
      <c r="M93" s="7">
        <v>45103</v>
      </c>
      <c r="O93" s="38" t="s">
        <v>31</v>
      </c>
      <c r="P93" s="8"/>
      <c r="Q93" s="9"/>
      <c r="R93" s="9"/>
      <c r="S93" s="39"/>
      <c r="T93" s="14">
        <f t="shared" si="71"/>
        <v>0</v>
      </c>
      <c r="U93" s="9"/>
      <c r="V93" s="9"/>
      <c r="W93" s="9"/>
      <c r="X93" s="39">
        <v>5</v>
      </c>
      <c r="Y93" s="14">
        <f t="shared" si="72"/>
        <v>5</v>
      </c>
      <c r="Z93" s="14">
        <f t="shared" si="68"/>
        <v>5</v>
      </c>
      <c r="AA93" s="7">
        <v>45108</v>
      </c>
    </row>
    <row r="94" spans="1:27" x14ac:dyDescent="0.15">
      <c r="A94" s="38" t="s">
        <v>72</v>
      </c>
      <c r="B94" s="8">
        <v>3</v>
      </c>
      <c r="C94" s="9">
        <v>3</v>
      </c>
      <c r="D94" s="9">
        <v>3</v>
      </c>
      <c r="E94" s="39">
        <v>4</v>
      </c>
      <c r="F94" s="14">
        <f t="shared" si="69"/>
        <v>13</v>
      </c>
      <c r="G94" s="9"/>
      <c r="H94" s="9"/>
      <c r="I94" s="9"/>
      <c r="J94" s="39"/>
      <c r="K94" s="14">
        <f t="shared" si="70"/>
        <v>0</v>
      </c>
      <c r="L94" s="14">
        <f t="shared" si="65"/>
        <v>13</v>
      </c>
      <c r="M94" s="7">
        <v>45107</v>
      </c>
      <c r="O94" s="38" t="s">
        <v>75</v>
      </c>
      <c r="P94" s="8">
        <v>2</v>
      </c>
      <c r="Q94" s="9">
        <v>4</v>
      </c>
      <c r="R94" s="9">
        <v>1</v>
      </c>
      <c r="S94" s="39">
        <v>3</v>
      </c>
      <c r="T94" s="14">
        <f t="shared" si="71"/>
        <v>10</v>
      </c>
      <c r="U94" s="9"/>
      <c r="V94" s="9"/>
      <c r="W94" s="9"/>
      <c r="X94" s="39"/>
      <c r="Y94" s="14">
        <f t="shared" si="72"/>
        <v>0</v>
      </c>
      <c r="Z94" s="14">
        <f t="shared" si="68"/>
        <v>10</v>
      </c>
      <c r="AA94" s="7">
        <v>45114</v>
      </c>
    </row>
    <row r="95" spans="1:27" x14ac:dyDescent="0.15">
      <c r="A95" s="38" t="s">
        <v>35</v>
      </c>
      <c r="B95" s="8"/>
      <c r="C95" s="9">
        <v>1</v>
      </c>
      <c r="D95" s="9"/>
      <c r="E95" s="39"/>
      <c r="F95" s="14">
        <f t="shared" si="69"/>
        <v>1</v>
      </c>
      <c r="G95" s="9"/>
      <c r="H95" s="9"/>
      <c r="I95" s="9"/>
      <c r="J95" s="39">
        <v>2</v>
      </c>
      <c r="K95" s="14">
        <f t="shared" si="70"/>
        <v>2</v>
      </c>
      <c r="L95" s="14">
        <f t="shared" si="65"/>
        <v>3</v>
      </c>
      <c r="M95" s="7">
        <v>45104</v>
      </c>
      <c r="O95" s="38" t="s">
        <v>31</v>
      </c>
      <c r="P95" s="8">
        <v>5</v>
      </c>
      <c r="Q95" s="9">
        <v>5</v>
      </c>
      <c r="R95" s="9"/>
      <c r="S95" s="39"/>
      <c r="T95" s="14">
        <f t="shared" si="71"/>
        <v>10</v>
      </c>
      <c r="U95" s="9"/>
      <c r="V95" s="9"/>
      <c r="W95" s="9"/>
      <c r="X95" s="39"/>
      <c r="Y95" s="14">
        <f t="shared" si="72"/>
        <v>0</v>
      </c>
      <c r="Z95" s="14">
        <f t="shared" si="68"/>
        <v>10</v>
      </c>
      <c r="AA95" s="7">
        <v>45112</v>
      </c>
    </row>
    <row r="96" spans="1:27" x14ac:dyDescent="0.15">
      <c r="A96" s="38" t="s">
        <v>35</v>
      </c>
      <c r="B96" s="8"/>
      <c r="C96" s="9"/>
      <c r="D96" s="9"/>
      <c r="E96" s="39"/>
      <c r="F96" s="14">
        <f t="shared" si="69"/>
        <v>0</v>
      </c>
      <c r="G96" s="9">
        <v>1</v>
      </c>
      <c r="H96" s="9"/>
      <c r="I96" s="9"/>
      <c r="J96" s="39"/>
      <c r="K96" s="14">
        <f t="shared" si="70"/>
        <v>1</v>
      </c>
      <c r="L96" s="14">
        <f t="shared" si="65"/>
        <v>1</v>
      </c>
      <c r="M96" s="7">
        <v>45105</v>
      </c>
      <c r="O96" s="38" t="s">
        <v>31</v>
      </c>
      <c r="P96" s="8"/>
      <c r="Q96" s="9"/>
      <c r="R96" s="9">
        <v>3</v>
      </c>
      <c r="S96" s="39">
        <v>3</v>
      </c>
      <c r="T96" s="14">
        <f t="shared" si="71"/>
        <v>6</v>
      </c>
      <c r="U96" s="9"/>
      <c r="V96" s="9"/>
      <c r="W96" s="9"/>
      <c r="X96" s="39">
        <v>3</v>
      </c>
      <c r="Y96" s="14">
        <f t="shared" si="72"/>
        <v>3</v>
      </c>
      <c r="Z96" s="14">
        <f t="shared" si="68"/>
        <v>9</v>
      </c>
      <c r="AA96" s="7">
        <v>45117</v>
      </c>
    </row>
    <row r="97" spans="1:27" x14ac:dyDescent="0.15">
      <c r="A97" s="33" t="s">
        <v>74</v>
      </c>
      <c r="B97" s="8"/>
      <c r="C97" s="9"/>
      <c r="D97" s="9"/>
      <c r="E97" s="39"/>
      <c r="F97" s="14">
        <f t="shared" si="69"/>
        <v>0</v>
      </c>
      <c r="G97" s="9"/>
      <c r="H97" s="9"/>
      <c r="I97" s="9">
        <v>1</v>
      </c>
      <c r="J97" s="39"/>
      <c r="K97" s="14">
        <f t="shared" si="70"/>
        <v>1</v>
      </c>
      <c r="L97" s="14">
        <f t="shared" si="65"/>
        <v>1</v>
      </c>
      <c r="M97" s="7">
        <v>45107</v>
      </c>
      <c r="O97" s="38" t="s">
        <v>77</v>
      </c>
      <c r="P97" s="8">
        <v>7</v>
      </c>
      <c r="Q97" s="9">
        <v>9</v>
      </c>
      <c r="R97" s="9">
        <v>7</v>
      </c>
      <c r="S97" s="39">
        <v>12</v>
      </c>
      <c r="T97" s="14">
        <f t="shared" si="71"/>
        <v>35</v>
      </c>
      <c r="U97" s="9"/>
      <c r="V97" s="9"/>
      <c r="W97" s="9"/>
      <c r="X97" s="39"/>
      <c r="Y97" s="14">
        <f t="shared" si="72"/>
        <v>0</v>
      </c>
      <c r="Z97" s="14">
        <f t="shared" si="68"/>
        <v>35</v>
      </c>
      <c r="AA97" s="7">
        <v>45121</v>
      </c>
    </row>
    <row r="98" spans="1:27" x14ac:dyDescent="0.15">
      <c r="A98" s="38" t="s">
        <v>35</v>
      </c>
      <c r="B98" s="15"/>
      <c r="C98" s="16"/>
      <c r="D98" s="16"/>
      <c r="E98" s="58"/>
      <c r="F98" s="14">
        <f t="shared" si="69"/>
        <v>0</v>
      </c>
      <c r="G98" s="16">
        <v>1</v>
      </c>
      <c r="H98" s="16"/>
      <c r="I98" s="16"/>
      <c r="J98" s="58"/>
      <c r="K98" s="14">
        <f t="shared" si="70"/>
        <v>1</v>
      </c>
      <c r="L98" s="14">
        <f t="shared" si="65"/>
        <v>1</v>
      </c>
      <c r="M98" s="7">
        <v>45106</v>
      </c>
      <c r="O98" s="33"/>
      <c r="P98" s="8"/>
      <c r="Q98" s="9"/>
      <c r="R98" s="9"/>
      <c r="S98" s="39"/>
      <c r="T98" s="14">
        <f t="shared" ref="T98" si="73">SUM(P98:S98)</f>
        <v>0</v>
      </c>
      <c r="U98" s="9"/>
      <c r="V98" s="9"/>
      <c r="W98" s="9"/>
      <c r="X98" s="39"/>
      <c r="Y98" s="14">
        <f t="shared" ref="Y98" si="74">SUM(U98:X98)</f>
        <v>0</v>
      </c>
      <c r="Z98" s="14">
        <f t="shared" ref="Z98" si="75">T98+Y98</f>
        <v>0</v>
      </c>
    </row>
    <row r="99" spans="1:27" x14ac:dyDescent="0.15">
      <c r="A99" s="38" t="s">
        <v>42</v>
      </c>
      <c r="B99" s="8"/>
      <c r="C99" s="9"/>
      <c r="D99" s="9">
        <v>1</v>
      </c>
      <c r="E99" s="39"/>
      <c r="F99" s="14">
        <f t="shared" si="69"/>
        <v>1</v>
      </c>
      <c r="G99" s="9"/>
      <c r="H99" s="9"/>
      <c r="I99" s="9"/>
      <c r="J99" s="39">
        <v>-1</v>
      </c>
      <c r="K99" s="14">
        <f t="shared" si="70"/>
        <v>-1</v>
      </c>
      <c r="L99" s="14">
        <f t="shared" si="65"/>
        <v>0</v>
      </c>
      <c r="M99" s="7">
        <v>45106</v>
      </c>
      <c r="O99" s="33"/>
      <c r="P99" s="8"/>
      <c r="Q99" s="9"/>
      <c r="R99" s="9"/>
      <c r="S99" s="39"/>
      <c r="T99" s="14">
        <f t="shared" si="71"/>
        <v>0</v>
      </c>
      <c r="U99" s="9"/>
      <c r="V99" s="9"/>
      <c r="W99" s="9"/>
      <c r="X99" s="39"/>
      <c r="Y99" s="14">
        <f t="shared" si="72"/>
        <v>0</v>
      </c>
      <c r="Z99" s="14">
        <f t="shared" si="68"/>
        <v>0</v>
      </c>
    </row>
    <row r="100" spans="1:27" x14ac:dyDescent="0.15">
      <c r="A100" s="38" t="s">
        <v>35</v>
      </c>
      <c r="B100" s="8">
        <v>1</v>
      </c>
      <c r="C100" s="9"/>
      <c r="D100" s="9"/>
      <c r="E100" s="39"/>
      <c r="F100" s="14">
        <f t="shared" si="69"/>
        <v>1</v>
      </c>
      <c r="G100" s="9"/>
      <c r="H100" s="9"/>
      <c r="I100" s="9"/>
      <c r="J100" s="39"/>
      <c r="K100" s="14">
        <f t="shared" si="70"/>
        <v>0</v>
      </c>
      <c r="L100" s="14">
        <f t="shared" si="65"/>
        <v>1</v>
      </c>
      <c r="M100" s="7">
        <v>45107</v>
      </c>
      <c r="O100" s="33"/>
      <c r="P100" s="8"/>
      <c r="Q100" s="9"/>
      <c r="R100" s="9"/>
      <c r="S100" s="39"/>
      <c r="T100" s="14">
        <f t="shared" si="71"/>
        <v>0</v>
      </c>
      <c r="U100" s="9"/>
      <c r="V100" s="9"/>
      <c r="W100" s="9"/>
      <c r="X100" s="39"/>
      <c r="Y100" s="14">
        <f t="shared" si="72"/>
        <v>0</v>
      </c>
      <c r="Z100" s="14">
        <f t="shared" si="68"/>
        <v>0</v>
      </c>
    </row>
    <row r="101" spans="1:27" x14ac:dyDescent="0.15">
      <c r="A101" s="38" t="s">
        <v>35</v>
      </c>
      <c r="B101" s="8"/>
      <c r="C101" s="9"/>
      <c r="D101" s="9"/>
      <c r="E101" s="39"/>
      <c r="F101" s="14">
        <f t="shared" si="69"/>
        <v>0</v>
      </c>
      <c r="G101" s="9"/>
      <c r="H101" s="9"/>
      <c r="I101" s="9"/>
      <c r="J101" s="39">
        <v>1</v>
      </c>
      <c r="K101" s="14">
        <f t="shared" si="70"/>
        <v>1</v>
      </c>
      <c r="L101" s="14">
        <f t="shared" si="65"/>
        <v>1</v>
      </c>
      <c r="M101" s="7">
        <v>45108</v>
      </c>
      <c r="O101" s="33"/>
      <c r="P101" s="8"/>
      <c r="Q101" s="9"/>
      <c r="R101" s="9"/>
      <c r="S101" s="39"/>
      <c r="T101" s="14">
        <f t="shared" si="71"/>
        <v>0</v>
      </c>
      <c r="U101" s="9"/>
      <c r="V101" s="9"/>
      <c r="W101" s="9"/>
      <c r="X101" s="39"/>
      <c r="Y101" s="14">
        <f t="shared" si="72"/>
        <v>0</v>
      </c>
      <c r="Z101" s="14">
        <f t="shared" si="68"/>
        <v>0</v>
      </c>
    </row>
    <row r="102" spans="1:27" x14ac:dyDescent="0.15">
      <c r="A102" s="33" t="s">
        <v>51</v>
      </c>
      <c r="B102" s="8"/>
      <c r="C102" s="9"/>
      <c r="D102" s="9"/>
      <c r="E102" s="39"/>
      <c r="F102" s="14">
        <f t="shared" si="69"/>
        <v>0</v>
      </c>
      <c r="G102" s="9"/>
      <c r="H102" s="9">
        <v>1</v>
      </c>
      <c r="I102" s="9"/>
      <c r="J102" s="39"/>
      <c r="K102" s="14">
        <f t="shared" si="70"/>
        <v>1</v>
      </c>
      <c r="L102" s="14">
        <f t="shared" si="65"/>
        <v>1</v>
      </c>
      <c r="M102" s="7">
        <v>45111</v>
      </c>
      <c r="O102" s="33"/>
      <c r="P102" s="8"/>
      <c r="Q102" s="9"/>
      <c r="R102" s="9"/>
      <c r="S102" s="39"/>
      <c r="T102" s="14">
        <f t="shared" si="71"/>
        <v>0</v>
      </c>
      <c r="U102" s="9"/>
      <c r="V102" s="9"/>
      <c r="W102" s="9"/>
      <c r="X102" s="39"/>
      <c r="Y102" s="14">
        <f t="shared" si="72"/>
        <v>0</v>
      </c>
      <c r="Z102" s="14">
        <f t="shared" si="68"/>
        <v>0</v>
      </c>
    </row>
    <row r="103" spans="1:27" x14ac:dyDescent="0.15">
      <c r="A103" s="38" t="s">
        <v>35</v>
      </c>
      <c r="B103" s="8">
        <v>1</v>
      </c>
      <c r="C103" s="9"/>
      <c r="D103" s="9">
        <v>1</v>
      </c>
      <c r="E103" s="39">
        <v>1</v>
      </c>
      <c r="F103" s="14">
        <f t="shared" si="69"/>
        <v>3</v>
      </c>
      <c r="G103" s="9"/>
      <c r="H103" s="9"/>
      <c r="I103" s="9"/>
      <c r="J103" s="39">
        <f>1+1</f>
        <v>2</v>
      </c>
      <c r="K103" s="14">
        <f t="shared" si="70"/>
        <v>2</v>
      </c>
      <c r="L103" s="14">
        <f t="shared" si="65"/>
        <v>5</v>
      </c>
      <c r="M103" s="7">
        <v>45110</v>
      </c>
      <c r="O103" s="33"/>
      <c r="P103" s="8"/>
      <c r="Q103" s="9"/>
      <c r="R103" s="9"/>
      <c r="S103" s="39"/>
      <c r="T103" s="14">
        <f t="shared" si="71"/>
        <v>0</v>
      </c>
      <c r="U103" s="9"/>
      <c r="V103" s="9"/>
      <c r="W103" s="9"/>
      <c r="X103" s="39"/>
      <c r="Y103" s="14">
        <f t="shared" si="72"/>
        <v>0</v>
      </c>
      <c r="Z103" s="14">
        <f t="shared" si="68"/>
        <v>0</v>
      </c>
    </row>
    <row r="104" spans="1:27" x14ac:dyDescent="0.15">
      <c r="A104" s="33" t="s">
        <v>51</v>
      </c>
      <c r="B104" s="8">
        <v>1</v>
      </c>
      <c r="C104" s="9"/>
      <c r="D104" s="9"/>
      <c r="E104" s="39"/>
      <c r="F104" s="14">
        <f t="shared" si="69"/>
        <v>1</v>
      </c>
      <c r="G104" s="9"/>
      <c r="H104" s="9"/>
      <c r="I104" s="9"/>
      <c r="J104" s="39"/>
      <c r="K104" s="14">
        <f t="shared" si="70"/>
        <v>0</v>
      </c>
      <c r="L104" s="14">
        <f t="shared" si="65"/>
        <v>1</v>
      </c>
      <c r="M104" s="7">
        <v>45112</v>
      </c>
      <c r="O104" s="33"/>
      <c r="P104" s="8"/>
      <c r="Q104" s="9"/>
      <c r="R104" s="9"/>
      <c r="S104" s="39"/>
      <c r="T104" s="14">
        <f t="shared" si="71"/>
        <v>0</v>
      </c>
      <c r="U104" s="9"/>
      <c r="V104" s="9"/>
      <c r="W104" s="9"/>
      <c r="X104" s="39"/>
      <c r="Y104" s="14">
        <f t="shared" si="72"/>
        <v>0</v>
      </c>
      <c r="Z104" s="14">
        <f t="shared" si="68"/>
        <v>0</v>
      </c>
    </row>
    <row r="105" spans="1:27" x14ac:dyDescent="0.15">
      <c r="A105" s="38" t="s">
        <v>42</v>
      </c>
      <c r="B105" s="8"/>
      <c r="C105" s="9">
        <v>1</v>
      </c>
      <c r="D105" s="9">
        <v>-1</v>
      </c>
      <c r="E105" s="39"/>
      <c r="F105" s="14">
        <f t="shared" si="69"/>
        <v>0</v>
      </c>
      <c r="G105" s="9"/>
      <c r="H105" s="9"/>
      <c r="I105" s="9"/>
      <c r="J105" s="39"/>
      <c r="K105" s="14">
        <f t="shared" si="70"/>
        <v>0</v>
      </c>
      <c r="L105" s="14">
        <f t="shared" si="65"/>
        <v>0</v>
      </c>
      <c r="M105" s="7">
        <v>45111</v>
      </c>
      <c r="O105" s="33"/>
      <c r="P105" s="8"/>
      <c r="Q105" s="9"/>
      <c r="R105" s="9"/>
      <c r="S105" s="39"/>
      <c r="T105" s="14">
        <f t="shared" si="71"/>
        <v>0</v>
      </c>
      <c r="U105" s="9"/>
      <c r="V105" s="9"/>
      <c r="W105" s="9"/>
      <c r="X105" s="39"/>
      <c r="Y105" s="14">
        <f t="shared" si="72"/>
        <v>0</v>
      </c>
      <c r="Z105" s="14">
        <f t="shared" si="68"/>
        <v>0</v>
      </c>
    </row>
    <row r="106" spans="1:27" x14ac:dyDescent="0.15">
      <c r="A106" s="38" t="s">
        <v>35</v>
      </c>
      <c r="B106" s="8"/>
      <c r="C106" s="9">
        <v>1</v>
      </c>
      <c r="D106" s="9"/>
      <c r="E106" s="39"/>
      <c r="F106" s="14">
        <f t="shared" si="69"/>
        <v>1</v>
      </c>
      <c r="G106" s="9"/>
      <c r="H106" s="9"/>
      <c r="I106" s="9"/>
      <c r="J106" s="39"/>
      <c r="K106" s="14">
        <f t="shared" si="70"/>
        <v>0</v>
      </c>
      <c r="L106" s="14">
        <f t="shared" si="65"/>
        <v>1</v>
      </c>
      <c r="M106" s="7">
        <v>45112</v>
      </c>
      <c r="O106" s="33"/>
      <c r="P106" s="8"/>
      <c r="Q106" s="9"/>
      <c r="R106" s="9"/>
      <c r="S106" s="39"/>
      <c r="T106" s="14">
        <f t="shared" si="71"/>
        <v>0</v>
      </c>
      <c r="U106" s="9"/>
      <c r="V106" s="9"/>
      <c r="W106" s="9"/>
      <c r="X106" s="39"/>
      <c r="Y106" s="14">
        <f t="shared" si="72"/>
        <v>0</v>
      </c>
      <c r="Z106" s="14">
        <f t="shared" si="68"/>
        <v>0</v>
      </c>
    </row>
    <row r="107" spans="1:27" x14ac:dyDescent="0.15">
      <c r="A107" s="38" t="s">
        <v>76</v>
      </c>
      <c r="B107" s="8">
        <v>-5</v>
      </c>
      <c r="C107" s="9">
        <v>-5</v>
      </c>
      <c r="D107" s="9"/>
      <c r="E107" s="39"/>
      <c r="F107" s="14">
        <f t="shared" si="69"/>
        <v>-10</v>
      </c>
      <c r="G107" s="9"/>
      <c r="H107" s="9"/>
      <c r="I107" s="9"/>
      <c r="J107" s="39"/>
      <c r="K107" s="14">
        <f t="shared" si="70"/>
        <v>0</v>
      </c>
      <c r="L107" s="14">
        <f t="shared" si="65"/>
        <v>-10</v>
      </c>
      <c r="M107" s="7">
        <v>45112</v>
      </c>
      <c r="O107" s="33"/>
      <c r="P107" s="8"/>
      <c r="Q107" s="9"/>
      <c r="R107" s="9"/>
      <c r="S107" s="39"/>
      <c r="T107" s="14">
        <f t="shared" si="71"/>
        <v>0</v>
      </c>
      <c r="U107" s="9"/>
      <c r="V107" s="9"/>
      <c r="W107" s="9"/>
      <c r="X107" s="39"/>
      <c r="Y107" s="14">
        <f t="shared" si="72"/>
        <v>0</v>
      </c>
      <c r="Z107" s="14">
        <f t="shared" si="68"/>
        <v>0</v>
      </c>
    </row>
    <row r="108" spans="1:27" x14ac:dyDescent="0.15">
      <c r="A108" s="38" t="s">
        <v>35</v>
      </c>
      <c r="B108" s="8"/>
      <c r="C108" s="9"/>
      <c r="D108" s="9">
        <v>1</v>
      </c>
      <c r="E108" s="39">
        <v>1</v>
      </c>
      <c r="F108" s="14">
        <f t="shared" si="69"/>
        <v>2</v>
      </c>
      <c r="G108" s="9"/>
      <c r="H108" s="9"/>
      <c r="I108" s="9"/>
      <c r="J108" s="39">
        <v>1</v>
      </c>
      <c r="K108" s="14">
        <f t="shared" si="70"/>
        <v>1</v>
      </c>
      <c r="L108" s="14">
        <f t="shared" si="65"/>
        <v>3</v>
      </c>
      <c r="M108" s="7">
        <v>45112</v>
      </c>
      <c r="O108" s="33"/>
      <c r="P108" s="8"/>
      <c r="Q108" s="9"/>
      <c r="R108" s="9"/>
      <c r="S108" s="39"/>
      <c r="T108" s="14">
        <f t="shared" si="71"/>
        <v>0</v>
      </c>
      <c r="U108" s="9"/>
      <c r="V108" s="9"/>
      <c r="W108" s="9"/>
      <c r="X108" s="39"/>
      <c r="Y108" s="14">
        <f t="shared" si="72"/>
        <v>0</v>
      </c>
      <c r="Z108" s="14">
        <f t="shared" si="68"/>
        <v>0</v>
      </c>
    </row>
    <row r="109" spans="1:27" x14ac:dyDescent="0.15">
      <c r="A109" s="38" t="s">
        <v>35</v>
      </c>
      <c r="B109" s="8"/>
      <c r="C109" s="9">
        <v>1</v>
      </c>
      <c r="D109" s="9">
        <v>1</v>
      </c>
      <c r="E109" s="39"/>
      <c r="F109" s="14">
        <f t="shared" si="69"/>
        <v>2</v>
      </c>
      <c r="G109" s="9">
        <v>1</v>
      </c>
      <c r="H109" s="9"/>
      <c r="I109" s="9"/>
      <c r="J109" s="39">
        <v>1</v>
      </c>
      <c r="K109" s="14">
        <f t="shared" si="70"/>
        <v>2</v>
      </c>
      <c r="L109" s="14">
        <f t="shared" si="65"/>
        <v>4</v>
      </c>
      <c r="M109" s="7">
        <v>45113</v>
      </c>
      <c r="O109" s="33"/>
      <c r="P109" s="8"/>
      <c r="Q109" s="9"/>
      <c r="R109" s="9"/>
      <c r="S109" s="39"/>
      <c r="T109" s="14">
        <f t="shared" si="71"/>
        <v>0</v>
      </c>
      <c r="U109" s="9"/>
      <c r="V109" s="9"/>
      <c r="W109" s="9"/>
      <c r="X109" s="39"/>
      <c r="Y109" s="14">
        <f t="shared" si="72"/>
        <v>0</v>
      </c>
      <c r="Z109" s="14">
        <f t="shared" si="68"/>
        <v>0</v>
      </c>
    </row>
    <row r="110" spans="1:27" x14ac:dyDescent="0.15">
      <c r="A110" s="38" t="s">
        <v>35</v>
      </c>
      <c r="B110" s="8"/>
      <c r="C110" s="9">
        <v>1</v>
      </c>
      <c r="D110" s="9"/>
      <c r="E110" s="39"/>
      <c r="F110" s="14">
        <f t="shared" si="69"/>
        <v>1</v>
      </c>
      <c r="G110" s="9"/>
      <c r="H110" s="9"/>
      <c r="I110" s="9"/>
      <c r="J110" s="39">
        <v>1</v>
      </c>
      <c r="K110" s="14">
        <f t="shared" si="70"/>
        <v>1</v>
      </c>
      <c r="L110" s="14">
        <f t="shared" si="65"/>
        <v>2</v>
      </c>
      <c r="M110" s="7">
        <v>45114</v>
      </c>
      <c r="O110" s="35"/>
      <c r="P110" s="8"/>
      <c r="Q110" s="9"/>
      <c r="R110" s="9"/>
      <c r="S110" s="39"/>
      <c r="T110" s="14">
        <f t="shared" si="71"/>
        <v>0</v>
      </c>
      <c r="U110" s="9"/>
      <c r="V110" s="9"/>
      <c r="W110" s="9"/>
      <c r="X110" s="39"/>
      <c r="Y110" s="14">
        <f t="shared" si="72"/>
        <v>0</v>
      </c>
      <c r="Z110" s="14">
        <f t="shared" si="68"/>
        <v>0</v>
      </c>
    </row>
    <row r="111" spans="1:27" x14ac:dyDescent="0.15">
      <c r="A111" s="38" t="s">
        <v>40</v>
      </c>
      <c r="B111" s="8"/>
      <c r="C111" s="9"/>
      <c r="D111" s="9">
        <v>-3</v>
      </c>
      <c r="E111" s="39">
        <v>-3</v>
      </c>
      <c r="F111" s="14">
        <f t="shared" si="69"/>
        <v>-6</v>
      </c>
      <c r="G111" s="9"/>
      <c r="H111" s="9"/>
      <c r="I111" s="9"/>
      <c r="J111" s="39">
        <v>-3</v>
      </c>
      <c r="K111" s="14">
        <f t="shared" si="70"/>
        <v>-3</v>
      </c>
      <c r="L111" s="14">
        <f t="shared" si="65"/>
        <v>-9</v>
      </c>
      <c r="M111" s="7">
        <v>45117</v>
      </c>
      <c r="O111" s="35"/>
      <c r="P111" s="8"/>
      <c r="Q111" s="9"/>
      <c r="R111" s="9"/>
      <c r="S111" s="39"/>
      <c r="T111" s="14">
        <f t="shared" si="71"/>
        <v>0</v>
      </c>
      <c r="U111" s="9"/>
      <c r="V111" s="9"/>
      <c r="W111" s="9"/>
      <c r="X111" s="39"/>
      <c r="Y111" s="14">
        <f t="shared" si="72"/>
        <v>0</v>
      </c>
      <c r="Z111" s="14">
        <f t="shared" si="68"/>
        <v>0</v>
      </c>
    </row>
    <row r="112" spans="1:27" x14ac:dyDescent="0.15">
      <c r="A112" s="38" t="s">
        <v>35</v>
      </c>
      <c r="B112" s="8"/>
      <c r="C112" s="9"/>
      <c r="D112" s="9">
        <v>2</v>
      </c>
      <c r="E112" s="39"/>
      <c r="F112" s="14">
        <f t="shared" si="69"/>
        <v>2</v>
      </c>
      <c r="G112" s="9"/>
      <c r="H112" s="9">
        <v>1</v>
      </c>
      <c r="I112" s="9">
        <v>2</v>
      </c>
      <c r="J112" s="39">
        <v>1</v>
      </c>
      <c r="K112" s="14">
        <f t="shared" si="70"/>
        <v>4</v>
      </c>
      <c r="L112" s="14">
        <f t="shared" si="65"/>
        <v>6</v>
      </c>
      <c r="M112" s="7">
        <v>45117</v>
      </c>
      <c r="O112" s="33"/>
      <c r="P112" s="8"/>
      <c r="Q112" s="9"/>
      <c r="R112" s="9"/>
      <c r="S112" s="39"/>
      <c r="T112" s="14">
        <f t="shared" si="71"/>
        <v>0</v>
      </c>
      <c r="U112" s="9"/>
      <c r="V112" s="9"/>
      <c r="W112" s="9"/>
      <c r="X112" s="39"/>
      <c r="Y112" s="14">
        <f t="shared" si="72"/>
        <v>0</v>
      </c>
      <c r="Z112" s="14">
        <f t="shared" si="68"/>
        <v>0</v>
      </c>
    </row>
    <row r="113" spans="1:27" x14ac:dyDescent="0.15">
      <c r="A113" s="38" t="s">
        <v>35</v>
      </c>
      <c r="B113" s="8">
        <v>1</v>
      </c>
      <c r="C113" s="9">
        <v>2</v>
      </c>
      <c r="D113" s="9"/>
      <c r="E113" s="39"/>
      <c r="F113" s="14">
        <f t="shared" si="69"/>
        <v>3</v>
      </c>
      <c r="G113" s="9"/>
      <c r="H113" s="9"/>
      <c r="I113" s="9"/>
      <c r="J113" s="39">
        <v>1</v>
      </c>
      <c r="K113" s="14">
        <f t="shared" si="70"/>
        <v>1</v>
      </c>
      <c r="L113" s="14">
        <f t="shared" si="65"/>
        <v>4</v>
      </c>
      <c r="M113" s="7">
        <v>45118</v>
      </c>
      <c r="O113" s="33"/>
      <c r="P113" s="8"/>
      <c r="Q113" s="9"/>
      <c r="R113" s="9"/>
      <c r="S113" s="39"/>
      <c r="T113" s="14">
        <f t="shared" si="71"/>
        <v>0</v>
      </c>
      <c r="U113" s="9"/>
      <c r="V113" s="9"/>
      <c r="W113" s="9"/>
      <c r="X113" s="39"/>
      <c r="Y113" s="14">
        <f t="shared" si="72"/>
        <v>0</v>
      </c>
      <c r="Z113" s="14">
        <f t="shared" si="68"/>
        <v>0</v>
      </c>
    </row>
    <row r="114" spans="1:27" ht="14.25" thickBot="1" x14ac:dyDescent="0.2">
      <c r="A114" s="38" t="s">
        <v>35</v>
      </c>
      <c r="B114" s="15"/>
      <c r="C114" s="16"/>
      <c r="D114" s="16">
        <v>1</v>
      </c>
      <c r="E114" s="58"/>
      <c r="F114" s="56">
        <f t="shared" si="69"/>
        <v>1</v>
      </c>
      <c r="G114" s="16">
        <v>1</v>
      </c>
      <c r="H114" s="16"/>
      <c r="I114" s="16"/>
      <c r="J114" s="58"/>
      <c r="K114" s="56">
        <f t="shared" si="70"/>
        <v>1</v>
      </c>
      <c r="L114" s="59">
        <f t="shared" si="65"/>
        <v>2</v>
      </c>
      <c r="M114" s="7">
        <v>45119</v>
      </c>
      <c r="O114" s="35"/>
      <c r="P114" s="15"/>
      <c r="Q114" s="16"/>
      <c r="R114" s="16"/>
      <c r="S114" s="58"/>
      <c r="T114" s="56">
        <f t="shared" si="71"/>
        <v>0</v>
      </c>
      <c r="U114" s="16"/>
      <c r="V114" s="16"/>
      <c r="W114" s="16"/>
      <c r="X114" s="58"/>
      <c r="Y114" s="56">
        <f t="shared" si="72"/>
        <v>0</v>
      </c>
      <c r="Z114" s="59">
        <f t="shared" si="68"/>
        <v>0</v>
      </c>
    </row>
    <row r="115" spans="1:27" ht="14.25" thickBot="1" x14ac:dyDescent="0.2">
      <c r="A115" s="3" t="s">
        <v>7</v>
      </c>
      <c r="B115" s="17">
        <f t="shared" ref="B115:E115" si="76">SUM(B89:B114)</f>
        <v>2</v>
      </c>
      <c r="C115" s="18">
        <f t="shared" si="76"/>
        <v>7</v>
      </c>
      <c r="D115" s="18">
        <f t="shared" si="76"/>
        <v>8</v>
      </c>
      <c r="E115" s="40">
        <f t="shared" si="76"/>
        <v>4</v>
      </c>
      <c r="F115" s="11">
        <f t="shared" si="69"/>
        <v>21</v>
      </c>
      <c r="G115" s="17">
        <f t="shared" ref="G115:J115" si="77">SUM(G89:G114)</f>
        <v>5</v>
      </c>
      <c r="H115" s="18">
        <f t="shared" si="77"/>
        <v>3</v>
      </c>
      <c r="I115" s="18">
        <f t="shared" si="77"/>
        <v>3</v>
      </c>
      <c r="J115" s="40">
        <f t="shared" si="77"/>
        <v>9</v>
      </c>
      <c r="K115" s="11">
        <f t="shared" si="70"/>
        <v>20</v>
      </c>
      <c r="L115" s="11">
        <f t="shared" si="65"/>
        <v>41</v>
      </c>
      <c r="O115" s="3" t="s">
        <v>7</v>
      </c>
      <c r="P115" s="17">
        <f t="shared" ref="P115:S115" si="78">SUM(P89:P114)</f>
        <v>14</v>
      </c>
      <c r="Q115" s="18">
        <f t="shared" si="78"/>
        <v>34</v>
      </c>
      <c r="R115" s="18">
        <f t="shared" si="78"/>
        <v>26</v>
      </c>
      <c r="S115" s="40">
        <f t="shared" si="78"/>
        <v>23</v>
      </c>
      <c r="T115" s="11">
        <f t="shared" si="71"/>
        <v>97</v>
      </c>
      <c r="U115" s="17">
        <f t="shared" ref="U115:X115" si="79">SUM(U89:U114)</f>
        <v>0</v>
      </c>
      <c r="V115" s="18">
        <f t="shared" si="79"/>
        <v>0</v>
      </c>
      <c r="W115" s="18">
        <f t="shared" si="79"/>
        <v>0</v>
      </c>
      <c r="X115" s="40">
        <f t="shared" si="79"/>
        <v>8</v>
      </c>
      <c r="Y115" s="11">
        <f t="shared" si="72"/>
        <v>8</v>
      </c>
      <c r="Z115" s="11">
        <f t="shared" si="68"/>
        <v>105</v>
      </c>
    </row>
    <row r="116" spans="1:27" ht="14.25" thickBot="1" x14ac:dyDescent="0.2">
      <c r="A116" s="19" t="s">
        <v>8</v>
      </c>
      <c r="B116" s="20">
        <f t="shared" ref="B116:E116" si="80">B88-B115</f>
        <v>6</v>
      </c>
      <c r="C116" s="21">
        <f t="shared" si="80"/>
        <v>3</v>
      </c>
      <c r="D116" s="21">
        <f t="shared" si="80"/>
        <v>3</v>
      </c>
      <c r="E116" s="22">
        <f t="shared" si="80"/>
        <v>6</v>
      </c>
      <c r="F116" s="11">
        <f t="shared" si="69"/>
        <v>18</v>
      </c>
      <c r="G116" s="20">
        <f t="shared" ref="G116:J116" si="81">G88-G115</f>
        <v>3</v>
      </c>
      <c r="H116" s="21">
        <f t="shared" si="81"/>
        <v>6</v>
      </c>
      <c r="I116" s="21">
        <f t="shared" si="81"/>
        <v>5</v>
      </c>
      <c r="J116" s="51">
        <f t="shared" si="81"/>
        <v>3</v>
      </c>
      <c r="K116" s="11">
        <f t="shared" si="70"/>
        <v>17</v>
      </c>
      <c r="L116" s="53">
        <f t="shared" si="65"/>
        <v>35</v>
      </c>
      <c r="O116" s="19" t="s">
        <v>8</v>
      </c>
      <c r="P116" s="20">
        <f t="shared" ref="P116:S116" si="82">P88-P115</f>
        <v>100</v>
      </c>
      <c r="Q116" s="21">
        <f t="shared" si="82"/>
        <v>144</v>
      </c>
      <c r="R116" s="21">
        <f t="shared" si="82"/>
        <v>134</v>
      </c>
      <c r="S116" s="22">
        <f t="shared" si="82"/>
        <v>75</v>
      </c>
      <c r="T116" s="11">
        <f t="shared" si="71"/>
        <v>453</v>
      </c>
      <c r="U116" s="20">
        <f t="shared" ref="U116:X116" si="83">U88-U115</f>
        <v>68</v>
      </c>
      <c r="V116" s="21">
        <f t="shared" si="83"/>
        <v>80</v>
      </c>
      <c r="W116" s="21">
        <f t="shared" si="83"/>
        <v>40</v>
      </c>
      <c r="X116" s="51">
        <f t="shared" si="83"/>
        <v>40</v>
      </c>
      <c r="Y116" s="11">
        <f t="shared" si="72"/>
        <v>228</v>
      </c>
      <c r="Z116" s="53">
        <f t="shared" si="68"/>
        <v>681</v>
      </c>
    </row>
    <row r="119" spans="1:27" ht="19.5" thickBot="1" x14ac:dyDescent="0.25">
      <c r="A119" s="1" t="s">
        <v>19</v>
      </c>
      <c r="C119" s="164" t="s">
        <v>20</v>
      </c>
      <c r="D119" s="164"/>
      <c r="O119" s="1" t="s">
        <v>21</v>
      </c>
      <c r="S119" s="164" t="s">
        <v>20</v>
      </c>
      <c r="T119" s="164"/>
    </row>
    <row r="120" spans="1:27" ht="14.25" thickBot="1" x14ac:dyDescent="0.2">
      <c r="A120" s="3" t="s">
        <v>0</v>
      </c>
      <c r="B120" s="165" t="s">
        <v>15</v>
      </c>
      <c r="C120" s="166"/>
      <c r="D120" s="166"/>
      <c r="E120" s="166"/>
      <c r="F120" s="167"/>
      <c r="G120" s="168" t="s">
        <v>18</v>
      </c>
      <c r="H120" s="169"/>
      <c r="I120" s="169"/>
      <c r="J120" s="169"/>
      <c r="K120" s="170"/>
      <c r="L120" s="47"/>
      <c r="O120" s="3" t="s">
        <v>0</v>
      </c>
      <c r="P120" s="165" t="s">
        <v>15</v>
      </c>
      <c r="Q120" s="166"/>
      <c r="R120" s="166"/>
      <c r="S120" s="166"/>
      <c r="T120" s="167"/>
      <c r="U120" s="168" t="s">
        <v>18</v>
      </c>
      <c r="V120" s="169"/>
      <c r="W120" s="169"/>
      <c r="X120" s="169"/>
      <c r="Y120" s="170"/>
      <c r="Z120" s="47"/>
    </row>
    <row r="121" spans="1:27" ht="14.25" thickBot="1" x14ac:dyDescent="0.2">
      <c r="A121" s="3" t="s">
        <v>1</v>
      </c>
      <c r="B121" s="23" t="s">
        <v>11</v>
      </c>
      <c r="C121" s="24" t="s">
        <v>12</v>
      </c>
      <c r="D121" s="24" t="s">
        <v>13</v>
      </c>
      <c r="E121" s="25" t="s">
        <v>14</v>
      </c>
      <c r="F121" s="48" t="s">
        <v>2</v>
      </c>
      <c r="G121" s="23" t="s">
        <v>11</v>
      </c>
      <c r="H121" s="24" t="s">
        <v>12</v>
      </c>
      <c r="I121" s="24" t="s">
        <v>13</v>
      </c>
      <c r="J121" s="25" t="s">
        <v>14</v>
      </c>
      <c r="K121" s="48" t="s">
        <v>2</v>
      </c>
      <c r="L121" s="48" t="s">
        <v>17</v>
      </c>
      <c r="O121" s="3" t="s">
        <v>1</v>
      </c>
      <c r="P121" s="23" t="s">
        <v>11</v>
      </c>
      <c r="Q121" s="24" t="s">
        <v>12</v>
      </c>
      <c r="R121" s="24" t="s">
        <v>13</v>
      </c>
      <c r="S121" s="25" t="s">
        <v>14</v>
      </c>
      <c r="T121" s="48" t="s">
        <v>2</v>
      </c>
      <c r="U121" s="23" t="s">
        <v>11</v>
      </c>
      <c r="V121" s="24" t="s">
        <v>12</v>
      </c>
      <c r="W121" s="24" t="s">
        <v>13</v>
      </c>
      <c r="X121" s="25" t="s">
        <v>14</v>
      </c>
      <c r="Y121" s="48" t="s">
        <v>2</v>
      </c>
      <c r="Z121" s="48" t="s">
        <v>17</v>
      </c>
    </row>
    <row r="122" spans="1:27" x14ac:dyDescent="0.15">
      <c r="A122" s="54" t="s">
        <v>9</v>
      </c>
      <c r="B122" s="26">
        <f>B116</f>
        <v>6</v>
      </c>
      <c r="C122" s="27">
        <f>C116</f>
        <v>3</v>
      </c>
      <c r="D122" s="27">
        <f>D116</f>
        <v>3</v>
      </c>
      <c r="E122" s="42">
        <f>E116</f>
        <v>6</v>
      </c>
      <c r="F122" s="28">
        <f>SUM(B122:E122)</f>
        <v>18</v>
      </c>
      <c r="G122" s="26">
        <f>G116</f>
        <v>3</v>
      </c>
      <c r="H122" s="27">
        <f>H116</f>
        <v>6</v>
      </c>
      <c r="I122" s="27">
        <f>I116</f>
        <v>5</v>
      </c>
      <c r="J122" s="42">
        <f>J116</f>
        <v>3</v>
      </c>
      <c r="K122" s="52">
        <f>SUM(G122:J122)</f>
        <v>17</v>
      </c>
      <c r="L122" s="28">
        <f>F122+K122</f>
        <v>35</v>
      </c>
      <c r="O122" s="54" t="s">
        <v>9</v>
      </c>
      <c r="P122" s="26">
        <f>P116</f>
        <v>100</v>
      </c>
      <c r="Q122" s="27">
        <f>Q116</f>
        <v>144</v>
      </c>
      <c r="R122" s="27">
        <f>R116</f>
        <v>134</v>
      </c>
      <c r="S122" s="42">
        <f>S116</f>
        <v>75</v>
      </c>
      <c r="T122" s="28">
        <f>SUM(P122:S122)</f>
        <v>453</v>
      </c>
      <c r="U122" s="26">
        <f>U116</f>
        <v>68</v>
      </c>
      <c r="V122" s="27">
        <f>V116</f>
        <v>80</v>
      </c>
      <c r="W122" s="27">
        <f>W116</f>
        <v>40</v>
      </c>
      <c r="X122" s="42">
        <f>X116</f>
        <v>40</v>
      </c>
      <c r="Y122" s="52">
        <f>SUM(U122:X122)</f>
        <v>228</v>
      </c>
      <c r="Z122" s="28">
        <f>T122+Y122</f>
        <v>681</v>
      </c>
    </row>
    <row r="123" spans="1:27" x14ac:dyDescent="0.15">
      <c r="A123" s="82" t="s">
        <v>10</v>
      </c>
      <c r="B123" s="8">
        <v>5</v>
      </c>
      <c r="C123" s="29">
        <v>10</v>
      </c>
      <c r="D123" s="29">
        <v>3</v>
      </c>
      <c r="E123" s="43"/>
      <c r="F123" s="14">
        <f t="shared" ref="F123:F124" si="84">SUM(B123:E123)</f>
        <v>18</v>
      </c>
      <c r="G123" s="9">
        <v>3</v>
      </c>
      <c r="H123" s="29"/>
      <c r="I123" s="29"/>
      <c r="J123" s="43">
        <v>5</v>
      </c>
      <c r="K123" s="55">
        <f t="shared" ref="K123:K124" si="85">SUM(G123:J123)</f>
        <v>8</v>
      </c>
      <c r="L123" s="14">
        <f t="shared" ref="L123:L124" si="86">F123+K123</f>
        <v>26</v>
      </c>
      <c r="M123" s="7">
        <v>45122</v>
      </c>
      <c r="O123" s="66" t="s">
        <v>87</v>
      </c>
      <c r="P123" s="8"/>
      <c r="Q123" s="29">
        <v>1</v>
      </c>
      <c r="R123" s="29">
        <v>1</v>
      </c>
      <c r="S123" s="43"/>
      <c r="T123" s="14">
        <f t="shared" ref="T123:T126" si="87">SUM(P123:S123)</f>
        <v>2</v>
      </c>
      <c r="U123" s="9"/>
      <c r="V123" s="29"/>
      <c r="W123" s="29"/>
      <c r="X123" s="43"/>
      <c r="Y123" s="55">
        <f t="shared" ref="Y123:Y126" si="88">SUM(U123:X123)</f>
        <v>0</v>
      </c>
      <c r="Z123" s="14">
        <f t="shared" ref="Z123:Z155" si="89">T123+Y123</f>
        <v>2</v>
      </c>
      <c r="AA123" s="7">
        <v>45136</v>
      </c>
    </row>
    <row r="124" spans="1:27" x14ac:dyDescent="0.15">
      <c r="A124" s="82" t="s">
        <v>3</v>
      </c>
      <c r="B124" s="8"/>
      <c r="C124" s="29"/>
      <c r="D124" s="29"/>
      <c r="E124" s="43"/>
      <c r="F124" s="14">
        <f t="shared" si="84"/>
        <v>0</v>
      </c>
      <c r="G124" s="9">
        <v>3</v>
      </c>
      <c r="H124" s="29">
        <v>3</v>
      </c>
      <c r="I124" s="29"/>
      <c r="J124" s="43"/>
      <c r="K124" s="55">
        <f t="shared" si="85"/>
        <v>6</v>
      </c>
      <c r="L124" s="14">
        <f t="shared" si="86"/>
        <v>6</v>
      </c>
      <c r="M124" s="7">
        <v>45126</v>
      </c>
      <c r="O124" s="66" t="s">
        <v>3</v>
      </c>
      <c r="P124" s="8"/>
      <c r="Q124" s="29"/>
      <c r="R124" s="29"/>
      <c r="S124" s="43"/>
      <c r="T124" s="14">
        <f t="shared" si="87"/>
        <v>0</v>
      </c>
      <c r="U124" s="9"/>
      <c r="V124" s="29"/>
      <c r="W124" s="29"/>
      <c r="X124" s="43"/>
      <c r="Y124" s="55">
        <f t="shared" si="88"/>
        <v>0</v>
      </c>
      <c r="Z124" s="14">
        <f t="shared" si="89"/>
        <v>0</v>
      </c>
    </row>
    <row r="125" spans="1:27" x14ac:dyDescent="0.15">
      <c r="A125" s="82" t="s">
        <v>38</v>
      </c>
      <c r="B125" s="8"/>
      <c r="C125" s="29"/>
      <c r="D125" s="29">
        <v>1</v>
      </c>
      <c r="E125" s="43"/>
      <c r="F125" s="14">
        <f t="shared" ref="F125:F126" si="90">SUM(B125:E125)</f>
        <v>1</v>
      </c>
      <c r="G125" s="9"/>
      <c r="H125" s="29"/>
      <c r="I125" s="29"/>
      <c r="J125" s="43"/>
      <c r="K125" s="55">
        <f t="shared" ref="K125:K126" si="91">SUM(G125:J125)</f>
        <v>0</v>
      </c>
      <c r="L125" s="14">
        <f t="shared" ref="L125:L126" si="92">F125+K125</f>
        <v>1</v>
      </c>
      <c r="M125" s="7">
        <v>45126</v>
      </c>
      <c r="O125" s="66" t="s">
        <v>4</v>
      </c>
      <c r="P125" s="8"/>
      <c r="Q125" s="29"/>
      <c r="R125" s="29"/>
      <c r="S125" s="43"/>
      <c r="T125" s="14">
        <f t="shared" si="87"/>
        <v>0</v>
      </c>
      <c r="U125" s="9"/>
      <c r="V125" s="29"/>
      <c r="W125" s="29"/>
      <c r="X125" s="43"/>
      <c r="Y125" s="55">
        <f t="shared" si="88"/>
        <v>0</v>
      </c>
      <c r="Z125" s="14">
        <f t="shared" si="89"/>
        <v>0</v>
      </c>
    </row>
    <row r="126" spans="1:27" ht="14.25" thickBot="1" x14ac:dyDescent="0.2">
      <c r="A126" s="82" t="s">
        <v>5</v>
      </c>
      <c r="B126" s="36">
        <v>3</v>
      </c>
      <c r="C126" s="37">
        <v>3</v>
      </c>
      <c r="D126" s="37">
        <v>3</v>
      </c>
      <c r="E126" s="44">
        <v>3</v>
      </c>
      <c r="F126" s="56">
        <f t="shared" si="90"/>
        <v>12</v>
      </c>
      <c r="G126" s="49">
        <v>3</v>
      </c>
      <c r="H126" s="37">
        <v>3</v>
      </c>
      <c r="I126" s="37">
        <v>3</v>
      </c>
      <c r="J126" s="44">
        <v>3</v>
      </c>
      <c r="K126" s="57">
        <f t="shared" si="91"/>
        <v>12</v>
      </c>
      <c r="L126" s="56">
        <f t="shared" si="92"/>
        <v>24</v>
      </c>
      <c r="M126" s="7">
        <v>45128</v>
      </c>
      <c r="O126" s="66" t="s">
        <v>5</v>
      </c>
      <c r="P126" s="36"/>
      <c r="Q126" s="37"/>
      <c r="R126" s="37"/>
      <c r="S126" s="44"/>
      <c r="T126" s="56">
        <f t="shared" si="87"/>
        <v>0</v>
      </c>
      <c r="U126" s="49"/>
      <c r="V126" s="37"/>
      <c r="W126" s="37"/>
      <c r="X126" s="44"/>
      <c r="Y126" s="57">
        <f t="shared" si="88"/>
        <v>0</v>
      </c>
      <c r="Z126" s="56">
        <f t="shared" si="89"/>
        <v>0</v>
      </c>
    </row>
    <row r="127" spans="1:27" ht="14.25" thickBot="1" x14ac:dyDescent="0.2">
      <c r="A127" s="2" t="s">
        <v>6</v>
      </c>
      <c r="B127" s="30">
        <f>SUM(B122:B126)</f>
        <v>14</v>
      </c>
      <c r="C127" s="31">
        <f>SUM(C122:C126)</f>
        <v>16</v>
      </c>
      <c r="D127" s="31">
        <f>SUM(D122:D126)</f>
        <v>10</v>
      </c>
      <c r="E127" s="45">
        <f>SUM(E122:E126)</f>
        <v>9</v>
      </c>
      <c r="F127" s="110">
        <f>SUM(B127:E127)</f>
        <v>49</v>
      </c>
      <c r="G127" s="41">
        <f>SUM(G122:G126)</f>
        <v>12</v>
      </c>
      <c r="H127" s="31">
        <f>SUM(H122:H126)</f>
        <v>12</v>
      </c>
      <c r="I127" s="31">
        <f>SUM(I122:I126)</f>
        <v>8</v>
      </c>
      <c r="J127" s="45">
        <f>SUM(J122:J126)</f>
        <v>11</v>
      </c>
      <c r="K127" s="110">
        <f>SUM(G127:J127)</f>
        <v>43</v>
      </c>
      <c r="L127" s="53">
        <f t="shared" ref="L127:L155" si="93">F127+K127</f>
        <v>92</v>
      </c>
      <c r="O127" s="2" t="s">
        <v>6</v>
      </c>
      <c r="P127" s="30">
        <f>SUM(P122:P126)</f>
        <v>100</v>
      </c>
      <c r="Q127" s="31">
        <f>SUM(Q122:Q126)</f>
        <v>145</v>
      </c>
      <c r="R127" s="31">
        <f>SUM(R122:R126)</f>
        <v>135</v>
      </c>
      <c r="S127" s="45">
        <f>SUM(S122:S126)</f>
        <v>75</v>
      </c>
      <c r="T127" s="32">
        <f>SUM(P127:S127)</f>
        <v>455</v>
      </c>
      <c r="U127" s="41">
        <f>SUM(U122:U126)</f>
        <v>68</v>
      </c>
      <c r="V127" s="31">
        <f>SUM(V122:V126)</f>
        <v>80</v>
      </c>
      <c r="W127" s="31">
        <f>SUM(W122:W126)</f>
        <v>40</v>
      </c>
      <c r="X127" s="45">
        <f>SUM(X122:X126)</f>
        <v>40</v>
      </c>
      <c r="Y127" s="32">
        <f>SUM(U127:X127)</f>
        <v>228</v>
      </c>
      <c r="Z127" s="50">
        <f t="shared" si="89"/>
        <v>683</v>
      </c>
    </row>
    <row r="128" spans="1:27" x14ac:dyDescent="0.15">
      <c r="A128" s="33" t="s">
        <v>78</v>
      </c>
      <c r="B128" s="15">
        <v>5</v>
      </c>
      <c r="C128" s="16"/>
      <c r="D128" s="16"/>
      <c r="E128" s="58"/>
      <c r="F128" s="14">
        <f t="shared" ref="F128" si="94">SUM(B128:E128)</f>
        <v>5</v>
      </c>
      <c r="G128" s="16"/>
      <c r="H128" s="16"/>
      <c r="I128" s="16"/>
      <c r="J128" s="58"/>
      <c r="K128" s="14">
        <f t="shared" ref="K128" si="95">SUM(G128:J128)</f>
        <v>0</v>
      </c>
      <c r="L128" s="14">
        <f t="shared" si="93"/>
        <v>5</v>
      </c>
      <c r="M128" s="7">
        <v>45126</v>
      </c>
      <c r="O128" s="35" t="s">
        <v>80</v>
      </c>
      <c r="P128" s="8">
        <v>5</v>
      </c>
      <c r="Q128" s="9">
        <v>10</v>
      </c>
      <c r="R128" s="9">
        <v>3</v>
      </c>
      <c r="S128" s="39"/>
      <c r="T128" s="14">
        <f t="shared" ref="T128:T129" si="96">SUM(P128:S128)</f>
        <v>18</v>
      </c>
      <c r="U128" s="9">
        <v>3</v>
      </c>
      <c r="V128" s="9"/>
      <c r="W128" s="9"/>
      <c r="X128" s="39">
        <v>5</v>
      </c>
      <c r="Y128" s="14">
        <f t="shared" ref="Y128:Y129" si="97">SUM(U128:X128)</f>
        <v>8</v>
      </c>
      <c r="Z128" s="14">
        <f t="shared" si="89"/>
        <v>26</v>
      </c>
      <c r="AA128" s="7">
        <v>45122</v>
      </c>
    </row>
    <row r="129" spans="1:27" x14ac:dyDescent="0.15">
      <c r="A129" s="38" t="s">
        <v>35</v>
      </c>
      <c r="B129" s="8">
        <v>1</v>
      </c>
      <c r="C129" s="9"/>
      <c r="D129" s="9"/>
      <c r="E129" s="39"/>
      <c r="F129" s="14">
        <f t="shared" ref="F129:F149" si="98">SUM(B129:E129)</f>
        <v>1</v>
      </c>
      <c r="G129" s="9"/>
      <c r="H129" s="9"/>
      <c r="I129" s="9"/>
      <c r="J129" s="39"/>
      <c r="K129" s="14">
        <f t="shared" ref="K129:K149" si="99">SUM(G129:J129)</f>
        <v>0</v>
      </c>
      <c r="L129" s="14">
        <f t="shared" ref="L129:L149" si="100">F129+K129</f>
        <v>1</v>
      </c>
      <c r="M129" s="7">
        <v>45120</v>
      </c>
      <c r="O129" s="33" t="s">
        <v>31</v>
      </c>
      <c r="P129" s="8"/>
      <c r="Q129" s="9"/>
      <c r="R129" s="9"/>
      <c r="S129" s="39"/>
      <c r="T129" s="14">
        <f t="shared" si="96"/>
        <v>0</v>
      </c>
      <c r="U129" s="9">
        <v>3</v>
      </c>
      <c r="V129" s="9">
        <v>3</v>
      </c>
      <c r="W129" s="9"/>
      <c r="X129" s="39"/>
      <c r="Y129" s="14">
        <f t="shared" si="97"/>
        <v>6</v>
      </c>
      <c r="Z129" s="14">
        <f t="shared" si="89"/>
        <v>6</v>
      </c>
      <c r="AA129" s="7">
        <v>45126</v>
      </c>
    </row>
    <row r="130" spans="1:27" x14ac:dyDescent="0.15">
      <c r="A130" s="33" t="s">
        <v>79</v>
      </c>
      <c r="B130" s="8"/>
      <c r="C130" s="9">
        <v>6</v>
      </c>
      <c r="D130" s="9"/>
      <c r="E130" s="39"/>
      <c r="F130" s="14">
        <f t="shared" si="98"/>
        <v>6</v>
      </c>
      <c r="G130" s="9"/>
      <c r="H130" s="9"/>
      <c r="I130" s="9"/>
      <c r="J130" s="39"/>
      <c r="K130" s="14">
        <f t="shared" si="99"/>
        <v>0</v>
      </c>
      <c r="L130" s="14">
        <f t="shared" si="100"/>
        <v>6</v>
      </c>
      <c r="M130" s="7">
        <v>45126</v>
      </c>
      <c r="O130" s="38" t="s">
        <v>81</v>
      </c>
      <c r="P130" s="8">
        <v>4</v>
      </c>
      <c r="Q130" s="9">
        <v>6</v>
      </c>
      <c r="R130" s="9">
        <v>6</v>
      </c>
      <c r="S130" s="39">
        <v>10</v>
      </c>
      <c r="T130" s="14">
        <f t="shared" ref="T130:T149" si="101">SUM(P130:S130)</f>
        <v>26</v>
      </c>
      <c r="U130" s="9"/>
      <c r="V130" s="9"/>
      <c r="W130" s="9"/>
      <c r="X130" s="39"/>
      <c r="Y130" s="14">
        <f t="shared" ref="Y130:Y149" si="102">SUM(U130:X130)</f>
        <v>0</v>
      </c>
      <c r="Z130" s="14">
        <f t="shared" ref="Z130:Z149" si="103">T130+Y130</f>
        <v>26</v>
      </c>
      <c r="AA130" s="7">
        <v>45131</v>
      </c>
    </row>
    <row r="131" spans="1:27" x14ac:dyDescent="0.15">
      <c r="A131" s="38" t="s">
        <v>35</v>
      </c>
      <c r="B131" s="8"/>
      <c r="C131" s="9">
        <v>1</v>
      </c>
      <c r="D131" s="9"/>
      <c r="E131" s="39"/>
      <c r="F131" s="14">
        <f t="shared" si="98"/>
        <v>1</v>
      </c>
      <c r="G131" s="9"/>
      <c r="H131" s="9">
        <v>1</v>
      </c>
      <c r="I131" s="9"/>
      <c r="J131" s="39">
        <v>2</v>
      </c>
      <c r="K131" s="14">
        <f t="shared" si="99"/>
        <v>3</v>
      </c>
      <c r="L131" s="14">
        <f t="shared" si="100"/>
        <v>4</v>
      </c>
      <c r="M131" s="7">
        <v>45121</v>
      </c>
      <c r="O131" s="33" t="s">
        <v>31</v>
      </c>
      <c r="P131" s="8">
        <v>3</v>
      </c>
      <c r="Q131" s="9">
        <v>3</v>
      </c>
      <c r="R131" s="9">
        <v>3</v>
      </c>
      <c r="S131" s="39">
        <v>3</v>
      </c>
      <c r="T131" s="14">
        <f t="shared" si="101"/>
        <v>12</v>
      </c>
      <c r="U131" s="9">
        <v>3</v>
      </c>
      <c r="V131" s="9">
        <v>3</v>
      </c>
      <c r="W131" s="9">
        <v>3</v>
      </c>
      <c r="X131" s="39">
        <v>3</v>
      </c>
      <c r="Y131" s="14">
        <f t="shared" si="102"/>
        <v>12</v>
      </c>
      <c r="Z131" s="14">
        <f t="shared" si="103"/>
        <v>24</v>
      </c>
      <c r="AA131" s="7">
        <v>45128</v>
      </c>
    </row>
    <row r="132" spans="1:27" x14ac:dyDescent="0.15">
      <c r="A132" s="38" t="s">
        <v>35</v>
      </c>
      <c r="B132" s="8">
        <v>1</v>
      </c>
      <c r="C132" s="9">
        <f>1+1</f>
        <v>2</v>
      </c>
      <c r="D132" s="9"/>
      <c r="E132" s="39"/>
      <c r="F132" s="14">
        <f t="shared" si="98"/>
        <v>3</v>
      </c>
      <c r="G132" s="9">
        <f>1+2</f>
        <v>3</v>
      </c>
      <c r="H132" s="9">
        <f>1+2</f>
        <v>3</v>
      </c>
      <c r="I132" s="9"/>
      <c r="J132" s="39">
        <v>1</v>
      </c>
      <c r="K132" s="14">
        <f t="shared" si="99"/>
        <v>7</v>
      </c>
      <c r="L132" s="14">
        <f t="shared" si="100"/>
        <v>10</v>
      </c>
      <c r="M132" s="7">
        <v>45125</v>
      </c>
      <c r="O132" s="33" t="s">
        <v>31</v>
      </c>
      <c r="P132" s="8">
        <v>6</v>
      </c>
      <c r="Q132" s="9"/>
      <c r="R132" s="9"/>
      <c r="S132" s="39"/>
      <c r="T132" s="14">
        <f t="shared" si="101"/>
        <v>6</v>
      </c>
      <c r="U132" s="9"/>
      <c r="V132" s="9"/>
      <c r="W132" s="9"/>
      <c r="X132" s="39"/>
      <c r="Y132" s="14">
        <f t="shared" si="102"/>
        <v>0</v>
      </c>
      <c r="Z132" s="14">
        <f t="shared" si="103"/>
        <v>6</v>
      </c>
      <c r="AA132" s="7">
        <v>45132</v>
      </c>
    </row>
    <row r="133" spans="1:27" x14ac:dyDescent="0.15">
      <c r="A133" s="38" t="s">
        <v>35</v>
      </c>
      <c r="B133" s="8"/>
      <c r="C133" s="9">
        <v>1</v>
      </c>
      <c r="D133" s="9"/>
      <c r="E133" s="39">
        <v>2</v>
      </c>
      <c r="F133" s="14">
        <f t="shared" si="98"/>
        <v>3</v>
      </c>
      <c r="G133" s="9">
        <v>1</v>
      </c>
      <c r="H133" s="9">
        <v>1</v>
      </c>
      <c r="I133" s="9"/>
      <c r="J133" s="39">
        <f>1+1</f>
        <v>2</v>
      </c>
      <c r="K133" s="14">
        <f t="shared" si="99"/>
        <v>4</v>
      </c>
      <c r="L133" s="14">
        <f t="shared" si="100"/>
        <v>7</v>
      </c>
      <c r="M133" s="7">
        <v>45127</v>
      </c>
      <c r="O133" s="38" t="s">
        <v>84</v>
      </c>
      <c r="P133" s="8">
        <v>6</v>
      </c>
      <c r="Q133" s="9">
        <v>11</v>
      </c>
      <c r="R133" s="9">
        <v>4</v>
      </c>
      <c r="S133" s="39">
        <v>5</v>
      </c>
      <c r="T133" s="14">
        <f t="shared" si="101"/>
        <v>26</v>
      </c>
      <c r="U133" s="9"/>
      <c r="V133" s="9"/>
      <c r="W133" s="9"/>
      <c r="X133" s="39"/>
      <c r="Y133" s="14">
        <f t="shared" si="102"/>
        <v>0</v>
      </c>
      <c r="Z133" s="14">
        <f t="shared" si="103"/>
        <v>26</v>
      </c>
      <c r="AA133" s="7">
        <v>45135</v>
      </c>
    </row>
    <row r="134" spans="1:27" x14ac:dyDescent="0.15">
      <c r="A134" s="38" t="s">
        <v>35</v>
      </c>
      <c r="B134" s="8"/>
      <c r="C134" s="9">
        <v>1</v>
      </c>
      <c r="D134" s="9"/>
      <c r="E134" s="39">
        <v>1</v>
      </c>
      <c r="F134" s="14">
        <f t="shared" si="98"/>
        <v>2</v>
      </c>
      <c r="G134" s="9"/>
      <c r="H134" s="9"/>
      <c r="I134" s="9"/>
      <c r="J134" s="39"/>
      <c r="K134" s="14">
        <f t="shared" si="99"/>
        <v>0</v>
      </c>
      <c r="L134" s="14">
        <f t="shared" si="100"/>
        <v>2</v>
      </c>
      <c r="M134" s="7">
        <v>45128</v>
      </c>
      <c r="O134" s="33" t="s">
        <v>85</v>
      </c>
      <c r="P134" s="8"/>
      <c r="Q134" s="9"/>
      <c r="R134" s="9">
        <v>8</v>
      </c>
      <c r="S134" s="39">
        <v>4</v>
      </c>
      <c r="T134" s="14">
        <f t="shared" si="101"/>
        <v>12</v>
      </c>
      <c r="U134" s="9"/>
      <c r="V134" s="9"/>
      <c r="W134" s="9"/>
      <c r="X134" s="39"/>
      <c r="Y134" s="14">
        <f t="shared" si="102"/>
        <v>0</v>
      </c>
      <c r="Z134" s="14">
        <f t="shared" si="103"/>
        <v>12</v>
      </c>
      <c r="AA134" s="7">
        <v>45138</v>
      </c>
    </row>
    <row r="135" spans="1:27" x14ac:dyDescent="0.15">
      <c r="A135" s="38" t="s">
        <v>35</v>
      </c>
      <c r="B135" s="8"/>
      <c r="C135" s="9">
        <v>1</v>
      </c>
      <c r="D135" s="9"/>
      <c r="E135" s="39"/>
      <c r="F135" s="14">
        <f t="shared" si="98"/>
        <v>1</v>
      </c>
      <c r="G135" s="9"/>
      <c r="H135" s="9">
        <v>1</v>
      </c>
      <c r="I135" s="9">
        <v>2</v>
      </c>
      <c r="J135" s="39"/>
      <c r="K135" s="14">
        <f t="shared" si="99"/>
        <v>3</v>
      </c>
      <c r="L135" s="14">
        <f t="shared" si="100"/>
        <v>4</v>
      </c>
      <c r="M135" s="7">
        <v>45131</v>
      </c>
      <c r="O135" s="33" t="s">
        <v>31</v>
      </c>
      <c r="P135" s="8"/>
      <c r="Q135" s="9">
        <v>3</v>
      </c>
      <c r="R135" s="9"/>
      <c r="S135" s="39">
        <v>3</v>
      </c>
      <c r="T135" s="14">
        <f t="shared" si="101"/>
        <v>6</v>
      </c>
      <c r="U135" s="9"/>
      <c r="V135" s="9">
        <v>3</v>
      </c>
      <c r="W135" s="9"/>
      <c r="X135" s="39">
        <v>3</v>
      </c>
      <c r="Y135" s="14">
        <f t="shared" si="102"/>
        <v>6</v>
      </c>
      <c r="Z135" s="14">
        <f t="shared" si="103"/>
        <v>12</v>
      </c>
      <c r="AA135" s="7">
        <v>45134</v>
      </c>
    </row>
    <row r="136" spans="1:27" x14ac:dyDescent="0.15">
      <c r="A136" s="38" t="s">
        <v>82</v>
      </c>
      <c r="B136" s="8">
        <v>-6</v>
      </c>
      <c r="C136" s="9"/>
      <c r="D136" s="9"/>
      <c r="E136" s="39"/>
      <c r="F136" s="14">
        <f t="shared" si="98"/>
        <v>-6</v>
      </c>
      <c r="G136" s="9"/>
      <c r="H136" s="9"/>
      <c r="I136" s="9"/>
      <c r="J136" s="39"/>
      <c r="K136" s="14">
        <f t="shared" si="99"/>
        <v>0</v>
      </c>
      <c r="L136" s="14">
        <f t="shared" si="100"/>
        <v>-6</v>
      </c>
      <c r="M136" s="7">
        <v>45132</v>
      </c>
      <c r="O136" s="35"/>
      <c r="P136" s="8"/>
      <c r="Q136" s="9"/>
      <c r="R136" s="9"/>
      <c r="S136" s="39"/>
      <c r="T136" s="14">
        <f t="shared" ref="T136" si="104">SUM(P136:S136)</f>
        <v>0</v>
      </c>
      <c r="U136" s="9"/>
      <c r="V136" s="9"/>
      <c r="W136" s="9"/>
      <c r="X136" s="39"/>
      <c r="Y136" s="14">
        <f t="shared" ref="Y136" si="105">SUM(U136:X136)</f>
        <v>0</v>
      </c>
      <c r="Z136" s="14">
        <f t="shared" ref="Z136" si="106">T136+Y136</f>
        <v>0</v>
      </c>
    </row>
    <row r="137" spans="1:27" x14ac:dyDescent="0.15">
      <c r="A137" s="38" t="s">
        <v>35</v>
      </c>
      <c r="B137" s="8"/>
      <c r="C137" s="9"/>
      <c r="D137" s="9">
        <v>2</v>
      </c>
      <c r="E137" s="39">
        <v>1</v>
      </c>
      <c r="F137" s="14">
        <f t="shared" ref="F137:F138" si="107">SUM(B137:E137)</f>
        <v>3</v>
      </c>
      <c r="G137" s="9">
        <v>1</v>
      </c>
      <c r="H137" s="9">
        <v>1</v>
      </c>
      <c r="I137" s="9">
        <v>1</v>
      </c>
      <c r="J137" s="39">
        <v>1</v>
      </c>
      <c r="K137" s="14">
        <f t="shared" ref="K137:K138" si="108">SUM(G137:J137)</f>
        <v>4</v>
      </c>
      <c r="L137" s="14">
        <f t="shared" ref="L137:L138" si="109">F137+K137</f>
        <v>7</v>
      </c>
      <c r="M137" s="7">
        <v>45132</v>
      </c>
      <c r="O137" s="35"/>
      <c r="P137" s="8"/>
      <c r="Q137" s="9"/>
      <c r="R137" s="9"/>
      <c r="S137" s="39"/>
      <c r="T137" s="14">
        <f t="shared" si="101"/>
        <v>0</v>
      </c>
      <c r="U137" s="9"/>
      <c r="V137" s="9"/>
      <c r="W137" s="9"/>
      <c r="X137" s="39"/>
      <c r="Y137" s="14">
        <f t="shared" si="102"/>
        <v>0</v>
      </c>
      <c r="Z137" s="14">
        <f t="shared" si="103"/>
        <v>0</v>
      </c>
    </row>
    <row r="138" spans="1:27" x14ac:dyDescent="0.15">
      <c r="A138" s="33" t="s">
        <v>83</v>
      </c>
      <c r="B138" s="8">
        <v>6</v>
      </c>
      <c r="C138" s="9"/>
      <c r="D138" s="9"/>
      <c r="E138" s="39"/>
      <c r="F138" s="14">
        <f t="shared" si="107"/>
        <v>6</v>
      </c>
      <c r="G138" s="9"/>
      <c r="H138" s="9"/>
      <c r="I138" s="9"/>
      <c r="J138" s="39"/>
      <c r="K138" s="14">
        <f t="shared" si="108"/>
        <v>0</v>
      </c>
      <c r="L138" s="14">
        <f t="shared" si="109"/>
        <v>6</v>
      </c>
      <c r="M138" s="7">
        <v>45135</v>
      </c>
      <c r="O138" s="35"/>
      <c r="P138" s="8"/>
      <c r="Q138" s="9"/>
      <c r="R138" s="9"/>
      <c r="S138" s="39"/>
      <c r="T138" s="14">
        <f t="shared" si="101"/>
        <v>0</v>
      </c>
      <c r="U138" s="9"/>
      <c r="V138" s="9"/>
      <c r="W138" s="9"/>
      <c r="X138" s="39"/>
      <c r="Y138" s="14">
        <f t="shared" si="102"/>
        <v>0</v>
      </c>
      <c r="Z138" s="14">
        <f t="shared" si="103"/>
        <v>0</v>
      </c>
    </row>
    <row r="139" spans="1:27" x14ac:dyDescent="0.15">
      <c r="A139" s="38" t="s">
        <v>35</v>
      </c>
      <c r="B139" s="8"/>
      <c r="C139" s="9">
        <v>1</v>
      </c>
      <c r="D139" s="9"/>
      <c r="E139" s="39">
        <v>1</v>
      </c>
      <c r="F139" s="14">
        <f t="shared" si="98"/>
        <v>2</v>
      </c>
      <c r="G139" s="9">
        <v>1</v>
      </c>
      <c r="H139" s="9">
        <v>1</v>
      </c>
      <c r="I139" s="9"/>
      <c r="J139" s="39">
        <v>1</v>
      </c>
      <c r="K139" s="14">
        <f t="shared" si="99"/>
        <v>3</v>
      </c>
      <c r="L139" s="14">
        <f t="shared" si="100"/>
        <v>5</v>
      </c>
      <c r="M139" s="7">
        <v>45133</v>
      </c>
      <c r="O139" s="35"/>
      <c r="P139" s="8"/>
      <c r="Q139" s="9"/>
      <c r="R139" s="9"/>
      <c r="S139" s="39"/>
      <c r="T139" s="14">
        <f t="shared" si="101"/>
        <v>0</v>
      </c>
      <c r="U139" s="9"/>
      <c r="V139" s="9"/>
      <c r="W139" s="9"/>
      <c r="X139" s="39"/>
      <c r="Y139" s="14">
        <f t="shared" si="102"/>
        <v>0</v>
      </c>
      <c r="Z139" s="14">
        <f t="shared" si="103"/>
        <v>0</v>
      </c>
    </row>
    <row r="140" spans="1:27" x14ac:dyDescent="0.15">
      <c r="A140" s="38" t="s">
        <v>86</v>
      </c>
      <c r="B140" s="8"/>
      <c r="C140" s="9">
        <v>-3</v>
      </c>
      <c r="D140" s="9"/>
      <c r="E140" s="39">
        <v>-3</v>
      </c>
      <c r="F140" s="14">
        <f t="shared" si="98"/>
        <v>-6</v>
      </c>
      <c r="G140" s="9"/>
      <c r="H140" s="9">
        <v>-3</v>
      </c>
      <c r="I140" s="9"/>
      <c r="J140" s="39">
        <v>-3</v>
      </c>
      <c r="K140" s="14">
        <f t="shared" si="99"/>
        <v>-6</v>
      </c>
      <c r="L140" s="14">
        <f t="shared" si="100"/>
        <v>-12</v>
      </c>
      <c r="M140" s="7">
        <v>45134</v>
      </c>
      <c r="O140" s="35"/>
      <c r="P140" s="8"/>
      <c r="Q140" s="9"/>
      <c r="R140" s="9"/>
      <c r="S140" s="39"/>
      <c r="T140" s="14">
        <f t="shared" si="101"/>
        <v>0</v>
      </c>
      <c r="U140" s="9"/>
      <c r="V140" s="9"/>
      <c r="W140" s="9"/>
      <c r="X140" s="39"/>
      <c r="Y140" s="14">
        <f t="shared" si="102"/>
        <v>0</v>
      </c>
      <c r="Z140" s="14">
        <f t="shared" si="103"/>
        <v>0</v>
      </c>
    </row>
    <row r="141" spans="1:27" x14ac:dyDescent="0.15">
      <c r="A141" s="38" t="s">
        <v>35</v>
      </c>
      <c r="B141" s="8"/>
      <c r="C141" s="9">
        <v>1</v>
      </c>
      <c r="D141" s="9"/>
      <c r="E141" s="39"/>
      <c r="F141" s="14">
        <f t="shared" si="98"/>
        <v>1</v>
      </c>
      <c r="G141" s="9"/>
      <c r="H141" s="9"/>
      <c r="I141" s="9"/>
      <c r="J141" s="39"/>
      <c r="K141" s="14">
        <f t="shared" si="99"/>
        <v>0</v>
      </c>
      <c r="L141" s="14">
        <f t="shared" si="100"/>
        <v>1</v>
      </c>
      <c r="M141" s="7">
        <v>45134</v>
      </c>
      <c r="O141" s="35"/>
      <c r="P141" s="8"/>
      <c r="Q141" s="9"/>
      <c r="R141" s="9"/>
      <c r="S141" s="39"/>
      <c r="T141" s="14">
        <f t="shared" si="101"/>
        <v>0</v>
      </c>
      <c r="U141" s="9"/>
      <c r="V141" s="9"/>
      <c r="W141" s="9"/>
      <c r="X141" s="39"/>
      <c r="Y141" s="14">
        <f t="shared" si="102"/>
        <v>0</v>
      </c>
      <c r="Z141" s="14">
        <f t="shared" si="103"/>
        <v>0</v>
      </c>
    </row>
    <row r="142" spans="1:27" x14ac:dyDescent="0.15">
      <c r="A142" s="38" t="s">
        <v>35</v>
      </c>
      <c r="B142" s="8"/>
      <c r="C142" s="9"/>
      <c r="D142" s="9"/>
      <c r="E142" s="39"/>
      <c r="F142" s="14">
        <f t="shared" si="98"/>
        <v>0</v>
      </c>
      <c r="G142" s="9">
        <v>1</v>
      </c>
      <c r="H142" s="9"/>
      <c r="I142" s="9"/>
      <c r="J142" s="39"/>
      <c r="K142" s="14">
        <f t="shared" si="99"/>
        <v>1</v>
      </c>
      <c r="L142" s="14">
        <f t="shared" si="100"/>
        <v>1</v>
      </c>
      <c r="M142" s="7">
        <v>45136</v>
      </c>
      <c r="O142" s="35"/>
      <c r="P142" s="8"/>
      <c r="Q142" s="9"/>
      <c r="R142" s="9"/>
      <c r="S142" s="39"/>
      <c r="T142" s="14">
        <f t="shared" si="101"/>
        <v>0</v>
      </c>
      <c r="U142" s="9"/>
      <c r="V142" s="9"/>
      <c r="W142" s="9"/>
      <c r="X142" s="39"/>
      <c r="Y142" s="14">
        <f t="shared" si="102"/>
        <v>0</v>
      </c>
      <c r="Z142" s="14">
        <f t="shared" si="103"/>
        <v>0</v>
      </c>
    </row>
    <row r="143" spans="1:27" x14ac:dyDescent="0.15">
      <c r="A143" s="38" t="s">
        <v>35</v>
      </c>
      <c r="B143" s="8"/>
      <c r="C143" s="9"/>
      <c r="D143" s="9"/>
      <c r="E143" s="39">
        <v>1</v>
      </c>
      <c r="F143" s="14">
        <f t="shared" si="98"/>
        <v>1</v>
      </c>
      <c r="G143" s="9">
        <v>2</v>
      </c>
      <c r="H143" s="9">
        <v>1</v>
      </c>
      <c r="I143" s="9"/>
      <c r="J143" s="39">
        <v>1</v>
      </c>
      <c r="K143" s="14">
        <f t="shared" si="99"/>
        <v>4</v>
      </c>
      <c r="L143" s="14">
        <f t="shared" si="100"/>
        <v>5</v>
      </c>
      <c r="M143" s="7">
        <v>45138</v>
      </c>
      <c r="O143" s="35"/>
      <c r="P143" s="8"/>
      <c r="Q143" s="9"/>
      <c r="R143" s="9"/>
      <c r="S143" s="39"/>
      <c r="T143" s="14">
        <f t="shared" si="101"/>
        <v>0</v>
      </c>
      <c r="U143" s="9"/>
      <c r="V143" s="9"/>
      <c r="W143" s="9"/>
      <c r="X143" s="39"/>
      <c r="Y143" s="14">
        <f t="shared" si="102"/>
        <v>0</v>
      </c>
      <c r="Z143" s="14">
        <f t="shared" si="103"/>
        <v>0</v>
      </c>
    </row>
    <row r="144" spans="1:27" x14ac:dyDescent="0.15">
      <c r="A144" s="38"/>
      <c r="B144" s="8"/>
      <c r="C144" s="9"/>
      <c r="D144" s="9"/>
      <c r="E144" s="39"/>
      <c r="F144" s="14">
        <f t="shared" si="98"/>
        <v>0</v>
      </c>
      <c r="G144" s="9"/>
      <c r="H144" s="9"/>
      <c r="I144" s="9"/>
      <c r="J144" s="39"/>
      <c r="K144" s="14">
        <f t="shared" si="99"/>
        <v>0</v>
      </c>
      <c r="L144" s="14">
        <f t="shared" si="100"/>
        <v>0</v>
      </c>
      <c r="M144" s="7"/>
      <c r="O144" s="35"/>
      <c r="P144" s="8"/>
      <c r="Q144" s="9"/>
      <c r="R144" s="9"/>
      <c r="S144" s="39"/>
      <c r="T144" s="14">
        <f t="shared" si="101"/>
        <v>0</v>
      </c>
      <c r="U144" s="9"/>
      <c r="V144" s="9"/>
      <c r="W144" s="9"/>
      <c r="X144" s="39"/>
      <c r="Y144" s="14">
        <f t="shared" si="102"/>
        <v>0</v>
      </c>
      <c r="Z144" s="14">
        <f t="shared" si="103"/>
        <v>0</v>
      </c>
    </row>
    <row r="145" spans="1:26" x14ac:dyDescent="0.15">
      <c r="A145" s="38"/>
      <c r="B145" s="8"/>
      <c r="C145" s="9"/>
      <c r="D145" s="9"/>
      <c r="E145" s="39"/>
      <c r="F145" s="14">
        <f t="shared" si="98"/>
        <v>0</v>
      </c>
      <c r="G145" s="9"/>
      <c r="H145" s="9"/>
      <c r="I145" s="9"/>
      <c r="J145" s="39"/>
      <c r="K145" s="14">
        <f t="shared" si="99"/>
        <v>0</v>
      </c>
      <c r="L145" s="14">
        <f t="shared" si="100"/>
        <v>0</v>
      </c>
      <c r="M145" s="7"/>
      <c r="O145" s="35"/>
      <c r="P145" s="8"/>
      <c r="Q145" s="9"/>
      <c r="R145" s="9"/>
      <c r="S145" s="39"/>
      <c r="T145" s="14">
        <f t="shared" si="101"/>
        <v>0</v>
      </c>
      <c r="U145" s="9"/>
      <c r="V145" s="9"/>
      <c r="W145" s="9"/>
      <c r="X145" s="39"/>
      <c r="Y145" s="14">
        <f t="shared" si="102"/>
        <v>0</v>
      </c>
      <c r="Z145" s="14">
        <f t="shared" si="103"/>
        <v>0</v>
      </c>
    </row>
    <row r="146" spans="1:26" x14ac:dyDescent="0.15">
      <c r="A146" s="38"/>
      <c r="B146" s="8"/>
      <c r="C146" s="9"/>
      <c r="D146" s="9"/>
      <c r="E146" s="39"/>
      <c r="F146" s="14">
        <f t="shared" si="98"/>
        <v>0</v>
      </c>
      <c r="G146" s="9"/>
      <c r="H146" s="9"/>
      <c r="I146" s="9"/>
      <c r="J146" s="39"/>
      <c r="K146" s="14">
        <f t="shared" si="99"/>
        <v>0</v>
      </c>
      <c r="L146" s="14">
        <f t="shared" si="100"/>
        <v>0</v>
      </c>
      <c r="M146" s="7"/>
      <c r="O146" s="35"/>
      <c r="P146" s="8"/>
      <c r="Q146" s="9"/>
      <c r="R146" s="9"/>
      <c r="S146" s="39"/>
      <c r="T146" s="14">
        <f t="shared" si="101"/>
        <v>0</v>
      </c>
      <c r="U146" s="9"/>
      <c r="V146" s="9"/>
      <c r="W146" s="9"/>
      <c r="X146" s="39"/>
      <c r="Y146" s="14">
        <f t="shared" si="102"/>
        <v>0</v>
      </c>
      <c r="Z146" s="14">
        <f t="shared" si="103"/>
        <v>0</v>
      </c>
    </row>
    <row r="147" spans="1:26" x14ac:dyDescent="0.15">
      <c r="A147" s="38"/>
      <c r="B147" s="8"/>
      <c r="C147" s="9"/>
      <c r="D147" s="9"/>
      <c r="E147" s="39"/>
      <c r="F147" s="14">
        <f t="shared" si="98"/>
        <v>0</v>
      </c>
      <c r="G147" s="9"/>
      <c r="H147" s="9"/>
      <c r="I147" s="9"/>
      <c r="J147" s="39"/>
      <c r="K147" s="14">
        <f t="shared" si="99"/>
        <v>0</v>
      </c>
      <c r="L147" s="14">
        <f t="shared" si="100"/>
        <v>0</v>
      </c>
      <c r="M147" s="7"/>
      <c r="O147" s="35"/>
      <c r="P147" s="8"/>
      <c r="Q147" s="9"/>
      <c r="R147" s="9"/>
      <c r="S147" s="39"/>
      <c r="T147" s="14">
        <f t="shared" si="101"/>
        <v>0</v>
      </c>
      <c r="U147" s="9"/>
      <c r="V147" s="9"/>
      <c r="W147" s="9"/>
      <c r="X147" s="39"/>
      <c r="Y147" s="14">
        <f t="shared" si="102"/>
        <v>0</v>
      </c>
      <c r="Z147" s="14">
        <f t="shared" si="103"/>
        <v>0</v>
      </c>
    </row>
    <row r="148" spans="1:26" x14ac:dyDescent="0.15">
      <c r="A148" s="38"/>
      <c r="B148" s="8"/>
      <c r="C148" s="9"/>
      <c r="D148" s="9"/>
      <c r="E148" s="39"/>
      <c r="F148" s="14">
        <f t="shared" si="98"/>
        <v>0</v>
      </c>
      <c r="G148" s="9"/>
      <c r="H148" s="9"/>
      <c r="I148" s="9"/>
      <c r="J148" s="39"/>
      <c r="K148" s="14">
        <f t="shared" si="99"/>
        <v>0</v>
      </c>
      <c r="L148" s="14">
        <f t="shared" si="100"/>
        <v>0</v>
      </c>
      <c r="M148" s="7"/>
      <c r="O148" s="35"/>
      <c r="P148" s="8"/>
      <c r="Q148" s="9"/>
      <c r="R148" s="9"/>
      <c r="S148" s="39"/>
      <c r="T148" s="14">
        <f t="shared" si="101"/>
        <v>0</v>
      </c>
      <c r="U148" s="9"/>
      <c r="V148" s="9"/>
      <c r="W148" s="9"/>
      <c r="X148" s="39"/>
      <c r="Y148" s="14">
        <f t="shared" si="102"/>
        <v>0</v>
      </c>
      <c r="Z148" s="14">
        <f t="shared" si="103"/>
        <v>0</v>
      </c>
    </row>
    <row r="149" spans="1:26" x14ac:dyDescent="0.15">
      <c r="A149" s="38"/>
      <c r="B149" s="8"/>
      <c r="C149" s="9"/>
      <c r="D149" s="9"/>
      <c r="E149" s="39"/>
      <c r="F149" s="14">
        <f t="shared" si="98"/>
        <v>0</v>
      </c>
      <c r="G149" s="9"/>
      <c r="H149" s="9"/>
      <c r="I149" s="9"/>
      <c r="J149" s="39"/>
      <c r="K149" s="14">
        <f t="shared" si="99"/>
        <v>0</v>
      </c>
      <c r="L149" s="14">
        <f t="shared" si="100"/>
        <v>0</v>
      </c>
      <c r="M149" s="7"/>
      <c r="O149" s="35"/>
      <c r="P149" s="8"/>
      <c r="Q149" s="9"/>
      <c r="R149" s="9"/>
      <c r="S149" s="39"/>
      <c r="T149" s="14">
        <f t="shared" si="101"/>
        <v>0</v>
      </c>
      <c r="U149" s="9"/>
      <c r="V149" s="9"/>
      <c r="W149" s="9"/>
      <c r="X149" s="39"/>
      <c r="Y149" s="14">
        <f t="shared" si="102"/>
        <v>0</v>
      </c>
      <c r="Z149" s="14">
        <f t="shared" si="103"/>
        <v>0</v>
      </c>
    </row>
    <row r="150" spans="1:26" x14ac:dyDescent="0.15">
      <c r="A150" s="38"/>
      <c r="B150" s="8"/>
      <c r="C150" s="9"/>
      <c r="D150" s="9"/>
      <c r="E150" s="39"/>
      <c r="F150" s="14">
        <f t="shared" ref="F150:F155" si="110">SUM(B150:E150)</f>
        <v>0</v>
      </c>
      <c r="G150" s="9"/>
      <c r="H150" s="9"/>
      <c r="I150" s="9"/>
      <c r="J150" s="39"/>
      <c r="K150" s="14">
        <f t="shared" ref="K150:K155" si="111">SUM(G150:J150)</f>
        <v>0</v>
      </c>
      <c r="L150" s="14">
        <f t="shared" si="93"/>
        <v>0</v>
      </c>
      <c r="M150" s="7"/>
      <c r="O150" s="35"/>
      <c r="P150" s="8"/>
      <c r="Q150" s="9"/>
      <c r="R150" s="9"/>
      <c r="S150" s="39"/>
      <c r="T150" s="14">
        <f t="shared" ref="T150:T155" si="112">SUM(P150:S150)</f>
        <v>0</v>
      </c>
      <c r="U150" s="9"/>
      <c r="V150" s="9"/>
      <c r="W150" s="9"/>
      <c r="X150" s="39"/>
      <c r="Y150" s="14">
        <f t="shared" ref="Y150:Y155" si="113">SUM(U150:X150)</f>
        <v>0</v>
      </c>
      <c r="Z150" s="14">
        <f t="shared" si="89"/>
        <v>0</v>
      </c>
    </row>
    <row r="151" spans="1:26" x14ac:dyDescent="0.15">
      <c r="A151" s="33"/>
      <c r="B151" s="8"/>
      <c r="C151" s="9"/>
      <c r="D151" s="9"/>
      <c r="E151" s="39"/>
      <c r="F151" s="14">
        <f t="shared" si="110"/>
        <v>0</v>
      </c>
      <c r="G151" s="9"/>
      <c r="H151" s="9"/>
      <c r="I151" s="9"/>
      <c r="J151" s="39"/>
      <c r="K151" s="14">
        <f t="shared" si="111"/>
        <v>0</v>
      </c>
      <c r="L151" s="14">
        <f t="shared" si="93"/>
        <v>0</v>
      </c>
      <c r="M151" s="7"/>
      <c r="O151" s="33"/>
      <c r="P151" s="8"/>
      <c r="Q151" s="9"/>
      <c r="R151" s="9"/>
      <c r="S151" s="39"/>
      <c r="T151" s="14">
        <f t="shared" si="112"/>
        <v>0</v>
      </c>
      <c r="U151" s="9"/>
      <c r="V151" s="9"/>
      <c r="W151" s="9"/>
      <c r="X151" s="39"/>
      <c r="Y151" s="14">
        <f t="shared" si="113"/>
        <v>0</v>
      </c>
      <c r="Z151" s="14">
        <f t="shared" si="89"/>
        <v>0</v>
      </c>
    </row>
    <row r="152" spans="1:26" x14ac:dyDescent="0.15">
      <c r="A152" s="38"/>
      <c r="B152" s="8"/>
      <c r="C152" s="9"/>
      <c r="D152" s="9"/>
      <c r="E152" s="39"/>
      <c r="F152" s="14">
        <f t="shared" si="110"/>
        <v>0</v>
      </c>
      <c r="G152" s="9"/>
      <c r="H152" s="9"/>
      <c r="I152" s="9"/>
      <c r="J152" s="39"/>
      <c r="K152" s="14">
        <f t="shared" si="111"/>
        <v>0</v>
      </c>
      <c r="L152" s="14">
        <f t="shared" si="93"/>
        <v>0</v>
      </c>
      <c r="M152" s="7"/>
      <c r="O152" s="33"/>
      <c r="P152" s="8"/>
      <c r="Q152" s="9"/>
      <c r="R152" s="9"/>
      <c r="S152" s="39"/>
      <c r="T152" s="14">
        <f t="shared" si="112"/>
        <v>0</v>
      </c>
      <c r="U152" s="9"/>
      <c r="V152" s="9"/>
      <c r="W152" s="9"/>
      <c r="X152" s="39"/>
      <c r="Y152" s="14">
        <f t="shared" si="113"/>
        <v>0</v>
      </c>
      <c r="Z152" s="14">
        <f t="shared" si="89"/>
        <v>0</v>
      </c>
    </row>
    <row r="153" spans="1:26" ht="14.25" thickBot="1" x14ac:dyDescent="0.2">
      <c r="A153" s="35"/>
      <c r="B153" s="15"/>
      <c r="C153" s="16"/>
      <c r="D153" s="16"/>
      <c r="E153" s="58"/>
      <c r="F153" s="56">
        <f t="shared" si="110"/>
        <v>0</v>
      </c>
      <c r="G153" s="16"/>
      <c r="H153" s="16"/>
      <c r="I153" s="16"/>
      <c r="J153" s="58"/>
      <c r="K153" s="56">
        <f t="shared" si="111"/>
        <v>0</v>
      </c>
      <c r="L153" s="59">
        <f t="shared" si="93"/>
        <v>0</v>
      </c>
      <c r="M153" s="7"/>
      <c r="O153" s="35"/>
      <c r="P153" s="15"/>
      <c r="Q153" s="16"/>
      <c r="R153" s="16"/>
      <c r="S153" s="58"/>
      <c r="T153" s="56">
        <f t="shared" si="112"/>
        <v>0</v>
      </c>
      <c r="U153" s="16"/>
      <c r="V153" s="16"/>
      <c r="W153" s="16"/>
      <c r="X153" s="58"/>
      <c r="Y153" s="56">
        <f t="shared" si="113"/>
        <v>0</v>
      </c>
      <c r="Z153" s="59">
        <f t="shared" si="89"/>
        <v>0</v>
      </c>
    </row>
    <row r="154" spans="1:26" ht="14.25" thickBot="1" x14ac:dyDescent="0.2">
      <c r="A154" s="3" t="s">
        <v>7</v>
      </c>
      <c r="B154" s="17">
        <f t="shared" ref="B154:E154" si="114">SUM(B128:B153)</f>
        <v>7</v>
      </c>
      <c r="C154" s="18">
        <f t="shared" si="114"/>
        <v>11</v>
      </c>
      <c r="D154" s="18">
        <f t="shared" si="114"/>
        <v>2</v>
      </c>
      <c r="E154" s="40">
        <f t="shared" si="114"/>
        <v>3</v>
      </c>
      <c r="F154" s="11">
        <f t="shared" si="110"/>
        <v>23</v>
      </c>
      <c r="G154" s="17">
        <f t="shared" ref="G154:J154" si="115">SUM(G128:G153)</f>
        <v>9</v>
      </c>
      <c r="H154" s="18">
        <f t="shared" si="115"/>
        <v>6</v>
      </c>
      <c r="I154" s="18">
        <f t="shared" si="115"/>
        <v>3</v>
      </c>
      <c r="J154" s="40">
        <f t="shared" si="115"/>
        <v>5</v>
      </c>
      <c r="K154" s="11">
        <f t="shared" si="111"/>
        <v>23</v>
      </c>
      <c r="L154" s="11">
        <f t="shared" si="93"/>
        <v>46</v>
      </c>
      <c r="O154" s="3" t="s">
        <v>7</v>
      </c>
      <c r="P154" s="17">
        <f t="shared" ref="P154:S154" si="116">SUM(P128:P153)</f>
        <v>24</v>
      </c>
      <c r="Q154" s="18">
        <f t="shared" si="116"/>
        <v>33</v>
      </c>
      <c r="R154" s="18">
        <f t="shared" si="116"/>
        <v>24</v>
      </c>
      <c r="S154" s="40">
        <f t="shared" si="116"/>
        <v>25</v>
      </c>
      <c r="T154" s="11">
        <f t="shared" si="112"/>
        <v>106</v>
      </c>
      <c r="U154" s="17">
        <f t="shared" ref="U154:X154" si="117">SUM(U128:U153)</f>
        <v>9</v>
      </c>
      <c r="V154" s="18">
        <f t="shared" si="117"/>
        <v>9</v>
      </c>
      <c r="W154" s="18">
        <f t="shared" si="117"/>
        <v>3</v>
      </c>
      <c r="X154" s="40">
        <f t="shared" si="117"/>
        <v>11</v>
      </c>
      <c r="Y154" s="11">
        <f t="shared" si="113"/>
        <v>32</v>
      </c>
      <c r="Z154" s="11">
        <f t="shared" si="89"/>
        <v>138</v>
      </c>
    </row>
    <row r="155" spans="1:26" ht="14.25" thickBot="1" x14ac:dyDescent="0.2">
      <c r="A155" s="19" t="s">
        <v>8</v>
      </c>
      <c r="B155" s="20">
        <f t="shared" ref="B155:E155" si="118">B127-B154</f>
        <v>7</v>
      </c>
      <c r="C155" s="21">
        <f t="shared" si="118"/>
        <v>5</v>
      </c>
      <c r="D155" s="21">
        <f t="shared" si="118"/>
        <v>8</v>
      </c>
      <c r="E155" s="22">
        <f t="shared" si="118"/>
        <v>6</v>
      </c>
      <c r="F155" s="11">
        <f t="shared" si="110"/>
        <v>26</v>
      </c>
      <c r="G155" s="20">
        <f t="shared" ref="G155:J155" si="119">G127-G154</f>
        <v>3</v>
      </c>
      <c r="H155" s="21">
        <f t="shared" si="119"/>
        <v>6</v>
      </c>
      <c r="I155" s="21">
        <f t="shared" si="119"/>
        <v>5</v>
      </c>
      <c r="J155" s="51">
        <f t="shared" si="119"/>
        <v>6</v>
      </c>
      <c r="K155" s="11">
        <f t="shared" si="111"/>
        <v>20</v>
      </c>
      <c r="L155" s="53">
        <f t="shared" si="93"/>
        <v>46</v>
      </c>
      <c r="O155" s="19" t="s">
        <v>8</v>
      </c>
      <c r="P155" s="20">
        <f t="shared" ref="P155:S155" si="120">P127-P154</f>
        <v>76</v>
      </c>
      <c r="Q155" s="21">
        <f t="shared" si="120"/>
        <v>112</v>
      </c>
      <c r="R155" s="21">
        <f t="shared" si="120"/>
        <v>111</v>
      </c>
      <c r="S155" s="22">
        <f t="shared" si="120"/>
        <v>50</v>
      </c>
      <c r="T155" s="11">
        <f t="shared" si="112"/>
        <v>349</v>
      </c>
      <c r="U155" s="20">
        <f t="shared" ref="U155:X155" si="121">U127-U154</f>
        <v>59</v>
      </c>
      <c r="V155" s="21">
        <f t="shared" si="121"/>
        <v>71</v>
      </c>
      <c r="W155" s="21">
        <f t="shared" si="121"/>
        <v>37</v>
      </c>
      <c r="X155" s="51">
        <f t="shared" si="121"/>
        <v>29</v>
      </c>
      <c r="Y155" s="11">
        <f t="shared" si="113"/>
        <v>196</v>
      </c>
      <c r="Z155" s="53">
        <f t="shared" si="89"/>
        <v>545</v>
      </c>
    </row>
    <row r="158" spans="1:26" ht="19.5" thickBot="1" x14ac:dyDescent="0.25">
      <c r="A158" s="1" t="s">
        <v>19</v>
      </c>
      <c r="C158" s="164" t="s">
        <v>20</v>
      </c>
      <c r="D158" s="164"/>
      <c r="O158" s="1" t="s">
        <v>21</v>
      </c>
      <c r="S158" s="164" t="s">
        <v>20</v>
      </c>
      <c r="T158" s="164"/>
    </row>
    <row r="159" spans="1:26" ht="14.25" thickBot="1" x14ac:dyDescent="0.2">
      <c r="A159" s="3" t="s">
        <v>0</v>
      </c>
      <c r="B159" s="165" t="s">
        <v>15</v>
      </c>
      <c r="C159" s="166"/>
      <c r="D159" s="166"/>
      <c r="E159" s="166"/>
      <c r="F159" s="167"/>
      <c r="G159" s="168" t="s">
        <v>18</v>
      </c>
      <c r="H159" s="169"/>
      <c r="I159" s="169"/>
      <c r="J159" s="169"/>
      <c r="K159" s="170"/>
      <c r="L159" s="47"/>
      <c r="O159" s="3" t="s">
        <v>0</v>
      </c>
      <c r="P159" s="165" t="s">
        <v>15</v>
      </c>
      <c r="Q159" s="166"/>
      <c r="R159" s="166"/>
      <c r="S159" s="166"/>
      <c r="T159" s="167"/>
      <c r="U159" s="168" t="s">
        <v>18</v>
      </c>
      <c r="V159" s="169"/>
      <c r="W159" s="169"/>
      <c r="X159" s="169"/>
      <c r="Y159" s="170"/>
      <c r="Z159" s="47"/>
    </row>
    <row r="160" spans="1:26" ht="14.25" thickBot="1" x14ac:dyDescent="0.2">
      <c r="A160" s="3" t="s">
        <v>1</v>
      </c>
      <c r="B160" s="23" t="s">
        <v>11</v>
      </c>
      <c r="C160" s="24" t="s">
        <v>12</v>
      </c>
      <c r="D160" s="24" t="s">
        <v>13</v>
      </c>
      <c r="E160" s="25" t="s">
        <v>14</v>
      </c>
      <c r="F160" s="48" t="s">
        <v>2</v>
      </c>
      <c r="G160" s="23" t="s">
        <v>11</v>
      </c>
      <c r="H160" s="24" t="s">
        <v>12</v>
      </c>
      <c r="I160" s="24" t="s">
        <v>13</v>
      </c>
      <c r="J160" s="25" t="s">
        <v>14</v>
      </c>
      <c r="K160" s="48" t="s">
        <v>2</v>
      </c>
      <c r="L160" s="48" t="s">
        <v>17</v>
      </c>
      <c r="O160" s="3" t="s">
        <v>1</v>
      </c>
      <c r="P160" s="23" t="s">
        <v>11</v>
      </c>
      <c r="Q160" s="24" t="s">
        <v>12</v>
      </c>
      <c r="R160" s="24" t="s">
        <v>13</v>
      </c>
      <c r="S160" s="25" t="s">
        <v>14</v>
      </c>
      <c r="T160" s="48" t="s">
        <v>2</v>
      </c>
      <c r="U160" s="23" t="s">
        <v>11</v>
      </c>
      <c r="V160" s="24" t="s">
        <v>12</v>
      </c>
      <c r="W160" s="24" t="s">
        <v>13</v>
      </c>
      <c r="X160" s="25" t="s">
        <v>14</v>
      </c>
      <c r="Y160" s="48" t="s">
        <v>2</v>
      </c>
      <c r="Z160" s="48" t="s">
        <v>17</v>
      </c>
    </row>
    <row r="161" spans="1:27" x14ac:dyDescent="0.15">
      <c r="A161" s="54" t="s">
        <v>9</v>
      </c>
      <c r="B161" s="26">
        <f>B155</f>
        <v>7</v>
      </c>
      <c r="C161" s="27">
        <f>C155</f>
        <v>5</v>
      </c>
      <c r="D161" s="27">
        <f>D155</f>
        <v>8</v>
      </c>
      <c r="E161" s="42">
        <f>E155</f>
        <v>6</v>
      </c>
      <c r="F161" s="28">
        <f>SUM(B161:E161)</f>
        <v>26</v>
      </c>
      <c r="G161" s="26">
        <f>G155</f>
        <v>3</v>
      </c>
      <c r="H161" s="27">
        <f>H155</f>
        <v>6</v>
      </c>
      <c r="I161" s="27">
        <f>I155</f>
        <v>5</v>
      </c>
      <c r="J161" s="42">
        <f>J155</f>
        <v>6</v>
      </c>
      <c r="K161" s="52">
        <f>SUM(G161:J161)</f>
        <v>20</v>
      </c>
      <c r="L161" s="28">
        <f>F161+K161</f>
        <v>46</v>
      </c>
      <c r="O161" s="54" t="s">
        <v>9</v>
      </c>
      <c r="P161" s="26">
        <f>P155</f>
        <v>76</v>
      </c>
      <c r="Q161" s="27">
        <f>Q155</f>
        <v>112</v>
      </c>
      <c r="R161" s="27">
        <f>R155</f>
        <v>111</v>
      </c>
      <c r="S161" s="42">
        <f>S155</f>
        <v>50</v>
      </c>
      <c r="T161" s="28">
        <f>SUM(P161:S161)</f>
        <v>349</v>
      </c>
      <c r="U161" s="26">
        <f>U155</f>
        <v>59</v>
      </c>
      <c r="V161" s="27">
        <f>V155</f>
        <v>71</v>
      </c>
      <c r="W161" s="27">
        <f>W155</f>
        <v>37</v>
      </c>
      <c r="X161" s="42">
        <f>X155</f>
        <v>29</v>
      </c>
      <c r="Y161" s="52">
        <f>SUM(U161:X161)</f>
        <v>196</v>
      </c>
      <c r="Z161" s="28">
        <f>T161+Y161</f>
        <v>545</v>
      </c>
    </row>
    <row r="162" spans="1:27" x14ac:dyDescent="0.15">
      <c r="A162" s="82" t="s">
        <v>10</v>
      </c>
      <c r="B162" s="8"/>
      <c r="C162" s="29"/>
      <c r="D162" s="29"/>
      <c r="E162" s="43"/>
      <c r="F162" s="14">
        <f t="shared" ref="F162:F165" si="122">SUM(B162:E162)</f>
        <v>0</v>
      </c>
      <c r="G162" s="9">
        <v>5</v>
      </c>
      <c r="H162" s="29"/>
      <c r="I162" s="29"/>
      <c r="J162" s="43"/>
      <c r="K162" s="55">
        <f t="shared" ref="K162:K165" si="123">SUM(G162:J162)</f>
        <v>5</v>
      </c>
      <c r="L162" s="14">
        <f t="shared" ref="L162:L194" si="124">F162+K162</f>
        <v>5</v>
      </c>
      <c r="M162" s="7">
        <v>45139</v>
      </c>
      <c r="O162" s="66" t="s">
        <v>10</v>
      </c>
      <c r="P162" s="8"/>
      <c r="Q162" s="29"/>
      <c r="R162" s="29"/>
      <c r="S162" s="43"/>
      <c r="T162" s="14"/>
      <c r="U162" s="9"/>
      <c r="V162" s="29"/>
      <c r="W162" s="29"/>
      <c r="X162" s="43"/>
      <c r="Y162" s="55"/>
      <c r="Z162" s="14"/>
    </row>
    <row r="163" spans="1:27" x14ac:dyDescent="0.15">
      <c r="A163" s="82" t="s">
        <v>3</v>
      </c>
      <c r="B163" s="8"/>
      <c r="C163" s="29">
        <v>3</v>
      </c>
      <c r="D163" s="29"/>
      <c r="E163" s="43"/>
      <c r="F163" s="14">
        <f t="shared" si="122"/>
        <v>3</v>
      </c>
      <c r="G163" s="9"/>
      <c r="H163" s="29">
        <v>5</v>
      </c>
      <c r="I163" s="29">
        <v>3</v>
      </c>
      <c r="J163" s="43">
        <v>3</v>
      </c>
      <c r="K163" s="55">
        <f t="shared" si="123"/>
        <v>11</v>
      </c>
      <c r="L163" s="14">
        <f t="shared" si="124"/>
        <v>14</v>
      </c>
      <c r="M163" s="7">
        <v>45146</v>
      </c>
      <c r="O163" s="66" t="s">
        <v>3</v>
      </c>
      <c r="P163" s="8"/>
      <c r="Q163" s="29"/>
      <c r="R163" s="29"/>
      <c r="S163" s="43"/>
      <c r="T163" s="14"/>
      <c r="U163" s="9"/>
      <c r="V163" s="29"/>
      <c r="W163" s="29"/>
      <c r="X163" s="43"/>
      <c r="Y163" s="55"/>
      <c r="Z163" s="14"/>
    </row>
    <row r="164" spans="1:27" x14ac:dyDescent="0.15">
      <c r="A164" s="82" t="s">
        <v>4</v>
      </c>
      <c r="B164" s="8"/>
      <c r="C164" s="29"/>
      <c r="D164" s="29"/>
      <c r="E164" s="43"/>
      <c r="F164" s="14">
        <f t="shared" si="122"/>
        <v>0</v>
      </c>
      <c r="G164" s="9">
        <v>3</v>
      </c>
      <c r="H164" s="29"/>
      <c r="I164" s="29"/>
      <c r="J164" s="43"/>
      <c r="K164" s="55">
        <f t="shared" si="123"/>
        <v>3</v>
      </c>
      <c r="L164" s="14">
        <f t="shared" si="124"/>
        <v>3</v>
      </c>
      <c r="M164" s="7">
        <v>45148</v>
      </c>
      <c r="O164" s="66" t="s">
        <v>4</v>
      </c>
      <c r="P164" s="8"/>
      <c r="Q164" s="29"/>
      <c r="R164" s="29"/>
      <c r="S164" s="43"/>
      <c r="T164" s="14">
        <f t="shared" ref="T164:T165" si="125">SUM(P164:S164)</f>
        <v>0</v>
      </c>
      <c r="U164" s="9"/>
      <c r="V164" s="29"/>
      <c r="W164" s="29"/>
      <c r="X164" s="43"/>
      <c r="Y164" s="55">
        <f t="shared" ref="Y164:Y165" si="126">SUM(U164:X164)</f>
        <v>0</v>
      </c>
      <c r="Z164" s="14">
        <f t="shared" ref="Z164:Z194" si="127">T164+Y164</f>
        <v>0</v>
      </c>
    </row>
    <row r="165" spans="1:27" ht="14.25" thickBot="1" x14ac:dyDescent="0.2">
      <c r="A165" s="82" t="s">
        <v>5</v>
      </c>
      <c r="B165" s="36"/>
      <c r="C165" s="37">
        <v>3</v>
      </c>
      <c r="D165" s="37">
        <v>3</v>
      </c>
      <c r="E165" s="44">
        <v>3</v>
      </c>
      <c r="F165" s="56">
        <f t="shared" si="122"/>
        <v>9</v>
      </c>
      <c r="G165" s="49"/>
      <c r="H165" s="37"/>
      <c r="I165" s="37">
        <v>3</v>
      </c>
      <c r="J165" s="44"/>
      <c r="K165" s="57">
        <f t="shared" si="123"/>
        <v>3</v>
      </c>
      <c r="L165" s="56">
        <f t="shared" si="124"/>
        <v>12</v>
      </c>
      <c r="M165" s="7">
        <v>45149</v>
      </c>
      <c r="O165" s="66" t="s">
        <v>5</v>
      </c>
      <c r="P165" s="36"/>
      <c r="Q165" s="37"/>
      <c r="R165" s="37"/>
      <c r="S165" s="44"/>
      <c r="T165" s="56">
        <f t="shared" si="125"/>
        <v>0</v>
      </c>
      <c r="U165" s="49"/>
      <c r="V165" s="37"/>
      <c r="W165" s="37"/>
      <c r="X165" s="44"/>
      <c r="Y165" s="57">
        <f t="shared" si="126"/>
        <v>0</v>
      </c>
      <c r="Z165" s="56">
        <f t="shared" si="127"/>
        <v>0</v>
      </c>
    </row>
    <row r="166" spans="1:27" ht="14.25" thickBot="1" x14ac:dyDescent="0.2">
      <c r="A166" s="2" t="s">
        <v>6</v>
      </c>
      <c r="B166" s="30">
        <f>SUM(B161:B165)</f>
        <v>7</v>
      </c>
      <c r="C166" s="31">
        <f>SUM(C161:C165)</f>
        <v>11</v>
      </c>
      <c r="D166" s="31">
        <f>SUM(D161:D165)</f>
        <v>11</v>
      </c>
      <c r="E166" s="45">
        <f>SUM(E161:E165)</f>
        <v>9</v>
      </c>
      <c r="F166" s="110">
        <f>SUM(B166:E166)</f>
        <v>38</v>
      </c>
      <c r="G166" s="41">
        <f>SUM(G161:G165)</f>
        <v>11</v>
      </c>
      <c r="H166" s="31">
        <f>SUM(H161:H165)</f>
        <v>11</v>
      </c>
      <c r="I166" s="31">
        <f>SUM(I161:I165)</f>
        <v>11</v>
      </c>
      <c r="J166" s="45">
        <f>SUM(J161:J165)</f>
        <v>9</v>
      </c>
      <c r="K166" s="110">
        <f>SUM(G166:J166)</f>
        <v>42</v>
      </c>
      <c r="L166" s="53">
        <f t="shared" si="124"/>
        <v>80</v>
      </c>
      <c r="O166" s="2" t="s">
        <v>6</v>
      </c>
      <c r="P166" s="30">
        <f>SUM(P161:P165)</f>
        <v>76</v>
      </c>
      <c r="Q166" s="31">
        <f>SUM(Q161:Q165)</f>
        <v>112</v>
      </c>
      <c r="R166" s="31">
        <f>SUM(R161:R165)</f>
        <v>111</v>
      </c>
      <c r="S166" s="45">
        <f>SUM(S161:S165)</f>
        <v>50</v>
      </c>
      <c r="T166" s="32">
        <f>SUM(P166:S166)</f>
        <v>349</v>
      </c>
      <c r="U166" s="41">
        <f>SUM(U161:U165)</f>
        <v>59</v>
      </c>
      <c r="V166" s="31">
        <f>SUM(V161:V165)</f>
        <v>71</v>
      </c>
      <c r="W166" s="31">
        <f>SUM(W161:W165)</f>
        <v>37</v>
      </c>
      <c r="X166" s="45">
        <f>SUM(X161:X165)</f>
        <v>29</v>
      </c>
      <c r="Y166" s="32">
        <f>SUM(U166:X166)</f>
        <v>196</v>
      </c>
      <c r="Z166" s="50">
        <f t="shared" si="127"/>
        <v>545</v>
      </c>
    </row>
    <row r="167" spans="1:27" x14ac:dyDescent="0.15">
      <c r="A167" s="38" t="s">
        <v>35</v>
      </c>
      <c r="B167" s="8"/>
      <c r="C167" s="9"/>
      <c r="D167" s="9"/>
      <c r="E167" s="39">
        <f>1+1</f>
        <v>2</v>
      </c>
      <c r="F167" s="14">
        <f t="shared" ref="F167:F182" si="128">SUM(B167:E167)</f>
        <v>2</v>
      </c>
      <c r="G167" s="9"/>
      <c r="H167" s="9">
        <v>1</v>
      </c>
      <c r="I167" s="9"/>
      <c r="J167" s="39"/>
      <c r="K167" s="14">
        <f t="shared" ref="K167:K182" si="129">SUM(G167:J167)</f>
        <v>1</v>
      </c>
      <c r="L167" s="14">
        <f t="shared" ref="L167:L182" si="130">F167+K167</f>
        <v>3</v>
      </c>
      <c r="M167" s="7">
        <v>45139</v>
      </c>
      <c r="O167" s="33" t="s">
        <v>88</v>
      </c>
      <c r="P167" s="8">
        <v>7</v>
      </c>
      <c r="Q167" s="9"/>
      <c r="R167" s="9"/>
      <c r="S167" s="39"/>
      <c r="T167" s="14">
        <f t="shared" ref="T167:T194" si="131">SUM(P167:S167)</f>
        <v>7</v>
      </c>
      <c r="U167" s="9"/>
      <c r="V167" s="9"/>
      <c r="W167" s="9"/>
      <c r="X167" s="39"/>
      <c r="Y167" s="14">
        <f t="shared" ref="Y167:Y194" si="132">SUM(U167:X167)</f>
        <v>0</v>
      </c>
      <c r="Z167" s="14">
        <f t="shared" si="127"/>
        <v>7</v>
      </c>
      <c r="AA167" s="7">
        <v>45142</v>
      </c>
    </row>
    <row r="168" spans="1:27" x14ac:dyDescent="0.15">
      <c r="A168" s="38" t="s">
        <v>35</v>
      </c>
      <c r="B168" s="8"/>
      <c r="C168" s="9"/>
      <c r="D168" s="9"/>
      <c r="E168" s="39"/>
      <c r="F168" s="14">
        <f t="shared" si="128"/>
        <v>0</v>
      </c>
      <c r="G168" s="9">
        <v>1</v>
      </c>
      <c r="H168" s="9"/>
      <c r="I168" s="9"/>
      <c r="J168" s="39"/>
      <c r="K168" s="14">
        <f t="shared" si="129"/>
        <v>1</v>
      </c>
      <c r="L168" s="14">
        <f t="shared" si="130"/>
        <v>1</v>
      </c>
      <c r="M168" s="7">
        <v>45141</v>
      </c>
      <c r="O168" s="33" t="s">
        <v>89</v>
      </c>
      <c r="P168" s="8"/>
      <c r="Q168" s="9"/>
      <c r="R168" s="9"/>
      <c r="S168" s="39"/>
      <c r="T168" s="14">
        <f t="shared" si="131"/>
        <v>0</v>
      </c>
      <c r="U168" s="9">
        <v>5</v>
      </c>
      <c r="V168" s="9"/>
      <c r="W168" s="9"/>
      <c r="X168" s="39"/>
      <c r="Y168" s="14">
        <f t="shared" si="132"/>
        <v>5</v>
      </c>
      <c r="Z168" s="14">
        <f t="shared" si="127"/>
        <v>5</v>
      </c>
      <c r="AA168" s="7">
        <v>45139</v>
      </c>
    </row>
    <row r="169" spans="1:27" x14ac:dyDescent="0.15">
      <c r="A169" s="38" t="s">
        <v>35</v>
      </c>
      <c r="B169" s="8"/>
      <c r="C169" s="9"/>
      <c r="D169" s="9"/>
      <c r="E169" s="39"/>
      <c r="F169" s="14">
        <f t="shared" si="128"/>
        <v>0</v>
      </c>
      <c r="G169" s="9">
        <v>1</v>
      </c>
      <c r="H169" s="9"/>
      <c r="I169" s="9"/>
      <c r="J169" s="39"/>
      <c r="K169" s="14">
        <f t="shared" si="129"/>
        <v>1</v>
      </c>
      <c r="L169" s="14">
        <f t="shared" si="130"/>
        <v>1</v>
      </c>
      <c r="M169" s="7">
        <v>45142</v>
      </c>
      <c r="O169" s="38" t="s">
        <v>90</v>
      </c>
      <c r="P169" s="8">
        <v>13</v>
      </c>
      <c r="Q169" s="9">
        <v>9</v>
      </c>
      <c r="R169" s="9">
        <v>15</v>
      </c>
      <c r="S169" s="39">
        <v>9</v>
      </c>
      <c r="T169" s="14">
        <f t="shared" si="131"/>
        <v>46</v>
      </c>
      <c r="U169" s="9"/>
      <c r="V169" s="9"/>
      <c r="W169" s="9"/>
      <c r="X169" s="39"/>
      <c r="Y169" s="14">
        <f t="shared" si="132"/>
        <v>0</v>
      </c>
      <c r="Z169" s="14">
        <f t="shared" si="127"/>
        <v>46</v>
      </c>
      <c r="AA169" s="7">
        <v>45142</v>
      </c>
    </row>
    <row r="170" spans="1:27" x14ac:dyDescent="0.15">
      <c r="A170" s="38" t="s">
        <v>35</v>
      </c>
      <c r="B170" s="8"/>
      <c r="C170" s="9"/>
      <c r="D170" s="9"/>
      <c r="E170" s="39"/>
      <c r="F170" s="14">
        <f t="shared" si="128"/>
        <v>0</v>
      </c>
      <c r="G170" s="9"/>
      <c r="H170" s="9">
        <v>2</v>
      </c>
      <c r="I170" s="9"/>
      <c r="J170" s="39"/>
      <c r="K170" s="14">
        <f t="shared" si="129"/>
        <v>2</v>
      </c>
      <c r="L170" s="14">
        <f t="shared" si="130"/>
        <v>2</v>
      </c>
      <c r="M170" s="7">
        <v>45143</v>
      </c>
      <c r="O170" s="33" t="s">
        <v>91</v>
      </c>
      <c r="P170" s="8">
        <v>12</v>
      </c>
      <c r="Q170" s="9"/>
      <c r="R170" s="9"/>
      <c r="S170" s="39">
        <v>6</v>
      </c>
      <c r="T170" s="14">
        <f t="shared" si="131"/>
        <v>18</v>
      </c>
      <c r="U170" s="9"/>
      <c r="V170" s="9"/>
      <c r="W170" s="9"/>
      <c r="X170" s="39"/>
      <c r="Y170" s="14">
        <f t="shared" si="132"/>
        <v>0</v>
      </c>
      <c r="Z170" s="14">
        <f t="shared" si="127"/>
        <v>18</v>
      </c>
      <c r="AA170" s="7">
        <v>45159</v>
      </c>
    </row>
    <row r="171" spans="1:27" x14ac:dyDescent="0.15">
      <c r="A171" s="38" t="s">
        <v>35</v>
      </c>
      <c r="B171" s="8">
        <v>1</v>
      </c>
      <c r="C171" s="9">
        <v>2</v>
      </c>
      <c r="D171" s="9">
        <v>2</v>
      </c>
      <c r="E171" s="39"/>
      <c r="F171" s="14">
        <f t="shared" si="128"/>
        <v>5</v>
      </c>
      <c r="G171" s="9">
        <v>1</v>
      </c>
      <c r="H171" s="9">
        <f>1+1</f>
        <v>2</v>
      </c>
      <c r="I171" s="9">
        <f>2+1</f>
        <v>3</v>
      </c>
      <c r="J171" s="39">
        <f>2+1</f>
        <v>3</v>
      </c>
      <c r="K171" s="14">
        <f t="shared" si="129"/>
        <v>9</v>
      </c>
      <c r="L171" s="14">
        <f t="shared" si="130"/>
        <v>14</v>
      </c>
      <c r="M171" s="7">
        <v>45145</v>
      </c>
      <c r="O171" s="33" t="s">
        <v>31</v>
      </c>
      <c r="P171" s="8"/>
      <c r="Q171" s="9">
        <v>3</v>
      </c>
      <c r="R171" s="9"/>
      <c r="S171" s="39"/>
      <c r="T171" s="14">
        <f t="shared" si="131"/>
        <v>3</v>
      </c>
      <c r="U171" s="9"/>
      <c r="V171" s="9">
        <v>5</v>
      </c>
      <c r="W171" s="9">
        <v>3</v>
      </c>
      <c r="X171" s="39">
        <v>3</v>
      </c>
      <c r="Y171" s="14">
        <f t="shared" si="132"/>
        <v>11</v>
      </c>
      <c r="Z171" s="14">
        <f t="shared" si="127"/>
        <v>14</v>
      </c>
      <c r="AA171" s="7">
        <v>45146</v>
      </c>
    </row>
    <row r="172" spans="1:27" x14ac:dyDescent="0.15">
      <c r="A172" s="38" t="s">
        <v>35</v>
      </c>
      <c r="B172" s="8"/>
      <c r="C172" s="9">
        <v>1</v>
      </c>
      <c r="D172" s="9">
        <v>1</v>
      </c>
      <c r="E172" s="39"/>
      <c r="F172" s="14">
        <f t="shared" si="128"/>
        <v>2</v>
      </c>
      <c r="G172" s="9">
        <v>1</v>
      </c>
      <c r="H172" s="9"/>
      <c r="I172" s="9"/>
      <c r="J172" s="39"/>
      <c r="K172" s="14">
        <f t="shared" si="129"/>
        <v>1</v>
      </c>
      <c r="L172" s="14">
        <f t="shared" si="130"/>
        <v>3</v>
      </c>
      <c r="M172" s="7">
        <v>45146</v>
      </c>
      <c r="O172" s="38" t="s">
        <v>92</v>
      </c>
      <c r="P172" s="8">
        <v>7</v>
      </c>
      <c r="Q172" s="9">
        <v>6</v>
      </c>
      <c r="R172" s="9">
        <v>8</v>
      </c>
      <c r="S172" s="39">
        <v>9</v>
      </c>
      <c r="T172" s="14">
        <f t="shared" si="131"/>
        <v>30</v>
      </c>
      <c r="U172" s="9"/>
      <c r="V172" s="9"/>
      <c r="W172" s="9"/>
      <c r="X172" s="39"/>
      <c r="Y172" s="14">
        <f t="shared" si="132"/>
        <v>0</v>
      </c>
      <c r="Z172" s="14">
        <f t="shared" si="127"/>
        <v>30</v>
      </c>
      <c r="AA172" s="7">
        <v>45148</v>
      </c>
    </row>
    <row r="173" spans="1:27" x14ac:dyDescent="0.15">
      <c r="A173" s="38" t="s">
        <v>35</v>
      </c>
      <c r="B173" s="8"/>
      <c r="C173" s="9"/>
      <c r="D173" s="9">
        <v>1</v>
      </c>
      <c r="E173" s="39"/>
      <c r="F173" s="14">
        <f t="shared" si="128"/>
        <v>1</v>
      </c>
      <c r="G173" s="9">
        <v>1</v>
      </c>
      <c r="H173" s="9"/>
      <c r="I173" s="9">
        <v>1</v>
      </c>
      <c r="J173" s="39"/>
      <c r="K173" s="14">
        <f t="shared" si="129"/>
        <v>2</v>
      </c>
      <c r="L173" s="14">
        <f t="shared" si="130"/>
        <v>3</v>
      </c>
      <c r="M173" s="7">
        <v>45147</v>
      </c>
      <c r="O173" s="33" t="s">
        <v>31</v>
      </c>
      <c r="P173" s="8"/>
      <c r="Q173" s="9"/>
      <c r="R173" s="9"/>
      <c r="S173" s="39"/>
      <c r="T173" s="14">
        <f t="shared" si="131"/>
        <v>0</v>
      </c>
      <c r="U173" s="9">
        <v>3</v>
      </c>
      <c r="V173" s="9"/>
      <c r="W173" s="9"/>
      <c r="X173" s="39"/>
      <c r="Y173" s="14">
        <f t="shared" si="132"/>
        <v>3</v>
      </c>
      <c r="Z173" s="14">
        <f t="shared" si="127"/>
        <v>3</v>
      </c>
      <c r="AA173" s="7">
        <v>45148</v>
      </c>
    </row>
    <row r="174" spans="1:27" x14ac:dyDescent="0.15">
      <c r="A174" s="38" t="s">
        <v>35</v>
      </c>
      <c r="B174" s="8"/>
      <c r="C174" s="9">
        <v>1</v>
      </c>
      <c r="D174" s="9"/>
      <c r="E174" s="39"/>
      <c r="F174" s="14">
        <f t="shared" si="128"/>
        <v>1</v>
      </c>
      <c r="G174" s="9"/>
      <c r="H174" s="9"/>
      <c r="I174" s="9"/>
      <c r="J174" s="39"/>
      <c r="K174" s="14">
        <f t="shared" si="129"/>
        <v>0</v>
      </c>
      <c r="L174" s="14">
        <f t="shared" si="130"/>
        <v>1</v>
      </c>
      <c r="M174" s="7">
        <v>45148</v>
      </c>
      <c r="O174" s="33" t="s">
        <v>93</v>
      </c>
      <c r="P174" s="8"/>
      <c r="Q174" s="9">
        <v>6</v>
      </c>
      <c r="R174" s="9"/>
      <c r="S174" s="39"/>
      <c r="T174" s="14">
        <f t="shared" si="131"/>
        <v>6</v>
      </c>
      <c r="U174" s="9"/>
      <c r="V174" s="9"/>
      <c r="W174" s="9"/>
      <c r="X174" s="39"/>
      <c r="Y174" s="14">
        <f t="shared" si="132"/>
        <v>0</v>
      </c>
      <c r="Z174" s="14">
        <f t="shared" si="127"/>
        <v>6</v>
      </c>
      <c r="AA174" s="7">
        <v>45155</v>
      </c>
    </row>
    <row r="175" spans="1:27" x14ac:dyDescent="0.15">
      <c r="A175" s="38" t="s">
        <v>35</v>
      </c>
      <c r="B175" s="8"/>
      <c r="C175" s="9">
        <v>1</v>
      </c>
      <c r="D175" s="9">
        <v>2</v>
      </c>
      <c r="E175" s="39"/>
      <c r="F175" s="14">
        <f t="shared" si="128"/>
        <v>3</v>
      </c>
      <c r="G175" s="9"/>
      <c r="H175" s="9">
        <v>1</v>
      </c>
      <c r="I175" s="9"/>
      <c r="J175" s="39">
        <v>2</v>
      </c>
      <c r="K175" s="14">
        <f t="shared" si="129"/>
        <v>3</v>
      </c>
      <c r="L175" s="14">
        <f t="shared" si="130"/>
        <v>6</v>
      </c>
      <c r="M175" s="7">
        <v>45149</v>
      </c>
      <c r="O175" s="33" t="s">
        <v>31</v>
      </c>
      <c r="P175" s="8"/>
      <c r="Q175" s="9">
        <v>3</v>
      </c>
      <c r="R175" s="9">
        <v>3</v>
      </c>
      <c r="S175" s="39">
        <v>3</v>
      </c>
      <c r="T175" s="14">
        <f t="shared" si="131"/>
        <v>9</v>
      </c>
      <c r="U175" s="9"/>
      <c r="V175" s="9"/>
      <c r="W175" s="9">
        <v>3</v>
      </c>
      <c r="X175" s="39"/>
      <c r="Y175" s="14">
        <f t="shared" si="132"/>
        <v>3</v>
      </c>
      <c r="Z175" s="14">
        <f t="shared" si="127"/>
        <v>12</v>
      </c>
      <c r="AA175" s="7">
        <v>45149</v>
      </c>
    </row>
    <row r="176" spans="1:27" x14ac:dyDescent="0.15">
      <c r="A176" s="38" t="s">
        <v>35</v>
      </c>
      <c r="B176" s="8"/>
      <c r="C176" s="9">
        <v>1</v>
      </c>
      <c r="D176" s="9">
        <v>1</v>
      </c>
      <c r="E176" s="39">
        <v>1</v>
      </c>
      <c r="F176" s="14">
        <f t="shared" si="128"/>
        <v>3</v>
      </c>
      <c r="G176" s="9"/>
      <c r="H176" s="9">
        <v>5</v>
      </c>
      <c r="I176" s="9">
        <v>1</v>
      </c>
      <c r="J176" s="39">
        <v>1</v>
      </c>
      <c r="K176" s="14">
        <f t="shared" si="129"/>
        <v>7</v>
      </c>
      <c r="L176" s="14">
        <f t="shared" si="130"/>
        <v>10</v>
      </c>
      <c r="M176" s="7">
        <v>45154</v>
      </c>
      <c r="O176" s="33" t="s">
        <v>31</v>
      </c>
      <c r="P176" s="8"/>
      <c r="Q176" s="9"/>
      <c r="R176" s="9"/>
      <c r="S176" s="39"/>
      <c r="T176" s="14">
        <f t="shared" si="131"/>
        <v>0</v>
      </c>
      <c r="U176" s="9"/>
      <c r="V176" s="9">
        <v>10</v>
      </c>
      <c r="W176" s="9"/>
      <c r="X176" s="39"/>
      <c r="Y176" s="14">
        <f t="shared" si="132"/>
        <v>10</v>
      </c>
      <c r="Z176" s="14">
        <f t="shared" si="127"/>
        <v>10</v>
      </c>
      <c r="AA176" s="7">
        <v>45155</v>
      </c>
    </row>
    <row r="177" spans="1:27" x14ac:dyDescent="0.15">
      <c r="A177" s="38" t="s">
        <v>94</v>
      </c>
      <c r="B177" s="8"/>
      <c r="C177" s="9"/>
      <c r="D177" s="9"/>
      <c r="E177" s="39"/>
      <c r="F177" s="14">
        <f t="shared" si="128"/>
        <v>0</v>
      </c>
      <c r="G177" s="9"/>
      <c r="H177" s="9">
        <v>-10</v>
      </c>
      <c r="I177" s="9"/>
      <c r="J177" s="39"/>
      <c r="K177" s="14">
        <f t="shared" si="129"/>
        <v>-10</v>
      </c>
      <c r="L177" s="14">
        <f t="shared" si="130"/>
        <v>-10</v>
      </c>
      <c r="M177" s="7">
        <v>45155</v>
      </c>
      <c r="O177" s="38" t="s">
        <v>95</v>
      </c>
      <c r="P177" s="8">
        <v>1</v>
      </c>
      <c r="Q177" s="9">
        <v>3</v>
      </c>
      <c r="R177" s="9">
        <v>1</v>
      </c>
      <c r="S177" s="39">
        <v>2</v>
      </c>
      <c r="T177" s="14">
        <f t="shared" si="131"/>
        <v>7</v>
      </c>
      <c r="U177" s="9"/>
      <c r="V177" s="9"/>
      <c r="W177" s="9"/>
      <c r="X177" s="39"/>
      <c r="Y177" s="14">
        <f t="shared" si="132"/>
        <v>0</v>
      </c>
      <c r="Z177" s="14">
        <f t="shared" si="127"/>
        <v>7</v>
      </c>
      <c r="AA177" s="7">
        <v>45160</v>
      </c>
    </row>
    <row r="178" spans="1:27" x14ac:dyDescent="0.15">
      <c r="A178" s="38" t="s">
        <v>35</v>
      </c>
      <c r="B178" s="8"/>
      <c r="C178" s="9"/>
      <c r="D178" s="9"/>
      <c r="E178" s="39"/>
      <c r="F178" s="14">
        <f t="shared" si="128"/>
        <v>0</v>
      </c>
      <c r="G178" s="9">
        <v>1</v>
      </c>
      <c r="H178" s="9"/>
      <c r="I178" s="9"/>
      <c r="J178" s="39"/>
      <c r="K178" s="14">
        <f t="shared" si="129"/>
        <v>1</v>
      </c>
      <c r="L178" s="14">
        <f t="shared" si="130"/>
        <v>1</v>
      </c>
      <c r="M178" s="7">
        <v>45155</v>
      </c>
      <c r="O178" s="33" t="s">
        <v>31</v>
      </c>
      <c r="P178" s="8"/>
      <c r="Q178" s="9"/>
      <c r="R178" s="9"/>
      <c r="S178" s="39"/>
      <c r="T178" s="14">
        <f t="shared" si="131"/>
        <v>0</v>
      </c>
      <c r="U178" s="9"/>
      <c r="V178" s="9"/>
      <c r="W178" s="9"/>
      <c r="X178" s="39">
        <v>5</v>
      </c>
      <c r="Y178" s="14">
        <f t="shared" si="132"/>
        <v>5</v>
      </c>
      <c r="Z178" s="14">
        <f t="shared" si="127"/>
        <v>5</v>
      </c>
      <c r="AA178" s="7">
        <v>45157</v>
      </c>
    </row>
    <row r="179" spans="1:27" x14ac:dyDescent="0.15">
      <c r="A179" s="38" t="s">
        <v>35</v>
      </c>
      <c r="B179" s="8"/>
      <c r="C179" s="9"/>
      <c r="D179" s="9"/>
      <c r="E179" s="39"/>
      <c r="F179" s="14">
        <f t="shared" si="128"/>
        <v>0</v>
      </c>
      <c r="G179" s="9"/>
      <c r="H179" s="9">
        <v>1</v>
      </c>
      <c r="I179" s="9"/>
      <c r="J179" s="39">
        <v>1</v>
      </c>
      <c r="K179" s="14">
        <f t="shared" si="129"/>
        <v>2</v>
      </c>
      <c r="L179" s="14">
        <f t="shared" si="130"/>
        <v>2</v>
      </c>
      <c r="M179" s="7">
        <v>45156</v>
      </c>
      <c r="O179" s="35"/>
      <c r="P179" s="8"/>
      <c r="Q179" s="9"/>
      <c r="R179" s="9"/>
      <c r="S179" s="39"/>
      <c r="T179" s="14">
        <f t="shared" si="131"/>
        <v>0</v>
      </c>
      <c r="U179" s="9"/>
      <c r="V179" s="9"/>
      <c r="W179" s="9"/>
      <c r="X179" s="39"/>
      <c r="Y179" s="14">
        <f t="shared" si="132"/>
        <v>0</v>
      </c>
      <c r="Z179" s="14">
        <f t="shared" si="127"/>
        <v>0</v>
      </c>
    </row>
    <row r="180" spans="1:27" x14ac:dyDescent="0.15">
      <c r="A180" s="38" t="s">
        <v>96</v>
      </c>
      <c r="B180" s="8"/>
      <c r="C180" s="9"/>
      <c r="D180" s="9"/>
      <c r="E180" s="39"/>
      <c r="F180" s="14">
        <f t="shared" si="128"/>
        <v>0</v>
      </c>
      <c r="G180" s="9"/>
      <c r="H180" s="9"/>
      <c r="I180" s="9"/>
      <c r="J180" s="39">
        <v>-5</v>
      </c>
      <c r="K180" s="14">
        <f t="shared" si="129"/>
        <v>-5</v>
      </c>
      <c r="L180" s="14">
        <f t="shared" si="130"/>
        <v>-5</v>
      </c>
      <c r="M180" s="7">
        <v>45157</v>
      </c>
      <c r="O180" s="35"/>
      <c r="P180" s="8"/>
      <c r="Q180" s="9"/>
      <c r="R180" s="9"/>
      <c r="S180" s="39"/>
      <c r="T180" s="14">
        <f t="shared" si="131"/>
        <v>0</v>
      </c>
      <c r="U180" s="9"/>
      <c r="V180" s="9"/>
      <c r="W180" s="9"/>
      <c r="X180" s="39"/>
      <c r="Y180" s="14">
        <f t="shared" si="132"/>
        <v>0</v>
      </c>
      <c r="Z180" s="14">
        <f t="shared" si="127"/>
        <v>0</v>
      </c>
    </row>
    <row r="181" spans="1:27" x14ac:dyDescent="0.15">
      <c r="A181" s="38"/>
      <c r="B181" s="8"/>
      <c r="C181" s="9"/>
      <c r="D181" s="9"/>
      <c r="E181" s="39"/>
      <c r="F181" s="14">
        <f t="shared" si="128"/>
        <v>0</v>
      </c>
      <c r="G181" s="9"/>
      <c r="H181" s="9"/>
      <c r="I181" s="9"/>
      <c r="J181" s="39"/>
      <c r="K181" s="14">
        <f t="shared" si="129"/>
        <v>0</v>
      </c>
      <c r="L181" s="14">
        <f t="shared" si="130"/>
        <v>0</v>
      </c>
      <c r="M181" s="7"/>
      <c r="O181" s="35"/>
      <c r="P181" s="8"/>
      <c r="Q181" s="9"/>
      <c r="R181" s="9"/>
      <c r="S181" s="39"/>
      <c r="T181" s="14">
        <f t="shared" si="131"/>
        <v>0</v>
      </c>
      <c r="U181" s="9"/>
      <c r="V181" s="9"/>
      <c r="W181" s="9"/>
      <c r="X181" s="39"/>
      <c r="Y181" s="14">
        <f t="shared" si="132"/>
        <v>0</v>
      </c>
      <c r="Z181" s="14">
        <f t="shared" si="127"/>
        <v>0</v>
      </c>
    </row>
    <row r="182" spans="1:27" x14ac:dyDescent="0.15">
      <c r="A182" s="38"/>
      <c r="B182" s="8"/>
      <c r="C182" s="9"/>
      <c r="D182" s="9"/>
      <c r="E182" s="39"/>
      <c r="F182" s="14">
        <f t="shared" si="128"/>
        <v>0</v>
      </c>
      <c r="G182" s="9"/>
      <c r="H182" s="9"/>
      <c r="I182" s="9"/>
      <c r="J182" s="39"/>
      <c r="K182" s="14">
        <f t="shared" si="129"/>
        <v>0</v>
      </c>
      <c r="L182" s="14">
        <f t="shared" si="130"/>
        <v>0</v>
      </c>
      <c r="M182" s="7"/>
      <c r="O182" s="35"/>
      <c r="P182" s="8"/>
      <c r="Q182" s="9"/>
      <c r="R182" s="9"/>
      <c r="S182" s="39"/>
      <c r="T182" s="14">
        <f t="shared" si="131"/>
        <v>0</v>
      </c>
      <c r="U182" s="9"/>
      <c r="V182" s="9"/>
      <c r="W182" s="9"/>
      <c r="X182" s="39"/>
      <c r="Y182" s="14">
        <f t="shared" si="132"/>
        <v>0</v>
      </c>
      <c r="Z182" s="14">
        <f t="shared" si="127"/>
        <v>0</v>
      </c>
    </row>
    <row r="183" spans="1:27" x14ac:dyDescent="0.15">
      <c r="A183" s="38"/>
      <c r="B183" s="8"/>
      <c r="C183" s="9"/>
      <c r="D183" s="9"/>
      <c r="E183" s="39"/>
      <c r="F183" s="14">
        <f t="shared" ref="F183:F194" si="133">SUM(B183:E183)</f>
        <v>0</v>
      </c>
      <c r="G183" s="9"/>
      <c r="H183" s="9"/>
      <c r="I183" s="9"/>
      <c r="J183" s="39"/>
      <c r="K183" s="14">
        <f t="shared" ref="K183:K194" si="134">SUM(G183:J183)</f>
        <v>0</v>
      </c>
      <c r="L183" s="14">
        <f t="shared" si="124"/>
        <v>0</v>
      </c>
      <c r="M183" s="7"/>
      <c r="O183" s="35"/>
      <c r="P183" s="8"/>
      <c r="Q183" s="9"/>
      <c r="R183" s="9"/>
      <c r="S183" s="39"/>
      <c r="T183" s="14">
        <f t="shared" si="131"/>
        <v>0</v>
      </c>
      <c r="U183" s="9"/>
      <c r="V183" s="9"/>
      <c r="W183" s="9"/>
      <c r="X183" s="39"/>
      <c r="Y183" s="14">
        <f t="shared" si="132"/>
        <v>0</v>
      </c>
      <c r="Z183" s="14">
        <f t="shared" si="127"/>
        <v>0</v>
      </c>
    </row>
    <row r="184" spans="1:27" x14ac:dyDescent="0.15">
      <c r="A184" s="38"/>
      <c r="B184" s="8"/>
      <c r="C184" s="9"/>
      <c r="D184" s="9"/>
      <c r="E184" s="39"/>
      <c r="F184" s="14">
        <f t="shared" si="133"/>
        <v>0</v>
      </c>
      <c r="G184" s="9"/>
      <c r="H184" s="9"/>
      <c r="I184" s="9"/>
      <c r="J184" s="39"/>
      <c r="K184" s="14">
        <f t="shared" si="134"/>
        <v>0</v>
      </c>
      <c r="L184" s="14">
        <f t="shared" si="124"/>
        <v>0</v>
      </c>
      <c r="M184" s="7"/>
      <c r="O184" s="35"/>
      <c r="P184" s="8"/>
      <c r="Q184" s="9"/>
      <c r="R184" s="9"/>
      <c r="S184" s="39"/>
      <c r="T184" s="14">
        <f t="shared" si="131"/>
        <v>0</v>
      </c>
      <c r="U184" s="9"/>
      <c r="V184" s="9"/>
      <c r="W184" s="9"/>
      <c r="X184" s="39"/>
      <c r="Y184" s="14">
        <f t="shared" si="132"/>
        <v>0</v>
      </c>
      <c r="Z184" s="14">
        <f t="shared" si="127"/>
        <v>0</v>
      </c>
    </row>
    <row r="185" spans="1:27" x14ac:dyDescent="0.15">
      <c r="A185" s="38"/>
      <c r="B185" s="8"/>
      <c r="C185" s="9"/>
      <c r="D185" s="9"/>
      <c r="E185" s="39"/>
      <c r="F185" s="14">
        <f t="shared" si="133"/>
        <v>0</v>
      </c>
      <c r="G185" s="9"/>
      <c r="H185" s="9"/>
      <c r="I185" s="9"/>
      <c r="J185" s="39"/>
      <c r="K185" s="14">
        <f t="shared" si="134"/>
        <v>0</v>
      </c>
      <c r="L185" s="14">
        <f t="shared" si="124"/>
        <v>0</v>
      </c>
      <c r="M185" s="7"/>
      <c r="O185" s="35"/>
      <c r="P185" s="8"/>
      <c r="Q185" s="9"/>
      <c r="R185" s="9"/>
      <c r="S185" s="39"/>
      <c r="T185" s="14">
        <f t="shared" si="131"/>
        <v>0</v>
      </c>
      <c r="U185" s="9"/>
      <c r="V185" s="9"/>
      <c r="W185" s="9"/>
      <c r="X185" s="39"/>
      <c r="Y185" s="14">
        <f t="shared" si="132"/>
        <v>0</v>
      </c>
      <c r="Z185" s="14">
        <f t="shared" si="127"/>
        <v>0</v>
      </c>
    </row>
    <row r="186" spans="1:27" x14ac:dyDescent="0.15">
      <c r="A186" s="38"/>
      <c r="B186" s="8"/>
      <c r="C186" s="9"/>
      <c r="D186" s="9"/>
      <c r="E186" s="39"/>
      <c r="F186" s="14">
        <f t="shared" si="133"/>
        <v>0</v>
      </c>
      <c r="G186" s="9"/>
      <c r="H186" s="9"/>
      <c r="I186" s="9"/>
      <c r="J186" s="39"/>
      <c r="K186" s="14">
        <f t="shared" si="134"/>
        <v>0</v>
      </c>
      <c r="L186" s="14">
        <f t="shared" si="124"/>
        <v>0</v>
      </c>
      <c r="M186" s="7"/>
      <c r="O186" s="35"/>
      <c r="P186" s="8"/>
      <c r="Q186" s="9"/>
      <c r="R186" s="9"/>
      <c r="S186" s="39"/>
      <c r="T186" s="14">
        <f t="shared" si="131"/>
        <v>0</v>
      </c>
      <c r="U186" s="9"/>
      <c r="V186" s="9"/>
      <c r="W186" s="9"/>
      <c r="X186" s="39"/>
      <c r="Y186" s="14">
        <f t="shared" si="132"/>
        <v>0</v>
      </c>
      <c r="Z186" s="14">
        <f t="shared" si="127"/>
        <v>0</v>
      </c>
    </row>
    <row r="187" spans="1:27" x14ac:dyDescent="0.15">
      <c r="A187" s="38"/>
      <c r="B187" s="8"/>
      <c r="C187" s="9"/>
      <c r="D187" s="9"/>
      <c r="E187" s="39"/>
      <c r="F187" s="14">
        <f t="shared" si="133"/>
        <v>0</v>
      </c>
      <c r="G187" s="9"/>
      <c r="H187" s="9"/>
      <c r="I187" s="9"/>
      <c r="J187" s="39"/>
      <c r="K187" s="14">
        <f t="shared" si="134"/>
        <v>0</v>
      </c>
      <c r="L187" s="14">
        <f t="shared" si="124"/>
        <v>0</v>
      </c>
      <c r="M187" s="7"/>
      <c r="O187" s="35"/>
      <c r="P187" s="8"/>
      <c r="Q187" s="9"/>
      <c r="R187" s="9"/>
      <c r="S187" s="39"/>
      <c r="T187" s="14">
        <f t="shared" si="131"/>
        <v>0</v>
      </c>
      <c r="U187" s="9"/>
      <c r="V187" s="9"/>
      <c r="W187" s="9"/>
      <c r="X187" s="39"/>
      <c r="Y187" s="14">
        <f t="shared" si="132"/>
        <v>0</v>
      </c>
      <c r="Z187" s="14">
        <f t="shared" si="127"/>
        <v>0</v>
      </c>
    </row>
    <row r="188" spans="1:27" x14ac:dyDescent="0.15">
      <c r="A188" s="38"/>
      <c r="B188" s="8"/>
      <c r="C188" s="9"/>
      <c r="D188" s="9"/>
      <c r="E188" s="39"/>
      <c r="F188" s="14">
        <f t="shared" si="133"/>
        <v>0</v>
      </c>
      <c r="G188" s="9"/>
      <c r="H188" s="9"/>
      <c r="I188" s="9"/>
      <c r="J188" s="39"/>
      <c r="K188" s="14">
        <f t="shared" si="134"/>
        <v>0</v>
      </c>
      <c r="L188" s="14">
        <f t="shared" si="124"/>
        <v>0</v>
      </c>
      <c r="M188" s="7"/>
      <c r="O188" s="35"/>
      <c r="P188" s="8"/>
      <c r="Q188" s="9"/>
      <c r="R188" s="9"/>
      <c r="S188" s="39"/>
      <c r="T188" s="14">
        <f t="shared" si="131"/>
        <v>0</v>
      </c>
      <c r="U188" s="9"/>
      <c r="V188" s="9"/>
      <c r="W188" s="9"/>
      <c r="X188" s="39"/>
      <c r="Y188" s="14">
        <f t="shared" si="132"/>
        <v>0</v>
      </c>
      <c r="Z188" s="14">
        <f t="shared" si="127"/>
        <v>0</v>
      </c>
    </row>
    <row r="189" spans="1:27" x14ac:dyDescent="0.15">
      <c r="A189" s="38"/>
      <c r="B189" s="8"/>
      <c r="C189" s="9"/>
      <c r="D189" s="9"/>
      <c r="E189" s="39"/>
      <c r="F189" s="14">
        <f t="shared" si="133"/>
        <v>0</v>
      </c>
      <c r="G189" s="9"/>
      <c r="H189" s="9"/>
      <c r="I189" s="9"/>
      <c r="J189" s="39"/>
      <c r="K189" s="14">
        <f t="shared" si="134"/>
        <v>0</v>
      </c>
      <c r="L189" s="14">
        <f t="shared" si="124"/>
        <v>0</v>
      </c>
      <c r="M189" s="7"/>
      <c r="O189" s="35"/>
      <c r="P189" s="8"/>
      <c r="Q189" s="9"/>
      <c r="R189" s="9"/>
      <c r="S189" s="39"/>
      <c r="T189" s="14">
        <f t="shared" si="131"/>
        <v>0</v>
      </c>
      <c r="U189" s="9"/>
      <c r="V189" s="9"/>
      <c r="W189" s="9"/>
      <c r="X189" s="39"/>
      <c r="Y189" s="14">
        <f t="shared" si="132"/>
        <v>0</v>
      </c>
      <c r="Z189" s="14">
        <f t="shared" si="127"/>
        <v>0</v>
      </c>
    </row>
    <row r="190" spans="1:27" x14ac:dyDescent="0.15">
      <c r="A190" s="33"/>
      <c r="B190" s="8"/>
      <c r="C190" s="9"/>
      <c r="D190" s="9"/>
      <c r="E190" s="39"/>
      <c r="F190" s="14">
        <f t="shared" si="133"/>
        <v>0</v>
      </c>
      <c r="G190" s="9"/>
      <c r="H190" s="9"/>
      <c r="I190" s="9"/>
      <c r="J190" s="39"/>
      <c r="K190" s="14">
        <f t="shared" si="134"/>
        <v>0</v>
      </c>
      <c r="L190" s="14">
        <f t="shared" si="124"/>
        <v>0</v>
      </c>
      <c r="M190" s="7"/>
      <c r="O190" s="33"/>
      <c r="P190" s="8"/>
      <c r="Q190" s="9"/>
      <c r="R190" s="9"/>
      <c r="S190" s="39"/>
      <c r="T190" s="14">
        <f t="shared" si="131"/>
        <v>0</v>
      </c>
      <c r="U190" s="9"/>
      <c r="V190" s="9"/>
      <c r="W190" s="9"/>
      <c r="X190" s="39"/>
      <c r="Y190" s="14">
        <f t="shared" si="132"/>
        <v>0</v>
      </c>
      <c r="Z190" s="14">
        <f t="shared" si="127"/>
        <v>0</v>
      </c>
    </row>
    <row r="191" spans="1:27" x14ac:dyDescent="0.15">
      <c r="A191" s="38"/>
      <c r="B191" s="8"/>
      <c r="C191" s="9"/>
      <c r="D191" s="9"/>
      <c r="E191" s="39"/>
      <c r="F191" s="14">
        <f t="shared" si="133"/>
        <v>0</v>
      </c>
      <c r="G191" s="9"/>
      <c r="H191" s="9"/>
      <c r="I191" s="9"/>
      <c r="J191" s="39"/>
      <c r="K191" s="14">
        <f t="shared" si="134"/>
        <v>0</v>
      </c>
      <c r="L191" s="14">
        <f t="shared" si="124"/>
        <v>0</v>
      </c>
      <c r="M191" s="7"/>
      <c r="O191" s="33"/>
      <c r="P191" s="8"/>
      <c r="Q191" s="9"/>
      <c r="R191" s="9"/>
      <c r="S191" s="39"/>
      <c r="T191" s="14">
        <f t="shared" si="131"/>
        <v>0</v>
      </c>
      <c r="U191" s="9"/>
      <c r="V191" s="9"/>
      <c r="W191" s="9"/>
      <c r="X191" s="39"/>
      <c r="Y191" s="14">
        <f t="shared" si="132"/>
        <v>0</v>
      </c>
      <c r="Z191" s="14">
        <f t="shared" si="127"/>
        <v>0</v>
      </c>
    </row>
    <row r="192" spans="1:27" ht="14.25" thickBot="1" x14ac:dyDescent="0.2">
      <c r="A192" s="35"/>
      <c r="B192" s="15"/>
      <c r="C192" s="16"/>
      <c r="D192" s="16"/>
      <c r="E192" s="58"/>
      <c r="F192" s="56">
        <f t="shared" si="133"/>
        <v>0</v>
      </c>
      <c r="G192" s="16"/>
      <c r="H192" s="16"/>
      <c r="I192" s="16"/>
      <c r="J192" s="58"/>
      <c r="K192" s="56">
        <f t="shared" si="134"/>
        <v>0</v>
      </c>
      <c r="L192" s="59">
        <f t="shared" si="124"/>
        <v>0</v>
      </c>
      <c r="M192" s="7"/>
      <c r="O192" s="35"/>
      <c r="P192" s="15"/>
      <c r="Q192" s="16"/>
      <c r="R192" s="16"/>
      <c r="S192" s="58"/>
      <c r="T192" s="56">
        <f t="shared" si="131"/>
        <v>0</v>
      </c>
      <c r="U192" s="16"/>
      <c r="V192" s="16"/>
      <c r="W192" s="16"/>
      <c r="X192" s="58"/>
      <c r="Y192" s="56">
        <f t="shared" si="132"/>
        <v>0</v>
      </c>
      <c r="Z192" s="59">
        <f t="shared" si="127"/>
        <v>0</v>
      </c>
    </row>
    <row r="193" spans="1:27" ht="14.25" thickBot="1" x14ac:dyDescent="0.2">
      <c r="A193" s="3" t="s">
        <v>7</v>
      </c>
      <c r="B193" s="17">
        <f t="shared" ref="B193:E193" si="135">SUM(B167:B192)</f>
        <v>1</v>
      </c>
      <c r="C193" s="18">
        <f t="shared" si="135"/>
        <v>6</v>
      </c>
      <c r="D193" s="18">
        <f t="shared" si="135"/>
        <v>7</v>
      </c>
      <c r="E193" s="40">
        <f t="shared" si="135"/>
        <v>3</v>
      </c>
      <c r="F193" s="11">
        <f t="shared" si="133"/>
        <v>17</v>
      </c>
      <c r="G193" s="17">
        <f t="shared" ref="G193:J193" si="136">SUM(G167:G192)</f>
        <v>6</v>
      </c>
      <c r="H193" s="18">
        <f t="shared" si="136"/>
        <v>2</v>
      </c>
      <c r="I193" s="18">
        <f t="shared" si="136"/>
        <v>5</v>
      </c>
      <c r="J193" s="40">
        <f t="shared" si="136"/>
        <v>2</v>
      </c>
      <c r="K193" s="11">
        <f t="shared" si="134"/>
        <v>15</v>
      </c>
      <c r="L193" s="11">
        <f t="shared" si="124"/>
        <v>32</v>
      </c>
      <c r="O193" s="3" t="s">
        <v>7</v>
      </c>
      <c r="P193" s="17">
        <f t="shared" ref="P193:S193" si="137">SUM(P167:P192)</f>
        <v>40</v>
      </c>
      <c r="Q193" s="18">
        <f t="shared" si="137"/>
        <v>30</v>
      </c>
      <c r="R193" s="18">
        <f t="shared" si="137"/>
        <v>27</v>
      </c>
      <c r="S193" s="40">
        <f t="shared" si="137"/>
        <v>29</v>
      </c>
      <c r="T193" s="11">
        <f t="shared" si="131"/>
        <v>126</v>
      </c>
      <c r="U193" s="17">
        <f t="shared" ref="U193:X193" si="138">SUM(U167:U192)</f>
        <v>8</v>
      </c>
      <c r="V193" s="18">
        <f t="shared" si="138"/>
        <v>15</v>
      </c>
      <c r="W193" s="18">
        <f t="shared" si="138"/>
        <v>6</v>
      </c>
      <c r="X193" s="40">
        <f t="shared" si="138"/>
        <v>8</v>
      </c>
      <c r="Y193" s="11">
        <f t="shared" si="132"/>
        <v>37</v>
      </c>
      <c r="Z193" s="11">
        <f t="shared" si="127"/>
        <v>163</v>
      </c>
    </row>
    <row r="194" spans="1:27" ht="14.25" thickBot="1" x14ac:dyDescent="0.2">
      <c r="A194" s="19" t="s">
        <v>8</v>
      </c>
      <c r="B194" s="20">
        <f t="shared" ref="B194:E194" si="139">B166-B193</f>
        <v>6</v>
      </c>
      <c r="C194" s="21">
        <f t="shared" si="139"/>
        <v>5</v>
      </c>
      <c r="D194" s="21">
        <f t="shared" si="139"/>
        <v>4</v>
      </c>
      <c r="E194" s="22">
        <f t="shared" si="139"/>
        <v>6</v>
      </c>
      <c r="F194" s="11">
        <f t="shared" si="133"/>
        <v>21</v>
      </c>
      <c r="G194" s="20">
        <f t="shared" ref="G194:J194" si="140">G166-G193</f>
        <v>5</v>
      </c>
      <c r="H194" s="21">
        <f t="shared" si="140"/>
        <v>9</v>
      </c>
      <c r="I194" s="21">
        <f t="shared" si="140"/>
        <v>6</v>
      </c>
      <c r="J194" s="51">
        <f t="shared" si="140"/>
        <v>7</v>
      </c>
      <c r="K194" s="11">
        <f t="shared" si="134"/>
        <v>27</v>
      </c>
      <c r="L194" s="53">
        <f t="shared" si="124"/>
        <v>48</v>
      </c>
      <c r="O194" s="19" t="s">
        <v>8</v>
      </c>
      <c r="P194" s="20">
        <f t="shared" ref="P194:S194" si="141">P166-P193</f>
        <v>36</v>
      </c>
      <c r="Q194" s="21">
        <f t="shared" si="141"/>
        <v>82</v>
      </c>
      <c r="R194" s="21">
        <f t="shared" si="141"/>
        <v>84</v>
      </c>
      <c r="S194" s="22">
        <f t="shared" si="141"/>
        <v>21</v>
      </c>
      <c r="T194" s="11">
        <f t="shared" si="131"/>
        <v>223</v>
      </c>
      <c r="U194" s="20">
        <f t="shared" ref="U194:X194" si="142">U166-U193</f>
        <v>51</v>
      </c>
      <c r="V194" s="21">
        <f t="shared" si="142"/>
        <v>56</v>
      </c>
      <c r="W194" s="21">
        <f t="shared" si="142"/>
        <v>31</v>
      </c>
      <c r="X194" s="51">
        <f t="shared" si="142"/>
        <v>21</v>
      </c>
      <c r="Y194" s="11">
        <f t="shared" si="132"/>
        <v>159</v>
      </c>
      <c r="Z194" s="53">
        <f t="shared" si="127"/>
        <v>382</v>
      </c>
    </row>
    <row r="197" spans="1:27" ht="19.5" thickBot="1" x14ac:dyDescent="0.25">
      <c r="A197" s="1" t="s">
        <v>19</v>
      </c>
      <c r="C197" s="164" t="s">
        <v>20</v>
      </c>
      <c r="D197" s="164"/>
      <c r="O197" s="1" t="s">
        <v>21</v>
      </c>
      <c r="S197" s="164" t="s">
        <v>20</v>
      </c>
      <c r="T197" s="164"/>
    </row>
    <row r="198" spans="1:27" ht="14.25" thickBot="1" x14ac:dyDescent="0.2">
      <c r="A198" s="3" t="s">
        <v>0</v>
      </c>
      <c r="B198" s="165" t="s">
        <v>15</v>
      </c>
      <c r="C198" s="166"/>
      <c r="D198" s="166"/>
      <c r="E198" s="166"/>
      <c r="F198" s="167"/>
      <c r="G198" s="168" t="s">
        <v>18</v>
      </c>
      <c r="H198" s="169"/>
      <c r="I198" s="169"/>
      <c r="J198" s="169"/>
      <c r="K198" s="170"/>
      <c r="L198" s="47"/>
      <c r="O198" s="3" t="s">
        <v>0</v>
      </c>
      <c r="P198" s="165" t="s">
        <v>15</v>
      </c>
      <c r="Q198" s="166"/>
      <c r="R198" s="166"/>
      <c r="S198" s="166"/>
      <c r="T198" s="167"/>
      <c r="U198" s="168" t="s">
        <v>18</v>
      </c>
      <c r="V198" s="169"/>
      <c r="W198" s="169"/>
      <c r="X198" s="169"/>
      <c r="Y198" s="170"/>
      <c r="Z198" s="47"/>
    </row>
    <row r="199" spans="1:27" ht="14.25" thickBot="1" x14ac:dyDescent="0.2">
      <c r="A199" s="3" t="s">
        <v>1</v>
      </c>
      <c r="B199" s="23" t="s">
        <v>11</v>
      </c>
      <c r="C199" s="24" t="s">
        <v>12</v>
      </c>
      <c r="D199" s="24" t="s">
        <v>13</v>
      </c>
      <c r="E199" s="25" t="s">
        <v>14</v>
      </c>
      <c r="F199" s="48" t="s">
        <v>2</v>
      </c>
      <c r="G199" s="23" t="s">
        <v>11</v>
      </c>
      <c r="H199" s="24" t="s">
        <v>12</v>
      </c>
      <c r="I199" s="24" t="s">
        <v>13</v>
      </c>
      <c r="J199" s="25" t="s">
        <v>14</v>
      </c>
      <c r="K199" s="48" t="s">
        <v>2</v>
      </c>
      <c r="L199" s="48" t="s">
        <v>17</v>
      </c>
      <c r="O199" s="3" t="s">
        <v>1</v>
      </c>
      <c r="P199" s="23" t="s">
        <v>11</v>
      </c>
      <c r="Q199" s="24" t="s">
        <v>12</v>
      </c>
      <c r="R199" s="24" t="s">
        <v>13</v>
      </c>
      <c r="S199" s="25" t="s">
        <v>14</v>
      </c>
      <c r="T199" s="48" t="s">
        <v>2</v>
      </c>
      <c r="U199" s="23" t="s">
        <v>11</v>
      </c>
      <c r="V199" s="24" t="s">
        <v>12</v>
      </c>
      <c r="W199" s="24" t="s">
        <v>13</v>
      </c>
      <c r="X199" s="25" t="s">
        <v>14</v>
      </c>
      <c r="Y199" s="48" t="s">
        <v>2</v>
      </c>
      <c r="Z199" s="48" t="s">
        <v>17</v>
      </c>
    </row>
    <row r="200" spans="1:27" x14ac:dyDescent="0.15">
      <c r="A200" s="54" t="s">
        <v>9</v>
      </c>
      <c r="B200" s="26">
        <f>B194</f>
        <v>6</v>
      </c>
      <c r="C200" s="27">
        <f>C194</f>
        <v>5</v>
      </c>
      <c r="D200" s="27">
        <f>D194</f>
        <v>4</v>
      </c>
      <c r="E200" s="42">
        <f>E194</f>
        <v>6</v>
      </c>
      <c r="F200" s="28">
        <f>SUM(B200:E200)</f>
        <v>21</v>
      </c>
      <c r="G200" s="26">
        <f>G194</f>
        <v>5</v>
      </c>
      <c r="H200" s="27">
        <f>H194</f>
        <v>9</v>
      </c>
      <c r="I200" s="27">
        <f>I194</f>
        <v>6</v>
      </c>
      <c r="J200" s="42">
        <f>J194</f>
        <v>7</v>
      </c>
      <c r="K200" s="52">
        <f>SUM(G200:J200)</f>
        <v>27</v>
      </c>
      <c r="L200" s="28">
        <f>F200+K200</f>
        <v>48</v>
      </c>
      <c r="O200" s="54" t="s">
        <v>9</v>
      </c>
      <c r="P200" s="26">
        <f>P194</f>
        <v>36</v>
      </c>
      <c r="Q200" s="27">
        <f>Q194</f>
        <v>82</v>
      </c>
      <c r="R200" s="27">
        <f>R194</f>
        <v>84</v>
      </c>
      <c r="S200" s="42">
        <f>S194</f>
        <v>21</v>
      </c>
      <c r="T200" s="28">
        <f>SUM(P200:S200)</f>
        <v>223</v>
      </c>
      <c r="U200" s="26">
        <f>U194</f>
        <v>51</v>
      </c>
      <c r="V200" s="27">
        <f>V194</f>
        <v>56</v>
      </c>
      <c r="W200" s="27">
        <f>W194</f>
        <v>31</v>
      </c>
      <c r="X200" s="42">
        <f>X194</f>
        <v>21</v>
      </c>
      <c r="Y200" s="52">
        <f>SUM(U200:X200)</f>
        <v>159</v>
      </c>
      <c r="Z200" s="28">
        <f>T200+Y200</f>
        <v>382</v>
      </c>
    </row>
    <row r="201" spans="1:27" x14ac:dyDescent="0.15">
      <c r="A201" s="82" t="s">
        <v>38</v>
      </c>
      <c r="B201" s="8">
        <v>2</v>
      </c>
      <c r="C201" s="29">
        <v>2</v>
      </c>
      <c r="D201" s="29">
        <v>1</v>
      </c>
      <c r="E201" s="43"/>
      <c r="F201" s="14">
        <f t="shared" ref="F201:F204" si="143">SUM(B201:E201)</f>
        <v>5</v>
      </c>
      <c r="G201" s="9"/>
      <c r="H201" s="29"/>
      <c r="I201" s="29"/>
      <c r="J201" s="43"/>
      <c r="K201" s="55">
        <f t="shared" ref="K201:K204" si="144">SUM(G201:J201)</f>
        <v>0</v>
      </c>
      <c r="L201" s="14">
        <f t="shared" ref="L201:L233" si="145">F201+K201</f>
        <v>5</v>
      </c>
      <c r="M201" s="7">
        <v>45156</v>
      </c>
      <c r="O201" s="66" t="s">
        <v>31</v>
      </c>
      <c r="P201" s="8">
        <v>6</v>
      </c>
      <c r="Q201" s="29">
        <v>4</v>
      </c>
      <c r="R201" s="29"/>
      <c r="S201" s="43">
        <v>5</v>
      </c>
      <c r="T201" s="14">
        <f t="shared" ref="T201" si="146">SUM(P201:S201)</f>
        <v>15</v>
      </c>
      <c r="U201" s="9"/>
      <c r="V201" s="29">
        <v>3</v>
      </c>
      <c r="W201" s="29"/>
      <c r="X201" s="43"/>
      <c r="Y201" s="55">
        <f t="shared" ref="Y201" si="147">SUM(U201:X201)</f>
        <v>3</v>
      </c>
      <c r="Z201" s="14">
        <f t="shared" ref="Z201" si="148">T201+Y201</f>
        <v>18</v>
      </c>
      <c r="AA201" s="7">
        <v>45199</v>
      </c>
    </row>
    <row r="202" spans="1:27" x14ac:dyDescent="0.15">
      <c r="A202" s="82" t="s">
        <v>87</v>
      </c>
      <c r="B202" s="8"/>
      <c r="C202" s="29">
        <v>1</v>
      </c>
      <c r="D202" s="29"/>
      <c r="E202" s="43">
        <v>1</v>
      </c>
      <c r="F202" s="14">
        <f t="shared" si="143"/>
        <v>2</v>
      </c>
      <c r="G202" s="9"/>
      <c r="H202" s="29"/>
      <c r="I202" s="29"/>
      <c r="J202" s="43"/>
      <c r="K202" s="55">
        <f t="shared" si="144"/>
        <v>0</v>
      </c>
      <c r="L202" s="14">
        <f t="shared" si="145"/>
        <v>2</v>
      </c>
      <c r="M202" s="7">
        <v>45162</v>
      </c>
      <c r="O202" s="82" t="s">
        <v>101</v>
      </c>
      <c r="P202" s="8">
        <v>13</v>
      </c>
      <c r="Q202" s="29">
        <v>10</v>
      </c>
      <c r="R202" s="29">
        <v>16</v>
      </c>
      <c r="S202" s="43">
        <v>12</v>
      </c>
      <c r="T202" s="14"/>
      <c r="U202" s="9"/>
      <c r="V202" s="29"/>
      <c r="W202" s="29"/>
      <c r="X202" s="43"/>
      <c r="Y202" s="55"/>
      <c r="Z202" s="14"/>
      <c r="AA202" s="7">
        <v>45247</v>
      </c>
    </row>
    <row r="203" spans="1:27" x14ac:dyDescent="0.15">
      <c r="A203" s="82" t="s">
        <v>4</v>
      </c>
      <c r="B203" s="8"/>
      <c r="C203" s="29"/>
      <c r="D203" s="29"/>
      <c r="E203" s="43">
        <v>3</v>
      </c>
      <c r="F203" s="14">
        <f t="shared" si="143"/>
        <v>3</v>
      </c>
      <c r="G203" s="9">
        <v>3</v>
      </c>
      <c r="H203" s="29"/>
      <c r="I203" s="29"/>
      <c r="J203" s="43">
        <v>3</v>
      </c>
      <c r="K203" s="55">
        <f t="shared" si="144"/>
        <v>6</v>
      </c>
      <c r="L203" s="14">
        <f t="shared" si="145"/>
        <v>9</v>
      </c>
      <c r="M203" s="7">
        <v>45169</v>
      </c>
      <c r="O203" s="82" t="s">
        <v>38</v>
      </c>
      <c r="P203" s="8">
        <v>16</v>
      </c>
      <c r="Q203" s="29">
        <v>12</v>
      </c>
      <c r="R203" s="29">
        <v>9</v>
      </c>
      <c r="S203" s="43">
        <v>4</v>
      </c>
      <c r="T203" s="14">
        <f t="shared" ref="T203:T204" si="149">SUM(P203:S203)</f>
        <v>41</v>
      </c>
      <c r="U203" s="9"/>
      <c r="V203" s="29"/>
      <c r="W203" s="29"/>
      <c r="X203" s="43"/>
      <c r="Y203" s="55">
        <f t="shared" ref="Y203:Y204" si="150">SUM(U203:X203)</f>
        <v>0</v>
      </c>
      <c r="Z203" s="14">
        <f t="shared" ref="Z203:Z233" si="151">T203+Y203</f>
        <v>41</v>
      </c>
      <c r="AA203" s="7">
        <v>45257</v>
      </c>
    </row>
    <row r="204" spans="1:27" ht="14.25" thickBot="1" x14ac:dyDescent="0.2">
      <c r="A204" s="82" t="s">
        <v>38</v>
      </c>
      <c r="B204" s="36"/>
      <c r="C204" s="37">
        <v>1</v>
      </c>
      <c r="D204" s="37"/>
      <c r="E204" s="44"/>
      <c r="F204" s="56">
        <f t="shared" si="143"/>
        <v>1</v>
      </c>
      <c r="G204" s="49"/>
      <c r="H204" s="37"/>
      <c r="I204" s="37"/>
      <c r="J204" s="44"/>
      <c r="K204" s="57">
        <f t="shared" si="144"/>
        <v>0</v>
      </c>
      <c r="L204" s="56">
        <f t="shared" si="145"/>
        <v>1</v>
      </c>
      <c r="M204" s="7">
        <v>45182</v>
      </c>
      <c r="O204" s="66" t="s">
        <v>5</v>
      </c>
      <c r="P204" s="36"/>
      <c r="Q204" s="37"/>
      <c r="R204" s="37"/>
      <c r="S204" s="44"/>
      <c r="T204" s="56">
        <f t="shared" si="149"/>
        <v>0</v>
      </c>
      <c r="U204" s="49"/>
      <c r="V204" s="37"/>
      <c r="W204" s="37"/>
      <c r="X204" s="44"/>
      <c r="Y204" s="57">
        <f t="shared" si="150"/>
        <v>0</v>
      </c>
      <c r="Z204" s="56">
        <f t="shared" si="151"/>
        <v>0</v>
      </c>
    </row>
    <row r="205" spans="1:27" ht="14.25" thickBot="1" x14ac:dyDescent="0.2">
      <c r="A205" s="2" t="s">
        <v>6</v>
      </c>
      <c r="B205" s="30">
        <f>SUM(B200:B204)</f>
        <v>8</v>
      </c>
      <c r="C205" s="31">
        <f>SUM(C200:C204)</f>
        <v>9</v>
      </c>
      <c r="D205" s="31">
        <f>SUM(D200:D204)</f>
        <v>5</v>
      </c>
      <c r="E205" s="45">
        <f>SUM(E200:E204)</f>
        <v>10</v>
      </c>
      <c r="F205" s="110">
        <f>SUM(B205:E205)</f>
        <v>32</v>
      </c>
      <c r="G205" s="41">
        <f>SUM(G200:G204)</f>
        <v>8</v>
      </c>
      <c r="H205" s="31">
        <f>SUM(H200:H204)</f>
        <v>9</v>
      </c>
      <c r="I205" s="31">
        <f>SUM(I200:I204)</f>
        <v>6</v>
      </c>
      <c r="J205" s="45">
        <f>SUM(J200:J204)</f>
        <v>10</v>
      </c>
      <c r="K205" s="110">
        <f>SUM(G205:J205)</f>
        <v>33</v>
      </c>
      <c r="L205" s="53">
        <f t="shared" si="145"/>
        <v>65</v>
      </c>
      <c r="O205" s="2" t="s">
        <v>6</v>
      </c>
      <c r="P205" s="30">
        <f>SUM(P200:P204)</f>
        <v>71</v>
      </c>
      <c r="Q205" s="31">
        <f>SUM(Q200:Q204)</f>
        <v>108</v>
      </c>
      <c r="R205" s="31">
        <f>SUM(R200:R204)</f>
        <v>109</v>
      </c>
      <c r="S205" s="45">
        <f>SUM(S200:S204)</f>
        <v>42</v>
      </c>
      <c r="T205" s="32">
        <f>SUM(P205:S205)</f>
        <v>330</v>
      </c>
      <c r="U205" s="41">
        <f>SUM(U200:U204)</f>
        <v>51</v>
      </c>
      <c r="V205" s="31">
        <f>SUM(V200:V204)</f>
        <v>59</v>
      </c>
      <c r="W205" s="31">
        <f>SUM(W200:W204)</f>
        <v>31</v>
      </c>
      <c r="X205" s="45">
        <f>SUM(X200:X204)</f>
        <v>21</v>
      </c>
      <c r="Y205" s="32">
        <f>SUM(U205:X205)</f>
        <v>162</v>
      </c>
      <c r="Z205" s="50">
        <f t="shared" si="151"/>
        <v>492</v>
      </c>
    </row>
    <row r="206" spans="1:27" x14ac:dyDescent="0.15">
      <c r="A206" s="38" t="s">
        <v>35</v>
      </c>
      <c r="B206" s="8">
        <v>1</v>
      </c>
      <c r="C206" s="9"/>
      <c r="D206" s="9"/>
      <c r="E206" s="39">
        <v>3</v>
      </c>
      <c r="F206" s="14">
        <f t="shared" ref="F206:F207" si="152">SUM(B206:E206)</f>
        <v>4</v>
      </c>
      <c r="G206" s="9"/>
      <c r="H206" s="9"/>
      <c r="I206" s="9"/>
      <c r="J206" s="39">
        <f>1+1</f>
        <v>2</v>
      </c>
      <c r="K206" s="14">
        <f t="shared" ref="K206:K207" si="153">SUM(G206:J206)</f>
        <v>2</v>
      </c>
      <c r="L206" s="14">
        <f t="shared" si="145"/>
        <v>6</v>
      </c>
      <c r="M206" s="7">
        <v>45159</v>
      </c>
      <c r="O206" s="33" t="s">
        <v>31</v>
      </c>
      <c r="P206" s="8"/>
      <c r="Q206" s="9"/>
      <c r="R206" s="9"/>
      <c r="S206" s="39">
        <v>3</v>
      </c>
      <c r="T206" s="14">
        <f t="shared" ref="T206" si="154">SUM(P206:S206)</f>
        <v>3</v>
      </c>
      <c r="U206" s="9">
        <v>3</v>
      </c>
      <c r="V206" s="9"/>
      <c r="W206" s="9"/>
      <c r="X206" s="39">
        <v>3</v>
      </c>
      <c r="Y206" s="14">
        <f t="shared" ref="Y206" si="155">SUM(U206:X206)</f>
        <v>6</v>
      </c>
      <c r="Z206" s="14">
        <f t="shared" si="151"/>
        <v>9</v>
      </c>
      <c r="AA206" s="7">
        <v>45169</v>
      </c>
    </row>
    <row r="207" spans="1:27" x14ac:dyDescent="0.15">
      <c r="A207" s="38" t="s">
        <v>35</v>
      </c>
      <c r="B207" s="8">
        <v>1</v>
      </c>
      <c r="C207" s="9">
        <v>1</v>
      </c>
      <c r="D207" s="9"/>
      <c r="E207" s="39"/>
      <c r="F207" s="14">
        <f t="shared" si="152"/>
        <v>2</v>
      </c>
      <c r="G207" s="9">
        <v>1</v>
      </c>
      <c r="H207" s="9"/>
      <c r="I207" s="9"/>
      <c r="J207" s="39"/>
      <c r="K207" s="14">
        <f t="shared" si="153"/>
        <v>1</v>
      </c>
      <c r="L207" s="14">
        <f t="shared" si="145"/>
        <v>3</v>
      </c>
      <c r="M207" s="7">
        <v>45160</v>
      </c>
      <c r="O207" s="33" t="s">
        <v>97</v>
      </c>
      <c r="P207" s="8"/>
      <c r="Q207" s="9">
        <v>7</v>
      </c>
      <c r="R207" s="9"/>
      <c r="S207" s="39"/>
      <c r="T207" s="14">
        <f t="shared" ref="T207:T217" si="156">SUM(P207:S207)</f>
        <v>7</v>
      </c>
      <c r="U207" s="9"/>
      <c r="V207" s="9"/>
      <c r="W207" s="9"/>
      <c r="X207" s="39"/>
      <c r="Y207" s="14">
        <f t="shared" ref="Y207:Y217" si="157">SUM(U207:X207)</f>
        <v>0</v>
      </c>
      <c r="Z207" s="14">
        <f t="shared" ref="Z207:Z217" si="158">T207+Y207</f>
        <v>7</v>
      </c>
      <c r="AA207" s="7">
        <v>45174</v>
      </c>
    </row>
    <row r="208" spans="1:27" x14ac:dyDescent="0.15">
      <c r="A208" s="38" t="s">
        <v>35</v>
      </c>
      <c r="B208" s="8"/>
      <c r="C208" s="9"/>
      <c r="D208" s="9"/>
      <c r="E208" s="39"/>
      <c r="F208" s="14">
        <f t="shared" ref="F208:F219" si="159">SUM(B208:E208)</f>
        <v>0</v>
      </c>
      <c r="G208" s="9"/>
      <c r="H208" s="9"/>
      <c r="I208" s="9">
        <v>1</v>
      </c>
      <c r="J208" s="39"/>
      <c r="K208" s="14">
        <f t="shared" ref="K208:K219" si="160">SUM(G208:J208)</f>
        <v>1</v>
      </c>
      <c r="L208" s="14">
        <f t="shared" ref="L208:L219" si="161">F208+K208</f>
        <v>1</v>
      </c>
      <c r="M208" s="7">
        <v>45161</v>
      </c>
      <c r="O208" s="33" t="s">
        <v>99</v>
      </c>
      <c r="P208" s="8"/>
      <c r="Q208" s="9">
        <v>2</v>
      </c>
      <c r="R208" s="9"/>
      <c r="S208" s="39"/>
      <c r="T208" s="14">
        <f t="shared" si="156"/>
        <v>2</v>
      </c>
      <c r="U208" s="9"/>
      <c r="V208" s="9"/>
      <c r="W208" s="9"/>
      <c r="X208" s="39"/>
      <c r="Y208" s="14">
        <f t="shared" si="157"/>
        <v>0</v>
      </c>
      <c r="Z208" s="14">
        <f t="shared" si="158"/>
        <v>2</v>
      </c>
      <c r="AA208" s="7">
        <v>45201</v>
      </c>
    </row>
    <row r="209" spans="1:27" x14ac:dyDescent="0.15">
      <c r="A209" s="38" t="s">
        <v>35</v>
      </c>
      <c r="B209" s="8"/>
      <c r="C209" s="9"/>
      <c r="D209" s="9"/>
      <c r="E209" s="39"/>
      <c r="F209" s="14">
        <f t="shared" si="159"/>
        <v>0</v>
      </c>
      <c r="G209" s="9">
        <v>1</v>
      </c>
      <c r="H209" s="9"/>
      <c r="I209" s="9"/>
      <c r="J209" s="39"/>
      <c r="K209" s="14">
        <f t="shared" si="160"/>
        <v>1</v>
      </c>
      <c r="L209" s="14">
        <f t="shared" si="161"/>
        <v>1</v>
      </c>
      <c r="M209" s="7">
        <v>45163</v>
      </c>
      <c r="O209" s="33" t="s">
        <v>31</v>
      </c>
      <c r="P209" s="8"/>
      <c r="Q209" s="9"/>
      <c r="R209" s="9"/>
      <c r="S209" s="39"/>
      <c r="T209" s="14">
        <f t="shared" si="156"/>
        <v>0</v>
      </c>
      <c r="U209" s="9"/>
      <c r="V209" s="9"/>
      <c r="W209" s="9"/>
      <c r="X209" s="39">
        <v>2</v>
      </c>
      <c r="Y209" s="14">
        <f t="shared" si="157"/>
        <v>2</v>
      </c>
      <c r="Z209" s="14">
        <f t="shared" si="158"/>
        <v>2</v>
      </c>
      <c r="AA209" s="7">
        <v>45288</v>
      </c>
    </row>
    <row r="210" spans="1:27" x14ac:dyDescent="0.15">
      <c r="A210" s="38" t="s">
        <v>35</v>
      </c>
      <c r="B210" s="8"/>
      <c r="C210" s="9"/>
      <c r="D210" s="9"/>
      <c r="E210" s="39">
        <v>1</v>
      </c>
      <c r="F210" s="14">
        <f t="shared" si="159"/>
        <v>1</v>
      </c>
      <c r="G210" s="9">
        <v>1</v>
      </c>
      <c r="H210" s="9"/>
      <c r="I210" s="9"/>
      <c r="J210" s="39">
        <v>2</v>
      </c>
      <c r="K210" s="14">
        <f t="shared" si="160"/>
        <v>3</v>
      </c>
      <c r="L210" s="14">
        <f t="shared" si="161"/>
        <v>4</v>
      </c>
      <c r="M210" s="7">
        <v>45166</v>
      </c>
      <c r="O210" s="33" t="s">
        <v>112</v>
      </c>
      <c r="P210" s="8"/>
      <c r="Q210" s="9"/>
      <c r="R210" s="9"/>
      <c r="S210" s="39">
        <v>1</v>
      </c>
      <c r="T210" s="14">
        <f t="shared" si="156"/>
        <v>1</v>
      </c>
      <c r="U210" s="9"/>
      <c r="V210" s="9"/>
      <c r="W210" s="9"/>
      <c r="X210" s="39"/>
      <c r="Y210" s="14">
        <f t="shared" si="157"/>
        <v>0</v>
      </c>
      <c r="Z210" s="14">
        <f t="shared" si="158"/>
        <v>1</v>
      </c>
      <c r="AA210" s="7">
        <v>45316</v>
      </c>
    </row>
    <row r="211" spans="1:27" x14ac:dyDescent="0.15">
      <c r="A211" s="38" t="s">
        <v>42</v>
      </c>
      <c r="B211" s="8"/>
      <c r="C211" s="9"/>
      <c r="D211" s="9"/>
      <c r="E211" s="39"/>
      <c r="F211" s="14">
        <f t="shared" si="159"/>
        <v>0</v>
      </c>
      <c r="G211" s="9">
        <v>-1</v>
      </c>
      <c r="H211" s="9">
        <v>1</v>
      </c>
      <c r="I211" s="9"/>
      <c r="J211" s="39"/>
      <c r="K211" s="14">
        <f t="shared" si="160"/>
        <v>0</v>
      </c>
      <c r="L211" s="14">
        <f t="shared" si="161"/>
        <v>0</v>
      </c>
      <c r="M211" s="7">
        <v>45167</v>
      </c>
      <c r="O211" s="33"/>
      <c r="P211" s="8"/>
      <c r="Q211" s="9"/>
      <c r="R211" s="9"/>
      <c r="S211" s="39"/>
      <c r="T211" s="14">
        <f t="shared" si="156"/>
        <v>0</v>
      </c>
      <c r="U211" s="9"/>
      <c r="V211" s="9"/>
      <c r="W211" s="9"/>
      <c r="X211" s="39"/>
      <c r="Y211" s="14">
        <f t="shared" si="157"/>
        <v>0</v>
      </c>
      <c r="Z211" s="14">
        <f t="shared" si="158"/>
        <v>0</v>
      </c>
    </row>
    <row r="212" spans="1:27" x14ac:dyDescent="0.15">
      <c r="A212" s="38" t="s">
        <v>35</v>
      </c>
      <c r="B212" s="8"/>
      <c r="C212" s="9"/>
      <c r="D212" s="9"/>
      <c r="E212" s="39"/>
      <c r="F212" s="14">
        <f t="shared" si="159"/>
        <v>0</v>
      </c>
      <c r="G212" s="9"/>
      <c r="H212" s="9"/>
      <c r="I212" s="9"/>
      <c r="J212" s="39">
        <v>2</v>
      </c>
      <c r="K212" s="14">
        <f t="shared" si="160"/>
        <v>2</v>
      </c>
      <c r="L212" s="14">
        <f t="shared" si="161"/>
        <v>2</v>
      </c>
      <c r="M212" s="7">
        <v>45168</v>
      </c>
      <c r="O212" s="35"/>
      <c r="P212" s="8"/>
      <c r="Q212" s="9"/>
      <c r="R212" s="9"/>
      <c r="S212" s="39"/>
      <c r="T212" s="14">
        <f t="shared" si="156"/>
        <v>0</v>
      </c>
      <c r="U212" s="9"/>
      <c r="V212" s="9"/>
      <c r="W212" s="9"/>
      <c r="X212" s="39"/>
      <c r="Y212" s="14">
        <f t="shared" si="157"/>
        <v>0</v>
      </c>
      <c r="Z212" s="14">
        <f t="shared" si="158"/>
        <v>0</v>
      </c>
    </row>
    <row r="213" spans="1:27" x14ac:dyDescent="0.15">
      <c r="A213" s="38" t="s">
        <v>35</v>
      </c>
      <c r="B213" s="8"/>
      <c r="C213" s="9"/>
      <c r="D213" s="9"/>
      <c r="E213" s="39"/>
      <c r="F213" s="14">
        <f t="shared" si="159"/>
        <v>0</v>
      </c>
      <c r="G213" s="9"/>
      <c r="H213" s="9"/>
      <c r="I213" s="9">
        <v>1</v>
      </c>
      <c r="J213" s="39"/>
      <c r="K213" s="14">
        <f t="shared" si="160"/>
        <v>1</v>
      </c>
      <c r="L213" s="14">
        <f t="shared" si="161"/>
        <v>1</v>
      </c>
      <c r="M213" s="7">
        <v>45170</v>
      </c>
      <c r="O213" s="35"/>
      <c r="P213" s="8"/>
      <c r="Q213" s="9"/>
      <c r="R213" s="9"/>
      <c r="S213" s="39"/>
      <c r="T213" s="14">
        <f t="shared" si="156"/>
        <v>0</v>
      </c>
      <c r="U213" s="9"/>
      <c r="V213" s="9"/>
      <c r="W213" s="9"/>
      <c r="X213" s="39"/>
      <c r="Y213" s="14">
        <f t="shared" si="157"/>
        <v>0</v>
      </c>
      <c r="Z213" s="14">
        <f t="shared" si="158"/>
        <v>0</v>
      </c>
    </row>
    <row r="214" spans="1:27" x14ac:dyDescent="0.15">
      <c r="A214" s="38" t="s">
        <v>98</v>
      </c>
      <c r="B214" s="8"/>
      <c r="C214" s="9"/>
      <c r="D214" s="9"/>
      <c r="E214" s="39"/>
      <c r="F214" s="14">
        <f t="shared" si="159"/>
        <v>0</v>
      </c>
      <c r="G214" s="9">
        <v>1</v>
      </c>
      <c r="H214" s="9"/>
      <c r="I214" s="9"/>
      <c r="J214" s="39"/>
      <c r="K214" s="14">
        <f t="shared" si="160"/>
        <v>1</v>
      </c>
      <c r="L214" s="14">
        <f t="shared" si="161"/>
        <v>1</v>
      </c>
      <c r="M214" s="7">
        <v>45174</v>
      </c>
      <c r="O214" s="35"/>
      <c r="P214" s="8"/>
      <c r="Q214" s="9"/>
      <c r="R214" s="9"/>
      <c r="S214" s="39"/>
      <c r="T214" s="14">
        <f t="shared" si="156"/>
        <v>0</v>
      </c>
      <c r="U214" s="9"/>
      <c r="V214" s="9"/>
      <c r="W214" s="9"/>
      <c r="X214" s="39"/>
      <c r="Y214" s="14">
        <f t="shared" si="157"/>
        <v>0</v>
      </c>
      <c r="Z214" s="14">
        <f t="shared" si="158"/>
        <v>0</v>
      </c>
    </row>
    <row r="215" spans="1:27" x14ac:dyDescent="0.15">
      <c r="A215" s="38" t="s">
        <v>35</v>
      </c>
      <c r="B215" s="8"/>
      <c r="C215" s="9"/>
      <c r="D215" s="9">
        <v>1</v>
      </c>
      <c r="E215" s="39"/>
      <c r="F215" s="14">
        <f t="shared" si="159"/>
        <v>1</v>
      </c>
      <c r="G215" s="9"/>
      <c r="H215" s="9"/>
      <c r="I215" s="9">
        <v>1</v>
      </c>
      <c r="J215" s="39"/>
      <c r="K215" s="14">
        <f t="shared" si="160"/>
        <v>1</v>
      </c>
      <c r="L215" s="14">
        <f t="shared" si="161"/>
        <v>2</v>
      </c>
      <c r="M215" s="7">
        <v>45173</v>
      </c>
      <c r="O215" s="35"/>
      <c r="P215" s="8"/>
      <c r="Q215" s="9"/>
      <c r="R215" s="9"/>
      <c r="S215" s="39"/>
      <c r="T215" s="14">
        <f t="shared" si="156"/>
        <v>0</v>
      </c>
      <c r="U215" s="9"/>
      <c r="V215" s="9"/>
      <c r="W215" s="9"/>
      <c r="X215" s="39"/>
      <c r="Y215" s="14">
        <f t="shared" si="157"/>
        <v>0</v>
      </c>
      <c r="Z215" s="14">
        <f t="shared" si="158"/>
        <v>0</v>
      </c>
    </row>
    <row r="216" spans="1:27" x14ac:dyDescent="0.15">
      <c r="A216" s="38" t="s">
        <v>51</v>
      </c>
      <c r="B216" s="8"/>
      <c r="C216" s="9"/>
      <c r="D216" s="9"/>
      <c r="E216" s="39"/>
      <c r="F216" s="14">
        <f t="shared" si="159"/>
        <v>0</v>
      </c>
      <c r="G216" s="9">
        <v>1</v>
      </c>
      <c r="H216" s="9"/>
      <c r="I216" s="9"/>
      <c r="J216" s="39"/>
      <c r="K216" s="14">
        <f t="shared" si="160"/>
        <v>1</v>
      </c>
      <c r="L216" s="14">
        <f t="shared" si="161"/>
        <v>1</v>
      </c>
      <c r="M216" s="7">
        <v>45175</v>
      </c>
      <c r="O216" s="35"/>
      <c r="P216" s="8"/>
      <c r="Q216" s="9"/>
      <c r="R216" s="9"/>
      <c r="S216" s="39"/>
      <c r="T216" s="14">
        <f t="shared" si="156"/>
        <v>0</v>
      </c>
      <c r="U216" s="9"/>
      <c r="V216" s="9"/>
      <c r="W216" s="9"/>
      <c r="X216" s="39"/>
      <c r="Y216" s="14">
        <f t="shared" si="157"/>
        <v>0</v>
      </c>
      <c r="Z216" s="14">
        <f t="shared" si="158"/>
        <v>0</v>
      </c>
    </row>
    <row r="217" spans="1:27" x14ac:dyDescent="0.15">
      <c r="A217" s="38" t="s">
        <v>35</v>
      </c>
      <c r="B217" s="8"/>
      <c r="C217" s="9"/>
      <c r="D217" s="9"/>
      <c r="E217" s="39"/>
      <c r="F217" s="14">
        <f t="shared" si="159"/>
        <v>0</v>
      </c>
      <c r="G217" s="9">
        <v>1</v>
      </c>
      <c r="H217" s="9"/>
      <c r="I217" s="9"/>
      <c r="J217" s="39"/>
      <c r="K217" s="14">
        <f t="shared" si="160"/>
        <v>1</v>
      </c>
      <c r="L217" s="14">
        <f t="shared" si="161"/>
        <v>1</v>
      </c>
      <c r="M217" s="7">
        <v>45174</v>
      </c>
      <c r="O217" s="35"/>
      <c r="P217" s="8"/>
      <c r="Q217" s="9"/>
      <c r="R217" s="9"/>
      <c r="S217" s="39"/>
      <c r="T217" s="14">
        <f t="shared" si="156"/>
        <v>0</v>
      </c>
      <c r="U217" s="9"/>
      <c r="V217" s="9"/>
      <c r="W217" s="9"/>
      <c r="X217" s="39"/>
      <c r="Y217" s="14">
        <f t="shared" si="157"/>
        <v>0</v>
      </c>
      <c r="Z217" s="14">
        <f t="shared" si="158"/>
        <v>0</v>
      </c>
    </row>
    <row r="218" spans="1:27" x14ac:dyDescent="0.15">
      <c r="A218" s="38" t="s">
        <v>35</v>
      </c>
      <c r="B218" s="8"/>
      <c r="C218" s="9"/>
      <c r="D218" s="9"/>
      <c r="E218" s="39"/>
      <c r="F218" s="14">
        <f t="shared" si="159"/>
        <v>0</v>
      </c>
      <c r="G218" s="9"/>
      <c r="H218" s="9">
        <v>1</v>
      </c>
      <c r="I218" s="9"/>
      <c r="J218" s="39"/>
      <c r="K218" s="14">
        <f t="shared" si="160"/>
        <v>1</v>
      </c>
      <c r="L218" s="14">
        <f t="shared" si="161"/>
        <v>1</v>
      </c>
      <c r="M218" s="7">
        <v>45177</v>
      </c>
      <c r="O218" s="35"/>
      <c r="P218" s="8"/>
      <c r="Q218" s="9"/>
      <c r="R218" s="9"/>
      <c r="S218" s="39"/>
      <c r="T218" s="14">
        <f t="shared" ref="T218:T233" si="162">SUM(P218:S218)</f>
        <v>0</v>
      </c>
      <c r="U218" s="9"/>
      <c r="V218" s="9"/>
      <c r="W218" s="9"/>
      <c r="X218" s="39"/>
      <c r="Y218" s="14">
        <f t="shared" ref="Y218:Y233" si="163">SUM(U218:X218)</f>
        <v>0</v>
      </c>
      <c r="Z218" s="14">
        <f t="shared" si="151"/>
        <v>0</v>
      </c>
    </row>
    <row r="219" spans="1:27" x14ac:dyDescent="0.15">
      <c r="A219" s="38" t="s">
        <v>35</v>
      </c>
      <c r="B219" s="8"/>
      <c r="C219" s="9"/>
      <c r="D219" s="9"/>
      <c r="E219" s="39"/>
      <c r="F219" s="14">
        <f t="shared" si="159"/>
        <v>0</v>
      </c>
      <c r="G219" s="9"/>
      <c r="H219" s="9">
        <v>1</v>
      </c>
      <c r="I219" s="9"/>
      <c r="J219" s="39">
        <v>1</v>
      </c>
      <c r="K219" s="14">
        <f t="shared" si="160"/>
        <v>2</v>
      </c>
      <c r="L219" s="14">
        <f t="shared" si="161"/>
        <v>2</v>
      </c>
      <c r="M219" s="7">
        <v>45180</v>
      </c>
      <c r="O219" s="35"/>
      <c r="P219" s="8"/>
      <c r="Q219" s="9"/>
      <c r="R219" s="9"/>
      <c r="S219" s="39"/>
      <c r="T219" s="14">
        <f t="shared" si="162"/>
        <v>0</v>
      </c>
      <c r="U219" s="9"/>
      <c r="V219" s="9"/>
      <c r="W219" s="9"/>
      <c r="X219" s="39"/>
      <c r="Y219" s="14">
        <f t="shared" si="163"/>
        <v>0</v>
      </c>
      <c r="Z219" s="14">
        <f t="shared" si="151"/>
        <v>0</v>
      </c>
    </row>
    <row r="220" spans="1:27" x14ac:dyDescent="0.15">
      <c r="A220" s="38" t="s">
        <v>35</v>
      </c>
      <c r="B220" s="8"/>
      <c r="C220" s="9">
        <v>1</v>
      </c>
      <c r="D220" s="9"/>
      <c r="E220" s="39"/>
      <c r="F220" s="14">
        <f t="shared" ref="F220:F233" si="164">SUM(B220:E220)</f>
        <v>1</v>
      </c>
      <c r="G220" s="9"/>
      <c r="H220" s="9"/>
      <c r="I220" s="9"/>
      <c r="J220" s="39"/>
      <c r="K220" s="14">
        <f t="shared" ref="K220:K233" si="165">SUM(G220:J220)</f>
        <v>0</v>
      </c>
      <c r="L220" s="14">
        <f t="shared" si="145"/>
        <v>1</v>
      </c>
      <c r="M220" s="7">
        <v>45181</v>
      </c>
      <c r="O220" s="35"/>
      <c r="P220" s="8"/>
      <c r="Q220" s="9"/>
      <c r="R220" s="9"/>
      <c r="S220" s="39"/>
      <c r="T220" s="14">
        <f t="shared" si="162"/>
        <v>0</v>
      </c>
      <c r="U220" s="9"/>
      <c r="V220" s="9"/>
      <c r="W220" s="9"/>
      <c r="X220" s="39"/>
      <c r="Y220" s="14">
        <f t="shared" si="163"/>
        <v>0</v>
      </c>
      <c r="Z220" s="14">
        <f t="shared" si="151"/>
        <v>0</v>
      </c>
    </row>
    <row r="221" spans="1:27" x14ac:dyDescent="0.15">
      <c r="A221" s="38" t="s">
        <v>35</v>
      </c>
      <c r="B221" s="8"/>
      <c r="C221" s="9"/>
      <c r="D221" s="9"/>
      <c r="E221" s="39">
        <v>1</v>
      </c>
      <c r="F221" s="14">
        <f t="shared" si="164"/>
        <v>1</v>
      </c>
      <c r="G221" s="9"/>
      <c r="H221" s="9"/>
      <c r="I221" s="9"/>
      <c r="J221" s="39"/>
      <c r="K221" s="14">
        <f t="shared" si="165"/>
        <v>0</v>
      </c>
      <c r="L221" s="14">
        <f t="shared" si="145"/>
        <v>1</v>
      </c>
      <c r="M221" s="7">
        <v>45182</v>
      </c>
      <c r="O221" s="35"/>
      <c r="P221" s="8"/>
      <c r="Q221" s="9"/>
      <c r="R221" s="9"/>
      <c r="S221" s="39"/>
      <c r="T221" s="14">
        <f t="shared" si="162"/>
        <v>0</v>
      </c>
      <c r="U221" s="9"/>
      <c r="V221" s="9"/>
      <c r="W221" s="9"/>
      <c r="X221" s="39"/>
      <c r="Y221" s="14">
        <f t="shared" si="163"/>
        <v>0</v>
      </c>
      <c r="Z221" s="14">
        <f t="shared" si="151"/>
        <v>0</v>
      </c>
    </row>
    <row r="222" spans="1:27" x14ac:dyDescent="0.15">
      <c r="A222" s="82" t="s">
        <v>38</v>
      </c>
      <c r="B222" s="8">
        <v>-5</v>
      </c>
      <c r="C222" s="9"/>
      <c r="D222" s="9"/>
      <c r="E222" s="39">
        <v>-3</v>
      </c>
      <c r="F222" s="14">
        <f t="shared" si="164"/>
        <v>-8</v>
      </c>
      <c r="G222" s="9"/>
      <c r="H222" s="9"/>
      <c r="I222" s="9"/>
      <c r="J222" s="39"/>
      <c r="K222" s="14">
        <f t="shared" si="165"/>
        <v>0</v>
      </c>
      <c r="L222" s="14">
        <f t="shared" si="145"/>
        <v>-8</v>
      </c>
      <c r="M222" s="7">
        <v>45190</v>
      </c>
      <c r="O222" s="35"/>
      <c r="P222" s="8"/>
      <c r="Q222" s="9"/>
      <c r="R222" s="9"/>
      <c r="S222" s="39"/>
      <c r="T222" s="14">
        <f t="shared" si="162"/>
        <v>0</v>
      </c>
      <c r="U222" s="9"/>
      <c r="V222" s="9"/>
      <c r="W222" s="9"/>
      <c r="X222" s="39"/>
      <c r="Y222" s="14">
        <f t="shared" si="163"/>
        <v>0</v>
      </c>
      <c r="Z222" s="14">
        <f t="shared" si="151"/>
        <v>0</v>
      </c>
    </row>
    <row r="223" spans="1:27" x14ac:dyDescent="0.15">
      <c r="A223" s="38" t="s">
        <v>35</v>
      </c>
      <c r="B223" s="8"/>
      <c r="C223" s="9"/>
      <c r="D223" s="9">
        <v>1</v>
      </c>
      <c r="E223" s="39"/>
      <c r="F223" s="14">
        <f t="shared" si="164"/>
        <v>1</v>
      </c>
      <c r="G223" s="9"/>
      <c r="H223" s="9"/>
      <c r="I223" s="9"/>
      <c r="J223" s="39"/>
      <c r="K223" s="14">
        <f t="shared" si="165"/>
        <v>0</v>
      </c>
      <c r="L223" s="14">
        <f t="shared" si="145"/>
        <v>1</v>
      </c>
      <c r="M223" s="7">
        <v>45191</v>
      </c>
      <c r="O223" s="35"/>
      <c r="P223" s="8"/>
      <c r="Q223" s="9"/>
      <c r="R223" s="9"/>
      <c r="S223" s="39"/>
      <c r="T223" s="14">
        <f t="shared" si="162"/>
        <v>0</v>
      </c>
      <c r="U223" s="9"/>
      <c r="V223" s="9"/>
      <c r="W223" s="9"/>
      <c r="X223" s="39"/>
      <c r="Y223" s="14">
        <f t="shared" si="163"/>
        <v>0</v>
      </c>
      <c r="Z223" s="14">
        <f t="shared" si="151"/>
        <v>0</v>
      </c>
    </row>
    <row r="224" spans="1:27" x14ac:dyDescent="0.15">
      <c r="A224" s="38" t="s">
        <v>100</v>
      </c>
      <c r="B224" s="8">
        <v>6</v>
      </c>
      <c r="C224" s="9">
        <v>4</v>
      </c>
      <c r="D224" s="9"/>
      <c r="E224" s="39">
        <v>5</v>
      </c>
      <c r="F224" s="14">
        <f t="shared" si="164"/>
        <v>15</v>
      </c>
      <c r="G224" s="9"/>
      <c r="H224" s="9">
        <v>3</v>
      </c>
      <c r="I224" s="9"/>
      <c r="J224" s="39"/>
      <c r="K224" s="14">
        <f t="shared" si="165"/>
        <v>3</v>
      </c>
      <c r="L224" s="14">
        <f t="shared" si="145"/>
        <v>18</v>
      </c>
      <c r="M224" s="7">
        <v>45199</v>
      </c>
      <c r="O224" s="35"/>
      <c r="P224" s="8"/>
      <c r="Q224" s="9"/>
      <c r="R224" s="9"/>
      <c r="S224" s="39"/>
      <c r="T224" s="14">
        <f t="shared" si="162"/>
        <v>0</v>
      </c>
      <c r="U224" s="9"/>
      <c r="V224" s="9"/>
      <c r="W224" s="9"/>
      <c r="X224" s="39"/>
      <c r="Y224" s="14">
        <f t="shared" si="163"/>
        <v>0</v>
      </c>
      <c r="Z224" s="14">
        <f t="shared" si="151"/>
        <v>0</v>
      </c>
    </row>
    <row r="225" spans="1:27" x14ac:dyDescent="0.15">
      <c r="A225" s="38" t="s">
        <v>35</v>
      </c>
      <c r="B225" s="8"/>
      <c r="C225" s="9"/>
      <c r="D225" s="9"/>
      <c r="E225" s="39"/>
      <c r="F225" s="14">
        <f t="shared" si="164"/>
        <v>0</v>
      </c>
      <c r="G225" s="9"/>
      <c r="H225" s="9"/>
      <c r="I225" s="9"/>
      <c r="J225" s="39">
        <v>1</v>
      </c>
      <c r="K225" s="14">
        <f t="shared" si="165"/>
        <v>1</v>
      </c>
      <c r="L225" s="14">
        <f t="shared" si="145"/>
        <v>1</v>
      </c>
      <c r="M225" s="7">
        <v>45199</v>
      </c>
      <c r="O225" s="35"/>
      <c r="P225" s="8"/>
      <c r="Q225" s="9"/>
      <c r="R225" s="9"/>
      <c r="S225" s="39"/>
      <c r="T225" s="14">
        <f t="shared" si="162"/>
        <v>0</v>
      </c>
      <c r="U225" s="9"/>
      <c r="V225" s="9"/>
      <c r="W225" s="9"/>
      <c r="X225" s="39"/>
      <c r="Y225" s="14">
        <f t="shared" si="163"/>
        <v>0</v>
      </c>
      <c r="Z225" s="14">
        <f t="shared" si="151"/>
        <v>0</v>
      </c>
    </row>
    <row r="226" spans="1:27" x14ac:dyDescent="0.15">
      <c r="A226" s="38" t="s">
        <v>35</v>
      </c>
      <c r="B226" s="8"/>
      <c r="C226" s="9"/>
      <c r="D226" s="9"/>
      <c r="E226" s="39"/>
      <c r="F226" s="14">
        <f t="shared" si="164"/>
        <v>0</v>
      </c>
      <c r="G226" s="9"/>
      <c r="H226" s="9"/>
      <c r="I226" s="9">
        <v>1</v>
      </c>
      <c r="J226" s="39"/>
      <c r="K226" s="14">
        <f t="shared" si="165"/>
        <v>1</v>
      </c>
      <c r="L226" s="14">
        <f t="shared" si="145"/>
        <v>1</v>
      </c>
      <c r="M226" s="7">
        <v>45215</v>
      </c>
      <c r="O226" s="35"/>
      <c r="P226" s="8"/>
      <c r="Q226" s="9"/>
      <c r="R226" s="9"/>
      <c r="S226" s="39"/>
      <c r="T226" s="14">
        <f t="shared" si="162"/>
        <v>0</v>
      </c>
      <c r="U226" s="9"/>
      <c r="V226" s="9"/>
      <c r="W226" s="9"/>
      <c r="X226" s="39"/>
      <c r="Y226" s="14">
        <f t="shared" si="163"/>
        <v>0</v>
      </c>
      <c r="Z226" s="14">
        <f t="shared" si="151"/>
        <v>0</v>
      </c>
    </row>
    <row r="227" spans="1:27" x14ac:dyDescent="0.15">
      <c r="A227" s="82" t="s">
        <v>38</v>
      </c>
      <c r="B227" s="8">
        <v>-1</v>
      </c>
      <c r="C227" s="9"/>
      <c r="D227" s="9"/>
      <c r="E227" s="39"/>
      <c r="F227" s="14">
        <f t="shared" si="164"/>
        <v>-1</v>
      </c>
      <c r="G227" s="9"/>
      <c r="H227" s="9"/>
      <c r="I227" s="9"/>
      <c r="J227" s="39"/>
      <c r="K227" s="14">
        <f t="shared" si="165"/>
        <v>0</v>
      </c>
      <c r="L227" s="14">
        <f t="shared" si="145"/>
        <v>-1</v>
      </c>
      <c r="M227" s="7">
        <v>45218</v>
      </c>
      <c r="O227" s="35"/>
      <c r="P227" s="8"/>
      <c r="Q227" s="9"/>
      <c r="R227" s="9"/>
      <c r="S227" s="39"/>
      <c r="T227" s="14">
        <f t="shared" si="162"/>
        <v>0</v>
      </c>
      <c r="U227" s="9"/>
      <c r="V227" s="9"/>
      <c r="W227" s="9"/>
      <c r="X227" s="39"/>
      <c r="Y227" s="14">
        <f t="shared" si="163"/>
        <v>0</v>
      </c>
      <c r="Z227" s="14">
        <f t="shared" si="151"/>
        <v>0</v>
      </c>
    </row>
    <row r="228" spans="1:27" x14ac:dyDescent="0.15">
      <c r="A228" s="38" t="s">
        <v>35</v>
      </c>
      <c r="B228" s="8">
        <v>1</v>
      </c>
      <c r="C228" s="9"/>
      <c r="D228" s="9"/>
      <c r="E228" s="39"/>
      <c r="F228" s="14">
        <f t="shared" si="164"/>
        <v>1</v>
      </c>
      <c r="G228" s="9"/>
      <c r="H228" s="9"/>
      <c r="I228" s="9"/>
      <c r="J228" s="39"/>
      <c r="K228" s="14">
        <f t="shared" si="165"/>
        <v>0</v>
      </c>
      <c r="L228" s="14">
        <f t="shared" si="145"/>
        <v>1</v>
      </c>
      <c r="M228" s="7">
        <v>45222</v>
      </c>
      <c r="O228" s="35"/>
      <c r="P228" s="8"/>
      <c r="Q228" s="9"/>
      <c r="R228" s="9"/>
      <c r="S228" s="39"/>
      <c r="T228" s="14">
        <f t="shared" si="162"/>
        <v>0</v>
      </c>
      <c r="U228" s="9"/>
      <c r="V228" s="9"/>
      <c r="W228" s="9"/>
      <c r="X228" s="39"/>
      <c r="Y228" s="14">
        <f t="shared" si="163"/>
        <v>0</v>
      </c>
      <c r="Z228" s="14">
        <f t="shared" si="151"/>
        <v>0</v>
      </c>
    </row>
    <row r="229" spans="1:27" x14ac:dyDescent="0.15">
      <c r="A229" s="38" t="s">
        <v>35</v>
      </c>
      <c r="B229" s="8">
        <v>1</v>
      </c>
      <c r="C229" s="9"/>
      <c r="D229" s="9"/>
      <c r="E229" s="39"/>
      <c r="F229" s="14">
        <f t="shared" si="164"/>
        <v>1</v>
      </c>
      <c r="G229" s="9"/>
      <c r="H229" s="9"/>
      <c r="I229" s="9"/>
      <c r="J229" s="39"/>
      <c r="K229" s="14">
        <f t="shared" si="165"/>
        <v>0</v>
      </c>
      <c r="L229" s="14">
        <f t="shared" si="145"/>
        <v>1</v>
      </c>
      <c r="M229" s="7">
        <v>45246</v>
      </c>
      <c r="O229" s="33"/>
      <c r="P229" s="8"/>
      <c r="Q229" s="9"/>
      <c r="R229" s="9"/>
      <c r="S229" s="39"/>
      <c r="T229" s="14">
        <f t="shared" si="162"/>
        <v>0</v>
      </c>
      <c r="U229" s="9"/>
      <c r="V229" s="9"/>
      <c r="W229" s="9"/>
      <c r="X229" s="39"/>
      <c r="Y229" s="14">
        <f t="shared" si="163"/>
        <v>0</v>
      </c>
      <c r="Z229" s="14">
        <f t="shared" si="151"/>
        <v>0</v>
      </c>
    </row>
    <row r="230" spans="1:27" x14ac:dyDescent="0.15">
      <c r="A230" s="38" t="s">
        <v>107</v>
      </c>
      <c r="B230" s="8">
        <v>1</v>
      </c>
      <c r="C230" s="9"/>
      <c r="D230" s="9"/>
      <c r="E230" s="39"/>
      <c r="F230" s="14">
        <f t="shared" si="164"/>
        <v>1</v>
      </c>
      <c r="G230" s="9"/>
      <c r="H230" s="9"/>
      <c r="I230" s="9"/>
      <c r="J230" s="39"/>
      <c r="K230" s="14">
        <f t="shared" si="165"/>
        <v>0</v>
      </c>
      <c r="L230" s="14">
        <f t="shared" si="145"/>
        <v>1</v>
      </c>
      <c r="M230" s="7">
        <v>45264</v>
      </c>
      <c r="O230" s="33"/>
      <c r="P230" s="8"/>
      <c r="Q230" s="9"/>
      <c r="R230" s="9"/>
      <c r="S230" s="39"/>
      <c r="T230" s="14">
        <f t="shared" si="162"/>
        <v>0</v>
      </c>
      <c r="U230" s="9"/>
      <c r="V230" s="9"/>
      <c r="W230" s="9"/>
      <c r="X230" s="39"/>
      <c r="Y230" s="14">
        <f t="shared" si="163"/>
        <v>0</v>
      </c>
      <c r="Z230" s="14">
        <f t="shared" si="151"/>
        <v>0</v>
      </c>
    </row>
    <row r="231" spans="1:27" ht="14.25" thickBot="1" x14ac:dyDescent="0.2">
      <c r="A231" s="38" t="s">
        <v>35</v>
      </c>
      <c r="B231" s="15"/>
      <c r="C231" s="16">
        <v>1</v>
      </c>
      <c r="D231" s="16"/>
      <c r="E231" s="58"/>
      <c r="F231" s="56">
        <f t="shared" si="164"/>
        <v>1</v>
      </c>
      <c r="G231" s="16"/>
      <c r="H231" s="16"/>
      <c r="I231" s="16"/>
      <c r="J231" s="58"/>
      <c r="K231" s="56">
        <f t="shared" si="165"/>
        <v>0</v>
      </c>
      <c r="L231" s="59">
        <f t="shared" si="145"/>
        <v>1</v>
      </c>
      <c r="M231" s="7">
        <v>45258</v>
      </c>
      <c r="O231" s="35"/>
      <c r="P231" s="15"/>
      <c r="Q231" s="16"/>
      <c r="R231" s="16"/>
      <c r="S231" s="58"/>
      <c r="T231" s="56">
        <f t="shared" si="162"/>
        <v>0</v>
      </c>
      <c r="U231" s="16"/>
      <c r="V231" s="16"/>
      <c r="W231" s="16"/>
      <c r="X231" s="58"/>
      <c r="Y231" s="56">
        <f t="shared" si="163"/>
        <v>0</v>
      </c>
      <c r="Z231" s="59">
        <f t="shared" si="151"/>
        <v>0</v>
      </c>
    </row>
    <row r="232" spans="1:27" ht="14.25" thickBot="1" x14ac:dyDescent="0.2">
      <c r="A232" s="3" t="s">
        <v>7</v>
      </c>
      <c r="B232" s="17">
        <f t="shared" ref="B232:E232" si="166">SUM(B206:B231)</f>
        <v>5</v>
      </c>
      <c r="C232" s="18">
        <f t="shared" si="166"/>
        <v>7</v>
      </c>
      <c r="D232" s="18">
        <f t="shared" si="166"/>
        <v>2</v>
      </c>
      <c r="E232" s="40">
        <f t="shared" si="166"/>
        <v>7</v>
      </c>
      <c r="F232" s="11">
        <f t="shared" si="164"/>
        <v>21</v>
      </c>
      <c r="G232" s="17">
        <f t="shared" ref="G232:J232" si="167">SUM(G206:G231)</f>
        <v>5</v>
      </c>
      <c r="H232" s="18">
        <f t="shared" si="167"/>
        <v>6</v>
      </c>
      <c r="I232" s="18">
        <f t="shared" si="167"/>
        <v>4</v>
      </c>
      <c r="J232" s="40">
        <f t="shared" si="167"/>
        <v>8</v>
      </c>
      <c r="K232" s="11">
        <f t="shared" si="165"/>
        <v>23</v>
      </c>
      <c r="L232" s="11">
        <f t="shared" si="145"/>
        <v>44</v>
      </c>
      <c r="O232" s="3" t="s">
        <v>7</v>
      </c>
      <c r="P232" s="17">
        <f t="shared" ref="P232:S232" si="168">SUM(P206:P231)</f>
        <v>0</v>
      </c>
      <c r="Q232" s="18">
        <f t="shared" si="168"/>
        <v>9</v>
      </c>
      <c r="R232" s="18">
        <f t="shared" si="168"/>
        <v>0</v>
      </c>
      <c r="S232" s="40">
        <f t="shared" si="168"/>
        <v>4</v>
      </c>
      <c r="T232" s="11">
        <f t="shared" si="162"/>
        <v>13</v>
      </c>
      <c r="U232" s="17">
        <f t="shared" ref="U232:X232" si="169">SUM(U206:U231)</f>
        <v>3</v>
      </c>
      <c r="V232" s="18">
        <f t="shared" si="169"/>
        <v>0</v>
      </c>
      <c r="W232" s="18">
        <f t="shared" si="169"/>
        <v>0</v>
      </c>
      <c r="X232" s="40">
        <f t="shared" si="169"/>
        <v>5</v>
      </c>
      <c r="Y232" s="11">
        <f t="shared" si="163"/>
        <v>8</v>
      </c>
      <c r="Z232" s="11">
        <f t="shared" si="151"/>
        <v>21</v>
      </c>
    </row>
    <row r="233" spans="1:27" ht="14.25" thickBot="1" x14ac:dyDescent="0.2">
      <c r="A233" s="19" t="s">
        <v>8</v>
      </c>
      <c r="B233" s="20">
        <f t="shared" ref="B233:E233" si="170">B205-B232</f>
        <v>3</v>
      </c>
      <c r="C233" s="21">
        <f t="shared" si="170"/>
        <v>2</v>
      </c>
      <c r="D233" s="21">
        <f t="shared" si="170"/>
        <v>3</v>
      </c>
      <c r="E233" s="22">
        <f t="shared" si="170"/>
        <v>3</v>
      </c>
      <c r="F233" s="11">
        <f t="shared" si="164"/>
        <v>11</v>
      </c>
      <c r="G233" s="20">
        <f t="shared" ref="G233:J233" si="171">G205-G232</f>
        <v>3</v>
      </c>
      <c r="H233" s="21">
        <f t="shared" si="171"/>
        <v>3</v>
      </c>
      <c r="I233" s="21">
        <f t="shared" si="171"/>
        <v>2</v>
      </c>
      <c r="J233" s="51">
        <f t="shared" si="171"/>
        <v>2</v>
      </c>
      <c r="K233" s="11">
        <f t="shared" si="165"/>
        <v>10</v>
      </c>
      <c r="L233" s="53">
        <f t="shared" si="145"/>
        <v>21</v>
      </c>
      <c r="O233" s="19" t="s">
        <v>8</v>
      </c>
      <c r="P233" s="20">
        <f t="shared" ref="P233:S233" si="172">P205-P232</f>
        <v>71</v>
      </c>
      <c r="Q233" s="21">
        <f t="shared" si="172"/>
        <v>99</v>
      </c>
      <c r="R233" s="21">
        <f t="shared" si="172"/>
        <v>109</v>
      </c>
      <c r="S233" s="22">
        <f t="shared" si="172"/>
        <v>38</v>
      </c>
      <c r="T233" s="11">
        <f t="shared" si="162"/>
        <v>317</v>
      </c>
      <c r="U233" s="20">
        <f t="shared" ref="U233:X233" si="173">U205-U232</f>
        <v>48</v>
      </c>
      <c r="V233" s="21">
        <f t="shared" si="173"/>
        <v>59</v>
      </c>
      <c r="W233" s="21">
        <f t="shared" si="173"/>
        <v>31</v>
      </c>
      <c r="X233" s="51">
        <f t="shared" si="173"/>
        <v>16</v>
      </c>
      <c r="Y233" s="11">
        <f t="shared" si="163"/>
        <v>154</v>
      </c>
      <c r="Z233" s="53">
        <f t="shared" si="151"/>
        <v>471</v>
      </c>
    </row>
    <row r="234" spans="1:27" x14ac:dyDescent="0.15">
      <c r="P234" s="34">
        <f>P232+P193+P154+P115++P76+P37</f>
        <v>260</v>
      </c>
      <c r="Q234" s="34">
        <f t="shared" ref="Q234:Z234" si="174">Q232+Q193+Q154+Q115++Q76+Q37</f>
        <v>326</v>
      </c>
      <c r="R234" s="34">
        <f t="shared" si="174"/>
        <v>201</v>
      </c>
      <c r="S234" s="34">
        <f t="shared" si="174"/>
        <v>218</v>
      </c>
      <c r="T234" s="34">
        <f t="shared" si="174"/>
        <v>1005</v>
      </c>
      <c r="U234" s="34">
        <f t="shared" si="174"/>
        <v>30</v>
      </c>
      <c r="V234" s="34">
        <f t="shared" si="174"/>
        <v>43</v>
      </c>
      <c r="W234" s="34">
        <f t="shared" si="174"/>
        <v>28</v>
      </c>
      <c r="X234" s="34">
        <f t="shared" si="174"/>
        <v>42</v>
      </c>
      <c r="Y234" s="34">
        <f t="shared" si="174"/>
        <v>143</v>
      </c>
      <c r="Z234">
        <f t="shared" si="174"/>
        <v>1148</v>
      </c>
    </row>
    <row r="235" spans="1:27" x14ac:dyDescent="0.15">
      <c r="P235" s="124">
        <f>P234/$T$234*100</f>
        <v>25.870646766169152</v>
      </c>
      <c r="Q235" s="124">
        <f t="shared" ref="Q235:T235" si="175">Q234/$T$234*100</f>
        <v>32.437810945273633</v>
      </c>
      <c r="R235" s="124">
        <f t="shared" si="175"/>
        <v>20</v>
      </c>
      <c r="S235" s="124">
        <f t="shared" si="175"/>
        <v>21.691542288557216</v>
      </c>
      <c r="T235" s="124">
        <f t="shared" si="175"/>
        <v>100</v>
      </c>
      <c r="U235" s="124">
        <f>U234/$Y$234*100</f>
        <v>20.97902097902098</v>
      </c>
      <c r="V235" s="124">
        <f t="shared" ref="V235:Y235" si="176">V234/$Y$234*100</f>
        <v>30.069930069930066</v>
      </c>
      <c r="W235" s="124">
        <f t="shared" si="176"/>
        <v>19.58041958041958</v>
      </c>
      <c r="X235" s="124">
        <f t="shared" si="176"/>
        <v>29.37062937062937</v>
      </c>
      <c r="Y235" s="124">
        <f t="shared" si="176"/>
        <v>100</v>
      </c>
    </row>
    <row r="236" spans="1:27" ht="19.5" thickBot="1" x14ac:dyDescent="0.25">
      <c r="A236" s="1" t="s">
        <v>19</v>
      </c>
      <c r="C236" s="164" t="s">
        <v>20</v>
      </c>
      <c r="D236" s="164"/>
      <c r="O236" s="1" t="s">
        <v>21</v>
      </c>
      <c r="S236" s="164" t="s">
        <v>20</v>
      </c>
      <c r="T236" s="164"/>
    </row>
    <row r="237" spans="1:27" ht="14.25" thickBot="1" x14ac:dyDescent="0.2">
      <c r="A237" s="3" t="s">
        <v>0</v>
      </c>
      <c r="B237" s="165" t="s">
        <v>15</v>
      </c>
      <c r="C237" s="166"/>
      <c r="D237" s="166"/>
      <c r="E237" s="166"/>
      <c r="F237" s="167"/>
      <c r="G237" s="168" t="s">
        <v>18</v>
      </c>
      <c r="H237" s="169"/>
      <c r="I237" s="169"/>
      <c r="J237" s="169"/>
      <c r="K237" s="170"/>
      <c r="L237" s="47"/>
      <c r="O237" s="3" t="s">
        <v>0</v>
      </c>
      <c r="P237" s="165" t="s">
        <v>15</v>
      </c>
      <c r="Q237" s="166"/>
      <c r="R237" s="166"/>
      <c r="S237" s="166"/>
      <c r="T237" s="167"/>
      <c r="U237" s="168" t="s">
        <v>18</v>
      </c>
      <c r="V237" s="169"/>
      <c r="W237" s="169"/>
      <c r="X237" s="169"/>
      <c r="Y237" s="170"/>
      <c r="Z237" s="47"/>
    </row>
    <row r="238" spans="1:27" ht="14.25" thickBot="1" x14ac:dyDescent="0.2">
      <c r="A238" s="3" t="s">
        <v>1</v>
      </c>
      <c r="B238" s="23" t="s">
        <v>11</v>
      </c>
      <c r="C238" s="24" t="s">
        <v>12</v>
      </c>
      <c r="D238" s="24" t="s">
        <v>13</v>
      </c>
      <c r="E238" s="25" t="s">
        <v>14</v>
      </c>
      <c r="F238" s="48" t="s">
        <v>2</v>
      </c>
      <c r="G238" s="23" t="s">
        <v>11</v>
      </c>
      <c r="H238" s="24" t="s">
        <v>12</v>
      </c>
      <c r="I238" s="24" t="s">
        <v>13</v>
      </c>
      <c r="J238" s="25" t="s">
        <v>14</v>
      </c>
      <c r="K238" s="48" t="s">
        <v>2</v>
      </c>
      <c r="L238" s="48" t="s">
        <v>17</v>
      </c>
      <c r="O238" s="3" t="s">
        <v>1</v>
      </c>
      <c r="P238" s="23" t="s">
        <v>11</v>
      </c>
      <c r="Q238" s="24" t="s">
        <v>12</v>
      </c>
      <c r="R238" s="24" t="s">
        <v>13</v>
      </c>
      <c r="S238" s="25" t="s">
        <v>14</v>
      </c>
      <c r="T238" s="48" t="s">
        <v>2</v>
      </c>
      <c r="U238" s="23" t="s">
        <v>11</v>
      </c>
      <c r="V238" s="24" t="s">
        <v>12</v>
      </c>
      <c r="W238" s="24" t="s">
        <v>13</v>
      </c>
      <c r="X238" s="25" t="s">
        <v>14</v>
      </c>
      <c r="Y238" s="48" t="s">
        <v>2</v>
      </c>
      <c r="Z238" s="48" t="s">
        <v>17</v>
      </c>
    </row>
    <row r="239" spans="1:27" x14ac:dyDescent="0.15">
      <c r="A239" s="116" t="s">
        <v>9</v>
      </c>
      <c r="B239" s="113">
        <f>B233</f>
        <v>3</v>
      </c>
      <c r="C239" s="27">
        <f>C233</f>
        <v>2</v>
      </c>
      <c r="D239" s="27">
        <f>D233</f>
        <v>3</v>
      </c>
      <c r="E239" s="42">
        <f>E233</f>
        <v>3</v>
      </c>
      <c r="F239" s="28">
        <f>SUM(B239:E239)</f>
        <v>11</v>
      </c>
      <c r="G239" s="113">
        <f>G233</f>
        <v>3</v>
      </c>
      <c r="H239" s="27">
        <f>H233</f>
        <v>3</v>
      </c>
      <c r="I239" s="27">
        <f>I233</f>
        <v>2</v>
      </c>
      <c r="J239" s="42">
        <f>J233</f>
        <v>2</v>
      </c>
      <c r="K239" s="28">
        <f>SUM(G239:J239)</f>
        <v>10</v>
      </c>
      <c r="L239" s="114">
        <f>F239+K239</f>
        <v>21</v>
      </c>
      <c r="O239" s="54" t="s">
        <v>9</v>
      </c>
      <c r="P239" s="26">
        <f>P233</f>
        <v>71</v>
      </c>
      <c r="Q239" s="27">
        <f>Q233</f>
        <v>99</v>
      </c>
      <c r="R239" s="27">
        <f>R233</f>
        <v>109</v>
      </c>
      <c r="S239" s="42">
        <f>S233</f>
        <v>38</v>
      </c>
      <c r="T239" s="28">
        <f>SUM(P239:S239)</f>
        <v>317</v>
      </c>
      <c r="U239" s="26">
        <f>U233</f>
        <v>48</v>
      </c>
      <c r="V239" s="27">
        <f>V233</f>
        <v>59</v>
      </c>
      <c r="W239" s="27">
        <f>W233</f>
        <v>31</v>
      </c>
      <c r="X239" s="42">
        <f>X233</f>
        <v>16</v>
      </c>
      <c r="Y239" s="52">
        <f>SUM(U239:X239)</f>
        <v>154</v>
      </c>
      <c r="Z239" s="28">
        <f>T239+Y239</f>
        <v>471</v>
      </c>
    </row>
    <row r="240" spans="1:27" x14ac:dyDescent="0.15">
      <c r="A240" s="33" t="s">
        <v>38</v>
      </c>
      <c r="B240" s="9"/>
      <c r="C240" s="29"/>
      <c r="D240" s="29"/>
      <c r="E240" s="43">
        <v>2</v>
      </c>
      <c r="F240" s="14">
        <f t="shared" ref="F240:F242" si="177">SUM(B240:E240)</f>
        <v>2</v>
      </c>
      <c r="G240" s="9"/>
      <c r="H240" s="29"/>
      <c r="I240" s="29"/>
      <c r="J240" s="43"/>
      <c r="K240" s="14">
        <f t="shared" ref="K240:K242" si="178">SUM(G240:J240)</f>
        <v>0</v>
      </c>
      <c r="L240" s="125">
        <f t="shared" ref="L240:L242" si="179">F240+K240</f>
        <v>2</v>
      </c>
      <c r="M240" s="7">
        <v>45273</v>
      </c>
      <c r="O240" s="66" t="s">
        <v>31</v>
      </c>
      <c r="P240" s="8"/>
      <c r="Q240" s="29"/>
      <c r="R240" s="29"/>
      <c r="S240" s="43">
        <v>1</v>
      </c>
      <c r="T240" s="14">
        <f t="shared" ref="T240:T243" si="180">SUM(P240:S240)</f>
        <v>1</v>
      </c>
      <c r="U240" s="9"/>
      <c r="V240" s="29"/>
      <c r="W240" s="29"/>
      <c r="X240" s="43"/>
      <c r="Y240" s="55">
        <f t="shared" ref="Y240:Y243" si="181">SUM(U240:X240)</f>
        <v>0</v>
      </c>
      <c r="Z240" s="14">
        <f t="shared" ref="Z240:Z272" si="182">T240+Y240</f>
        <v>1</v>
      </c>
      <c r="AA240" s="7">
        <v>45393</v>
      </c>
    </row>
    <row r="241" spans="1:27" x14ac:dyDescent="0.15">
      <c r="A241" s="33" t="s">
        <v>3</v>
      </c>
      <c r="B241" s="9"/>
      <c r="C241" s="29"/>
      <c r="D241" s="29"/>
      <c r="E241" s="43"/>
      <c r="F241" s="14">
        <f t="shared" si="177"/>
        <v>0</v>
      </c>
      <c r="G241" s="9"/>
      <c r="H241" s="29"/>
      <c r="I241" s="29"/>
      <c r="J241" s="43">
        <v>2</v>
      </c>
      <c r="K241" s="14">
        <f t="shared" si="178"/>
        <v>2</v>
      </c>
      <c r="L241" s="125">
        <f t="shared" si="179"/>
        <v>2</v>
      </c>
      <c r="M241" s="7">
        <v>45288</v>
      </c>
      <c r="O241" s="82" t="s">
        <v>3</v>
      </c>
      <c r="P241" s="8">
        <v>220</v>
      </c>
      <c r="Q241" s="29">
        <v>270</v>
      </c>
      <c r="R241" s="29">
        <v>120</v>
      </c>
      <c r="S241" s="43">
        <v>190</v>
      </c>
      <c r="T241" s="14">
        <f t="shared" si="180"/>
        <v>800</v>
      </c>
      <c r="U241" s="9">
        <v>40</v>
      </c>
      <c r="V241" s="29">
        <v>50</v>
      </c>
      <c r="W241" s="29">
        <v>50</v>
      </c>
      <c r="X241" s="43">
        <v>60</v>
      </c>
      <c r="Y241" s="55">
        <f t="shared" si="181"/>
        <v>200</v>
      </c>
      <c r="Z241" s="14">
        <f t="shared" si="182"/>
        <v>1000</v>
      </c>
      <c r="AA241" s="7" t="s">
        <v>133</v>
      </c>
    </row>
    <row r="242" spans="1:27" x14ac:dyDescent="0.15">
      <c r="A242" s="33" t="s">
        <v>4</v>
      </c>
      <c r="B242" s="9"/>
      <c r="C242" s="29"/>
      <c r="D242" s="29"/>
      <c r="E242" s="43"/>
      <c r="F242" s="14">
        <f t="shared" si="177"/>
        <v>0</v>
      </c>
      <c r="G242" s="9">
        <v>3</v>
      </c>
      <c r="H242" s="29"/>
      <c r="I242" s="29">
        <v>3</v>
      </c>
      <c r="J242" s="43"/>
      <c r="K242" s="14">
        <f t="shared" si="178"/>
        <v>6</v>
      </c>
      <c r="L242" s="125">
        <f t="shared" si="179"/>
        <v>6</v>
      </c>
      <c r="M242" s="7">
        <v>45330</v>
      </c>
      <c r="O242" s="82" t="s">
        <v>28</v>
      </c>
      <c r="P242" s="8">
        <v>-3</v>
      </c>
      <c r="Q242" s="29">
        <v>-3</v>
      </c>
      <c r="R242" s="29">
        <v>-2</v>
      </c>
      <c r="S242" s="43">
        <v>-6</v>
      </c>
      <c r="T242" s="14">
        <f t="shared" si="180"/>
        <v>-14</v>
      </c>
      <c r="U242" s="9">
        <v>0</v>
      </c>
      <c r="V242" s="29">
        <v>-3</v>
      </c>
      <c r="W242" s="29">
        <v>-2</v>
      </c>
      <c r="X242" s="43">
        <v>-3</v>
      </c>
      <c r="Y242" s="55">
        <f t="shared" si="181"/>
        <v>-8</v>
      </c>
      <c r="Z242" s="14">
        <f t="shared" si="182"/>
        <v>-22</v>
      </c>
      <c r="AA242" t="s">
        <v>102</v>
      </c>
    </row>
    <row r="243" spans="1:27" ht="14.25" thickBot="1" x14ac:dyDescent="0.2">
      <c r="A243" s="33" t="s">
        <v>38</v>
      </c>
      <c r="B243" s="112"/>
      <c r="C243" s="31">
        <v>1</v>
      </c>
      <c r="D243" s="31"/>
      <c r="E243" s="45">
        <f>1+1</f>
        <v>2</v>
      </c>
      <c r="F243" s="110">
        <f t="shared" ref="F243" si="183">SUM(B243:E243)</f>
        <v>3</v>
      </c>
      <c r="G243" s="112"/>
      <c r="H243" s="31"/>
      <c r="I243" s="31"/>
      <c r="J243" s="45"/>
      <c r="K243" s="110">
        <f t="shared" ref="K243" si="184">SUM(G243:J243)</f>
        <v>0</v>
      </c>
      <c r="L243" s="115">
        <f t="shared" ref="L243:L272" si="185">F243+K243</f>
        <v>3</v>
      </c>
      <c r="M243" s="7">
        <v>45331</v>
      </c>
      <c r="O243" s="66" t="s">
        <v>5</v>
      </c>
      <c r="P243" s="36"/>
      <c r="Q243" s="37"/>
      <c r="R243" s="37"/>
      <c r="S243" s="44"/>
      <c r="T243" s="56">
        <f t="shared" si="180"/>
        <v>0</v>
      </c>
      <c r="U243" s="49"/>
      <c r="V243" s="37"/>
      <c r="W243" s="37"/>
      <c r="X243" s="44"/>
      <c r="Y243" s="57">
        <f t="shared" si="181"/>
        <v>0</v>
      </c>
      <c r="Z243" s="56">
        <f t="shared" si="182"/>
        <v>0</v>
      </c>
      <c r="AA243" t="s">
        <v>103</v>
      </c>
    </row>
    <row r="244" spans="1:27" ht="14.25" thickBot="1" x14ac:dyDescent="0.2">
      <c r="A244" s="2" t="s">
        <v>6</v>
      </c>
      <c r="B244" s="30">
        <f>SUM(B239:B243)</f>
        <v>3</v>
      </c>
      <c r="C244" s="31">
        <f>SUM(C239:C243)</f>
        <v>3</v>
      </c>
      <c r="D244" s="31">
        <f>SUM(D239:D243)</f>
        <v>3</v>
      </c>
      <c r="E244" s="45">
        <f>SUM(E239:E243)</f>
        <v>7</v>
      </c>
      <c r="F244" s="110">
        <f>SUM(B244:E244)</f>
        <v>16</v>
      </c>
      <c r="G244" s="41">
        <f>SUM(G239:G243)</f>
        <v>6</v>
      </c>
      <c r="H244" s="31">
        <f>SUM(H239:H243)</f>
        <v>3</v>
      </c>
      <c r="I244" s="31">
        <f>SUM(I239:I243)</f>
        <v>5</v>
      </c>
      <c r="J244" s="45">
        <f>SUM(J239:J243)</f>
        <v>4</v>
      </c>
      <c r="K244" s="110">
        <f>SUM(G244:J244)</f>
        <v>18</v>
      </c>
      <c r="L244" s="53">
        <f t="shared" si="185"/>
        <v>34</v>
      </c>
      <c r="O244" s="2" t="s">
        <v>6</v>
      </c>
      <c r="P244" s="30">
        <f>SUM(P239:P243)</f>
        <v>288</v>
      </c>
      <c r="Q244" s="31">
        <f>SUM(Q239:Q243)</f>
        <v>366</v>
      </c>
      <c r="R244" s="31">
        <f>SUM(R239:R243)</f>
        <v>227</v>
      </c>
      <c r="S244" s="45">
        <f>SUM(S239:S243)</f>
        <v>223</v>
      </c>
      <c r="T244" s="32">
        <f>SUM(P244:S244)</f>
        <v>1104</v>
      </c>
      <c r="U244" s="41">
        <f>SUM(U239:U243)</f>
        <v>88</v>
      </c>
      <c r="V244" s="31">
        <f>SUM(V239:V243)</f>
        <v>106</v>
      </c>
      <c r="W244" s="31">
        <f>SUM(W239:W243)</f>
        <v>79</v>
      </c>
      <c r="X244" s="45">
        <f>SUM(X239:X243)</f>
        <v>73</v>
      </c>
      <c r="Y244" s="32">
        <f>SUM(U244:X244)</f>
        <v>346</v>
      </c>
      <c r="Z244" s="50">
        <f t="shared" si="182"/>
        <v>1450</v>
      </c>
      <c r="AA244" t="s">
        <v>104</v>
      </c>
    </row>
    <row r="245" spans="1:27" x14ac:dyDescent="0.15">
      <c r="A245" s="38" t="s">
        <v>35</v>
      </c>
      <c r="B245" s="8"/>
      <c r="C245" s="9"/>
      <c r="D245" s="9"/>
      <c r="E245" s="39"/>
      <c r="F245" s="14">
        <f t="shared" ref="F245:F251" si="186">SUM(B245:E245)</f>
        <v>0</v>
      </c>
      <c r="G245" s="9">
        <v>1</v>
      </c>
      <c r="H245" s="9"/>
      <c r="I245" s="9"/>
      <c r="J245" s="39"/>
      <c r="K245" s="14">
        <f t="shared" ref="K245:K251" si="187">SUM(G245:J245)</f>
        <v>1</v>
      </c>
      <c r="L245" s="14">
        <f t="shared" ref="L245:L251" si="188">F245+K245</f>
        <v>1</v>
      </c>
      <c r="M245" s="7">
        <v>45265</v>
      </c>
      <c r="O245" s="33" t="s">
        <v>114</v>
      </c>
      <c r="P245" s="8">
        <v>25</v>
      </c>
      <c r="Q245" s="9">
        <v>25</v>
      </c>
      <c r="R245" s="9">
        <v>15</v>
      </c>
      <c r="S245" s="39">
        <v>15</v>
      </c>
      <c r="T245" s="14">
        <f t="shared" ref="T245:T255" si="189">SUM(P245:S245)</f>
        <v>80</v>
      </c>
      <c r="U245" s="9"/>
      <c r="V245" s="9"/>
      <c r="W245" s="9"/>
      <c r="X245" s="39"/>
      <c r="Y245" s="14">
        <f t="shared" ref="Y245:Y255" si="190">SUM(U245:X245)</f>
        <v>0</v>
      </c>
      <c r="Z245" s="14">
        <f t="shared" ref="Z245:Z255" si="191">T245+Y245</f>
        <v>80</v>
      </c>
      <c r="AA245" s="7">
        <v>45385</v>
      </c>
    </row>
    <row r="246" spans="1:27" x14ac:dyDescent="0.15">
      <c r="A246" s="38" t="s">
        <v>35</v>
      </c>
      <c r="B246" s="8"/>
      <c r="C246" s="9"/>
      <c r="D246" s="9"/>
      <c r="E246" s="39"/>
      <c r="F246" s="14">
        <f t="shared" si="186"/>
        <v>0</v>
      </c>
      <c r="G246" s="9"/>
      <c r="H246" s="9"/>
      <c r="I246" s="9"/>
      <c r="J246" s="39">
        <v>1</v>
      </c>
      <c r="K246" s="14">
        <f t="shared" si="187"/>
        <v>1</v>
      </c>
      <c r="L246" s="14">
        <f t="shared" si="188"/>
        <v>1</v>
      </c>
      <c r="M246" s="7">
        <v>45266</v>
      </c>
      <c r="O246" s="35" t="s">
        <v>116</v>
      </c>
      <c r="P246" s="8">
        <v>15</v>
      </c>
      <c r="Q246" s="9">
        <v>15</v>
      </c>
      <c r="R246" s="9">
        <v>10</v>
      </c>
      <c r="S246" s="39">
        <v>10</v>
      </c>
      <c r="T246" s="14">
        <f t="shared" si="189"/>
        <v>50</v>
      </c>
      <c r="U246" s="9"/>
      <c r="V246" s="9"/>
      <c r="W246" s="9"/>
      <c r="X246" s="39"/>
      <c r="Y246" s="14">
        <f t="shared" si="190"/>
        <v>0</v>
      </c>
      <c r="Z246" s="14">
        <f t="shared" si="191"/>
        <v>50</v>
      </c>
      <c r="AA246" s="7">
        <v>45364</v>
      </c>
    </row>
    <row r="247" spans="1:27" x14ac:dyDescent="0.15">
      <c r="A247" s="38" t="s">
        <v>35</v>
      </c>
      <c r="B247" s="8"/>
      <c r="C247" s="9"/>
      <c r="D247" s="9"/>
      <c r="E247" s="39"/>
      <c r="F247" s="14">
        <f t="shared" si="186"/>
        <v>0</v>
      </c>
      <c r="G247" s="9">
        <v>1</v>
      </c>
      <c r="H247" s="9"/>
      <c r="I247" s="9"/>
      <c r="J247" s="39"/>
      <c r="K247" s="14">
        <f t="shared" si="187"/>
        <v>1</v>
      </c>
      <c r="L247" s="14">
        <f t="shared" si="188"/>
        <v>1</v>
      </c>
      <c r="M247" s="7">
        <v>45317</v>
      </c>
      <c r="O247" s="33" t="s">
        <v>31</v>
      </c>
      <c r="P247" s="8"/>
      <c r="Q247" s="9"/>
      <c r="R247" s="9"/>
      <c r="S247" s="39"/>
      <c r="T247" s="14">
        <f t="shared" si="189"/>
        <v>0</v>
      </c>
      <c r="U247" s="9">
        <v>3</v>
      </c>
      <c r="V247" s="9"/>
      <c r="W247" s="9">
        <v>3</v>
      </c>
      <c r="X247" s="39"/>
      <c r="Y247" s="14">
        <f t="shared" si="190"/>
        <v>6</v>
      </c>
      <c r="Z247" s="14">
        <f t="shared" si="191"/>
        <v>6</v>
      </c>
      <c r="AA247" s="7">
        <v>45330</v>
      </c>
    </row>
    <row r="248" spans="1:27" x14ac:dyDescent="0.15">
      <c r="A248" s="38" t="s">
        <v>35</v>
      </c>
      <c r="B248" s="8">
        <v>1</v>
      </c>
      <c r="C248" s="9"/>
      <c r="D248" s="9">
        <v>1</v>
      </c>
      <c r="E248" s="39"/>
      <c r="F248" s="14">
        <f t="shared" si="186"/>
        <v>2</v>
      </c>
      <c r="G248" s="9"/>
      <c r="H248" s="9"/>
      <c r="I248" s="9"/>
      <c r="J248" s="39"/>
      <c r="K248" s="14">
        <f t="shared" si="187"/>
        <v>0</v>
      </c>
      <c r="L248" s="14">
        <f t="shared" si="188"/>
        <v>2</v>
      </c>
      <c r="M248" s="7">
        <v>45320</v>
      </c>
      <c r="O248" s="33" t="s">
        <v>31</v>
      </c>
      <c r="P248" s="8"/>
      <c r="Q248" s="9">
        <v>3</v>
      </c>
      <c r="R248" s="9"/>
      <c r="S248" s="39"/>
      <c r="T248" s="14">
        <f t="shared" si="189"/>
        <v>3</v>
      </c>
      <c r="U248" s="9"/>
      <c r="V248" s="9"/>
      <c r="W248" s="9"/>
      <c r="X248" s="39"/>
      <c r="Y248" s="14">
        <f t="shared" si="190"/>
        <v>0</v>
      </c>
      <c r="Z248" s="14">
        <f t="shared" si="191"/>
        <v>3</v>
      </c>
      <c r="AA248" s="7">
        <v>45344</v>
      </c>
    </row>
    <row r="249" spans="1:27" x14ac:dyDescent="0.15">
      <c r="A249" s="38" t="s">
        <v>35</v>
      </c>
      <c r="B249" s="8"/>
      <c r="C249" s="9"/>
      <c r="D249" s="9"/>
      <c r="E249" s="39">
        <v>1</v>
      </c>
      <c r="F249" s="14">
        <f t="shared" si="186"/>
        <v>1</v>
      </c>
      <c r="G249" s="9"/>
      <c r="H249" s="9"/>
      <c r="I249" s="9"/>
      <c r="J249" s="39"/>
      <c r="K249" s="14">
        <f t="shared" si="187"/>
        <v>0</v>
      </c>
      <c r="L249" s="14">
        <f t="shared" si="188"/>
        <v>1</v>
      </c>
      <c r="M249" s="7">
        <v>45321</v>
      </c>
      <c r="O249" s="35" t="s">
        <v>119</v>
      </c>
      <c r="P249" s="8"/>
      <c r="Q249" s="9">
        <v>3</v>
      </c>
      <c r="R249" s="9"/>
      <c r="S249" s="39"/>
      <c r="T249" s="14">
        <f t="shared" si="189"/>
        <v>3</v>
      </c>
      <c r="U249" s="9"/>
      <c r="V249" s="9"/>
      <c r="W249" s="9"/>
      <c r="X249" s="39"/>
      <c r="Y249" s="14">
        <f t="shared" si="190"/>
        <v>0</v>
      </c>
      <c r="Z249" s="14">
        <f t="shared" si="191"/>
        <v>3</v>
      </c>
      <c r="AA249" s="7">
        <v>45351</v>
      </c>
    </row>
    <row r="250" spans="1:27" x14ac:dyDescent="0.15">
      <c r="A250" s="38" t="s">
        <v>35</v>
      </c>
      <c r="B250" s="8"/>
      <c r="C250" s="9"/>
      <c r="D250" s="9"/>
      <c r="E250" s="39"/>
      <c r="F250" s="14">
        <f t="shared" si="186"/>
        <v>0</v>
      </c>
      <c r="G250" s="9">
        <v>1</v>
      </c>
      <c r="H250" s="9"/>
      <c r="I250" s="9">
        <v>2</v>
      </c>
      <c r="J250" s="39"/>
      <c r="K250" s="14">
        <f t="shared" si="187"/>
        <v>3</v>
      </c>
      <c r="L250" s="14">
        <f t="shared" si="188"/>
        <v>3</v>
      </c>
      <c r="M250" s="7">
        <v>45328</v>
      </c>
      <c r="O250" s="35" t="s">
        <v>119</v>
      </c>
      <c r="P250" s="8"/>
      <c r="Q250" s="9">
        <v>2</v>
      </c>
      <c r="R250" s="9"/>
      <c r="S250" s="39"/>
      <c r="T250" s="14">
        <f t="shared" si="189"/>
        <v>2</v>
      </c>
      <c r="U250" s="9"/>
      <c r="V250" s="9"/>
      <c r="W250" s="9"/>
      <c r="X250" s="39"/>
      <c r="Y250" s="14">
        <f t="shared" si="190"/>
        <v>0</v>
      </c>
      <c r="Z250" s="14">
        <f t="shared" si="191"/>
        <v>2</v>
      </c>
      <c r="AA250" s="7">
        <v>45365</v>
      </c>
    </row>
    <row r="251" spans="1:27" x14ac:dyDescent="0.15">
      <c r="A251" s="38" t="s">
        <v>35</v>
      </c>
      <c r="B251" s="8"/>
      <c r="C251" s="9">
        <v>1</v>
      </c>
      <c r="D251" s="9"/>
      <c r="E251" s="39"/>
      <c r="F251" s="14">
        <f t="shared" si="186"/>
        <v>1</v>
      </c>
      <c r="G251" s="9"/>
      <c r="H251" s="9"/>
      <c r="I251" s="9"/>
      <c r="J251" s="39"/>
      <c r="K251" s="14">
        <f t="shared" si="187"/>
        <v>0</v>
      </c>
      <c r="L251" s="14">
        <f t="shared" si="188"/>
        <v>1</v>
      </c>
      <c r="M251" s="7">
        <v>45335</v>
      </c>
      <c r="O251" s="33" t="s">
        <v>31</v>
      </c>
      <c r="P251" s="8">
        <v>6</v>
      </c>
      <c r="Q251" s="9">
        <v>6</v>
      </c>
      <c r="R251" s="9">
        <v>6</v>
      </c>
      <c r="S251" s="39">
        <v>6</v>
      </c>
      <c r="T251" s="14">
        <f t="shared" si="189"/>
        <v>24</v>
      </c>
      <c r="U251" s="9"/>
      <c r="V251" s="9"/>
      <c r="W251" s="9"/>
      <c r="X251" s="39"/>
      <c r="Y251" s="14">
        <f t="shared" si="190"/>
        <v>0</v>
      </c>
      <c r="Z251" s="14">
        <f t="shared" si="191"/>
        <v>24</v>
      </c>
      <c r="AA251" s="7">
        <v>45362</v>
      </c>
    </row>
    <row r="252" spans="1:27" x14ac:dyDescent="0.15">
      <c r="A252" s="38" t="s">
        <v>35</v>
      </c>
      <c r="B252" s="8"/>
      <c r="C252" s="9"/>
      <c r="D252" s="9"/>
      <c r="E252" s="39"/>
      <c r="F252" s="14">
        <f t="shared" ref="F252:F272" si="192">SUM(B252:E252)</f>
        <v>0</v>
      </c>
      <c r="G252" s="9"/>
      <c r="H252" s="9"/>
      <c r="I252" s="9"/>
      <c r="J252" s="39">
        <v>1</v>
      </c>
      <c r="K252" s="14">
        <f t="shared" ref="K252:K272" si="193">SUM(G252:J252)</f>
        <v>1</v>
      </c>
      <c r="L252" s="14">
        <f t="shared" si="185"/>
        <v>1</v>
      </c>
      <c r="M252" s="7">
        <v>45336</v>
      </c>
      <c r="O252" s="33" t="s">
        <v>31</v>
      </c>
      <c r="P252" s="8">
        <v>2</v>
      </c>
      <c r="Q252" s="9"/>
      <c r="R252" s="9">
        <v>2</v>
      </c>
      <c r="S252" s="39"/>
      <c r="T252" s="14">
        <f t="shared" si="189"/>
        <v>4</v>
      </c>
      <c r="U252" s="9"/>
      <c r="V252" s="9">
        <v>2</v>
      </c>
      <c r="W252" s="9"/>
      <c r="X252" s="39">
        <v>2</v>
      </c>
      <c r="Y252" s="14">
        <f t="shared" si="190"/>
        <v>4</v>
      </c>
      <c r="Z252" s="14">
        <f t="shared" si="191"/>
        <v>8</v>
      </c>
      <c r="AA252" s="7">
        <v>45367</v>
      </c>
    </row>
    <row r="253" spans="1:27" x14ac:dyDescent="0.15">
      <c r="A253" s="38" t="s">
        <v>35</v>
      </c>
      <c r="B253" s="8"/>
      <c r="C253" s="9"/>
      <c r="D253" s="9"/>
      <c r="E253" s="39"/>
      <c r="F253" s="14">
        <f t="shared" si="192"/>
        <v>0</v>
      </c>
      <c r="G253" s="9"/>
      <c r="H253" s="9">
        <v>1</v>
      </c>
      <c r="I253" s="9"/>
      <c r="J253" s="39"/>
      <c r="K253" s="14">
        <f t="shared" si="193"/>
        <v>1</v>
      </c>
      <c r="L253" s="14">
        <f t="shared" si="185"/>
        <v>1</v>
      </c>
      <c r="M253" s="7">
        <v>45341</v>
      </c>
      <c r="O253" s="35" t="s">
        <v>122</v>
      </c>
      <c r="P253" s="8">
        <v>1</v>
      </c>
      <c r="Q253" s="9">
        <v>2</v>
      </c>
      <c r="R253" s="9">
        <v>1</v>
      </c>
      <c r="S253" s="39">
        <v>3</v>
      </c>
      <c r="T253" s="14">
        <f t="shared" si="189"/>
        <v>7</v>
      </c>
      <c r="U253" s="9"/>
      <c r="V253" s="9"/>
      <c r="W253" s="9"/>
      <c r="X253" s="39"/>
      <c r="Y253" s="14">
        <f t="shared" si="190"/>
        <v>0</v>
      </c>
      <c r="Z253" s="14">
        <f t="shared" si="191"/>
        <v>7</v>
      </c>
      <c r="AA253" s="7">
        <v>45380</v>
      </c>
    </row>
    <row r="254" spans="1:27" x14ac:dyDescent="0.15">
      <c r="A254" s="38" t="s">
        <v>118</v>
      </c>
      <c r="B254" s="8"/>
      <c r="C254" s="9">
        <v>-3</v>
      </c>
      <c r="D254" s="9"/>
      <c r="E254" s="39"/>
      <c r="F254" s="14">
        <f t="shared" si="192"/>
        <v>-3</v>
      </c>
      <c r="G254" s="9"/>
      <c r="H254" s="9"/>
      <c r="I254" s="9"/>
      <c r="J254" s="39"/>
      <c r="K254" s="14">
        <f t="shared" si="193"/>
        <v>0</v>
      </c>
      <c r="L254" s="14">
        <f t="shared" si="185"/>
        <v>-3</v>
      </c>
      <c r="M254" s="7">
        <v>45344</v>
      </c>
      <c r="O254" s="33" t="s">
        <v>31</v>
      </c>
      <c r="P254" s="8"/>
      <c r="Q254" s="9"/>
      <c r="R254" s="9">
        <v>2</v>
      </c>
      <c r="S254" s="39"/>
      <c r="T254" s="14">
        <f t="shared" si="189"/>
        <v>2</v>
      </c>
      <c r="U254" s="9"/>
      <c r="V254" s="9"/>
      <c r="W254" s="9">
        <v>2</v>
      </c>
      <c r="X254" s="39"/>
      <c r="Y254" s="14">
        <f t="shared" si="190"/>
        <v>2</v>
      </c>
      <c r="Z254" s="14">
        <f t="shared" si="191"/>
        <v>4</v>
      </c>
      <c r="AA254" s="7">
        <v>45381</v>
      </c>
    </row>
    <row r="255" spans="1:27" x14ac:dyDescent="0.15">
      <c r="A255" s="38" t="s">
        <v>35</v>
      </c>
      <c r="B255" s="8"/>
      <c r="C255" s="9"/>
      <c r="D255" s="9"/>
      <c r="E255" s="39">
        <v>1</v>
      </c>
      <c r="F255" s="14">
        <f t="shared" si="192"/>
        <v>1</v>
      </c>
      <c r="G255" s="9"/>
      <c r="H255" s="9"/>
      <c r="I255" s="9"/>
      <c r="J255" s="39"/>
      <c r="K255" s="14">
        <f t="shared" si="193"/>
        <v>0</v>
      </c>
      <c r="L255" s="14">
        <f t="shared" si="185"/>
        <v>1</v>
      </c>
      <c r="M255" s="7">
        <v>45357</v>
      </c>
      <c r="O255" s="35" t="s">
        <v>124</v>
      </c>
      <c r="P255" s="8">
        <v>1</v>
      </c>
      <c r="Q255" s="9"/>
      <c r="R255" s="9">
        <v>1</v>
      </c>
      <c r="S255" s="39">
        <v>3</v>
      </c>
      <c r="T255" s="14">
        <f t="shared" si="189"/>
        <v>5</v>
      </c>
      <c r="U255" s="9"/>
      <c r="V255" s="9"/>
      <c r="W255" s="9"/>
      <c r="X255" s="39"/>
      <c r="Y255" s="14">
        <f t="shared" si="190"/>
        <v>0</v>
      </c>
      <c r="Z255" s="14">
        <f t="shared" si="191"/>
        <v>5</v>
      </c>
      <c r="AA255" s="7">
        <v>45387</v>
      </c>
    </row>
    <row r="256" spans="1:27" x14ac:dyDescent="0.15">
      <c r="A256" s="38" t="s">
        <v>35</v>
      </c>
      <c r="B256" s="8"/>
      <c r="C256" s="9">
        <v>1</v>
      </c>
      <c r="D256" s="9"/>
      <c r="E256" s="39"/>
      <c r="F256" s="14">
        <f t="shared" si="192"/>
        <v>1</v>
      </c>
      <c r="G256" s="9"/>
      <c r="H256" s="9"/>
      <c r="I256" s="9"/>
      <c r="J256" s="39"/>
      <c r="K256" s="14">
        <f t="shared" si="193"/>
        <v>0</v>
      </c>
      <c r="L256" s="14">
        <f t="shared" si="185"/>
        <v>1</v>
      </c>
      <c r="M256" s="7">
        <v>45358</v>
      </c>
      <c r="O256" s="35" t="s">
        <v>119</v>
      </c>
      <c r="P256" s="8">
        <v>3</v>
      </c>
      <c r="Q256" s="9">
        <v>3</v>
      </c>
      <c r="R256" s="9"/>
      <c r="S256" s="39">
        <v>2</v>
      </c>
      <c r="T256" s="14">
        <f t="shared" ref="T256:T272" si="194">SUM(P256:S256)</f>
        <v>8</v>
      </c>
      <c r="U256" s="9"/>
      <c r="V256" s="9"/>
      <c r="W256" s="9"/>
      <c r="X256" s="39"/>
      <c r="Y256" s="14">
        <f t="shared" ref="Y256:Y272" si="195">SUM(U256:X256)</f>
        <v>0</v>
      </c>
      <c r="Z256" s="14">
        <f t="shared" si="182"/>
        <v>8</v>
      </c>
      <c r="AA256" s="7">
        <v>45393</v>
      </c>
    </row>
    <row r="257" spans="1:28" x14ac:dyDescent="0.15">
      <c r="A257" s="33" t="s">
        <v>113</v>
      </c>
      <c r="B257" s="8">
        <v>6</v>
      </c>
      <c r="C257" s="9">
        <v>6</v>
      </c>
      <c r="D257" s="9">
        <v>6</v>
      </c>
      <c r="E257" s="39">
        <v>6</v>
      </c>
      <c r="F257" s="14">
        <f t="shared" si="192"/>
        <v>24</v>
      </c>
      <c r="G257" s="9"/>
      <c r="H257" s="9"/>
      <c r="I257" s="9"/>
      <c r="J257" s="39"/>
      <c r="K257" s="14">
        <f t="shared" si="193"/>
        <v>0</v>
      </c>
      <c r="L257" s="14">
        <f t="shared" si="185"/>
        <v>24</v>
      </c>
      <c r="M257" s="7">
        <v>45370</v>
      </c>
      <c r="O257" s="35" t="s">
        <v>119</v>
      </c>
      <c r="P257" s="8"/>
      <c r="Q257" s="9">
        <v>1</v>
      </c>
      <c r="R257" s="9"/>
      <c r="S257" s="39"/>
      <c r="T257" s="14">
        <f t="shared" si="194"/>
        <v>1</v>
      </c>
      <c r="U257" s="9"/>
      <c r="V257" s="9"/>
      <c r="W257" s="9"/>
      <c r="X257" s="39"/>
      <c r="Y257" s="14">
        <f t="shared" si="195"/>
        <v>0</v>
      </c>
      <c r="Z257" s="14">
        <f t="shared" si="182"/>
        <v>1</v>
      </c>
      <c r="AA257" s="7">
        <v>45393</v>
      </c>
    </row>
    <row r="258" spans="1:28" x14ac:dyDescent="0.15">
      <c r="A258" s="38" t="s">
        <v>40</v>
      </c>
      <c r="B258" s="8">
        <v>-6</v>
      </c>
      <c r="C258" s="9">
        <v>-6</v>
      </c>
      <c r="D258" s="9">
        <v>-6</v>
      </c>
      <c r="E258" s="39">
        <v>-6</v>
      </c>
      <c r="F258" s="14">
        <f t="shared" si="192"/>
        <v>-24</v>
      </c>
      <c r="G258" s="9"/>
      <c r="H258" s="9"/>
      <c r="I258" s="9"/>
      <c r="J258" s="39"/>
      <c r="K258" s="14">
        <f t="shared" si="193"/>
        <v>0</v>
      </c>
      <c r="L258" s="14">
        <f t="shared" si="185"/>
        <v>-24</v>
      </c>
      <c r="M258" s="7">
        <v>45362</v>
      </c>
      <c r="O258" s="33" t="s">
        <v>31</v>
      </c>
      <c r="P258" s="8"/>
      <c r="Q258" s="9"/>
      <c r="R258" s="9">
        <v>5</v>
      </c>
      <c r="S258" s="39"/>
      <c r="T258" s="14">
        <f t="shared" si="194"/>
        <v>5</v>
      </c>
      <c r="U258" s="9"/>
      <c r="V258" s="9"/>
      <c r="W258" s="9"/>
      <c r="X258" s="39"/>
      <c r="Y258" s="14">
        <f t="shared" si="195"/>
        <v>0</v>
      </c>
      <c r="Z258" s="14">
        <f t="shared" si="182"/>
        <v>5</v>
      </c>
      <c r="AA258" s="7">
        <v>45391</v>
      </c>
    </row>
    <row r="259" spans="1:28" x14ac:dyDescent="0.15">
      <c r="A259" s="38" t="s">
        <v>35</v>
      </c>
      <c r="B259" s="8"/>
      <c r="C259" s="9"/>
      <c r="D259" s="9">
        <v>1</v>
      </c>
      <c r="E259" s="39"/>
      <c r="F259" s="14">
        <f t="shared" si="192"/>
        <v>1</v>
      </c>
      <c r="G259" s="9"/>
      <c r="H259" s="9"/>
      <c r="I259" s="9"/>
      <c r="J259" s="39"/>
      <c r="K259" s="14">
        <f t="shared" si="193"/>
        <v>0</v>
      </c>
      <c r="L259" s="14">
        <f t="shared" si="185"/>
        <v>1</v>
      </c>
      <c r="M259" s="7">
        <v>45362</v>
      </c>
      <c r="O259" s="35" t="s">
        <v>119</v>
      </c>
      <c r="P259" s="8"/>
      <c r="Q259" s="9">
        <v>5</v>
      </c>
      <c r="R259" s="9"/>
      <c r="S259" s="39"/>
      <c r="T259" s="14">
        <f t="shared" si="194"/>
        <v>5</v>
      </c>
      <c r="U259" s="9"/>
      <c r="V259" s="9"/>
      <c r="W259" s="9"/>
      <c r="X259" s="39"/>
      <c r="Y259" s="14">
        <f t="shared" si="195"/>
        <v>0</v>
      </c>
      <c r="Z259" s="14">
        <f t="shared" si="182"/>
        <v>5</v>
      </c>
      <c r="AA259" s="7">
        <v>45394</v>
      </c>
    </row>
    <row r="260" spans="1:28" x14ac:dyDescent="0.15">
      <c r="A260" s="38" t="s">
        <v>120</v>
      </c>
      <c r="B260" s="8"/>
      <c r="C260" s="9">
        <v>-1</v>
      </c>
      <c r="D260" s="9"/>
      <c r="E260" s="39"/>
      <c r="F260" s="14">
        <f t="shared" si="192"/>
        <v>-1</v>
      </c>
      <c r="G260" s="9"/>
      <c r="H260" s="9"/>
      <c r="I260" s="9"/>
      <c r="J260" s="39"/>
      <c r="K260" s="14">
        <f t="shared" si="193"/>
        <v>0</v>
      </c>
      <c r="L260" s="14">
        <f t="shared" si="185"/>
        <v>-1</v>
      </c>
      <c r="M260" s="7">
        <v>45364</v>
      </c>
      <c r="O260" s="33" t="s">
        <v>31</v>
      </c>
      <c r="P260" s="8"/>
      <c r="Q260" s="9">
        <v>3</v>
      </c>
      <c r="R260" s="9"/>
      <c r="S260" s="39"/>
      <c r="T260" s="14">
        <f t="shared" ref="T260" si="196">SUM(P260:S260)</f>
        <v>3</v>
      </c>
      <c r="U260" s="9"/>
      <c r="V260" s="9"/>
      <c r="W260" s="9"/>
      <c r="X260" s="39"/>
      <c r="Y260" s="14">
        <f t="shared" ref="Y260" si="197">SUM(U260:X260)</f>
        <v>0</v>
      </c>
      <c r="Z260" s="14">
        <f t="shared" ref="Z260" si="198">T260+Y260</f>
        <v>3</v>
      </c>
      <c r="AA260" s="7">
        <v>45392</v>
      </c>
    </row>
    <row r="261" spans="1:28" x14ac:dyDescent="0.15">
      <c r="A261" s="38" t="s">
        <v>40</v>
      </c>
      <c r="B261" s="8">
        <v>-2</v>
      </c>
      <c r="C261" s="9"/>
      <c r="D261" s="9">
        <v>-2</v>
      </c>
      <c r="E261" s="39"/>
      <c r="F261" s="14">
        <f t="shared" si="192"/>
        <v>-4</v>
      </c>
      <c r="G261" s="9"/>
      <c r="H261" s="9">
        <v>-2</v>
      </c>
      <c r="I261" s="9"/>
      <c r="J261" s="39">
        <v>-2</v>
      </c>
      <c r="K261" s="14">
        <f t="shared" si="193"/>
        <v>-4</v>
      </c>
      <c r="L261" s="14">
        <f t="shared" si="185"/>
        <v>-8</v>
      </c>
      <c r="M261" s="7">
        <v>45367</v>
      </c>
      <c r="O261" s="35" t="s">
        <v>119</v>
      </c>
      <c r="P261" s="8"/>
      <c r="Q261" s="9"/>
      <c r="R261" s="9"/>
      <c r="S261" s="39">
        <v>3</v>
      </c>
      <c r="T261" s="14">
        <f t="shared" si="194"/>
        <v>3</v>
      </c>
      <c r="U261" s="9"/>
      <c r="V261" s="9"/>
      <c r="W261" s="9"/>
      <c r="X261" s="39"/>
      <c r="Y261" s="14">
        <f t="shared" si="195"/>
        <v>0</v>
      </c>
      <c r="Z261" s="14">
        <f t="shared" si="182"/>
        <v>3</v>
      </c>
      <c r="AA261" s="7">
        <v>45404</v>
      </c>
    </row>
    <row r="262" spans="1:28" x14ac:dyDescent="0.15">
      <c r="A262" s="38" t="s">
        <v>121</v>
      </c>
      <c r="B262" s="8">
        <v>1</v>
      </c>
      <c r="C262" s="9">
        <v>1</v>
      </c>
      <c r="D262" s="9"/>
      <c r="E262" s="39"/>
      <c r="F262" s="14">
        <f t="shared" si="192"/>
        <v>2</v>
      </c>
      <c r="G262" s="9"/>
      <c r="H262" s="9"/>
      <c r="I262" s="9"/>
      <c r="J262" s="39"/>
      <c r="K262" s="14">
        <f t="shared" si="193"/>
        <v>0</v>
      </c>
      <c r="L262" s="14">
        <f t="shared" si="185"/>
        <v>2</v>
      </c>
      <c r="M262" s="7">
        <v>45370</v>
      </c>
      <c r="O262" s="35" t="s">
        <v>119</v>
      </c>
      <c r="P262" s="8">
        <v>2</v>
      </c>
      <c r="Q262" s="9">
        <v>1</v>
      </c>
      <c r="R262" s="9"/>
      <c r="S262" s="39"/>
      <c r="T262" s="14">
        <f t="shared" si="194"/>
        <v>3</v>
      </c>
      <c r="U262" s="9"/>
      <c r="V262" s="9"/>
      <c r="W262" s="9"/>
      <c r="X262" s="39"/>
      <c r="Y262" s="14">
        <f t="shared" si="195"/>
        <v>0</v>
      </c>
      <c r="Z262" s="14">
        <f t="shared" si="182"/>
        <v>3</v>
      </c>
      <c r="AA262" s="7">
        <v>45399</v>
      </c>
    </row>
    <row r="263" spans="1:28" x14ac:dyDescent="0.15">
      <c r="A263" s="38" t="s">
        <v>35</v>
      </c>
      <c r="B263" s="8"/>
      <c r="C263" s="9"/>
      <c r="D263" s="9"/>
      <c r="E263" s="39"/>
      <c r="F263" s="14">
        <f t="shared" si="192"/>
        <v>0</v>
      </c>
      <c r="G263" s="9"/>
      <c r="H263" s="9"/>
      <c r="I263" s="9"/>
      <c r="J263" s="39">
        <v>1</v>
      </c>
      <c r="K263" s="14">
        <f t="shared" si="193"/>
        <v>1</v>
      </c>
      <c r="L263" s="14">
        <f t="shared" si="185"/>
        <v>1</v>
      </c>
      <c r="M263" s="7">
        <v>45370</v>
      </c>
      <c r="O263" s="35" t="s">
        <v>119</v>
      </c>
      <c r="P263" s="8">
        <v>1</v>
      </c>
      <c r="Q263" s="9">
        <v>2</v>
      </c>
      <c r="R263" s="9"/>
      <c r="S263" s="39"/>
      <c r="T263" s="14">
        <f t="shared" si="194"/>
        <v>3</v>
      </c>
      <c r="U263" s="9"/>
      <c r="V263" s="9"/>
      <c r="W263" s="9"/>
      <c r="X263" s="39"/>
      <c r="Y263" s="14">
        <f t="shared" si="195"/>
        <v>0</v>
      </c>
      <c r="Z263" s="14">
        <f t="shared" si="182"/>
        <v>3</v>
      </c>
      <c r="AA263" s="7">
        <v>45399</v>
      </c>
    </row>
    <row r="264" spans="1:28" x14ac:dyDescent="0.15">
      <c r="A264" s="38" t="s">
        <v>35</v>
      </c>
      <c r="B264" s="8">
        <v>1</v>
      </c>
      <c r="C264" s="9"/>
      <c r="D264" s="9"/>
      <c r="E264" s="39"/>
      <c r="F264" s="14">
        <f t="shared" si="192"/>
        <v>1</v>
      </c>
      <c r="G264" s="9"/>
      <c r="H264" s="9"/>
      <c r="I264" s="9"/>
      <c r="J264" s="39"/>
      <c r="K264" s="14">
        <f t="shared" si="193"/>
        <v>0</v>
      </c>
      <c r="L264" s="14">
        <f t="shared" si="185"/>
        <v>1</v>
      </c>
      <c r="M264" s="7">
        <v>45372</v>
      </c>
      <c r="O264" s="35" t="s">
        <v>119</v>
      </c>
      <c r="P264" s="8">
        <v>3</v>
      </c>
      <c r="Q264" s="9"/>
      <c r="R264" s="9"/>
      <c r="S264" s="39"/>
      <c r="T264" s="14">
        <f t="shared" si="194"/>
        <v>3</v>
      </c>
      <c r="U264" s="9"/>
      <c r="V264" s="9"/>
      <c r="W264" s="9"/>
      <c r="X264" s="39"/>
      <c r="Y264" s="14">
        <f t="shared" si="195"/>
        <v>0</v>
      </c>
      <c r="Z264" s="14">
        <f t="shared" si="182"/>
        <v>3</v>
      </c>
      <c r="AA264" s="7">
        <v>45401</v>
      </c>
    </row>
    <row r="265" spans="1:28" x14ac:dyDescent="0.15">
      <c r="A265" s="38" t="s">
        <v>35</v>
      </c>
      <c r="B265" s="8"/>
      <c r="C265" s="9"/>
      <c r="D265" s="9"/>
      <c r="E265" s="39"/>
      <c r="F265" s="14">
        <f t="shared" si="192"/>
        <v>0</v>
      </c>
      <c r="G265" s="9"/>
      <c r="H265" s="9"/>
      <c r="I265" s="9">
        <v>2</v>
      </c>
      <c r="J265" s="39"/>
      <c r="K265" s="14">
        <f t="shared" si="193"/>
        <v>2</v>
      </c>
      <c r="L265" s="14">
        <f t="shared" si="185"/>
        <v>2</v>
      </c>
      <c r="M265" s="7">
        <v>45373</v>
      </c>
      <c r="O265" s="35"/>
      <c r="P265" s="8"/>
      <c r="Q265" s="9"/>
      <c r="R265" s="9"/>
      <c r="S265" s="39"/>
      <c r="T265" s="14">
        <f t="shared" ref="T265" si="199">SUM(P265:S265)</f>
        <v>0</v>
      </c>
      <c r="U265" s="9"/>
      <c r="V265" s="9"/>
      <c r="W265" s="9"/>
      <c r="X265" s="39"/>
      <c r="Y265" s="14">
        <f t="shared" ref="Y265" si="200">SUM(U265:X265)</f>
        <v>0</v>
      </c>
      <c r="Z265" s="14">
        <f t="shared" ref="Z265" si="201">T265+Y265</f>
        <v>0</v>
      </c>
    </row>
    <row r="266" spans="1:28" x14ac:dyDescent="0.15">
      <c r="A266" s="38" t="s">
        <v>35</v>
      </c>
      <c r="B266" s="8"/>
      <c r="C266" s="9"/>
      <c r="D266" s="9">
        <v>1</v>
      </c>
      <c r="E266" s="39"/>
      <c r="F266" s="14">
        <f t="shared" si="192"/>
        <v>1</v>
      </c>
      <c r="G266" s="9"/>
      <c r="H266" s="9"/>
      <c r="I266" s="9"/>
      <c r="J266" s="39"/>
      <c r="K266" s="14">
        <f t="shared" si="193"/>
        <v>0</v>
      </c>
      <c r="L266" s="14">
        <f t="shared" si="185"/>
        <v>1</v>
      </c>
      <c r="M266" s="7">
        <v>45377</v>
      </c>
      <c r="O266" s="35"/>
      <c r="P266" s="8"/>
      <c r="Q266" s="9"/>
      <c r="R266" s="9"/>
      <c r="S266" s="39"/>
      <c r="T266" s="14">
        <f t="shared" si="194"/>
        <v>0</v>
      </c>
      <c r="U266" s="9"/>
      <c r="V266" s="9"/>
      <c r="W266" s="9"/>
      <c r="X266" s="39"/>
      <c r="Y266" s="14">
        <f t="shared" si="195"/>
        <v>0</v>
      </c>
      <c r="Z266" s="14">
        <f t="shared" si="182"/>
        <v>0</v>
      </c>
    </row>
    <row r="267" spans="1:28" x14ac:dyDescent="0.15">
      <c r="A267" s="38" t="s">
        <v>38</v>
      </c>
      <c r="B267" s="8">
        <v>-1</v>
      </c>
      <c r="C267" s="9"/>
      <c r="D267" s="9"/>
      <c r="E267" s="39"/>
      <c r="F267" s="14">
        <f t="shared" si="192"/>
        <v>-1</v>
      </c>
      <c r="G267" s="9"/>
      <c r="H267" s="9"/>
      <c r="I267" s="9"/>
      <c r="J267" s="39"/>
      <c r="K267" s="14">
        <f t="shared" si="193"/>
        <v>0</v>
      </c>
      <c r="L267" s="14">
        <f t="shared" si="185"/>
        <v>-1</v>
      </c>
      <c r="M267" s="7">
        <v>45380</v>
      </c>
      <c r="O267" s="35"/>
      <c r="P267" s="8"/>
      <c r="Q267" s="9"/>
      <c r="R267" s="9"/>
      <c r="S267" s="39"/>
      <c r="T267" s="14">
        <f t="shared" ref="T267" si="202">SUM(P267:S267)</f>
        <v>0</v>
      </c>
      <c r="U267" s="9"/>
      <c r="V267" s="9"/>
      <c r="W267" s="9"/>
      <c r="X267" s="39"/>
      <c r="Y267" s="14">
        <f t="shared" ref="Y267" si="203">SUM(U267:X267)</f>
        <v>0</v>
      </c>
      <c r="Z267" s="14">
        <f t="shared" ref="Z267" si="204">T267+Y267</f>
        <v>0</v>
      </c>
    </row>
    <row r="268" spans="1:28" x14ac:dyDescent="0.15">
      <c r="A268" s="33" t="s">
        <v>123</v>
      </c>
      <c r="B268" s="8"/>
      <c r="C268" s="9"/>
      <c r="D268" s="9">
        <v>-2</v>
      </c>
      <c r="E268" s="39"/>
      <c r="F268" s="14">
        <f t="shared" si="192"/>
        <v>-2</v>
      </c>
      <c r="G268" s="9"/>
      <c r="H268" s="9"/>
      <c r="I268" s="9">
        <v>-2</v>
      </c>
      <c r="J268" s="39"/>
      <c r="K268" s="14">
        <f t="shared" si="193"/>
        <v>-2</v>
      </c>
      <c r="L268" s="14">
        <f t="shared" si="185"/>
        <v>-4</v>
      </c>
      <c r="M268" s="7">
        <v>45381</v>
      </c>
      <c r="O268" s="35"/>
      <c r="P268" s="8"/>
      <c r="Q268" s="9"/>
      <c r="R268" s="9"/>
      <c r="S268" s="39"/>
      <c r="T268" s="14">
        <f t="shared" ref="T268:T270" si="205">SUM(P268:S268)</f>
        <v>0</v>
      </c>
      <c r="U268" s="9"/>
      <c r="V268" s="9"/>
      <c r="W268" s="9"/>
      <c r="X268" s="39"/>
      <c r="Y268" s="14">
        <f t="shared" ref="Y268:Y270" si="206">SUM(U268:X268)</f>
        <v>0</v>
      </c>
      <c r="Z268" s="14">
        <f t="shared" ref="Z268:Z270" si="207">T268+Y268</f>
        <v>0</v>
      </c>
      <c r="AB268" s="34"/>
    </row>
    <row r="269" spans="1:28" x14ac:dyDescent="0.15">
      <c r="A269" s="38" t="s">
        <v>35</v>
      </c>
      <c r="B269" s="8"/>
      <c r="C269" s="9"/>
      <c r="D269" s="9">
        <v>1</v>
      </c>
      <c r="E269" s="39"/>
      <c r="F269" s="14">
        <f t="shared" si="192"/>
        <v>1</v>
      </c>
      <c r="G269" s="9"/>
      <c r="H269" s="9"/>
      <c r="I269" s="9"/>
      <c r="J269" s="39"/>
      <c r="K269" s="14">
        <f t="shared" si="193"/>
        <v>0</v>
      </c>
      <c r="L269" s="14">
        <f t="shared" si="185"/>
        <v>1</v>
      </c>
      <c r="M269" s="7">
        <v>45383</v>
      </c>
      <c r="O269" s="35"/>
      <c r="P269" s="8"/>
      <c r="Q269" s="9"/>
      <c r="R269" s="9"/>
      <c r="S269" s="39"/>
      <c r="T269" s="14">
        <f t="shared" si="205"/>
        <v>0</v>
      </c>
      <c r="U269" s="9"/>
      <c r="V269" s="9"/>
      <c r="W269" s="9"/>
      <c r="X269" s="39"/>
      <c r="Y269" s="14">
        <f t="shared" si="206"/>
        <v>0</v>
      </c>
      <c r="Z269" s="14">
        <f t="shared" si="207"/>
        <v>0</v>
      </c>
    </row>
    <row r="270" spans="1:28" ht="14.25" thickBot="1" x14ac:dyDescent="0.2">
      <c r="A270" s="38" t="s">
        <v>35</v>
      </c>
      <c r="B270" s="15">
        <v>1</v>
      </c>
      <c r="C270" s="16"/>
      <c r="D270" s="16"/>
      <c r="E270" s="58"/>
      <c r="F270" s="56">
        <f t="shared" si="192"/>
        <v>1</v>
      </c>
      <c r="G270" s="16"/>
      <c r="H270" s="16"/>
      <c r="I270" s="16"/>
      <c r="J270" s="58"/>
      <c r="K270" s="56">
        <f t="shared" si="193"/>
        <v>0</v>
      </c>
      <c r="L270" s="59">
        <f t="shared" si="185"/>
        <v>1</v>
      </c>
      <c r="M270" s="7">
        <v>45391</v>
      </c>
      <c r="O270" s="35"/>
      <c r="P270" s="8"/>
      <c r="Q270" s="9"/>
      <c r="R270" s="9"/>
      <c r="S270" s="39"/>
      <c r="T270" s="14">
        <f t="shared" si="205"/>
        <v>0</v>
      </c>
      <c r="U270" s="9"/>
      <c r="V270" s="9"/>
      <c r="W270" s="9"/>
      <c r="X270" s="39"/>
      <c r="Y270" s="14">
        <f t="shared" si="206"/>
        <v>0</v>
      </c>
      <c r="Z270" s="14">
        <f t="shared" si="207"/>
        <v>0</v>
      </c>
    </row>
    <row r="271" spans="1:28" ht="14.25" thickBot="1" x14ac:dyDescent="0.2">
      <c r="A271" s="3" t="s">
        <v>7</v>
      </c>
      <c r="B271" s="17">
        <f t="shared" ref="B271:E271" si="208">SUM(B245:B270)</f>
        <v>1</v>
      </c>
      <c r="C271" s="18">
        <f t="shared" si="208"/>
        <v>-1</v>
      </c>
      <c r="D271" s="18">
        <f t="shared" si="208"/>
        <v>0</v>
      </c>
      <c r="E271" s="40">
        <f t="shared" si="208"/>
        <v>2</v>
      </c>
      <c r="F271" s="11">
        <f t="shared" si="192"/>
        <v>2</v>
      </c>
      <c r="G271" s="17">
        <f t="shared" ref="G271:J271" si="209">SUM(G245:G270)</f>
        <v>3</v>
      </c>
      <c r="H271" s="18">
        <f t="shared" si="209"/>
        <v>-1</v>
      </c>
      <c r="I271" s="18">
        <f t="shared" si="209"/>
        <v>2</v>
      </c>
      <c r="J271" s="40">
        <f t="shared" si="209"/>
        <v>1</v>
      </c>
      <c r="K271" s="11">
        <f t="shared" si="193"/>
        <v>5</v>
      </c>
      <c r="L271" s="11">
        <f t="shared" si="185"/>
        <v>7</v>
      </c>
      <c r="O271" s="3" t="s">
        <v>7</v>
      </c>
      <c r="P271" s="17">
        <f t="shared" ref="P271:S271" si="210">SUM(P245:P270)</f>
        <v>59</v>
      </c>
      <c r="Q271" s="18">
        <f t="shared" si="210"/>
        <v>71</v>
      </c>
      <c r="R271" s="18">
        <f t="shared" si="210"/>
        <v>42</v>
      </c>
      <c r="S271" s="40">
        <f t="shared" si="210"/>
        <v>42</v>
      </c>
      <c r="T271" s="11">
        <f t="shared" si="194"/>
        <v>214</v>
      </c>
      <c r="U271" s="17">
        <f t="shared" ref="U271:X271" si="211">SUM(U245:U270)</f>
        <v>3</v>
      </c>
      <c r="V271" s="18">
        <f t="shared" si="211"/>
        <v>2</v>
      </c>
      <c r="W271" s="18">
        <f t="shared" si="211"/>
        <v>5</v>
      </c>
      <c r="X271" s="40">
        <f t="shared" si="211"/>
        <v>2</v>
      </c>
      <c r="Y271" s="11">
        <f t="shared" si="195"/>
        <v>12</v>
      </c>
      <c r="Z271" s="11">
        <f t="shared" si="182"/>
        <v>226</v>
      </c>
    </row>
    <row r="272" spans="1:28" ht="14.25" thickBot="1" x14ac:dyDescent="0.2">
      <c r="A272" s="19" t="s">
        <v>8</v>
      </c>
      <c r="B272" s="20">
        <f t="shared" ref="B272:E272" si="212">B244-B271</f>
        <v>2</v>
      </c>
      <c r="C272" s="21">
        <f t="shared" si="212"/>
        <v>4</v>
      </c>
      <c r="D272" s="21">
        <f t="shared" si="212"/>
        <v>3</v>
      </c>
      <c r="E272" s="22">
        <f t="shared" si="212"/>
        <v>5</v>
      </c>
      <c r="F272" s="11">
        <f t="shared" si="192"/>
        <v>14</v>
      </c>
      <c r="G272" s="20">
        <f t="shared" ref="G272:J272" si="213">G244-G271</f>
        <v>3</v>
      </c>
      <c r="H272" s="21">
        <f t="shared" si="213"/>
        <v>4</v>
      </c>
      <c r="I272" s="21">
        <f t="shared" si="213"/>
        <v>3</v>
      </c>
      <c r="J272" s="51">
        <f t="shared" si="213"/>
        <v>3</v>
      </c>
      <c r="K272" s="11">
        <f t="shared" si="193"/>
        <v>13</v>
      </c>
      <c r="L272" s="53">
        <f t="shared" si="185"/>
        <v>27</v>
      </c>
      <c r="O272" s="19" t="s">
        <v>8</v>
      </c>
      <c r="P272" s="20">
        <f t="shared" ref="P272:S272" si="214">P244-P271</f>
        <v>229</v>
      </c>
      <c r="Q272" s="21">
        <f t="shared" si="214"/>
        <v>295</v>
      </c>
      <c r="R272" s="21">
        <f t="shared" si="214"/>
        <v>185</v>
      </c>
      <c r="S272" s="22">
        <f t="shared" si="214"/>
        <v>181</v>
      </c>
      <c r="T272" s="11">
        <f t="shared" si="194"/>
        <v>890</v>
      </c>
      <c r="U272" s="20">
        <f t="shared" ref="U272:X272" si="215">U244-U271</f>
        <v>85</v>
      </c>
      <c r="V272" s="21">
        <f t="shared" si="215"/>
        <v>104</v>
      </c>
      <c r="W272" s="21">
        <f t="shared" si="215"/>
        <v>74</v>
      </c>
      <c r="X272" s="51">
        <f t="shared" si="215"/>
        <v>71</v>
      </c>
      <c r="Y272" s="11">
        <f t="shared" si="195"/>
        <v>334</v>
      </c>
      <c r="Z272" s="53">
        <f t="shared" si="182"/>
        <v>1224</v>
      </c>
    </row>
    <row r="273" spans="1:27" x14ac:dyDescent="0.15"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</row>
    <row r="275" spans="1:27" ht="19.5" thickBot="1" x14ac:dyDescent="0.25">
      <c r="A275" s="1" t="s">
        <v>19</v>
      </c>
      <c r="C275" s="164" t="s">
        <v>20</v>
      </c>
      <c r="D275" s="164"/>
      <c r="O275" s="1" t="s">
        <v>21</v>
      </c>
      <c r="S275" s="164" t="s">
        <v>20</v>
      </c>
      <c r="T275" s="164"/>
    </row>
    <row r="276" spans="1:27" ht="14.25" thickBot="1" x14ac:dyDescent="0.2">
      <c r="A276" s="3" t="s">
        <v>0</v>
      </c>
      <c r="B276" s="165" t="s">
        <v>15</v>
      </c>
      <c r="C276" s="166"/>
      <c r="D276" s="166"/>
      <c r="E276" s="166"/>
      <c r="F276" s="167"/>
      <c r="G276" s="168" t="s">
        <v>18</v>
      </c>
      <c r="H276" s="169"/>
      <c r="I276" s="169"/>
      <c r="J276" s="169"/>
      <c r="K276" s="170"/>
      <c r="L276" s="47"/>
      <c r="O276" s="3" t="s">
        <v>0</v>
      </c>
      <c r="P276" s="165" t="s">
        <v>15</v>
      </c>
      <c r="Q276" s="166"/>
      <c r="R276" s="166"/>
      <c r="S276" s="166"/>
      <c r="T276" s="167"/>
      <c r="U276" s="168" t="s">
        <v>18</v>
      </c>
      <c r="V276" s="169"/>
      <c r="W276" s="169"/>
      <c r="X276" s="169"/>
      <c r="Y276" s="170"/>
      <c r="Z276" s="47"/>
    </row>
    <row r="277" spans="1:27" ht="14.25" thickBot="1" x14ac:dyDescent="0.2">
      <c r="A277" s="3" t="s">
        <v>1</v>
      </c>
      <c r="B277" s="23" t="s">
        <v>11</v>
      </c>
      <c r="C277" s="24" t="s">
        <v>12</v>
      </c>
      <c r="D277" s="24" t="s">
        <v>13</v>
      </c>
      <c r="E277" s="25" t="s">
        <v>14</v>
      </c>
      <c r="F277" s="48" t="s">
        <v>2</v>
      </c>
      <c r="G277" s="23" t="s">
        <v>11</v>
      </c>
      <c r="H277" s="24" t="s">
        <v>12</v>
      </c>
      <c r="I277" s="24" t="s">
        <v>13</v>
      </c>
      <c r="J277" s="25" t="s">
        <v>14</v>
      </c>
      <c r="K277" s="48" t="s">
        <v>2</v>
      </c>
      <c r="L277" s="48" t="s">
        <v>17</v>
      </c>
      <c r="O277" s="3" t="s">
        <v>1</v>
      </c>
      <c r="P277" s="23" t="s">
        <v>11</v>
      </c>
      <c r="Q277" s="24" t="s">
        <v>12</v>
      </c>
      <c r="R277" s="24" t="s">
        <v>13</v>
      </c>
      <c r="S277" s="25" t="s">
        <v>14</v>
      </c>
      <c r="T277" s="48" t="s">
        <v>2</v>
      </c>
      <c r="U277" s="23" t="s">
        <v>11</v>
      </c>
      <c r="V277" s="24" t="s">
        <v>12</v>
      </c>
      <c r="W277" s="24" t="s">
        <v>13</v>
      </c>
      <c r="X277" s="25" t="s">
        <v>14</v>
      </c>
      <c r="Y277" s="48" t="s">
        <v>2</v>
      </c>
      <c r="Z277" s="48" t="s">
        <v>17</v>
      </c>
    </row>
    <row r="278" spans="1:27" x14ac:dyDescent="0.15">
      <c r="A278" s="116" t="s">
        <v>9</v>
      </c>
      <c r="B278" s="113">
        <f>B272</f>
        <v>2</v>
      </c>
      <c r="C278" s="27">
        <f>C272</f>
        <v>4</v>
      </c>
      <c r="D278" s="27">
        <f>D272</f>
        <v>3</v>
      </c>
      <c r="E278" s="42">
        <f>E272</f>
        <v>5</v>
      </c>
      <c r="F278" s="28">
        <f>SUM(B278:E278)</f>
        <v>14</v>
      </c>
      <c r="G278" s="113">
        <f>G272</f>
        <v>3</v>
      </c>
      <c r="H278" s="27">
        <f>H272</f>
        <v>4</v>
      </c>
      <c r="I278" s="27">
        <f>I272</f>
        <v>3</v>
      </c>
      <c r="J278" s="42">
        <f>J272</f>
        <v>3</v>
      </c>
      <c r="K278" s="28">
        <f>SUM(G278:J278)</f>
        <v>13</v>
      </c>
      <c r="L278" s="114">
        <f>F278+K278</f>
        <v>27</v>
      </c>
      <c r="O278" s="54" t="s">
        <v>9</v>
      </c>
      <c r="P278" s="26">
        <f>P272</f>
        <v>229</v>
      </c>
      <c r="Q278" s="27">
        <f>Q272</f>
        <v>295</v>
      </c>
      <c r="R278" s="27">
        <f>R272</f>
        <v>185</v>
      </c>
      <c r="S278" s="42">
        <f>S272</f>
        <v>181</v>
      </c>
      <c r="T278" s="28">
        <f>SUM(P278:S278)</f>
        <v>890</v>
      </c>
      <c r="U278" s="26">
        <f>U272</f>
        <v>85</v>
      </c>
      <c r="V278" s="27">
        <f>V272</f>
        <v>104</v>
      </c>
      <c r="W278" s="27">
        <f>W272</f>
        <v>74</v>
      </c>
      <c r="X278" s="42">
        <f>X272</f>
        <v>71</v>
      </c>
      <c r="Y278" s="52">
        <f>SUM(U278:X278)</f>
        <v>334</v>
      </c>
      <c r="Z278" s="28">
        <f>T278+Y278</f>
        <v>1224</v>
      </c>
    </row>
    <row r="279" spans="1:27" x14ac:dyDescent="0.15">
      <c r="A279" s="33" t="s">
        <v>125</v>
      </c>
      <c r="B279" s="9">
        <v>1</v>
      </c>
      <c r="C279" s="29"/>
      <c r="D279" s="29">
        <v>1</v>
      </c>
      <c r="E279" s="43"/>
      <c r="F279" s="14">
        <f t="shared" ref="F279" si="216">SUM(B279:E279)</f>
        <v>2</v>
      </c>
      <c r="G279" s="9"/>
      <c r="H279" s="29">
        <v>1</v>
      </c>
      <c r="I279" s="29"/>
      <c r="J279" s="43">
        <v>1</v>
      </c>
      <c r="K279" s="14">
        <f t="shared" ref="K279" si="217">SUM(G279:J279)</f>
        <v>2</v>
      </c>
      <c r="L279" s="125">
        <f t="shared" ref="L279" si="218">F279+K279</f>
        <v>4</v>
      </c>
      <c r="M279" s="7">
        <v>45387</v>
      </c>
      <c r="O279" s="66" t="s">
        <v>10</v>
      </c>
      <c r="P279" s="8"/>
      <c r="Q279" s="29"/>
      <c r="R279" s="29"/>
      <c r="S279" s="43"/>
      <c r="T279" s="14">
        <f t="shared" ref="T279" si="219">SUM(P279:S279)</f>
        <v>0</v>
      </c>
      <c r="U279" s="9"/>
      <c r="V279" s="29"/>
      <c r="W279" s="29"/>
      <c r="X279" s="43"/>
      <c r="Y279" s="55">
        <f t="shared" ref="Y279" si="220">SUM(U279:X279)</f>
        <v>0</v>
      </c>
      <c r="Z279" s="14">
        <f t="shared" ref="Z279:Z311" si="221">T279+Y279</f>
        <v>0</v>
      </c>
    </row>
    <row r="280" spans="1:27" x14ac:dyDescent="0.15">
      <c r="A280" s="33" t="s">
        <v>3</v>
      </c>
      <c r="B280" s="9"/>
      <c r="C280" s="29"/>
      <c r="D280" s="29">
        <v>5</v>
      </c>
      <c r="E280" s="43"/>
      <c r="F280" s="14">
        <f t="shared" ref="F280:F282" si="222">SUM(B280:E280)</f>
        <v>5</v>
      </c>
      <c r="G280" s="9"/>
      <c r="H280" s="29"/>
      <c r="I280" s="29"/>
      <c r="J280" s="43"/>
      <c r="K280" s="14">
        <f t="shared" ref="K280:K282" si="223">SUM(G280:J280)</f>
        <v>0</v>
      </c>
      <c r="L280" s="125">
        <f t="shared" ref="L280:L311" si="224">F280+K280</f>
        <v>5</v>
      </c>
      <c r="M280" s="7">
        <v>45391</v>
      </c>
      <c r="O280" s="66" t="s">
        <v>3</v>
      </c>
      <c r="P280" s="8"/>
      <c r="Q280" s="29"/>
      <c r="R280" s="29"/>
      <c r="S280" s="43"/>
      <c r="T280" s="14">
        <f t="shared" ref="T280" si="225">SUM(P280:S280)</f>
        <v>0</v>
      </c>
      <c r="U280" s="9"/>
      <c r="V280" s="29"/>
      <c r="W280" s="29"/>
      <c r="X280" s="43"/>
      <c r="Y280" s="55">
        <f t="shared" ref="Y280" si="226">SUM(U280:X280)</f>
        <v>0</v>
      </c>
      <c r="Z280" s="14">
        <f t="shared" ref="Z280" si="227">T280+Y280</f>
        <v>0</v>
      </c>
    </row>
    <row r="281" spans="1:27" x14ac:dyDescent="0.15">
      <c r="A281" s="33" t="s">
        <v>4</v>
      </c>
      <c r="B281" s="9"/>
      <c r="C281" s="29">
        <v>3</v>
      </c>
      <c r="D281" s="29"/>
      <c r="E281" s="43"/>
      <c r="F281" s="14">
        <f t="shared" si="222"/>
        <v>3</v>
      </c>
      <c r="G281" s="9"/>
      <c r="H281" s="29"/>
      <c r="I281" s="29"/>
      <c r="J281" s="43"/>
      <c r="K281" s="14">
        <f t="shared" si="223"/>
        <v>0</v>
      </c>
      <c r="L281" s="125">
        <f t="shared" si="224"/>
        <v>3</v>
      </c>
      <c r="M281" s="7">
        <v>45392</v>
      </c>
      <c r="O281" s="66" t="s">
        <v>4</v>
      </c>
      <c r="P281" s="8"/>
      <c r="Q281" s="29"/>
      <c r="R281" s="29"/>
      <c r="S281" s="43"/>
      <c r="T281" s="14">
        <f t="shared" ref="T281" si="228">SUM(P281:S281)</f>
        <v>0</v>
      </c>
      <c r="U281" s="9"/>
      <c r="V281" s="29"/>
      <c r="W281" s="29"/>
      <c r="X281" s="43"/>
      <c r="Y281" s="55">
        <f t="shared" ref="Y281" si="229">SUM(U281:X281)</f>
        <v>0</v>
      </c>
      <c r="Z281" s="14">
        <f t="shared" ref="Z281" si="230">T281+Y281</f>
        <v>0</v>
      </c>
    </row>
    <row r="282" spans="1:27" ht="14.25" thickBot="1" x14ac:dyDescent="0.2">
      <c r="A282" s="117" t="s">
        <v>5</v>
      </c>
      <c r="B282" s="112">
        <v>3</v>
      </c>
      <c r="C282" s="31"/>
      <c r="D282" s="31"/>
      <c r="E282" s="45"/>
      <c r="F282" s="110">
        <f t="shared" si="222"/>
        <v>3</v>
      </c>
      <c r="G282" s="112">
        <v>3</v>
      </c>
      <c r="H282" s="31"/>
      <c r="I282" s="31">
        <v>3</v>
      </c>
      <c r="J282" s="45">
        <v>3</v>
      </c>
      <c r="K282" s="110">
        <f t="shared" si="223"/>
        <v>9</v>
      </c>
      <c r="L282" s="115">
        <f t="shared" si="224"/>
        <v>12</v>
      </c>
      <c r="M282" s="7">
        <v>45398</v>
      </c>
      <c r="O282" s="128" t="s">
        <v>5</v>
      </c>
      <c r="P282" s="129"/>
      <c r="Q282" s="31"/>
      <c r="R282" s="31"/>
      <c r="S282" s="45"/>
      <c r="T282" s="110">
        <f t="shared" ref="T282" si="231">SUM(P282:S282)</f>
        <v>0</v>
      </c>
      <c r="U282" s="112"/>
      <c r="V282" s="31"/>
      <c r="W282" s="31"/>
      <c r="X282" s="45"/>
      <c r="Y282" s="30">
        <f t="shared" ref="Y282" si="232">SUM(U282:X282)</f>
        <v>0</v>
      </c>
      <c r="Z282" s="110">
        <f t="shared" ref="Z282" si="233">T282+Y282</f>
        <v>0</v>
      </c>
    </row>
    <row r="283" spans="1:27" ht="14.25" thickBot="1" x14ac:dyDescent="0.2">
      <c r="A283" s="2" t="s">
        <v>6</v>
      </c>
      <c r="B283" s="30">
        <f>SUM(B278:B282)</f>
        <v>6</v>
      </c>
      <c r="C283" s="31">
        <f>SUM(C278:C282)</f>
        <v>7</v>
      </c>
      <c r="D283" s="31">
        <f>SUM(D278:D282)</f>
        <v>9</v>
      </c>
      <c r="E283" s="45">
        <f>SUM(E278:E282)</f>
        <v>5</v>
      </c>
      <c r="F283" s="110">
        <f>SUM(B283:E283)</f>
        <v>27</v>
      </c>
      <c r="G283" s="41">
        <f>SUM(G278:G282)</f>
        <v>6</v>
      </c>
      <c r="H283" s="31">
        <f>SUM(H278:H282)</f>
        <v>5</v>
      </c>
      <c r="I283" s="31">
        <f>SUM(I278:I282)</f>
        <v>6</v>
      </c>
      <c r="J283" s="45">
        <f>SUM(J278:J282)</f>
        <v>7</v>
      </c>
      <c r="K283" s="110">
        <f>SUM(G283:J283)</f>
        <v>24</v>
      </c>
      <c r="L283" s="53">
        <f t="shared" si="224"/>
        <v>51</v>
      </c>
      <c r="O283" s="127" t="s">
        <v>6</v>
      </c>
      <c r="P283" s="30">
        <f>SUM(P278:P282)</f>
        <v>229</v>
      </c>
      <c r="Q283" s="31">
        <f>SUM(Q278:Q282)</f>
        <v>295</v>
      </c>
      <c r="R283" s="31">
        <f>SUM(R278:R282)</f>
        <v>185</v>
      </c>
      <c r="S283" s="45">
        <f>SUM(S278:S282)</f>
        <v>181</v>
      </c>
      <c r="T283" s="110">
        <f>SUM(P283:S283)</f>
        <v>890</v>
      </c>
      <c r="U283" s="41">
        <f>SUM(U278:U282)</f>
        <v>85</v>
      </c>
      <c r="V283" s="31">
        <f>SUM(V278:V282)</f>
        <v>104</v>
      </c>
      <c r="W283" s="31">
        <f>SUM(W278:W282)</f>
        <v>74</v>
      </c>
      <c r="X283" s="45">
        <f>SUM(X278:X282)</f>
        <v>71</v>
      </c>
      <c r="Y283" s="110">
        <f>SUM(U283:X283)</f>
        <v>334</v>
      </c>
      <c r="Z283" s="53">
        <f t="shared" si="221"/>
        <v>1224</v>
      </c>
    </row>
    <row r="284" spans="1:27" x14ac:dyDescent="0.15">
      <c r="A284" s="38" t="s">
        <v>35</v>
      </c>
      <c r="B284" s="8"/>
      <c r="C284" s="9"/>
      <c r="D284" s="9"/>
      <c r="E284" s="39"/>
      <c r="F284" s="14">
        <f t="shared" ref="F284" si="234">SUM(B284:E284)</f>
        <v>0</v>
      </c>
      <c r="G284" s="9"/>
      <c r="H284" s="9">
        <v>1</v>
      </c>
      <c r="I284" s="9"/>
      <c r="J284" s="39"/>
      <c r="K284" s="14">
        <f t="shared" ref="K284" si="235">SUM(G284:J284)</f>
        <v>1</v>
      </c>
      <c r="L284" s="14">
        <f t="shared" si="224"/>
        <v>1</v>
      </c>
      <c r="M284" s="7">
        <v>45386</v>
      </c>
      <c r="O284" s="35" t="s">
        <v>128</v>
      </c>
      <c r="P284" s="8">
        <v>3</v>
      </c>
      <c r="Q284" s="9"/>
      <c r="R284" s="9"/>
      <c r="S284" s="39"/>
      <c r="T284" s="14">
        <f t="shared" ref="T284:T311" si="236">SUM(P284:S284)</f>
        <v>3</v>
      </c>
      <c r="U284" s="9">
        <v>3</v>
      </c>
      <c r="V284" s="9"/>
      <c r="W284" s="9">
        <v>3</v>
      </c>
      <c r="X284" s="39">
        <v>3</v>
      </c>
      <c r="Y284" s="14">
        <f t="shared" ref="Y284:Y311" si="237">SUM(U284:X284)</f>
        <v>9</v>
      </c>
      <c r="Z284" s="14">
        <f t="shared" si="221"/>
        <v>12</v>
      </c>
      <c r="AA284" s="7">
        <v>45398</v>
      </c>
    </row>
    <row r="285" spans="1:27" x14ac:dyDescent="0.15">
      <c r="A285" s="38" t="s">
        <v>35</v>
      </c>
      <c r="B285" s="8"/>
      <c r="C285" s="9">
        <v>1</v>
      </c>
      <c r="D285" s="9">
        <v>4</v>
      </c>
      <c r="E285" s="39">
        <v>1</v>
      </c>
      <c r="F285" s="14">
        <f t="shared" ref="F285" si="238">SUM(B285:E285)</f>
        <v>6</v>
      </c>
      <c r="G285" s="9"/>
      <c r="H285" s="9"/>
      <c r="I285" s="9"/>
      <c r="J285" s="39"/>
      <c r="K285" s="14">
        <f t="shared" ref="K285" si="239">SUM(G285:J285)</f>
        <v>0</v>
      </c>
      <c r="L285" s="14">
        <f t="shared" ref="L285" si="240">F285+K285</f>
        <v>6</v>
      </c>
      <c r="M285" s="7">
        <v>45390</v>
      </c>
      <c r="O285" s="33" t="s">
        <v>129</v>
      </c>
      <c r="P285" s="8"/>
      <c r="Q285" s="9">
        <v>2</v>
      </c>
      <c r="R285" s="9">
        <v>3</v>
      </c>
      <c r="S285" s="39">
        <v>1</v>
      </c>
      <c r="T285" s="14">
        <f t="shared" si="236"/>
        <v>6</v>
      </c>
      <c r="U285" s="9"/>
      <c r="V285" s="9"/>
      <c r="W285" s="9"/>
      <c r="X285" s="39"/>
      <c r="Y285" s="14">
        <f t="shared" si="237"/>
        <v>0</v>
      </c>
      <c r="Z285" s="14">
        <f t="shared" si="221"/>
        <v>6</v>
      </c>
      <c r="AA285" s="7">
        <v>45404</v>
      </c>
    </row>
    <row r="286" spans="1:27" ht="14.25" x14ac:dyDescent="0.15">
      <c r="A286" s="111" t="s">
        <v>126</v>
      </c>
      <c r="B286" s="8"/>
      <c r="C286" s="9"/>
      <c r="D286" s="9"/>
      <c r="E286" s="39">
        <v>2</v>
      </c>
      <c r="F286" s="14">
        <f t="shared" ref="F286:F311" si="241">SUM(B286:E286)</f>
        <v>2</v>
      </c>
      <c r="G286" s="9"/>
      <c r="H286" s="9"/>
      <c r="I286" s="9"/>
      <c r="J286" s="39"/>
      <c r="K286" s="14">
        <f t="shared" ref="K286:K311" si="242">SUM(G286:J286)</f>
        <v>0</v>
      </c>
      <c r="L286" s="14">
        <f t="shared" si="224"/>
        <v>2</v>
      </c>
      <c r="M286" s="7">
        <v>45394</v>
      </c>
      <c r="O286" s="35" t="s">
        <v>132</v>
      </c>
      <c r="P286" s="8"/>
      <c r="Q286" s="9"/>
      <c r="R286" s="9"/>
      <c r="S286" s="39">
        <v>5</v>
      </c>
      <c r="T286" s="14">
        <f t="shared" si="236"/>
        <v>5</v>
      </c>
      <c r="U286" s="9"/>
      <c r="V286" s="9"/>
      <c r="W286" s="9"/>
      <c r="X286" s="39"/>
      <c r="Y286" s="14">
        <f t="shared" si="237"/>
        <v>0</v>
      </c>
      <c r="Z286" s="14">
        <f t="shared" si="221"/>
        <v>5</v>
      </c>
      <c r="AA286" s="7">
        <v>45401</v>
      </c>
    </row>
    <row r="287" spans="1:27" x14ac:dyDescent="0.15">
      <c r="A287" s="38" t="s">
        <v>127</v>
      </c>
      <c r="B287" s="8"/>
      <c r="C287" s="9"/>
      <c r="D287" s="9"/>
      <c r="E287" s="39">
        <v>1</v>
      </c>
      <c r="F287" s="14">
        <f t="shared" si="241"/>
        <v>1</v>
      </c>
      <c r="G287" s="9"/>
      <c r="H287" s="9"/>
      <c r="I287" s="9"/>
      <c r="J287" s="39"/>
      <c r="K287" s="14">
        <f t="shared" si="242"/>
        <v>0</v>
      </c>
      <c r="L287" s="14">
        <f t="shared" si="224"/>
        <v>1</v>
      </c>
      <c r="M287" s="7">
        <v>45393</v>
      </c>
      <c r="O287" s="35" t="s">
        <v>119</v>
      </c>
      <c r="P287" s="8">
        <v>4</v>
      </c>
      <c r="Q287" s="9">
        <v>4</v>
      </c>
      <c r="R287" s="9"/>
      <c r="S287" s="39"/>
      <c r="T287" s="14">
        <f t="shared" si="236"/>
        <v>8</v>
      </c>
      <c r="U287" s="9"/>
      <c r="V287" s="9"/>
      <c r="W287" s="9"/>
      <c r="X287" s="39"/>
      <c r="Y287" s="14">
        <f t="shared" si="237"/>
        <v>0</v>
      </c>
      <c r="Z287" s="14">
        <f t="shared" si="221"/>
        <v>8</v>
      </c>
      <c r="AA287" s="7">
        <v>45412</v>
      </c>
    </row>
    <row r="288" spans="1:27" x14ac:dyDescent="0.15">
      <c r="A288" s="38" t="s">
        <v>35</v>
      </c>
      <c r="B288" s="8"/>
      <c r="C288" s="9">
        <v>1</v>
      </c>
      <c r="D288" s="9"/>
      <c r="E288" s="39"/>
      <c r="F288" s="14">
        <f t="shared" si="241"/>
        <v>1</v>
      </c>
      <c r="G288" s="9"/>
      <c r="H288" s="9"/>
      <c r="I288" s="9"/>
      <c r="J288" s="39">
        <v>1</v>
      </c>
      <c r="K288" s="14">
        <f t="shared" si="242"/>
        <v>1</v>
      </c>
      <c r="L288" s="14">
        <f t="shared" si="224"/>
        <v>2</v>
      </c>
      <c r="M288" s="7">
        <v>45393</v>
      </c>
      <c r="O288" s="33" t="s">
        <v>135</v>
      </c>
      <c r="P288" s="8"/>
      <c r="Q288" s="9"/>
      <c r="R288" s="9"/>
      <c r="S288" s="39">
        <v>3</v>
      </c>
      <c r="T288" s="14">
        <f t="shared" si="236"/>
        <v>3</v>
      </c>
      <c r="U288" s="9"/>
      <c r="V288" s="9"/>
      <c r="W288" s="9"/>
      <c r="X288" s="39"/>
      <c r="Y288" s="14">
        <f t="shared" si="237"/>
        <v>0</v>
      </c>
      <c r="Z288" s="14">
        <f t="shared" si="221"/>
        <v>3</v>
      </c>
      <c r="AA288" s="7">
        <v>45413</v>
      </c>
    </row>
    <row r="289" spans="1:27" x14ac:dyDescent="0.15">
      <c r="A289" s="38" t="s">
        <v>35</v>
      </c>
      <c r="B289" s="8"/>
      <c r="C289" s="9"/>
      <c r="D289" s="9"/>
      <c r="E289" s="39"/>
      <c r="F289" s="14">
        <f t="shared" si="241"/>
        <v>0</v>
      </c>
      <c r="G289" s="9"/>
      <c r="H289" s="9"/>
      <c r="I289" s="9"/>
      <c r="J289" s="39">
        <v>1</v>
      </c>
      <c r="K289" s="14">
        <f t="shared" si="242"/>
        <v>1</v>
      </c>
      <c r="L289" s="14">
        <f t="shared" si="224"/>
        <v>1</v>
      </c>
      <c r="M289" s="7">
        <v>45397</v>
      </c>
      <c r="O289" s="33" t="s">
        <v>136</v>
      </c>
      <c r="P289" s="8">
        <v>1</v>
      </c>
      <c r="Q289" s="9">
        <v>3</v>
      </c>
      <c r="R289" s="9"/>
      <c r="S289" s="39">
        <v>2</v>
      </c>
      <c r="T289" s="14">
        <f t="shared" si="236"/>
        <v>6</v>
      </c>
      <c r="U289" s="9"/>
      <c r="V289" s="9"/>
      <c r="W289" s="9"/>
      <c r="X289" s="39"/>
      <c r="Y289" s="14">
        <f t="shared" si="237"/>
        <v>0</v>
      </c>
      <c r="Z289" s="14">
        <f t="shared" si="221"/>
        <v>6</v>
      </c>
      <c r="AA289" s="7">
        <v>45420</v>
      </c>
    </row>
    <row r="290" spans="1:27" x14ac:dyDescent="0.15">
      <c r="A290" s="38" t="s">
        <v>130</v>
      </c>
      <c r="B290" s="8"/>
      <c r="C290" s="9">
        <v>1</v>
      </c>
      <c r="D290" s="9"/>
      <c r="E290" s="39"/>
      <c r="F290" s="14">
        <f t="shared" si="241"/>
        <v>1</v>
      </c>
      <c r="G290" s="9"/>
      <c r="H290" s="9"/>
      <c r="I290" s="9"/>
      <c r="J290" s="39"/>
      <c r="K290" s="14">
        <f t="shared" si="242"/>
        <v>0</v>
      </c>
      <c r="L290" s="14">
        <f t="shared" si="224"/>
        <v>1</v>
      </c>
      <c r="M290" s="7">
        <v>45399</v>
      </c>
      <c r="O290" s="35" t="s">
        <v>31</v>
      </c>
      <c r="P290" s="8"/>
      <c r="Q290" s="9">
        <v>2</v>
      </c>
      <c r="R290" s="9">
        <v>2</v>
      </c>
      <c r="S290" s="39"/>
      <c r="T290" s="14">
        <f t="shared" si="236"/>
        <v>4</v>
      </c>
      <c r="U290" s="9"/>
      <c r="V290" s="9"/>
      <c r="W290" s="9"/>
      <c r="X290" s="39"/>
      <c r="Y290" s="14">
        <f t="shared" si="237"/>
        <v>0</v>
      </c>
      <c r="Z290" s="14">
        <f t="shared" si="221"/>
        <v>4</v>
      </c>
      <c r="AA290" s="7">
        <v>45419</v>
      </c>
    </row>
    <row r="291" spans="1:27" x14ac:dyDescent="0.15">
      <c r="A291" s="38" t="s">
        <v>35</v>
      </c>
      <c r="B291" s="8"/>
      <c r="C291" s="9"/>
      <c r="D291" s="9"/>
      <c r="E291" s="39"/>
      <c r="F291" s="14">
        <f t="shared" si="241"/>
        <v>0</v>
      </c>
      <c r="G291" s="9">
        <v>1</v>
      </c>
      <c r="H291" s="9"/>
      <c r="I291" s="9">
        <v>1</v>
      </c>
      <c r="J291" s="39"/>
      <c r="K291" s="14">
        <f t="shared" si="242"/>
        <v>2</v>
      </c>
      <c r="L291" s="14">
        <f t="shared" si="224"/>
        <v>2</v>
      </c>
      <c r="M291" s="7">
        <v>45398</v>
      </c>
      <c r="O291" s="35" t="s">
        <v>31</v>
      </c>
      <c r="P291" s="8">
        <v>3</v>
      </c>
      <c r="Q291" s="9"/>
      <c r="R291" s="9">
        <v>3</v>
      </c>
      <c r="S291" s="39"/>
      <c r="T291" s="14">
        <f t="shared" si="236"/>
        <v>6</v>
      </c>
      <c r="U291" s="9"/>
      <c r="V291" s="9"/>
      <c r="W291" s="9"/>
      <c r="X291" s="39"/>
      <c r="Y291" s="14">
        <f t="shared" si="237"/>
        <v>0</v>
      </c>
      <c r="Z291" s="14">
        <f t="shared" si="221"/>
        <v>6</v>
      </c>
      <c r="AA291" s="7">
        <v>45420</v>
      </c>
    </row>
    <row r="292" spans="1:27" x14ac:dyDescent="0.15">
      <c r="A292" s="38" t="s">
        <v>131</v>
      </c>
      <c r="B292" s="8"/>
      <c r="C292" s="9"/>
      <c r="D292" s="9"/>
      <c r="E292" s="39">
        <v>-5</v>
      </c>
      <c r="F292" s="14">
        <f t="shared" si="241"/>
        <v>-5</v>
      </c>
      <c r="G292" s="9"/>
      <c r="H292" s="9"/>
      <c r="I292" s="9"/>
      <c r="J292" s="39"/>
      <c r="K292" s="14">
        <f t="shared" si="242"/>
        <v>0</v>
      </c>
      <c r="L292" s="14">
        <f t="shared" si="224"/>
        <v>-5</v>
      </c>
      <c r="M292" s="7">
        <v>45401</v>
      </c>
      <c r="O292" s="35" t="s">
        <v>119</v>
      </c>
      <c r="P292" s="8">
        <v>6</v>
      </c>
      <c r="Q292" s="9"/>
      <c r="R292" s="9">
        <v>7</v>
      </c>
      <c r="S292" s="39"/>
      <c r="T292" s="14">
        <f t="shared" si="236"/>
        <v>13</v>
      </c>
      <c r="U292" s="9"/>
      <c r="V292" s="9"/>
      <c r="W292" s="9"/>
      <c r="X292" s="39"/>
      <c r="Y292" s="14">
        <f t="shared" si="237"/>
        <v>0</v>
      </c>
      <c r="Z292" s="14">
        <f t="shared" si="221"/>
        <v>13</v>
      </c>
      <c r="AA292" s="7">
        <v>45425</v>
      </c>
    </row>
    <row r="293" spans="1:27" x14ac:dyDescent="0.15">
      <c r="A293" s="38" t="s">
        <v>134</v>
      </c>
      <c r="B293" s="8"/>
      <c r="C293" s="9"/>
      <c r="D293" s="9"/>
      <c r="E293" s="39">
        <v>-1</v>
      </c>
      <c r="F293" s="14">
        <f t="shared" si="241"/>
        <v>-1</v>
      </c>
      <c r="G293" s="9"/>
      <c r="H293" s="9"/>
      <c r="I293" s="9"/>
      <c r="J293" s="39"/>
      <c r="K293" s="14">
        <f t="shared" si="242"/>
        <v>0</v>
      </c>
      <c r="L293" s="14">
        <f t="shared" si="224"/>
        <v>-1</v>
      </c>
      <c r="M293" s="7">
        <v>45401</v>
      </c>
      <c r="O293" s="33" t="s">
        <v>139</v>
      </c>
      <c r="P293" s="8">
        <v>2</v>
      </c>
      <c r="Q293" s="9">
        <v>3</v>
      </c>
      <c r="R293" s="9"/>
      <c r="S293" s="39"/>
      <c r="T293" s="14">
        <f t="shared" si="236"/>
        <v>5</v>
      </c>
      <c r="U293" s="9"/>
      <c r="V293" s="9"/>
      <c r="W293" s="9"/>
      <c r="X293" s="39"/>
      <c r="Y293" s="14">
        <f t="shared" si="237"/>
        <v>0</v>
      </c>
      <c r="Z293" s="14">
        <f t="shared" si="221"/>
        <v>5</v>
      </c>
      <c r="AA293" s="7">
        <v>45426</v>
      </c>
    </row>
    <row r="294" spans="1:27" x14ac:dyDescent="0.15">
      <c r="A294" s="38" t="s">
        <v>35</v>
      </c>
      <c r="B294" s="8"/>
      <c r="C294" s="9"/>
      <c r="D294" s="9"/>
      <c r="E294" s="39">
        <v>1</v>
      </c>
      <c r="F294" s="14">
        <f t="shared" si="241"/>
        <v>1</v>
      </c>
      <c r="G294" s="9"/>
      <c r="H294" s="9"/>
      <c r="I294" s="9"/>
      <c r="J294" s="39"/>
      <c r="K294" s="14">
        <f t="shared" si="242"/>
        <v>0</v>
      </c>
      <c r="L294" s="14">
        <f t="shared" si="224"/>
        <v>1</v>
      </c>
      <c r="M294" s="7">
        <v>45401</v>
      </c>
      <c r="O294" s="35" t="s">
        <v>31</v>
      </c>
      <c r="P294" s="8"/>
      <c r="Q294" s="9"/>
      <c r="R294" s="9">
        <v>3</v>
      </c>
      <c r="S294" s="39">
        <v>3</v>
      </c>
      <c r="T294" s="14">
        <f t="shared" si="236"/>
        <v>6</v>
      </c>
      <c r="U294" s="9"/>
      <c r="V294" s="9"/>
      <c r="W294" s="9"/>
      <c r="X294" s="39"/>
      <c r="Y294" s="14">
        <f t="shared" si="237"/>
        <v>0</v>
      </c>
      <c r="Z294" s="14">
        <f t="shared" si="221"/>
        <v>6</v>
      </c>
      <c r="AA294" s="7">
        <v>45423</v>
      </c>
    </row>
    <row r="295" spans="1:27" x14ac:dyDescent="0.15">
      <c r="A295" s="38" t="s">
        <v>35</v>
      </c>
      <c r="B295" s="8">
        <v>2</v>
      </c>
      <c r="C295" s="9"/>
      <c r="D295" s="9">
        <v>1</v>
      </c>
      <c r="E295" s="39">
        <v>1</v>
      </c>
      <c r="F295" s="14">
        <f t="shared" si="241"/>
        <v>4</v>
      </c>
      <c r="G295" s="9"/>
      <c r="H295" s="9"/>
      <c r="I295" s="9"/>
      <c r="J295" s="39"/>
      <c r="K295" s="14">
        <f t="shared" si="242"/>
        <v>0</v>
      </c>
      <c r="L295" s="14">
        <f t="shared" si="224"/>
        <v>4</v>
      </c>
      <c r="M295" s="7">
        <v>45404</v>
      </c>
      <c r="O295" s="35" t="s">
        <v>31</v>
      </c>
      <c r="P295" s="8"/>
      <c r="Q295" s="9"/>
      <c r="R295" s="9"/>
      <c r="S295" s="39"/>
      <c r="T295" s="14">
        <f t="shared" si="236"/>
        <v>0</v>
      </c>
      <c r="U295" s="9"/>
      <c r="V295" s="9">
        <v>2</v>
      </c>
      <c r="W295" s="9">
        <v>2</v>
      </c>
      <c r="X295" s="39">
        <v>2</v>
      </c>
      <c r="Y295" s="14">
        <f t="shared" si="237"/>
        <v>6</v>
      </c>
      <c r="Z295" s="14">
        <f t="shared" si="221"/>
        <v>6</v>
      </c>
      <c r="AA295" s="7">
        <v>45427</v>
      </c>
    </row>
    <row r="296" spans="1:27" x14ac:dyDescent="0.15">
      <c r="A296" s="38" t="s">
        <v>35</v>
      </c>
      <c r="B296" s="8"/>
      <c r="C296" s="9">
        <v>1</v>
      </c>
      <c r="D296" s="9">
        <v>1</v>
      </c>
      <c r="E296" s="39"/>
      <c r="F296" s="14">
        <f t="shared" si="241"/>
        <v>2</v>
      </c>
      <c r="G296" s="9"/>
      <c r="H296" s="9"/>
      <c r="I296" s="9"/>
      <c r="J296" s="39"/>
      <c r="K296" s="14">
        <f t="shared" si="242"/>
        <v>0</v>
      </c>
      <c r="L296" s="14">
        <f t="shared" si="224"/>
        <v>2</v>
      </c>
      <c r="M296" s="7">
        <v>45405</v>
      </c>
      <c r="O296" s="33" t="s">
        <v>141</v>
      </c>
      <c r="P296" s="8"/>
      <c r="Q296" s="9">
        <v>1</v>
      </c>
      <c r="R296" s="9">
        <v>1</v>
      </c>
      <c r="S296" s="39">
        <v>1</v>
      </c>
      <c r="T296" s="14">
        <f t="shared" si="236"/>
        <v>3</v>
      </c>
      <c r="U296" s="9"/>
      <c r="V296" s="9"/>
      <c r="W296" s="9"/>
      <c r="X296" s="39"/>
      <c r="Y296" s="14">
        <f t="shared" si="237"/>
        <v>0</v>
      </c>
      <c r="Z296" s="14">
        <f t="shared" si="221"/>
        <v>3</v>
      </c>
      <c r="AA296" s="7">
        <v>45429</v>
      </c>
    </row>
    <row r="297" spans="1:27" x14ac:dyDescent="0.15">
      <c r="A297" s="38" t="s">
        <v>35</v>
      </c>
      <c r="B297" s="8">
        <v>1</v>
      </c>
      <c r="C297" s="9"/>
      <c r="D297" s="9"/>
      <c r="E297" s="39"/>
      <c r="F297" s="14">
        <f t="shared" si="241"/>
        <v>1</v>
      </c>
      <c r="G297" s="9"/>
      <c r="H297" s="9"/>
      <c r="I297" s="9"/>
      <c r="J297" s="39"/>
      <c r="K297" s="14">
        <f t="shared" si="242"/>
        <v>0</v>
      </c>
      <c r="L297" s="14">
        <f t="shared" si="224"/>
        <v>1</v>
      </c>
      <c r="M297" s="7">
        <v>45406</v>
      </c>
      <c r="O297" s="35" t="s">
        <v>119</v>
      </c>
      <c r="P297" s="8">
        <f>5+2</f>
        <v>7</v>
      </c>
      <c r="Q297" s="9"/>
      <c r="R297" s="9"/>
      <c r="S297" s="39">
        <v>2</v>
      </c>
      <c r="T297" s="14">
        <f t="shared" si="236"/>
        <v>9</v>
      </c>
      <c r="U297" s="9"/>
      <c r="V297" s="9"/>
      <c r="W297" s="9"/>
      <c r="X297" s="39"/>
      <c r="Y297" s="14">
        <f t="shared" si="237"/>
        <v>0</v>
      </c>
      <c r="Z297" s="14">
        <f t="shared" si="221"/>
        <v>9</v>
      </c>
      <c r="AA297" s="7">
        <v>45434</v>
      </c>
    </row>
    <row r="298" spans="1:27" x14ac:dyDescent="0.15">
      <c r="A298" s="38" t="s">
        <v>35</v>
      </c>
      <c r="B298" s="8"/>
      <c r="C298" s="9">
        <v>1</v>
      </c>
      <c r="D298" s="9"/>
      <c r="E298" s="39"/>
      <c r="F298" s="14">
        <f t="shared" si="241"/>
        <v>1</v>
      </c>
      <c r="G298" s="9"/>
      <c r="H298" s="9">
        <v>1</v>
      </c>
      <c r="I298" s="9"/>
      <c r="J298" s="39"/>
      <c r="K298" s="14">
        <f t="shared" si="242"/>
        <v>1</v>
      </c>
      <c r="L298" s="14">
        <f t="shared" si="224"/>
        <v>2</v>
      </c>
      <c r="M298" s="7">
        <v>45408</v>
      </c>
      <c r="O298" s="35"/>
      <c r="P298" s="8"/>
      <c r="Q298" s="9"/>
      <c r="R298" s="9"/>
      <c r="S298" s="39"/>
      <c r="T298" s="14">
        <f t="shared" si="236"/>
        <v>0</v>
      </c>
      <c r="U298" s="9"/>
      <c r="V298" s="9"/>
      <c r="W298" s="9"/>
      <c r="X298" s="39"/>
      <c r="Y298" s="14">
        <f t="shared" si="237"/>
        <v>0</v>
      </c>
      <c r="Z298" s="14">
        <f t="shared" si="221"/>
        <v>0</v>
      </c>
    </row>
    <row r="299" spans="1:27" x14ac:dyDescent="0.15">
      <c r="A299" s="38" t="s">
        <v>35</v>
      </c>
      <c r="B299" s="8"/>
      <c r="C299" s="9"/>
      <c r="D299" s="9">
        <v>1</v>
      </c>
      <c r="E299" s="39">
        <v>1</v>
      </c>
      <c r="F299" s="14">
        <f t="shared" si="241"/>
        <v>2</v>
      </c>
      <c r="G299" s="9">
        <v>1</v>
      </c>
      <c r="H299" s="9"/>
      <c r="I299" s="9"/>
      <c r="J299" s="39"/>
      <c r="K299" s="14">
        <f t="shared" si="242"/>
        <v>1</v>
      </c>
      <c r="L299" s="14">
        <f t="shared" si="224"/>
        <v>3</v>
      </c>
      <c r="M299" s="7">
        <v>45412</v>
      </c>
      <c r="O299" s="35"/>
      <c r="P299" s="8"/>
      <c r="Q299" s="9"/>
      <c r="R299" s="9"/>
      <c r="S299" s="39"/>
      <c r="T299" s="14">
        <f t="shared" si="236"/>
        <v>0</v>
      </c>
      <c r="U299" s="9"/>
      <c r="V299" s="9"/>
      <c r="W299" s="9"/>
      <c r="X299" s="39"/>
      <c r="Y299" s="14">
        <f t="shared" si="237"/>
        <v>0</v>
      </c>
      <c r="Z299" s="14">
        <f t="shared" si="221"/>
        <v>0</v>
      </c>
    </row>
    <row r="300" spans="1:27" x14ac:dyDescent="0.15">
      <c r="A300" s="38" t="s">
        <v>35</v>
      </c>
      <c r="B300" s="8"/>
      <c r="C300" s="9"/>
      <c r="D300" s="9"/>
      <c r="E300" s="39">
        <v>1</v>
      </c>
      <c r="F300" s="14">
        <f t="shared" si="241"/>
        <v>1</v>
      </c>
      <c r="G300" s="9"/>
      <c r="H300" s="9"/>
      <c r="I300" s="9">
        <v>1</v>
      </c>
      <c r="J300" s="39"/>
      <c r="K300" s="14">
        <f t="shared" si="242"/>
        <v>1</v>
      </c>
      <c r="L300" s="14">
        <f t="shared" si="224"/>
        <v>2</v>
      </c>
      <c r="M300" s="7">
        <v>45413</v>
      </c>
      <c r="O300" s="35"/>
      <c r="P300" s="8"/>
      <c r="Q300" s="9"/>
      <c r="R300" s="9"/>
      <c r="S300" s="39"/>
      <c r="T300" s="14">
        <f t="shared" si="236"/>
        <v>0</v>
      </c>
      <c r="U300" s="9"/>
      <c r="V300" s="9"/>
      <c r="W300" s="9"/>
      <c r="X300" s="39"/>
      <c r="Y300" s="14">
        <f t="shared" si="237"/>
        <v>0</v>
      </c>
      <c r="Z300" s="14">
        <f t="shared" si="221"/>
        <v>0</v>
      </c>
    </row>
    <row r="301" spans="1:27" x14ac:dyDescent="0.15">
      <c r="A301" s="38" t="s">
        <v>35</v>
      </c>
      <c r="B301" s="8"/>
      <c r="C301" s="9"/>
      <c r="D301" s="9">
        <v>1</v>
      </c>
      <c r="E301" s="39"/>
      <c r="F301" s="14">
        <f t="shared" si="241"/>
        <v>1</v>
      </c>
      <c r="G301" s="9"/>
      <c r="H301" s="9"/>
      <c r="I301" s="9">
        <v>1</v>
      </c>
      <c r="J301" s="39"/>
      <c r="K301" s="14">
        <f t="shared" si="242"/>
        <v>1</v>
      </c>
      <c r="L301" s="14">
        <f t="shared" si="224"/>
        <v>2</v>
      </c>
      <c r="M301" s="7">
        <v>45414</v>
      </c>
      <c r="O301" s="35"/>
      <c r="P301" s="8"/>
      <c r="Q301" s="9"/>
      <c r="R301" s="9"/>
      <c r="S301" s="39"/>
      <c r="T301" s="14">
        <f t="shared" si="236"/>
        <v>0</v>
      </c>
      <c r="U301" s="9"/>
      <c r="V301" s="9"/>
      <c r="W301" s="9"/>
      <c r="X301" s="39"/>
      <c r="Y301" s="14">
        <f t="shared" si="237"/>
        <v>0</v>
      </c>
      <c r="Z301" s="14">
        <f t="shared" si="221"/>
        <v>0</v>
      </c>
    </row>
    <row r="302" spans="1:27" x14ac:dyDescent="0.15">
      <c r="A302" s="38" t="s">
        <v>137</v>
      </c>
      <c r="B302" s="8"/>
      <c r="C302" s="9">
        <v>-2</v>
      </c>
      <c r="D302" s="9">
        <v>-2</v>
      </c>
      <c r="E302" s="39"/>
      <c r="F302" s="14">
        <f t="shared" si="241"/>
        <v>-4</v>
      </c>
      <c r="G302" s="9"/>
      <c r="H302" s="9"/>
      <c r="I302" s="9"/>
      <c r="J302" s="39"/>
      <c r="K302" s="14">
        <f t="shared" si="242"/>
        <v>0</v>
      </c>
      <c r="L302" s="14">
        <f t="shared" si="224"/>
        <v>-4</v>
      </c>
      <c r="M302" s="7">
        <v>45419</v>
      </c>
      <c r="O302" s="35"/>
      <c r="P302" s="8"/>
      <c r="Q302" s="9"/>
      <c r="R302" s="9"/>
      <c r="S302" s="39"/>
      <c r="T302" s="14">
        <f t="shared" si="236"/>
        <v>0</v>
      </c>
      <c r="U302" s="9"/>
      <c r="V302" s="9"/>
      <c r="W302" s="9"/>
      <c r="X302" s="39"/>
      <c r="Y302" s="14">
        <f t="shared" si="237"/>
        <v>0</v>
      </c>
      <c r="Z302" s="14">
        <f t="shared" si="221"/>
        <v>0</v>
      </c>
    </row>
    <row r="303" spans="1:27" x14ac:dyDescent="0.15">
      <c r="A303" s="38" t="s">
        <v>120</v>
      </c>
      <c r="B303" s="8"/>
      <c r="C303" s="9"/>
      <c r="D303" s="9"/>
      <c r="E303" s="39">
        <v>-1</v>
      </c>
      <c r="F303" s="14">
        <f t="shared" si="241"/>
        <v>-1</v>
      </c>
      <c r="G303" s="9"/>
      <c r="H303" s="9"/>
      <c r="I303" s="9"/>
      <c r="J303" s="39"/>
      <c r="K303" s="14">
        <f t="shared" si="242"/>
        <v>0</v>
      </c>
      <c r="L303" s="14">
        <f t="shared" si="224"/>
        <v>-1</v>
      </c>
      <c r="M303" s="7">
        <v>45419</v>
      </c>
      <c r="O303" s="35"/>
      <c r="P303" s="8"/>
      <c r="Q303" s="9"/>
      <c r="R303" s="9"/>
      <c r="S303" s="39"/>
      <c r="T303" s="14">
        <f t="shared" si="236"/>
        <v>0</v>
      </c>
      <c r="U303" s="9"/>
      <c r="V303" s="9"/>
      <c r="W303" s="9"/>
      <c r="X303" s="39"/>
      <c r="Y303" s="14">
        <f t="shared" si="237"/>
        <v>0</v>
      </c>
      <c r="Z303" s="14">
        <f t="shared" si="221"/>
        <v>0</v>
      </c>
    </row>
    <row r="304" spans="1:27" x14ac:dyDescent="0.15">
      <c r="A304" s="38" t="s">
        <v>35</v>
      </c>
      <c r="B304" s="8"/>
      <c r="C304" s="9"/>
      <c r="D304" s="9">
        <v>1</v>
      </c>
      <c r="E304" s="39"/>
      <c r="F304" s="14">
        <f t="shared" si="241"/>
        <v>1</v>
      </c>
      <c r="G304" s="9"/>
      <c r="H304" s="9"/>
      <c r="I304" s="9"/>
      <c r="J304" s="39"/>
      <c r="K304" s="14">
        <f t="shared" si="242"/>
        <v>0</v>
      </c>
      <c r="L304" s="14">
        <f t="shared" si="224"/>
        <v>1</v>
      </c>
      <c r="M304" s="7">
        <v>45419</v>
      </c>
      <c r="O304" s="35"/>
      <c r="P304" s="8"/>
      <c r="Q304" s="9"/>
      <c r="R304" s="9"/>
      <c r="S304" s="39"/>
      <c r="T304" s="14">
        <f t="shared" si="236"/>
        <v>0</v>
      </c>
      <c r="U304" s="9"/>
      <c r="V304" s="9"/>
      <c r="W304" s="9"/>
      <c r="X304" s="39"/>
      <c r="Y304" s="14">
        <f t="shared" si="237"/>
        <v>0</v>
      </c>
      <c r="Z304" s="14">
        <f t="shared" si="221"/>
        <v>0</v>
      </c>
    </row>
    <row r="305" spans="1:27" x14ac:dyDescent="0.15">
      <c r="A305" s="38" t="s">
        <v>138</v>
      </c>
      <c r="B305" s="8">
        <v>-3</v>
      </c>
      <c r="C305" s="9"/>
      <c r="D305" s="9">
        <v>-3</v>
      </c>
      <c r="E305" s="39"/>
      <c r="F305" s="14">
        <f t="shared" si="241"/>
        <v>-6</v>
      </c>
      <c r="G305" s="9"/>
      <c r="H305" s="9"/>
      <c r="I305" s="9"/>
      <c r="J305" s="39"/>
      <c r="K305" s="14">
        <f t="shared" si="242"/>
        <v>0</v>
      </c>
      <c r="L305" s="14">
        <f t="shared" si="224"/>
        <v>-6</v>
      </c>
      <c r="M305" s="7">
        <v>45420</v>
      </c>
      <c r="O305" s="35"/>
      <c r="P305" s="8"/>
      <c r="Q305" s="9"/>
      <c r="R305" s="9"/>
      <c r="S305" s="39"/>
      <c r="T305" s="14">
        <f t="shared" ref="T305:T306" si="243">SUM(P305:S305)</f>
        <v>0</v>
      </c>
      <c r="U305" s="9"/>
      <c r="V305" s="9"/>
      <c r="W305" s="9"/>
      <c r="X305" s="39"/>
      <c r="Y305" s="14">
        <f t="shared" ref="Y305:Y306" si="244">SUM(U305:X305)</f>
        <v>0</v>
      </c>
      <c r="Z305" s="14">
        <f t="shared" ref="Z305:Z306" si="245">T305+Y305</f>
        <v>0</v>
      </c>
    </row>
    <row r="306" spans="1:27" x14ac:dyDescent="0.15">
      <c r="A306" s="38" t="s">
        <v>35</v>
      </c>
      <c r="B306" s="8"/>
      <c r="C306" s="9"/>
      <c r="D306" s="9">
        <v>1</v>
      </c>
      <c r="E306" s="39"/>
      <c r="F306" s="14">
        <f t="shared" si="241"/>
        <v>1</v>
      </c>
      <c r="G306" s="9"/>
      <c r="H306" s="9"/>
      <c r="I306" s="9"/>
      <c r="J306" s="39"/>
      <c r="K306" s="14">
        <f t="shared" si="242"/>
        <v>0</v>
      </c>
      <c r="L306" s="14">
        <f t="shared" si="224"/>
        <v>1</v>
      </c>
      <c r="M306" s="7">
        <v>45420</v>
      </c>
      <c r="O306" s="35"/>
      <c r="P306" s="8"/>
      <c r="Q306" s="9"/>
      <c r="R306" s="9"/>
      <c r="S306" s="39"/>
      <c r="T306" s="14">
        <f t="shared" si="243"/>
        <v>0</v>
      </c>
      <c r="U306" s="9"/>
      <c r="V306" s="9"/>
      <c r="W306" s="9"/>
      <c r="X306" s="39"/>
      <c r="Y306" s="14">
        <f t="shared" si="244"/>
        <v>0</v>
      </c>
      <c r="Z306" s="14">
        <f t="shared" si="245"/>
        <v>0</v>
      </c>
    </row>
    <row r="307" spans="1:27" x14ac:dyDescent="0.15">
      <c r="A307" s="38" t="s">
        <v>35</v>
      </c>
      <c r="B307" s="8"/>
      <c r="C307" s="9"/>
      <c r="D307" s="9">
        <v>1</v>
      </c>
      <c r="E307" s="39">
        <v>2</v>
      </c>
      <c r="F307" s="14">
        <f t="shared" si="241"/>
        <v>3</v>
      </c>
      <c r="G307" s="9"/>
      <c r="H307" s="9"/>
      <c r="I307" s="9"/>
      <c r="J307" s="39"/>
      <c r="K307" s="14">
        <f t="shared" si="242"/>
        <v>0</v>
      </c>
      <c r="L307" s="14">
        <f t="shared" si="224"/>
        <v>3</v>
      </c>
      <c r="M307" s="7">
        <v>45421</v>
      </c>
      <c r="O307" s="35" t="s">
        <v>117</v>
      </c>
      <c r="P307" s="8"/>
      <c r="Q307" s="9"/>
      <c r="R307" s="9"/>
      <c r="S307" s="39"/>
      <c r="T307" s="14">
        <f t="shared" ref="T307" si="246">SUM(P307:S307)</f>
        <v>0</v>
      </c>
      <c r="U307" s="9"/>
      <c r="V307" s="9"/>
      <c r="W307" s="9"/>
      <c r="X307" s="39"/>
      <c r="Y307" s="14">
        <f t="shared" ref="Y307:Y309" si="247">SUM(U307:X307)</f>
        <v>0</v>
      </c>
      <c r="Z307" s="14">
        <f t="shared" ref="Z307:Z309" si="248">T307+Y307</f>
        <v>0</v>
      </c>
    </row>
    <row r="308" spans="1:27" x14ac:dyDescent="0.15">
      <c r="A308" s="38" t="s">
        <v>35</v>
      </c>
      <c r="B308" s="8"/>
      <c r="C308" s="9"/>
      <c r="D308" s="9">
        <v>1</v>
      </c>
      <c r="E308" s="39"/>
      <c r="F308" s="14">
        <f t="shared" si="241"/>
        <v>1</v>
      </c>
      <c r="G308" s="9"/>
      <c r="H308" s="9"/>
      <c r="I308" s="9"/>
      <c r="J308" s="39">
        <v>1</v>
      </c>
      <c r="K308" s="14">
        <f t="shared" si="242"/>
        <v>1</v>
      </c>
      <c r="L308" s="14">
        <f t="shared" si="224"/>
        <v>2</v>
      </c>
      <c r="M308" s="7">
        <v>45422</v>
      </c>
      <c r="O308" s="33" t="s">
        <v>108</v>
      </c>
      <c r="P308" s="8"/>
      <c r="Q308" s="9"/>
      <c r="R308" s="9"/>
      <c r="S308" s="39"/>
      <c r="T308" s="14">
        <f t="shared" ref="T308:T309" si="249">SUM(P308:S308)</f>
        <v>0</v>
      </c>
      <c r="U308" s="131"/>
      <c r="V308" s="131"/>
      <c r="W308" s="131"/>
      <c r="X308" s="132"/>
      <c r="Y308" s="14">
        <f t="shared" si="247"/>
        <v>0</v>
      </c>
      <c r="Z308" s="14">
        <f t="shared" si="248"/>
        <v>0</v>
      </c>
      <c r="AA308" t="s">
        <v>105</v>
      </c>
    </row>
    <row r="309" spans="1:27" ht="14.25" thickBot="1" x14ac:dyDescent="0.2">
      <c r="A309" s="38" t="s">
        <v>40</v>
      </c>
      <c r="B309" s="15"/>
      <c r="C309" s="16"/>
      <c r="D309" s="16">
        <v>-3</v>
      </c>
      <c r="E309" s="58">
        <v>-3</v>
      </c>
      <c r="F309" s="56">
        <f t="shared" si="241"/>
        <v>-6</v>
      </c>
      <c r="G309" s="16"/>
      <c r="H309" s="16"/>
      <c r="I309" s="16"/>
      <c r="J309" s="58"/>
      <c r="K309" s="56">
        <f t="shared" si="242"/>
        <v>0</v>
      </c>
      <c r="L309" s="59">
        <f t="shared" si="224"/>
        <v>-6</v>
      </c>
      <c r="M309" s="7">
        <v>45423</v>
      </c>
      <c r="O309" s="33" t="s">
        <v>109</v>
      </c>
      <c r="P309" s="8"/>
      <c r="Q309" s="9"/>
      <c r="R309" s="9"/>
      <c r="S309" s="39"/>
      <c r="T309" s="14">
        <f t="shared" si="249"/>
        <v>0</v>
      </c>
      <c r="U309" s="133"/>
      <c r="V309" s="133"/>
      <c r="W309" s="133"/>
      <c r="X309" s="134"/>
      <c r="Y309" s="14">
        <f t="shared" si="247"/>
        <v>0</v>
      </c>
      <c r="Z309" s="14">
        <f t="shared" si="248"/>
        <v>0</v>
      </c>
      <c r="AA309" t="s">
        <v>105</v>
      </c>
    </row>
    <row r="310" spans="1:27" ht="14.25" thickBot="1" x14ac:dyDescent="0.2">
      <c r="A310" s="3" t="s">
        <v>7</v>
      </c>
      <c r="B310" s="17">
        <f t="shared" ref="B310:E310" si="250">SUM(B284:B309)</f>
        <v>0</v>
      </c>
      <c r="C310" s="18">
        <f t="shared" si="250"/>
        <v>3</v>
      </c>
      <c r="D310" s="18">
        <f t="shared" si="250"/>
        <v>4</v>
      </c>
      <c r="E310" s="40">
        <f t="shared" si="250"/>
        <v>0</v>
      </c>
      <c r="F310" s="11">
        <f t="shared" si="241"/>
        <v>7</v>
      </c>
      <c r="G310" s="17">
        <f t="shared" ref="G310:J310" si="251">SUM(G284:G309)</f>
        <v>2</v>
      </c>
      <c r="H310" s="18">
        <f t="shared" si="251"/>
        <v>2</v>
      </c>
      <c r="I310" s="18">
        <f t="shared" si="251"/>
        <v>3</v>
      </c>
      <c r="J310" s="40">
        <f t="shared" si="251"/>
        <v>3</v>
      </c>
      <c r="K310" s="11">
        <f t="shared" si="242"/>
        <v>10</v>
      </c>
      <c r="L310" s="11">
        <f t="shared" si="224"/>
        <v>17</v>
      </c>
      <c r="O310" s="3" t="s">
        <v>7</v>
      </c>
      <c r="P310" s="17">
        <f t="shared" ref="P310:S310" si="252">SUM(P284:P309)</f>
        <v>26</v>
      </c>
      <c r="Q310" s="18">
        <f t="shared" si="252"/>
        <v>15</v>
      </c>
      <c r="R310" s="18">
        <f t="shared" si="252"/>
        <v>19</v>
      </c>
      <c r="S310" s="40">
        <f t="shared" si="252"/>
        <v>17</v>
      </c>
      <c r="T310" s="11">
        <f t="shared" si="236"/>
        <v>77</v>
      </c>
      <c r="U310" s="17">
        <f t="shared" ref="U310:X310" si="253">SUM(U284:U309)</f>
        <v>3</v>
      </c>
      <c r="V310" s="18">
        <f t="shared" si="253"/>
        <v>2</v>
      </c>
      <c r="W310" s="18">
        <f t="shared" si="253"/>
        <v>5</v>
      </c>
      <c r="X310" s="40">
        <f t="shared" si="253"/>
        <v>5</v>
      </c>
      <c r="Y310" s="11">
        <f t="shared" si="237"/>
        <v>15</v>
      </c>
      <c r="Z310" s="11">
        <f t="shared" si="221"/>
        <v>92</v>
      </c>
    </row>
    <row r="311" spans="1:27" ht="14.25" thickBot="1" x14ac:dyDescent="0.2">
      <c r="A311" s="19" t="s">
        <v>8</v>
      </c>
      <c r="B311" s="20">
        <f t="shared" ref="B311:E311" si="254">B283-B310</f>
        <v>6</v>
      </c>
      <c r="C311" s="21">
        <f t="shared" si="254"/>
        <v>4</v>
      </c>
      <c r="D311" s="21">
        <f t="shared" si="254"/>
        <v>5</v>
      </c>
      <c r="E311" s="22">
        <f t="shared" si="254"/>
        <v>5</v>
      </c>
      <c r="F311" s="11">
        <f t="shared" si="241"/>
        <v>20</v>
      </c>
      <c r="G311" s="20">
        <f t="shared" ref="G311:J311" si="255">G283-G310</f>
        <v>4</v>
      </c>
      <c r="H311" s="21">
        <f t="shared" si="255"/>
        <v>3</v>
      </c>
      <c r="I311" s="21">
        <f t="shared" si="255"/>
        <v>3</v>
      </c>
      <c r="J311" s="51">
        <f t="shared" si="255"/>
        <v>4</v>
      </c>
      <c r="K311" s="11">
        <f t="shared" si="242"/>
        <v>14</v>
      </c>
      <c r="L311" s="53">
        <f t="shared" si="224"/>
        <v>34</v>
      </c>
      <c r="O311" s="19" t="s">
        <v>8</v>
      </c>
      <c r="P311" s="20">
        <f t="shared" ref="P311:S311" si="256">P283-P310</f>
        <v>203</v>
      </c>
      <c r="Q311" s="21">
        <f t="shared" si="256"/>
        <v>280</v>
      </c>
      <c r="R311" s="21">
        <f t="shared" si="256"/>
        <v>166</v>
      </c>
      <c r="S311" s="22">
        <f t="shared" si="256"/>
        <v>164</v>
      </c>
      <c r="T311" s="11">
        <f t="shared" si="236"/>
        <v>813</v>
      </c>
      <c r="U311" s="20">
        <f t="shared" ref="U311:X311" si="257">U283-U310</f>
        <v>82</v>
      </c>
      <c r="V311" s="21">
        <f t="shared" si="257"/>
        <v>102</v>
      </c>
      <c r="W311" s="21">
        <f t="shared" si="257"/>
        <v>69</v>
      </c>
      <c r="X311" s="51">
        <f t="shared" si="257"/>
        <v>66</v>
      </c>
      <c r="Y311" s="11">
        <f t="shared" si="237"/>
        <v>319</v>
      </c>
      <c r="Z311" s="53">
        <f t="shared" si="221"/>
        <v>1132</v>
      </c>
    </row>
    <row r="312" spans="1:27" x14ac:dyDescent="0.15"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</row>
    <row r="314" spans="1:27" ht="19.5" thickBot="1" x14ac:dyDescent="0.25">
      <c r="A314" s="1" t="s">
        <v>19</v>
      </c>
      <c r="C314" s="164" t="s">
        <v>20</v>
      </c>
      <c r="D314" s="164"/>
      <c r="O314" s="1" t="s">
        <v>21</v>
      </c>
      <c r="S314" s="164" t="s">
        <v>20</v>
      </c>
      <c r="T314" s="164"/>
    </row>
    <row r="315" spans="1:27" ht="14.25" thickBot="1" x14ac:dyDescent="0.2">
      <c r="A315" s="3" t="s">
        <v>0</v>
      </c>
      <c r="B315" s="165" t="s">
        <v>15</v>
      </c>
      <c r="C315" s="166"/>
      <c r="D315" s="166"/>
      <c r="E315" s="166"/>
      <c r="F315" s="167"/>
      <c r="G315" s="168" t="s">
        <v>18</v>
      </c>
      <c r="H315" s="169"/>
      <c r="I315" s="169"/>
      <c r="J315" s="169"/>
      <c r="K315" s="170"/>
      <c r="L315" s="47"/>
      <c r="O315" s="3" t="s">
        <v>0</v>
      </c>
      <c r="P315" s="165" t="s">
        <v>15</v>
      </c>
      <c r="Q315" s="166"/>
      <c r="R315" s="166"/>
      <c r="S315" s="166"/>
      <c r="T315" s="167"/>
      <c r="U315" s="168" t="s">
        <v>18</v>
      </c>
      <c r="V315" s="169"/>
      <c r="W315" s="169"/>
      <c r="X315" s="169"/>
      <c r="Y315" s="170"/>
      <c r="Z315" s="47"/>
    </row>
    <row r="316" spans="1:27" ht="14.25" thickBot="1" x14ac:dyDescent="0.2">
      <c r="A316" s="3" t="s">
        <v>1</v>
      </c>
      <c r="B316" s="23" t="s">
        <v>11</v>
      </c>
      <c r="C316" s="24" t="s">
        <v>12</v>
      </c>
      <c r="D316" s="24" t="s">
        <v>13</v>
      </c>
      <c r="E316" s="25" t="s">
        <v>14</v>
      </c>
      <c r="F316" s="48" t="s">
        <v>2</v>
      </c>
      <c r="G316" s="23" t="s">
        <v>11</v>
      </c>
      <c r="H316" s="24" t="s">
        <v>12</v>
      </c>
      <c r="I316" s="24" t="s">
        <v>13</v>
      </c>
      <c r="J316" s="25" t="s">
        <v>14</v>
      </c>
      <c r="K316" s="48" t="s">
        <v>2</v>
      </c>
      <c r="L316" s="48" t="s">
        <v>17</v>
      </c>
      <c r="O316" s="3" t="s">
        <v>1</v>
      </c>
      <c r="P316" s="23" t="s">
        <v>11</v>
      </c>
      <c r="Q316" s="24" t="s">
        <v>12</v>
      </c>
      <c r="R316" s="24" t="s">
        <v>13</v>
      </c>
      <c r="S316" s="25" t="s">
        <v>14</v>
      </c>
      <c r="T316" s="48" t="s">
        <v>2</v>
      </c>
      <c r="U316" s="23" t="s">
        <v>11</v>
      </c>
      <c r="V316" s="24" t="s">
        <v>12</v>
      </c>
      <c r="W316" s="24" t="s">
        <v>13</v>
      </c>
      <c r="X316" s="25" t="s">
        <v>14</v>
      </c>
      <c r="Y316" s="48" t="s">
        <v>2</v>
      </c>
      <c r="Z316" s="48" t="s">
        <v>17</v>
      </c>
    </row>
    <row r="317" spans="1:27" x14ac:dyDescent="0.15">
      <c r="A317" s="116" t="s">
        <v>9</v>
      </c>
      <c r="B317" s="113">
        <f>B311</f>
        <v>6</v>
      </c>
      <c r="C317" s="27">
        <f>C311</f>
        <v>4</v>
      </c>
      <c r="D317" s="27">
        <f>D311</f>
        <v>5</v>
      </c>
      <c r="E317" s="42">
        <f>E311</f>
        <v>5</v>
      </c>
      <c r="F317" s="28">
        <f>SUM(B317:E317)</f>
        <v>20</v>
      </c>
      <c r="G317" s="113">
        <f>G311</f>
        <v>4</v>
      </c>
      <c r="H317" s="27">
        <f>H311</f>
        <v>3</v>
      </c>
      <c r="I317" s="27">
        <f>I311</f>
        <v>3</v>
      </c>
      <c r="J317" s="42">
        <f>J311</f>
        <v>4</v>
      </c>
      <c r="K317" s="28">
        <f>SUM(G317:J317)</f>
        <v>14</v>
      </c>
      <c r="L317" s="114">
        <f>F317+K317</f>
        <v>34</v>
      </c>
      <c r="O317" s="54" t="s">
        <v>9</v>
      </c>
      <c r="P317" s="26">
        <f>P311</f>
        <v>203</v>
      </c>
      <c r="Q317" s="27">
        <f>Q311</f>
        <v>280</v>
      </c>
      <c r="R317" s="27">
        <f>R311</f>
        <v>166</v>
      </c>
      <c r="S317" s="42">
        <f>S311</f>
        <v>164</v>
      </c>
      <c r="T317" s="28">
        <f>SUM(P317:S317)</f>
        <v>813</v>
      </c>
      <c r="U317" s="26">
        <f>U311</f>
        <v>82</v>
      </c>
      <c r="V317" s="27">
        <f>V311</f>
        <v>102</v>
      </c>
      <c r="W317" s="27">
        <f>W311</f>
        <v>69</v>
      </c>
      <c r="X317" s="42">
        <f>X311</f>
        <v>66</v>
      </c>
      <c r="Y317" s="52">
        <f>SUM(U317:X317)</f>
        <v>319</v>
      </c>
      <c r="Z317" s="28">
        <f>T317+Y317</f>
        <v>1132</v>
      </c>
    </row>
    <row r="318" spans="1:27" x14ac:dyDescent="0.15">
      <c r="A318" s="33" t="s">
        <v>38</v>
      </c>
      <c r="B318" s="9">
        <v>2</v>
      </c>
      <c r="C318" s="29">
        <v>1</v>
      </c>
      <c r="D318" s="29"/>
      <c r="E318" s="43"/>
      <c r="F318" s="14">
        <f t="shared" ref="F318:F320" si="258">SUM(B318:E318)</f>
        <v>3</v>
      </c>
      <c r="G318" s="9"/>
      <c r="H318" s="29"/>
      <c r="I318" s="29"/>
      <c r="J318" s="43"/>
      <c r="K318" s="14">
        <f t="shared" ref="K318:K320" si="259">SUM(G318:J318)</f>
        <v>0</v>
      </c>
      <c r="L318" s="125">
        <f t="shared" ref="L318:L350" si="260">F318+K318</f>
        <v>3</v>
      </c>
      <c r="M318" s="7">
        <v>45425</v>
      </c>
      <c r="O318" s="66" t="s">
        <v>10</v>
      </c>
      <c r="P318" s="8"/>
      <c r="Q318" s="29"/>
      <c r="R318" s="29"/>
      <c r="S318" s="43"/>
      <c r="T318" s="14">
        <f t="shared" ref="T318:T321" si="261">SUM(P318:S318)</f>
        <v>0</v>
      </c>
      <c r="U318" s="9"/>
      <c r="V318" s="29"/>
      <c r="W318" s="29"/>
      <c r="X318" s="43"/>
      <c r="Y318" s="55">
        <f t="shared" ref="Y318:Y321" si="262">SUM(U318:X318)</f>
        <v>0</v>
      </c>
      <c r="Z318" s="14">
        <f t="shared" ref="Z318:Z350" si="263">T318+Y318</f>
        <v>0</v>
      </c>
    </row>
    <row r="319" spans="1:27" x14ac:dyDescent="0.15">
      <c r="A319" s="33" t="s">
        <v>3</v>
      </c>
      <c r="B319" s="9"/>
      <c r="C319" s="29"/>
      <c r="D319" s="29"/>
      <c r="E319" s="43"/>
      <c r="F319" s="14">
        <f t="shared" si="258"/>
        <v>0</v>
      </c>
      <c r="G319" s="9"/>
      <c r="H319" s="29">
        <v>2</v>
      </c>
      <c r="I319" s="29">
        <v>2</v>
      </c>
      <c r="J319" s="43">
        <v>2</v>
      </c>
      <c r="K319" s="14">
        <f t="shared" si="259"/>
        <v>6</v>
      </c>
      <c r="L319" s="125">
        <f t="shared" si="260"/>
        <v>6</v>
      </c>
      <c r="M319" s="7">
        <v>45427</v>
      </c>
      <c r="O319" s="82" t="s">
        <v>3</v>
      </c>
      <c r="P319" s="8">
        <v>210</v>
      </c>
      <c r="Q319" s="29">
        <v>150</v>
      </c>
      <c r="R319" s="29">
        <v>120</v>
      </c>
      <c r="S319" s="43">
        <v>120</v>
      </c>
      <c r="T319" s="14">
        <f t="shared" si="261"/>
        <v>600</v>
      </c>
      <c r="U319" s="9"/>
      <c r="V319" s="29"/>
      <c r="W319" s="29"/>
      <c r="X319" s="43"/>
      <c r="Y319" s="55">
        <f t="shared" si="262"/>
        <v>0</v>
      </c>
      <c r="Z319" s="14">
        <f t="shared" si="263"/>
        <v>600</v>
      </c>
      <c r="AA319" s="7" t="s">
        <v>144</v>
      </c>
    </row>
    <row r="320" spans="1:27" x14ac:dyDescent="0.15">
      <c r="A320" s="33" t="s">
        <v>140</v>
      </c>
      <c r="B320" s="9">
        <v>1</v>
      </c>
      <c r="C320" s="29">
        <v>1</v>
      </c>
      <c r="D320" s="29">
        <v>1</v>
      </c>
      <c r="E320" s="43">
        <v>1</v>
      </c>
      <c r="F320" s="14">
        <f t="shared" si="258"/>
        <v>4</v>
      </c>
      <c r="G320" s="9"/>
      <c r="H320" s="29"/>
      <c r="I320" s="29"/>
      <c r="J320" s="43"/>
      <c r="K320" s="14">
        <f t="shared" si="259"/>
        <v>0</v>
      </c>
      <c r="L320" s="125">
        <f t="shared" si="260"/>
        <v>4</v>
      </c>
      <c r="M320" s="7">
        <v>45427</v>
      </c>
      <c r="O320" s="82" t="s">
        <v>28</v>
      </c>
      <c r="P320" s="8">
        <v>-3</v>
      </c>
      <c r="Q320" s="29">
        <v>-3</v>
      </c>
      <c r="R320" s="29">
        <v>-6</v>
      </c>
      <c r="S320" s="43">
        <v>-5</v>
      </c>
      <c r="T320" s="14">
        <f t="shared" si="261"/>
        <v>-17</v>
      </c>
      <c r="U320" s="9"/>
      <c r="V320" s="29"/>
      <c r="W320" s="29"/>
      <c r="X320" s="43"/>
      <c r="Y320" s="55">
        <f t="shared" si="262"/>
        <v>0</v>
      </c>
      <c r="Z320" s="14">
        <f t="shared" si="263"/>
        <v>-17</v>
      </c>
    </row>
    <row r="321" spans="1:27" ht="14.25" thickBot="1" x14ac:dyDescent="0.2">
      <c r="A321" s="117" t="s">
        <v>5</v>
      </c>
      <c r="B321" s="49"/>
      <c r="C321" s="37">
        <v>5</v>
      </c>
      <c r="D321" s="37"/>
      <c r="E321" s="44"/>
      <c r="F321" s="56">
        <f t="shared" ref="F321" si="264">SUM(B321:E321)</f>
        <v>5</v>
      </c>
      <c r="G321" s="49"/>
      <c r="H321" s="37"/>
      <c r="I321" s="37"/>
      <c r="J321" s="44"/>
      <c r="K321" s="56">
        <f t="shared" ref="K321" si="265">SUM(G321:J321)</f>
        <v>0</v>
      </c>
      <c r="L321" s="130">
        <f t="shared" ref="L321" si="266">F321+K321</f>
        <v>5</v>
      </c>
      <c r="M321" s="7">
        <v>45433</v>
      </c>
      <c r="O321" s="128" t="s">
        <v>5</v>
      </c>
      <c r="P321" s="129"/>
      <c r="Q321" s="31"/>
      <c r="R321" s="31"/>
      <c r="S321" s="45"/>
      <c r="T321" s="110">
        <f t="shared" si="261"/>
        <v>0</v>
      </c>
      <c r="U321" s="112"/>
      <c r="V321" s="31"/>
      <c r="W321" s="31"/>
      <c r="X321" s="45"/>
      <c r="Y321" s="30">
        <f t="shared" si="262"/>
        <v>0</v>
      </c>
      <c r="Z321" s="110">
        <f t="shared" si="263"/>
        <v>0</v>
      </c>
    </row>
    <row r="322" spans="1:27" ht="14.25" thickBot="1" x14ac:dyDescent="0.2">
      <c r="A322" s="127" t="s">
        <v>6</v>
      </c>
      <c r="B322" s="30">
        <f>SUM(B317:B321)</f>
        <v>9</v>
      </c>
      <c r="C322" s="31">
        <f>SUM(C317:C321)</f>
        <v>11</v>
      </c>
      <c r="D322" s="31">
        <f>SUM(D317:D321)</f>
        <v>6</v>
      </c>
      <c r="E322" s="45">
        <f>SUM(E317:E321)</f>
        <v>6</v>
      </c>
      <c r="F322" s="110">
        <f>SUM(B322:E322)</f>
        <v>32</v>
      </c>
      <c r="G322" s="41">
        <f>SUM(G317:G321)</f>
        <v>4</v>
      </c>
      <c r="H322" s="31">
        <f>SUM(H317:H321)</f>
        <v>5</v>
      </c>
      <c r="I322" s="31">
        <f>SUM(I317:I321)</f>
        <v>5</v>
      </c>
      <c r="J322" s="45">
        <f>SUM(J317:J321)</f>
        <v>6</v>
      </c>
      <c r="K322" s="110">
        <f>SUM(G322:J322)</f>
        <v>20</v>
      </c>
      <c r="L322" s="53">
        <f t="shared" si="260"/>
        <v>52</v>
      </c>
      <c r="O322" s="127" t="s">
        <v>6</v>
      </c>
      <c r="P322" s="30">
        <f>SUM(P317:P321)</f>
        <v>410</v>
      </c>
      <c r="Q322" s="31">
        <f>SUM(Q317:Q321)</f>
        <v>427</v>
      </c>
      <c r="R322" s="31">
        <f>SUM(R317:R321)</f>
        <v>280</v>
      </c>
      <c r="S322" s="45">
        <f>SUM(S317:S321)</f>
        <v>279</v>
      </c>
      <c r="T322" s="110">
        <f>SUM(P322:S322)</f>
        <v>1396</v>
      </c>
      <c r="U322" s="41">
        <f>SUM(U317:U321)</f>
        <v>82</v>
      </c>
      <c r="V322" s="31">
        <f>SUM(V317:V321)</f>
        <v>102</v>
      </c>
      <c r="W322" s="31">
        <f>SUM(W317:W321)</f>
        <v>69</v>
      </c>
      <c r="X322" s="45">
        <f>SUM(X317:X321)</f>
        <v>66</v>
      </c>
      <c r="Y322" s="110">
        <f>SUM(U322:X322)</f>
        <v>319</v>
      </c>
      <c r="Z322" s="53">
        <f t="shared" si="263"/>
        <v>1715</v>
      </c>
    </row>
    <row r="323" spans="1:27" x14ac:dyDescent="0.15">
      <c r="A323" s="38" t="s">
        <v>35</v>
      </c>
      <c r="B323" s="8"/>
      <c r="C323" s="9"/>
      <c r="D323" s="9">
        <v>1</v>
      </c>
      <c r="E323" s="39">
        <v>1</v>
      </c>
      <c r="F323" s="14">
        <f t="shared" ref="F323:F328" si="267">SUM(B323:E323)</f>
        <v>2</v>
      </c>
      <c r="G323" s="9"/>
      <c r="H323" s="9"/>
      <c r="I323" s="9"/>
      <c r="J323" s="39"/>
      <c r="K323" s="14">
        <f t="shared" ref="K323:K328" si="268">SUM(G323:J323)</f>
        <v>0</v>
      </c>
      <c r="L323" s="14">
        <f t="shared" ref="L323:L328" si="269">F323+K323</f>
        <v>2</v>
      </c>
      <c r="M323" s="7">
        <v>45423</v>
      </c>
      <c r="O323" s="35" t="s">
        <v>31</v>
      </c>
      <c r="P323" s="8"/>
      <c r="Q323" s="9">
        <v>5</v>
      </c>
      <c r="R323" s="9"/>
      <c r="S323" s="39"/>
      <c r="T323" s="14">
        <f t="shared" ref="T323" si="270">SUM(P323:S323)</f>
        <v>5</v>
      </c>
      <c r="U323" s="9"/>
      <c r="V323" s="9"/>
      <c r="W323" s="9"/>
      <c r="X323" s="39"/>
      <c r="Y323" s="14">
        <f t="shared" ref="Y323" si="271">SUM(U323:X323)</f>
        <v>0</v>
      </c>
      <c r="Z323" s="14">
        <f t="shared" ref="Z323" si="272">T323+Y323</f>
        <v>5</v>
      </c>
      <c r="AA323" s="7">
        <v>45433</v>
      </c>
    </row>
    <row r="324" spans="1:27" x14ac:dyDescent="0.15">
      <c r="A324" s="38" t="s">
        <v>51</v>
      </c>
      <c r="B324" s="8"/>
      <c r="C324" s="9">
        <v>1</v>
      </c>
      <c r="D324" s="9"/>
      <c r="E324" s="39"/>
      <c r="F324" s="14">
        <f t="shared" si="267"/>
        <v>1</v>
      </c>
      <c r="G324" s="9"/>
      <c r="H324" s="9"/>
      <c r="I324" s="9"/>
      <c r="J324" s="39">
        <v>1</v>
      </c>
      <c r="K324" s="14">
        <f t="shared" si="268"/>
        <v>1</v>
      </c>
      <c r="L324" s="14">
        <f t="shared" si="269"/>
        <v>2</v>
      </c>
      <c r="M324" s="7">
        <v>45426</v>
      </c>
      <c r="O324" s="35" t="s">
        <v>119</v>
      </c>
      <c r="P324" s="8"/>
      <c r="Q324" s="9">
        <v>4</v>
      </c>
      <c r="R324" s="9"/>
      <c r="S324" s="39"/>
      <c r="T324" s="14">
        <f t="shared" ref="T324:T350" si="273">SUM(P324:S324)</f>
        <v>4</v>
      </c>
      <c r="U324" s="9"/>
      <c r="V324" s="9"/>
      <c r="W324" s="9"/>
      <c r="X324" s="39"/>
      <c r="Y324" s="14">
        <f t="shared" ref="Y324:Y350" si="274">SUM(U324:X324)</f>
        <v>0</v>
      </c>
      <c r="Z324" s="14">
        <f t="shared" si="263"/>
        <v>4</v>
      </c>
      <c r="AA324" s="7">
        <v>45436</v>
      </c>
    </row>
    <row r="325" spans="1:27" x14ac:dyDescent="0.15">
      <c r="A325" s="38" t="s">
        <v>35</v>
      </c>
      <c r="B325" s="8"/>
      <c r="C325" s="9"/>
      <c r="D325" s="9"/>
      <c r="E325" s="39"/>
      <c r="F325" s="14">
        <f t="shared" si="267"/>
        <v>0</v>
      </c>
      <c r="G325" s="9"/>
      <c r="H325" s="9">
        <v>1</v>
      </c>
      <c r="I325" s="9">
        <v>1</v>
      </c>
      <c r="J325" s="39">
        <v>1</v>
      </c>
      <c r="K325" s="14">
        <f t="shared" si="268"/>
        <v>3</v>
      </c>
      <c r="L325" s="14">
        <f t="shared" si="269"/>
        <v>3</v>
      </c>
      <c r="M325" s="7">
        <v>45425</v>
      </c>
      <c r="O325" s="33" t="s">
        <v>142</v>
      </c>
      <c r="P325" s="8">
        <v>1</v>
      </c>
      <c r="Q325" s="9">
        <v>1</v>
      </c>
      <c r="R325" s="9">
        <v>1</v>
      </c>
      <c r="S325" s="39"/>
      <c r="T325" s="14">
        <f t="shared" si="273"/>
        <v>3</v>
      </c>
      <c r="U325" s="9"/>
      <c r="V325" s="9"/>
      <c r="W325" s="9"/>
      <c r="X325" s="39"/>
      <c r="Y325" s="14">
        <f t="shared" si="274"/>
        <v>0</v>
      </c>
      <c r="Z325" s="14">
        <f t="shared" si="263"/>
        <v>3</v>
      </c>
      <c r="AA325" s="7">
        <v>45439</v>
      </c>
    </row>
    <row r="326" spans="1:27" x14ac:dyDescent="0.15">
      <c r="A326" s="38" t="s">
        <v>35</v>
      </c>
      <c r="B326" s="8">
        <v>1</v>
      </c>
      <c r="C326" s="9"/>
      <c r="D326" s="9"/>
      <c r="E326" s="39"/>
      <c r="F326" s="14">
        <f t="shared" si="267"/>
        <v>1</v>
      </c>
      <c r="G326" s="9"/>
      <c r="H326" s="9"/>
      <c r="I326" s="9"/>
      <c r="J326" s="39"/>
      <c r="K326" s="14">
        <f t="shared" si="268"/>
        <v>0</v>
      </c>
      <c r="L326" s="14">
        <f t="shared" si="269"/>
        <v>1</v>
      </c>
      <c r="M326" s="7">
        <v>45426</v>
      </c>
      <c r="O326" s="35" t="s">
        <v>119</v>
      </c>
      <c r="P326" s="8">
        <v>4</v>
      </c>
      <c r="Q326" s="9"/>
      <c r="R326" s="9"/>
      <c r="S326" s="39"/>
      <c r="T326" s="14">
        <f t="shared" si="273"/>
        <v>4</v>
      </c>
      <c r="U326" s="9"/>
      <c r="V326" s="9"/>
      <c r="W326" s="9"/>
      <c r="X326" s="39"/>
      <c r="Y326" s="14">
        <f t="shared" si="274"/>
        <v>0</v>
      </c>
      <c r="Z326" s="14">
        <f t="shared" si="263"/>
        <v>4</v>
      </c>
      <c r="AA326" s="7">
        <v>45439</v>
      </c>
    </row>
    <row r="327" spans="1:27" x14ac:dyDescent="0.15">
      <c r="A327" s="38" t="s">
        <v>35</v>
      </c>
      <c r="B327" s="8"/>
      <c r="C327" s="9">
        <v>1</v>
      </c>
      <c r="D327" s="9"/>
      <c r="E327" s="39">
        <v>1</v>
      </c>
      <c r="F327" s="14">
        <f t="shared" si="267"/>
        <v>2</v>
      </c>
      <c r="G327" s="9"/>
      <c r="H327" s="9">
        <v>1</v>
      </c>
      <c r="I327" s="9"/>
      <c r="J327" s="39"/>
      <c r="K327" s="14">
        <f t="shared" si="268"/>
        <v>1</v>
      </c>
      <c r="L327" s="14">
        <f t="shared" si="269"/>
        <v>3</v>
      </c>
      <c r="M327" s="7">
        <v>45428</v>
      </c>
      <c r="O327" s="35" t="s">
        <v>119</v>
      </c>
      <c r="P327" s="8">
        <v>6</v>
      </c>
      <c r="Q327" s="9"/>
      <c r="R327" s="9"/>
      <c r="S327" s="39"/>
      <c r="T327" s="14">
        <f t="shared" si="273"/>
        <v>6</v>
      </c>
      <c r="U327" s="9"/>
      <c r="V327" s="9"/>
      <c r="W327" s="9"/>
      <c r="X327" s="39"/>
      <c r="Y327" s="14">
        <f t="shared" si="274"/>
        <v>0</v>
      </c>
      <c r="Z327" s="14">
        <f t="shared" si="263"/>
        <v>6</v>
      </c>
      <c r="AA327" s="7">
        <v>45446</v>
      </c>
    </row>
    <row r="328" spans="1:27" x14ac:dyDescent="0.15">
      <c r="A328" s="38" t="s">
        <v>35</v>
      </c>
      <c r="B328" s="8">
        <v>2</v>
      </c>
      <c r="C328" s="9">
        <v>1</v>
      </c>
      <c r="D328" s="9"/>
      <c r="E328" s="39"/>
      <c r="F328" s="14">
        <f t="shared" si="267"/>
        <v>3</v>
      </c>
      <c r="G328" s="9"/>
      <c r="H328" s="9"/>
      <c r="I328" s="9"/>
      <c r="J328" s="39"/>
      <c r="K328" s="14">
        <f t="shared" si="268"/>
        <v>0</v>
      </c>
      <c r="L328" s="14">
        <f t="shared" si="269"/>
        <v>3</v>
      </c>
      <c r="M328" s="7">
        <v>45429</v>
      </c>
      <c r="O328" s="35" t="s">
        <v>119</v>
      </c>
      <c r="P328" s="8"/>
      <c r="Q328" s="9">
        <v>7</v>
      </c>
      <c r="R328" s="9">
        <v>7</v>
      </c>
      <c r="S328" s="39"/>
      <c r="T328" s="14">
        <f t="shared" si="273"/>
        <v>14</v>
      </c>
      <c r="U328" s="9"/>
      <c r="V328" s="9"/>
      <c r="W328" s="9"/>
      <c r="X328" s="39"/>
      <c r="Y328" s="14">
        <f t="shared" si="274"/>
        <v>0</v>
      </c>
      <c r="Z328" s="14">
        <f t="shared" si="263"/>
        <v>14</v>
      </c>
      <c r="AA328" s="7">
        <v>45441</v>
      </c>
    </row>
    <row r="329" spans="1:27" x14ac:dyDescent="0.15">
      <c r="A329" s="38" t="s">
        <v>51</v>
      </c>
      <c r="B329" s="8"/>
      <c r="C329" s="9"/>
      <c r="D329" s="9"/>
      <c r="E329" s="39">
        <v>1</v>
      </c>
      <c r="F329" s="14">
        <f t="shared" ref="F329:F350" si="275">SUM(B329:E329)</f>
        <v>1</v>
      </c>
      <c r="G329" s="9"/>
      <c r="H329" s="9"/>
      <c r="I329" s="9"/>
      <c r="J329" s="39"/>
      <c r="K329" s="14">
        <f t="shared" ref="K329:K350" si="276">SUM(G329:J329)</f>
        <v>0</v>
      </c>
      <c r="L329" s="14">
        <f t="shared" si="260"/>
        <v>1</v>
      </c>
      <c r="M329" s="7">
        <v>45433</v>
      </c>
      <c r="O329" s="35" t="s">
        <v>119</v>
      </c>
      <c r="P329" s="8"/>
      <c r="Q329" s="9">
        <v>3</v>
      </c>
      <c r="R329" s="9"/>
      <c r="S329" s="39"/>
      <c r="T329" s="14">
        <f t="shared" si="273"/>
        <v>3</v>
      </c>
      <c r="U329" s="9"/>
      <c r="V329" s="9"/>
      <c r="W329" s="9"/>
      <c r="X329" s="39"/>
      <c r="Y329" s="14">
        <f t="shared" si="274"/>
        <v>0</v>
      </c>
      <c r="Z329" s="14">
        <f t="shared" si="263"/>
        <v>3</v>
      </c>
      <c r="AA329" s="7">
        <v>45441</v>
      </c>
    </row>
    <row r="330" spans="1:27" x14ac:dyDescent="0.15">
      <c r="A330" s="38" t="s">
        <v>35</v>
      </c>
      <c r="B330" s="8"/>
      <c r="C330" s="9">
        <f>2+1</f>
        <v>3</v>
      </c>
      <c r="D330" s="9"/>
      <c r="E330" s="39"/>
      <c r="F330" s="14">
        <f t="shared" si="275"/>
        <v>3</v>
      </c>
      <c r="G330" s="9"/>
      <c r="H330" s="9"/>
      <c r="I330" s="9"/>
      <c r="J330" s="39"/>
      <c r="K330" s="14">
        <f t="shared" si="276"/>
        <v>0</v>
      </c>
      <c r="L330" s="14">
        <f t="shared" si="260"/>
        <v>3</v>
      </c>
      <c r="M330" s="7">
        <v>45432</v>
      </c>
      <c r="O330" s="35" t="s">
        <v>31</v>
      </c>
      <c r="P330" s="8"/>
      <c r="Q330" s="9"/>
      <c r="R330" s="9"/>
      <c r="S330" s="39">
        <v>2</v>
      </c>
      <c r="T330" s="14">
        <f t="shared" si="273"/>
        <v>2</v>
      </c>
      <c r="U330" s="9">
        <v>2</v>
      </c>
      <c r="V330" s="9">
        <v>2</v>
      </c>
      <c r="W330" s="9">
        <v>2</v>
      </c>
      <c r="X330" s="39"/>
      <c r="Y330" s="14">
        <f t="shared" si="274"/>
        <v>6</v>
      </c>
      <c r="Z330" s="14">
        <f t="shared" si="263"/>
        <v>8</v>
      </c>
      <c r="AA330" s="7">
        <v>45437</v>
      </c>
    </row>
    <row r="331" spans="1:27" x14ac:dyDescent="0.15">
      <c r="A331" s="38" t="s">
        <v>35</v>
      </c>
      <c r="B331" s="8"/>
      <c r="C331" s="9"/>
      <c r="D331" s="9"/>
      <c r="E331" s="39"/>
      <c r="F331" s="14">
        <f t="shared" si="275"/>
        <v>0</v>
      </c>
      <c r="G331" s="9"/>
      <c r="H331" s="9"/>
      <c r="I331" s="9">
        <v>1</v>
      </c>
      <c r="J331" s="39"/>
      <c r="K331" s="14">
        <f t="shared" si="276"/>
        <v>1</v>
      </c>
      <c r="L331" s="14">
        <f t="shared" si="260"/>
        <v>1</v>
      </c>
      <c r="M331" s="7">
        <v>45433</v>
      </c>
      <c r="O331" s="35" t="s">
        <v>119</v>
      </c>
      <c r="P331" s="8"/>
      <c r="Q331" s="9">
        <v>3</v>
      </c>
      <c r="R331" s="9"/>
      <c r="S331" s="39"/>
      <c r="T331" s="14">
        <f t="shared" si="273"/>
        <v>3</v>
      </c>
      <c r="U331" s="9"/>
      <c r="V331" s="9"/>
      <c r="W331" s="9"/>
      <c r="X331" s="39"/>
      <c r="Y331" s="14">
        <f t="shared" si="274"/>
        <v>0</v>
      </c>
      <c r="Z331" s="14">
        <f t="shared" si="263"/>
        <v>3</v>
      </c>
      <c r="AA331" s="7">
        <v>45441</v>
      </c>
    </row>
    <row r="332" spans="1:27" x14ac:dyDescent="0.15">
      <c r="A332" s="38" t="s">
        <v>51</v>
      </c>
      <c r="B332" s="8"/>
      <c r="C332" s="9"/>
      <c r="D332" s="9"/>
      <c r="E332" s="39"/>
      <c r="F332" s="14">
        <f t="shared" si="275"/>
        <v>0</v>
      </c>
      <c r="G332" s="9">
        <v>1</v>
      </c>
      <c r="H332" s="9"/>
      <c r="I332" s="9"/>
      <c r="J332" s="39"/>
      <c r="K332" s="14">
        <f t="shared" si="276"/>
        <v>1</v>
      </c>
      <c r="L332" s="14">
        <f t="shared" si="260"/>
        <v>1</v>
      </c>
      <c r="M332" s="7">
        <v>45435</v>
      </c>
      <c r="O332" s="35" t="s">
        <v>119</v>
      </c>
      <c r="P332" s="8"/>
      <c r="Q332" s="9">
        <v>2</v>
      </c>
      <c r="R332" s="9">
        <v>3</v>
      </c>
      <c r="S332" s="39"/>
      <c r="T332" s="14">
        <f t="shared" si="273"/>
        <v>5</v>
      </c>
      <c r="U332" s="9"/>
      <c r="V332" s="9"/>
      <c r="W332" s="9"/>
      <c r="X332" s="39"/>
      <c r="Y332" s="14">
        <f t="shared" si="274"/>
        <v>0</v>
      </c>
      <c r="Z332" s="14">
        <f t="shared" si="263"/>
        <v>5</v>
      </c>
      <c r="AA332" s="7">
        <v>45443</v>
      </c>
    </row>
    <row r="333" spans="1:27" x14ac:dyDescent="0.15">
      <c r="A333" s="38" t="s">
        <v>35</v>
      </c>
      <c r="B333" s="8"/>
      <c r="C333" s="9">
        <v>1</v>
      </c>
      <c r="D333" s="9"/>
      <c r="E333" s="39">
        <v>1</v>
      </c>
      <c r="F333" s="14">
        <f t="shared" si="275"/>
        <v>2</v>
      </c>
      <c r="G333" s="9"/>
      <c r="H333" s="9"/>
      <c r="I333" s="9"/>
      <c r="J333" s="39"/>
      <c r="K333" s="14">
        <f t="shared" si="276"/>
        <v>0</v>
      </c>
      <c r="L333" s="14">
        <f t="shared" si="260"/>
        <v>2</v>
      </c>
      <c r="M333" s="7">
        <v>45436</v>
      </c>
      <c r="O333" s="33" t="s">
        <v>143</v>
      </c>
      <c r="P333" s="8">
        <v>1</v>
      </c>
      <c r="Q333" s="9">
        <v>2</v>
      </c>
      <c r="R333" s="9">
        <v>1</v>
      </c>
      <c r="S333" s="39">
        <v>1</v>
      </c>
      <c r="T333" s="14">
        <f t="shared" si="273"/>
        <v>5</v>
      </c>
      <c r="U333" s="9"/>
      <c r="V333" s="9"/>
      <c r="W333" s="9"/>
      <c r="X333" s="39"/>
      <c r="Y333" s="14">
        <f t="shared" si="274"/>
        <v>0</v>
      </c>
      <c r="Z333" s="14">
        <f t="shared" si="263"/>
        <v>5</v>
      </c>
      <c r="AA333" s="7">
        <v>45443</v>
      </c>
    </row>
    <row r="334" spans="1:27" x14ac:dyDescent="0.15">
      <c r="A334" s="38" t="s">
        <v>40</v>
      </c>
      <c r="B334" s="8"/>
      <c r="C334" s="9"/>
      <c r="D334" s="9"/>
      <c r="E334" s="39">
        <v>-2</v>
      </c>
      <c r="F334" s="14">
        <f t="shared" si="275"/>
        <v>-2</v>
      </c>
      <c r="G334" s="9">
        <v>-2</v>
      </c>
      <c r="H334" s="9">
        <v>-2</v>
      </c>
      <c r="I334" s="9">
        <v>-2</v>
      </c>
      <c r="J334" s="39"/>
      <c r="K334" s="14">
        <f t="shared" si="276"/>
        <v>-6</v>
      </c>
      <c r="L334" s="14">
        <f t="shared" si="260"/>
        <v>-8</v>
      </c>
      <c r="M334" s="7">
        <v>45437</v>
      </c>
      <c r="O334" s="35" t="s">
        <v>31</v>
      </c>
      <c r="P334" s="8"/>
      <c r="Q334" s="9">
        <v>2</v>
      </c>
      <c r="R334" s="9"/>
      <c r="S334" s="39"/>
      <c r="T334" s="14">
        <f t="shared" si="273"/>
        <v>2</v>
      </c>
      <c r="U334" s="9"/>
      <c r="V334" s="9"/>
      <c r="W334" s="9"/>
      <c r="X334" s="39"/>
      <c r="Y334" s="14">
        <f t="shared" si="274"/>
        <v>0</v>
      </c>
      <c r="Z334" s="14">
        <f t="shared" si="263"/>
        <v>2</v>
      </c>
      <c r="AA334" s="7">
        <v>45442</v>
      </c>
    </row>
    <row r="335" spans="1:27" x14ac:dyDescent="0.15">
      <c r="A335" s="38" t="s">
        <v>35</v>
      </c>
      <c r="B335" s="8"/>
      <c r="C335" s="9">
        <v>1</v>
      </c>
      <c r="D335" s="9"/>
      <c r="E335" s="39"/>
      <c r="F335" s="14">
        <f t="shared" si="275"/>
        <v>1</v>
      </c>
      <c r="G335" s="9"/>
      <c r="H335" s="9"/>
      <c r="I335" s="9"/>
      <c r="J335" s="39"/>
      <c r="K335" s="14">
        <f t="shared" si="276"/>
        <v>0</v>
      </c>
      <c r="L335" s="14">
        <f t="shared" si="260"/>
        <v>1</v>
      </c>
      <c r="M335" s="7">
        <v>45439</v>
      </c>
      <c r="O335" s="35" t="s">
        <v>119</v>
      </c>
      <c r="P335" s="8"/>
      <c r="Q335" s="9">
        <v>3</v>
      </c>
      <c r="R335" s="9"/>
      <c r="S335" s="39"/>
      <c r="T335" s="14">
        <f t="shared" si="273"/>
        <v>3</v>
      </c>
      <c r="U335" s="9"/>
      <c r="V335" s="9"/>
      <c r="W335" s="9"/>
      <c r="X335" s="39"/>
      <c r="Y335" s="14">
        <f t="shared" si="274"/>
        <v>0</v>
      </c>
      <c r="Z335" s="14">
        <f t="shared" si="263"/>
        <v>3</v>
      </c>
      <c r="AA335" s="7">
        <v>45446</v>
      </c>
    </row>
    <row r="336" spans="1:27" x14ac:dyDescent="0.15">
      <c r="A336" s="38" t="s">
        <v>51</v>
      </c>
      <c r="B336" s="8"/>
      <c r="C336" s="9">
        <v>1</v>
      </c>
      <c r="D336" s="9"/>
      <c r="E336" s="39"/>
      <c r="F336" s="14">
        <f t="shared" si="275"/>
        <v>1</v>
      </c>
      <c r="G336" s="9"/>
      <c r="H336" s="9"/>
      <c r="I336" s="9"/>
      <c r="J336" s="39"/>
      <c r="K336" s="14">
        <f t="shared" si="276"/>
        <v>0</v>
      </c>
      <c r="L336" s="14">
        <f t="shared" si="260"/>
        <v>1</v>
      </c>
      <c r="M336" s="7">
        <v>45441</v>
      </c>
      <c r="O336" s="35" t="s">
        <v>63</v>
      </c>
      <c r="P336" s="8">
        <v>10</v>
      </c>
      <c r="Q336" s="9">
        <v>10</v>
      </c>
      <c r="R336" s="9">
        <v>4</v>
      </c>
      <c r="S336" s="39">
        <v>4</v>
      </c>
      <c r="T336" s="14">
        <f t="shared" si="273"/>
        <v>28</v>
      </c>
      <c r="U336" s="9">
        <v>10</v>
      </c>
      <c r="V336" s="9">
        <v>10</v>
      </c>
      <c r="W336" s="9">
        <v>4</v>
      </c>
      <c r="X336" s="39">
        <v>4</v>
      </c>
      <c r="Y336" s="14">
        <f t="shared" si="274"/>
        <v>28</v>
      </c>
      <c r="Z336" s="14">
        <f t="shared" si="263"/>
        <v>56</v>
      </c>
      <c r="AA336" s="7">
        <v>45455</v>
      </c>
    </row>
    <row r="337" spans="1:27" x14ac:dyDescent="0.15">
      <c r="A337" s="38" t="s">
        <v>35</v>
      </c>
      <c r="B337" s="8">
        <v>1</v>
      </c>
      <c r="C337" s="9"/>
      <c r="D337" s="9"/>
      <c r="E337" s="39"/>
      <c r="F337" s="14">
        <f t="shared" si="275"/>
        <v>1</v>
      </c>
      <c r="G337" s="9"/>
      <c r="H337" s="9"/>
      <c r="I337" s="9"/>
      <c r="J337" s="39"/>
      <c r="K337" s="14">
        <f t="shared" si="276"/>
        <v>0</v>
      </c>
      <c r="L337" s="14">
        <f t="shared" si="260"/>
        <v>1</v>
      </c>
      <c r="M337" s="7">
        <v>45440</v>
      </c>
      <c r="O337" s="35" t="s">
        <v>119</v>
      </c>
      <c r="P337" s="8"/>
      <c r="Q337" s="9">
        <v>3</v>
      </c>
      <c r="R337" s="9"/>
      <c r="S337" s="39"/>
      <c r="T337" s="14">
        <f t="shared" si="273"/>
        <v>3</v>
      </c>
      <c r="U337" s="9"/>
      <c r="V337" s="9"/>
      <c r="W337" s="9"/>
      <c r="X337" s="39"/>
      <c r="Y337" s="14">
        <f t="shared" si="274"/>
        <v>0</v>
      </c>
      <c r="Z337" s="14">
        <f t="shared" si="263"/>
        <v>3</v>
      </c>
      <c r="AA337" s="7">
        <v>45448</v>
      </c>
    </row>
    <row r="338" spans="1:27" x14ac:dyDescent="0.15">
      <c r="A338" s="38" t="s">
        <v>40</v>
      </c>
      <c r="B338" s="8"/>
      <c r="C338" s="9">
        <v>-2</v>
      </c>
      <c r="D338" s="9"/>
      <c r="E338" s="39"/>
      <c r="F338" s="14">
        <f t="shared" si="275"/>
        <v>-2</v>
      </c>
      <c r="G338" s="9"/>
      <c r="H338" s="9"/>
      <c r="I338" s="9"/>
      <c r="J338" s="39"/>
      <c r="K338" s="14">
        <f t="shared" si="276"/>
        <v>0</v>
      </c>
      <c r="L338" s="14">
        <f t="shared" si="260"/>
        <v>-2</v>
      </c>
      <c r="M338" s="7">
        <v>45442</v>
      </c>
      <c r="O338" s="35" t="s">
        <v>65</v>
      </c>
      <c r="P338" s="8"/>
      <c r="Q338" s="9"/>
      <c r="R338" s="9">
        <v>1</v>
      </c>
      <c r="S338" s="39">
        <v>1</v>
      </c>
      <c r="T338" s="14">
        <f t="shared" si="273"/>
        <v>2</v>
      </c>
      <c r="U338" s="9"/>
      <c r="V338" s="9"/>
      <c r="W338" s="9"/>
      <c r="X338" s="39"/>
      <c r="Y338" s="14">
        <f t="shared" si="274"/>
        <v>0</v>
      </c>
      <c r="Z338" s="14">
        <f t="shared" si="263"/>
        <v>2</v>
      </c>
      <c r="AA338" s="7">
        <v>45450</v>
      </c>
    </row>
    <row r="339" spans="1:27" x14ac:dyDescent="0.15">
      <c r="A339" s="38" t="s">
        <v>35</v>
      </c>
      <c r="B339" s="8"/>
      <c r="C339" s="9"/>
      <c r="D339" s="9"/>
      <c r="E339" s="39"/>
      <c r="F339" s="14">
        <f t="shared" si="275"/>
        <v>0</v>
      </c>
      <c r="G339" s="9"/>
      <c r="H339" s="9"/>
      <c r="I339" s="9">
        <v>1</v>
      </c>
      <c r="J339" s="39"/>
      <c r="K339" s="14">
        <f t="shared" si="276"/>
        <v>1</v>
      </c>
      <c r="L339" s="14">
        <f t="shared" si="260"/>
        <v>1</v>
      </c>
      <c r="M339" s="7">
        <v>45441</v>
      </c>
      <c r="O339" s="35" t="s">
        <v>119</v>
      </c>
      <c r="P339" s="8">
        <v>6</v>
      </c>
      <c r="Q339" s="9">
        <v>6</v>
      </c>
      <c r="R339" s="9">
        <v>6</v>
      </c>
      <c r="S339" s="39">
        <v>4</v>
      </c>
      <c r="T339" s="14">
        <f t="shared" si="273"/>
        <v>22</v>
      </c>
      <c r="U339" s="9"/>
      <c r="V339" s="9"/>
      <c r="W339" s="9"/>
      <c r="X339" s="39"/>
      <c r="Y339" s="14">
        <f t="shared" si="274"/>
        <v>0</v>
      </c>
      <c r="Z339" s="14">
        <f t="shared" si="263"/>
        <v>22</v>
      </c>
      <c r="AA339" s="7">
        <v>45453</v>
      </c>
    </row>
    <row r="340" spans="1:27" x14ac:dyDescent="0.15">
      <c r="A340" s="38" t="s">
        <v>35</v>
      </c>
      <c r="B340" s="8"/>
      <c r="C340" s="9"/>
      <c r="D340" s="9"/>
      <c r="E340" s="39"/>
      <c r="F340" s="14">
        <f t="shared" si="275"/>
        <v>0</v>
      </c>
      <c r="G340" s="9"/>
      <c r="H340" s="9">
        <v>1</v>
      </c>
      <c r="I340" s="9"/>
      <c r="J340" s="39"/>
      <c r="K340" s="14">
        <f t="shared" si="276"/>
        <v>1</v>
      </c>
      <c r="L340" s="14">
        <f t="shared" si="260"/>
        <v>1</v>
      </c>
      <c r="M340" s="7">
        <v>45444</v>
      </c>
      <c r="O340" s="35" t="s">
        <v>31</v>
      </c>
      <c r="P340" s="8"/>
      <c r="Q340" s="9"/>
      <c r="R340" s="9"/>
      <c r="S340" s="39"/>
      <c r="T340" s="14">
        <f t="shared" si="273"/>
        <v>0</v>
      </c>
      <c r="U340" s="9"/>
      <c r="V340" s="9">
        <v>5</v>
      </c>
      <c r="W340" s="9"/>
      <c r="X340" s="39"/>
      <c r="Y340" s="14">
        <f t="shared" si="274"/>
        <v>5</v>
      </c>
      <c r="Z340" s="14">
        <f t="shared" si="263"/>
        <v>5</v>
      </c>
      <c r="AA340" s="7">
        <v>45450</v>
      </c>
    </row>
    <row r="341" spans="1:27" x14ac:dyDescent="0.15">
      <c r="A341" s="38" t="s">
        <v>35</v>
      </c>
      <c r="B341" s="8"/>
      <c r="C341" s="9"/>
      <c r="D341" s="9"/>
      <c r="E341" s="39">
        <v>1</v>
      </c>
      <c r="F341" s="14">
        <f t="shared" si="275"/>
        <v>1</v>
      </c>
      <c r="G341" s="9"/>
      <c r="H341" s="9">
        <v>1</v>
      </c>
      <c r="I341" s="9">
        <v>1</v>
      </c>
      <c r="J341" s="39"/>
      <c r="K341" s="14">
        <f t="shared" si="276"/>
        <v>2</v>
      </c>
      <c r="L341" s="14">
        <f t="shared" si="260"/>
        <v>3</v>
      </c>
      <c r="M341" s="7">
        <v>45446</v>
      </c>
      <c r="O341" s="35" t="s">
        <v>31</v>
      </c>
      <c r="P341" s="8">
        <v>3</v>
      </c>
      <c r="Q341" s="9">
        <v>3</v>
      </c>
      <c r="R341" s="9"/>
      <c r="S341" s="39">
        <v>3</v>
      </c>
      <c r="T341" s="14">
        <f t="shared" si="273"/>
        <v>9</v>
      </c>
      <c r="U341" s="9"/>
      <c r="V341" s="9"/>
      <c r="W341" s="9">
        <v>3</v>
      </c>
      <c r="X341" s="39"/>
      <c r="Y341" s="14">
        <f t="shared" si="274"/>
        <v>3</v>
      </c>
      <c r="Z341" s="14">
        <f t="shared" si="263"/>
        <v>12</v>
      </c>
      <c r="AA341" s="7">
        <v>45453</v>
      </c>
    </row>
    <row r="342" spans="1:27" x14ac:dyDescent="0.15">
      <c r="A342" s="38" t="s">
        <v>35</v>
      </c>
      <c r="B342" s="8">
        <v>1</v>
      </c>
      <c r="C342" s="9"/>
      <c r="D342" s="9"/>
      <c r="E342" s="39"/>
      <c r="F342" s="14">
        <f t="shared" si="275"/>
        <v>1</v>
      </c>
      <c r="G342" s="9"/>
      <c r="H342" s="9"/>
      <c r="I342" s="9"/>
      <c r="J342" s="39"/>
      <c r="K342" s="14">
        <f t="shared" si="276"/>
        <v>0</v>
      </c>
      <c r="L342" s="14">
        <f t="shared" si="260"/>
        <v>1</v>
      </c>
      <c r="M342" s="7">
        <v>45448</v>
      </c>
      <c r="O342" s="35" t="s">
        <v>31</v>
      </c>
      <c r="P342" s="8"/>
      <c r="Q342" s="9"/>
      <c r="R342" s="9"/>
      <c r="S342" s="39"/>
      <c r="T342" s="14">
        <f t="shared" si="273"/>
        <v>0</v>
      </c>
      <c r="U342" s="9"/>
      <c r="V342" s="9"/>
      <c r="W342" s="9"/>
      <c r="X342" s="39">
        <v>5</v>
      </c>
      <c r="Y342" s="14">
        <f t="shared" si="274"/>
        <v>5</v>
      </c>
      <c r="Z342" s="14">
        <f t="shared" si="263"/>
        <v>5</v>
      </c>
      <c r="AA342" s="7">
        <v>45454</v>
      </c>
    </row>
    <row r="343" spans="1:27" x14ac:dyDescent="0.15">
      <c r="A343" s="38" t="s">
        <v>35</v>
      </c>
      <c r="B343" s="8">
        <v>1</v>
      </c>
      <c r="C343" s="9">
        <f>1+1</f>
        <v>2</v>
      </c>
      <c r="D343" s="9"/>
      <c r="E343" s="39">
        <v>1</v>
      </c>
      <c r="F343" s="14">
        <f t="shared" si="275"/>
        <v>4</v>
      </c>
      <c r="G343" s="9"/>
      <c r="H343" s="9">
        <v>2</v>
      </c>
      <c r="I343" s="9"/>
      <c r="J343" s="39"/>
      <c r="K343" s="14">
        <f t="shared" si="276"/>
        <v>2</v>
      </c>
      <c r="L343" s="14">
        <f t="shared" si="260"/>
        <v>6</v>
      </c>
      <c r="M343" s="7">
        <v>45449</v>
      </c>
      <c r="O343" s="35" t="s">
        <v>68</v>
      </c>
      <c r="P343" s="8"/>
      <c r="Q343" s="9"/>
      <c r="R343" s="9">
        <v>1</v>
      </c>
      <c r="S343" s="39">
        <v>2</v>
      </c>
      <c r="T343" s="14">
        <f t="shared" si="273"/>
        <v>3</v>
      </c>
      <c r="U343" s="9"/>
      <c r="V343" s="9"/>
      <c r="W343" s="9"/>
      <c r="X343" s="39"/>
      <c r="Y343" s="14">
        <f t="shared" si="274"/>
        <v>0</v>
      </c>
      <c r="Z343" s="14">
        <f t="shared" si="263"/>
        <v>3</v>
      </c>
      <c r="AA343" s="7">
        <v>45460</v>
      </c>
    </row>
    <row r="344" spans="1:27" x14ac:dyDescent="0.15">
      <c r="A344" s="38" t="s">
        <v>40</v>
      </c>
      <c r="B344" s="8"/>
      <c r="C344" s="9"/>
      <c r="D344" s="9"/>
      <c r="E344" s="39"/>
      <c r="F344" s="14">
        <f t="shared" si="275"/>
        <v>0</v>
      </c>
      <c r="G344" s="9"/>
      <c r="H344" s="9">
        <v>-5</v>
      </c>
      <c r="I344" s="9"/>
      <c r="J344" s="39"/>
      <c r="K344" s="14">
        <f t="shared" si="276"/>
        <v>-5</v>
      </c>
      <c r="L344" s="14">
        <f t="shared" si="260"/>
        <v>-5</v>
      </c>
      <c r="M344" s="7">
        <v>45450</v>
      </c>
      <c r="O344" s="35"/>
      <c r="P344" s="8"/>
      <c r="Q344" s="9"/>
      <c r="R344" s="9"/>
      <c r="S344" s="39"/>
      <c r="T344" s="14">
        <f t="shared" si="273"/>
        <v>0</v>
      </c>
      <c r="U344" s="9"/>
      <c r="V344" s="9"/>
      <c r="W344" s="9"/>
      <c r="X344" s="39"/>
      <c r="Y344" s="14">
        <f t="shared" si="274"/>
        <v>0</v>
      </c>
      <c r="Z344" s="14">
        <f t="shared" si="263"/>
        <v>0</v>
      </c>
    </row>
    <row r="345" spans="1:27" x14ac:dyDescent="0.15">
      <c r="A345" s="38" t="s">
        <v>40</v>
      </c>
      <c r="B345" s="8">
        <v>-3</v>
      </c>
      <c r="C345" s="9">
        <v>-3</v>
      </c>
      <c r="D345" s="9"/>
      <c r="E345" s="39">
        <v>-3</v>
      </c>
      <c r="F345" s="14">
        <f t="shared" si="275"/>
        <v>-9</v>
      </c>
      <c r="G345" s="9"/>
      <c r="H345" s="9"/>
      <c r="I345" s="9">
        <v>-3</v>
      </c>
      <c r="J345" s="39"/>
      <c r="K345" s="14">
        <f t="shared" si="276"/>
        <v>-3</v>
      </c>
      <c r="L345" s="14">
        <f t="shared" si="260"/>
        <v>-12</v>
      </c>
      <c r="M345" s="7">
        <v>45453</v>
      </c>
      <c r="O345" s="35"/>
      <c r="P345" s="8"/>
      <c r="Q345" s="9"/>
      <c r="R345" s="9"/>
      <c r="S345" s="39"/>
      <c r="T345" s="14">
        <f t="shared" ref="T345:T348" si="277">SUM(P345:S345)</f>
        <v>0</v>
      </c>
      <c r="U345" s="9"/>
      <c r="V345" s="9"/>
      <c r="W345" s="9"/>
      <c r="X345" s="39"/>
      <c r="Y345" s="14">
        <f t="shared" ref="Y345:Y348" si="278">SUM(U345:X345)</f>
        <v>0</v>
      </c>
      <c r="Z345" s="14">
        <f t="shared" ref="Z345:Z348" si="279">T345+Y345</f>
        <v>0</v>
      </c>
    </row>
    <row r="346" spans="1:27" x14ac:dyDescent="0.15">
      <c r="A346" s="38" t="s">
        <v>35</v>
      </c>
      <c r="B346" s="8"/>
      <c r="C346" s="9"/>
      <c r="D346" s="9"/>
      <c r="E346" s="39"/>
      <c r="F346" s="14">
        <f t="shared" si="275"/>
        <v>0</v>
      </c>
      <c r="G346" s="9"/>
      <c r="H346" s="9">
        <v>1</v>
      </c>
      <c r="I346" s="9">
        <v>1</v>
      </c>
      <c r="J346" s="39">
        <v>4</v>
      </c>
      <c r="K346" s="14">
        <f t="shared" si="276"/>
        <v>6</v>
      </c>
      <c r="L346" s="14">
        <f t="shared" si="260"/>
        <v>6</v>
      </c>
      <c r="M346" s="7">
        <v>45453</v>
      </c>
      <c r="O346" s="35"/>
      <c r="P346" s="8"/>
      <c r="Q346" s="9"/>
      <c r="R346" s="9"/>
      <c r="S346" s="39"/>
      <c r="T346" s="14">
        <f t="shared" si="277"/>
        <v>0</v>
      </c>
      <c r="U346" s="9"/>
      <c r="V346" s="9"/>
      <c r="W346" s="9"/>
      <c r="X346" s="39"/>
      <c r="Y346" s="14">
        <f t="shared" si="278"/>
        <v>0</v>
      </c>
      <c r="Z346" s="14">
        <f t="shared" si="279"/>
        <v>0</v>
      </c>
    </row>
    <row r="347" spans="1:27" x14ac:dyDescent="0.15">
      <c r="A347" s="38" t="s">
        <v>40</v>
      </c>
      <c r="B347" s="8"/>
      <c r="C347" s="9"/>
      <c r="D347" s="9"/>
      <c r="E347" s="39"/>
      <c r="F347" s="14">
        <f t="shared" si="275"/>
        <v>0</v>
      </c>
      <c r="G347" s="9"/>
      <c r="H347" s="9"/>
      <c r="I347" s="9"/>
      <c r="J347" s="39">
        <v>-5</v>
      </c>
      <c r="K347" s="14">
        <f t="shared" si="276"/>
        <v>-5</v>
      </c>
      <c r="L347" s="14">
        <f t="shared" si="260"/>
        <v>-5</v>
      </c>
      <c r="M347" s="7">
        <v>45454</v>
      </c>
      <c r="O347" s="35"/>
      <c r="P347" s="8"/>
      <c r="Q347" s="9"/>
      <c r="R347" s="9"/>
      <c r="S347" s="39"/>
      <c r="T347" s="14">
        <f t="shared" si="277"/>
        <v>0</v>
      </c>
      <c r="U347" s="9"/>
      <c r="V347" s="9"/>
      <c r="W347" s="9"/>
      <c r="X347" s="39"/>
      <c r="Y347" s="14">
        <f t="shared" si="278"/>
        <v>0</v>
      </c>
      <c r="Z347" s="14">
        <f t="shared" si="279"/>
        <v>0</v>
      </c>
    </row>
    <row r="348" spans="1:27" ht="14.25" thickBot="1" x14ac:dyDescent="0.2">
      <c r="A348" s="35" t="s">
        <v>38</v>
      </c>
      <c r="B348" s="15"/>
      <c r="C348" s="16">
        <v>-1</v>
      </c>
      <c r="D348" s="16"/>
      <c r="E348" s="58"/>
      <c r="F348" s="56">
        <f t="shared" si="275"/>
        <v>-1</v>
      </c>
      <c r="G348" s="16"/>
      <c r="H348" s="16"/>
      <c r="I348" s="16"/>
      <c r="J348" s="58"/>
      <c r="K348" s="56">
        <f t="shared" si="276"/>
        <v>0</v>
      </c>
      <c r="L348" s="59">
        <f t="shared" si="260"/>
        <v>-1</v>
      </c>
      <c r="M348" s="7">
        <v>45453</v>
      </c>
      <c r="O348" s="35"/>
      <c r="P348" s="8"/>
      <c r="Q348" s="9"/>
      <c r="R348" s="9"/>
      <c r="S348" s="39"/>
      <c r="T348" s="14">
        <f t="shared" si="277"/>
        <v>0</v>
      </c>
      <c r="U348" s="9"/>
      <c r="V348" s="9"/>
      <c r="W348" s="9"/>
      <c r="X348" s="39"/>
      <c r="Y348" s="14">
        <f t="shared" si="278"/>
        <v>0</v>
      </c>
      <c r="Z348" s="14">
        <f t="shared" si="279"/>
        <v>0</v>
      </c>
    </row>
    <row r="349" spans="1:27" ht="14.25" thickBot="1" x14ac:dyDescent="0.2">
      <c r="A349" s="3" t="s">
        <v>7</v>
      </c>
      <c r="B349" s="17">
        <f t="shared" ref="B349:E349" si="280">SUM(B323:B348)</f>
        <v>3</v>
      </c>
      <c r="C349" s="18">
        <f t="shared" si="280"/>
        <v>5</v>
      </c>
      <c r="D349" s="18">
        <f t="shared" si="280"/>
        <v>1</v>
      </c>
      <c r="E349" s="40">
        <f t="shared" si="280"/>
        <v>1</v>
      </c>
      <c r="F349" s="11">
        <f t="shared" si="275"/>
        <v>10</v>
      </c>
      <c r="G349" s="17">
        <f t="shared" ref="G349:J349" si="281">SUM(G323:G348)</f>
        <v>-1</v>
      </c>
      <c r="H349" s="18">
        <f t="shared" si="281"/>
        <v>0</v>
      </c>
      <c r="I349" s="18">
        <f t="shared" si="281"/>
        <v>0</v>
      </c>
      <c r="J349" s="40">
        <f t="shared" si="281"/>
        <v>1</v>
      </c>
      <c r="K349" s="11">
        <f t="shared" si="276"/>
        <v>0</v>
      </c>
      <c r="L349" s="11">
        <f t="shared" si="260"/>
        <v>10</v>
      </c>
      <c r="O349" s="3" t="s">
        <v>7</v>
      </c>
      <c r="P349" s="17">
        <f t="shared" ref="P349:S349" si="282">SUM(P323:P348)</f>
        <v>31</v>
      </c>
      <c r="Q349" s="18">
        <f t="shared" si="282"/>
        <v>54</v>
      </c>
      <c r="R349" s="18">
        <f t="shared" si="282"/>
        <v>24</v>
      </c>
      <c r="S349" s="40">
        <f t="shared" si="282"/>
        <v>17</v>
      </c>
      <c r="T349" s="11">
        <f t="shared" si="273"/>
        <v>126</v>
      </c>
      <c r="U349" s="17">
        <f t="shared" ref="U349:X349" si="283">SUM(U323:U348)</f>
        <v>12</v>
      </c>
      <c r="V349" s="18">
        <f t="shared" si="283"/>
        <v>17</v>
      </c>
      <c r="W349" s="18">
        <f t="shared" si="283"/>
        <v>9</v>
      </c>
      <c r="X349" s="40">
        <f t="shared" si="283"/>
        <v>9</v>
      </c>
      <c r="Y349" s="11">
        <f t="shared" si="274"/>
        <v>47</v>
      </c>
      <c r="Z349" s="11">
        <f t="shared" si="263"/>
        <v>173</v>
      </c>
    </row>
    <row r="350" spans="1:27" ht="14.25" thickBot="1" x14ac:dyDescent="0.2">
      <c r="A350" s="19" t="s">
        <v>8</v>
      </c>
      <c r="B350" s="20">
        <f t="shared" ref="B350:E350" si="284">B322-B349</f>
        <v>6</v>
      </c>
      <c r="C350" s="21">
        <f t="shared" si="284"/>
        <v>6</v>
      </c>
      <c r="D350" s="21">
        <f t="shared" si="284"/>
        <v>5</v>
      </c>
      <c r="E350" s="22">
        <f t="shared" si="284"/>
        <v>5</v>
      </c>
      <c r="F350" s="11">
        <f t="shared" si="275"/>
        <v>22</v>
      </c>
      <c r="G350" s="20">
        <f t="shared" ref="G350:J350" si="285">G322-G349</f>
        <v>5</v>
      </c>
      <c r="H350" s="21">
        <f t="shared" si="285"/>
        <v>5</v>
      </c>
      <c r="I350" s="21">
        <f t="shared" si="285"/>
        <v>5</v>
      </c>
      <c r="J350" s="51">
        <f t="shared" si="285"/>
        <v>5</v>
      </c>
      <c r="K350" s="11">
        <f t="shared" si="276"/>
        <v>20</v>
      </c>
      <c r="L350" s="53">
        <f t="shared" si="260"/>
        <v>42</v>
      </c>
      <c r="O350" s="19" t="s">
        <v>8</v>
      </c>
      <c r="P350" s="20">
        <f t="shared" ref="P350:S350" si="286">P322-P349</f>
        <v>379</v>
      </c>
      <c r="Q350" s="21">
        <f t="shared" si="286"/>
        <v>373</v>
      </c>
      <c r="R350" s="21">
        <f t="shared" si="286"/>
        <v>256</v>
      </c>
      <c r="S350" s="22">
        <f t="shared" si="286"/>
        <v>262</v>
      </c>
      <c r="T350" s="11">
        <f t="shared" si="273"/>
        <v>1270</v>
      </c>
      <c r="U350" s="20">
        <f t="shared" ref="U350:X350" si="287">U322-U349</f>
        <v>70</v>
      </c>
      <c r="V350" s="21">
        <f t="shared" si="287"/>
        <v>85</v>
      </c>
      <c r="W350" s="21">
        <f t="shared" si="287"/>
        <v>60</v>
      </c>
      <c r="X350" s="51">
        <f t="shared" si="287"/>
        <v>57</v>
      </c>
      <c r="Y350" s="11">
        <f t="shared" si="274"/>
        <v>272</v>
      </c>
      <c r="Z350" s="53">
        <f t="shared" si="263"/>
        <v>1542</v>
      </c>
    </row>
    <row r="351" spans="1:27" x14ac:dyDescent="0.15"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</row>
    <row r="353" spans="1:27" ht="19.5" thickBot="1" x14ac:dyDescent="0.25">
      <c r="A353" s="1" t="s">
        <v>19</v>
      </c>
      <c r="C353" s="164" t="s">
        <v>20</v>
      </c>
      <c r="D353" s="164"/>
      <c r="O353" s="1" t="s">
        <v>21</v>
      </c>
      <c r="S353" s="164" t="s">
        <v>20</v>
      </c>
      <c r="T353" s="164"/>
    </row>
    <row r="354" spans="1:27" ht="14.25" thickBot="1" x14ac:dyDescent="0.2">
      <c r="A354" s="3" t="s">
        <v>0</v>
      </c>
      <c r="B354" s="165" t="s">
        <v>15</v>
      </c>
      <c r="C354" s="166"/>
      <c r="D354" s="166"/>
      <c r="E354" s="166"/>
      <c r="F354" s="167"/>
      <c r="G354" s="168" t="s">
        <v>18</v>
      </c>
      <c r="H354" s="169"/>
      <c r="I354" s="169"/>
      <c r="J354" s="169"/>
      <c r="K354" s="170"/>
      <c r="L354" s="47"/>
      <c r="O354" s="3" t="s">
        <v>0</v>
      </c>
      <c r="P354" s="165" t="s">
        <v>15</v>
      </c>
      <c r="Q354" s="166"/>
      <c r="R354" s="166"/>
      <c r="S354" s="166"/>
      <c r="T354" s="167"/>
      <c r="U354" s="168" t="s">
        <v>18</v>
      </c>
      <c r="V354" s="169"/>
      <c r="W354" s="169"/>
      <c r="X354" s="169"/>
      <c r="Y354" s="170"/>
      <c r="Z354" s="47"/>
    </row>
    <row r="355" spans="1:27" ht="14.25" thickBot="1" x14ac:dyDescent="0.2">
      <c r="A355" s="3" t="s">
        <v>1</v>
      </c>
      <c r="B355" s="23" t="s">
        <v>11</v>
      </c>
      <c r="C355" s="24" t="s">
        <v>12</v>
      </c>
      <c r="D355" s="24" t="s">
        <v>13</v>
      </c>
      <c r="E355" s="25" t="s">
        <v>14</v>
      </c>
      <c r="F355" s="48" t="s">
        <v>2</v>
      </c>
      <c r="G355" s="23" t="s">
        <v>11</v>
      </c>
      <c r="H355" s="24" t="s">
        <v>12</v>
      </c>
      <c r="I355" s="24" t="s">
        <v>13</v>
      </c>
      <c r="J355" s="25" t="s">
        <v>14</v>
      </c>
      <c r="K355" s="48" t="s">
        <v>2</v>
      </c>
      <c r="L355" s="48" t="s">
        <v>17</v>
      </c>
      <c r="O355" s="3" t="s">
        <v>1</v>
      </c>
      <c r="P355" s="23" t="s">
        <v>11</v>
      </c>
      <c r="Q355" s="24" t="s">
        <v>12</v>
      </c>
      <c r="R355" s="24" t="s">
        <v>13</v>
      </c>
      <c r="S355" s="25" t="s">
        <v>14</v>
      </c>
      <c r="T355" s="48" t="s">
        <v>2</v>
      </c>
      <c r="U355" s="23" t="s">
        <v>11</v>
      </c>
      <c r="V355" s="24" t="s">
        <v>12</v>
      </c>
      <c r="W355" s="24" t="s">
        <v>13</v>
      </c>
      <c r="X355" s="25" t="s">
        <v>14</v>
      </c>
      <c r="Y355" s="48" t="s">
        <v>2</v>
      </c>
      <c r="Z355" s="48" t="s">
        <v>17</v>
      </c>
    </row>
    <row r="356" spans="1:27" x14ac:dyDescent="0.15">
      <c r="A356" s="116" t="s">
        <v>9</v>
      </c>
      <c r="B356" s="113">
        <f>B350</f>
        <v>6</v>
      </c>
      <c r="C356" s="27">
        <f>C350</f>
        <v>6</v>
      </c>
      <c r="D356" s="27">
        <f>D350</f>
        <v>5</v>
      </c>
      <c r="E356" s="42">
        <f>E350</f>
        <v>5</v>
      </c>
      <c r="F356" s="28">
        <f>SUM(B356:E356)</f>
        <v>22</v>
      </c>
      <c r="G356" s="113">
        <f>G350</f>
        <v>5</v>
      </c>
      <c r="H356" s="27">
        <f>H350</f>
        <v>5</v>
      </c>
      <c r="I356" s="27">
        <f>I350</f>
        <v>5</v>
      </c>
      <c r="J356" s="42">
        <f>J350</f>
        <v>5</v>
      </c>
      <c r="K356" s="28">
        <f>SUM(G356:J356)</f>
        <v>20</v>
      </c>
      <c r="L356" s="114">
        <f>F356+K356</f>
        <v>42</v>
      </c>
      <c r="O356" s="54" t="s">
        <v>9</v>
      </c>
      <c r="P356" s="26">
        <f>P350</f>
        <v>379</v>
      </c>
      <c r="Q356" s="27">
        <f>Q350</f>
        <v>373</v>
      </c>
      <c r="R356" s="27">
        <f>R350</f>
        <v>256</v>
      </c>
      <c r="S356" s="42">
        <f>S350</f>
        <v>262</v>
      </c>
      <c r="T356" s="28">
        <f>SUM(P356:S356)</f>
        <v>1270</v>
      </c>
      <c r="U356" s="26">
        <f>U350</f>
        <v>70</v>
      </c>
      <c r="V356" s="27">
        <f>V350</f>
        <v>85</v>
      </c>
      <c r="W356" s="27">
        <f>W350</f>
        <v>60</v>
      </c>
      <c r="X356" s="42">
        <f>X350</f>
        <v>57</v>
      </c>
      <c r="Y356" s="52">
        <f>SUM(U356:X356)</f>
        <v>272</v>
      </c>
      <c r="Z356" s="28">
        <f>T356+Y356</f>
        <v>1542</v>
      </c>
    </row>
    <row r="357" spans="1:27" x14ac:dyDescent="0.15">
      <c r="A357" s="35" t="s">
        <v>38</v>
      </c>
      <c r="B357" s="9"/>
      <c r="C357" s="29">
        <v>1</v>
      </c>
      <c r="D357" s="29">
        <v>4</v>
      </c>
      <c r="E357" s="43">
        <v>1</v>
      </c>
      <c r="F357" s="14">
        <f t="shared" ref="F357:F360" si="288">SUM(B357:E357)</f>
        <v>6</v>
      </c>
      <c r="G357" s="9"/>
      <c r="H357" s="29"/>
      <c r="I357" s="29"/>
      <c r="J357" s="43"/>
      <c r="K357" s="14">
        <f t="shared" ref="K357:K360" si="289">SUM(G357:J357)</f>
        <v>0</v>
      </c>
      <c r="L357" s="125">
        <f t="shared" ref="L357:L389" si="290">F357+K357</f>
        <v>6</v>
      </c>
      <c r="M357" s="7">
        <v>45455</v>
      </c>
      <c r="O357" s="33" t="s">
        <v>10</v>
      </c>
      <c r="P357" s="9"/>
      <c r="Q357" s="29"/>
      <c r="R357" s="29"/>
      <c r="S357" s="43"/>
      <c r="T357" s="14">
        <f t="shared" ref="T357:T360" si="291">SUM(P357:S357)</f>
        <v>0</v>
      </c>
      <c r="U357" s="9"/>
      <c r="V357" s="29"/>
      <c r="W357" s="29"/>
      <c r="X357" s="43"/>
      <c r="Y357" s="14">
        <f t="shared" ref="Y357:Y360" si="292">SUM(U357:X357)</f>
        <v>0</v>
      </c>
      <c r="Z357" s="125">
        <f t="shared" ref="Z357:Z360" si="293">T357+Y357</f>
        <v>0</v>
      </c>
      <c r="AA357" s="7"/>
    </row>
    <row r="358" spans="1:27" x14ac:dyDescent="0.15">
      <c r="A358" s="33" t="s">
        <v>3</v>
      </c>
      <c r="B358" s="9"/>
      <c r="C358" s="29"/>
      <c r="D358" s="29"/>
      <c r="E358" s="43"/>
      <c r="F358" s="14">
        <f t="shared" si="288"/>
        <v>0</v>
      </c>
      <c r="G358" s="9"/>
      <c r="H358" s="29">
        <v>3</v>
      </c>
      <c r="I358" s="29">
        <v>3</v>
      </c>
      <c r="J358" s="43">
        <v>5</v>
      </c>
      <c r="K358" s="14">
        <f t="shared" si="289"/>
        <v>11</v>
      </c>
      <c r="L358" s="125">
        <f t="shared" si="290"/>
        <v>11</v>
      </c>
      <c r="M358" s="7">
        <v>45468</v>
      </c>
      <c r="O358" s="33" t="s">
        <v>3</v>
      </c>
      <c r="P358" s="122"/>
      <c r="Q358" s="119"/>
      <c r="R358" s="119"/>
      <c r="S358" s="120"/>
      <c r="T358" s="14">
        <f t="shared" si="291"/>
        <v>0</v>
      </c>
      <c r="U358" s="122"/>
      <c r="V358" s="119"/>
      <c r="W358" s="119"/>
      <c r="X358" s="120"/>
      <c r="Y358" s="14">
        <f t="shared" si="292"/>
        <v>0</v>
      </c>
      <c r="Z358" s="125">
        <f t="shared" si="293"/>
        <v>0</v>
      </c>
      <c r="AA358" s="7"/>
    </row>
    <row r="359" spans="1:27" x14ac:dyDescent="0.15">
      <c r="A359" s="33" t="s">
        <v>4</v>
      </c>
      <c r="B359" s="9"/>
      <c r="C359" s="29">
        <v>3</v>
      </c>
      <c r="D359" s="29">
        <v>3</v>
      </c>
      <c r="E359" s="43"/>
      <c r="F359" s="14">
        <f t="shared" si="288"/>
        <v>6</v>
      </c>
      <c r="G359" s="9"/>
      <c r="H359" s="29"/>
      <c r="I359" s="29">
        <v>3</v>
      </c>
      <c r="J359" s="43">
        <v>3</v>
      </c>
      <c r="K359" s="14">
        <f t="shared" si="289"/>
        <v>6</v>
      </c>
      <c r="L359" s="125">
        <f t="shared" si="290"/>
        <v>12</v>
      </c>
      <c r="M359" s="7">
        <v>45470</v>
      </c>
      <c r="O359" s="33" t="s">
        <v>4</v>
      </c>
      <c r="P359" s="122"/>
      <c r="Q359" s="119"/>
      <c r="R359" s="119"/>
      <c r="S359" s="120"/>
      <c r="T359" s="14">
        <f t="shared" si="291"/>
        <v>0</v>
      </c>
      <c r="U359" s="122"/>
      <c r="V359" s="119"/>
      <c r="W359" s="119"/>
      <c r="X359" s="120"/>
      <c r="Y359" s="14">
        <f t="shared" si="292"/>
        <v>0</v>
      </c>
      <c r="Z359" s="125">
        <f t="shared" si="293"/>
        <v>0</v>
      </c>
      <c r="AA359" s="7"/>
    </row>
    <row r="360" spans="1:27" ht="14.25" thickBot="1" x14ac:dyDescent="0.2">
      <c r="A360" s="33" t="s">
        <v>5</v>
      </c>
      <c r="B360" s="112"/>
      <c r="C360" s="31">
        <v>3</v>
      </c>
      <c r="D360" s="31"/>
      <c r="E360" s="45"/>
      <c r="F360" s="56">
        <f t="shared" si="288"/>
        <v>3</v>
      </c>
      <c r="G360" s="112">
        <v>3</v>
      </c>
      <c r="H360" s="31"/>
      <c r="I360" s="31"/>
      <c r="J360" s="45"/>
      <c r="K360" s="56">
        <f t="shared" si="289"/>
        <v>3</v>
      </c>
      <c r="L360" s="130">
        <f t="shared" si="290"/>
        <v>6</v>
      </c>
      <c r="M360" s="7">
        <v>45475</v>
      </c>
      <c r="O360" s="35" t="s">
        <v>5</v>
      </c>
      <c r="P360" s="135"/>
      <c r="Q360" s="136"/>
      <c r="R360" s="136"/>
      <c r="S360" s="137"/>
      <c r="T360" s="59">
        <f t="shared" si="291"/>
        <v>0</v>
      </c>
      <c r="U360" s="135"/>
      <c r="V360" s="136"/>
      <c r="W360" s="136"/>
      <c r="X360" s="137"/>
      <c r="Y360" s="59">
        <f t="shared" si="292"/>
        <v>0</v>
      </c>
      <c r="Z360" s="138">
        <f t="shared" si="293"/>
        <v>0</v>
      </c>
      <c r="AA360" s="7"/>
    </row>
    <row r="361" spans="1:27" ht="14.25" thickBot="1" x14ac:dyDescent="0.2">
      <c r="A361" s="127" t="s">
        <v>6</v>
      </c>
      <c r="B361" s="30">
        <f>SUM(B356:B360)</f>
        <v>6</v>
      </c>
      <c r="C361" s="31">
        <f>SUM(C356:C360)</f>
        <v>13</v>
      </c>
      <c r="D361" s="31">
        <f>SUM(D356:D360)</f>
        <v>12</v>
      </c>
      <c r="E361" s="45">
        <f>SUM(E356:E360)</f>
        <v>6</v>
      </c>
      <c r="F361" s="110">
        <f>SUM(B361:E361)</f>
        <v>37</v>
      </c>
      <c r="G361" s="41">
        <f>SUM(G356:G360)</f>
        <v>8</v>
      </c>
      <c r="H361" s="31">
        <f>SUM(H356:H360)</f>
        <v>8</v>
      </c>
      <c r="I361" s="31">
        <f>SUM(I356:I360)</f>
        <v>11</v>
      </c>
      <c r="J361" s="45">
        <f>SUM(J356:J360)</f>
        <v>13</v>
      </c>
      <c r="K361" s="110">
        <f>SUM(G361:J361)</f>
        <v>40</v>
      </c>
      <c r="L361" s="53">
        <f t="shared" si="290"/>
        <v>77</v>
      </c>
      <c r="O361" s="2" t="s">
        <v>6</v>
      </c>
      <c r="P361" s="139">
        <f>SUM(P356:P360)</f>
        <v>379</v>
      </c>
      <c r="Q361" s="140">
        <f>SUM(Q356:Q360)</f>
        <v>373</v>
      </c>
      <c r="R361" s="140">
        <f>SUM(R356:R360)</f>
        <v>256</v>
      </c>
      <c r="S361" s="141">
        <f>SUM(S356:S360)</f>
        <v>262</v>
      </c>
      <c r="T361" s="32">
        <f>SUM(P361:S361)</f>
        <v>1270</v>
      </c>
      <c r="U361" s="142">
        <f>SUM(U356:U360)</f>
        <v>70</v>
      </c>
      <c r="V361" s="140">
        <f>SUM(V356:V360)</f>
        <v>85</v>
      </c>
      <c r="W361" s="140">
        <f>SUM(W356:W360)</f>
        <v>60</v>
      </c>
      <c r="X361" s="141">
        <f>SUM(X356:X360)</f>
        <v>57</v>
      </c>
      <c r="Y361" s="32">
        <f>SUM(U361:X361)</f>
        <v>272</v>
      </c>
      <c r="Z361" s="11">
        <f t="shared" ref="Z361:Z389" si="294">T361+Y361</f>
        <v>1542</v>
      </c>
    </row>
    <row r="362" spans="1:27" x14ac:dyDescent="0.15">
      <c r="A362" s="38" t="s">
        <v>35</v>
      </c>
      <c r="B362" s="8"/>
      <c r="C362" s="9"/>
      <c r="D362" s="9"/>
      <c r="E362" s="39"/>
      <c r="F362" s="14">
        <f t="shared" ref="F362:F382" si="295">SUM(B362:E362)</f>
        <v>0</v>
      </c>
      <c r="G362" s="9"/>
      <c r="H362" s="9"/>
      <c r="I362" s="9">
        <v>1</v>
      </c>
      <c r="J362" s="39"/>
      <c r="K362" s="14">
        <f t="shared" ref="K362:K382" si="296">SUM(G362:J362)</f>
        <v>1</v>
      </c>
      <c r="L362" s="14">
        <f t="shared" ref="L362:L382" si="297">F362+K362</f>
        <v>1</v>
      </c>
      <c r="M362" s="7">
        <v>45456</v>
      </c>
      <c r="O362" s="35" t="s">
        <v>119</v>
      </c>
      <c r="P362" s="8"/>
      <c r="Q362" s="9">
        <v>2</v>
      </c>
      <c r="R362" s="9"/>
      <c r="S362" s="39"/>
      <c r="T362" s="14">
        <f t="shared" ref="T362:T380" si="298">SUM(P362:S362)</f>
        <v>2</v>
      </c>
      <c r="U362" s="9"/>
      <c r="V362" s="9"/>
      <c r="W362" s="9"/>
      <c r="X362" s="39"/>
      <c r="Y362" s="14">
        <f t="shared" ref="Y362:Y380" si="299">SUM(U362:X362)</f>
        <v>0</v>
      </c>
      <c r="Z362" s="14">
        <f t="shared" ref="Z362:Z380" si="300">T362+Y362</f>
        <v>2</v>
      </c>
      <c r="AA362" s="7">
        <v>45462</v>
      </c>
    </row>
    <row r="363" spans="1:27" x14ac:dyDescent="0.15">
      <c r="A363" s="38" t="s">
        <v>35</v>
      </c>
      <c r="B363" s="8"/>
      <c r="C363" s="9"/>
      <c r="D363" s="9"/>
      <c r="E363" s="39"/>
      <c r="F363" s="14">
        <f t="shared" si="295"/>
        <v>0</v>
      </c>
      <c r="G363" s="9"/>
      <c r="H363" s="9">
        <f>1+1</f>
        <v>2</v>
      </c>
      <c r="I363" s="9"/>
      <c r="J363" s="39"/>
      <c r="K363" s="14">
        <f t="shared" si="296"/>
        <v>2</v>
      </c>
      <c r="L363" s="14">
        <f t="shared" si="297"/>
        <v>2</v>
      </c>
      <c r="M363" s="7">
        <v>45457</v>
      </c>
      <c r="O363" s="35" t="s">
        <v>69</v>
      </c>
      <c r="P363" s="8">
        <v>1</v>
      </c>
      <c r="Q363" s="9">
        <v>3</v>
      </c>
      <c r="R363" s="9"/>
      <c r="S363" s="39">
        <v>3</v>
      </c>
      <c r="T363" s="14">
        <f t="shared" si="298"/>
        <v>7</v>
      </c>
      <c r="U363" s="9"/>
      <c r="V363" s="9"/>
      <c r="W363" s="9"/>
      <c r="X363" s="39"/>
      <c r="Y363" s="14">
        <f t="shared" si="299"/>
        <v>0</v>
      </c>
      <c r="Z363" s="14">
        <f t="shared" si="300"/>
        <v>7</v>
      </c>
      <c r="AA363" s="7">
        <v>45467</v>
      </c>
    </row>
    <row r="364" spans="1:27" x14ac:dyDescent="0.15">
      <c r="A364" s="38" t="s">
        <v>35</v>
      </c>
      <c r="B364" s="8"/>
      <c r="C364" s="9"/>
      <c r="D364" s="9">
        <v>1</v>
      </c>
      <c r="E364" s="39"/>
      <c r="F364" s="14">
        <f t="shared" si="295"/>
        <v>1</v>
      </c>
      <c r="G364" s="9"/>
      <c r="H364" s="9"/>
      <c r="I364" s="9"/>
      <c r="J364" s="39"/>
      <c r="K364" s="14">
        <f t="shared" si="296"/>
        <v>0</v>
      </c>
      <c r="L364" s="14">
        <f t="shared" si="297"/>
        <v>1</v>
      </c>
      <c r="M364" s="7">
        <v>45458</v>
      </c>
      <c r="O364" s="35" t="s">
        <v>119</v>
      </c>
      <c r="P364" s="8"/>
      <c r="Q364" s="9">
        <v>3</v>
      </c>
      <c r="R364" s="9"/>
      <c r="S364" s="39"/>
      <c r="T364" s="14">
        <f t="shared" si="298"/>
        <v>3</v>
      </c>
      <c r="U364" s="9"/>
      <c r="V364" s="9"/>
      <c r="W364" s="9"/>
      <c r="X364" s="39"/>
      <c r="Y364" s="14">
        <f t="shared" si="299"/>
        <v>0</v>
      </c>
      <c r="Z364" s="14">
        <f t="shared" si="300"/>
        <v>3</v>
      </c>
      <c r="AA364" s="7">
        <v>45467</v>
      </c>
    </row>
    <row r="365" spans="1:27" x14ac:dyDescent="0.15">
      <c r="A365" s="38" t="s">
        <v>51</v>
      </c>
      <c r="B365" s="8"/>
      <c r="C365" s="9"/>
      <c r="D365" s="9"/>
      <c r="E365" s="39"/>
      <c r="F365" s="14">
        <f t="shared" si="295"/>
        <v>0</v>
      </c>
      <c r="G365" s="9"/>
      <c r="H365" s="9"/>
      <c r="I365" s="9">
        <v>1</v>
      </c>
      <c r="J365" s="39"/>
      <c r="K365" s="14">
        <f t="shared" si="296"/>
        <v>1</v>
      </c>
      <c r="L365" s="14">
        <f t="shared" si="297"/>
        <v>1</v>
      </c>
      <c r="M365" s="7">
        <v>45461</v>
      </c>
      <c r="O365" s="35" t="s">
        <v>119</v>
      </c>
      <c r="P365" s="8">
        <v>2</v>
      </c>
      <c r="Q365" s="9">
        <v>7</v>
      </c>
      <c r="R365" s="9"/>
      <c r="S365" s="39"/>
      <c r="T365" s="14">
        <f t="shared" si="298"/>
        <v>9</v>
      </c>
      <c r="U365" s="9"/>
      <c r="V365" s="9"/>
      <c r="W365" s="9"/>
      <c r="X365" s="39"/>
      <c r="Y365" s="14">
        <f t="shared" si="299"/>
        <v>0</v>
      </c>
      <c r="Z365" s="14">
        <f t="shared" si="300"/>
        <v>9</v>
      </c>
      <c r="AA365" s="7">
        <v>45470</v>
      </c>
    </row>
    <row r="366" spans="1:27" x14ac:dyDescent="0.15">
      <c r="A366" s="38" t="s">
        <v>35</v>
      </c>
      <c r="B366" s="8"/>
      <c r="C366" s="9"/>
      <c r="D366" s="9">
        <v>1</v>
      </c>
      <c r="E366" s="39">
        <v>1</v>
      </c>
      <c r="F366" s="14">
        <f t="shared" si="295"/>
        <v>2</v>
      </c>
      <c r="G366" s="9"/>
      <c r="H366" s="9"/>
      <c r="I366" s="9">
        <v>1</v>
      </c>
      <c r="J366" s="39"/>
      <c r="K366" s="14">
        <f t="shared" si="296"/>
        <v>1</v>
      </c>
      <c r="L366" s="14">
        <f t="shared" si="297"/>
        <v>3</v>
      </c>
      <c r="M366" s="7">
        <v>45460</v>
      </c>
      <c r="O366" s="35" t="s">
        <v>31</v>
      </c>
      <c r="P366" s="8"/>
      <c r="Q366" s="9"/>
      <c r="R366" s="9"/>
      <c r="S366" s="39"/>
      <c r="T366" s="14">
        <f t="shared" si="298"/>
        <v>0</v>
      </c>
      <c r="U366" s="9"/>
      <c r="V366" s="9">
        <v>3</v>
      </c>
      <c r="W366" s="9">
        <v>3</v>
      </c>
      <c r="X366" s="39">
        <v>5</v>
      </c>
      <c r="Y366" s="14">
        <f t="shared" si="299"/>
        <v>11</v>
      </c>
      <c r="Z366" s="14">
        <f t="shared" si="300"/>
        <v>11</v>
      </c>
      <c r="AA366" s="7">
        <v>45468</v>
      </c>
    </row>
    <row r="367" spans="1:27" x14ac:dyDescent="0.15">
      <c r="A367" s="38" t="s">
        <v>51</v>
      </c>
      <c r="B367" s="8"/>
      <c r="C367" s="9">
        <v>1</v>
      </c>
      <c r="D367" s="9"/>
      <c r="E367" s="39">
        <v>1</v>
      </c>
      <c r="F367" s="14">
        <f t="shared" si="295"/>
        <v>2</v>
      </c>
      <c r="G367" s="9"/>
      <c r="H367" s="9"/>
      <c r="I367" s="9"/>
      <c r="J367" s="39"/>
      <c r="K367" s="14">
        <f t="shared" si="296"/>
        <v>0</v>
      </c>
      <c r="L367" s="14">
        <f t="shared" si="297"/>
        <v>2</v>
      </c>
      <c r="M367" s="7">
        <v>45462</v>
      </c>
      <c r="O367" s="35" t="s">
        <v>119</v>
      </c>
      <c r="P367" s="8">
        <v>4</v>
      </c>
      <c r="Q367" s="9">
        <v>8</v>
      </c>
      <c r="R367" s="9"/>
      <c r="S367" s="39">
        <v>8</v>
      </c>
      <c r="T367" s="14">
        <f t="shared" si="298"/>
        <v>20</v>
      </c>
      <c r="U367" s="9"/>
      <c r="V367" s="9"/>
      <c r="W367" s="9"/>
      <c r="X367" s="39"/>
      <c r="Y367" s="14">
        <f t="shared" si="299"/>
        <v>0</v>
      </c>
      <c r="Z367" s="14">
        <f t="shared" si="300"/>
        <v>20</v>
      </c>
      <c r="AA367" s="7">
        <v>45470</v>
      </c>
    </row>
    <row r="368" spans="1:27" x14ac:dyDescent="0.15">
      <c r="A368" s="38" t="s">
        <v>35</v>
      </c>
      <c r="B368" s="8"/>
      <c r="C368" s="9">
        <v>1</v>
      </c>
      <c r="D368" s="9"/>
      <c r="E368" s="39"/>
      <c r="F368" s="14">
        <f t="shared" si="295"/>
        <v>1</v>
      </c>
      <c r="G368" s="9"/>
      <c r="H368" s="9"/>
      <c r="I368" s="9"/>
      <c r="J368" s="39">
        <v>1</v>
      </c>
      <c r="K368" s="14">
        <f t="shared" si="296"/>
        <v>1</v>
      </c>
      <c r="L368" s="14">
        <f t="shared" si="297"/>
        <v>2</v>
      </c>
      <c r="M368" s="7">
        <v>45464</v>
      </c>
      <c r="O368" s="35" t="s">
        <v>72</v>
      </c>
      <c r="P368" s="8">
        <v>2</v>
      </c>
      <c r="Q368" s="9">
        <v>1</v>
      </c>
      <c r="R368" s="9">
        <v>2</v>
      </c>
      <c r="S368" s="39">
        <v>8</v>
      </c>
      <c r="T368" s="14">
        <f t="shared" si="298"/>
        <v>13</v>
      </c>
      <c r="U368" s="9"/>
      <c r="V368" s="9"/>
      <c r="W368" s="9">
        <v>1</v>
      </c>
      <c r="X368" s="39"/>
      <c r="Y368" s="14">
        <f t="shared" si="299"/>
        <v>1</v>
      </c>
      <c r="Z368" s="14">
        <f t="shared" si="300"/>
        <v>14</v>
      </c>
      <c r="AA368" s="7">
        <v>45471</v>
      </c>
    </row>
    <row r="369" spans="1:27" x14ac:dyDescent="0.15">
      <c r="A369" s="38" t="s">
        <v>35</v>
      </c>
      <c r="B369" s="8"/>
      <c r="C369" s="9"/>
      <c r="D369" s="9"/>
      <c r="E369" s="39"/>
      <c r="F369" s="14">
        <f t="shared" si="295"/>
        <v>0</v>
      </c>
      <c r="G369" s="9"/>
      <c r="H369" s="9"/>
      <c r="I369" s="9"/>
      <c r="J369" s="39">
        <v>4</v>
      </c>
      <c r="K369" s="14">
        <f t="shared" si="296"/>
        <v>4</v>
      </c>
      <c r="L369" s="14">
        <f t="shared" si="297"/>
        <v>4</v>
      </c>
      <c r="M369" s="7">
        <v>45467</v>
      </c>
      <c r="O369" s="35" t="s">
        <v>119</v>
      </c>
      <c r="P369" s="8">
        <v>7</v>
      </c>
      <c r="Q369" s="9"/>
      <c r="R369" s="9">
        <v>6</v>
      </c>
      <c r="S369" s="39"/>
      <c r="T369" s="14">
        <f t="shared" si="298"/>
        <v>13</v>
      </c>
      <c r="U369" s="9"/>
      <c r="V369" s="9"/>
      <c r="W369" s="9"/>
      <c r="X369" s="39"/>
      <c r="Y369" s="14">
        <f t="shared" si="299"/>
        <v>0</v>
      </c>
      <c r="Z369" s="14">
        <f t="shared" si="300"/>
        <v>13</v>
      </c>
      <c r="AA369" s="7">
        <v>45474</v>
      </c>
    </row>
    <row r="370" spans="1:27" x14ac:dyDescent="0.15">
      <c r="A370" s="38" t="s">
        <v>35</v>
      </c>
      <c r="B370" s="8"/>
      <c r="C370" s="9">
        <v>1</v>
      </c>
      <c r="D370" s="9">
        <v>1</v>
      </c>
      <c r="E370" s="39"/>
      <c r="F370" s="14">
        <f t="shared" si="295"/>
        <v>2</v>
      </c>
      <c r="G370" s="9">
        <v>1</v>
      </c>
      <c r="H370" s="9">
        <v>1</v>
      </c>
      <c r="I370" s="9"/>
      <c r="J370" s="39">
        <v>1</v>
      </c>
      <c r="K370" s="14">
        <f t="shared" si="296"/>
        <v>3</v>
      </c>
      <c r="L370" s="14">
        <f t="shared" si="297"/>
        <v>5</v>
      </c>
      <c r="M370" s="7">
        <v>45468</v>
      </c>
      <c r="O370" s="35" t="s">
        <v>31</v>
      </c>
      <c r="P370" s="8"/>
      <c r="Q370" s="9">
        <v>3</v>
      </c>
      <c r="R370" s="9">
        <v>3</v>
      </c>
      <c r="S370" s="39"/>
      <c r="T370" s="14">
        <f t="shared" si="298"/>
        <v>6</v>
      </c>
      <c r="U370" s="9"/>
      <c r="V370" s="9"/>
      <c r="W370" s="9">
        <v>3</v>
      </c>
      <c r="X370" s="39">
        <v>3</v>
      </c>
      <c r="Y370" s="14">
        <f t="shared" si="299"/>
        <v>6</v>
      </c>
      <c r="Z370" s="14">
        <f t="shared" si="300"/>
        <v>12</v>
      </c>
      <c r="AA370" s="7">
        <v>45470</v>
      </c>
    </row>
    <row r="371" spans="1:27" x14ac:dyDescent="0.15">
      <c r="A371" s="38" t="s">
        <v>35</v>
      </c>
      <c r="B371" s="8"/>
      <c r="C371" s="9">
        <f>1+1</f>
        <v>2</v>
      </c>
      <c r="D371" s="9">
        <v>3</v>
      </c>
      <c r="E371" s="39"/>
      <c r="F371" s="14">
        <f t="shared" si="295"/>
        <v>5</v>
      </c>
      <c r="G371" s="9"/>
      <c r="H371" s="9">
        <v>1</v>
      </c>
      <c r="I371" s="9">
        <v>2</v>
      </c>
      <c r="J371" s="39">
        <f>1+1</f>
        <v>2</v>
      </c>
      <c r="K371" s="14">
        <f t="shared" si="296"/>
        <v>5</v>
      </c>
      <c r="L371" s="14">
        <f t="shared" si="297"/>
        <v>10</v>
      </c>
      <c r="M371" s="7">
        <v>45469</v>
      </c>
      <c r="O371" s="35" t="s">
        <v>119</v>
      </c>
      <c r="P371" s="8">
        <v>4</v>
      </c>
      <c r="Q371" s="9">
        <v>9</v>
      </c>
      <c r="R371" s="9"/>
      <c r="S371" s="39"/>
      <c r="T371" s="14">
        <f t="shared" si="298"/>
        <v>13</v>
      </c>
      <c r="U371" s="9"/>
      <c r="V371" s="9"/>
      <c r="W371" s="9"/>
      <c r="X371" s="39"/>
      <c r="Y371" s="14">
        <f t="shared" si="299"/>
        <v>0</v>
      </c>
      <c r="Z371" s="14">
        <f t="shared" si="300"/>
        <v>13</v>
      </c>
      <c r="AA371" s="7">
        <v>45475</v>
      </c>
    </row>
    <row r="372" spans="1:27" x14ac:dyDescent="0.15">
      <c r="A372" s="38" t="s">
        <v>35</v>
      </c>
      <c r="B372" s="8">
        <v>1</v>
      </c>
      <c r="C372" s="9">
        <v>1</v>
      </c>
      <c r="D372" s="9"/>
      <c r="E372" s="39"/>
      <c r="F372" s="14">
        <f t="shared" si="295"/>
        <v>2</v>
      </c>
      <c r="G372" s="9"/>
      <c r="H372" s="9"/>
      <c r="I372" s="9"/>
      <c r="J372" s="39"/>
      <c r="K372" s="14">
        <f t="shared" si="296"/>
        <v>0</v>
      </c>
      <c r="L372" s="14">
        <f t="shared" si="297"/>
        <v>2</v>
      </c>
      <c r="M372" s="7">
        <v>45470</v>
      </c>
      <c r="O372" s="35" t="s">
        <v>119</v>
      </c>
      <c r="P372" s="8"/>
      <c r="Q372" s="9"/>
      <c r="R372" s="9">
        <v>2</v>
      </c>
      <c r="S372" s="39"/>
      <c r="T372" s="14">
        <f t="shared" si="298"/>
        <v>2</v>
      </c>
      <c r="U372" s="9"/>
      <c r="V372" s="9"/>
      <c r="W372" s="9"/>
      <c r="X372" s="39"/>
      <c r="Y372" s="14">
        <f t="shared" si="299"/>
        <v>0</v>
      </c>
      <c r="Z372" s="14">
        <f t="shared" si="300"/>
        <v>2</v>
      </c>
      <c r="AA372" s="7">
        <v>45475</v>
      </c>
    </row>
    <row r="373" spans="1:27" x14ac:dyDescent="0.15">
      <c r="A373" s="38" t="s">
        <v>35</v>
      </c>
      <c r="B373" s="8"/>
      <c r="C373" s="9"/>
      <c r="D373" s="9"/>
      <c r="E373" s="39"/>
      <c r="F373" s="14">
        <f t="shared" si="295"/>
        <v>0</v>
      </c>
      <c r="G373" s="9"/>
      <c r="H373" s="9"/>
      <c r="I373" s="9">
        <v>1</v>
      </c>
      <c r="J373" s="39"/>
      <c r="K373" s="14">
        <f t="shared" si="296"/>
        <v>1</v>
      </c>
      <c r="L373" s="14">
        <f t="shared" si="297"/>
        <v>1</v>
      </c>
      <c r="M373" s="7">
        <v>45471</v>
      </c>
      <c r="O373" s="35" t="s">
        <v>119</v>
      </c>
      <c r="P373" s="8">
        <v>4</v>
      </c>
      <c r="Q373" s="9"/>
      <c r="R373" s="9"/>
      <c r="S373" s="39"/>
      <c r="T373" s="14">
        <f t="shared" si="298"/>
        <v>4</v>
      </c>
      <c r="U373" s="9"/>
      <c r="V373" s="9"/>
      <c r="W373" s="9"/>
      <c r="X373" s="39"/>
      <c r="Y373" s="14">
        <f t="shared" si="299"/>
        <v>0</v>
      </c>
      <c r="Z373" s="14">
        <f t="shared" si="300"/>
        <v>4</v>
      </c>
      <c r="AA373" s="7">
        <v>45475</v>
      </c>
    </row>
    <row r="374" spans="1:27" x14ac:dyDescent="0.15">
      <c r="A374" s="38" t="s">
        <v>35</v>
      </c>
      <c r="B374" s="8"/>
      <c r="C374" s="9">
        <v>1</v>
      </c>
      <c r="D374" s="9">
        <v>1</v>
      </c>
      <c r="E374" s="39"/>
      <c r="F374" s="14">
        <f t="shared" si="295"/>
        <v>2</v>
      </c>
      <c r="G374" s="9"/>
      <c r="H374" s="9"/>
      <c r="I374" s="9"/>
      <c r="J374" s="39"/>
      <c r="K374" s="14">
        <f t="shared" si="296"/>
        <v>0</v>
      </c>
      <c r="L374" s="14">
        <f t="shared" si="297"/>
        <v>2</v>
      </c>
      <c r="M374" s="7">
        <v>45472</v>
      </c>
      <c r="O374" s="35" t="s">
        <v>119</v>
      </c>
      <c r="P374" s="8">
        <v>2</v>
      </c>
      <c r="Q374" s="9"/>
      <c r="R374" s="9"/>
      <c r="S374" s="39"/>
      <c r="T374" s="14">
        <f t="shared" si="298"/>
        <v>2</v>
      </c>
      <c r="U374" s="9"/>
      <c r="V374" s="9"/>
      <c r="W374" s="9"/>
      <c r="X374" s="39"/>
      <c r="Y374" s="14">
        <f t="shared" si="299"/>
        <v>0</v>
      </c>
      <c r="Z374" s="14">
        <f t="shared" si="300"/>
        <v>2</v>
      </c>
      <c r="AA374" s="7">
        <v>45477</v>
      </c>
    </row>
    <row r="375" spans="1:27" x14ac:dyDescent="0.15">
      <c r="A375" s="38" t="s">
        <v>35</v>
      </c>
      <c r="B375" s="8"/>
      <c r="C375" s="9">
        <v>1</v>
      </c>
      <c r="D375" s="9"/>
      <c r="E375" s="39">
        <v>1</v>
      </c>
      <c r="F375" s="14">
        <f t="shared" si="295"/>
        <v>2</v>
      </c>
      <c r="G375" s="9">
        <v>1</v>
      </c>
      <c r="H375" s="9"/>
      <c r="I375" s="9"/>
      <c r="J375" s="39">
        <v>1</v>
      </c>
      <c r="K375" s="14">
        <f t="shared" si="296"/>
        <v>2</v>
      </c>
      <c r="L375" s="14">
        <f t="shared" si="297"/>
        <v>4</v>
      </c>
      <c r="M375" s="7">
        <v>45474</v>
      </c>
      <c r="O375" s="35" t="s">
        <v>119</v>
      </c>
      <c r="P375" s="8">
        <v>4</v>
      </c>
      <c r="Q375" s="9">
        <v>2</v>
      </c>
      <c r="R375" s="9"/>
      <c r="S375" s="39">
        <v>3</v>
      </c>
      <c r="T375" s="14">
        <f t="shared" si="298"/>
        <v>9</v>
      </c>
      <c r="U375" s="9"/>
      <c r="V375" s="9"/>
      <c r="W375" s="9"/>
      <c r="X375" s="39"/>
      <c r="Y375" s="14">
        <f t="shared" si="299"/>
        <v>0</v>
      </c>
      <c r="Z375" s="14">
        <f t="shared" si="300"/>
        <v>9</v>
      </c>
      <c r="AA375" s="7">
        <v>45478</v>
      </c>
    </row>
    <row r="376" spans="1:27" x14ac:dyDescent="0.15">
      <c r="A376" s="38" t="s">
        <v>35</v>
      </c>
      <c r="B376" s="8"/>
      <c r="C376" s="9">
        <v>1</v>
      </c>
      <c r="D376" s="9"/>
      <c r="E376" s="39">
        <v>3</v>
      </c>
      <c r="F376" s="14">
        <f t="shared" si="295"/>
        <v>4</v>
      </c>
      <c r="G376" s="9"/>
      <c r="H376" s="9"/>
      <c r="I376" s="9"/>
      <c r="J376" s="39"/>
      <c r="K376" s="14">
        <f t="shared" si="296"/>
        <v>0</v>
      </c>
      <c r="L376" s="14">
        <f t="shared" si="297"/>
        <v>4</v>
      </c>
      <c r="M376" s="7">
        <v>45475</v>
      </c>
      <c r="O376" s="35" t="s">
        <v>31</v>
      </c>
      <c r="P376" s="8"/>
      <c r="Q376" s="9">
        <v>3</v>
      </c>
      <c r="R376" s="9"/>
      <c r="S376" s="39"/>
      <c r="T376" s="14">
        <f t="shared" si="298"/>
        <v>3</v>
      </c>
      <c r="U376" s="9">
        <v>3</v>
      </c>
      <c r="V376" s="9"/>
      <c r="W376" s="9"/>
      <c r="X376" s="39"/>
      <c r="Y376" s="14">
        <f t="shared" si="299"/>
        <v>3</v>
      </c>
      <c r="Z376" s="14">
        <f t="shared" si="300"/>
        <v>6</v>
      </c>
      <c r="AA376" s="7">
        <v>45475</v>
      </c>
    </row>
    <row r="377" spans="1:27" x14ac:dyDescent="0.15">
      <c r="A377" s="38" t="s">
        <v>35</v>
      </c>
      <c r="B377" s="8">
        <v>1</v>
      </c>
      <c r="C377" s="9">
        <v>1</v>
      </c>
      <c r="D377" s="9"/>
      <c r="E377" s="39"/>
      <c r="F377" s="14">
        <f t="shared" si="295"/>
        <v>2</v>
      </c>
      <c r="G377" s="9"/>
      <c r="H377" s="9">
        <v>1</v>
      </c>
      <c r="I377" s="9"/>
      <c r="J377" s="39"/>
      <c r="K377" s="14">
        <f t="shared" si="296"/>
        <v>1</v>
      </c>
      <c r="L377" s="14">
        <f t="shared" si="297"/>
        <v>3</v>
      </c>
      <c r="M377" s="7">
        <v>45476</v>
      </c>
      <c r="O377" s="35" t="s">
        <v>31</v>
      </c>
      <c r="P377" s="8"/>
      <c r="Q377" s="9">
        <v>3</v>
      </c>
      <c r="R377" s="9"/>
      <c r="S377" s="39">
        <v>5</v>
      </c>
      <c r="T377" s="14">
        <f t="shared" si="298"/>
        <v>8</v>
      </c>
      <c r="U377" s="9"/>
      <c r="V377" s="9">
        <v>3</v>
      </c>
      <c r="W377" s="9"/>
      <c r="X377" s="39"/>
      <c r="Y377" s="14">
        <f t="shared" si="299"/>
        <v>3</v>
      </c>
      <c r="Z377" s="14">
        <f t="shared" si="300"/>
        <v>11</v>
      </c>
      <c r="AA377" s="7">
        <v>45478</v>
      </c>
    </row>
    <row r="378" spans="1:27" x14ac:dyDescent="0.15">
      <c r="A378" s="38" t="s">
        <v>35</v>
      </c>
      <c r="B378" s="8"/>
      <c r="C378" s="9">
        <v>1</v>
      </c>
      <c r="D378" s="9"/>
      <c r="E378" s="39"/>
      <c r="F378" s="14">
        <f t="shared" si="295"/>
        <v>1</v>
      </c>
      <c r="G378" s="9"/>
      <c r="H378" s="9"/>
      <c r="I378" s="9">
        <v>1</v>
      </c>
      <c r="J378" s="39">
        <v>1</v>
      </c>
      <c r="K378" s="14">
        <f t="shared" si="296"/>
        <v>2</v>
      </c>
      <c r="L378" s="14">
        <f t="shared" si="297"/>
        <v>3</v>
      </c>
      <c r="M378" s="7">
        <v>45477</v>
      </c>
      <c r="O378" s="35" t="s">
        <v>31</v>
      </c>
      <c r="P378" s="8"/>
      <c r="Q378" s="9"/>
      <c r="R378" s="9"/>
      <c r="S378" s="39">
        <v>3</v>
      </c>
      <c r="T378" s="14">
        <f t="shared" si="298"/>
        <v>3</v>
      </c>
      <c r="U378" s="9"/>
      <c r="V378" s="9"/>
      <c r="W378" s="9">
        <v>3</v>
      </c>
      <c r="X378" s="39">
        <v>3</v>
      </c>
      <c r="Y378" s="14">
        <f t="shared" si="299"/>
        <v>6</v>
      </c>
      <c r="Z378" s="14">
        <f t="shared" si="300"/>
        <v>9</v>
      </c>
      <c r="AA378" s="7">
        <v>45479</v>
      </c>
    </row>
    <row r="379" spans="1:27" x14ac:dyDescent="0.15">
      <c r="A379" s="38" t="s">
        <v>145</v>
      </c>
      <c r="B379" s="8"/>
      <c r="C379" s="9">
        <v>-3</v>
      </c>
      <c r="D379" s="9"/>
      <c r="E379" s="39">
        <v>-5</v>
      </c>
      <c r="F379" s="14">
        <f t="shared" si="295"/>
        <v>-8</v>
      </c>
      <c r="G379" s="9"/>
      <c r="H379" s="9">
        <v>-3</v>
      </c>
      <c r="I379" s="9"/>
      <c r="J379" s="39"/>
      <c r="K379" s="14">
        <f t="shared" si="296"/>
        <v>-3</v>
      </c>
      <c r="L379" s="14">
        <f t="shared" si="297"/>
        <v>-11</v>
      </c>
      <c r="M379" s="7">
        <v>45478</v>
      </c>
      <c r="O379" s="35" t="s">
        <v>75</v>
      </c>
      <c r="P379" s="8">
        <v>2</v>
      </c>
      <c r="Q379" s="9">
        <v>2</v>
      </c>
      <c r="R379" s="9">
        <v>2</v>
      </c>
      <c r="S379" s="39">
        <v>2</v>
      </c>
      <c r="T379" s="14">
        <f t="shared" si="298"/>
        <v>8</v>
      </c>
      <c r="U379" s="9"/>
      <c r="V379" s="9"/>
      <c r="W379" s="9">
        <v>1</v>
      </c>
      <c r="X379" s="39"/>
      <c r="Y379" s="14">
        <f t="shared" si="299"/>
        <v>1</v>
      </c>
      <c r="Z379" s="14">
        <f t="shared" si="300"/>
        <v>9</v>
      </c>
      <c r="AA379" s="7">
        <v>45481</v>
      </c>
    </row>
    <row r="380" spans="1:27" x14ac:dyDescent="0.15">
      <c r="A380" s="38" t="s">
        <v>35</v>
      </c>
      <c r="B380" s="8"/>
      <c r="C380" s="9"/>
      <c r="D380" s="9"/>
      <c r="E380" s="39">
        <v>3</v>
      </c>
      <c r="F380" s="14">
        <f t="shared" si="295"/>
        <v>3</v>
      </c>
      <c r="G380" s="9"/>
      <c r="H380" s="9">
        <v>2</v>
      </c>
      <c r="I380" s="9">
        <v>1</v>
      </c>
      <c r="J380" s="39"/>
      <c r="K380" s="14">
        <f t="shared" si="296"/>
        <v>3</v>
      </c>
      <c r="L380" s="14">
        <f t="shared" si="297"/>
        <v>6</v>
      </c>
      <c r="M380" s="7">
        <v>45478</v>
      </c>
      <c r="O380" s="35" t="s">
        <v>31</v>
      </c>
      <c r="P380" s="8">
        <v>5</v>
      </c>
      <c r="Q380" s="9">
        <v>5</v>
      </c>
      <c r="R380" s="9">
        <v>3</v>
      </c>
      <c r="S380" s="39"/>
      <c r="T380" s="14">
        <f t="shared" si="298"/>
        <v>13</v>
      </c>
      <c r="U380" s="9"/>
      <c r="V380" s="9">
        <v>5</v>
      </c>
      <c r="W380" s="9"/>
      <c r="X380" s="39">
        <v>5</v>
      </c>
      <c r="Y380" s="14">
        <f t="shared" si="299"/>
        <v>10</v>
      </c>
      <c r="Z380" s="14">
        <f t="shared" si="300"/>
        <v>23</v>
      </c>
      <c r="AA380" s="7">
        <v>45482</v>
      </c>
    </row>
    <row r="381" spans="1:27" x14ac:dyDescent="0.15">
      <c r="A381" s="38" t="s">
        <v>40</v>
      </c>
      <c r="B381" s="8"/>
      <c r="C381" s="9"/>
      <c r="D381" s="9"/>
      <c r="E381" s="39">
        <v>-3</v>
      </c>
      <c r="F381" s="14">
        <f t="shared" si="295"/>
        <v>-3</v>
      </c>
      <c r="G381" s="9"/>
      <c r="H381" s="9"/>
      <c r="I381" s="9">
        <v>-3</v>
      </c>
      <c r="J381" s="39">
        <v>-3</v>
      </c>
      <c r="K381" s="14">
        <f t="shared" si="296"/>
        <v>-6</v>
      </c>
      <c r="L381" s="14">
        <f t="shared" si="297"/>
        <v>-9</v>
      </c>
      <c r="M381" s="7">
        <v>45479</v>
      </c>
      <c r="O381" s="35" t="s">
        <v>77</v>
      </c>
      <c r="P381" s="8">
        <v>2</v>
      </c>
      <c r="Q381" s="9">
        <v>2</v>
      </c>
      <c r="R381" s="9">
        <v>5</v>
      </c>
      <c r="S381" s="39">
        <v>9</v>
      </c>
      <c r="T381" s="14">
        <f t="shared" ref="T381:T383" si="301">SUM(P381:S381)</f>
        <v>18</v>
      </c>
      <c r="U381" s="9"/>
      <c r="V381" s="9"/>
      <c r="W381" s="9"/>
      <c r="X381" s="39"/>
      <c r="Y381" s="14">
        <f t="shared" ref="Y381:Y389" si="302">SUM(U381:X381)</f>
        <v>0</v>
      </c>
      <c r="Z381" s="14">
        <f t="shared" si="294"/>
        <v>18</v>
      </c>
      <c r="AA381" s="7">
        <v>45485</v>
      </c>
    </row>
    <row r="382" spans="1:27" x14ac:dyDescent="0.15">
      <c r="A382" s="38" t="s">
        <v>35</v>
      </c>
      <c r="B382" s="8"/>
      <c r="C382" s="9">
        <v>1</v>
      </c>
      <c r="D382" s="9"/>
      <c r="E382" s="39"/>
      <c r="F382" s="14">
        <f t="shared" si="295"/>
        <v>1</v>
      </c>
      <c r="G382" s="9">
        <v>2</v>
      </c>
      <c r="H382" s="9">
        <v>2</v>
      </c>
      <c r="I382" s="9"/>
      <c r="J382" s="39">
        <v>3</v>
      </c>
      <c r="K382" s="14">
        <f t="shared" si="296"/>
        <v>7</v>
      </c>
      <c r="L382" s="14">
        <f t="shared" si="297"/>
        <v>8</v>
      </c>
      <c r="M382" s="7">
        <v>45479</v>
      </c>
      <c r="O382" s="35" t="s">
        <v>119</v>
      </c>
      <c r="P382" s="8">
        <v>5</v>
      </c>
      <c r="Q382" s="9">
        <v>5</v>
      </c>
      <c r="R382" s="9"/>
      <c r="S382" s="39"/>
      <c r="T382" s="14">
        <f t="shared" si="301"/>
        <v>10</v>
      </c>
      <c r="U382" s="9"/>
      <c r="V382" s="9"/>
      <c r="W382" s="9"/>
      <c r="X382" s="39"/>
      <c r="Y382" s="14">
        <f t="shared" si="302"/>
        <v>0</v>
      </c>
      <c r="Z382" s="14">
        <f t="shared" si="294"/>
        <v>10</v>
      </c>
      <c r="AA382" s="7">
        <v>45485</v>
      </c>
    </row>
    <row r="383" spans="1:27" x14ac:dyDescent="0.15">
      <c r="A383" s="38" t="s">
        <v>35</v>
      </c>
      <c r="B383" s="8">
        <f>1+1</f>
        <v>2</v>
      </c>
      <c r="C383" s="9">
        <f>2+1</f>
        <v>3</v>
      </c>
      <c r="D383" s="9">
        <v>2</v>
      </c>
      <c r="E383" s="39">
        <v>1</v>
      </c>
      <c r="F383" s="14">
        <f t="shared" ref="F383:F389" si="303">SUM(B383:E383)</f>
        <v>8</v>
      </c>
      <c r="G383" s="9"/>
      <c r="H383" s="9">
        <v>1</v>
      </c>
      <c r="I383" s="9">
        <v>2</v>
      </c>
      <c r="J383" s="39">
        <v>1</v>
      </c>
      <c r="K383" s="14">
        <f t="shared" ref="K383:K389" si="304">SUM(G383:J383)</f>
        <v>4</v>
      </c>
      <c r="L383" s="14">
        <f t="shared" si="290"/>
        <v>12</v>
      </c>
      <c r="M383" s="7">
        <v>45481</v>
      </c>
      <c r="O383" s="35"/>
      <c r="P383" s="8"/>
      <c r="Q383" s="9"/>
      <c r="R383" s="9"/>
      <c r="S383" s="39"/>
      <c r="T383" s="14">
        <f t="shared" si="301"/>
        <v>0</v>
      </c>
      <c r="U383" s="9"/>
      <c r="V383" s="9"/>
      <c r="W383" s="9"/>
      <c r="X383" s="39"/>
      <c r="Y383" s="14">
        <f t="shared" si="302"/>
        <v>0</v>
      </c>
      <c r="Z383" s="14">
        <f t="shared" si="294"/>
        <v>0</v>
      </c>
    </row>
    <row r="384" spans="1:27" x14ac:dyDescent="0.15">
      <c r="A384" s="38" t="s">
        <v>146</v>
      </c>
      <c r="B384" s="8">
        <v>-5</v>
      </c>
      <c r="C384" s="9">
        <v>-5</v>
      </c>
      <c r="D384" s="9">
        <v>-3</v>
      </c>
      <c r="E384" s="39"/>
      <c r="F384" s="14">
        <f t="shared" si="303"/>
        <v>-13</v>
      </c>
      <c r="G384" s="9"/>
      <c r="H384" s="9">
        <v>-5</v>
      </c>
      <c r="I384" s="9"/>
      <c r="J384" s="39">
        <v>-5</v>
      </c>
      <c r="K384" s="14">
        <f t="shared" si="304"/>
        <v>-10</v>
      </c>
      <c r="L384" s="14">
        <f t="shared" si="290"/>
        <v>-23</v>
      </c>
      <c r="M384" s="7">
        <v>45482</v>
      </c>
      <c r="O384" s="35"/>
      <c r="P384" s="8"/>
      <c r="Q384" s="9"/>
      <c r="R384" s="9"/>
      <c r="S384" s="39"/>
      <c r="T384" s="14">
        <f t="shared" ref="T384:T385" si="305">SUM(P384:S384)</f>
        <v>0</v>
      </c>
      <c r="U384" s="9"/>
      <c r="V384" s="9"/>
      <c r="W384" s="9"/>
      <c r="X384" s="39"/>
      <c r="Y384" s="14">
        <f t="shared" ref="Y384:Y385" si="306">SUM(U384:X384)</f>
        <v>0</v>
      </c>
      <c r="Z384" s="14">
        <f t="shared" ref="Z384:Z385" si="307">T384+Y384</f>
        <v>0</v>
      </c>
    </row>
    <row r="385" spans="1:27" x14ac:dyDescent="0.15">
      <c r="A385" s="38" t="s">
        <v>35</v>
      </c>
      <c r="B385" s="8">
        <v>1</v>
      </c>
      <c r="C385" s="9"/>
      <c r="D385" s="9"/>
      <c r="E385" s="39"/>
      <c r="F385" s="14">
        <f t="shared" si="303"/>
        <v>1</v>
      </c>
      <c r="G385" s="9">
        <v>1</v>
      </c>
      <c r="H385" s="9"/>
      <c r="I385" s="9"/>
      <c r="J385" s="39"/>
      <c r="K385" s="14">
        <f t="shared" si="304"/>
        <v>1</v>
      </c>
      <c r="L385" s="14">
        <f t="shared" si="290"/>
        <v>2</v>
      </c>
      <c r="M385" s="7">
        <v>45482</v>
      </c>
      <c r="O385" s="35"/>
      <c r="P385" s="8"/>
      <c r="Q385" s="9"/>
      <c r="R385" s="9"/>
      <c r="S385" s="39"/>
      <c r="T385" s="14">
        <f t="shared" si="305"/>
        <v>0</v>
      </c>
      <c r="U385" s="9"/>
      <c r="V385" s="9"/>
      <c r="W385" s="9"/>
      <c r="X385" s="39"/>
      <c r="Y385" s="14">
        <f t="shared" si="306"/>
        <v>0</v>
      </c>
      <c r="Z385" s="14">
        <f t="shared" si="307"/>
        <v>0</v>
      </c>
    </row>
    <row r="386" spans="1:27" x14ac:dyDescent="0.15">
      <c r="A386" s="38" t="s">
        <v>40</v>
      </c>
      <c r="B386" s="8"/>
      <c r="C386" s="9"/>
      <c r="D386" s="9"/>
      <c r="E386" s="39"/>
      <c r="F386" s="14">
        <f t="shared" si="303"/>
        <v>0</v>
      </c>
      <c r="G386" s="9">
        <v>-3</v>
      </c>
      <c r="H386" s="9"/>
      <c r="I386" s="9"/>
      <c r="J386" s="39"/>
      <c r="K386" s="14">
        <f t="shared" si="304"/>
        <v>-3</v>
      </c>
      <c r="L386" s="14">
        <f t="shared" si="290"/>
        <v>-3</v>
      </c>
      <c r="M386" s="7">
        <v>45483</v>
      </c>
      <c r="O386" s="33" t="s">
        <v>110</v>
      </c>
      <c r="P386" s="8"/>
      <c r="Q386" s="9"/>
      <c r="R386" s="9"/>
      <c r="S386" s="39"/>
      <c r="T386" s="14">
        <f t="shared" ref="T386:T387" si="308">SUM(P386:S386)</f>
        <v>0</v>
      </c>
      <c r="U386" s="131"/>
      <c r="V386" s="131"/>
      <c r="W386" s="131"/>
      <c r="X386" s="132"/>
      <c r="Y386" s="14">
        <f t="shared" ref="Y386:Y387" si="309">SUM(U386:X386)</f>
        <v>0</v>
      </c>
      <c r="Z386" s="14">
        <f t="shared" ref="Z386:Z387" si="310">T386+Y386</f>
        <v>0</v>
      </c>
      <c r="AA386" t="s">
        <v>106</v>
      </c>
    </row>
    <row r="387" spans="1:27" ht="14.25" thickBot="1" x14ac:dyDescent="0.2">
      <c r="A387" s="38" t="s">
        <v>35</v>
      </c>
      <c r="B387" s="15"/>
      <c r="C387" s="16">
        <v>1</v>
      </c>
      <c r="D387" s="16">
        <f>2+1</f>
        <v>3</v>
      </c>
      <c r="E387" s="58"/>
      <c r="F387" s="56">
        <f t="shared" si="303"/>
        <v>4</v>
      </c>
      <c r="G387" s="16">
        <v>1</v>
      </c>
      <c r="H387" s="16"/>
      <c r="I387" s="16">
        <v>1</v>
      </c>
      <c r="J387" s="58">
        <v>2</v>
      </c>
      <c r="K387" s="56">
        <f t="shared" si="304"/>
        <v>4</v>
      </c>
      <c r="L387" s="59">
        <f t="shared" si="290"/>
        <v>8</v>
      </c>
      <c r="M387" s="7">
        <v>45483</v>
      </c>
      <c r="O387" s="33" t="s">
        <v>111</v>
      </c>
      <c r="P387" s="8"/>
      <c r="Q387" s="9"/>
      <c r="R387" s="9"/>
      <c r="S387" s="39"/>
      <c r="T387" s="14">
        <f t="shared" si="308"/>
        <v>0</v>
      </c>
      <c r="U387" s="131"/>
      <c r="V387" s="131"/>
      <c r="W387" s="131"/>
      <c r="X387" s="132"/>
      <c r="Y387" s="14">
        <f t="shared" si="309"/>
        <v>0</v>
      </c>
      <c r="Z387" s="14">
        <f t="shared" si="310"/>
        <v>0</v>
      </c>
      <c r="AA387" t="s">
        <v>106</v>
      </c>
    </row>
    <row r="388" spans="1:27" ht="14.25" thickBot="1" x14ac:dyDescent="0.2">
      <c r="A388" s="3" t="s">
        <v>7</v>
      </c>
      <c r="B388" s="17">
        <f t="shared" ref="B388:E388" si="311">SUM(B362:B387)</f>
        <v>0</v>
      </c>
      <c r="C388" s="18">
        <f t="shared" si="311"/>
        <v>8</v>
      </c>
      <c r="D388" s="18">
        <f t="shared" si="311"/>
        <v>9</v>
      </c>
      <c r="E388" s="40">
        <f t="shared" si="311"/>
        <v>2</v>
      </c>
      <c r="F388" s="11">
        <f t="shared" si="303"/>
        <v>19</v>
      </c>
      <c r="G388" s="17">
        <f t="shared" ref="G388:J388" si="312">SUM(G362:G387)</f>
        <v>3</v>
      </c>
      <c r="H388" s="18">
        <f t="shared" si="312"/>
        <v>2</v>
      </c>
      <c r="I388" s="18">
        <f t="shared" si="312"/>
        <v>8</v>
      </c>
      <c r="J388" s="40">
        <f t="shared" si="312"/>
        <v>8</v>
      </c>
      <c r="K388" s="11">
        <f t="shared" si="304"/>
        <v>21</v>
      </c>
      <c r="L388" s="11">
        <f t="shared" si="290"/>
        <v>40</v>
      </c>
      <c r="O388" s="3" t="s">
        <v>7</v>
      </c>
      <c r="P388" s="17">
        <f t="shared" ref="P388:S388" si="313">SUM(P362:P387)</f>
        <v>44</v>
      </c>
      <c r="Q388" s="18">
        <f t="shared" si="313"/>
        <v>58</v>
      </c>
      <c r="R388" s="18">
        <f t="shared" si="313"/>
        <v>23</v>
      </c>
      <c r="S388" s="40">
        <f t="shared" si="313"/>
        <v>41</v>
      </c>
      <c r="T388" s="11">
        <f t="shared" ref="T388:T389" si="314">SUM(P388:S388)</f>
        <v>166</v>
      </c>
      <c r="U388" s="17">
        <f t="shared" ref="U388:X388" si="315">SUM(U362:U387)</f>
        <v>3</v>
      </c>
      <c r="V388" s="18">
        <f t="shared" si="315"/>
        <v>11</v>
      </c>
      <c r="W388" s="18">
        <f t="shared" si="315"/>
        <v>11</v>
      </c>
      <c r="X388" s="40">
        <f t="shared" si="315"/>
        <v>16</v>
      </c>
      <c r="Y388" s="11">
        <f t="shared" si="302"/>
        <v>41</v>
      </c>
      <c r="Z388" s="11">
        <f t="shared" si="294"/>
        <v>207</v>
      </c>
    </row>
    <row r="389" spans="1:27" ht="14.25" thickBot="1" x14ac:dyDescent="0.2">
      <c r="A389" s="19" t="s">
        <v>8</v>
      </c>
      <c r="B389" s="20">
        <f t="shared" ref="B389:E389" si="316">B361-B388</f>
        <v>6</v>
      </c>
      <c r="C389" s="21">
        <f t="shared" si="316"/>
        <v>5</v>
      </c>
      <c r="D389" s="21">
        <f t="shared" si="316"/>
        <v>3</v>
      </c>
      <c r="E389" s="22">
        <f t="shared" si="316"/>
        <v>4</v>
      </c>
      <c r="F389" s="11">
        <f t="shared" si="303"/>
        <v>18</v>
      </c>
      <c r="G389" s="20">
        <f t="shared" ref="G389:J389" si="317">G361-G388</f>
        <v>5</v>
      </c>
      <c r="H389" s="21">
        <f t="shared" si="317"/>
        <v>6</v>
      </c>
      <c r="I389" s="21">
        <f t="shared" si="317"/>
        <v>3</v>
      </c>
      <c r="J389" s="51">
        <f t="shared" si="317"/>
        <v>5</v>
      </c>
      <c r="K389" s="11">
        <f t="shared" si="304"/>
        <v>19</v>
      </c>
      <c r="L389" s="53">
        <f t="shared" si="290"/>
        <v>37</v>
      </c>
      <c r="O389" s="19" t="s">
        <v>8</v>
      </c>
      <c r="P389" s="20">
        <f t="shared" ref="P389:S389" si="318">P361-P388</f>
        <v>335</v>
      </c>
      <c r="Q389" s="21">
        <f t="shared" si="318"/>
        <v>315</v>
      </c>
      <c r="R389" s="21">
        <f t="shared" si="318"/>
        <v>233</v>
      </c>
      <c r="S389" s="22">
        <f t="shared" si="318"/>
        <v>221</v>
      </c>
      <c r="T389" s="11">
        <f t="shared" si="314"/>
        <v>1104</v>
      </c>
      <c r="U389" s="20">
        <f t="shared" ref="U389:X389" si="319">U361-U388</f>
        <v>67</v>
      </c>
      <c r="V389" s="21">
        <f t="shared" si="319"/>
        <v>74</v>
      </c>
      <c r="W389" s="21">
        <f t="shared" si="319"/>
        <v>49</v>
      </c>
      <c r="X389" s="51">
        <f t="shared" si="319"/>
        <v>41</v>
      </c>
      <c r="Y389" s="11">
        <f t="shared" si="302"/>
        <v>231</v>
      </c>
      <c r="Z389" s="53">
        <f t="shared" si="294"/>
        <v>1335</v>
      </c>
    </row>
    <row r="390" spans="1:27" x14ac:dyDescent="0.15"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</row>
    <row r="392" spans="1:27" ht="19.5" thickBot="1" x14ac:dyDescent="0.25">
      <c r="A392" s="1" t="s">
        <v>19</v>
      </c>
      <c r="C392" s="164" t="s">
        <v>20</v>
      </c>
      <c r="D392" s="164"/>
      <c r="O392" s="1" t="s">
        <v>21</v>
      </c>
      <c r="S392" s="164" t="s">
        <v>20</v>
      </c>
      <c r="T392" s="164"/>
    </row>
    <row r="393" spans="1:27" ht="14.25" thickBot="1" x14ac:dyDescent="0.2">
      <c r="A393" s="3" t="s">
        <v>0</v>
      </c>
      <c r="B393" s="165" t="s">
        <v>15</v>
      </c>
      <c r="C393" s="166"/>
      <c r="D393" s="166"/>
      <c r="E393" s="166"/>
      <c r="F393" s="167"/>
      <c r="G393" s="168" t="s">
        <v>18</v>
      </c>
      <c r="H393" s="169"/>
      <c r="I393" s="169"/>
      <c r="J393" s="169"/>
      <c r="K393" s="170"/>
      <c r="L393" s="47"/>
      <c r="O393" s="3" t="s">
        <v>0</v>
      </c>
      <c r="P393" s="165" t="s">
        <v>15</v>
      </c>
      <c r="Q393" s="166"/>
      <c r="R393" s="166"/>
      <c r="S393" s="166"/>
      <c r="T393" s="167"/>
      <c r="U393" s="168" t="s">
        <v>18</v>
      </c>
      <c r="V393" s="169"/>
      <c r="W393" s="169"/>
      <c r="X393" s="169"/>
      <c r="Y393" s="170"/>
      <c r="Z393" s="47"/>
    </row>
    <row r="394" spans="1:27" ht="14.25" thickBot="1" x14ac:dyDescent="0.2">
      <c r="A394" s="3" t="s">
        <v>1</v>
      </c>
      <c r="B394" s="23" t="s">
        <v>11</v>
      </c>
      <c r="C394" s="24" t="s">
        <v>12</v>
      </c>
      <c r="D394" s="24" t="s">
        <v>13</v>
      </c>
      <c r="E394" s="25" t="s">
        <v>14</v>
      </c>
      <c r="F394" s="48" t="s">
        <v>2</v>
      </c>
      <c r="G394" s="23" t="s">
        <v>11</v>
      </c>
      <c r="H394" s="24" t="s">
        <v>12</v>
      </c>
      <c r="I394" s="24" t="s">
        <v>13</v>
      </c>
      <c r="J394" s="25" t="s">
        <v>14</v>
      </c>
      <c r="K394" s="48" t="s">
        <v>2</v>
      </c>
      <c r="L394" s="48" t="s">
        <v>17</v>
      </c>
      <c r="O394" s="3" t="s">
        <v>1</v>
      </c>
      <c r="P394" s="23" t="s">
        <v>11</v>
      </c>
      <c r="Q394" s="24" t="s">
        <v>12</v>
      </c>
      <c r="R394" s="24" t="s">
        <v>13</v>
      </c>
      <c r="S394" s="25" t="s">
        <v>14</v>
      </c>
      <c r="T394" s="48" t="s">
        <v>2</v>
      </c>
      <c r="U394" s="23" t="s">
        <v>11</v>
      </c>
      <c r="V394" s="24" t="s">
        <v>12</v>
      </c>
      <c r="W394" s="24" t="s">
        <v>13</v>
      </c>
      <c r="X394" s="25" t="s">
        <v>14</v>
      </c>
      <c r="Y394" s="48" t="s">
        <v>2</v>
      </c>
      <c r="Z394" s="48" t="s">
        <v>17</v>
      </c>
    </row>
    <row r="395" spans="1:27" x14ac:dyDescent="0.15">
      <c r="A395" s="116" t="s">
        <v>9</v>
      </c>
      <c r="B395" s="113">
        <f>B389</f>
        <v>6</v>
      </c>
      <c r="C395" s="27">
        <f>C389</f>
        <v>5</v>
      </c>
      <c r="D395" s="27">
        <f>D389</f>
        <v>3</v>
      </c>
      <c r="E395" s="42">
        <f>E389</f>
        <v>4</v>
      </c>
      <c r="F395" s="28">
        <f>SUM(B395:E395)</f>
        <v>18</v>
      </c>
      <c r="G395" s="113">
        <f>G389</f>
        <v>5</v>
      </c>
      <c r="H395" s="27">
        <f>H389</f>
        <v>6</v>
      </c>
      <c r="I395" s="27">
        <f>I389</f>
        <v>3</v>
      </c>
      <c r="J395" s="42">
        <f>J389</f>
        <v>5</v>
      </c>
      <c r="K395" s="28">
        <f>SUM(G395:J395)</f>
        <v>19</v>
      </c>
      <c r="L395" s="114">
        <f>F395+K395</f>
        <v>37</v>
      </c>
      <c r="O395" s="54" t="s">
        <v>9</v>
      </c>
      <c r="P395" s="26">
        <f>P389</f>
        <v>335</v>
      </c>
      <c r="Q395" s="27">
        <f>Q389</f>
        <v>315</v>
      </c>
      <c r="R395" s="27">
        <f>R389</f>
        <v>233</v>
      </c>
      <c r="S395" s="42">
        <f>S389</f>
        <v>221</v>
      </c>
      <c r="T395" s="28">
        <f>SUM(P395:S395)</f>
        <v>1104</v>
      </c>
      <c r="U395" s="26">
        <f>U389</f>
        <v>67</v>
      </c>
      <c r="V395" s="27">
        <f>V389</f>
        <v>74</v>
      </c>
      <c r="W395" s="27">
        <f>W389</f>
        <v>49</v>
      </c>
      <c r="X395" s="42">
        <f>X389</f>
        <v>41</v>
      </c>
      <c r="Y395" s="52">
        <f>SUM(U395:X395)</f>
        <v>231</v>
      </c>
      <c r="Z395" s="28">
        <f>T395+Y395</f>
        <v>1335</v>
      </c>
    </row>
    <row r="396" spans="1:27" x14ac:dyDescent="0.15">
      <c r="A396" s="33" t="s">
        <v>10</v>
      </c>
      <c r="B396" s="9"/>
      <c r="C396" s="29">
        <v>3</v>
      </c>
      <c r="D396" s="29">
        <v>3</v>
      </c>
      <c r="E396" s="43">
        <v>3</v>
      </c>
      <c r="F396" s="14">
        <f t="shared" ref="F396:F399" si="320">SUM(B396:E396)</f>
        <v>9</v>
      </c>
      <c r="G396" s="9"/>
      <c r="H396" s="29"/>
      <c r="I396" s="29">
        <v>3</v>
      </c>
      <c r="J396" s="43"/>
      <c r="K396" s="14">
        <f t="shared" ref="K396:K399" si="321">SUM(G396:J396)</f>
        <v>3</v>
      </c>
      <c r="L396" s="125">
        <f t="shared" ref="L396:L399" si="322">F396+K396</f>
        <v>12</v>
      </c>
      <c r="M396" s="7">
        <v>45489</v>
      </c>
      <c r="O396" s="33" t="s">
        <v>10</v>
      </c>
      <c r="P396" s="9"/>
      <c r="Q396" s="29"/>
      <c r="R396" s="29"/>
      <c r="S396" s="43"/>
      <c r="T396" s="14">
        <f t="shared" ref="T396:T399" si="323">SUM(P396:S396)</f>
        <v>0</v>
      </c>
      <c r="U396" s="9"/>
      <c r="V396" s="29"/>
      <c r="W396" s="29"/>
      <c r="X396" s="43"/>
      <c r="Y396" s="14">
        <f t="shared" ref="Y396:Y399" si="324">SUM(U396:X396)</f>
        <v>0</v>
      </c>
      <c r="Z396" s="125">
        <f t="shared" ref="Z396:Z428" si="325">T396+Y396</f>
        <v>0</v>
      </c>
      <c r="AA396" s="7"/>
    </row>
    <row r="397" spans="1:27" x14ac:dyDescent="0.15">
      <c r="A397" s="33" t="s">
        <v>38</v>
      </c>
      <c r="B397" s="9">
        <v>2</v>
      </c>
      <c r="C397" s="29">
        <v>4</v>
      </c>
      <c r="D397" s="29">
        <v>2</v>
      </c>
      <c r="E397" s="43">
        <v>1</v>
      </c>
      <c r="F397" s="14">
        <f t="shared" si="320"/>
        <v>9</v>
      </c>
      <c r="G397" s="9"/>
      <c r="H397" s="29"/>
      <c r="I397" s="29"/>
      <c r="J397" s="43"/>
      <c r="K397" s="14">
        <f t="shared" si="321"/>
        <v>0</v>
      </c>
      <c r="L397" s="125">
        <f t="shared" si="322"/>
        <v>9</v>
      </c>
      <c r="M397" s="7">
        <v>45485</v>
      </c>
      <c r="O397" s="33" t="s">
        <v>3</v>
      </c>
      <c r="P397" s="122"/>
      <c r="Q397" s="119"/>
      <c r="R397" s="119"/>
      <c r="S397" s="120"/>
      <c r="T397" s="14">
        <f t="shared" si="323"/>
        <v>0</v>
      </c>
      <c r="U397" s="122"/>
      <c r="V397" s="119"/>
      <c r="W397" s="119"/>
      <c r="X397" s="120"/>
      <c r="Y397" s="14">
        <f t="shared" si="324"/>
        <v>0</v>
      </c>
      <c r="Z397" s="125">
        <f t="shared" si="325"/>
        <v>0</v>
      </c>
      <c r="AA397" s="7"/>
    </row>
    <row r="398" spans="1:27" x14ac:dyDescent="0.15">
      <c r="A398" s="33" t="s">
        <v>4</v>
      </c>
      <c r="B398" s="9">
        <v>3</v>
      </c>
      <c r="C398" s="29"/>
      <c r="D398" s="29"/>
      <c r="E398" s="43"/>
      <c r="F398" s="14">
        <f t="shared" si="320"/>
        <v>3</v>
      </c>
      <c r="G398" s="9"/>
      <c r="H398" s="29">
        <v>3</v>
      </c>
      <c r="I398" s="29"/>
      <c r="J398" s="43"/>
      <c r="K398" s="14">
        <f t="shared" si="321"/>
        <v>3</v>
      </c>
      <c r="L398" s="125">
        <f t="shared" si="322"/>
        <v>6</v>
      </c>
      <c r="M398" s="7">
        <v>45491</v>
      </c>
      <c r="O398" s="33" t="s">
        <v>4</v>
      </c>
      <c r="P398" s="122"/>
      <c r="Q398" s="119"/>
      <c r="R398" s="119"/>
      <c r="S398" s="120"/>
      <c r="T398" s="14">
        <f t="shared" si="323"/>
        <v>0</v>
      </c>
      <c r="U398" s="122"/>
      <c r="V398" s="119"/>
      <c r="W398" s="119"/>
      <c r="X398" s="120"/>
      <c r="Y398" s="14">
        <f t="shared" si="324"/>
        <v>0</v>
      </c>
      <c r="Z398" s="125">
        <f t="shared" si="325"/>
        <v>0</v>
      </c>
      <c r="AA398" s="7"/>
    </row>
    <row r="399" spans="1:27" ht="14.25" thickBot="1" x14ac:dyDescent="0.2">
      <c r="A399" s="35" t="s">
        <v>5</v>
      </c>
      <c r="B399" s="135"/>
      <c r="C399" s="136"/>
      <c r="D399" s="136"/>
      <c r="E399" s="137"/>
      <c r="F399" s="59">
        <f t="shared" si="320"/>
        <v>0</v>
      </c>
      <c r="G399" s="135"/>
      <c r="H399" s="136"/>
      <c r="I399" s="136">
        <v>3</v>
      </c>
      <c r="J399" s="137"/>
      <c r="K399" s="59">
        <f t="shared" si="321"/>
        <v>3</v>
      </c>
      <c r="L399" s="138">
        <f t="shared" si="322"/>
        <v>3</v>
      </c>
      <c r="M399" s="7">
        <v>45493</v>
      </c>
      <c r="O399" s="35" t="s">
        <v>5</v>
      </c>
      <c r="P399" s="135"/>
      <c r="Q399" s="136"/>
      <c r="R399" s="136"/>
      <c r="S399" s="137"/>
      <c r="T399" s="59">
        <f t="shared" si="323"/>
        <v>0</v>
      </c>
      <c r="U399" s="135"/>
      <c r="V399" s="136"/>
      <c r="W399" s="136"/>
      <c r="X399" s="137"/>
      <c r="Y399" s="59">
        <f t="shared" si="324"/>
        <v>0</v>
      </c>
      <c r="Z399" s="138">
        <f t="shared" si="325"/>
        <v>0</v>
      </c>
      <c r="AA399" s="7"/>
    </row>
    <row r="400" spans="1:27" ht="14.25" thickBot="1" x14ac:dyDescent="0.2">
      <c r="A400" s="2" t="s">
        <v>6</v>
      </c>
      <c r="B400" s="139">
        <f>SUM(B395:B399)</f>
        <v>11</v>
      </c>
      <c r="C400" s="140">
        <f>SUM(C395:C399)</f>
        <v>12</v>
      </c>
      <c r="D400" s="140">
        <f>SUM(D395:D399)</f>
        <v>8</v>
      </c>
      <c r="E400" s="141">
        <f>SUM(E395:E399)</f>
        <v>8</v>
      </c>
      <c r="F400" s="32">
        <f>SUM(B400:E400)</f>
        <v>39</v>
      </c>
      <c r="G400" s="142">
        <f>SUM(G395:G399)</f>
        <v>5</v>
      </c>
      <c r="H400" s="140">
        <f>SUM(H395:H399)</f>
        <v>9</v>
      </c>
      <c r="I400" s="140">
        <f>SUM(I395:I399)</f>
        <v>9</v>
      </c>
      <c r="J400" s="141">
        <f>SUM(J395:J399)</f>
        <v>5</v>
      </c>
      <c r="K400" s="32">
        <f>SUM(G400:J400)</f>
        <v>28</v>
      </c>
      <c r="L400" s="11">
        <f t="shared" ref="L400:L428" si="326">F400+K400</f>
        <v>67</v>
      </c>
      <c r="O400" s="2" t="s">
        <v>6</v>
      </c>
      <c r="P400" s="139">
        <f>SUM(P395:P399)</f>
        <v>335</v>
      </c>
      <c r="Q400" s="140">
        <f>SUM(Q395:Q399)</f>
        <v>315</v>
      </c>
      <c r="R400" s="140">
        <f>SUM(R395:R399)</f>
        <v>233</v>
      </c>
      <c r="S400" s="141">
        <f>SUM(S395:S399)</f>
        <v>221</v>
      </c>
      <c r="T400" s="32">
        <f>SUM(P400:S400)</f>
        <v>1104</v>
      </c>
      <c r="U400" s="142">
        <f>SUM(U395:U399)</f>
        <v>67</v>
      </c>
      <c r="V400" s="140">
        <f>SUM(V395:V399)</f>
        <v>74</v>
      </c>
      <c r="W400" s="140">
        <f>SUM(W395:W399)</f>
        <v>49</v>
      </c>
      <c r="X400" s="141">
        <f>SUM(X395:X399)</f>
        <v>41</v>
      </c>
      <c r="Y400" s="32">
        <f>SUM(U400:X400)</f>
        <v>231</v>
      </c>
      <c r="Z400" s="11">
        <f t="shared" si="325"/>
        <v>1335</v>
      </c>
    </row>
    <row r="401" spans="1:27" x14ac:dyDescent="0.15">
      <c r="A401" s="38" t="s">
        <v>35</v>
      </c>
      <c r="B401" s="8">
        <v>2</v>
      </c>
      <c r="C401" s="9">
        <v>1</v>
      </c>
      <c r="D401" s="9"/>
      <c r="E401" s="39">
        <v>1</v>
      </c>
      <c r="F401" s="14">
        <f t="shared" ref="F401:F423" si="327">SUM(B401:E401)</f>
        <v>4</v>
      </c>
      <c r="G401" s="9"/>
      <c r="H401" s="9">
        <v>1</v>
      </c>
      <c r="I401" s="9"/>
      <c r="J401" s="39"/>
      <c r="K401" s="14">
        <f t="shared" ref="K401:K423" si="328">SUM(G401:J401)</f>
        <v>1</v>
      </c>
      <c r="L401" s="14">
        <f t="shared" ref="L401:L423" si="329">F401+K401</f>
        <v>5</v>
      </c>
      <c r="M401" s="7">
        <v>45484</v>
      </c>
      <c r="O401" s="35" t="s">
        <v>31</v>
      </c>
      <c r="P401" s="8"/>
      <c r="Q401" s="9"/>
      <c r="R401" s="9"/>
      <c r="S401" s="39"/>
      <c r="T401" s="14">
        <f t="shared" ref="T401:T402" si="330">SUM(P401:S401)</f>
        <v>0</v>
      </c>
      <c r="U401" s="9">
        <v>3</v>
      </c>
      <c r="V401" s="9"/>
      <c r="W401" s="9"/>
      <c r="X401" s="39"/>
      <c r="Y401" s="14">
        <f t="shared" ref="Y401:Y402" si="331">SUM(U401:X401)</f>
        <v>3</v>
      </c>
      <c r="Z401" s="14">
        <f t="shared" si="325"/>
        <v>3</v>
      </c>
      <c r="AA401" s="7">
        <v>45483</v>
      </c>
    </row>
    <row r="402" spans="1:27" x14ac:dyDescent="0.15">
      <c r="A402" s="38" t="s">
        <v>35</v>
      </c>
      <c r="B402" s="8"/>
      <c r="C402" s="9">
        <v>2</v>
      </c>
      <c r="D402" s="9"/>
      <c r="E402" s="39">
        <v>1</v>
      </c>
      <c r="F402" s="14">
        <f t="shared" si="327"/>
        <v>3</v>
      </c>
      <c r="G402" s="9"/>
      <c r="H402" s="9"/>
      <c r="I402" s="9">
        <v>1</v>
      </c>
      <c r="J402" s="39"/>
      <c r="K402" s="14">
        <f t="shared" si="328"/>
        <v>1</v>
      </c>
      <c r="L402" s="14">
        <f t="shared" si="329"/>
        <v>4</v>
      </c>
      <c r="M402" s="7">
        <v>45484</v>
      </c>
      <c r="O402" s="35" t="s">
        <v>31</v>
      </c>
      <c r="P402" s="8"/>
      <c r="Q402" s="9">
        <v>3</v>
      </c>
      <c r="R402" s="9">
        <v>3</v>
      </c>
      <c r="S402" s="39">
        <v>3</v>
      </c>
      <c r="T402" s="14">
        <f t="shared" si="330"/>
        <v>9</v>
      </c>
      <c r="U402" s="9"/>
      <c r="V402" s="9"/>
      <c r="W402" s="9">
        <v>3</v>
      </c>
      <c r="X402" s="39"/>
      <c r="Y402" s="14">
        <f t="shared" si="331"/>
        <v>3</v>
      </c>
      <c r="Z402" s="14">
        <f t="shared" si="325"/>
        <v>12</v>
      </c>
      <c r="AA402" s="7">
        <v>45489</v>
      </c>
    </row>
    <row r="403" spans="1:27" x14ac:dyDescent="0.15">
      <c r="A403" s="38" t="s">
        <v>35</v>
      </c>
      <c r="B403" s="8">
        <v>2</v>
      </c>
      <c r="C403" s="9">
        <f>1+1+1</f>
        <v>3</v>
      </c>
      <c r="D403" s="9">
        <f>1+1</f>
        <v>2</v>
      </c>
      <c r="E403" s="39">
        <v>1</v>
      </c>
      <c r="F403" s="14">
        <f t="shared" si="327"/>
        <v>8</v>
      </c>
      <c r="G403" s="9"/>
      <c r="H403" s="9">
        <f>1+1</f>
        <v>2</v>
      </c>
      <c r="I403" s="9">
        <v>1</v>
      </c>
      <c r="J403" s="39"/>
      <c r="K403" s="14">
        <f t="shared" si="328"/>
        <v>3</v>
      </c>
      <c r="L403" s="14">
        <f t="shared" si="329"/>
        <v>11</v>
      </c>
      <c r="M403" s="7">
        <v>45489</v>
      </c>
      <c r="O403" s="35" t="s">
        <v>81</v>
      </c>
      <c r="P403" s="8">
        <v>8</v>
      </c>
      <c r="Q403" s="9">
        <v>7</v>
      </c>
      <c r="R403" s="9">
        <v>4</v>
      </c>
      <c r="S403" s="39">
        <v>3</v>
      </c>
      <c r="T403" s="14">
        <f t="shared" ref="T403:T420" si="332">SUM(P403:S403)</f>
        <v>22</v>
      </c>
      <c r="U403" s="9"/>
      <c r="V403" s="9"/>
      <c r="W403" s="9"/>
      <c r="X403" s="39"/>
      <c r="Y403" s="14">
        <f t="shared" ref="Y403:Y420" si="333">SUM(U403:X403)</f>
        <v>0</v>
      </c>
      <c r="Z403" s="14">
        <f t="shared" si="325"/>
        <v>22</v>
      </c>
      <c r="AA403" s="7">
        <v>45495</v>
      </c>
    </row>
    <row r="404" spans="1:27" x14ac:dyDescent="0.15">
      <c r="A404" s="38" t="s">
        <v>35</v>
      </c>
      <c r="B404" s="8"/>
      <c r="C404" s="9">
        <v>1</v>
      </c>
      <c r="D404" s="9">
        <v>1</v>
      </c>
      <c r="E404" s="39"/>
      <c r="F404" s="14">
        <f t="shared" si="327"/>
        <v>2</v>
      </c>
      <c r="G404" s="9"/>
      <c r="H404" s="9"/>
      <c r="I404" s="9">
        <v>1</v>
      </c>
      <c r="J404" s="39">
        <v>1</v>
      </c>
      <c r="K404" s="14">
        <f t="shared" si="328"/>
        <v>2</v>
      </c>
      <c r="L404" s="14">
        <f t="shared" si="329"/>
        <v>4</v>
      </c>
      <c r="M404" s="7">
        <v>45490</v>
      </c>
      <c r="O404" s="35" t="s">
        <v>31</v>
      </c>
      <c r="P404" s="8">
        <v>3</v>
      </c>
      <c r="Q404" s="9"/>
      <c r="R404" s="9"/>
      <c r="S404" s="39"/>
      <c r="T404" s="14">
        <f t="shared" si="332"/>
        <v>3</v>
      </c>
      <c r="U404" s="9"/>
      <c r="V404" s="9">
        <v>3</v>
      </c>
      <c r="W404" s="9"/>
      <c r="X404" s="39"/>
      <c r="Y404" s="14">
        <f t="shared" si="333"/>
        <v>3</v>
      </c>
      <c r="Z404" s="14">
        <f t="shared" si="325"/>
        <v>6</v>
      </c>
      <c r="AA404" s="7">
        <v>45491</v>
      </c>
    </row>
    <row r="405" spans="1:27" x14ac:dyDescent="0.15">
      <c r="A405" s="38" t="s">
        <v>35</v>
      </c>
      <c r="B405" s="8"/>
      <c r="C405" s="9">
        <v>1</v>
      </c>
      <c r="D405" s="9"/>
      <c r="E405" s="39">
        <v>1</v>
      </c>
      <c r="F405" s="14">
        <f t="shared" si="327"/>
        <v>2</v>
      </c>
      <c r="G405" s="9"/>
      <c r="H405" s="9">
        <v>1</v>
      </c>
      <c r="I405" s="9"/>
      <c r="J405" s="39"/>
      <c r="K405" s="14">
        <f t="shared" si="328"/>
        <v>1</v>
      </c>
      <c r="L405" s="14">
        <f t="shared" si="329"/>
        <v>3</v>
      </c>
      <c r="M405" s="7">
        <v>45491</v>
      </c>
      <c r="O405" s="35" t="s">
        <v>31</v>
      </c>
      <c r="P405" s="8"/>
      <c r="Q405" s="9"/>
      <c r="R405" s="9"/>
      <c r="S405" s="39"/>
      <c r="T405" s="14">
        <f t="shared" si="332"/>
        <v>0</v>
      </c>
      <c r="U405" s="9"/>
      <c r="V405" s="9"/>
      <c r="W405" s="9">
        <v>3</v>
      </c>
      <c r="X405" s="39"/>
      <c r="Y405" s="14">
        <f t="shared" si="333"/>
        <v>3</v>
      </c>
      <c r="Z405" s="14">
        <f t="shared" si="325"/>
        <v>3</v>
      </c>
      <c r="AA405" s="7">
        <v>45493</v>
      </c>
    </row>
    <row r="406" spans="1:27" x14ac:dyDescent="0.15">
      <c r="A406" s="38" t="s">
        <v>35</v>
      </c>
      <c r="B406" s="8"/>
      <c r="C406" s="9"/>
      <c r="D406" s="9">
        <v>1</v>
      </c>
      <c r="E406" s="39"/>
      <c r="F406" s="14">
        <f t="shared" si="327"/>
        <v>1</v>
      </c>
      <c r="G406" s="9"/>
      <c r="H406" s="9"/>
      <c r="I406" s="9">
        <v>1</v>
      </c>
      <c r="J406" s="39"/>
      <c r="K406" s="14">
        <f t="shared" si="328"/>
        <v>1</v>
      </c>
      <c r="L406" s="14">
        <f t="shared" si="329"/>
        <v>2</v>
      </c>
      <c r="M406" s="7">
        <v>45492</v>
      </c>
      <c r="O406" s="35" t="s">
        <v>119</v>
      </c>
      <c r="P406" s="8"/>
      <c r="Q406" s="9">
        <v>8</v>
      </c>
      <c r="R406" s="9"/>
      <c r="S406" s="39"/>
      <c r="T406" s="14">
        <f t="shared" si="332"/>
        <v>8</v>
      </c>
      <c r="U406" s="9"/>
      <c r="V406" s="9"/>
      <c r="W406" s="9"/>
      <c r="X406" s="39"/>
      <c r="Y406" s="14">
        <f t="shared" si="333"/>
        <v>0</v>
      </c>
      <c r="Z406" s="14">
        <f t="shared" si="325"/>
        <v>8</v>
      </c>
      <c r="AA406" s="7">
        <v>45498</v>
      </c>
    </row>
    <row r="407" spans="1:27" x14ac:dyDescent="0.15">
      <c r="A407" s="38" t="s">
        <v>42</v>
      </c>
      <c r="B407" s="8"/>
      <c r="C407" s="9">
        <v>-1</v>
      </c>
      <c r="D407" s="9">
        <v>1</v>
      </c>
      <c r="E407" s="39"/>
      <c r="F407" s="14">
        <f t="shared" si="327"/>
        <v>0</v>
      </c>
      <c r="G407" s="9"/>
      <c r="H407" s="9"/>
      <c r="I407" s="9"/>
      <c r="J407" s="39"/>
      <c r="K407" s="14">
        <f t="shared" si="328"/>
        <v>0</v>
      </c>
      <c r="L407" s="14">
        <f t="shared" si="329"/>
        <v>0</v>
      </c>
      <c r="M407" s="7">
        <v>45492</v>
      </c>
      <c r="O407" s="35" t="s">
        <v>31</v>
      </c>
      <c r="P407" s="8"/>
      <c r="Q407" s="9">
        <v>3</v>
      </c>
      <c r="R407" s="9">
        <v>3</v>
      </c>
      <c r="S407" s="39">
        <v>3</v>
      </c>
      <c r="T407" s="14">
        <f t="shared" si="332"/>
        <v>9</v>
      </c>
      <c r="U407" s="9"/>
      <c r="V407" s="9">
        <v>3</v>
      </c>
      <c r="W407" s="9">
        <v>3</v>
      </c>
      <c r="X407" s="39">
        <v>3</v>
      </c>
      <c r="Y407" s="14">
        <f t="shared" si="333"/>
        <v>9</v>
      </c>
      <c r="Z407" s="14">
        <f t="shared" si="325"/>
        <v>18</v>
      </c>
      <c r="AA407" s="7">
        <v>45496</v>
      </c>
    </row>
    <row r="408" spans="1:27" x14ac:dyDescent="0.15">
      <c r="A408" s="38" t="s">
        <v>35</v>
      </c>
      <c r="B408" s="8"/>
      <c r="C408" s="9"/>
      <c r="D408" s="9"/>
      <c r="E408" s="39"/>
      <c r="F408" s="14">
        <f t="shared" si="327"/>
        <v>0</v>
      </c>
      <c r="G408" s="9"/>
      <c r="H408" s="9"/>
      <c r="I408" s="9">
        <v>1</v>
      </c>
      <c r="J408" s="39"/>
      <c r="K408" s="14">
        <f t="shared" si="328"/>
        <v>1</v>
      </c>
      <c r="L408" s="14">
        <f t="shared" si="329"/>
        <v>1</v>
      </c>
      <c r="M408" s="7">
        <v>45493</v>
      </c>
      <c r="O408" s="35" t="s">
        <v>84</v>
      </c>
      <c r="P408" s="8">
        <v>2</v>
      </c>
      <c r="Q408" s="9"/>
      <c r="R408" s="9">
        <v>3</v>
      </c>
      <c r="S408" s="39">
        <v>4</v>
      </c>
      <c r="T408" s="14">
        <f t="shared" si="332"/>
        <v>9</v>
      </c>
      <c r="U408" s="9"/>
      <c r="V408" s="9"/>
      <c r="W408" s="9"/>
      <c r="X408" s="39"/>
      <c r="Y408" s="14">
        <f t="shared" si="333"/>
        <v>0</v>
      </c>
      <c r="Z408" s="14">
        <f t="shared" si="325"/>
        <v>9</v>
      </c>
      <c r="AA408" s="7">
        <v>45502</v>
      </c>
    </row>
    <row r="409" spans="1:27" x14ac:dyDescent="0.15">
      <c r="A409" s="38" t="s">
        <v>35</v>
      </c>
      <c r="B409" s="8"/>
      <c r="C409" s="9">
        <f>1+2</f>
        <v>3</v>
      </c>
      <c r="D409" s="9">
        <v>1</v>
      </c>
      <c r="E409" s="39">
        <v>1</v>
      </c>
      <c r="F409" s="14">
        <f t="shared" si="327"/>
        <v>5</v>
      </c>
      <c r="G409" s="9">
        <f>1+1</f>
        <v>2</v>
      </c>
      <c r="H409" s="9">
        <v>2</v>
      </c>
      <c r="I409" s="9">
        <f>1+1</f>
        <v>2</v>
      </c>
      <c r="J409" s="39">
        <v>1</v>
      </c>
      <c r="K409" s="14">
        <f t="shared" si="328"/>
        <v>7</v>
      </c>
      <c r="L409" s="14">
        <f t="shared" si="329"/>
        <v>12</v>
      </c>
      <c r="M409" s="7">
        <v>45495</v>
      </c>
      <c r="O409" s="35" t="s">
        <v>31</v>
      </c>
      <c r="P409" s="8"/>
      <c r="Q409" s="9"/>
      <c r="R409" s="9"/>
      <c r="S409" s="39"/>
      <c r="T409" s="14">
        <f t="shared" si="332"/>
        <v>0</v>
      </c>
      <c r="U409" s="9">
        <v>3</v>
      </c>
      <c r="V409" s="9"/>
      <c r="W409" s="9"/>
      <c r="X409" s="39"/>
      <c r="Y409" s="14">
        <f t="shared" si="333"/>
        <v>3</v>
      </c>
      <c r="Z409" s="14">
        <f t="shared" si="325"/>
        <v>3</v>
      </c>
      <c r="AA409" s="7">
        <v>45497</v>
      </c>
    </row>
    <row r="410" spans="1:27" x14ac:dyDescent="0.15">
      <c r="A410" s="33" t="s">
        <v>147</v>
      </c>
      <c r="B410" s="8"/>
      <c r="C410" s="9">
        <v>-3</v>
      </c>
      <c r="D410" s="9">
        <v>-3</v>
      </c>
      <c r="E410" s="39">
        <v>-3</v>
      </c>
      <c r="F410" s="14">
        <f t="shared" si="327"/>
        <v>-9</v>
      </c>
      <c r="G410" s="9"/>
      <c r="H410" s="9">
        <v>-3</v>
      </c>
      <c r="I410" s="9">
        <v>-3</v>
      </c>
      <c r="J410" s="39">
        <v>-3</v>
      </c>
      <c r="K410" s="14">
        <f t="shared" si="328"/>
        <v>-9</v>
      </c>
      <c r="L410" s="14">
        <f t="shared" si="329"/>
        <v>-18</v>
      </c>
      <c r="M410" s="7">
        <v>45496</v>
      </c>
      <c r="O410" s="35" t="s">
        <v>119</v>
      </c>
      <c r="P410" s="8"/>
      <c r="Q410" s="9"/>
      <c r="R410" s="9"/>
      <c r="S410" s="39">
        <v>6</v>
      </c>
      <c r="T410" s="14">
        <f t="shared" si="332"/>
        <v>6</v>
      </c>
      <c r="U410" s="9"/>
      <c r="V410" s="9"/>
      <c r="W410" s="9"/>
      <c r="X410" s="39"/>
      <c r="Y410" s="14">
        <f t="shared" si="333"/>
        <v>0</v>
      </c>
      <c r="Z410" s="14">
        <f t="shared" si="325"/>
        <v>6</v>
      </c>
      <c r="AA410" s="7">
        <v>45502</v>
      </c>
    </row>
    <row r="411" spans="1:27" x14ac:dyDescent="0.15">
      <c r="A411" s="38" t="s">
        <v>35</v>
      </c>
      <c r="B411" s="8">
        <v>1</v>
      </c>
      <c r="C411" s="9">
        <v>1</v>
      </c>
      <c r="D411" s="9"/>
      <c r="E411" s="39"/>
      <c r="F411" s="14">
        <f t="shared" si="327"/>
        <v>2</v>
      </c>
      <c r="G411" s="9">
        <v>1</v>
      </c>
      <c r="H411" s="9"/>
      <c r="I411" s="9">
        <v>1</v>
      </c>
      <c r="J411" s="39">
        <v>2</v>
      </c>
      <c r="K411" s="14">
        <f t="shared" si="328"/>
        <v>4</v>
      </c>
      <c r="L411" s="14">
        <f t="shared" si="329"/>
        <v>6</v>
      </c>
      <c r="M411" s="7">
        <v>45496</v>
      </c>
      <c r="O411" s="35" t="s">
        <v>119</v>
      </c>
      <c r="P411" s="8"/>
      <c r="Q411" s="9"/>
      <c r="R411" s="9">
        <v>2</v>
      </c>
      <c r="S411" s="39"/>
      <c r="T411" s="14">
        <f t="shared" si="332"/>
        <v>2</v>
      </c>
      <c r="U411" s="9"/>
      <c r="V411" s="9"/>
      <c r="W411" s="9"/>
      <c r="X411" s="39"/>
      <c r="Y411" s="14">
        <f t="shared" si="333"/>
        <v>0</v>
      </c>
      <c r="Z411" s="14">
        <f t="shared" si="325"/>
        <v>2</v>
      </c>
      <c r="AA411" s="7">
        <v>45503</v>
      </c>
    </row>
    <row r="412" spans="1:27" x14ac:dyDescent="0.15">
      <c r="A412" s="33" t="s">
        <v>40</v>
      </c>
      <c r="B412" s="8"/>
      <c r="C412" s="9"/>
      <c r="D412" s="9"/>
      <c r="E412" s="39"/>
      <c r="F412" s="14">
        <f t="shared" si="327"/>
        <v>0</v>
      </c>
      <c r="G412" s="9">
        <v>-3</v>
      </c>
      <c r="H412" s="9"/>
      <c r="I412" s="9"/>
      <c r="J412" s="39"/>
      <c r="K412" s="14">
        <f t="shared" si="328"/>
        <v>-3</v>
      </c>
      <c r="L412" s="14">
        <f t="shared" si="329"/>
        <v>-3</v>
      </c>
      <c r="M412" s="7">
        <v>45497</v>
      </c>
      <c r="O412" s="35" t="s">
        <v>31</v>
      </c>
      <c r="P412" s="8">
        <v>2</v>
      </c>
      <c r="Q412" s="9">
        <v>2</v>
      </c>
      <c r="R412" s="9">
        <v>2</v>
      </c>
      <c r="S412" s="39">
        <v>2</v>
      </c>
      <c r="T412" s="14">
        <f t="shared" si="332"/>
        <v>8</v>
      </c>
      <c r="U412" s="8">
        <v>2</v>
      </c>
      <c r="V412" s="9">
        <v>2</v>
      </c>
      <c r="W412" s="9">
        <v>2</v>
      </c>
      <c r="X412" s="39">
        <v>2</v>
      </c>
      <c r="Y412" s="14">
        <f t="shared" si="333"/>
        <v>8</v>
      </c>
      <c r="Z412" s="14">
        <f t="shared" si="325"/>
        <v>16</v>
      </c>
      <c r="AA412" s="7">
        <v>45498</v>
      </c>
    </row>
    <row r="413" spans="1:27" x14ac:dyDescent="0.15">
      <c r="A413" s="38" t="s">
        <v>35</v>
      </c>
      <c r="B413" s="8">
        <v>1</v>
      </c>
      <c r="C413" s="9"/>
      <c r="D413" s="9"/>
      <c r="E413" s="39">
        <v>1</v>
      </c>
      <c r="F413" s="14">
        <f t="shared" si="327"/>
        <v>2</v>
      </c>
      <c r="G413" s="9"/>
      <c r="H413" s="9"/>
      <c r="I413" s="9"/>
      <c r="J413" s="39"/>
      <c r="K413" s="14">
        <f t="shared" si="328"/>
        <v>0</v>
      </c>
      <c r="L413" s="14">
        <f t="shared" si="329"/>
        <v>2</v>
      </c>
      <c r="M413" s="7">
        <v>45497</v>
      </c>
      <c r="O413" s="35" t="s">
        <v>31</v>
      </c>
      <c r="P413" s="8">
        <v>2</v>
      </c>
      <c r="Q413" s="9">
        <v>2</v>
      </c>
      <c r="R413" s="9">
        <v>2</v>
      </c>
      <c r="S413" s="39">
        <v>2</v>
      </c>
      <c r="T413" s="14">
        <f t="shared" ref="T413" si="334">SUM(P413:S413)</f>
        <v>8</v>
      </c>
      <c r="U413" s="8">
        <v>2</v>
      </c>
      <c r="V413" s="9">
        <v>2</v>
      </c>
      <c r="W413" s="9">
        <v>2</v>
      </c>
      <c r="X413" s="39">
        <v>2</v>
      </c>
      <c r="Y413" s="14">
        <f t="shared" ref="Y413" si="335">SUM(U413:X413)</f>
        <v>8</v>
      </c>
      <c r="Z413" s="14">
        <f t="shared" ref="Z413" si="336">T413+Y413</f>
        <v>16</v>
      </c>
      <c r="AA413" s="7">
        <v>45499</v>
      </c>
    </row>
    <row r="414" spans="1:27" x14ac:dyDescent="0.15">
      <c r="A414" s="33" t="s">
        <v>40</v>
      </c>
      <c r="B414" s="8">
        <v>-2</v>
      </c>
      <c r="C414" s="9">
        <v>-2</v>
      </c>
      <c r="D414" s="9">
        <v>-2</v>
      </c>
      <c r="E414" s="39">
        <v>-2</v>
      </c>
      <c r="F414" s="14">
        <f t="shared" si="327"/>
        <v>-8</v>
      </c>
      <c r="G414" s="9">
        <v>-2</v>
      </c>
      <c r="H414" s="9">
        <v>-2</v>
      </c>
      <c r="I414" s="9">
        <v>-2</v>
      </c>
      <c r="J414" s="39">
        <v>-2</v>
      </c>
      <c r="K414" s="14">
        <f t="shared" si="328"/>
        <v>-8</v>
      </c>
      <c r="L414" s="14">
        <f t="shared" si="329"/>
        <v>-16</v>
      </c>
      <c r="M414" s="7">
        <v>45498</v>
      </c>
      <c r="O414" s="35" t="s">
        <v>119</v>
      </c>
      <c r="P414" s="8"/>
      <c r="Q414" s="9"/>
      <c r="R414" s="9">
        <v>6</v>
      </c>
      <c r="S414" s="39">
        <v>2</v>
      </c>
      <c r="T414" s="14">
        <f t="shared" si="332"/>
        <v>8</v>
      </c>
      <c r="U414" s="9"/>
      <c r="V414" s="9"/>
      <c r="W414" s="9"/>
      <c r="X414" s="39"/>
      <c r="Y414" s="14">
        <f t="shared" si="333"/>
        <v>0</v>
      </c>
      <c r="Z414" s="14">
        <f t="shared" si="325"/>
        <v>8</v>
      </c>
      <c r="AA414" s="7">
        <v>45503</v>
      </c>
    </row>
    <row r="415" spans="1:27" x14ac:dyDescent="0.15">
      <c r="A415" s="38" t="s">
        <v>35</v>
      </c>
      <c r="B415" s="8"/>
      <c r="C415" s="9">
        <f>1+2</f>
        <v>3</v>
      </c>
      <c r="D415" s="9">
        <v>1</v>
      </c>
      <c r="E415" s="39">
        <v>2</v>
      </c>
      <c r="F415" s="14">
        <f t="shared" si="327"/>
        <v>6</v>
      </c>
      <c r="G415" s="9">
        <v>2</v>
      </c>
      <c r="H415" s="9">
        <v>1</v>
      </c>
      <c r="I415" s="9">
        <v>1</v>
      </c>
      <c r="J415" s="39"/>
      <c r="K415" s="14">
        <f t="shared" si="328"/>
        <v>4</v>
      </c>
      <c r="L415" s="14">
        <f t="shared" si="329"/>
        <v>10</v>
      </c>
      <c r="M415" s="7">
        <v>45498</v>
      </c>
      <c r="O415" s="35" t="s">
        <v>31</v>
      </c>
      <c r="P415" s="8"/>
      <c r="Q415" s="9">
        <v>3</v>
      </c>
      <c r="R415" s="9"/>
      <c r="S415" s="39">
        <v>3</v>
      </c>
      <c r="T415" s="14">
        <f t="shared" si="332"/>
        <v>6</v>
      </c>
      <c r="U415" s="9"/>
      <c r="V415" s="9"/>
      <c r="W415" s="9"/>
      <c r="X415" s="39"/>
      <c r="Y415" s="14">
        <f t="shared" si="333"/>
        <v>0</v>
      </c>
      <c r="Z415" s="14">
        <f t="shared" si="325"/>
        <v>6</v>
      </c>
      <c r="AA415" s="7">
        <v>45503</v>
      </c>
    </row>
    <row r="416" spans="1:27" x14ac:dyDescent="0.15">
      <c r="A416" s="33" t="s">
        <v>40</v>
      </c>
      <c r="B416" s="8">
        <v>-2</v>
      </c>
      <c r="C416" s="9">
        <v>-2</v>
      </c>
      <c r="D416" s="9">
        <v>-2</v>
      </c>
      <c r="E416" s="39">
        <v>-2</v>
      </c>
      <c r="F416" s="14">
        <f t="shared" ref="F416" si="337">SUM(B416:E416)</f>
        <v>-8</v>
      </c>
      <c r="G416" s="9">
        <v>-2</v>
      </c>
      <c r="H416" s="9">
        <v>-2</v>
      </c>
      <c r="I416" s="9">
        <v>-2</v>
      </c>
      <c r="J416" s="39">
        <v>-2</v>
      </c>
      <c r="K416" s="14">
        <f t="shared" si="328"/>
        <v>-8</v>
      </c>
      <c r="L416" s="14">
        <f t="shared" si="329"/>
        <v>-16</v>
      </c>
      <c r="M416" s="7">
        <v>45499</v>
      </c>
      <c r="O416" s="35" t="s">
        <v>90</v>
      </c>
      <c r="P416" s="8">
        <v>4</v>
      </c>
      <c r="Q416" s="9">
        <v>5</v>
      </c>
      <c r="R416" s="9">
        <v>5</v>
      </c>
      <c r="S416" s="39">
        <v>5</v>
      </c>
      <c r="T416" s="14">
        <f t="shared" si="332"/>
        <v>19</v>
      </c>
      <c r="U416" s="9"/>
      <c r="V416" s="9"/>
      <c r="W416" s="9"/>
      <c r="X416" s="39">
        <v>1</v>
      </c>
      <c r="Y416" s="14">
        <f t="shared" si="333"/>
        <v>1</v>
      </c>
      <c r="Z416" s="14">
        <f t="shared" si="325"/>
        <v>20</v>
      </c>
      <c r="AA416" s="7">
        <v>45509</v>
      </c>
    </row>
    <row r="417" spans="1:27" x14ac:dyDescent="0.15">
      <c r="A417" s="38" t="s">
        <v>35</v>
      </c>
      <c r="B417" s="8"/>
      <c r="C417" s="9">
        <v>1</v>
      </c>
      <c r="D417" s="9"/>
      <c r="E417" s="39"/>
      <c r="F417" s="14">
        <f t="shared" si="327"/>
        <v>1</v>
      </c>
      <c r="G417" s="9"/>
      <c r="H417" s="9"/>
      <c r="I417" s="9"/>
      <c r="J417" s="39"/>
      <c r="K417" s="14">
        <f t="shared" si="328"/>
        <v>0</v>
      </c>
      <c r="L417" s="14">
        <f t="shared" si="329"/>
        <v>1</v>
      </c>
      <c r="M417" s="7">
        <v>45499</v>
      </c>
      <c r="O417" s="35" t="s">
        <v>119</v>
      </c>
      <c r="P417" s="8"/>
      <c r="Q417" s="9"/>
      <c r="R417" s="9"/>
      <c r="S417" s="39">
        <v>2</v>
      </c>
      <c r="T417" s="14">
        <f t="shared" si="332"/>
        <v>2</v>
      </c>
      <c r="U417" s="9"/>
      <c r="V417" s="9"/>
      <c r="W417" s="9"/>
      <c r="X417" s="39"/>
      <c r="Y417" s="14">
        <f t="shared" si="333"/>
        <v>0</v>
      </c>
      <c r="Z417" s="14">
        <f t="shared" si="325"/>
        <v>2</v>
      </c>
      <c r="AA417" s="7">
        <v>45510</v>
      </c>
    </row>
    <row r="418" spans="1:27" x14ac:dyDescent="0.15">
      <c r="A418" s="38" t="s">
        <v>35</v>
      </c>
      <c r="B418" s="8"/>
      <c r="C418" s="9"/>
      <c r="D418" s="9">
        <f>1+1</f>
        <v>2</v>
      </c>
      <c r="E418" s="39">
        <f>1+2+1</f>
        <v>4</v>
      </c>
      <c r="F418" s="14">
        <f t="shared" si="327"/>
        <v>6</v>
      </c>
      <c r="G418" s="9"/>
      <c r="H418" s="9">
        <f>1+1</f>
        <v>2</v>
      </c>
      <c r="I418" s="9"/>
      <c r="J418" s="39"/>
      <c r="K418" s="14">
        <f t="shared" si="328"/>
        <v>2</v>
      </c>
      <c r="L418" s="14">
        <f t="shared" si="329"/>
        <v>8</v>
      </c>
      <c r="M418" s="7">
        <v>45502</v>
      </c>
      <c r="O418" s="35" t="s">
        <v>119</v>
      </c>
      <c r="P418" s="8">
        <v>2</v>
      </c>
      <c r="Q418" s="9"/>
      <c r="R418" s="9"/>
      <c r="S418" s="39"/>
      <c r="T418" s="14">
        <f t="shared" si="332"/>
        <v>2</v>
      </c>
      <c r="U418" s="9"/>
      <c r="V418" s="9"/>
      <c r="W418" s="9"/>
      <c r="X418" s="39"/>
      <c r="Y418" s="14">
        <f t="shared" si="333"/>
        <v>0</v>
      </c>
      <c r="Z418" s="14">
        <f t="shared" si="325"/>
        <v>2</v>
      </c>
      <c r="AA418" s="7">
        <v>45512</v>
      </c>
    </row>
    <row r="419" spans="1:27" x14ac:dyDescent="0.15">
      <c r="A419" s="33" t="s">
        <v>40</v>
      </c>
      <c r="B419" s="8"/>
      <c r="C419" s="9">
        <v>-3</v>
      </c>
      <c r="D419" s="9"/>
      <c r="E419" s="39">
        <v>-3</v>
      </c>
      <c r="F419" s="14">
        <f t="shared" si="327"/>
        <v>-6</v>
      </c>
      <c r="G419" s="9"/>
      <c r="H419" s="9"/>
      <c r="I419" s="9"/>
      <c r="J419" s="39"/>
      <c r="K419" s="14">
        <f t="shared" si="328"/>
        <v>0</v>
      </c>
      <c r="L419" s="14">
        <f t="shared" si="329"/>
        <v>-6</v>
      </c>
      <c r="M419" s="7">
        <v>45503</v>
      </c>
      <c r="O419" s="35" t="s">
        <v>92</v>
      </c>
      <c r="P419" s="8">
        <v>4</v>
      </c>
      <c r="Q419" s="9"/>
      <c r="R419" s="9">
        <v>1</v>
      </c>
      <c r="S419" s="39">
        <v>4</v>
      </c>
      <c r="T419" s="14">
        <f t="shared" si="332"/>
        <v>9</v>
      </c>
      <c r="U419" s="9">
        <v>1</v>
      </c>
      <c r="V419" s="9"/>
      <c r="W419" s="9"/>
      <c r="X419" s="39"/>
      <c r="Y419" s="14">
        <f t="shared" si="333"/>
        <v>1</v>
      </c>
      <c r="Z419" s="14">
        <f t="shared" si="325"/>
        <v>10</v>
      </c>
      <c r="AA419" s="7">
        <v>45513</v>
      </c>
    </row>
    <row r="420" spans="1:27" x14ac:dyDescent="0.15">
      <c r="A420" s="38" t="s">
        <v>35</v>
      </c>
      <c r="B420" s="8"/>
      <c r="C420" s="9">
        <v>1</v>
      </c>
      <c r="D420" s="9"/>
      <c r="E420" s="39"/>
      <c r="F420" s="14">
        <f t="shared" si="327"/>
        <v>1</v>
      </c>
      <c r="G420" s="9">
        <v>-1</v>
      </c>
      <c r="H420" s="9"/>
      <c r="I420" s="9"/>
      <c r="J420" s="39"/>
      <c r="K420" s="14">
        <f t="shared" si="328"/>
        <v>-1</v>
      </c>
      <c r="L420" s="14">
        <f t="shared" si="329"/>
        <v>0</v>
      </c>
      <c r="M420" s="7">
        <v>45503</v>
      </c>
      <c r="O420" s="35" t="s">
        <v>119</v>
      </c>
      <c r="P420" s="8"/>
      <c r="Q420" s="9">
        <v>7</v>
      </c>
      <c r="R420" s="9"/>
      <c r="S420" s="39">
        <v>2</v>
      </c>
      <c r="T420" s="14">
        <f t="shared" si="332"/>
        <v>9</v>
      </c>
      <c r="U420" s="9"/>
      <c r="V420" s="9"/>
      <c r="W420" s="9"/>
      <c r="X420" s="39"/>
      <c r="Y420" s="14">
        <f t="shared" si="333"/>
        <v>0</v>
      </c>
      <c r="Z420" s="14">
        <f t="shared" si="325"/>
        <v>9</v>
      </c>
      <c r="AA420" s="7">
        <v>45517</v>
      </c>
    </row>
    <row r="421" spans="1:27" x14ac:dyDescent="0.15">
      <c r="A421" s="38" t="s">
        <v>35</v>
      </c>
      <c r="B421" s="8"/>
      <c r="C421" s="9"/>
      <c r="D421" s="9"/>
      <c r="E421" s="39"/>
      <c r="F421" s="14">
        <f t="shared" si="327"/>
        <v>0</v>
      </c>
      <c r="G421" s="9"/>
      <c r="H421" s="9"/>
      <c r="I421" s="9"/>
      <c r="J421" s="39">
        <v>2</v>
      </c>
      <c r="K421" s="14">
        <f t="shared" si="328"/>
        <v>2</v>
      </c>
      <c r="L421" s="14">
        <f t="shared" si="329"/>
        <v>2</v>
      </c>
      <c r="M421" s="7">
        <v>45504</v>
      </c>
      <c r="O421" s="35" t="s">
        <v>31</v>
      </c>
      <c r="P421" s="8"/>
      <c r="Q421" s="9"/>
      <c r="R421" s="9"/>
      <c r="S421" s="39"/>
      <c r="T421" s="14">
        <f t="shared" ref="T421" si="338">SUM(P421:S421)</f>
        <v>0</v>
      </c>
      <c r="U421" s="9"/>
      <c r="V421" s="9"/>
      <c r="W421" s="9">
        <v>3</v>
      </c>
      <c r="X421" s="39"/>
      <c r="Y421" s="14">
        <f t="shared" ref="Y421" si="339">SUM(U421:X421)</f>
        <v>3</v>
      </c>
      <c r="Z421" s="14">
        <f t="shared" si="325"/>
        <v>3</v>
      </c>
      <c r="AA421" s="7">
        <v>45514</v>
      </c>
    </row>
    <row r="422" spans="1:27" x14ac:dyDescent="0.15">
      <c r="A422" s="38" t="s">
        <v>35</v>
      </c>
      <c r="B422" s="8">
        <v>1</v>
      </c>
      <c r="C422" s="9"/>
      <c r="D422" s="9"/>
      <c r="E422" s="39"/>
      <c r="F422" s="14">
        <f t="shared" si="327"/>
        <v>1</v>
      </c>
      <c r="G422" s="9"/>
      <c r="H422" s="9">
        <v>1</v>
      </c>
      <c r="I422" s="9">
        <f>1+1</f>
        <v>2</v>
      </c>
      <c r="J422" s="39"/>
      <c r="K422" s="14">
        <f t="shared" si="328"/>
        <v>3</v>
      </c>
      <c r="L422" s="14">
        <f t="shared" si="329"/>
        <v>4</v>
      </c>
      <c r="M422" s="7">
        <v>45505</v>
      </c>
      <c r="O422" s="35"/>
      <c r="P422" s="8"/>
      <c r="Q422" s="9"/>
      <c r="R422" s="9"/>
      <c r="S422" s="39"/>
      <c r="T422" s="14">
        <f t="shared" ref="T422:T424" si="340">SUM(P422:S422)</f>
        <v>0</v>
      </c>
      <c r="U422" s="9"/>
      <c r="V422" s="9"/>
      <c r="W422" s="9"/>
      <c r="X422" s="39"/>
      <c r="Y422" s="14">
        <f t="shared" ref="Y422:Y424" si="341">SUM(U422:X422)</f>
        <v>0</v>
      </c>
      <c r="Z422" s="14">
        <f t="shared" ref="Z422:Z424" si="342">T422+Y422</f>
        <v>0</v>
      </c>
    </row>
    <row r="423" spans="1:27" x14ac:dyDescent="0.15">
      <c r="A423" s="38" t="s">
        <v>35</v>
      </c>
      <c r="B423" s="8"/>
      <c r="C423" s="9"/>
      <c r="D423" s="9"/>
      <c r="E423" s="39">
        <v>1</v>
      </c>
      <c r="F423" s="14">
        <f t="shared" si="327"/>
        <v>1</v>
      </c>
      <c r="G423" s="9"/>
      <c r="H423" s="9"/>
      <c r="I423" s="9"/>
      <c r="J423" s="39">
        <v>1</v>
      </c>
      <c r="K423" s="14">
        <f t="shared" si="328"/>
        <v>1</v>
      </c>
      <c r="L423" s="14">
        <f t="shared" si="329"/>
        <v>2</v>
      </c>
      <c r="M423" s="7">
        <v>45506</v>
      </c>
      <c r="O423" s="35"/>
      <c r="P423" s="8"/>
      <c r="Q423" s="9"/>
      <c r="R423" s="9"/>
      <c r="S423" s="39"/>
      <c r="T423" s="14">
        <f t="shared" si="340"/>
        <v>0</v>
      </c>
      <c r="U423" s="9"/>
      <c r="V423" s="9"/>
      <c r="W423" s="9"/>
      <c r="X423" s="39"/>
      <c r="Y423" s="14">
        <f t="shared" si="341"/>
        <v>0</v>
      </c>
      <c r="Z423" s="14">
        <f t="shared" si="342"/>
        <v>0</v>
      </c>
    </row>
    <row r="424" spans="1:27" x14ac:dyDescent="0.15">
      <c r="A424" s="38" t="s">
        <v>35</v>
      </c>
      <c r="B424" s="8">
        <v>1</v>
      </c>
      <c r="C424" s="9">
        <v>2</v>
      </c>
      <c r="D424" s="9">
        <v>1</v>
      </c>
      <c r="E424" s="39"/>
      <c r="F424" s="14">
        <f t="shared" ref="F424:F428" si="343">SUM(B424:E424)</f>
        <v>4</v>
      </c>
      <c r="G424" s="9"/>
      <c r="H424" s="9"/>
      <c r="I424" s="9"/>
      <c r="J424" s="39">
        <v>1</v>
      </c>
      <c r="K424" s="14">
        <f t="shared" ref="K424:K428" si="344">SUM(G424:J424)</f>
        <v>1</v>
      </c>
      <c r="L424" s="14">
        <f t="shared" si="326"/>
        <v>5</v>
      </c>
      <c r="M424" s="7">
        <v>45509</v>
      </c>
      <c r="O424" s="33"/>
      <c r="P424" s="8"/>
      <c r="Q424" s="9"/>
      <c r="R424" s="9"/>
      <c r="S424" s="39"/>
      <c r="T424" s="14">
        <f t="shared" si="340"/>
        <v>0</v>
      </c>
      <c r="U424" s="9"/>
      <c r="V424" s="9"/>
      <c r="W424" s="9"/>
      <c r="X424" s="39"/>
      <c r="Y424" s="14">
        <f t="shared" si="341"/>
        <v>0</v>
      </c>
      <c r="Z424" s="14">
        <f t="shared" si="342"/>
        <v>0</v>
      </c>
    </row>
    <row r="425" spans="1:27" x14ac:dyDescent="0.15">
      <c r="A425" s="38" t="s">
        <v>35</v>
      </c>
      <c r="B425" s="8">
        <v>1</v>
      </c>
      <c r="C425" s="9"/>
      <c r="D425" s="9"/>
      <c r="E425" s="39"/>
      <c r="F425" s="14">
        <f t="shared" si="343"/>
        <v>1</v>
      </c>
      <c r="G425" s="9">
        <v>1</v>
      </c>
      <c r="H425" s="9">
        <v>1</v>
      </c>
      <c r="I425" s="9"/>
      <c r="J425" s="39"/>
      <c r="K425" s="14">
        <f t="shared" si="344"/>
        <v>2</v>
      </c>
      <c r="L425" s="14">
        <f t="shared" si="326"/>
        <v>3</v>
      </c>
      <c r="M425" s="7">
        <v>45510</v>
      </c>
      <c r="O425" s="33"/>
      <c r="P425" s="8"/>
      <c r="Q425" s="9"/>
      <c r="R425" s="9"/>
      <c r="S425" s="39"/>
      <c r="T425" s="14">
        <f t="shared" ref="T425:T426" si="345">SUM(P425:S425)</f>
        <v>0</v>
      </c>
      <c r="U425" s="9"/>
      <c r="V425" s="9"/>
      <c r="W425" s="9"/>
      <c r="X425" s="39"/>
      <c r="Y425" s="14">
        <f t="shared" ref="Y425:Y426" si="346">SUM(U425:X425)</f>
        <v>0</v>
      </c>
      <c r="Z425" s="14">
        <f t="shared" ref="Z425:Z426" si="347">T425+Y425</f>
        <v>0</v>
      </c>
    </row>
    <row r="426" spans="1:27" ht="14.25" thickBot="1" x14ac:dyDescent="0.2">
      <c r="A426" s="38" t="s">
        <v>35</v>
      </c>
      <c r="B426" s="15"/>
      <c r="C426" s="16"/>
      <c r="D426" s="16"/>
      <c r="E426" s="58">
        <v>1</v>
      </c>
      <c r="F426" s="56">
        <f t="shared" si="343"/>
        <v>1</v>
      </c>
      <c r="G426" s="16"/>
      <c r="H426" s="16"/>
      <c r="I426" s="16"/>
      <c r="J426" s="58"/>
      <c r="K426" s="56">
        <f t="shared" si="344"/>
        <v>0</v>
      </c>
      <c r="L426" s="59">
        <f t="shared" si="326"/>
        <v>1</v>
      </c>
      <c r="M426" s="7">
        <v>45511</v>
      </c>
      <c r="O426" s="33"/>
      <c r="P426" s="8"/>
      <c r="Q426" s="9"/>
      <c r="R426" s="9"/>
      <c r="S426" s="39"/>
      <c r="T426" s="14">
        <f t="shared" si="345"/>
        <v>0</v>
      </c>
      <c r="U426" s="9"/>
      <c r="V426" s="9"/>
      <c r="W426" s="9"/>
      <c r="X426" s="39"/>
      <c r="Y426" s="14">
        <f t="shared" si="346"/>
        <v>0</v>
      </c>
      <c r="Z426" s="14">
        <f t="shared" si="347"/>
        <v>0</v>
      </c>
    </row>
    <row r="427" spans="1:27" ht="14.25" thickBot="1" x14ac:dyDescent="0.2">
      <c r="A427" s="3" t="s">
        <v>7</v>
      </c>
      <c r="B427" s="17">
        <f t="shared" ref="B427:E427" si="348">SUM(B401:B426)</f>
        <v>5</v>
      </c>
      <c r="C427" s="18">
        <f t="shared" si="348"/>
        <v>8</v>
      </c>
      <c r="D427" s="18">
        <f t="shared" si="348"/>
        <v>3</v>
      </c>
      <c r="E427" s="40">
        <f t="shared" si="348"/>
        <v>4</v>
      </c>
      <c r="F427" s="11">
        <f t="shared" si="343"/>
        <v>20</v>
      </c>
      <c r="G427" s="17">
        <f t="shared" ref="G427:J427" si="349">SUM(G401:G426)</f>
        <v>-2</v>
      </c>
      <c r="H427" s="18">
        <f t="shared" si="349"/>
        <v>4</v>
      </c>
      <c r="I427" s="18">
        <f t="shared" si="349"/>
        <v>4</v>
      </c>
      <c r="J427" s="40">
        <f t="shared" si="349"/>
        <v>1</v>
      </c>
      <c r="K427" s="11">
        <f t="shared" si="344"/>
        <v>7</v>
      </c>
      <c r="L427" s="11">
        <f t="shared" si="326"/>
        <v>27</v>
      </c>
      <c r="O427" s="3" t="s">
        <v>7</v>
      </c>
      <c r="P427" s="17">
        <f t="shared" ref="P427:S427" si="350">SUM(P401:P426)</f>
        <v>27</v>
      </c>
      <c r="Q427" s="18">
        <f t="shared" si="350"/>
        <v>40</v>
      </c>
      <c r="R427" s="18">
        <f t="shared" si="350"/>
        <v>31</v>
      </c>
      <c r="S427" s="40">
        <f t="shared" si="350"/>
        <v>41</v>
      </c>
      <c r="T427" s="11">
        <f t="shared" ref="T427:T428" si="351">SUM(P427:S427)</f>
        <v>139</v>
      </c>
      <c r="U427" s="17">
        <f t="shared" ref="U427:X427" si="352">SUM(U401:U426)</f>
        <v>11</v>
      </c>
      <c r="V427" s="18">
        <f t="shared" si="352"/>
        <v>10</v>
      </c>
      <c r="W427" s="18">
        <f t="shared" si="352"/>
        <v>16</v>
      </c>
      <c r="X427" s="40">
        <f t="shared" si="352"/>
        <v>8</v>
      </c>
      <c r="Y427" s="11">
        <f t="shared" ref="Y427:Y428" si="353">SUM(U427:X427)</f>
        <v>45</v>
      </c>
      <c r="Z427" s="11">
        <f t="shared" si="325"/>
        <v>184</v>
      </c>
    </row>
    <row r="428" spans="1:27" ht="14.25" thickBot="1" x14ac:dyDescent="0.2">
      <c r="A428" s="19" t="s">
        <v>8</v>
      </c>
      <c r="B428" s="20">
        <f t="shared" ref="B428:E428" si="354">B400-B427</f>
        <v>6</v>
      </c>
      <c r="C428" s="21">
        <f t="shared" si="354"/>
        <v>4</v>
      </c>
      <c r="D428" s="21">
        <f t="shared" si="354"/>
        <v>5</v>
      </c>
      <c r="E428" s="22">
        <f t="shared" si="354"/>
        <v>4</v>
      </c>
      <c r="F428" s="11">
        <f t="shared" si="343"/>
        <v>19</v>
      </c>
      <c r="G428" s="20">
        <f t="shared" ref="G428:J428" si="355">G400-G427</f>
        <v>7</v>
      </c>
      <c r="H428" s="21">
        <f t="shared" si="355"/>
        <v>5</v>
      </c>
      <c r="I428" s="21">
        <f t="shared" si="355"/>
        <v>5</v>
      </c>
      <c r="J428" s="51">
        <f t="shared" si="355"/>
        <v>4</v>
      </c>
      <c r="K428" s="11">
        <f t="shared" si="344"/>
        <v>21</v>
      </c>
      <c r="L428" s="53">
        <f t="shared" si="326"/>
        <v>40</v>
      </c>
      <c r="O428" s="19" t="s">
        <v>8</v>
      </c>
      <c r="P428" s="20">
        <f t="shared" ref="P428:S428" si="356">P400-P427</f>
        <v>308</v>
      </c>
      <c r="Q428" s="21">
        <f t="shared" si="356"/>
        <v>275</v>
      </c>
      <c r="R428" s="21">
        <f t="shared" si="356"/>
        <v>202</v>
      </c>
      <c r="S428" s="22">
        <f t="shared" si="356"/>
        <v>180</v>
      </c>
      <c r="T428" s="11">
        <f t="shared" si="351"/>
        <v>965</v>
      </c>
      <c r="U428" s="20">
        <f t="shared" ref="U428:X428" si="357">U400-U427</f>
        <v>56</v>
      </c>
      <c r="V428" s="21">
        <f t="shared" si="357"/>
        <v>64</v>
      </c>
      <c r="W428" s="21">
        <f t="shared" si="357"/>
        <v>33</v>
      </c>
      <c r="X428" s="51">
        <f t="shared" si="357"/>
        <v>33</v>
      </c>
      <c r="Y428" s="11">
        <f t="shared" si="353"/>
        <v>186</v>
      </c>
      <c r="Z428" s="53">
        <f t="shared" si="325"/>
        <v>1151</v>
      </c>
    </row>
    <row r="429" spans="1:27" x14ac:dyDescent="0.15">
      <c r="O429" s="34" t="s">
        <v>148</v>
      </c>
      <c r="P429" s="34">
        <f>P427+P388+P349+P310+P271</f>
        <v>187</v>
      </c>
      <c r="Q429" s="34">
        <f t="shared" ref="Q429:Z429" si="358">Q427+Q388+Q349+Q310+Q271</f>
        <v>238</v>
      </c>
      <c r="R429" s="34">
        <f t="shared" si="358"/>
        <v>139</v>
      </c>
      <c r="S429" s="34">
        <f t="shared" si="358"/>
        <v>158</v>
      </c>
      <c r="T429" s="34">
        <f t="shared" si="358"/>
        <v>722</v>
      </c>
      <c r="U429" s="34">
        <f t="shared" si="358"/>
        <v>32</v>
      </c>
      <c r="V429" s="34">
        <f t="shared" si="358"/>
        <v>42</v>
      </c>
      <c r="W429" s="34">
        <f t="shared" si="358"/>
        <v>46</v>
      </c>
      <c r="X429" s="34">
        <f t="shared" si="358"/>
        <v>40</v>
      </c>
      <c r="Y429" s="34">
        <f t="shared" si="358"/>
        <v>160</v>
      </c>
      <c r="Z429" s="34">
        <f t="shared" si="358"/>
        <v>882</v>
      </c>
    </row>
    <row r="430" spans="1:27" x14ac:dyDescent="0.15">
      <c r="P430" s="145">
        <f>P429/$T$429*100</f>
        <v>25.900277008310251</v>
      </c>
      <c r="Q430" s="145">
        <f t="shared" ref="Q430:T430" si="359">Q429/$T$429*100</f>
        <v>32.963988919667592</v>
      </c>
      <c r="R430" s="145">
        <f t="shared" si="359"/>
        <v>19.252077562326868</v>
      </c>
      <c r="S430" s="145">
        <f t="shared" si="359"/>
        <v>21.883656509695289</v>
      </c>
      <c r="T430" s="145">
        <f t="shared" si="359"/>
        <v>100</v>
      </c>
    </row>
    <row r="431" spans="1:27" ht="19.5" thickBot="1" x14ac:dyDescent="0.25">
      <c r="A431" s="1" t="s">
        <v>19</v>
      </c>
      <c r="C431" s="164" t="s">
        <v>20</v>
      </c>
      <c r="D431" s="164"/>
      <c r="O431" s="1" t="s">
        <v>21</v>
      </c>
      <c r="S431" s="164" t="s">
        <v>20</v>
      </c>
      <c r="T431" s="164"/>
    </row>
    <row r="432" spans="1:27" ht="14.25" thickBot="1" x14ac:dyDescent="0.2">
      <c r="A432" s="3" t="s">
        <v>0</v>
      </c>
      <c r="B432" s="165" t="s">
        <v>15</v>
      </c>
      <c r="C432" s="166"/>
      <c r="D432" s="166"/>
      <c r="E432" s="166"/>
      <c r="F432" s="167"/>
      <c r="G432" s="168" t="s">
        <v>18</v>
      </c>
      <c r="H432" s="169"/>
      <c r="I432" s="169"/>
      <c r="J432" s="169"/>
      <c r="K432" s="170"/>
      <c r="L432" s="47"/>
      <c r="O432" s="3" t="s">
        <v>0</v>
      </c>
      <c r="P432" s="165" t="s">
        <v>15</v>
      </c>
      <c r="Q432" s="166"/>
      <c r="R432" s="166"/>
      <c r="S432" s="166"/>
      <c r="T432" s="167"/>
      <c r="U432" s="168" t="s">
        <v>18</v>
      </c>
      <c r="V432" s="169"/>
      <c r="W432" s="169"/>
      <c r="X432" s="169"/>
      <c r="Y432" s="170"/>
      <c r="Z432" s="47"/>
    </row>
    <row r="433" spans="1:27" ht="14.25" thickBot="1" x14ac:dyDescent="0.2">
      <c r="A433" s="3" t="s">
        <v>1</v>
      </c>
      <c r="B433" s="23" t="s">
        <v>11</v>
      </c>
      <c r="C433" s="24" t="s">
        <v>12</v>
      </c>
      <c r="D433" s="24" t="s">
        <v>13</v>
      </c>
      <c r="E433" s="25" t="s">
        <v>14</v>
      </c>
      <c r="F433" s="48" t="s">
        <v>2</v>
      </c>
      <c r="G433" s="23" t="s">
        <v>11</v>
      </c>
      <c r="H433" s="24" t="s">
        <v>12</v>
      </c>
      <c r="I433" s="24" t="s">
        <v>13</v>
      </c>
      <c r="J433" s="25" t="s">
        <v>14</v>
      </c>
      <c r="K433" s="48" t="s">
        <v>2</v>
      </c>
      <c r="L433" s="48" t="s">
        <v>17</v>
      </c>
      <c r="O433" s="3" t="s">
        <v>1</v>
      </c>
      <c r="P433" s="23" t="s">
        <v>11</v>
      </c>
      <c r="Q433" s="24" t="s">
        <v>12</v>
      </c>
      <c r="R433" s="24" t="s">
        <v>13</v>
      </c>
      <c r="S433" s="25" t="s">
        <v>14</v>
      </c>
      <c r="T433" s="48" t="s">
        <v>2</v>
      </c>
      <c r="U433" s="23" t="s">
        <v>11</v>
      </c>
      <c r="V433" s="24" t="s">
        <v>12</v>
      </c>
      <c r="W433" s="24" t="s">
        <v>13</v>
      </c>
      <c r="X433" s="25" t="s">
        <v>14</v>
      </c>
      <c r="Y433" s="48" t="s">
        <v>2</v>
      </c>
      <c r="Z433" s="48" t="s">
        <v>17</v>
      </c>
    </row>
    <row r="434" spans="1:27" x14ac:dyDescent="0.15">
      <c r="A434" s="116" t="s">
        <v>9</v>
      </c>
      <c r="B434" s="113">
        <f>B428</f>
        <v>6</v>
      </c>
      <c r="C434" s="27">
        <f>C428</f>
        <v>4</v>
      </c>
      <c r="D434" s="27">
        <f>D428</f>
        <v>5</v>
      </c>
      <c r="E434" s="42">
        <f>E428</f>
        <v>4</v>
      </c>
      <c r="F434" s="28">
        <f>SUM(B434:E434)</f>
        <v>19</v>
      </c>
      <c r="G434" s="113">
        <f>G428</f>
        <v>7</v>
      </c>
      <c r="H434" s="27">
        <f>H428</f>
        <v>5</v>
      </c>
      <c r="I434" s="27">
        <f>I428</f>
        <v>5</v>
      </c>
      <c r="J434" s="42">
        <f>J428</f>
        <v>4</v>
      </c>
      <c r="K434" s="28">
        <f>SUM(G434:J434)</f>
        <v>21</v>
      </c>
      <c r="L434" s="114">
        <f>F434+K434</f>
        <v>40</v>
      </c>
      <c r="O434" s="54" t="s">
        <v>9</v>
      </c>
      <c r="P434" s="26">
        <f>P428</f>
        <v>308</v>
      </c>
      <c r="Q434" s="27">
        <f>Q428</f>
        <v>275</v>
      </c>
      <c r="R434" s="27">
        <f>R428</f>
        <v>202</v>
      </c>
      <c r="S434" s="42">
        <f>S428</f>
        <v>180</v>
      </c>
      <c r="T434" s="28">
        <f>SUM(P434:S434)</f>
        <v>965</v>
      </c>
      <c r="U434" s="26">
        <f>U428</f>
        <v>56</v>
      </c>
      <c r="V434" s="27">
        <f>V428</f>
        <v>64</v>
      </c>
      <c r="W434" s="27">
        <f>W428</f>
        <v>33</v>
      </c>
      <c r="X434" s="42">
        <f>X428</f>
        <v>33</v>
      </c>
      <c r="Y434" s="52">
        <f>SUM(U434:X434)</f>
        <v>186</v>
      </c>
      <c r="Z434" s="28">
        <f>T434+Y434</f>
        <v>1151</v>
      </c>
    </row>
    <row r="435" spans="1:27" x14ac:dyDescent="0.15">
      <c r="A435" s="35" t="s">
        <v>10</v>
      </c>
      <c r="B435" s="9"/>
      <c r="C435" s="29"/>
      <c r="D435" s="29"/>
      <c r="E435" s="43"/>
      <c r="F435" s="14">
        <f t="shared" ref="F435:F438" si="360">SUM(B435:E435)</f>
        <v>0</v>
      </c>
      <c r="G435" s="9"/>
      <c r="H435" s="29"/>
      <c r="I435" s="29">
        <v>3</v>
      </c>
      <c r="J435" s="43"/>
      <c r="K435" s="14">
        <f t="shared" ref="K435:K438" si="361">SUM(G435:J435)</f>
        <v>3</v>
      </c>
      <c r="L435" s="125">
        <f t="shared" ref="L435:L467" si="362">F435+K435</f>
        <v>3</v>
      </c>
      <c r="M435" s="7">
        <v>45514</v>
      </c>
      <c r="O435" s="33" t="s">
        <v>10</v>
      </c>
      <c r="P435" s="9"/>
      <c r="Q435" s="29"/>
      <c r="R435" s="29"/>
      <c r="S435" s="43"/>
      <c r="T435" s="14">
        <f t="shared" ref="T435:T438" si="363">SUM(P435:S435)</f>
        <v>0</v>
      </c>
      <c r="U435" s="9"/>
      <c r="V435" s="29"/>
      <c r="W435" s="29"/>
      <c r="X435" s="43"/>
      <c r="Y435" s="14">
        <f t="shared" ref="Y435:Y438" si="364">SUM(U435:X435)</f>
        <v>0</v>
      </c>
      <c r="Z435" s="125">
        <f t="shared" ref="Z435:Z467" si="365">T435+Y435</f>
        <v>0</v>
      </c>
    </row>
    <row r="436" spans="1:27" x14ac:dyDescent="0.15">
      <c r="A436" s="35" t="s">
        <v>3</v>
      </c>
      <c r="B436" s="9"/>
      <c r="C436" s="29">
        <v>3</v>
      </c>
      <c r="D436" s="29"/>
      <c r="E436" s="43"/>
      <c r="F436" s="14">
        <f t="shared" si="360"/>
        <v>3</v>
      </c>
      <c r="G436" s="9"/>
      <c r="H436" s="29"/>
      <c r="I436" s="29"/>
      <c r="J436" s="43">
        <v>3</v>
      </c>
      <c r="K436" s="14">
        <f t="shared" si="361"/>
        <v>3</v>
      </c>
      <c r="L436" s="125">
        <f t="shared" si="362"/>
        <v>6</v>
      </c>
      <c r="M436" s="7">
        <v>45521</v>
      </c>
      <c r="O436" s="33" t="s">
        <v>3</v>
      </c>
      <c r="P436" s="122"/>
      <c r="Q436" s="119"/>
      <c r="R436" s="119"/>
      <c r="S436" s="120"/>
      <c r="T436" s="14">
        <f t="shared" si="363"/>
        <v>0</v>
      </c>
      <c r="U436" s="122"/>
      <c r="V436" s="119"/>
      <c r="W436" s="119"/>
      <c r="X436" s="120"/>
      <c r="Y436" s="14">
        <f t="shared" si="364"/>
        <v>0</v>
      </c>
      <c r="Z436" s="125">
        <f t="shared" si="365"/>
        <v>0</v>
      </c>
    </row>
    <row r="437" spans="1:27" x14ac:dyDescent="0.15">
      <c r="A437" s="35" t="s">
        <v>38</v>
      </c>
      <c r="B437" s="9">
        <v>1</v>
      </c>
      <c r="C437" s="29">
        <v>2</v>
      </c>
      <c r="D437" s="29">
        <v>3</v>
      </c>
      <c r="E437" s="43"/>
      <c r="F437" s="14">
        <f t="shared" si="360"/>
        <v>6</v>
      </c>
      <c r="G437" s="9"/>
      <c r="H437" s="29"/>
      <c r="I437" s="29"/>
      <c r="J437" s="43"/>
      <c r="K437" s="14">
        <f t="shared" si="361"/>
        <v>0</v>
      </c>
      <c r="L437" s="125">
        <f t="shared" si="362"/>
        <v>6</v>
      </c>
      <c r="M437" s="7">
        <v>45525</v>
      </c>
      <c r="O437" s="33" t="s">
        <v>4</v>
      </c>
      <c r="P437" s="122"/>
      <c r="Q437" s="119"/>
      <c r="R437" s="119"/>
      <c r="S437" s="120"/>
      <c r="T437" s="14">
        <f t="shared" si="363"/>
        <v>0</v>
      </c>
      <c r="U437" s="122"/>
      <c r="V437" s="119"/>
      <c r="W437" s="119"/>
      <c r="X437" s="120"/>
      <c r="Y437" s="14">
        <f t="shared" si="364"/>
        <v>0</v>
      </c>
      <c r="Z437" s="125">
        <f t="shared" si="365"/>
        <v>0</v>
      </c>
    </row>
    <row r="438" spans="1:27" ht="14.25" thickBot="1" x14ac:dyDescent="0.2">
      <c r="A438" s="35" t="s">
        <v>87</v>
      </c>
      <c r="B438" s="135">
        <v>-1</v>
      </c>
      <c r="C438" s="136">
        <v>-1</v>
      </c>
      <c r="D438" s="136">
        <v>0</v>
      </c>
      <c r="E438" s="137">
        <v>0</v>
      </c>
      <c r="F438" s="59">
        <f t="shared" si="360"/>
        <v>-2</v>
      </c>
      <c r="G438" s="135">
        <v>0</v>
      </c>
      <c r="H438" s="136">
        <v>-1</v>
      </c>
      <c r="I438" s="136">
        <v>0</v>
      </c>
      <c r="J438" s="137">
        <v>0</v>
      </c>
      <c r="K438" s="59">
        <f t="shared" si="361"/>
        <v>-1</v>
      </c>
      <c r="L438" s="138">
        <f t="shared" si="362"/>
        <v>-3</v>
      </c>
      <c r="M438" s="7">
        <v>45531</v>
      </c>
      <c r="O438" s="35" t="s">
        <v>5</v>
      </c>
      <c r="P438" s="135"/>
      <c r="Q438" s="136"/>
      <c r="R438" s="136"/>
      <c r="S438" s="137"/>
      <c r="T438" s="59">
        <f t="shared" si="363"/>
        <v>0</v>
      </c>
      <c r="U438" s="135"/>
      <c r="V438" s="136"/>
      <c r="W438" s="136"/>
      <c r="X438" s="137"/>
      <c r="Y438" s="59">
        <f t="shared" si="364"/>
        <v>0</v>
      </c>
      <c r="Z438" s="138">
        <f t="shared" si="365"/>
        <v>0</v>
      </c>
    </row>
    <row r="439" spans="1:27" ht="14.25" thickBot="1" x14ac:dyDescent="0.2">
      <c r="A439" s="2" t="s">
        <v>6</v>
      </c>
      <c r="B439" s="139">
        <f>SUM(B434:B438)</f>
        <v>6</v>
      </c>
      <c r="C439" s="140">
        <f>SUM(C434:C438)</f>
        <v>8</v>
      </c>
      <c r="D439" s="140">
        <f>SUM(D434:D438)</f>
        <v>8</v>
      </c>
      <c r="E439" s="141">
        <f>SUM(E434:E438)</f>
        <v>4</v>
      </c>
      <c r="F439" s="32">
        <f>SUM(B439:E439)</f>
        <v>26</v>
      </c>
      <c r="G439" s="142">
        <f>SUM(G434:G438)</f>
        <v>7</v>
      </c>
      <c r="H439" s="140">
        <f>SUM(H434:H438)</f>
        <v>4</v>
      </c>
      <c r="I439" s="140">
        <f>SUM(I434:I438)</f>
        <v>8</v>
      </c>
      <c r="J439" s="141">
        <f>SUM(J434:J438)</f>
        <v>7</v>
      </c>
      <c r="K439" s="32">
        <f>SUM(G439:J439)</f>
        <v>26</v>
      </c>
      <c r="L439" s="11">
        <f t="shared" si="362"/>
        <v>52</v>
      </c>
      <c r="O439" s="2" t="s">
        <v>6</v>
      </c>
      <c r="P439" s="139">
        <f>SUM(P434:P438)</f>
        <v>308</v>
      </c>
      <c r="Q439" s="140">
        <f>SUM(Q434:Q438)</f>
        <v>275</v>
      </c>
      <c r="R439" s="140">
        <f>SUM(R434:R438)</f>
        <v>202</v>
      </c>
      <c r="S439" s="141">
        <f>SUM(S434:S438)</f>
        <v>180</v>
      </c>
      <c r="T439" s="32">
        <f>SUM(P439:S439)</f>
        <v>965</v>
      </c>
      <c r="U439" s="142">
        <f>SUM(U434:U438)</f>
        <v>56</v>
      </c>
      <c r="V439" s="140">
        <f>SUM(V434:V438)</f>
        <v>64</v>
      </c>
      <c r="W439" s="140">
        <f>SUM(W434:W438)</f>
        <v>33</v>
      </c>
      <c r="X439" s="141">
        <f>SUM(X434:X438)</f>
        <v>33</v>
      </c>
      <c r="Y439" s="32">
        <f>SUM(U439:X439)</f>
        <v>186</v>
      </c>
      <c r="Z439" s="11">
        <f t="shared" si="365"/>
        <v>1151</v>
      </c>
    </row>
    <row r="440" spans="1:27" x14ac:dyDescent="0.15">
      <c r="A440" s="38" t="s">
        <v>35</v>
      </c>
      <c r="B440" s="8"/>
      <c r="C440" s="9"/>
      <c r="D440" s="9"/>
      <c r="E440" s="39"/>
      <c r="F440" s="14">
        <f t="shared" ref="F440:F449" si="366">SUM(B440:E440)</f>
        <v>0</v>
      </c>
      <c r="G440" s="9">
        <v>1</v>
      </c>
      <c r="H440" s="9"/>
      <c r="I440" s="9">
        <v>1</v>
      </c>
      <c r="J440" s="39"/>
      <c r="K440" s="14">
        <f t="shared" ref="K440:K449" si="367">SUM(G440:J440)</f>
        <v>2</v>
      </c>
      <c r="L440" s="14">
        <f t="shared" ref="L440:L449" si="368">F440+K440</f>
        <v>2</v>
      </c>
      <c r="M440" s="7">
        <v>45512</v>
      </c>
      <c r="O440" s="35" t="s">
        <v>149</v>
      </c>
      <c r="P440" s="8"/>
      <c r="Q440" s="9"/>
      <c r="R440" s="9"/>
      <c r="S440" s="39">
        <f>7+2</f>
        <v>9</v>
      </c>
      <c r="T440" s="14">
        <f t="shared" ref="T440:T447" si="369">SUM(P440:S440)</f>
        <v>9</v>
      </c>
      <c r="U440" s="9"/>
      <c r="V440" s="9"/>
      <c r="W440" s="9"/>
      <c r="X440" s="39"/>
      <c r="Y440" s="14">
        <f t="shared" ref="Y440:Y447" si="370">SUM(U440:X440)</f>
        <v>0</v>
      </c>
      <c r="Z440" s="14">
        <f t="shared" ref="Z440:Z447" si="371">T440+Y440</f>
        <v>9</v>
      </c>
      <c r="AA440" s="7">
        <v>45524</v>
      </c>
    </row>
    <row r="441" spans="1:27" x14ac:dyDescent="0.15">
      <c r="A441" s="38" t="s">
        <v>35</v>
      </c>
      <c r="B441" s="8"/>
      <c r="C441" s="9"/>
      <c r="D441" s="9"/>
      <c r="E441" s="39"/>
      <c r="F441" s="14">
        <f t="shared" si="366"/>
        <v>0</v>
      </c>
      <c r="G441" s="9"/>
      <c r="H441" s="9"/>
      <c r="I441" s="9">
        <v>1</v>
      </c>
      <c r="J441" s="39"/>
      <c r="K441" s="14">
        <f t="shared" si="367"/>
        <v>1</v>
      </c>
      <c r="L441" s="14">
        <f t="shared" si="368"/>
        <v>1</v>
      </c>
      <c r="M441" s="7">
        <v>45513</v>
      </c>
      <c r="O441" s="35" t="s">
        <v>31</v>
      </c>
      <c r="P441" s="8"/>
      <c r="Q441" s="9">
        <v>3</v>
      </c>
      <c r="R441" s="9"/>
      <c r="S441" s="39"/>
      <c r="T441" s="14">
        <f t="shared" si="369"/>
        <v>3</v>
      </c>
      <c r="U441" s="9"/>
      <c r="V441" s="9"/>
      <c r="W441" s="9"/>
      <c r="X441" s="39">
        <v>3</v>
      </c>
      <c r="Y441" s="14">
        <f t="shared" si="370"/>
        <v>3</v>
      </c>
      <c r="Z441" s="14">
        <f t="shared" si="371"/>
        <v>6</v>
      </c>
      <c r="AA441" s="7">
        <v>45521</v>
      </c>
    </row>
    <row r="442" spans="1:27" x14ac:dyDescent="0.15">
      <c r="A442" s="38" t="s">
        <v>35</v>
      </c>
      <c r="B442" s="8">
        <v>1</v>
      </c>
      <c r="C442" s="9">
        <v>1</v>
      </c>
      <c r="D442" s="9"/>
      <c r="E442" s="39"/>
      <c r="F442" s="14">
        <f t="shared" si="366"/>
        <v>2</v>
      </c>
      <c r="G442" s="9"/>
      <c r="H442" s="9">
        <v>1</v>
      </c>
      <c r="I442" s="9"/>
      <c r="J442" s="39"/>
      <c r="K442" s="14">
        <f t="shared" si="367"/>
        <v>1</v>
      </c>
      <c r="L442" s="14">
        <f t="shared" si="368"/>
        <v>3</v>
      </c>
      <c r="M442" s="7">
        <v>45515</v>
      </c>
      <c r="O442" s="35" t="s">
        <v>95</v>
      </c>
      <c r="P442" s="8">
        <v>4</v>
      </c>
      <c r="Q442" s="9">
        <v>6</v>
      </c>
      <c r="R442" s="9">
        <v>3</v>
      </c>
      <c r="S442" s="39">
        <v>7</v>
      </c>
      <c r="T442" s="14">
        <f t="shared" si="369"/>
        <v>20</v>
      </c>
      <c r="U442" s="9">
        <v>1</v>
      </c>
      <c r="V442" s="9"/>
      <c r="W442" s="9">
        <v>1</v>
      </c>
      <c r="X442" s="39"/>
      <c r="Y442" s="14">
        <f t="shared" si="370"/>
        <v>2</v>
      </c>
      <c r="Z442" s="14">
        <f t="shared" si="371"/>
        <v>22</v>
      </c>
      <c r="AA442" s="7">
        <v>45530</v>
      </c>
    </row>
    <row r="443" spans="1:27" x14ac:dyDescent="0.15">
      <c r="A443" s="38" t="s">
        <v>35</v>
      </c>
      <c r="B443" s="8"/>
      <c r="C443" s="9">
        <v>1</v>
      </c>
      <c r="D443" s="9">
        <v>1</v>
      </c>
      <c r="E443" s="39"/>
      <c r="F443" s="14">
        <f t="shared" si="366"/>
        <v>2</v>
      </c>
      <c r="G443" s="9">
        <v>1</v>
      </c>
      <c r="H443" s="9"/>
      <c r="I443" s="9"/>
      <c r="J443" s="39">
        <v>1</v>
      </c>
      <c r="K443" s="14">
        <f t="shared" si="367"/>
        <v>2</v>
      </c>
      <c r="L443" s="14">
        <f t="shared" si="368"/>
        <v>4</v>
      </c>
      <c r="M443" s="7">
        <v>45520</v>
      </c>
      <c r="O443" s="35" t="s">
        <v>150</v>
      </c>
      <c r="P443" s="8">
        <v>2</v>
      </c>
      <c r="Q443" s="9"/>
      <c r="R443" s="9">
        <v>1</v>
      </c>
      <c r="S443" s="39">
        <v>2</v>
      </c>
      <c r="T443" s="14">
        <f t="shared" si="369"/>
        <v>5</v>
      </c>
      <c r="U443" s="9">
        <v>1</v>
      </c>
      <c r="V443" s="9"/>
      <c r="W443" s="9">
        <v>1</v>
      </c>
      <c r="X443" s="39"/>
      <c r="Y443" s="14">
        <f t="shared" si="370"/>
        <v>2</v>
      </c>
      <c r="Z443" s="14">
        <f t="shared" si="371"/>
        <v>7</v>
      </c>
      <c r="AA443" s="7">
        <v>45534</v>
      </c>
    </row>
    <row r="444" spans="1:27" x14ac:dyDescent="0.15">
      <c r="A444" s="38" t="s">
        <v>35</v>
      </c>
      <c r="B444" s="8"/>
      <c r="C444" s="9">
        <v>1</v>
      </c>
      <c r="D444" s="9"/>
      <c r="E444" s="39"/>
      <c r="F444" s="14">
        <f t="shared" si="366"/>
        <v>1</v>
      </c>
      <c r="G444" s="9"/>
      <c r="H444" s="9"/>
      <c r="I444" s="9"/>
      <c r="J444" s="39"/>
      <c r="K444" s="14">
        <f t="shared" si="367"/>
        <v>0</v>
      </c>
      <c r="L444" s="14">
        <f t="shared" si="368"/>
        <v>1</v>
      </c>
      <c r="M444" s="7">
        <v>45524</v>
      </c>
      <c r="O444" s="35"/>
      <c r="P444" s="8"/>
      <c r="Q444" s="9"/>
      <c r="R444" s="9"/>
      <c r="S444" s="39"/>
      <c r="T444" s="14">
        <f t="shared" si="369"/>
        <v>0</v>
      </c>
      <c r="U444" s="9"/>
      <c r="V444" s="9"/>
      <c r="W444" s="9"/>
      <c r="X444" s="39"/>
      <c r="Y444" s="14">
        <f t="shared" si="370"/>
        <v>0</v>
      </c>
      <c r="Z444" s="14">
        <f t="shared" si="371"/>
        <v>0</v>
      </c>
    </row>
    <row r="445" spans="1:27" x14ac:dyDescent="0.15">
      <c r="A445" s="38" t="s">
        <v>35</v>
      </c>
      <c r="B445" s="8"/>
      <c r="C445" s="9">
        <v>1</v>
      </c>
      <c r="D445" s="9"/>
      <c r="E445" s="39"/>
      <c r="F445" s="14">
        <f t="shared" si="366"/>
        <v>1</v>
      </c>
      <c r="G445" s="9"/>
      <c r="H445" s="9"/>
      <c r="I445" s="9"/>
      <c r="J445" s="39">
        <v>1</v>
      </c>
      <c r="K445" s="14">
        <f t="shared" si="367"/>
        <v>1</v>
      </c>
      <c r="L445" s="14">
        <f t="shared" si="368"/>
        <v>2</v>
      </c>
      <c r="M445" s="7">
        <v>45526</v>
      </c>
      <c r="O445" s="35"/>
      <c r="P445" s="8"/>
      <c r="Q445" s="9"/>
      <c r="R445" s="9"/>
      <c r="S445" s="39"/>
      <c r="T445" s="14">
        <f t="shared" si="369"/>
        <v>0</v>
      </c>
      <c r="U445" s="9"/>
      <c r="V445" s="9"/>
      <c r="W445" s="9"/>
      <c r="X445" s="39"/>
      <c r="Y445" s="14">
        <f t="shared" si="370"/>
        <v>0</v>
      </c>
      <c r="Z445" s="14">
        <f t="shared" si="371"/>
        <v>0</v>
      </c>
    </row>
    <row r="446" spans="1:27" x14ac:dyDescent="0.15">
      <c r="A446" s="38" t="s">
        <v>35</v>
      </c>
      <c r="B446" s="8"/>
      <c r="C446" s="9">
        <v>1</v>
      </c>
      <c r="D446" s="9">
        <v>1</v>
      </c>
      <c r="E446" s="39"/>
      <c r="F446" s="14">
        <f t="shared" si="366"/>
        <v>2</v>
      </c>
      <c r="G446" s="9"/>
      <c r="H446" s="9">
        <v>1</v>
      </c>
      <c r="I446" s="9"/>
      <c r="J446" s="39"/>
      <c r="K446" s="14">
        <f t="shared" si="367"/>
        <v>1</v>
      </c>
      <c r="L446" s="14">
        <f t="shared" si="368"/>
        <v>3</v>
      </c>
      <c r="M446" s="7">
        <v>45530</v>
      </c>
      <c r="O446" s="35"/>
      <c r="P446" s="8"/>
      <c r="Q446" s="9"/>
      <c r="R446" s="9"/>
      <c r="S446" s="39"/>
      <c r="T446" s="14">
        <f t="shared" si="369"/>
        <v>0</v>
      </c>
      <c r="U446" s="9"/>
      <c r="V446" s="9"/>
      <c r="W446" s="9"/>
      <c r="X446" s="39"/>
      <c r="Y446" s="14">
        <f t="shared" si="370"/>
        <v>0</v>
      </c>
      <c r="Z446" s="14">
        <f t="shared" si="371"/>
        <v>0</v>
      </c>
    </row>
    <row r="447" spans="1:27" x14ac:dyDescent="0.15">
      <c r="A447" s="38" t="s">
        <v>35</v>
      </c>
      <c r="B447" s="8"/>
      <c r="C447" s="9"/>
      <c r="D447" s="9">
        <v>1</v>
      </c>
      <c r="E447" s="39">
        <v>1</v>
      </c>
      <c r="F447" s="14">
        <f t="shared" si="366"/>
        <v>2</v>
      </c>
      <c r="G447" s="9"/>
      <c r="H447" s="9"/>
      <c r="I447" s="9"/>
      <c r="J447" s="39"/>
      <c r="K447" s="14">
        <f t="shared" si="367"/>
        <v>0</v>
      </c>
      <c r="L447" s="14">
        <f t="shared" si="368"/>
        <v>2</v>
      </c>
      <c r="M447" s="7">
        <v>45533</v>
      </c>
      <c r="O447" s="35"/>
      <c r="P447" s="8"/>
      <c r="Q447" s="9"/>
      <c r="R447" s="9"/>
      <c r="S447" s="39"/>
      <c r="T447" s="14">
        <f t="shared" si="369"/>
        <v>0</v>
      </c>
      <c r="U447" s="9"/>
      <c r="V447" s="9"/>
      <c r="W447" s="9"/>
      <c r="X447" s="39"/>
      <c r="Y447" s="14">
        <f t="shared" si="370"/>
        <v>0</v>
      </c>
      <c r="Z447" s="14">
        <f t="shared" si="371"/>
        <v>0</v>
      </c>
    </row>
    <row r="448" spans="1:27" x14ac:dyDescent="0.15">
      <c r="A448" s="38" t="s">
        <v>35</v>
      </c>
      <c r="B448" s="8"/>
      <c r="C448" s="9"/>
      <c r="D448" s="9"/>
      <c r="E448" s="39">
        <v>1</v>
      </c>
      <c r="F448" s="14">
        <f t="shared" si="366"/>
        <v>1</v>
      </c>
      <c r="G448" s="9"/>
      <c r="H448" s="9"/>
      <c r="I448" s="9"/>
      <c r="J448" s="39"/>
      <c r="K448" s="14">
        <f t="shared" si="367"/>
        <v>0</v>
      </c>
      <c r="L448" s="14">
        <f t="shared" si="368"/>
        <v>1</v>
      </c>
      <c r="M448" s="7">
        <v>45535</v>
      </c>
      <c r="O448" s="35"/>
      <c r="P448" s="8"/>
      <c r="Q448" s="9"/>
      <c r="R448" s="9"/>
      <c r="S448" s="39"/>
      <c r="T448" s="14">
        <f t="shared" ref="T448:T463" si="372">SUM(P448:S448)</f>
        <v>0</v>
      </c>
      <c r="U448" s="9"/>
      <c r="V448" s="9"/>
      <c r="W448" s="9"/>
      <c r="X448" s="39"/>
      <c r="Y448" s="14">
        <f t="shared" ref="Y448:Y467" si="373">SUM(U448:X448)</f>
        <v>0</v>
      </c>
      <c r="Z448" s="14">
        <f t="shared" si="365"/>
        <v>0</v>
      </c>
    </row>
    <row r="449" spans="1:26" x14ac:dyDescent="0.15">
      <c r="A449" s="33"/>
      <c r="B449" s="8"/>
      <c r="C449" s="9"/>
      <c r="D449" s="9"/>
      <c r="E449" s="39"/>
      <c r="F449" s="14">
        <f t="shared" si="366"/>
        <v>0</v>
      </c>
      <c r="G449" s="9"/>
      <c r="H449" s="9"/>
      <c r="I449" s="9"/>
      <c r="J449" s="39"/>
      <c r="K449" s="14">
        <f t="shared" si="367"/>
        <v>0</v>
      </c>
      <c r="L449" s="14">
        <f t="shared" si="368"/>
        <v>0</v>
      </c>
      <c r="O449" s="35"/>
      <c r="P449" s="8"/>
      <c r="Q449" s="9"/>
      <c r="R449" s="9"/>
      <c r="S449" s="39"/>
      <c r="T449" s="14">
        <f t="shared" si="372"/>
        <v>0</v>
      </c>
      <c r="U449" s="9"/>
      <c r="V449" s="9"/>
      <c r="W449" s="9"/>
      <c r="X449" s="39"/>
      <c r="Y449" s="14">
        <f t="shared" si="373"/>
        <v>0</v>
      </c>
      <c r="Z449" s="14">
        <f t="shared" si="365"/>
        <v>0</v>
      </c>
    </row>
    <row r="450" spans="1:26" x14ac:dyDescent="0.15">
      <c r="A450" s="33"/>
      <c r="B450" s="8"/>
      <c r="C450" s="9"/>
      <c r="D450" s="9"/>
      <c r="E450" s="39"/>
      <c r="F450" s="14">
        <f t="shared" ref="F450:F467" si="374">SUM(B450:E450)</f>
        <v>0</v>
      </c>
      <c r="G450" s="9"/>
      <c r="H450" s="9"/>
      <c r="I450" s="9"/>
      <c r="J450" s="39"/>
      <c r="K450" s="14">
        <f t="shared" ref="K450:K467" si="375">SUM(G450:J450)</f>
        <v>0</v>
      </c>
      <c r="L450" s="14">
        <f t="shared" si="362"/>
        <v>0</v>
      </c>
      <c r="O450" s="35"/>
      <c r="P450" s="8"/>
      <c r="Q450" s="9"/>
      <c r="R450" s="9"/>
      <c r="S450" s="39"/>
      <c r="T450" s="14">
        <f t="shared" si="372"/>
        <v>0</v>
      </c>
      <c r="U450" s="9"/>
      <c r="V450" s="9"/>
      <c r="W450" s="9"/>
      <c r="X450" s="39"/>
      <c r="Y450" s="14">
        <f t="shared" si="373"/>
        <v>0</v>
      </c>
      <c r="Z450" s="14">
        <f t="shared" si="365"/>
        <v>0</v>
      </c>
    </row>
    <row r="451" spans="1:26" x14ac:dyDescent="0.15">
      <c r="A451" s="33"/>
      <c r="B451" s="8"/>
      <c r="C451" s="9"/>
      <c r="D451" s="9"/>
      <c r="E451" s="39"/>
      <c r="F451" s="14">
        <f t="shared" si="374"/>
        <v>0</v>
      </c>
      <c r="G451" s="9"/>
      <c r="H451" s="9"/>
      <c r="I451" s="9"/>
      <c r="J451" s="39"/>
      <c r="K451" s="14">
        <f t="shared" si="375"/>
        <v>0</v>
      </c>
      <c r="L451" s="14">
        <f t="shared" si="362"/>
        <v>0</v>
      </c>
      <c r="O451" s="35"/>
      <c r="P451" s="8"/>
      <c r="Q451" s="9"/>
      <c r="R451" s="9"/>
      <c r="S451" s="39"/>
      <c r="T451" s="14">
        <f t="shared" si="372"/>
        <v>0</v>
      </c>
      <c r="U451" s="9"/>
      <c r="V451" s="9"/>
      <c r="W451" s="9"/>
      <c r="X451" s="39"/>
      <c r="Y451" s="14">
        <f t="shared" si="373"/>
        <v>0</v>
      </c>
      <c r="Z451" s="14">
        <f t="shared" si="365"/>
        <v>0</v>
      </c>
    </row>
    <row r="452" spans="1:26" x14ac:dyDescent="0.15">
      <c r="A452" s="33"/>
      <c r="B452" s="8"/>
      <c r="C452" s="9"/>
      <c r="D452" s="9"/>
      <c r="E452" s="39"/>
      <c r="F452" s="14">
        <f t="shared" si="374"/>
        <v>0</v>
      </c>
      <c r="G452" s="9"/>
      <c r="H452" s="9"/>
      <c r="I452" s="9"/>
      <c r="J452" s="39"/>
      <c r="K452" s="14">
        <f t="shared" si="375"/>
        <v>0</v>
      </c>
      <c r="L452" s="14">
        <f t="shared" si="362"/>
        <v>0</v>
      </c>
      <c r="O452" s="35"/>
      <c r="P452" s="8"/>
      <c r="Q452" s="9"/>
      <c r="R452" s="9"/>
      <c r="S452" s="39"/>
      <c r="T452" s="14">
        <f t="shared" si="372"/>
        <v>0</v>
      </c>
      <c r="U452" s="9"/>
      <c r="V452" s="9"/>
      <c r="W452" s="9"/>
      <c r="X452" s="39"/>
      <c r="Y452" s="14">
        <f t="shared" si="373"/>
        <v>0</v>
      </c>
      <c r="Z452" s="14">
        <f t="shared" si="365"/>
        <v>0</v>
      </c>
    </row>
    <row r="453" spans="1:26" x14ac:dyDescent="0.15">
      <c r="A453" s="33"/>
      <c r="B453" s="8"/>
      <c r="C453" s="9"/>
      <c r="D453" s="9"/>
      <c r="E453" s="39"/>
      <c r="F453" s="14">
        <f t="shared" si="374"/>
        <v>0</v>
      </c>
      <c r="G453" s="9"/>
      <c r="H453" s="9"/>
      <c r="I453" s="9"/>
      <c r="J453" s="39"/>
      <c r="K453" s="14">
        <f t="shared" si="375"/>
        <v>0</v>
      </c>
      <c r="L453" s="14">
        <f t="shared" si="362"/>
        <v>0</v>
      </c>
      <c r="O453" s="35"/>
      <c r="P453" s="8"/>
      <c r="Q453" s="9"/>
      <c r="R453" s="9"/>
      <c r="S453" s="39"/>
      <c r="T453" s="14">
        <f t="shared" si="372"/>
        <v>0</v>
      </c>
      <c r="U453" s="9"/>
      <c r="V453" s="9"/>
      <c r="W453" s="9"/>
      <c r="X453" s="39"/>
      <c r="Y453" s="14">
        <f t="shared" si="373"/>
        <v>0</v>
      </c>
      <c r="Z453" s="14">
        <f t="shared" si="365"/>
        <v>0</v>
      </c>
    </row>
    <row r="454" spans="1:26" x14ac:dyDescent="0.15">
      <c r="A454" s="33"/>
      <c r="B454" s="8"/>
      <c r="C454" s="9"/>
      <c r="D454" s="9"/>
      <c r="E454" s="39"/>
      <c r="F454" s="14">
        <f t="shared" si="374"/>
        <v>0</v>
      </c>
      <c r="G454" s="9"/>
      <c r="H454" s="9"/>
      <c r="I454" s="9"/>
      <c r="J454" s="39"/>
      <c r="K454" s="14">
        <f t="shared" si="375"/>
        <v>0</v>
      </c>
      <c r="L454" s="14">
        <f t="shared" si="362"/>
        <v>0</v>
      </c>
      <c r="O454" s="35"/>
      <c r="P454" s="8"/>
      <c r="Q454" s="9"/>
      <c r="R454" s="9"/>
      <c r="S454" s="39"/>
      <c r="T454" s="14">
        <f t="shared" si="372"/>
        <v>0</v>
      </c>
      <c r="U454" s="9"/>
      <c r="V454" s="9"/>
      <c r="W454" s="9"/>
      <c r="X454" s="39"/>
      <c r="Y454" s="14">
        <f t="shared" si="373"/>
        <v>0</v>
      </c>
      <c r="Z454" s="14">
        <f t="shared" si="365"/>
        <v>0</v>
      </c>
    </row>
    <row r="455" spans="1:26" x14ac:dyDescent="0.15">
      <c r="A455" s="33"/>
      <c r="B455" s="8"/>
      <c r="C455" s="9"/>
      <c r="D455" s="9"/>
      <c r="E455" s="39"/>
      <c r="F455" s="14">
        <f t="shared" si="374"/>
        <v>0</v>
      </c>
      <c r="G455" s="9"/>
      <c r="H455" s="9"/>
      <c r="I455" s="9"/>
      <c r="J455" s="39"/>
      <c r="K455" s="14">
        <f t="shared" si="375"/>
        <v>0</v>
      </c>
      <c r="L455" s="14">
        <f t="shared" si="362"/>
        <v>0</v>
      </c>
      <c r="O455" s="35"/>
      <c r="P455" s="8"/>
      <c r="Q455" s="9"/>
      <c r="R455" s="9"/>
      <c r="S455" s="39"/>
      <c r="T455" s="14">
        <f t="shared" si="372"/>
        <v>0</v>
      </c>
      <c r="U455" s="9"/>
      <c r="V455" s="9"/>
      <c r="W455" s="9"/>
      <c r="X455" s="39"/>
      <c r="Y455" s="14">
        <f t="shared" si="373"/>
        <v>0</v>
      </c>
      <c r="Z455" s="14">
        <f t="shared" si="365"/>
        <v>0</v>
      </c>
    </row>
    <row r="456" spans="1:26" x14ac:dyDescent="0.15">
      <c r="A456" s="33"/>
      <c r="B456" s="8"/>
      <c r="C456" s="9"/>
      <c r="D456" s="9"/>
      <c r="E456" s="39"/>
      <c r="F456" s="14">
        <f t="shared" si="374"/>
        <v>0</v>
      </c>
      <c r="G456" s="9"/>
      <c r="H456" s="9"/>
      <c r="I456" s="9"/>
      <c r="J456" s="39"/>
      <c r="K456" s="14">
        <f t="shared" si="375"/>
        <v>0</v>
      </c>
      <c r="L456" s="14">
        <f t="shared" si="362"/>
        <v>0</v>
      </c>
      <c r="O456" s="35"/>
      <c r="P456" s="8"/>
      <c r="Q456" s="9"/>
      <c r="R456" s="9"/>
      <c r="S456" s="39"/>
      <c r="T456" s="14">
        <f t="shared" si="372"/>
        <v>0</v>
      </c>
      <c r="U456" s="9"/>
      <c r="V456" s="9"/>
      <c r="W456" s="9"/>
      <c r="X456" s="39"/>
      <c r="Y456" s="14">
        <f t="shared" si="373"/>
        <v>0</v>
      </c>
      <c r="Z456" s="14">
        <f t="shared" si="365"/>
        <v>0</v>
      </c>
    </row>
    <row r="457" spans="1:26" x14ac:dyDescent="0.15">
      <c r="A457" s="33"/>
      <c r="B457" s="8"/>
      <c r="C457" s="9"/>
      <c r="D457" s="9"/>
      <c r="E457" s="39"/>
      <c r="F457" s="14">
        <f t="shared" si="374"/>
        <v>0</v>
      </c>
      <c r="G457" s="9"/>
      <c r="H457" s="9"/>
      <c r="I457" s="9"/>
      <c r="J457" s="39"/>
      <c r="K457" s="14">
        <f t="shared" si="375"/>
        <v>0</v>
      </c>
      <c r="L457" s="14">
        <f t="shared" si="362"/>
        <v>0</v>
      </c>
      <c r="O457" s="35"/>
      <c r="P457" s="8"/>
      <c r="Q457" s="9"/>
      <c r="R457" s="9"/>
      <c r="S457" s="39"/>
      <c r="T457" s="14">
        <f t="shared" si="372"/>
        <v>0</v>
      </c>
      <c r="U457" s="9"/>
      <c r="V457" s="9"/>
      <c r="W457" s="9"/>
      <c r="X457" s="39"/>
      <c r="Y457" s="14">
        <f t="shared" si="373"/>
        <v>0</v>
      </c>
      <c r="Z457" s="14">
        <f t="shared" si="365"/>
        <v>0</v>
      </c>
    </row>
    <row r="458" spans="1:26" x14ac:dyDescent="0.15">
      <c r="A458" s="33"/>
      <c r="B458" s="8"/>
      <c r="C458" s="9"/>
      <c r="D458" s="9"/>
      <c r="E458" s="39"/>
      <c r="F458" s="14">
        <f t="shared" si="374"/>
        <v>0</v>
      </c>
      <c r="G458" s="9"/>
      <c r="H458" s="9"/>
      <c r="I458" s="9"/>
      <c r="J458" s="39"/>
      <c r="K458" s="14">
        <f t="shared" si="375"/>
        <v>0</v>
      </c>
      <c r="L458" s="14">
        <f t="shared" si="362"/>
        <v>0</v>
      </c>
      <c r="O458" s="35"/>
      <c r="P458" s="8"/>
      <c r="Q458" s="9"/>
      <c r="R458" s="9"/>
      <c r="S458" s="39"/>
      <c r="T458" s="14">
        <f t="shared" si="372"/>
        <v>0</v>
      </c>
      <c r="U458" s="9"/>
      <c r="V458" s="9"/>
      <c r="W458" s="9"/>
      <c r="X458" s="39"/>
      <c r="Y458" s="14">
        <f t="shared" si="373"/>
        <v>0</v>
      </c>
      <c r="Z458" s="14">
        <f t="shared" si="365"/>
        <v>0</v>
      </c>
    </row>
    <row r="459" spans="1:26" x14ac:dyDescent="0.15">
      <c r="A459" s="33"/>
      <c r="B459" s="8"/>
      <c r="C459" s="9"/>
      <c r="D459" s="9"/>
      <c r="E459" s="39"/>
      <c r="F459" s="14">
        <f t="shared" si="374"/>
        <v>0</v>
      </c>
      <c r="G459" s="9"/>
      <c r="H459" s="9"/>
      <c r="I459" s="9"/>
      <c r="J459" s="39"/>
      <c r="K459" s="14">
        <f t="shared" si="375"/>
        <v>0</v>
      </c>
      <c r="L459" s="14">
        <f t="shared" si="362"/>
        <v>0</v>
      </c>
      <c r="O459" s="35"/>
      <c r="P459" s="8"/>
      <c r="Q459" s="9"/>
      <c r="R459" s="9"/>
      <c r="S459" s="39"/>
      <c r="T459" s="14">
        <f t="shared" si="372"/>
        <v>0</v>
      </c>
      <c r="U459" s="9"/>
      <c r="V459" s="9"/>
      <c r="W459" s="9"/>
      <c r="X459" s="39"/>
      <c r="Y459" s="14">
        <f t="shared" si="373"/>
        <v>0</v>
      </c>
      <c r="Z459" s="14">
        <f t="shared" si="365"/>
        <v>0</v>
      </c>
    </row>
    <row r="460" spans="1:26" x14ac:dyDescent="0.15">
      <c r="A460" s="33"/>
      <c r="B460" s="8"/>
      <c r="C460" s="9"/>
      <c r="D460" s="9"/>
      <c r="E460" s="39"/>
      <c r="F460" s="14">
        <f t="shared" si="374"/>
        <v>0</v>
      </c>
      <c r="G460" s="9"/>
      <c r="H460" s="9"/>
      <c r="I460" s="9"/>
      <c r="J460" s="39"/>
      <c r="K460" s="14">
        <f t="shared" si="375"/>
        <v>0</v>
      </c>
      <c r="L460" s="14">
        <f t="shared" si="362"/>
        <v>0</v>
      </c>
      <c r="O460" s="35"/>
      <c r="P460" s="8"/>
      <c r="Q460" s="9"/>
      <c r="R460" s="9"/>
      <c r="S460" s="39"/>
      <c r="T460" s="14">
        <f t="shared" si="372"/>
        <v>0</v>
      </c>
      <c r="U460" s="9"/>
      <c r="V460" s="9"/>
      <c r="W460" s="9"/>
      <c r="X460" s="39"/>
      <c r="Y460" s="14">
        <f t="shared" si="373"/>
        <v>0</v>
      </c>
      <c r="Z460" s="14">
        <f t="shared" si="365"/>
        <v>0</v>
      </c>
    </row>
    <row r="461" spans="1:26" x14ac:dyDescent="0.15">
      <c r="A461" s="33"/>
      <c r="B461" s="8"/>
      <c r="C461" s="9"/>
      <c r="D461" s="9"/>
      <c r="E461" s="39"/>
      <c r="F461" s="14">
        <f t="shared" si="374"/>
        <v>0</v>
      </c>
      <c r="G461" s="9"/>
      <c r="H461" s="9"/>
      <c r="I461" s="9"/>
      <c r="J461" s="39"/>
      <c r="K461" s="14">
        <f t="shared" si="375"/>
        <v>0</v>
      </c>
      <c r="L461" s="14">
        <f t="shared" si="362"/>
        <v>0</v>
      </c>
      <c r="O461" s="35"/>
      <c r="P461" s="8"/>
      <c r="Q461" s="9"/>
      <c r="R461" s="9"/>
      <c r="S461" s="39"/>
      <c r="T461" s="14">
        <f t="shared" si="372"/>
        <v>0</v>
      </c>
      <c r="U461" s="9"/>
      <c r="V461" s="9"/>
      <c r="W461" s="9"/>
      <c r="X461" s="39"/>
      <c r="Y461" s="14">
        <f t="shared" si="373"/>
        <v>0</v>
      </c>
      <c r="Z461" s="14">
        <f t="shared" si="365"/>
        <v>0</v>
      </c>
    </row>
    <row r="462" spans="1:26" x14ac:dyDescent="0.15">
      <c r="A462" s="33"/>
      <c r="B462" s="8"/>
      <c r="C462" s="9"/>
      <c r="D462" s="9"/>
      <c r="E462" s="39"/>
      <c r="F462" s="14">
        <f t="shared" si="374"/>
        <v>0</v>
      </c>
      <c r="G462" s="9"/>
      <c r="H462" s="9"/>
      <c r="I462" s="9"/>
      <c r="J462" s="39"/>
      <c r="K462" s="14">
        <f t="shared" si="375"/>
        <v>0</v>
      </c>
      <c r="L462" s="14">
        <f t="shared" si="362"/>
        <v>0</v>
      </c>
      <c r="O462" s="35"/>
      <c r="P462" s="8"/>
      <c r="Q462" s="9"/>
      <c r="R462" s="9"/>
      <c r="S462" s="39"/>
      <c r="T462" s="14">
        <f t="shared" si="372"/>
        <v>0</v>
      </c>
      <c r="U462" s="9"/>
      <c r="V462" s="9"/>
      <c r="W462" s="9"/>
      <c r="X462" s="39"/>
      <c r="Y462" s="14">
        <f t="shared" si="373"/>
        <v>0</v>
      </c>
      <c r="Z462" s="14">
        <f t="shared" si="365"/>
        <v>0</v>
      </c>
    </row>
    <row r="463" spans="1:26" x14ac:dyDescent="0.15">
      <c r="A463" s="33"/>
      <c r="B463" s="8"/>
      <c r="C463" s="9"/>
      <c r="D463" s="9"/>
      <c r="E463" s="39"/>
      <c r="F463" s="14">
        <f t="shared" si="374"/>
        <v>0</v>
      </c>
      <c r="G463" s="9"/>
      <c r="H463" s="9"/>
      <c r="I463" s="9"/>
      <c r="J463" s="39"/>
      <c r="K463" s="14">
        <f t="shared" si="375"/>
        <v>0</v>
      </c>
      <c r="L463" s="14">
        <f t="shared" si="362"/>
        <v>0</v>
      </c>
      <c r="O463" s="33"/>
      <c r="P463" s="8"/>
      <c r="Q463" s="9"/>
      <c r="R463" s="9"/>
      <c r="S463" s="39"/>
      <c r="T463" s="14">
        <f t="shared" si="372"/>
        <v>0</v>
      </c>
      <c r="U463" s="9"/>
      <c r="V463" s="9"/>
      <c r="W463" s="9"/>
      <c r="X463" s="39"/>
      <c r="Y463" s="14">
        <f t="shared" si="373"/>
        <v>0</v>
      </c>
      <c r="Z463" s="14">
        <f t="shared" si="365"/>
        <v>0</v>
      </c>
    </row>
    <row r="464" spans="1:26" x14ac:dyDescent="0.15">
      <c r="A464" s="38"/>
      <c r="B464" s="8"/>
      <c r="C464" s="9"/>
      <c r="D464" s="9"/>
      <c r="E464" s="39"/>
      <c r="F464" s="14">
        <f t="shared" si="374"/>
        <v>0</v>
      </c>
      <c r="G464" s="9"/>
      <c r="H464" s="9"/>
      <c r="I464" s="9"/>
      <c r="J464" s="39"/>
      <c r="K464" s="14">
        <f t="shared" si="375"/>
        <v>0</v>
      </c>
      <c r="L464" s="14">
        <f t="shared" si="362"/>
        <v>0</v>
      </c>
      <c r="O464" s="144"/>
      <c r="P464" s="4"/>
      <c r="Q464" s="5"/>
      <c r="R464" s="5"/>
      <c r="S464" s="60"/>
      <c r="T464" s="10">
        <f t="shared" ref="T464:T465" si="376">SUM(P464:S464)</f>
        <v>0</v>
      </c>
      <c r="U464" s="5"/>
      <c r="V464" s="5"/>
      <c r="W464" s="5"/>
      <c r="X464" s="60"/>
      <c r="Y464" s="10">
        <f t="shared" si="373"/>
        <v>0</v>
      </c>
      <c r="Z464" s="10">
        <f t="shared" si="365"/>
        <v>0</v>
      </c>
    </row>
    <row r="465" spans="1:27" ht="14.25" thickBot="1" x14ac:dyDescent="0.2">
      <c r="A465" s="35"/>
      <c r="B465" s="15"/>
      <c r="C465" s="16"/>
      <c r="D465" s="16"/>
      <c r="E465" s="58"/>
      <c r="F465" s="56">
        <f t="shared" si="374"/>
        <v>0</v>
      </c>
      <c r="G465" s="16"/>
      <c r="H465" s="16"/>
      <c r="I465" s="16"/>
      <c r="J465" s="58"/>
      <c r="K465" s="56">
        <f t="shared" si="375"/>
        <v>0</v>
      </c>
      <c r="L465" s="59">
        <f t="shared" si="362"/>
        <v>0</v>
      </c>
      <c r="O465" s="35"/>
      <c r="P465" s="8"/>
      <c r="Q465" s="9"/>
      <c r="R465" s="9"/>
      <c r="S465" s="39"/>
      <c r="T465" s="14">
        <f t="shared" si="376"/>
        <v>0</v>
      </c>
      <c r="U465" s="9"/>
      <c r="V465" s="9"/>
      <c r="W465" s="9"/>
      <c r="X465" s="39"/>
      <c r="Y465" s="14">
        <f t="shared" si="373"/>
        <v>0</v>
      </c>
      <c r="Z465" s="14">
        <f t="shared" si="365"/>
        <v>0</v>
      </c>
    </row>
    <row r="466" spans="1:27" ht="14.25" thickBot="1" x14ac:dyDescent="0.2">
      <c r="A466" s="3" t="s">
        <v>7</v>
      </c>
      <c r="B466" s="17">
        <f t="shared" ref="B466:E466" si="377">SUM(B440:B465)</f>
        <v>1</v>
      </c>
      <c r="C466" s="18">
        <f t="shared" si="377"/>
        <v>5</v>
      </c>
      <c r="D466" s="18">
        <f t="shared" si="377"/>
        <v>3</v>
      </c>
      <c r="E466" s="40">
        <f t="shared" si="377"/>
        <v>2</v>
      </c>
      <c r="F466" s="11">
        <f t="shared" si="374"/>
        <v>11</v>
      </c>
      <c r="G466" s="17">
        <f t="shared" ref="G466:J466" si="378">SUM(G440:G465)</f>
        <v>2</v>
      </c>
      <c r="H466" s="18">
        <f t="shared" si="378"/>
        <v>2</v>
      </c>
      <c r="I466" s="18">
        <f t="shared" si="378"/>
        <v>2</v>
      </c>
      <c r="J466" s="40">
        <f t="shared" si="378"/>
        <v>2</v>
      </c>
      <c r="K466" s="11">
        <f t="shared" si="375"/>
        <v>8</v>
      </c>
      <c r="L466" s="11">
        <f t="shared" si="362"/>
        <v>19</v>
      </c>
      <c r="O466" s="3" t="s">
        <v>7</v>
      </c>
      <c r="P466" s="17">
        <f t="shared" ref="P466:S466" si="379">SUM(P440:P465)</f>
        <v>6</v>
      </c>
      <c r="Q466" s="18">
        <f t="shared" si="379"/>
        <v>9</v>
      </c>
      <c r="R466" s="18">
        <f t="shared" si="379"/>
        <v>4</v>
      </c>
      <c r="S466" s="40">
        <f t="shared" si="379"/>
        <v>18</v>
      </c>
      <c r="T466" s="11">
        <f t="shared" ref="T466:T467" si="380">SUM(P466:S466)</f>
        <v>37</v>
      </c>
      <c r="U466" s="17">
        <f t="shared" ref="U466:X466" si="381">SUM(U440:U465)</f>
        <v>2</v>
      </c>
      <c r="V466" s="18">
        <f t="shared" si="381"/>
        <v>0</v>
      </c>
      <c r="W466" s="18">
        <f t="shared" si="381"/>
        <v>2</v>
      </c>
      <c r="X466" s="40">
        <f t="shared" si="381"/>
        <v>3</v>
      </c>
      <c r="Y466" s="11">
        <f t="shared" si="373"/>
        <v>7</v>
      </c>
      <c r="Z466" s="11">
        <f t="shared" si="365"/>
        <v>44</v>
      </c>
    </row>
    <row r="467" spans="1:27" ht="14.25" thickBot="1" x14ac:dyDescent="0.2">
      <c r="A467" s="19" t="s">
        <v>8</v>
      </c>
      <c r="B467" s="20">
        <f t="shared" ref="B467:E467" si="382">B439-B466</f>
        <v>5</v>
      </c>
      <c r="C467" s="21">
        <f t="shared" si="382"/>
        <v>3</v>
      </c>
      <c r="D467" s="21">
        <f t="shared" si="382"/>
        <v>5</v>
      </c>
      <c r="E467" s="22">
        <f t="shared" si="382"/>
        <v>2</v>
      </c>
      <c r="F467" s="11">
        <f t="shared" si="374"/>
        <v>15</v>
      </c>
      <c r="G467" s="20">
        <f t="shared" ref="G467:J467" si="383">G439-G466</f>
        <v>5</v>
      </c>
      <c r="H467" s="21">
        <f t="shared" si="383"/>
        <v>2</v>
      </c>
      <c r="I467" s="21">
        <f t="shared" si="383"/>
        <v>6</v>
      </c>
      <c r="J467" s="51">
        <f t="shared" si="383"/>
        <v>5</v>
      </c>
      <c r="K467" s="11">
        <f t="shared" si="375"/>
        <v>18</v>
      </c>
      <c r="L467" s="53">
        <f t="shared" si="362"/>
        <v>33</v>
      </c>
      <c r="O467" s="19" t="s">
        <v>8</v>
      </c>
      <c r="P467" s="20">
        <f t="shared" ref="P467:S467" si="384">P439-P466</f>
        <v>302</v>
      </c>
      <c r="Q467" s="21">
        <f t="shared" si="384"/>
        <v>266</v>
      </c>
      <c r="R467" s="21">
        <f t="shared" si="384"/>
        <v>198</v>
      </c>
      <c r="S467" s="22">
        <f t="shared" si="384"/>
        <v>162</v>
      </c>
      <c r="T467" s="11">
        <f t="shared" si="380"/>
        <v>928</v>
      </c>
      <c r="U467" s="20">
        <f t="shared" ref="U467:X467" si="385">U439-U466</f>
        <v>54</v>
      </c>
      <c r="V467" s="21">
        <f t="shared" si="385"/>
        <v>64</v>
      </c>
      <c r="W467" s="21">
        <f t="shared" si="385"/>
        <v>31</v>
      </c>
      <c r="X467" s="51">
        <f t="shared" si="385"/>
        <v>30</v>
      </c>
      <c r="Y467" s="11">
        <f t="shared" si="373"/>
        <v>179</v>
      </c>
      <c r="Z467" s="53">
        <f t="shared" si="365"/>
        <v>1107</v>
      </c>
    </row>
    <row r="470" spans="1:27" ht="19.5" thickBot="1" x14ac:dyDescent="0.25">
      <c r="A470" s="1" t="s">
        <v>19</v>
      </c>
      <c r="C470" s="164" t="s">
        <v>20</v>
      </c>
      <c r="D470" s="164"/>
      <c r="O470" s="1" t="s">
        <v>21</v>
      </c>
      <c r="S470" s="164" t="s">
        <v>20</v>
      </c>
      <c r="T470" s="164"/>
    </row>
    <row r="471" spans="1:27" ht="14.25" thickBot="1" x14ac:dyDescent="0.2">
      <c r="A471" s="3" t="s">
        <v>0</v>
      </c>
      <c r="B471" s="165" t="s">
        <v>15</v>
      </c>
      <c r="C471" s="166"/>
      <c r="D471" s="166"/>
      <c r="E471" s="166"/>
      <c r="F471" s="167"/>
      <c r="G471" s="168" t="s">
        <v>18</v>
      </c>
      <c r="H471" s="169"/>
      <c r="I471" s="169"/>
      <c r="J471" s="169"/>
      <c r="K471" s="170"/>
      <c r="L471" s="47"/>
      <c r="O471" s="3" t="s">
        <v>0</v>
      </c>
      <c r="P471" s="165" t="s">
        <v>15</v>
      </c>
      <c r="Q471" s="166"/>
      <c r="R471" s="166"/>
      <c r="S471" s="166"/>
      <c r="T471" s="167"/>
      <c r="U471" s="168" t="s">
        <v>18</v>
      </c>
      <c r="V471" s="169"/>
      <c r="W471" s="169"/>
      <c r="X471" s="169"/>
      <c r="Y471" s="170"/>
      <c r="Z471" s="47"/>
    </row>
    <row r="472" spans="1:27" ht="14.25" thickBot="1" x14ac:dyDescent="0.2">
      <c r="A472" s="3" t="s">
        <v>1</v>
      </c>
      <c r="B472" s="23" t="s">
        <v>11</v>
      </c>
      <c r="C472" s="24" t="s">
        <v>12</v>
      </c>
      <c r="D472" s="24" t="s">
        <v>13</v>
      </c>
      <c r="E472" s="25" t="s">
        <v>14</v>
      </c>
      <c r="F472" s="48" t="s">
        <v>2</v>
      </c>
      <c r="G472" s="23" t="s">
        <v>11</v>
      </c>
      <c r="H472" s="24" t="s">
        <v>12</v>
      </c>
      <c r="I472" s="24" t="s">
        <v>13</v>
      </c>
      <c r="J472" s="25" t="s">
        <v>14</v>
      </c>
      <c r="K472" s="48" t="s">
        <v>2</v>
      </c>
      <c r="L472" s="48" t="s">
        <v>17</v>
      </c>
      <c r="O472" s="3" t="s">
        <v>1</v>
      </c>
      <c r="P472" s="23" t="s">
        <v>11</v>
      </c>
      <c r="Q472" s="24" t="s">
        <v>12</v>
      </c>
      <c r="R472" s="24" t="s">
        <v>13</v>
      </c>
      <c r="S472" s="25" t="s">
        <v>14</v>
      </c>
      <c r="T472" s="48" t="s">
        <v>2</v>
      </c>
      <c r="U472" s="23" t="s">
        <v>11</v>
      </c>
      <c r="V472" s="24" t="s">
        <v>12</v>
      </c>
      <c r="W472" s="24" t="s">
        <v>13</v>
      </c>
      <c r="X472" s="25" t="s">
        <v>14</v>
      </c>
      <c r="Y472" s="48" t="s">
        <v>2</v>
      </c>
      <c r="Z472" s="48" t="s">
        <v>17</v>
      </c>
    </row>
    <row r="473" spans="1:27" x14ac:dyDescent="0.15">
      <c r="A473" s="116" t="s">
        <v>9</v>
      </c>
      <c r="B473" s="113">
        <f>B467</f>
        <v>5</v>
      </c>
      <c r="C473" s="27">
        <f>C467</f>
        <v>3</v>
      </c>
      <c r="D473" s="27">
        <f>D467</f>
        <v>5</v>
      </c>
      <c r="E473" s="42">
        <f>E467</f>
        <v>2</v>
      </c>
      <c r="F473" s="28">
        <f>SUM(B473:E473)</f>
        <v>15</v>
      </c>
      <c r="G473" s="113">
        <f>G467</f>
        <v>5</v>
      </c>
      <c r="H473" s="27">
        <f>H467</f>
        <v>2</v>
      </c>
      <c r="I473" s="27">
        <f>I467</f>
        <v>6</v>
      </c>
      <c r="J473" s="42">
        <f>J467</f>
        <v>5</v>
      </c>
      <c r="K473" s="28">
        <f>SUM(G473:J473)</f>
        <v>18</v>
      </c>
      <c r="L473" s="114">
        <f>F473+K473</f>
        <v>33</v>
      </c>
      <c r="O473" s="54" t="s">
        <v>9</v>
      </c>
      <c r="P473" s="26">
        <f>P467</f>
        <v>302</v>
      </c>
      <c r="Q473" s="27">
        <f>Q467</f>
        <v>266</v>
      </c>
      <c r="R473" s="27">
        <f>R467</f>
        <v>198</v>
      </c>
      <c r="S473" s="42">
        <f>S467</f>
        <v>162</v>
      </c>
      <c r="T473" s="28">
        <f>SUM(P473:S473)</f>
        <v>928</v>
      </c>
      <c r="U473" s="26">
        <f>U467</f>
        <v>54</v>
      </c>
      <c r="V473" s="27">
        <f>V467</f>
        <v>64</v>
      </c>
      <c r="W473" s="27">
        <f>W467</f>
        <v>31</v>
      </c>
      <c r="X473" s="42">
        <f>X467</f>
        <v>30</v>
      </c>
      <c r="Y473" s="52">
        <f>SUM(U473:X473)</f>
        <v>179</v>
      </c>
      <c r="Z473" s="28">
        <f>T473+Y473</f>
        <v>1107</v>
      </c>
    </row>
    <row r="474" spans="1:27" x14ac:dyDescent="0.15">
      <c r="A474" s="33" t="s">
        <v>10</v>
      </c>
      <c r="B474" s="9"/>
      <c r="C474" s="29"/>
      <c r="D474" s="29"/>
      <c r="E474" s="43">
        <v>2</v>
      </c>
      <c r="F474" s="14">
        <f t="shared" ref="F474:F477" si="386">SUM(B474:E474)</f>
        <v>2</v>
      </c>
      <c r="G474" s="9"/>
      <c r="H474" s="29"/>
      <c r="I474" s="29"/>
      <c r="J474" s="43"/>
      <c r="K474" s="14">
        <f t="shared" ref="K474:K477" si="387">SUM(G474:J474)</f>
        <v>0</v>
      </c>
      <c r="L474" s="125">
        <f t="shared" ref="L474:L477" si="388">F474+K474</f>
        <v>2</v>
      </c>
      <c r="M474" s="7">
        <v>45538</v>
      </c>
      <c r="O474" s="33" t="s">
        <v>156</v>
      </c>
      <c r="P474" s="9">
        <v>4</v>
      </c>
      <c r="Q474" s="29"/>
      <c r="R474" s="29"/>
      <c r="S474" s="43"/>
      <c r="T474" s="14">
        <f t="shared" ref="T474:T477" si="389">SUM(P474:S474)</f>
        <v>4</v>
      </c>
      <c r="U474" s="9">
        <v>2</v>
      </c>
      <c r="V474" s="29">
        <v>2</v>
      </c>
      <c r="W474" s="29"/>
      <c r="X474" s="43">
        <v>2</v>
      </c>
      <c r="Y474" s="14">
        <f t="shared" ref="Y474:Y477" si="390">SUM(U474:X474)</f>
        <v>6</v>
      </c>
      <c r="Z474" s="125">
        <f t="shared" ref="Z474:Z506" si="391">T474+Y474</f>
        <v>10</v>
      </c>
      <c r="AA474" s="7">
        <v>45611</v>
      </c>
    </row>
    <row r="475" spans="1:27" x14ac:dyDescent="0.15">
      <c r="A475" s="33" t="s">
        <v>3</v>
      </c>
      <c r="B475" s="9"/>
      <c r="C475" s="29"/>
      <c r="D475" s="29"/>
      <c r="E475" s="43"/>
      <c r="F475" s="14">
        <f t="shared" si="386"/>
        <v>0</v>
      </c>
      <c r="G475" s="9"/>
      <c r="H475" s="29">
        <v>2</v>
      </c>
      <c r="I475" s="29"/>
      <c r="J475" s="43"/>
      <c r="K475" s="14">
        <f t="shared" si="387"/>
        <v>2</v>
      </c>
      <c r="L475" s="125">
        <f t="shared" si="388"/>
        <v>2</v>
      </c>
      <c r="M475" s="7">
        <v>45542</v>
      </c>
      <c r="O475" s="33" t="s">
        <v>157</v>
      </c>
      <c r="P475" s="9">
        <v>4</v>
      </c>
      <c r="Q475" s="29">
        <v>3</v>
      </c>
      <c r="R475" s="29">
        <v>2</v>
      </c>
      <c r="S475" s="43">
        <v>2</v>
      </c>
      <c r="T475" s="14">
        <f t="shared" ref="T475" si="392">SUM(P475:S475)</f>
        <v>11</v>
      </c>
      <c r="U475" s="9">
        <v>4</v>
      </c>
      <c r="V475" s="29">
        <v>4</v>
      </c>
      <c r="W475" s="29">
        <v>2</v>
      </c>
      <c r="X475" s="43">
        <v>2</v>
      </c>
      <c r="Y475" s="14">
        <f t="shared" ref="Y475" si="393">SUM(U475:X475)</f>
        <v>12</v>
      </c>
      <c r="Z475" s="125">
        <f t="shared" ref="Z475" si="394">T475+Y475</f>
        <v>23</v>
      </c>
      <c r="AA475" s="7">
        <v>45611</v>
      </c>
    </row>
    <row r="476" spans="1:27" x14ac:dyDescent="0.15">
      <c r="A476" s="33" t="s">
        <v>38</v>
      </c>
      <c r="B476" s="9">
        <v>1</v>
      </c>
      <c r="C476" s="29"/>
      <c r="D476" s="29"/>
      <c r="E476" s="43">
        <v>1</v>
      </c>
      <c r="F476" s="14">
        <f t="shared" si="386"/>
        <v>2</v>
      </c>
      <c r="G476" s="9"/>
      <c r="H476" s="29"/>
      <c r="I476" s="29"/>
      <c r="J476" s="43"/>
      <c r="K476" s="14">
        <f t="shared" si="387"/>
        <v>0</v>
      </c>
      <c r="L476" s="125">
        <f t="shared" si="388"/>
        <v>2</v>
      </c>
      <c r="M476" s="7">
        <v>45555</v>
      </c>
      <c r="O476" s="33" t="s">
        <v>4</v>
      </c>
      <c r="P476" s="122"/>
      <c r="Q476" s="119"/>
      <c r="R476" s="119"/>
      <c r="S476" s="120"/>
      <c r="T476" s="14">
        <f t="shared" si="389"/>
        <v>0</v>
      </c>
      <c r="U476" s="122"/>
      <c r="V476" s="119"/>
      <c r="W476" s="119"/>
      <c r="X476" s="120"/>
      <c r="Y476" s="14">
        <f t="shared" si="390"/>
        <v>0</v>
      </c>
      <c r="Z476" s="125">
        <f t="shared" si="391"/>
        <v>0</v>
      </c>
    </row>
    <row r="477" spans="1:27" ht="14.25" thickBot="1" x14ac:dyDescent="0.2">
      <c r="A477" s="33" t="s">
        <v>38</v>
      </c>
      <c r="B477" s="135">
        <v>1</v>
      </c>
      <c r="C477" s="136"/>
      <c r="D477" s="136"/>
      <c r="E477" s="137"/>
      <c r="F477" s="59">
        <f t="shared" si="386"/>
        <v>1</v>
      </c>
      <c r="G477" s="135"/>
      <c r="H477" s="136"/>
      <c r="I477" s="136"/>
      <c r="J477" s="137"/>
      <c r="K477" s="59">
        <f t="shared" si="387"/>
        <v>0</v>
      </c>
      <c r="L477" s="138">
        <f t="shared" si="388"/>
        <v>1</v>
      </c>
      <c r="M477" s="7">
        <v>45575</v>
      </c>
      <c r="O477" s="35" t="s">
        <v>5</v>
      </c>
      <c r="P477" s="135"/>
      <c r="Q477" s="136"/>
      <c r="R477" s="136"/>
      <c r="S477" s="137"/>
      <c r="T477" s="59">
        <f t="shared" si="389"/>
        <v>0</v>
      </c>
      <c r="U477" s="135"/>
      <c r="V477" s="136"/>
      <c r="W477" s="136"/>
      <c r="X477" s="137"/>
      <c r="Y477" s="59">
        <f t="shared" si="390"/>
        <v>0</v>
      </c>
      <c r="Z477" s="138">
        <f t="shared" si="391"/>
        <v>0</v>
      </c>
    </row>
    <row r="478" spans="1:27" ht="14.25" thickBot="1" x14ac:dyDescent="0.2">
      <c r="A478" s="2" t="s">
        <v>6</v>
      </c>
      <c r="B478" s="139">
        <f>SUM(B473:B477)</f>
        <v>7</v>
      </c>
      <c r="C478" s="140">
        <f>SUM(C473:C477)</f>
        <v>3</v>
      </c>
      <c r="D478" s="140">
        <f>SUM(D473:D477)</f>
        <v>5</v>
      </c>
      <c r="E478" s="141">
        <f>SUM(E473:E477)</f>
        <v>5</v>
      </c>
      <c r="F478" s="32">
        <f>SUM(B478:E478)</f>
        <v>20</v>
      </c>
      <c r="G478" s="142">
        <f>SUM(G473:G477)</f>
        <v>5</v>
      </c>
      <c r="H478" s="140">
        <f>SUM(H473:H477)</f>
        <v>4</v>
      </c>
      <c r="I478" s="140">
        <f>SUM(I473:I477)</f>
        <v>6</v>
      </c>
      <c r="J478" s="141">
        <f>SUM(J473:J477)</f>
        <v>5</v>
      </c>
      <c r="K478" s="32">
        <f>SUM(G478:J478)</f>
        <v>20</v>
      </c>
      <c r="L478" s="11">
        <f t="shared" ref="L478:L506" si="395">F478+K478</f>
        <v>40</v>
      </c>
      <c r="O478" s="2" t="s">
        <v>6</v>
      </c>
      <c r="P478" s="139">
        <f>SUM(P473:P477)</f>
        <v>310</v>
      </c>
      <c r="Q478" s="140">
        <f>SUM(Q473:Q477)</f>
        <v>269</v>
      </c>
      <c r="R478" s="140">
        <f>SUM(R473:R477)</f>
        <v>200</v>
      </c>
      <c r="S478" s="141">
        <f>SUM(S473:S477)</f>
        <v>164</v>
      </c>
      <c r="T478" s="32">
        <f>SUM(P478:S478)</f>
        <v>943</v>
      </c>
      <c r="U478" s="142">
        <f>SUM(U473:U477)</f>
        <v>60</v>
      </c>
      <c r="V478" s="140">
        <f>SUM(V473:V477)</f>
        <v>70</v>
      </c>
      <c r="W478" s="140">
        <f>SUM(W473:W477)</f>
        <v>33</v>
      </c>
      <c r="X478" s="141">
        <f>SUM(X473:X477)</f>
        <v>34</v>
      </c>
      <c r="Y478" s="32">
        <f>SUM(U478:X478)</f>
        <v>197</v>
      </c>
      <c r="Z478" s="11">
        <f t="shared" si="391"/>
        <v>1140</v>
      </c>
    </row>
    <row r="479" spans="1:27" x14ac:dyDescent="0.15">
      <c r="A479" s="38" t="s">
        <v>35</v>
      </c>
      <c r="B479" s="8"/>
      <c r="C479" s="9"/>
      <c r="D479" s="9"/>
      <c r="E479" s="39">
        <v>1</v>
      </c>
      <c r="F479" s="14">
        <f t="shared" ref="F479:F494" si="396">SUM(B479:E479)</f>
        <v>1</v>
      </c>
      <c r="G479" s="9"/>
      <c r="H479" s="9"/>
      <c r="I479" s="9">
        <v>2</v>
      </c>
      <c r="J479" s="39"/>
      <c r="K479" s="14">
        <f t="shared" ref="K479:K494" si="397">SUM(G479:J479)</f>
        <v>2</v>
      </c>
      <c r="L479" s="14">
        <f t="shared" ref="L479:L494" si="398">F479+K479</f>
        <v>3</v>
      </c>
      <c r="M479" s="7">
        <v>45537</v>
      </c>
      <c r="O479" s="35" t="s">
        <v>31</v>
      </c>
      <c r="P479" s="8"/>
      <c r="Q479" s="9"/>
      <c r="R479" s="9"/>
      <c r="S479" s="39">
        <v>2</v>
      </c>
      <c r="T479" s="14">
        <f t="shared" ref="T479" si="399">SUM(P479:S479)</f>
        <v>2</v>
      </c>
      <c r="U479" s="9"/>
      <c r="V479" s="9"/>
      <c r="W479" s="9"/>
      <c r="X479" s="39"/>
      <c r="Y479" s="14">
        <f t="shared" ref="Y479" si="400">SUM(U479:X479)</f>
        <v>0</v>
      </c>
      <c r="Z479" s="14">
        <f t="shared" si="391"/>
        <v>2</v>
      </c>
      <c r="AA479" s="7">
        <v>45538</v>
      </c>
    </row>
    <row r="480" spans="1:27" x14ac:dyDescent="0.15">
      <c r="A480" s="38" t="s">
        <v>35</v>
      </c>
      <c r="B480" s="8"/>
      <c r="C480" s="9"/>
      <c r="D480" s="9"/>
      <c r="E480" s="39"/>
      <c r="F480" s="14">
        <f t="shared" si="396"/>
        <v>0</v>
      </c>
      <c r="G480" s="9"/>
      <c r="H480" s="9"/>
      <c r="I480" s="9">
        <v>1</v>
      </c>
      <c r="J480" s="39"/>
      <c r="K480" s="14">
        <f t="shared" si="397"/>
        <v>1</v>
      </c>
      <c r="L480" s="14">
        <f t="shared" si="398"/>
        <v>1</v>
      </c>
      <c r="M480" s="7">
        <v>45539</v>
      </c>
      <c r="O480" s="35" t="s">
        <v>151</v>
      </c>
      <c r="P480" s="8"/>
      <c r="Q480" s="9">
        <v>1</v>
      </c>
      <c r="R480" s="9"/>
      <c r="S480" s="39"/>
      <c r="T480" s="14">
        <f t="shared" ref="T480:T494" si="401">SUM(P480:S480)</f>
        <v>1</v>
      </c>
      <c r="U480" s="9"/>
      <c r="V480" s="9"/>
      <c r="W480" s="9"/>
      <c r="X480" s="39"/>
      <c r="Y480" s="14">
        <f t="shared" ref="Y480:Y494" si="402">SUM(U480:X480)</f>
        <v>0</v>
      </c>
      <c r="Z480" s="14">
        <f t="shared" ref="Z480:Z494" si="403">T480+Y480</f>
        <v>1</v>
      </c>
      <c r="AA480" s="7">
        <v>45540</v>
      </c>
    </row>
    <row r="481" spans="1:27" x14ac:dyDescent="0.15">
      <c r="A481" s="38" t="s">
        <v>35</v>
      </c>
      <c r="B481" s="8"/>
      <c r="C481" s="9">
        <v>1</v>
      </c>
      <c r="D481" s="9"/>
      <c r="E481" s="39"/>
      <c r="F481" s="14">
        <f t="shared" si="396"/>
        <v>1</v>
      </c>
      <c r="G481" s="9"/>
      <c r="H481" s="9">
        <v>1</v>
      </c>
      <c r="I481" s="9"/>
      <c r="J481" s="39"/>
      <c r="K481" s="14">
        <f t="shared" si="397"/>
        <v>1</v>
      </c>
      <c r="L481" s="14">
        <f t="shared" si="398"/>
        <v>2</v>
      </c>
      <c r="M481" s="7">
        <v>45540</v>
      </c>
      <c r="O481" s="35" t="s">
        <v>31</v>
      </c>
      <c r="P481" s="8"/>
      <c r="Q481" s="9"/>
      <c r="R481" s="9"/>
      <c r="S481" s="39"/>
      <c r="T481" s="14">
        <f t="shared" si="401"/>
        <v>0</v>
      </c>
      <c r="U481" s="9"/>
      <c r="V481" s="9">
        <v>2</v>
      </c>
      <c r="W481" s="9"/>
      <c r="X481" s="39"/>
      <c r="Y481" s="14">
        <f t="shared" si="402"/>
        <v>2</v>
      </c>
      <c r="Z481" s="14">
        <f t="shared" si="403"/>
        <v>2</v>
      </c>
      <c r="AA481" s="7">
        <v>45542</v>
      </c>
    </row>
    <row r="482" spans="1:27" x14ac:dyDescent="0.15">
      <c r="A482" s="38" t="s">
        <v>35</v>
      </c>
      <c r="B482" s="8"/>
      <c r="C482" s="9"/>
      <c r="D482" s="9"/>
      <c r="E482" s="39">
        <v>1</v>
      </c>
      <c r="F482" s="14">
        <f t="shared" si="396"/>
        <v>1</v>
      </c>
      <c r="G482" s="9"/>
      <c r="H482" s="9"/>
      <c r="I482" s="9"/>
      <c r="J482" s="39"/>
      <c r="K482" s="14">
        <f t="shared" si="397"/>
        <v>0</v>
      </c>
      <c r="L482" s="14">
        <f t="shared" si="398"/>
        <v>1</v>
      </c>
      <c r="M482" s="7">
        <v>45541</v>
      </c>
      <c r="O482" s="35" t="s">
        <v>149</v>
      </c>
      <c r="P482" s="8"/>
      <c r="Q482" s="9"/>
      <c r="R482" s="9"/>
      <c r="S482" s="39">
        <v>8</v>
      </c>
      <c r="T482" s="14">
        <f t="shared" si="401"/>
        <v>8</v>
      </c>
      <c r="U482" s="9"/>
      <c r="V482" s="9"/>
      <c r="W482" s="9"/>
      <c r="X482" s="39"/>
      <c r="Y482" s="14">
        <f t="shared" si="402"/>
        <v>0</v>
      </c>
      <c r="Z482" s="14">
        <f t="shared" si="403"/>
        <v>8</v>
      </c>
      <c r="AA482" s="7">
        <v>45547</v>
      </c>
    </row>
    <row r="483" spans="1:27" x14ac:dyDescent="0.15">
      <c r="A483" s="38" t="s">
        <v>35</v>
      </c>
      <c r="B483" s="8"/>
      <c r="C483" s="9"/>
      <c r="D483" s="9">
        <v>1</v>
      </c>
      <c r="E483" s="39"/>
      <c r="F483" s="14">
        <f t="shared" si="396"/>
        <v>1</v>
      </c>
      <c r="G483" s="9"/>
      <c r="H483" s="9"/>
      <c r="I483" s="9"/>
      <c r="J483" s="39"/>
      <c r="K483" s="14">
        <f t="shared" si="397"/>
        <v>0</v>
      </c>
      <c r="L483" s="14">
        <f t="shared" si="398"/>
        <v>1</v>
      </c>
      <c r="M483" s="7">
        <v>45544</v>
      </c>
      <c r="O483" s="35" t="s">
        <v>149</v>
      </c>
      <c r="P483" s="8"/>
      <c r="Q483" s="9"/>
      <c r="R483" s="9"/>
      <c r="S483" s="39">
        <v>2</v>
      </c>
      <c r="T483" s="14">
        <f t="shared" si="401"/>
        <v>2</v>
      </c>
      <c r="U483" s="9"/>
      <c r="V483" s="9"/>
      <c r="W483" s="9"/>
      <c r="X483" s="39"/>
      <c r="Y483" s="14">
        <f t="shared" si="402"/>
        <v>0</v>
      </c>
      <c r="Z483" s="14">
        <f t="shared" si="403"/>
        <v>2</v>
      </c>
      <c r="AA483" s="7">
        <v>45547</v>
      </c>
    </row>
    <row r="484" spans="1:27" x14ac:dyDescent="0.15">
      <c r="A484" s="38" t="s">
        <v>35</v>
      </c>
      <c r="B484" s="8"/>
      <c r="C484" s="9"/>
      <c r="D484" s="9">
        <v>2</v>
      </c>
      <c r="E484" s="39"/>
      <c r="F484" s="14">
        <f t="shared" si="396"/>
        <v>2</v>
      </c>
      <c r="G484" s="9"/>
      <c r="H484" s="9"/>
      <c r="I484" s="9"/>
      <c r="J484" s="39">
        <v>1</v>
      </c>
      <c r="K484" s="14">
        <f t="shared" si="397"/>
        <v>1</v>
      </c>
      <c r="L484" s="14">
        <f t="shared" si="398"/>
        <v>3</v>
      </c>
      <c r="M484" s="7">
        <v>45545</v>
      </c>
      <c r="O484" s="35" t="s">
        <v>149</v>
      </c>
      <c r="P484" s="8"/>
      <c r="Q484" s="9"/>
      <c r="R484" s="9"/>
      <c r="S484" s="39">
        <v>3</v>
      </c>
      <c r="T484" s="14">
        <f t="shared" si="401"/>
        <v>3</v>
      </c>
      <c r="U484" s="9"/>
      <c r="V484" s="9"/>
      <c r="W484" s="9"/>
      <c r="X484" s="39"/>
      <c r="Y484" s="14">
        <f t="shared" si="402"/>
        <v>0</v>
      </c>
      <c r="Z484" s="14">
        <f t="shared" si="403"/>
        <v>3</v>
      </c>
      <c r="AA484" s="7">
        <v>45560</v>
      </c>
    </row>
    <row r="485" spans="1:27" x14ac:dyDescent="0.15">
      <c r="A485" s="38" t="s">
        <v>35</v>
      </c>
      <c r="B485" s="8"/>
      <c r="C485" s="9"/>
      <c r="D485" s="9"/>
      <c r="E485" s="39"/>
      <c r="F485" s="14">
        <f t="shared" si="396"/>
        <v>0</v>
      </c>
      <c r="G485" s="9"/>
      <c r="H485" s="9"/>
      <c r="I485" s="9">
        <v>1</v>
      </c>
      <c r="J485" s="39"/>
      <c r="K485" s="14">
        <f t="shared" si="397"/>
        <v>1</v>
      </c>
      <c r="L485" s="14">
        <f t="shared" si="398"/>
        <v>1</v>
      </c>
      <c r="M485" s="7">
        <v>45546</v>
      </c>
      <c r="O485" s="33" t="s">
        <v>51</v>
      </c>
      <c r="P485" s="8"/>
      <c r="Q485" s="9"/>
      <c r="R485" s="9"/>
      <c r="S485" s="39"/>
      <c r="T485" s="14">
        <f t="shared" si="401"/>
        <v>0</v>
      </c>
      <c r="U485" s="9"/>
      <c r="V485" s="9"/>
      <c r="W485" s="9"/>
      <c r="X485" s="39">
        <v>1</v>
      </c>
      <c r="Y485" s="14">
        <f t="shared" si="402"/>
        <v>1</v>
      </c>
      <c r="Z485" s="14">
        <f t="shared" si="403"/>
        <v>1</v>
      </c>
      <c r="AA485" s="7">
        <v>45573</v>
      </c>
    </row>
    <row r="486" spans="1:27" x14ac:dyDescent="0.15">
      <c r="A486" s="38" t="s">
        <v>35</v>
      </c>
      <c r="B486" s="8"/>
      <c r="C486" s="9"/>
      <c r="D486" s="9"/>
      <c r="E486" s="39"/>
      <c r="F486" s="14">
        <f t="shared" si="396"/>
        <v>0</v>
      </c>
      <c r="G486" s="9">
        <v>1</v>
      </c>
      <c r="H486" s="9"/>
      <c r="I486" s="9"/>
      <c r="J486" s="39"/>
      <c r="K486" s="14">
        <f t="shared" si="397"/>
        <v>1</v>
      </c>
      <c r="L486" s="14">
        <f t="shared" si="398"/>
        <v>1</v>
      </c>
      <c r="M486" s="7">
        <v>45555</v>
      </c>
      <c r="O486" s="35" t="s">
        <v>31</v>
      </c>
      <c r="P486" s="8"/>
      <c r="Q486" s="9"/>
      <c r="R486" s="9">
        <v>2</v>
      </c>
      <c r="S486" s="39">
        <v>2</v>
      </c>
      <c r="T486" s="14">
        <f t="shared" si="401"/>
        <v>4</v>
      </c>
      <c r="U486" s="9"/>
      <c r="V486" s="9"/>
      <c r="W486" s="9">
        <v>2</v>
      </c>
      <c r="X486" s="39"/>
      <c r="Y486" s="14">
        <f t="shared" si="402"/>
        <v>2</v>
      </c>
      <c r="Z486" s="14">
        <f t="shared" si="403"/>
        <v>6</v>
      </c>
      <c r="AA486" s="7">
        <v>45573</v>
      </c>
    </row>
    <row r="487" spans="1:27" x14ac:dyDescent="0.15">
      <c r="A487" s="33" t="s">
        <v>149</v>
      </c>
      <c r="B487" s="8"/>
      <c r="C487" s="9"/>
      <c r="D487" s="9"/>
      <c r="E487" s="39">
        <v>2</v>
      </c>
      <c r="F487" s="14">
        <f t="shared" si="396"/>
        <v>2</v>
      </c>
      <c r="G487" s="9"/>
      <c r="H487" s="9"/>
      <c r="I487" s="9"/>
      <c r="J487" s="39"/>
      <c r="K487" s="14">
        <f t="shared" si="397"/>
        <v>0</v>
      </c>
      <c r="L487" s="14">
        <f t="shared" si="398"/>
        <v>2</v>
      </c>
      <c r="M487" s="7">
        <v>45566</v>
      </c>
      <c r="O487" s="35" t="s">
        <v>149</v>
      </c>
      <c r="P487" s="8"/>
      <c r="Q487" s="9">
        <v>7</v>
      </c>
      <c r="R487" s="9"/>
      <c r="S487" s="39"/>
      <c r="T487" s="14">
        <f t="shared" si="401"/>
        <v>7</v>
      </c>
      <c r="U487" s="9"/>
      <c r="V487" s="9"/>
      <c r="W487" s="9"/>
      <c r="X487" s="39"/>
      <c r="Y487" s="14">
        <f t="shared" si="402"/>
        <v>0</v>
      </c>
      <c r="Z487" s="14">
        <f t="shared" si="403"/>
        <v>7</v>
      </c>
      <c r="AA487" s="7">
        <v>45576</v>
      </c>
    </row>
    <row r="488" spans="1:27" x14ac:dyDescent="0.15">
      <c r="A488" s="38" t="s">
        <v>35</v>
      </c>
      <c r="B488" s="8"/>
      <c r="C488" s="9"/>
      <c r="D488" s="9"/>
      <c r="E488" s="39"/>
      <c r="F488" s="14">
        <f t="shared" si="396"/>
        <v>0</v>
      </c>
      <c r="G488" s="9">
        <v>1</v>
      </c>
      <c r="H488" s="9"/>
      <c r="I488" s="9"/>
      <c r="J488" s="39"/>
      <c r="K488" s="14">
        <f t="shared" si="397"/>
        <v>1</v>
      </c>
      <c r="L488" s="14">
        <f t="shared" si="398"/>
        <v>1</v>
      </c>
      <c r="M488" s="7">
        <v>45566</v>
      </c>
      <c r="O488" s="35" t="s">
        <v>31</v>
      </c>
      <c r="P488" s="8"/>
      <c r="Q488" s="9">
        <v>2</v>
      </c>
      <c r="R488" s="9">
        <v>2</v>
      </c>
      <c r="S488" s="39"/>
      <c r="T488" s="14">
        <f t="shared" si="401"/>
        <v>4</v>
      </c>
      <c r="U488" s="9"/>
      <c r="V488" s="9">
        <v>2</v>
      </c>
      <c r="W488" s="9"/>
      <c r="X488" s="39"/>
      <c r="Y488" s="14">
        <f t="shared" si="402"/>
        <v>2</v>
      </c>
      <c r="Z488" s="14">
        <f t="shared" si="403"/>
        <v>6</v>
      </c>
      <c r="AA488" s="7">
        <v>45594</v>
      </c>
    </row>
    <row r="489" spans="1:27" x14ac:dyDescent="0.15">
      <c r="A489" s="38" t="s">
        <v>35</v>
      </c>
      <c r="B489" s="8"/>
      <c r="C489" s="9"/>
      <c r="D489" s="9"/>
      <c r="E489" s="39"/>
      <c r="F489" s="14">
        <f t="shared" si="396"/>
        <v>0</v>
      </c>
      <c r="G489" s="9"/>
      <c r="H489" s="9"/>
      <c r="I489" s="9">
        <v>1</v>
      </c>
      <c r="J489" s="39"/>
      <c r="K489" s="14">
        <f t="shared" si="397"/>
        <v>1</v>
      </c>
      <c r="L489" s="14">
        <f t="shared" si="398"/>
        <v>1</v>
      </c>
      <c r="M489" s="7">
        <v>45569</v>
      </c>
      <c r="O489" s="35" t="s">
        <v>31</v>
      </c>
      <c r="P489" s="8">
        <v>2</v>
      </c>
      <c r="Q489" s="9"/>
      <c r="R489" s="9"/>
      <c r="S489" s="39"/>
      <c r="T489" s="14">
        <f t="shared" si="401"/>
        <v>2</v>
      </c>
      <c r="U489" s="9">
        <v>2</v>
      </c>
      <c r="V489" s="9"/>
      <c r="W489" s="9"/>
      <c r="X489" s="39"/>
      <c r="Y489" s="14">
        <f t="shared" si="402"/>
        <v>2</v>
      </c>
      <c r="Z489" s="14">
        <f t="shared" si="403"/>
        <v>4</v>
      </c>
      <c r="AA489" s="7">
        <v>45631</v>
      </c>
    </row>
    <row r="490" spans="1:27" x14ac:dyDescent="0.15">
      <c r="A490" s="38" t="s">
        <v>35</v>
      </c>
      <c r="B490" s="8">
        <v>1</v>
      </c>
      <c r="C490" s="9"/>
      <c r="D490" s="9">
        <v>1</v>
      </c>
      <c r="E490" s="39"/>
      <c r="F490" s="14">
        <f t="shared" ref="F490" si="404">SUM(B490:E490)</f>
        <v>2</v>
      </c>
      <c r="G490" s="9"/>
      <c r="H490" s="9"/>
      <c r="I490" s="9"/>
      <c r="J490" s="39">
        <v>1</v>
      </c>
      <c r="K490" s="14">
        <f t="shared" ref="K490" si="405">SUM(G490:J490)</f>
        <v>1</v>
      </c>
      <c r="L490" s="14">
        <f t="shared" ref="L490" si="406">F490+K490</f>
        <v>3</v>
      </c>
      <c r="M490" s="7">
        <v>45572</v>
      </c>
      <c r="O490" s="35"/>
      <c r="P490" s="8"/>
      <c r="Q490" s="9"/>
      <c r="R490" s="9"/>
      <c r="S490" s="39"/>
      <c r="T490" s="14">
        <f t="shared" si="401"/>
        <v>0</v>
      </c>
      <c r="U490" s="9"/>
      <c r="V490" s="9"/>
      <c r="W490" s="9"/>
      <c r="X490" s="39"/>
      <c r="Y490" s="14">
        <f t="shared" si="402"/>
        <v>0</v>
      </c>
      <c r="Z490" s="14">
        <f t="shared" si="403"/>
        <v>0</v>
      </c>
    </row>
    <row r="491" spans="1:27" x14ac:dyDescent="0.15">
      <c r="A491" s="33" t="s">
        <v>152</v>
      </c>
      <c r="B491" s="8"/>
      <c r="C491" s="9"/>
      <c r="D491" s="9">
        <v>-2</v>
      </c>
      <c r="E491" s="39">
        <v>-2</v>
      </c>
      <c r="F491" s="14">
        <f t="shared" si="396"/>
        <v>-4</v>
      </c>
      <c r="G491" s="9"/>
      <c r="H491" s="9"/>
      <c r="I491" s="9">
        <v>-2</v>
      </c>
      <c r="J491" s="39"/>
      <c r="K491" s="14">
        <f t="shared" si="397"/>
        <v>-2</v>
      </c>
      <c r="L491" s="14">
        <f t="shared" si="398"/>
        <v>-6</v>
      </c>
      <c r="M491" s="7">
        <v>45573</v>
      </c>
      <c r="O491" s="35"/>
      <c r="P491" s="8"/>
      <c r="Q491" s="9"/>
      <c r="R491" s="9"/>
      <c r="S491" s="39"/>
      <c r="T491" s="14">
        <f t="shared" si="401"/>
        <v>0</v>
      </c>
      <c r="U491" s="9"/>
      <c r="V491" s="9"/>
      <c r="W491" s="9"/>
      <c r="X491" s="39"/>
      <c r="Y491" s="14">
        <f t="shared" si="402"/>
        <v>0</v>
      </c>
      <c r="Z491" s="14">
        <f t="shared" si="403"/>
        <v>0</v>
      </c>
    </row>
    <row r="492" spans="1:27" x14ac:dyDescent="0.15">
      <c r="A492" s="38" t="s">
        <v>35</v>
      </c>
      <c r="B492" s="8"/>
      <c r="C492" s="9"/>
      <c r="D492" s="9"/>
      <c r="E492" s="39"/>
      <c r="F492" s="14">
        <f t="shared" si="396"/>
        <v>0</v>
      </c>
      <c r="G492" s="9"/>
      <c r="H492" s="9">
        <v>1</v>
      </c>
      <c r="I492" s="9"/>
      <c r="J492" s="39"/>
      <c r="K492" s="14">
        <f t="shared" si="397"/>
        <v>1</v>
      </c>
      <c r="L492" s="14">
        <f t="shared" si="398"/>
        <v>1</v>
      </c>
      <c r="M492" s="7">
        <v>45580</v>
      </c>
      <c r="O492" s="35"/>
      <c r="P492" s="8"/>
      <c r="Q492" s="9"/>
      <c r="R492" s="9"/>
      <c r="S492" s="39"/>
      <c r="T492" s="14">
        <f t="shared" si="401"/>
        <v>0</v>
      </c>
      <c r="U492" s="9"/>
      <c r="V492" s="9"/>
      <c r="W492" s="9"/>
      <c r="X492" s="39"/>
      <c r="Y492" s="14">
        <f t="shared" si="402"/>
        <v>0</v>
      </c>
      <c r="Z492" s="14">
        <f t="shared" si="403"/>
        <v>0</v>
      </c>
    </row>
    <row r="493" spans="1:27" x14ac:dyDescent="0.15">
      <c r="A493" s="38" t="s">
        <v>35</v>
      </c>
      <c r="B493" s="8"/>
      <c r="C493" s="9">
        <v>1</v>
      </c>
      <c r="D493" s="9"/>
      <c r="E493" s="39"/>
      <c r="F493" s="14">
        <f t="shared" si="396"/>
        <v>1</v>
      </c>
      <c r="G493" s="9"/>
      <c r="H493" s="9"/>
      <c r="I493" s="9"/>
      <c r="J493" s="39"/>
      <c r="K493" s="14">
        <f t="shared" si="397"/>
        <v>0</v>
      </c>
      <c r="L493" s="14">
        <f t="shared" si="398"/>
        <v>1</v>
      </c>
      <c r="M493" s="7">
        <v>45586</v>
      </c>
      <c r="O493" s="35"/>
      <c r="P493" s="8"/>
      <c r="Q493" s="9"/>
      <c r="R493" s="9"/>
      <c r="S493" s="39"/>
      <c r="T493" s="14">
        <f t="shared" si="401"/>
        <v>0</v>
      </c>
      <c r="U493" s="9"/>
      <c r="V493" s="9"/>
      <c r="W493" s="9"/>
      <c r="X493" s="39"/>
      <c r="Y493" s="14">
        <f t="shared" si="402"/>
        <v>0</v>
      </c>
      <c r="Z493" s="14">
        <f t="shared" si="403"/>
        <v>0</v>
      </c>
    </row>
    <row r="494" spans="1:27" x14ac:dyDescent="0.15">
      <c r="A494" s="38" t="s">
        <v>35</v>
      </c>
      <c r="B494" s="8"/>
      <c r="C494" s="9"/>
      <c r="D494" s="9">
        <v>1</v>
      </c>
      <c r="E494" s="39"/>
      <c r="F494" s="14">
        <f t="shared" si="396"/>
        <v>1</v>
      </c>
      <c r="G494" s="9"/>
      <c r="H494" s="9"/>
      <c r="I494" s="9"/>
      <c r="J494" s="39"/>
      <c r="K494" s="14">
        <f t="shared" si="397"/>
        <v>0</v>
      </c>
      <c r="L494" s="14">
        <f t="shared" si="398"/>
        <v>1</v>
      </c>
      <c r="M494" s="7">
        <v>45587</v>
      </c>
      <c r="O494" s="35"/>
      <c r="P494" s="8"/>
      <c r="Q494" s="9"/>
      <c r="R494" s="9"/>
      <c r="S494" s="39"/>
      <c r="T494" s="14">
        <f t="shared" si="401"/>
        <v>0</v>
      </c>
      <c r="U494" s="9"/>
      <c r="V494" s="9"/>
      <c r="W494" s="9"/>
      <c r="X494" s="39"/>
      <c r="Y494" s="14">
        <f t="shared" si="402"/>
        <v>0</v>
      </c>
      <c r="Z494" s="14">
        <f t="shared" si="403"/>
        <v>0</v>
      </c>
    </row>
    <row r="495" spans="1:27" x14ac:dyDescent="0.15">
      <c r="A495" s="33" t="s">
        <v>154</v>
      </c>
      <c r="B495" s="8">
        <v>1</v>
      </c>
      <c r="C495" s="9"/>
      <c r="D495" s="9"/>
      <c r="E495" s="39"/>
      <c r="F495" s="14">
        <f t="shared" ref="F495:F506" si="407">SUM(B495:E495)</f>
        <v>1</v>
      </c>
      <c r="G495" s="9"/>
      <c r="H495" s="9"/>
      <c r="I495" s="9"/>
      <c r="J495" s="39"/>
      <c r="K495" s="14">
        <f t="shared" ref="K495:K506" si="408">SUM(G495:J495)</f>
        <v>0</v>
      </c>
      <c r="L495" s="14">
        <f t="shared" si="395"/>
        <v>1</v>
      </c>
      <c r="M495" s="7">
        <v>45594</v>
      </c>
      <c r="O495" s="35"/>
      <c r="P495" s="8"/>
      <c r="Q495" s="9"/>
      <c r="R495" s="9"/>
      <c r="S495" s="39"/>
      <c r="T495" s="14">
        <f t="shared" ref="T495:T506" si="409">SUM(P495:S495)</f>
        <v>0</v>
      </c>
      <c r="U495" s="9"/>
      <c r="V495" s="9"/>
      <c r="W495" s="9"/>
      <c r="X495" s="39"/>
      <c r="Y495" s="14">
        <f t="shared" ref="Y495:Y506" si="410">SUM(U495:X495)</f>
        <v>0</v>
      </c>
      <c r="Z495" s="14">
        <f t="shared" si="391"/>
        <v>0</v>
      </c>
    </row>
    <row r="496" spans="1:27" x14ac:dyDescent="0.15">
      <c r="A496" s="38" t="s">
        <v>35</v>
      </c>
      <c r="B496" s="8">
        <v>1</v>
      </c>
      <c r="C496" s="9"/>
      <c r="D496" s="9"/>
      <c r="E496" s="39"/>
      <c r="F496" s="14">
        <f t="shared" si="407"/>
        <v>1</v>
      </c>
      <c r="G496" s="9"/>
      <c r="H496" s="9"/>
      <c r="I496" s="9"/>
      <c r="J496" s="39"/>
      <c r="K496" s="14">
        <f t="shared" si="408"/>
        <v>0</v>
      </c>
      <c r="L496" s="14">
        <f t="shared" si="395"/>
        <v>1</v>
      </c>
      <c r="M496" s="7">
        <v>45593</v>
      </c>
      <c r="O496" s="35"/>
      <c r="P496" s="8"/>
      <c r="Q496" s="9"/>
      <c r="R496" s="9"/>
      <c r="S496" s="39"/>
      <c r="T496" s="14">
        <f t="shared" si="409"/>
        <v>0</v>
      </c>
      <c r="U496" s="9"/>
      <c r="V496" s="9"/>
      <c r="W496" s="9"/>
      <c r="X496" s="39"/>
      <c r="Y496" s="14">
        <f t="shared" si="410"/>
        <v>0</v>
      </c>
      <c r="Z496" s="14">
        <f t="shared" si="391"/>
        <v>0</v>
      </c>
    </row>
    <row r="497" spans="1:26" x14ac:dyDescent="0.15">
      <c r="A497" s="33" t="s">
        <v>40</v>
      </c>
      <c r="B497" s="8"/>
      <c r="C497" s="9">
        <v>-2</v>
      </c>
      <c r="D497" s="9">
        <v>-2</v>
      </c>
      <c r="E497" s="39"/>
      <c r="F497" s="14">
        <f t="shared" si="407"/>
        <v>-4</v>
      </c>
      <c r="G497" s="9"/>
      <c r="H497" s="9">
        <v>-2</v>
      </c>
      <c r="I497" s="9"/>
      <c r="J497" s="39"/>
      <c r="K497" s="14">
        <f t="shared" si="408"/>
        <v>-2</v>
      </c>
      <c r="L497" s="14">
        <f t="shared" si="395"/>
        <v>-6</v>
      </c>
      <c r="M497" s="7">
        <v>45594</v>
      </c>
      <c r="O497" s="35"/>
      <c r="P497" s="8"/>
      <c r="Q497" s="9"/>
      <c r="R497" s="9"/>
      <c r="S497" s="39"/>
      <c r="T497" s="14">
        <f t="shared" si="409"/>
        <v>0</v>
      </c>
      <c r="U497" s="9"/>
      <c r="V497" s="9"/>
      <c r="W497" s="9"/>
      <c r="X497" s="39"/>
      <c r="Y497" s="14">
        <f t="shared" si="410"/>
        <v>0</v>
      </c>
      <c r="Z497" s="14">
        <f t="shared" si="391"/>
        <v>0</v>
      </c>
    </row>
    <row r="498" spans="1:26" x14ac:dyDescent="0.15">
      <c r="A498" s="38" t="s">
        <v>35</v>
      </c>
      <c r="B498" s="8"/>
      <c r="C498" s="9"/>
      <c r="D498" s="9"/>
      <c r="E498" s="39"/>
      <c r="F498" s="14">
        <f t="shared" si="407"/>
        <v>0</v>
      </c>
      <c r="G498" s="9">
        <v>1</v>
      </c>
      <c r="H498" s="9"/>
      <c r="I498" s="9"/>
      <c r="J498" s="39"/>
      <c r="K498" s="14">
        <f t="shared" si="408"/>
        <v>1</v>
      </c>
      <c r="L498" s="14">
        <f t="shared" si="395"/>
        <v>1</v>
      </c>
      <c r="M498" s="7">
        <v>45594</v>
      </c>
      <c r="O498" s="35"/>
      <c r="P498" s="8"/>
      <c r="Q498" s="9"/>
      <c r="R498" s="9"/>
      <c r="S498" s="39"/>
      <c r="T498" s="14">
        <f t="shared" si="409"/>
        <v>0</v>
      </c>
      <c r="U498" s="9"/>
      <c r="V498" s="9"/>
      <c r="W498" s="9"/>
      <c r="X498" s="39"/>
      <c r="Y498" s="14">
        <f t="shared" si="410"/>
        <v>0</v>
      </c>
      <c r="Z498" s="14">
        <f t="shared" si="391"/>
        <v>0</v>
      </c>
    </row>
    <row r="499" spans="1:26" x14ac:dyDescent="0.15">
      <c r="A499" s="38" t="s">
        <v>35</v>
      </c>
      <c r="B499" s="8"/>
      <c r="C499" s="9"/>
      <c r="D499" s="9"/>
      <c r="E499" s="39"/>
      <c r="F499" s="14">
        <f t="shared" si="407"/>
        <v>0</v>
      </c>
      <c r="G499" s="9"/>
      <c r="H499" s="9">
        <v>1</v>
      </c>
      <c r="I499" s="9"/>
      <c r="J499" s="39"/>
      <c r="K499" s="14">
        <f t="shared" si="408"/>
        <v>1</v>
      </c>
      <c r="L499" s="14">
        <f t="shared" si="395"/>
        <v>1</v>
      </c>
      <c r="M499" s="7">
        <v>45596</v>
      </c>
      <c r="O499" s="35"/>
      <c r="P499" s="8"/>
      <c r="Q499" s="9"/>
      <c r="R499" s="9"/>
      <c r="S499" s="39"/>
      <c r="T499" s="14">
        <f t="shared" si="409"/>
        <v>0</v>
      </c>
      <c r="U499" s="9"/>
      <c r="V499" s="9"/>
      <c r="W499" s="9"/>
      <c r="X499" s="39"/>
      <c r="Y499" s="14">
        <f t="shared" si="410"/>
        <v>0</v>
      </c>
      <c r="Z499" s="14">
        <f t="shared" si="391"/>
        <v>0</v>
      </c>
    </row>
    <row r="500" spans="1:26" x14ac:dyDescent="0.15">
      <c r="A500" s="38" t="s">
        <v>35</v>
      </c>
      <c r="B500" s="8">
        <v>1</v>
      </c>
      <c r="C500" s="9"/>
      <c r="D500" s="9"/>
      <c r="E500" s="39"/>
      <c r="F500" s="14">
        <f t="shared" si="407"/>
        <v>1</v>
      </c>
      <c r="G500" s="9"/>
      <c r="H500" s="9"/>
      <c r="I500" s="9"/>
      <c r="J500" s="39"/>
      <c r="K500" s="14">
        <f t="shared" si="408"/>
        <v>0</v>
      </c>
      <c r="L500" s="14">
        <f t="shared" si="395"/>
        <v>1</v>
      </c>
      <c r="M500" s="7">
        <v>45601</v>
      </c>
      <c r="O500" s="35"/>
      <c r="P500" s="8"/>
      <c r="Q500" s="9"/>
      <c r="R500" s="9"/>
      <c r="S500" s="39"/>
      <c r="T500" s="14">
        <f t="shared" si="409"/>
        <v>0</v>
      </c>
      <c r="U500" s="9"/>
      <c r="V500" s="9"/>
      <c r="W500" s="9"/>
      <c r="X500" s="39"/>
      <c r="Y500" s="14">
        <f t="shared" si="410"/>
        <v>0</v>
      </c>
      <c r="Z500" s="14">
        <f t="shared" si="391"/>
        <v>0</v>
      </c>
    </row>
    <row r="501" spans="1:26" x14ac:dyDescent="0.15">
      <c r="A501" s="38" t="s">
        <v>35</v>
      </c>
      <c r="B501" s="8"/>
      <c r="C501" s="9">
        <v>1</v>
      </c>
      <c r="D501" s="9"/>
      <c r="E501" s="39"/>
      <c r="F501" s="14">
        <f t="shared" si="407"/>
        <v>1</v>
      </c>
      <c r="G501" s="9"/>
      <c r="H501" s="9"/>
      <c r="I501" s="9"/>
      <c r="J501" s="39"/>
      <c r="K501" s="14">
        <f t="shared" si="408"/>
        <v>0</v>
      </c>
      <c r="L501" s="14">
        <f t="shared" si="395"/>
        <v>1</v>
      </c>
      <c r="M501" s="7">
        <v>45607</v>
      </c>
      <c r="O501" s="35"/>
      <c r="P501" s="8"/>
      <c r="Q501" s="9"/>
      <c r="R501" s="9"/>
      <c r="S501" s="39"/>
      <c r="T501" s="14">
        <f t="shared" si="409"/>
        <v>0</v>
      </c>
      <c r="U501" s="9"/>
      <c r="V501" s="9"/>
      <c r="W501" s="9"/>
      <c r="X501" s="39"/>
      <c r="Y501" s="14">
        <f t="shared" si="410"/>
        <v>0</v>
      </c>
      <c r="Z501" s="14">
        <f t="shared" si="391"/>
        <v>0</v>
      </c>
    </row>
    <row r="502" spans="1:26" x14ac:dyDescent="0.15">
      <c r="A502" s="33" t="s">
        <v>155</v>
      </c>
      <c r="B502" s="8">
        <v>-1</v>
      </c>
      <c r="C502" s="9"/>
      <c r="D502" s="9"/>
      <c r="E502" s="39"/>
      <c r="F502" s="14">
        <f t="shared" si="407"/>
        <v>-1</v>
      </c>
      <c r="G502" s="9"/>
      <c r="H502" s="9"/>
      <c r="I502" s="9"/>
      <c r="J502" s="39"/>
      <c r="K502" s="14">
        <f t="shared" si="408"/>
        <v>0</v>
      </c>
      <c r="L502" s="14">
        <f t="shared" si="395"/>
        <v>-1</v>
      </c>
      <c r="M502" s="7">
        <v>45607</v>
      </c>
      <c r="O502" s="33"/>
      <c r="P502" s="8"/>
      <c r="Q502" s="9"/>
      <c r="R502" s="9"/>
      <c r="S502" s="39"/>
      <c r="T502" s="14">
        <f t="shared" si="409"/>
        <v>0</v>
      </c>
      <c r="U502" s="9"/>
      <c r="V502" s="9"/>
      <c r="W502" s="9"/>
      <c r="X502" s="39"/>
      <c r="Y502" s="14">
        <f t="shared" si="410"/>
        <v>0</v>
      </c>
      <c r="Z502" s="14">
        <f t="shared" si="391"/>
        <v>0</v>
      </c>
    </row>
    <row r="503" spans="1:26" x14ac:dyDescent="0.15">
      <c r="A503" s="38" t="s">
        <v>35</v>
      </c>
      <c r="B503" s="8">
        <v>1</v>
      </c>
      <c r="C503" s="9"/>
      <c r="D503" s="9"/>
      <c r="E503" s="39"/>
      <c r="F503" s="14">
        <f t="shared" si="407"/>
        <v>1</v>
      </c>
      <c r="G503" s="9"/>
      <c r="H503" s="9"/>
      <c r="I503" s="9"/>
      <c r="J503" s="39"/>
      <c r="K503" s="14">
        <f t="shared" si="408"/>
        <v>0</v>
      </c>
      <c r="L503" s="14">
        <f t="shared" si="395"/>
        <v>1</v>
      </c>
      <c r="M503" s="7">
        <v>45615</v>
      </c>
      <c r="O503" s="144" t="s">
        <v>115</v>
      </c>
      <c r="P503" s="4"/>
      <c r="Q503" s="5"/>
      <c r="R503" s="5"/>
      <c r="S503" s="60"/>
      <c r="T503" s="10">
        <f t="shared" si="409"/>
        <v>0</v>
      </c>
      <c r="U503" s="5"/>
      <c r="V503" s="5"/>
      <c r="W503" s="5"/>
      <c r="X503" s="60"/>
      <c r="Y503" s="10">
        <f t="shared" si="410"/>
        <v>0</v>
      </c>
      <c r="Z503" s="10">
        <f t="shared" si="391"/>
        <v>0</v>
      </c>
    </row>
    <row r="504" spans="1:26" ht="14.25" thickBot="1" x14ac:dyDescent="0.2">
      <c r="A504" s="38" t="s">
        <v>35</v>
      </c>
      <c r="B504" s="15">
        <v>1</v>
      </c>
      <c r="C504" s="16"/>
      <c r="D504" s="16"/>
      <c r="E504" s="58"/>
      <c r="F504" s="56">
        <f t="shared" si="407"/>
        <v>1</v>
      </c>
      <c r="G504" s="16"/>
      <c r="H504" s="16"/>
      <c r="I504" s="16"/>
      <c r="J504" s="58"/>
      <c r="K504" s="56">
        <f t="shared" si="408"/>
        <v>0</v>
      </c>
      <c r="L504" s="59">
        <f t="shared" si="395"/>
        <v>1</v>
      </c>
      <c r="M504" s="7">
        <v>45621</v>
      </c>
      <c r="O504" s="89" t="s">
        <v>31</v>
      </c>
      <c r="P504" s="118"/>
      <c r="Q504" s="122"/>
      <c r="R504" s="122"/>
      <c r="S504" s="126"/>
      <c r="T504" s="121">
        <f t="shared" si="409"/>
        <v>0</v>
      </c>
      <c r="U504" s="122"/>
      <c r="V504" s="122"/>
      <c r="W504" s="122"/>
      <c r="X504" s="126"/>
      <c r="Y504" s="121">
        <f t="shared" si="410"/>
        <v>0</v>
      </c>
      <c r="Z504" s="121">
        <f t="shared" si="391"/>
        <v>0</v>
      </c>
    </row>
    <row r="505" spans="1:26" ht="14.25" thickBot="1" x14ac:dyDescent="0.2">
      <c r="A505" s="3" t="s">
        <v>7</v>
      </c>
      <c r="B505" s="17">
        <f t="shared" ref="B505:E505" si="411">SUM(B479:B504)</f>
        <v>5</v>
      </c>
      <c r="C505" s="18">
        <f t="shared" si="411"/>
        <v>1</v>
      </c>
      <c r="D505" s="18">
        <f t="shared" si="411"/>
        <v>1</v>
      </c>
      <c r="E505" s="40">
        <f t="shared" si="411"/>
        <v>2</v>
      </c>
      <c r="F505" s="11">
        <f t="shared" si="407"/>
        <v>9</v>
      </c>
      <c r="G505" s="17">
        <f t="shared" ref="G505:J505" si="412">SUM(G479:G504)</f>
        <v>3</v>
      </c>
      <c r="H505" s="18">
        <f t="shared" si="412"/>
        <v>1</v>
      </c>
      <c r="I505" s="18">
        <f t="shared" si="412"/>
        <v>3</v>
      </c>
      <c r="J505" s="40">
        <f t="shared" si="412"/>
        <v>2</v>
      </c>
      <c r="K505" s="11">
        <f t="shared" si="408"/>
        <v>9</v>
      </c>
      <c r="L505" s="11">
        <f t="shared" si="395"/>
        <v>18</v>
      </c>
      <c r="O505" s="3" t="s">
        <v>7</v>
      </c>
      <c r="P505" s="17">
        <f t="shared" ref="P505:S505" si="413">SUM(P479:P504)</f>
        <v>2</v>
      </c>
      <c r="Q505" s="18">
        <f t="shared" si="413"/>
        <v>10</v>
      </c>
      <c r="R505" s="18">
        <f t="shared" si="413"/>
        <v>4</v>
      </c>
      <c r="S505" s="40">
        <f t="shared" si="413"/>
        <v>17</v>
      </c>
      <c r="T505" s="11">
        <f t="shared" si="409"/>
        <v>33</v>
      </c>
      <c r="U505" s="17">
        <f t="shared" ref="U505:X505" si="414">SUM(U479:U504)</f>
        <v>2</v>
      </c>
      <c r="V505" s="18">
        <f t="shared" si="414"/>
        <v>4</v>
      </c>
      <c r="W505" s="18">
        <f t="shared" si="414"/>
        <v>2</v>
      </c>
      <c r="X505" s="40">
        <f t="shared" si="414"/>
        <v>1</v>
      </c>
      <c r="Y505" s="11">
        <f t="shared" si="410"/>
        <v>9</v>
      </c>
      <c r="Z505" s="11">
        <f t="shared" si="391"/>
        <v>42</v>
      </c>
    </row>
    <row r="506" spans="1:26" ht="14.25" thickBot="1" x14ac:dyDescent="0.2">
      <c r="A506" s="19" t="s">
        <v>8</v>
      </c>
      <c r="B506" s="20">
        <f t="shared" ref="B506:E506" si="415">B478-B505</f>
        <v>2</v>
      </c>
      <c r="C506" s="21">
        <f t="shared" si="415"/>
        <v>2</v>
      </c>
      <c r="D506" s="21">
        <f t="shared" si="415"/>
        <v>4</v>
      </c>
      <c r="E506" s="22">
        <f t="shared" si="415"/>
        <v>3</v>
      </c>
      <c r="F506" s="11">
        <f t="shared" si="407"/>
        <v>11</v>
      </c>
      <c r="G506" s="20">
        <f t="shared" ref="G506:J506" si="416">G478-G505</f>
        <v>2</v>
      </c>
      <c r="H506" s="21">
        <f t="shared" si="416"/>
        <v>3</v>
      </c>
      <c r="I506" s="21">
        <f t="shared" si="416"/>
        <v>3</v>
      </c>
      <c r="J506" s="51">
        <f t="shared" si="416"/>
        <v>3</v>
      </c>
      <c r="K506" s="11">
        <f t="shared" si="408"/>
        <v>11</v>
      </c>
      <c r="L506" s="53">
        <f t="shared" si="395"/>
        <v>22</v>
      </c>
      <c r="O506" s="19" t="s">
        <v>8</v>
      </c>
      <c r="P506" s="20">
        <f t="shared" ref="P506:S506" si="417">P478-P505</f>
        <v>308</v>
      </c>
      <c r="Q506" s="21">
        <f t="shared" si="417"/>
        <v>259</v>
      </c>
      <c r="R506" s="21">
        <f t="shared" si="417"/>
        <v>196</v>
      </c>
      <c r="S506" s="22">
        <f t="shared" si="417"/>
        <v>147</v>
      </c>
      <c r="T506" s="11">
        <f t="shared" si="409"/>
        <v>910</v>
      </c>
      <c r="U506" s="20">
        <f t="shared" ref="U506:X506" si="418">U478-U505</f>
        <v>58</v>
      </c>
      <c r="V506" s="21">
        <f t="shared" si="418"/>
        <v>66</v>
      </c>
      <c r="W506" s="21">
        <f t="shared" si="418"/>
        <v>31</v>
      </c>
      <c r="X506" s="51">
        <f t="shared" si="418"/>
        <v>33</v>
      </c>
      <c r="Y506" s="11">
        <f t="shared" si="410"/>
        <v>188</v>
      </c>
      <c r="Z506" s="53">
        <f t="shared" si="391"/>
        <v>1098</v>
      </c>
    </row>
    <row r="509" spans="1:26" ht="19.5" thickBot="1" x14ac:dyDescent="0.25">
      <c r="A509" s="1" t="s">
        <v>19</v>
      </c>
      <c r="C509" s="164" t="s">
        <v>20</v>
      </c>
      <c r="D509" s="164"/>
      <c r="O509" s="1" t="s">
        <v>21</v>
      </c>
      <c r="S509" s="164" t="s">
        <v>20</v>
      </c>
      <c r="T509" s="164"/>
    </row>
    <row r="510" spans="1:26" ht="14.25" thickBot="1" x14ac:dyDescent="0.2">
      <c r="A510" s="3" t="s">
        <v>0</v>
      </c>
      <c r="B510" s="165" t="s">
        <v>15</v>
      </c>
      <c r="C510" s="166"/>
      <c r="D510" s="166"/>
      <c r="E510" s="166"/>
      <c r="F510" s="167"/>
      <c r="G510" s="168" t="s">
        <v>18</v>
      </c>
      <c r="H510" s="169"/>
      <c r="I510" s="169"/>
      <c r="J510" s="169"/>
      <c r="K510" s="170"/>
      <c r="L510" s="47"/>
      <c r="O510" s="3" t="s">
        <v>0</v>
      </c>
      <c r="P510" s="165" t="s">
        <v>15</v>
      </c>
      <c r="Q510" s="166"/>
      <c r="R510" s="166"/>
      <c r="S510" s="166"/>
      <c r="T510" s="167"/>
      <c r="U510" s="168" t="s">
        <v>18</v>
      </c>
      <c r="V510" s="169"/>
      <c r="W510" s="169"/>
      <c r="X510" s="169"/>
      <c r="Y510" s="170"/>
      <c r="Z510" s="47"/>
    </row>
    <row r="511" spans="1:26" ht="14.25" thickBot="1" x14ac:dyDescent="0.2">
      <c r="A511" s="3" t="s">
        <v>1</v>
      </c>
      <c r="B511" s="23" t="s">
        <v>11</v>
      </c>
      <c r="C511" s="24" t="s">
        <v>12</v>
      </c>
      <c r="D511" s="24" t="s">
        <v>13</v>
      </c>
      <c r="E511" s="25" t="s">
        <v>14</v>
      </c>
      <c r="F511" s="48" t="s">
        <v>2</v>
      </c>
      <c r="G511" s="23" t="s">
        <v>11</v>
      </c>
      <c r="H511" s="24" t="s">
        <v>12</v>
      </c>
      <c r="I511" s="24" t="s">
        <v>13</v>
      </c>
      <c r="J511" s="25" t="s">
        <v>14</v>
      </c>
      <c r="K511" s="48" t="s">
        <v>2</v>
      </c>
      <c r="L511" s="48" t="s">
        <v>17</v>
      </c>
      <c r="O511" s="3" t="s">
        <v>1</v>
      </c>
      <c r="P511" s="23" t="s">
        <v>11</v>
      </c>
      <c r="Q511" s="24" t="s">
        <v>12</v>
      </c>
      <c r="R511" s="24" t="s">
        <v>13</v>
      </c>
      <c r="S511" s="25" t="s">
        <v>14</v>
      </c>
      <c r="T511" s="48" t="s">
        <v>2</v>
      </c>
      <c r="U511" s="23" t="s">
        <v>11</v>
      </c>
      <c r="V511" s="24" t="s">
        <v>12</v>
      </c>
      <c r="W511" s="24" t="s">
        <v>13</v>
      </c>
      <c r="X511" s="25" t="s">
        <v>14</v>
      </c>
      <c r="Y511" s="48" t="s">
        <v>2</v>
      </c>
      <c r="Z511" s="48" t="s">
        <v>17</v>
      </c>
    </row>
    <row r="512" spans="1:26" x14ac:dyDescent="0.15">
      <c r="A512" s="116" t="s">
        <v>9</v>
      </c>
      <c r="B512" s="113">
        <f>B506</f>
        <v>2</v>
      </c>
      <c r="C512" s="27">
        <f>C506</f>
        <v>2</v>
      </c>
      <c r="D512" s="27">
        <f>D506</f>
        <v>4</v>
      </c>
      <c r="E512" s="42">
        <f>E506</f>
        <v>3</v>
      </c>
      <c r="F512" s="28">
        <f>SUM(B512:E512)</f>
        <v>11</v>
      </c>
      <c r="G512" s="113">
        <f>G506</f>
        <v>2</v>
      </c>
      <c r="H512" s="27">
        <f>H506</f>
        <v>3</v>
      </c>
      <c r="I512" s="27">
        <f>I506</f>
        <v>3</v>
      </c>
      <c r="J512" s="42">
        <f>J506</f>
        <v>3</v>
      </c>
      <c r="K512" s="28">
        <f>SUM(G512:J512)</f>
        <v>11</v>
      </c>
      <c r="L512" s="114">
        <f>F512+K512</f>
        <v>22</v>
      </c>
      <c r="O512" s="54" t="s">
        <v>9</v>
      </c>
      <c r="P512" s="26">
        <f>P506</f>
        <v>308</v>
      </c>
      <c r="Q512" s="27">
        <f>Q506</f>
        <v>259</v>
      </c>
      <c r="R512" s="27">
        <f>R506</f>
        <v>196</v>
      </c>
      <c r="S512" s="42">
        <f>S506</f>
        <v>147</v>
      </c>
      <c r="T512" s="28">
        <f>SUM(P512:S512)</f>
        <v>910</v>
      </c>
      <c r="U512" s="26">
        <f>U506</f>
        <v>58</v>
      </c>
      <c r="V512" s="27">
        <f>V506</f>
        <v>66</v>
      </c>
      <c r="W512" s="27">
        <f>W506</f>
        <v>31</v>
      </c>
      <c r="X512" s="42">
        <f>X506</f>
        <v>33</v>
      </c>
      <c r="Y512" s="52">
        <f>SUM(U512:X512)</f>
        <v>188</v>
      </c>
      <c r="Z512" s="28">
        <f>T512+Y512</f>
        <v>1098</v>
      </c>
    </row>
    <row r="513" spans="1:27" x14ac:dyDescent="0.15">
      <c r="A513" s="33" t="s">
        <v>38</v>
      </c>
      <c r="B513" s="9"/>
      <c r="C513" s="29">
        <v>1</v>
      </c>
      <c r="D513" s="29">
        <v>1</v>
      </c>
      <c r="E513" s="43">
        <f>1+1</f>
        <v>2</v>
      </c>
      <c r="F513" s="14">
        <f t="shared" ref="F513:F516" si="419">SUM(B513:E513)</f>
        <v>4</v>
      </c>
      <c r="G513" s="9"/>
      <c r="H513" s="29"/>
      <c r="I513" s="29"/>
      <c r="J513" s="43"/>
      <c r="K513" s="14">
        <f t="shared" ref="K513:K516" si="420">SUM(G513:J513)</f>
        <v>0</v>
      </c>
      <c r="L513" s="125">
        <f t="shared" ref="L513:L516" si="421">F513+K513</f>
        <v>4</v>
      </c>
      <c r="M513" s="7">
        <v>45617</v>
      </c>
      <c r="O513" s="33" t="s">
        <v>153</v>
      </c>
      <c r="P513" s="9">
        <v>8</v>
      </c>
      <c r="Q513" s="29">
        <v>10</v>
      </c>
      <c r="R513" s="29">
        <v>10</v>
      </c>
      <c r="S513" s="43">
        <v>9</v>
      </c>
      <c r="T513" s="14">
        <f t="shared" ref="T513" si="422">SUM(P513:S513)</f>
        <v>37</v>
      </c>
      <c r="U513" s="9"/>
      <c r="V513" s="29"/>
      <c r="W513" s="29"/>
      <c r="X513" s="43"/>
      <c r="Y513" s="14">
        <f t="shared" ref="Y513" si="423">SUM(U513:X513)</f>
        <v>0</v>
      </c>
      <c r="Z513" s="125">
        <f t="shared" ref="Z513" si="424">T513+Y513</f>
        <v>37</v>
      </c>
      <c r="AA513" s="7">
        <v>45632</v>
      </c>
    </row>
    <row r="514" spans="1:27" x14ac:dyDescent="0.15">
      <c r="A514" s="33" t="s">
        <v>3</v>
      </c>
      <c r="B514" s="9">
        <v>2</v>
      </c>
      <c r="C514" s="29"/>
      <c r="D514" s="29"/>
      <c r="E514" s="43"/>
      <c r="F514" s="14">
        <f t="shared" si="419"/>
        <v>2</v>
      </c>
      <c r="G514" s="9">
        <v>2</v>
      </c>
      <c r="H514" s="29"/>
      <c r="I514" s="29"/>
      <c r="J514" s="43"/>
      <c r="K514" s="14">
        <f t="shared" si="420"/>
        <v>2</v>
      </c>
      <c r="L514" s="125">
        <f t="shared" si="421"/>
        <v>4</v>
      </c>
      <c r="M514" s="7">
        <v>45631</v>
      </c>
      <c r="O514" s="33" t="s">
        <v>158</v>
      </c>
      <c r="P514" s="9">
        <f>6+2+1+2+5+5</f>
        <v>21</v>
      </c>
      <c r="Q514" s="29">
        <f>15+3+6+5+4+4</f>
        <v>37</v>
      </c>
      <c r="R514" s="29">
        <f>3+4+3+1+2+5</f>
        <v>18</v>
      </c>
      <c r="S514" s="43">
        <f>3+3+3+6+5</f>
        <v>20</v>
      </c>
      <c r="T514" s="14">
        <f t="shared" ref="T514" si="425">SUM(P514:S514)</f>
        <v>96</v>
      </c>
      <c r="U514" s="9"/>
      <c r="V514" s="29"/>
      <c r="W514" s="29"/>
      <c r="X514" s="43"/>
      <c r="Y514" s="14">
        <f t="shared" ref="Y514" si="426">SUM(U514:X514)</f>
        <v>0</v>
      </c>
      <c r="Z514" s="125">
        <f t="shared" ref="Z514" si="427">T514+Y514</f>
        <v>96</v>
      </c>
      <c r="AA514" s="7">
        <v>45664</v>
      </c>
    </row>
    <row r="515" spans="1:27" x14ac:dyDescent="0.15">
      <c r="A515" s="33" t="s">
        <v>4</v>
      </c>
      <c r="B515" s="9"/>
      <c r="C515" s="29"/>
      <c r="D515" s="29"/>
      <c r="E515" s="43"/>
      <c r="F515" s="14">
        <f t="shared" si="419"/>
        <v>0</v>
      </c>
      <c r="G515" s="9">
        <v>2</v>
      </c>
      <c r="H515" s="29"/>
      <c r="I515" s="29">
        <v>2</v>
      </c>
      <c r="J515" s="43"/>
      <c r="K515" s="14">
        <f t="shared" si="420"/>
        <v>4</v>
      </c>
      <c r="L515" s="125">
        <f t="shared" si="421"/>
        <v>4</v>
      </c>
      <c r="M515" s="7">
        <v>45643</v>
      </c>
      <c r="O515" s="33" t="s">
        <v>4</v>
      </c>
      <c r="P515" s="122"/>
      <c r="Q515" s="119"/>
      <c r="R515" s="119"/>
      <c r="S515" s="120"/>
      <c r="T515" s="14">
        <f t="shared" ref="T515:T516" si="428">SUM(P515:S515)</f>
        <v>0</v>
      </c>
      <c r="U515" s="122"/>
      <c r="V515" s="119"/>
      <c r="W515" s="119"/>
      <c r="X515" s="120"/>
      <c r="Y515" s="14">
        <f t="shared" ref="Y515:Y516" si="429">SUM(U515:X515)</f>
        <v>0</v>
      </c>
      <c r="Z515" s="125">
        <f t="shared" ref="Z515:Z545" si="430">T515+Y515</f>
        <v>0</v>
      </c>
    </row>
    <row r="516" spans="1:27" ht="14.25" thickBot="1" x14ac:dyDescent="0.2">
      <c r="A516" s="35" t="s">
        <v>5</v>
      </c>
      <c r="B516" s="135"/>
      <c r="C516" s="136"/>
      <c r="D516" s="136">
        <v>2</v>
      </c>
      <c r="E516" s="137"/>
      <c r="F516" s="59">
        <f t="shared" si="419"/>
        <v>2</v>
      </c>
      <c r="G516" s="135"/>
      <c r="H516" s="136"/>
      <c r="I516" s="136"/>
      <c r="J516" s="137"/>
      <c r="K516" s="59">
        <f t="shared" si="420"/>
        <v>0</v>
      </c>
      <c r="L516" s="138">
        <f t="shared" si="421"/>
        <v>2</v>
      </c>
      <c r="M516" s="7">
        <v>45678</v>
      </c>
      <c r="O516" s="35" t="s">
        <v>5</v>
      </c>
      <c r="P516" s="135"/>
      <c r="Q516" s="136"/>
      <c r="R516" s="136"/>
      <c r="S516" s="137"/>
      <c r="T516" s="59">
        <f t="shared" si="428"/>
        <v>0</v>
      </c>
      <c r="U516" s="135"/>
      <c r="V516" s="136"/>
      <c r="W516" s="136"/>
      <c r="X516" s="137"/>
      <c r="Y516" s="59">
        <f t="shared" si="429"/>
        <v>0</v>
      </c>
      <c r="Z516" s="138">
        <f t="shared" si="430"/>
        <v>0</v>
      </c>
    </row>
    <row r="517" spans="1:27" ht="14.25" thickBot="1" x14ac:dyDescent="0.2">
      <c r="A517" s="2" t="s">
        <v>6</v>
      </c>
      <c r="B517" s="139">
        <f>SUM(B512:B516)</f>
        <v>4</v>
      </c>
      <c r="C517" s="140">
        <f>SUM(C512:C516)</f>
        <v>3</v>
      </c>
      <c r="D517" s="140">
        <f>SUM(D512:D516)</f>
        <v>7</v>
      </c>
      <c r="E517" s="141">
        <f>SUM(E512:E516)</f>
        <v>5</v>
      </c>
      <c r="F517" s="32">
        <f>SUM(B517:E517)</f>
        <v>19</v>
      </c>
      <c r="G517" s="142">
        <f>SUM(G512:G516)</f>
        <v>6</v>
      </c>
      <c r="H517" s="140">
        <f>SUM(H512:H516)</f>
        <v>3</v>
      </c>
      <c r="I517" s="140">
        <f>SUM(I512:I516)</f>
        <v>5</v>
      </c>
      <c r="J517" s="141">
        <f>SUM(J512:J516)</f>
        <v>3</v>
      </c>
      <c r="K517" s="32">
        <f>SUM(G517:J517)</f>
        <v>17</v>
      </c>
      <c r="L517" s="11">
        <f t="shared" ref="L517:L545" si="431">F517+K517</f>
        <v>36</v>
      </c>
      <c r="O517" s="2" t="s">
        <v>6</v>
      </c>
      <c r="P517" s="139">
        <f>SUM(P512:P516)</f>
        <v>337</v>
      </c>
      <c r="Q517" s="140">
        <f>SUM(Q512:Q516)</f>
        <v>306</v>
      </c>
      <c r="R517" s="140">
        <f>SUM(R512:R516)</f>
        <v>224</v>
      </c>
      <c r="S517" s="141">
        <f>SUM(S512:S516)</f>
        <v>176</v>
      </c>
      <c r="T517" s="32">
        <f>SUM(P517:S517)</f>
        <v>1043</v>
      </c>
      <c r="U517" s="142">
        <f>SUM(U512:U516)</f>
        <v>58</v>
      </c>
      <c r="V517" s="140">
        <f>SUM(V512:V516)</f>
        <v>66</v>
      </c>
      <c r="W517" s="140">
        <f>SUM(W512:W516)</f>
        <v>31</v>
      </c>
      <c r="X517" s="141">
        <f>SUM(X512:X516)</f>
        <v>33</v>
      </c>
      <c r="Y517" s="32">
        <f>SUM(U517:X517)</f>
        <v>188</v>
      </c>
      <c r="Z517" s="11">
        <f t="shared" si="430"/>
        <v>1231</v>
      </c>
    </row>
    <row r="518" spans="1:27" x14ac:dyDescent="0.15">
      <c r="A518" s="38" t="s">
        <v>35</v>
      </c>
      <c r="B518" s="8"/>
      <c r="C518" s="9"/>
      <c r="D518" s="9"/>
      <c r="E518" s="39"/>
      <c r="F518" s="14">
        <f t="shared" ref="F518:F539" si="432">SUM(B518:E518)</f>
        <v>0</v>
      </c>
      <c r="G518" s="9"/>
      <c r="H518" s="9"/>
      <c r="I518" s="9">
        <v>1</v>
      </c>
      <c r="J518" s="39"/>
      <c r="K518" s="14">
        <f t="shared" ref="K518:K539" si="433">SUM(G518:J518)</f>
        <v>1</v>
      </c>
      <c r="L518" s="14">
        <f t="shared" ref="L518:L539" si="434">F518+K518</f>
        <v>1</v>
      </c>
      <c r="M518" s="7">
        <v>45622</v>
      </c>
      <c r="O518" s="35" t="s">
        <v>31</v>
      </c>
      <c r="P518" s="8"/>
      <c r="Q518" s="9"/>
      <c r="R518" s="9"/>
      <c r="S518" s="39"/>
      <c r="T518" s="14">
        <f t="shared" ref="T518:T522" si="435">SUM(P518:S518)</f>
        <v>0</v>
      </c>
      <c r="U518" s="9">
        <v>2</v>
      </c>
      <c r="V518" s="9"/>
      <c r="W518" s="9">
        <v>2</v>
      </c>
      <c r="X518" s="39"/>
      <c r="Y518" s="14">
        <f t="shared" ref="Y518:Y522" si="436">SUM(U518:X518)</f>
        <v>4</v>
      </c>
      <c r="Z518" s="14">
        <f t="shared" si="430"/>
        <v>4</v>
      </c>
      <c r="AA518" s="7">
        <v>45643</v>
      </c>
    </row>
    <row r="519" spans="1:27" x14ac:dyDescent="0.15">
      <c r="A519" s="38" t="s">
        <v>35</v>
      </c>
      <c r="B519" s="8"/>
      <c r="C519" s="9"/>
      <c r="D519" s="9"/>
      <c r="E519" s="39"/>
      <c r="F519" s="14">
        <f t="shared" si="432"/>
        <v>0</v>
      </c>
      <c r="G519" s="9">
        <v>1</v>
      </c>
      <c r="H519" s="9"/>
      <c r="I519" s="9"/>
      <c r="J519" s="39"/>
      <c r="K519" s="14">
        <f t="shared" si="433"/>
        <v>1</v>
      </c>
      <c r="L519" s="14">
        <f t="shared" si="434"/>
        <v>1</v>
      </c>
      <c r="M519" s="7">
        <v>45628</v>
      </c>
      <c r="O519" s="35" t="s">
        <v>31</v>
      </c>
      <c r="P519" s="8"/>
      <c r="Q519" s="9"/>
      <c r="R519" s="9">
        <v>2</v>
      </c>
      <c r="S519" s="39"/>
      <c r="T519" s="14">
        <f t="shared" si="435"/>
        <v>2</v>
      </c>
      <c r="U519" s="9"/>
      <c r="V519" s="9"/>
      <c r="W519" s="9"/>
      <c r="X519" s="39"/>
      <c r="Y519" s="14">
        <f t="shared" si="436"/>
        <v>0</v>
      </c>
      <c r="Z519" s="14">
        <f t="shared" si="430"/>
        <v>2</v>
      </c>
      <c r="AA519" s="7">
        <v>45678</v>
      </c>
    </row>
    <row r="520" spans="1:27" x14ac:dyDescent="0.15">
      <c r="A520" s="38" t="s">
        <v>35</v>
      </c>
      <c r="B520" s="8"/>
      <c r="C520" s="9"/>
      <c r="D520" s="9"/>
      <c r="E520" s="39"/>
      <c r="F520" s="14">
        <f t="shared" si="432"/>
        <v>0</v>
      </c>
      <c r="G520" s="9">
        <v>1</v>
      </c>
      <c r="H520" s="9"/>
      <c r="I520" s="9"/>
      <c r="J520" s="39"/>
      <c r="K520" s="14">
        <f t="shared" si="433"/>
        <v>1</v>
      </c>
      <c r="L520" s="14">
        <f t="shared" si="434"/>
        <v>1</v>
      </c>
      <c r="M520" s="7">
        <v>45631</v>
      </c>
      <c r="O520" s="35" t="s">
        <v>31</v>
      </c>
      <c r="P520" s="8"/>
      <c r="Q520" s="9">
        <v>2</v>
      </c>
      <c r="R520" s="9"/>
      <c r="S520" s="39"/>
      <c r="T520" s="14">
        <f t="shared" si="435"/>
        <v>2</v>
      </c>
      <c r="U520" s="9"/>
      <c r="V520" s="9"/>
      <c r="W520" s="9"/>
      <c r="X520" s="39">
        <v>2</v>
      </c>
      <c r="Y520" s="14">
        <f t="shared" si="436"/>
        <v>2</v>
      </c>
      <c r="Z520" s="14">
        <f t="shared" si="430"/>
        <v>4</v>
      </c>
      <c r="AA520" s="7">
        <v>45685</v>
      </c>
    </row>
    <row r="521" spans="1:27" x14ac:dyDescent="0.15">
      <c r="A521" s="38" t="s">
        <v>35</v>
      </c>
      <c r="B521" s="8"/>
      <c r="C521" s="9"/>
      <c r="D521" s="9"/>
      <c r="E521" s="39"/>
      <c r="F521" s="14">
        <f t="shared" si="432"/>
        <v>0</v>
      </c>
      <c r="G521" s="9"/>
      <c r="H521" s="9"/>
      <c r="I521" s="9">
        <v>1</v>
      </c>
      <c r="J521" s="39"/>
      <c r="K521" s="14">
        <f t="shared" si="433"/>
        <v>1</v>
      </c>
      <c r="L521" s="14">
        <f t="shared" si="434"/>
        <v>1</v>
      </c>
      <c r="M521" s="7">
        <v>45633</v>
      </c>
      <c r="O521" s="35" t="s">
        <v>31</v>
      </c>
      <c r="P521" s="8">
        <v>1</v>
      </c>
      <c r="Q521" s="9"/>
      <c r="R521" s="9"/>
      <c r="S521" s="39">
        <v>2</v>
      </c>
      <c r="T521" s="14">
        <f t="shared" si="435"/>
        <v>3</v>
      </c>
      <c r="U521" s="9"/>
      <c r="V521" s="9"/>
      <c r="W521" s="9"/>
      <c r="X521" s="39"/>
      <c r="Y521" s="14">
        <f t="shared" si="436"/>
        <v>0</v>
      </c>
      <c r="Z521" s="14">
        <f t="shared" si="430"/>
        <v>3</v>
      </c>
      <c r="AA521" s="7">
        <v>45700</v>
      </c>
    </row>
    <row r="522" spans="1:27" x14ac:dyDescent="0.15">
      <c r="A522" s="38" t="s">
        <v>35</v>
      </c>
      <c r="B522" s="8"/>
      <c r="C522" s="9"/>
      <c r="D522" s="9"/>
      <c r="E522" s="39">
        <v>1</v>
      </c>
      <c r="F522" s="14">
        <f t="shared" si="432"/>
        <v>1</v>
      </c>
      <c r="G522" s="9"/>
      <c r="H522" s="9"/>
      <c r="I522" s="9"/>
      <c r="J522" s="39"/>
      <c r="K522" s="14">
        <f t="shared" si="433"/>
        <v>0</v>
      </c>
      <c r="L522" s="14">
        <f t="shared" si="434"/>
        <v>1</v>
      </c>
      <c r="M522" s="7">
        <v>45635</v>
      </c>
      <c r="O522" s="35" t="s">
        <v>31</v>
      </c>
      <c r="P522" s="8"/>
      <c r="Q522" s="9">
        <v>2</v>
      </c>
      <c r="R522" s="9">
        <v>2</v>
      </c>
      <c r="S522" s="39"/>
      <c r="T522" s="14">
        <f t="shared" si="435"/>
        <v>4</v>
      </c>
      <c r="U522" s="9"/>
      <c r="V522" s="9">
        <v>2</v>
      </c>
      <c r="W522" s="9">
        <v>2</v>
      </c>
      <c r="X522" s="39"/>
      <c r="Y522" s="14">
        <f t="shared" si="436"/>
        <v>4</v>
      </c>
      <c r="Z522" s="14">
        <f t="shared" si="430"/>
        <v>8</v>
      </c>
      <c r="AA522" s="7">
        <v>45707</v>
      </c>
    </row>
    <row r="523" spans="1:27" x14ac:dyDescent="0.15">
      <c r="A523" s="38" t="s">
        <v>35</v>
      </c>
      <c r="B523" s="8">
        <v>1</v>
      </c>
      <c r="C523" s="9"/>
      <c r="D523" s="9">
        <v>1</v>
      </c>
      <c r="E523" s="39">
        <v>1</v>
      </c>
      <c r="F523" s="14">
        <f t="shared" si="432"/>
        <v>3</v>
      </c>
      <c r="G523" s="9"/>
      <c r="H523" s="9"/>
      <c r="I523" s="9"/>
      <c r="J523" s="39"/>
      <c r="K523" s="14">
        <f t="shared" si="433"/>
        <v>0</v>
      </c>
      <c r="L523" s="14">
        <f t="shared" si="434"/>
        <v>3</v>
      </c>
      <c r="M523" s="7">
        <v>45642</v>
      </c>
      <c r="O523" s="35"/>
      <c r="P523" s="8"/>
      <c r="Q523" s="9"/>
      <c r="R523" s="9"/>
      <c r="S523" s="39"/>
      <c r="T523" s="14">
        <f t="shared" ref="T523:T532" si="437">SUM(P523:S523)</f>
        <v>0</v>
      </c>
      <c r="U523" s="9"/>
      <c r="V523" s="9"/>
      <c r="W523" s="9"/>
      <c r="X523" s="39"/>
      <c r="Y523" s="14">
        <f t="shared" ref="Y523:Y532" si="438">SUM(U523:X523)</f>
        <v>0</v>
      </c>
      <c r="Z523" s="14">
        <f t="shared" ref="Z523:Z532" si="439">T523+Y523</f>
        <v>0</v>
      </c>
    </row>
    <row r="524" spans="1:27" x14ac:dyDescent="0.15">
      <c r="A524" s="38" t="s">
        <v>35</v>
      </c>
      <c r="B524" s="8"/>
      <c r="C524" s="9"/>
      <c r="D524" s="9"/>
      <c r="E524" s="39"/>
      <c r="F524" s="14">
        <f t="shared" si="432"/>
        <v>0</v>
      </c>
      <c r="G524" s="9"/>
      <c r="H524" s="9"/>
      <c r="I524" s="9"/>
      <c r="J524" s="39">
        <v>1</v>
      </c>
      <c r="K524" s="14">
        <f t="shared" si="433"/>
        <v>1</v>
      </c>
      <c r="L524" s="14">
        <f t="shared" si="434"/>
        <v>1</v>
      </c>
      <c r="M524" s="7">
        <v>45644</v>
      </c>
      <c r="O524" s="35"/>
      <c r="P524" s="8"/>
      <c r="Q524" s="9"/>
      <c r="R524" s="9"/>
      <c r="S524" s="39"/>
      <c r="T524" s="14">
        <f t="shared" si="437"/>
        <v>0</v>
      </c>
      <c r="U524" s="9"/>
      <c r="V524" s="9"/>
      <c r="W524" s="9"/>
      <c r="X524" s="39"/>
      <c r="Y524" s="14">
        <f t="shared" si="438"/>
        <v>0</v>
      </c>
      <c r="Z524" s="14">
        <f t="shared" si="439"/>
        <v>0</v>
      </c>
    </row>
    <row r="525" spans="1:27" x14ac:dyDescent="0.15">
      <c r="A525" s="38" t="s">
        <v>35</v>
      </c>
      <c r="B525" s="8"/>
      <c r="C525" s="9"/>
      <c r="D525" s="9">
        <v>1</v>
      </c>
      <c r="E525" s="39"/>
      <c r="F525" s="14">
        <f t="shared" si="432"/>
        <v>1</v>
      </c>
      <c r="G525" s="9"/>
      <c r="H525" s="9"/>
      <c r="I525" s="9"/>
      <c r="J525" s="39"/>
      <c r="K525" s="14">
        <f t="shared" si="433"/>
        <v>0</v>
      </c>
      <c r="L525" s="14">
        <f t="shared" si="434"/>
        <v>1</v>
      </c>
      <c r="M525" s="7">
        <v>45652</v>
      </c>
      <c r="O525" s="35"/>
      <c r="P525" s="8"/>
      <c r="Q525" s="9"/>
      <c r="R525" s="9"/>
      <c r="S525" s="39"/>
      <c r="T525" s="14">
        <f t="shared" si="437"/>
        <v>0</v>
      </c>
      <c r="U525" s="9"/>
      <c r="V525" s="9"/>
      <c r="W525" s="9"/>
      <c r="X525" s="39"/>
      <c r="Y525" s="14">
        <f t="shared" si="438"/>
        <v>0</v>
      </c>
      <c r="Z525" s="14">
        <f t="shared" si="439"/>
        <v>0</v>
      </c>
    </row>
    <row r="526" spans="1:27" x14ac:dyDescent="0.15">
      <c r="A526" s="38" t="s">
        <v>35</v>
      </c>
      <c r="B526" s="8"/>
      <c r="C526" s="9"/>
      <c r="D526" s="9"/>
      <c r="E526" s="39">
        <v>1</v>
      </c>
      <c r="F526" s="14">
        <f t="shared" si="432"/>
        <v>1</v>
      </c>
      <c r="G526" s="9"/>
      <c r="H526" s="9"/>
      <c r="I526" s="9"/>
      <c r="J526" s="39"/>
      <c r="K526" s="14">
        <f t="shared" si="433"/>
        <v>0</v>
      </c>
      <c r="L526" s="14">
        <f t="shared" si="434"/>
        <v>1</v>
      </c>
      <c r="M526" s="7">
        <v>45663</v>
      </c>
      <c r="O526" s="35"/>
      <c r="P526" s="8"/>
      <c r="Q526" s="9"/>
      <c r="R526" s="9"/>
      <c r="S526" s="39"/>
      <c r="T526" s="14">
        <f t="shared" si="437"/>
        <v>0</v>
      </c>
      <c r="U526" s="9"/>
      <c r="V526" s="9"/>
      <c r="W526" s="9"/>
      <c r="X526" s="39"/>
      <c r="Y526" s="14">
        <f t="shared" si="438"/>
        <v>0</v>
      </c>
      <c r="Z526" s="14">
        <f t="shared" si="439"/>
        <v>0</v>
      </c>
    </row>
    <row r="527" spans="1:27" x14ac:dyDescent="0.15">
      <c r="A527" s="38" t="s">
        <v>35</v>
      </c>
      <c r="B527" s="8"/>
      <c r="C527" s="9"/>
      <c r="D527" s="9">
        <v>1</v>
      </c>
      <c r="E527" s="39"/>
      <c r="F527" s="14">
        <f t="shared" si="432"/>
        <v>1</v>
      </c>
      <c r="G527" s="9"/>
      <c r="H527" s="9"/>
      <c r="I527" s="9"/>
      <c r="J527" s="39"/>
      <c r="K527" s="14">
        <f t="shared" si="433"/>
        <v>0</v>
      </c>
      <c r="L527" s="14">
        <f t="shared" si="434"/>
        <v>1</v>
      </c>
      <c r="M527" s="7">
        <v>45664</v>
      </c>
      <c r="O527" s="35"/>
      <c r="P527" s="8"/>
      <c r="Q527" s="9"/>
      <c r="R527" s="9"/>
      <c r="S527" s="39"/>
      <c r="T527" s="14">
        <f t="shared" si="437"/>
        <v>0</v>
      </c>
      <c r="U527" s="9"/>
      <c r="V527" s="9"/>
      <c r="W527" s="9"/>
      <c r="X527" s="39"/>
      <c r="Y527" s="14">
        <f t="shared" si="438"/>
        <v>0</v>
      </c>
      <c r="Z527" s="14">
        <f t="shared" si="439"/>
        <v>0</v>
      </c>
    </row>
    <row r="528" spans="1:27" x14ac:dyDescent="0.15">
      <c r="A528" s="38" t="s">
        <v>35</v>
      </c>
      <c r="B528" s="8"/>
      <c r="C528" s="9"/>
      <c r="D528" s="9">
        <v>1</v>
      </c>
      <c r="E528" s="39"/>
      <c r="F528" s="14">
        <f t="shared" si="432"/>
        <v>1</v>
      </c>
      <c r="G528" s="9"/>
      <c r="H528" s="9"/>
      <c r="I528" s="9"/>
      <c r="J528" s="39"/>
      <c r="K528" s="14">
        <f t="shared" si="433"/>
        <v>0</v>
      </c>
      <c r="L528" s="14">
        <f t="shared" si="434"/>
        <v>1</v>
      </c>
      <c r="M528" s="7">
        <v>45677</v>
      </c>
      <c r="O528" s="35"/>
      <c r="P528" s="8"/>
      <c r="Q528" s="9"/>
      <c r="R528" s="9"/>
      <c r="S528" s="39"/>
      <c r="T528" s="14">
        <f t="shared" si="437"/>
        <v>0</v>
      </c>
      <c r="U528" s="9"/>
      <c r="V528" s="9"/>
      <c r="W528" s="9"/>
      <c r="X528" s="39"/>
      <c r="Y528" s="14">
        <f t="shared" si="438"/>
        <v>0</v>
      </c>
      <c r="Z528" s="14">
        <f t="shared" si="439"/>
        <v>0</v>
      </c>
    </row>
    <row r="529" spans="1:26" x14ac:dyDescent="0.15">
      <c r="A529" s="38" t="s">
        <v>35</v>
      </c>
      <c r="B529" s="8"/>
      <c r="C529" s="9"/>
      <c r="D529" s="9">
        <v>1</v>
      </c>
      <c r="E529" s="39"/>
      <c r="F529" s="14">
        <f t="shared" si="432"/>
        <v>1</v>
      </c>
      <c r="G529" s="9"/>
      <c r="H529" s="9"/>
      <c r="I529" s="9"/>
      <c r="J529" s="39"/>
      <c r="K529" s="14">
        <f t="shared" si="433"/>
        <v>0</v>
      </c>
      <c r="L529" s="14">
        <f t="shared" si="434"/>
        <v>1</v>
      </c>
      <c r="M529" s="7">
        <v>45679</v>
      </c>
      <c r="O529" s="35"/>
      <c r="P529" s="8"/>
      <c r="Q529" s="9"/>
      <c r="R529" s="9"/>
      <c r="S529" s="39"/>
      <c r="T529" s="14">
        <f t="shared" si="437"/>
        <v>0</v>
      </c>
      <c r="U529" s="9"/>
      <c r="V529" s="9"/>
      <c r="W529" s="9"/>
      <c r="X529" s="39"/>
      <c r="Y529" s="14">
        <f t="shared" si="438"/>
        <v>0</v>
      </c>
      <c r="Z529" s="14">
        <f t="shared" si="439"/>
        <v>0</v>
      </c>
    </row>
    <row r="530" spans="1:26" x14ac:dyDescent="0.15">
      <c r="A530" s="38" t="s">
        <v>35</v>
      </c>
      <c r="B530" s="8"/>
      <c r="C530" s="9">
        <v>1</v>
      </c>
      <c r="D530" s="9"/>
      <c r="E530" s="39"/>
      <c r="F530" s="14">
        <f t="shared" si="432"/>
        <v>1</v>
      </c>
      <c r="G530" s="9"/>
      <c r="H530" s="9"/>
      <c r="I530" s="9"/>
      <c r="J530" s="39"/>
      <c r="K530" s="14">
        <f t="shared" si="433"/>
        <v>0</v>
      </c>
      <c r="L530" s="14">
        <f t="shared" si="434"/>
        <v>1</v>
      </c>
      <c r="M530" s="7">
        <v>45681</v>
      </c>
      <c r="O530" s="35"/>
      <c r="P530" s="8"/>
      <c r="Q530" s="9"/>
      <c r="R530" s="9"/>
      <c r="S530" s="39"/>
      <c r="T530" s="14">
        <f t="shared" si="437"/>
        <v>0</v>
      </c>
      <c r="U530" s="9"/>
      <c r="V530" s="9"/>
      <c r="W530" s="9"/>
      <c r="X530" s="39"/>
      <c r="Y530" s="14">
        <f t="shared" si="438"/>
        <v>0</v>
      </c>
      <c r="Z530" s="14">
        <f t="shared" si="439"/>
        <v>0</v>
      </c>
    </row>
    <row r="531" spans="1:26" x14ac:dyDescent="0.15">
      <c r="A531" s="38" t="s">
        <v>35</v>
      </c>
      <c r="B531" s="8"/>
      <c r="C531" s="9">
        <v>1</v>
      </c>
      <c r="D531" s="9"/>
      <c r="E531" s="39"/>
      <c r="F531" s="14">
        <f t="shared" si="432"/>
        <v>1</v>
      </c>
      <c r="G531" s="9"/>
      <c r="H531" s="9"/>
      <c r="I531" s="9"/>
      <c r="J531" s="39">
        <v>1</v>
      </c>
      <c r="K531" s="14">
        <f t="shared" si="433"/>
        <v>1</v>
      </c>
      <c r="L531" s="14">
        <f t="shared" si="434"/>
        <v>2</v>
      </c>
      <c r="M531" s="7">
        <v>45684</v>
      </c>
      <c r="O531" s="35"/>
      <c r="P531" s="8"/>
      <c r="Q531" s="9"/>
      <c r="R531" s="9"/>
      <c r="S531" s="39"/>
      <c r="T531" s="14">
        <f t="shared" si="437"/>
        <v>0</v>
      </c>
      <c r="U531" s="9"/>
      <c r="V531" s="9"/>
      <c r="W531" s="9"/>
      <c r="X531" s="39"/>
      <c r="Y531" s="14">
        <f t="shared" si="438"/>
        <v>0</v>
      </c>
      <c r="Z531" s="14">
        <f t="shared" si="439"/>
        <v>0</v>
      </c>
    </row>
    <row r="532" spans="1:26" x14ac:dyDescent="0.15">
      <c r="A532" s="33" t="s">
        <v>161</v>
      </c>
      <c r="B532" s="8"/>
      <c r="C532" s="9">
        <v>-2</v>
      </c>
      <c r="D532" s="9"/>
      <c r="E532" s="39"/>
      <c r="F532" s="14">
        <f t="shared" si="432"/>
        <v>-2</v>
      </c>
      <c r="G532" s="9"/>
      <c r="H532" s="9"/>
      <c r="I532" s="9"/>
      <c r="J532" s="39">
        <v>-2</v>
      </c>
      <c r="K532" s="14">
        <f t="shared" si="433"/>
        <v>-2</v>
      </c>
      <c r="L532" s="14">
        <f t="shared" si="434"/>
        <v>-4</v>
      </c>
      <c r="M532" s="7">
        <v>45685</v>
      </c>
      <c r="O532" s="35"/>
      <c r="P532" s="8"/>
      <c r="Q532" s="9"/>
      <c r="R532" s="9"/>
      <c r="S532" s="39"/>
      <c r="T532" s="14">
        <f t="shared" si="437"/>
        <v>0</v>
      </c>
      <c r="U532" s="9"/>
      <c r="V532" s="9"/>
      <c r="W532" s="9"/>
      <c r="X532" s="39"/>
      <c r="Y532" s="14">
        <f t="shared" si="438"/>
        <v>0</v>
      </c>
      <c r="Z532" s="14">
        <f t="shared" si="439"/>
        <v>0</v>
      </c>
    </row>
    <row r="533" spans="1:26" x14ac:dyDescent="0.15">
      <c r="A533" s="38" t="s">
        <v>35</v>
      </c>
      <c r="B533" s="8"/>
      <c r="C533" s="9"/>
      <c r="D533" s="9"/>
      <c r="E533" s="39"/>
      <c r="F533" s="14">
        <f t="shared" si="432"/>
        <v>0</v>
      </c>
      <c r="G533" s="9"/>
      <c r="H533" s="9">
        <v>1</v>
      </c>
      <c r="I533" s="9"/>
      <c r="J533" s="39"/>
      <c r="K533" s="14">
        <f t="shared" si="433"/>
        <v>1</v>
      </c>
      <c r="L533" s="14">
        <f t="shared" si="434"/>
        <v>1</v>
      </c>
      <c r="M533" s="7">
        <v>45687</v>
      </c>
      <c r="O533" s="35"/>
      <c r="P533" s="8"/>
      <c r="Q533" s="9"/>
      <c r="R533" s="9"/>
      <c r="S533" s="39"/>
      <c r="T533" s="14">
        <f t="shared" ref="T533:T543" si="440">SUM(P533:S533)</f>
        <v>0</v>
      </c>
      <c r="U533" s="9"/>
      <c r="V533" s="9"/>
      <c r="W533" s="9"/>
      <c r="X533" s="39"/>
      <c r="Y533" s="14">
        <f t="shared" ref="Y533:Y543" si="441">SUM(U533:X533)</f>
        <v>0</v>
      </c>
      <c r="Z533" s="14">
        <f t="shared" ref="Z533:Z543" si="442">T533+Y533</f>
        <v>0</v>
      </c>
    </row>
    <row r="534" spans="1:26" x14ac:dyDescent="0.15">
      <c r="A534" s="38" t="s">
        <v>35</v>
      </c>
      <c r="B534" s="8"/>
      <c r="C534" s="9"/>
      <c r="D534" s="9"/>
      <c r="E534" s="39"/>
      <c r="F534" s="14">
        <f t="shared" si="432"/>
        <v>0</v>
      </c>
      <c r="G534" s="9"/>
      <c r="H534" s="9"/>
      <c r="I534" s="9"/>
      <c r="J534" s="39">
        <v>1</v>
      </c>
      <c r="K534" s="14">
        <f t="shared" si="433"/>
        <v>1</v>
      </c>
      <c r="L534" s="14">
        <f t="shared" si="434"/>
        <v>1</v>
      </c>
      <c r="M534" s="7">
        <v>45691</v>
      </c>
      <c r="O534" s="35"/>
      <c r="P534" s="8"/>
      <c r="Q534" s="9"/>
      <c r="R534" s="9"/>
      <c r="S534" s="39"/>
      <c r="T534" s="14">
        <f t="shared" si="440"/>
        <v>0</v>
      </c>
      <c r="U534" s="9"/>
      <c r="V534" s="9"/>
      <c r="W534" s="9"/>
      <c r="X534" s="39"/>
      <c r="Y534" s="14">
        <f t="shared" si="441"/>
        <v>0</v>
      </c>
      <c r="Z534" s="14">
        <f t="shared" si="442"/>
        <v>0</v>
      </c>
    </row>
    <row r="535" spans="1:26" x14ac:dyDescent="0.15">
      <c r="A535" s="38" t="s">
        <v>35</v>
      </c>
      <c r="B535" s="8"/>
      <c r="C535" s="9"/>
      <c r="D535" s="9"/>
      <c r="E535" s="39"/>
      <c r="F535" s="14">
        <f t="shared" si="432"/>
        <v>0</v>
      </c>
      <c r="G535" s="9"/>
      <c r="H535" s="9"/>
      <c r="I535" s="9">
        <v>1</v>
      </c>
      <c r="J535" s="39"/>
      <c r="K535" s="14">
        <f t="shared" si="433"/>
        <v>1</v>
      </c>
      <c r="L535" s="14">
        <f t="shared" si="434"/>
        <v>1</v>
      </c>
      <c r="M535" s="7">
        <v>45695</v>
      </c>
      <c r="O535" s="35"/>
      <c r="P535" s="8"/>
      <c r="Q535" s="9"/>
      <c r="R535" s="9"/>
      <c r="S535" s="39"/>
      <c r="T535" s="14">
        <f t="shared" si="440"/>
        <v>0</v>
      </c>
      <c r="U535" s="9"/>
      <c r="V535" s="9"/>
      <c r="W535" s="9"/>
      <c r="X535" s="39"/>
      <c r="Y535" s="14">
        <f t="shared" si="441"/>
        <v>0</v>
      </c>
      <c r="Z535" s="14">
        <f t="shared" si="442"/>
        <v>0</v>
      </c>
    </row>
    <row r="536" spans="1:26" x14ac:dyDescent="0.15">
      <c r="A536" s="38" t="s">
        <v>35</v>
      </c>
      <c r="B536" s="8"/>
      <c r="C536" s="9">
        <v>1</v>
      </c>
      <c r="D536" s="9"/>
      <c r="E536" s="39">
        <v>1</v>
      </c>
      <c r="F536" s="14">
        <f t="shared" si="432"/>
        <v>2</v>
      </c>
      <c r="G536" s="9"/>
      <c r="H536" s="9"/>
      <c r="I536" s="9"/>
      <c r="J536" s="39"/>
      <c r="K536" s="14">
        <f t="shared" si="433"/>
        <v>0</v>
      </c>
      <c r="L536" s="14">
        <f t="shared" si="434"/>
        <v>2</v>
      </c>
      <c r="M536" s="7">
        <v>45698</v>
      </c>
      <c r="O536" s="35"/>
      <c r="P536" s="8"/>
      <c r="Q536" s="9"/>
      <c r="R536" s="9"/>
      <c r="S536" s="39"/>
      <c r="T536" s="14">
        <f t="shared" si="440"/>
        <v>0</v>
      </c>
      <c r="U536" s="9"/>
      <c r="V536" s="9"/>
      <c r="W536" s="9"/>
      <c r="X536" s="39"/>
      <c r="Y536" s="14">
        <f t="shared" si="441"/>
        <v>0</v>
      </c>
      <c r="Z536" s="14">
        <f t="shared" si="442"/>
        <v>0</v>
      </c>
    </row>
    <row r="537" spans="1:26" x14ac:dyDescent="0.15">
      <c r="A537" s="33" t="s">
        <v>40</v>
      </c>
      <c r="B537" s="8">
        <v>-1</v>
      </c>
      <c r="C537" s="9"/>
      <c r="D537" s="9"/>
      <c r="E537" s="39">
        <v>-2</v>
      </c>
      <c r="F537" s="14">
        <f t="shared" si="432"/>
        <v>-3</v>
      </c>
      <c r="G537" s="9"/>
      <c r="H537" s="9"/>
      <c r="I537" s="9"/>
      <c r="J537" s="39"/>
      <c r="K537" s="14">
        <f t="shared" si="433"/>
        <v>0</v>
      </c>
      <c r="L537" s="14">
        <f t="shared" si="434"/>
        <v>-3</v>
      </c>
      <c r="M537" s="7">
        <v>45700</v>
      </c>
      <c r="O537" s="35"/>
      <c r="P537" s="8"/>
      <c r="Q537" s="9"/>
      <c r="R537" s="9"/>
      <c r="S537" s="39"/>
      <c r="T537" s="14">
        <f t="shared" si="440"/>
        <v>0</v>
      </c>
      <c r="U537" s="9"/>
      <c r="V537" s="9"/>
      <c r="W537" s="9"/>
      <c r="X537" s="39"/>
      <c r="Y537" s="14">
        <f t="shared" si="441"/>
        <v>0</v>
      </c>
      <c r="Z537" s="14">
        <f t="shared" si="442"/>
        <v>0</v>
      </c>
    </row>
    <row r="538" spans="1:26" x14ac:dyDescent="0.15">
      <c r="A538" s="38" t="s">
        <v>35</v>
      </c>
      <c r="B538" s="8"/>
      <c r="C538" s="9"/>
      <c r="D538" s="9"/>
      <c r="E538" s="39">
        <v>1</v>
      </c>
      <c r="F538" s="14">
        <f t="shared" si="432"/>
        <v>1</v>
      </c>
      <c r="G538" s="9"/>
      <c r="H538" s="9"/>
      <c r="I538" s="9"/>
      <c r="J538" s="39"/>
      <c r="K538" s="14">
        <f t="shared" si="433"/>
        <v>0</v>
      </c>
      <c r="L538" s="14">
        <f t="shared" si="434"/>
        <v>1</v>
      </c>
      <c r="M538" s="7">
        <v>45700</v>
      </c>
      <c r="O538" s="35"/>
      <c r="P538" s="8"/>
      <c r="Q538" s="9"/>
      <c r="R538" s="9"/>
      <c r="S538" s="39"/>
      <c r="T538" s="14">
        <f t="shared" si="440"/>
        <v>0</v>
      </c>
      <c r="U538" s="9"/>
      <c r="V538" s="9"/>
      <c r="W538" s="9"/>
      <c r="X538" s="39"/>
      <c r="Y538" s="14">
        <f t="shared" si="441"/>
        <v>0</v>
      </c>
      <c r="Z538" s="14">
        <f t="shared" si="442"/>
        <v>0</v>
      </c>
    </row>
    <row r="539" spans="1:26" x14ac:dyDescent="0.15">
      <c r="A539" s="38" t="s">
        <v>35</v>
      </c>
      <c r="B539" s="8"/>
      <c r="C539" s="9"/>
      <c r="D539" s="9">
        <v>1</v>
      </c>
      <c r="E539" s="39"/>
      <c r="F539" s="14">
        <f t="shared" si="432"/>
        <v>1</v>
      </c>
      <c r="G539" s="9"/>
      <c r="H539" s="9"/>
      <c r="I539" s="9"/>
      <c r="J539" s="39"/>
      <c r="K539" s="14">
        <f t="shared" si="433"/>
        <v>0</v>
      </c>
      <c r="L539" s="14">
        <f t="shared" si="434"/>
        <v>1</v>
      </c>
      <c r="M539" s="7">
        <v>45705</v>
      </c>
      <c r="O539" s="35"/>
      <c r="P539" s="8"/>
      <c r="Q539" s="9"/>
      <c r="R539" s="9"/>
      <c r="S539" s="39"/>
      <c r="T539" s="14">
        <f t="shared" si="440"/>
        <v>0</v>
      </c>
      <c r="U539" s="9"/>
      <c r="V539" s="9"/>
      <c r="W539" s="9"/>
      <c r="X539" s="39"/>
      <c r="Y539" s="14">
        <f t="shared" si="441"/>
        <v>0</v>
      </c>
      <c r="Z539" s="14">
        <f t="shared" si="442"/>
        <v>0</v>
      </c>
    </row>
    <row r="540" spans="1:26" x14ac:dyDescent="0.15">
      <c r="A540" s="33" t="s">
        <v>40</v>
      </c>
      <c r="B540" s="8"/>
      <c r="C540" s="9">
        <v>-2</v>
      </c>
      <c r="D540" s="9">
        <v>-2</v>
      </c>
      <c r="E540" s="39"/>
      <c r="F540" s="14">
        <f t="shared" ref="F540:F545" si="443">SUM(B540:E540)</f>
        <v>-4</v>
      </c>
      <c r="G540" s="9"/>
      <c r="H540" s="9">
        <v>-2</v>
      </c>
      <c r="I540" s="9">
        <v>-2</v>
      </c>
      <c r="J540" s="39"/>
      <c r="K540" s="14">
        <f t="shared" ref="K540:K545" si="444">SUM(G540:J540)</f>
        <v>-4</v>
      </c>
      <c r="L540" s="14">
        <f t="shared" si="431"/>
        <v>-8</v>
      </c>
      <c r="M540" s="7">
        <v>45707</v>
      </c>
      <c r="O540" s="35"/>
      <c r="P540" s="8"/>
      <c r="Q540" s="9"/>
      <c r="R540" s="9"/>
      <c r="S540" s="39"/>
      <c r="T540" s="14">
        <f t="shared" si="440"/>
        <v>0</v>
      </c>
      <c r="U540" s="9"/>
      <c r="V540" s="9"/>
      <c r="W540" s="9"/>
      <c r="X540" s="39"/>
      <c r="Y540" s="14">
        <f t="shared" si="441"/>
        <v>0</v>
      </c>
      <c r="Z540" s="14">
        <f t="shared" si="442"/>
        <v>0</v>
      </c>
    </row>
    <row r="541" spans="1:26" x14ac:dyDescent="0.15">
      <c r="A541" s="38" t="s">
        <v>35</v>
      </c>
      <c r="B541" s="8"/>
      <c r="C541" s="9"/>
      <c r="D541" s="9">
        <v>1</v>
      </c>
      <c r="E541" s="39"/>
      <c r="F541" s="14">
        <f t="shared" si="443"/>
        <v>1</v>
      </c>
      <c r="G541" s="9"/>
      <c r="H541" s="9"/>
      <c r="I541" s="9"/>
      <c r="J541" s="39"/>
      <c r="K541" s="14">
        <f t="shared" si="444"/>
        <v>0</v>
      </c>
      <c r="L541" s="14">
        <f t="shared" si="431"/>
        <v>1</v>
      </c>
      <c r="M541" s="7">
        <v>45707</v>
      </c>
      <c r="O541" s="35"/>
      <c r="P541" s="8"/>
      <c r="Q541" s="9"/>
      <c r="R541" s="9"/>
      <c r="S541" s="39"/>
      <c r="T541" s="14">
        <f t="shared" si="440"/>
        <v>0</v>
      </c>
      <c r="U541" s="9"/>
      <c r="V541" s="9"/>
      <c r="W541" s="9"/>
      <c r="X541" s="39"/>
      <c r="Y541" s="14">
        <f t="shared" si="441"/>
        <v>0</v>
      </c>
      <c r="Z541" s="14">
        <f t="shared" si="442"/>
        <v>0</v>
      </c>
    </row>
    <row r="542" spans="1:26" x14ac:dyDescent="0.15">
      <c r="A542" s="38" t="s">
        <v>35</v>
      </c>
      <c r="B542" s="8"/>
      <c r="C542" s="9"/>
      <c r="D542" s="9"/>
      <c r="E542" s="39"/>
      <c r="F542" s="14">
        <f t="shared" si="443"/>
        <v>0</v>
      </c>
      <c r="G542" s="9"/>
      <c r="H542" s="9"/>
      <c r="I542" s="9">
        <v>1</v>
      </c>
      <c r="J542" s="39"/>
      <c r="K542" s="14">
        <f t="shared" si="444"/>
        <v>1</v>
      </c>
      <c r="L542" s="14">
        <f t="shared" si="431"/>
        <v>1</v>
      </c>
      <c r="M542" s="7">
        <v>45708</v>
      </c>
      <c r="O542" s="35"/>
      <c r="P542" s="8"/>
      <c r="Q542" s="9"/>
      <c r="R542" s="9"/>
      <c r="S542" s="39"/>
      <c r="T542" s="14">
        <f t="shared" si="440"/>
        <v>0</v>
      </c>
      <c r="U542" s="9"/>
      <c r="V542" s="9"/>
      <c r="W542" s="9"/>
      <c r="X542" s="39"/>
      <c r="Y542" s="14">
        <f t="shared" si="441"/>
        <v>0</v>
      </c>
      <c r="Z542" s="14">
        <f t="shared" si="442"/>
        <v>0</v>
      </c>
    </row>
    <row r="543" spans="1:26" ht="14.25" thickBot="1" x14ac:dyDescent="0.2">
      <c r="A543" s="38" t="s">
        <v>35</v>
      </c>
      <c r="B543" s="8"/>
      <c r="C543" s="9"/>
      <c r="D543" s="9"/>
      <c r="E543" s="39"/>
      <c r="F543" s="14">
        <f t="shared" si="443"/>
        <v>0</v>
      </c>
      <c r="G543" s="9"/>
      <c r="H543" s="9">
        <v>1</v>
      </c>
      <c r="I543" s="9"/>
      <c r="J543" s="39">
        <v>1</v>
      </c>
      <c r="K543" s="14">
        <f t="shared" si="444"/>
        <v>2</v>
      </c>
      <c r="L543" s="14">
        <f t="shared" si="431"/>
        <v>2</v>
      </c>
      <c r="M543" s="7">
        <v>45713</v>
      </c>
      <c r="O543" s="35"/>
      <c r="P543" s="8"/>
      <c r="Q543" s="9"/>
      <c r="R543" s="9"/>
      <c r="S543" s="39"/>
      <c r="T543" s="14">
        <f t="shared" si="440"/>
        <v>0</v>
      </c>
      <c r="U543" s="9"/>
      <c r="V543" s="9"/>
      <c r="W543" s="9"/>
      <c r="X543" s="39"/>
      <c r="Y543" s="14">
        <f t="shared" si="441"/>
        <v>0</v>
      </c>
      <c r="Z543" s="14">
        <f t="shared" si="442"/>
        <v>0</v>
      </c>
    </row>
    <row r="544" spans="1:26" ht="14.25" thickBot="1" x14ac:dyDescent="0.2">
      <c r="A544" s="3" t="s">
        <v>7</v>
      </c>
      <c r="B544" s="17">
        <f t="shared" ref="B544:E544" si="445">SUM(B518:B543)</f>
        <v>0</v>
      </c>
      <c r="C544" s="18">
        <f t="shared" si="445"/>
        <v>-1</v>
      </c>
      <c r="D544" s="18">
        <f t="shared" si="445"/>
        <v>5</v>
      </c>
      <c r="E544" s="40">
        <f t="shared" si="445"/>
        <v>3</v>
      </c>
      <c r="F544" s="11">
        <f t="shared" si="443"/>
        <v>7</v>
      </c>
      <c r="G544" s="17">
        <f t="shared" ref="G544:J544" si="446">SUM(G518:G543)</f>
        <v>2</v>
      </c>
      <c r="H544" s="18">
        <f t="shared" si="446"/>
        <v>0</v>
      </c>
      <c r="I544" s="18">
        <f t="shared" si="446"/>
        <v>2</v>
      </c>
      <c r="J544" s="40">
        <f t="shared" si="446"/>
        <v>2</v>
      </c>
      <c r="K544" s="11">
        <f t="shared" si="444"/>
        <v>6</v>
      </c>
      <c r="L544" s="11">
        <f t="shared" si="431"/>
        <v>13</v>
      </c>
      <c r="O544" s="3" t="s">
        <v>7</v>
      </c>
      <c r="P544" s="17">
        <f t="shared" ref="P544:S544" si="447">SUM(P518:P543)</f>
        <v>1</v>
      </c>
      <c r="Q544" s="18">
        <f t="shared" si="447"/>
        <v>4</v>
      </c>
      <c r="R544" s="18">
        <f t="shared" si="447"/>
        <v>4</v>
      </c>
      <c r="S544" s="40">
        <f t="shared" si="447"/>
        <v>2</v>
      </c>
      <c r="T544" s="11">
        <f t="shared" ref="T544:T545" si="448">SUM(P544:S544)</f>
        <v>11</v>
      </c>
      <c r="U544" s="17">
        <f t="shared" ref="U544:X544" si="449">SUM(U518:U543)</f>
        <v>2</v>
      </c>
      <c r="V544" s="18">
        <f t="shared" si="449"/>
        <v>2</v>
      </c>
      <c r="W544" s="18">
        <f t="shared" si="449"/>
        <v>4</v>
      </c>
      <c r="X544" s="40">
        <f t="shared" si="449"/>
        <v>2</v>
      </c>
      <c r="Y544" s="11">
        <f t="shared" ref="Y544:Y545" si="450">SUM(U544:X544)</f>
        <v>10</v>
      </c>
      <c r="Z544" s="11">
        <f t="shared" si="430"/>
        <v>21</v>
      </c>
    </row>
    <row r="545" spans="1:27" ht="14.25" thickBot="1" x14ac:dyDescent="0.2">
      <c r="A545" s="19" t="s">
        <v>8</v>
      </c>
      <c r="B545" s="20">
        <f t="shared" ref="B545:E545" si="451">B517-B544</f>
        <v>4</v>
      </c>
      <c r="C545" s="21">
        <f t="shared" si="451"/>
        <v>4</v>
      </c>
      <c r="D545" s="21">
        <f t="shared" si="451"/>
        <v>2</v>
      </c>
      <c r="E545" s="22">
        <f t="shared" si="451"/>
        <v>2</v>
      </c>
      <c r="F545" s="11">
        <f t="shared" si="443"/>
        <v>12</v>
      </c>
      <c r="G545" s="20">
        <f t="shared" ref="G545:J545" si="452">G517-G544</f>
        <v>4</v>
      </c>
      <c r="H545" s="21">
        <f t="shared" si="452"/>
        <v>3</v>
      </c>
      <c r="I545" s="21">
        <f t="shared" si="452"/>
        <v>3</v>
      </c>
      <c r="J545" s="51">
        <f t="shared" si="452"/>
        <v>1</v>
      </c>
      <c r="K545" s="11">
        <f t="shared" si="444"/>
        <v>11</v>
      </c>
      <c r="L545" s="53">
        <f t="shared" si="431"/>
        <v>23</v>
      </c>
      <c r="O545" s="19" t="s">
        <v>8</v>
      </c>
      <c r="P545" s="20">
        <f t="shared" ref="P545:S545" si="453">P517-P544</f>
        <v>336</v>
      </c>
      <c r="Q545" s="21">
        <f t="shared" si="453"/>
        <v>302</v>
      </c>
      <c r="R545" s="21">
        <f t="shared" si="453"/>
        <v>220</v>
      </c>
      <c r="S545" s="22">
        <f t="shared" si="453"/>
        <v>174</v>
      </c>
      <c r="T545" s="11">
        <f t="shared" si="448"/>
        <v>1032</v>
      </c>
      <c r="U545" s="20">
        <f t="shared" ref="U545:X545" si="454">U517-U544</f>
        <v>56</v>
      </c>
      <c r="V545" s="21">
        <f t="shared" si="454"/>
        <v>64</v>
      </c>
      <c r="W545" s="21">
        <f t="shared" si="454"/>
        <v>27</v>
      </c>
      <c r="X545" s="51">
        <f t="shared" si="454"/>
        <v>31</v>
      </c>
      <c r="Y545" s="11">
        <f t="shared" si="450"/>
        <v>178</v>
      </c>
      <c r="Z545" s="53">
        <f t="shared" si="430"/>
        <v>1210</v>
      </c>
    </row>
    <row r="548" spans="1:27" ht="19.5" thickBot="1" x14ac:dyDescent="0.25">
      <c r="A548" s="1" t="s">
        <v>19</v>
      </c>
      <c r="C548" s="164" t="s">
        <v>20</v>
      </c>
      <c r="D548" s="164"/>
      <c r="O548" s="1" t="s">
        <v>21</v>
      </c>
      <c r="S548" s="164" t="s">
        <v>20</v>
      </c>
      <c r="T548" s="164"/>
    </row>
    <row r="549" spans="1:27" ht="14.25" thickBot="1" x14ac:dyDescent="0.2">
      <c r="A549" s="3" t="s">
        <v>0</v>
      </c>
      <c r="B549" s="165" t="s">
        <v>15</v>
      </c>
      <c r="C549" s="166"/>
      <c r="D549" s="166"/>
      <c r="E549" s="166"/>
      <c r="F549" s="167"/>
      <c r="G549" s="168" t="s">
        <v>18</v>
      </c>
      <c r="H549" s="169"/>
      <c r="I549" s="169"/>
      <c r="J549" s="169"/>
      <c r="K549" s="170"/>
      <c r="L549" s="47"/>
      <c r="O549" s="3" t="s">
        <v>0</v>
      </c>
      <c r="P549" s="165" t="s">
        <v>15</v>
      </c>
      <c r="Q549" s="166"/>
      <c r="R549" s="166"/>
      <c r="S549" s="166"/>
      <c r="T549" s="167"/>
      <c r="U549" s="168" t="s">
        <v>18</v>
      </c>
      <c r="V549" s="169"/>
      <c r="W549" s="169"/>
      <c r="X549" s="169"/>
      <c r="Y549" s="170"/>
      <c r="Z549" s="47"/>
    </row>
    <row r="550" spans="1:27" ht="14.25" thickBot="1" x14ac:dyDescent="0.2">
      <c r="A550" s="3" t="s">
        <v>1</v>
      </c>
      <c r="B550" s="23" t="s">
        <v>11</v>
      </c>
      <c r="C550" s="24" t="s">
        <v>12</v>
      </c>
      <c r="D550" s="24" t="s">
        <v>13</v>
      </c>
      <c r="E550" s="25" t="s">
        <v>14</v>
      </c>
      <c r="F550" s="48" t="s">
        <v>2</v>
      </c>
      <c r="G550" s="23" t="s">
        <v>11</v>
      </c>
      <c r="H550" s="24" t="s">
        <v>12</v>
      </c>
      <c r="I550" s="24" t="s">
        <v>13</v>
      </c>
      <c r="J550" s="25" t="s">
        <v>14</v>
      </c>
      <c r="K550" s="48" t="s">
        <v>2</v>
      </c>
      <c r="L550" s="48" t="s">
        <v>17</v>
      </c>
      <c r="O550" s="3" t="s">
        <v>1</v>
      </c>
      <c r="P550" s="23" t="s">
        <v>11</v>
      </c>
      <c r="Q550" s="24" t="s">
        <v>12</v>
      </c>
      <c r="R550" s="24" t="s">
        <v>13</v>
      </c>
      <c r="S550" s="25" t="s">
        <v>14</v>
      </c>
      <c r="T550" s="48" t="s">
        <v>2</v>
      </c>
      <c r="U550" s="23" t="s">
        <v>11</v>
      </c>
      <c r="V550" s="24" t="s">
        <v>12</v>
      </c>
      <c r="W550" s="24" t="s">
        <v>13</v>
      </c>
      <c r="X550" s="25" t="s">
        <v>14</v>
      </c>
      <c r="Y550" s="48" t="s">
        <v>2</v>
      </c>
      <c r="Z550" s="48" t="s">
        <v>17</v>
      </c>
    </row>
    <row r="551" spans="1:27" x14ac:dyDescent="0.15">
      <c r="A551" s="116" t="s">
        <v>9</v>
      </c>
      <c r="B551" s="113">
        <f>B545</f>
        <v>4</v>
      </c>
      <c r="C551" s="27">
        <f>C545</f>
        <v>4</v>
      </c>
      <c r="D551" s="27">
        <f>D545</f>
        <v>2</v>
      </c>
      <c r="E551" s="42">
        <f>E545</f>
        <v>2</v>
      </c>
      <c r="F551" s="28">
        <f>SUM(B551:E551)</f>
        <v>12</v>
      </c>
      <c r="G551" s="113">
        <f>G545</f>
        <v>4</v>
      </c>
      <c r="H551" s="27">
        <f>H545</f>
        <v>3</v>
      </c>
      <c r="I551" s="27">
        <f>I545</f>
        <v>3</v>
      </c>
      <c r="J551" s="42">
        <f>J545</f>
        <v>1</v>
      </c>
      <c r="K551" s="28">
        <f>SUM(G551:J551)</f>
        <v>11</v>
      </c>
      <c r="L551" s="114">
        <f>F551+K551</f>
        <v>23</v>
      </c>
      <c r="O551" s="54" t="s">
        <v>9</v>
      </c>
      <c r="P551" s="26">
        <f>P545</f>
        <v>336</v>
      </c>
      <c r="Q551" s="27">
        <f>Q545</f>
        <v>302</v>
      </c>
      <c r="R551" s="27">
        <f>R545</f>
        <v>220</v>
      </c>
      <c r="S551" s="42">
        <f>S545</f>
        <v>174</v>
      </c>
      <c r="T551" s="28">
        <f>SUM(P551:S551)</f>
        <v>1032</v>
      </c>
      <c r="U551" s="26">
        <f>U545</f>
        <v>56</v>
      </c>
      <c r="V551" s="27">
        <f>V545</f>
        <v>64</v>
      </c>
      <c r="W551" s="27">
        <f>W545</f>
        <v>27</v>
      </c>
      <c r="X551" s="42">
        <f>X545</f>
        <v>31</v>
      </c>
      <c r="Y551" s="52">
        <f>SUM(U551:X551)</f>
        <v>178</v>
      </c>
      <c r="Z551" s="28">
        <f>T551+Y551</f>
        <v>1210</v>
      </c>
    </row>
    <row r="552" spans="1:27" x14ac:dyDescent="0.15">
      <c r="A552" s="33" t="s">
        <v>10</v>
      </c>
      <c r="B552" s="9"/>
      <c r="C552" s="29"/>
      <c r="D552" s="29">
        <v>2</v>
      </c>
      <c r="E552" s="43">
        <v>2</v>
      </c>
      <c r="F552" s="14">
        <f t="shared" ref="F552:F555" si="455">SUM(B552:E552)</f>
        <v>4</v>
      </c>
      <c r="G552" s="9"/>
      <c r="H552" s="29"/>
      <c r="I552" s="29"/>
      <c r="J552" s="43">
        <v>2</v>
      </c>
      <c r="K552" s="14">
        <f t="shared" ref="K552:K555" si="456">SUM(G552:J552)</f>
        <v>2</v>
      </c>
      <c r="L552" s="125">
        <f t="shared" ref="L552:L555" si="457">F552+K552</f>
        <v>6</v>
      </c>
      <c r="M552" s="7">
        <v>45708</v>
      </c>
      <c r="O552" s="33" t="s">
        <v>10</v>
      </c>
      <c r="P552" s="122"/>
      <c r="Q552" s="119"/>
      <c r="R552" s="119"/>
      <c r="S552" s="120"/>
      <c r="T552" s="14">
        <f t="shared" ref="T552:T553" si="458">SUM(P552:S552)</f>
        <v>0</v>
      </c>
      <c r="U552" s="122"/>
      <c r="V552" s="119"/>
      <c r="W552" s="119"/>
      <c r="X552" s="120"/>
      <c r="Y552" s="14">
        <f t="shared" ref="Y552:Y553" si="459">SUM(U552:X552)</f>
        <v>0</v>
      </c>
      <c r="Z552" s="125">
        <f t="shared" ref="Z552:Z553" si="460">T552+Y552</f>
        <v>0</v>
      </c>
    </row>
    <row r="553" spans="1:27" x14ac:dyDescent="0.15">
      <c r="A553" s="33" t="s">
        <v>3</v>
      </c>
      <c r="B553" s="9"/>
      <c r="C553" s="29">
        <v>3</v>
      </c>
      <c r="D553" s="29"/>
      <c r="E553" s="43"/>
      <c r="F553" s="14">
        <f t="shared" si="455"/>
        <v>3</v>
      </c>
      <c r="G553" s="9"/>
      <c r="H553" s="29">
        <v>3</v>
      </c>
      <c r="I553" s="29">
        <v>3</v>
      </c>
      <c r="J553" s="43">
        <v>5</v>
      </c>
      <c r="K553" s="14">
        <f t="shared" si="456"/>
        <v>11</v>
      </c>
      <c r="L553" s="125">
        <f t="shared" si="457"/>
        <v>14</v>
      </c>
      <c r="M553" s="7">
        <v>45722</v>
      </c>
      <c r="O553" s="33" t="s">
        <v>3</v>
      </c>
      <c r="P553" s="122"/>
      <c r="Q553" s="119"/>
      <c r="R553" s="119"/>
      <c r="S553" s="120"/>
      <c r="T553" s="14">
        <f t="shared" si="458"/>
        <v>0</v>
      </c>
      <c r="U553" s="122"/>
      <c r="V553" s="119"/>
      <c r="W553" s="119"/>
      <c r="X553" s="120"/>
      <c r="Y553" s="14">
        <f t="shared" si="459"/>
        <v>0</v>
      </c>
      <c r="Z553" s="125">
        <f t="shared" si="460"/>
        <v>0</v>
      </c>
    </row>
    <row r="554" spans="1:27" x14ac:dyDescent="0.15">
      <c r="A554" s="33" t="s">
        <v>4</v>
      </c>
      <c r="B554" s="9">
        <v>5</v>
      </c>
      <c r="C554" s="29"/>
      <c r="D554" s="29"/>
      <c r="E554" s="43"/>
      <c r="F554" s="14">
        <f t="shared" si="455"/>
        <v>5</v>
      </c>
      <c r="G554" s="9"/>
      <c r="H554" s="29"/>
      <c r="I554" s="29"/>
      <c r="J554" s="43"/>
      <c r="K554" s="14">
        <f t="shared" si="456"/>
        <v>0</v>
      </c>
      <c r="L554" s="125">
        <f t="shared" si="457"/>
        <v>5</v>
      </c>
      <c r="M554" s="7">
        <v>45729</v>
      </c>
      <c r="O554" s="33" t="s">
        <v>4</v>
      </c>
      <c r="P554" s="122"/>
      <c r="Q554" s="119"/>
      <c r="R554" s="119"/>
      <c r="S554" s="120"/>
      <c r="T554" s="14">
        <f t="shared" ref="T554:T555" si="461">SUM(P554:S554)</f>
        <v>0</v>
      </c>
      <c r="U554" s="122"/>
      <c r="V554" s="119"/>
      <c r="W554" s="119"/>
      <c r="X554" s="120"/>
      <c r="Y554" s="14">
        <f t="shared" ref="Y554:Y555" si="462">SUM(U554:X554)</f>
        <v>0</v>
      </c>
      <c r="Z554" s="125">
        <f t="shared" ref="Z554:Z584" si="463">T554+Y554</f>
        <v>0</v>
      </c>
    </row>
    <row r="555" spans="1:27" ht="14.25" thickBot="1" x14ac:dyDescent="0.2">
      <c r="A555" s="35" t="s">
        <v>5</v>
      </c>
      <c r="B555" s="135"/>
      <c r="C555" s="136"/>
      <c r="D555" s="136">
        <v>3</v>
      </c>
      <c r="E555" s="137">
        <v>3</v>
      </c>
      <c r="F555" s="59">
        <f t="shared" si="455"/>
        <v>6</v>
      </c>
      <c r="G555" s="135"/>
      <c r="H555" s="136"/>
      <c r="I555" s="136">
        <v>3</v>
      </c>
      <c r="J555" s="137"/>
      <c r="K555" s="59">
        <f t="shared" si="456"/>
        <v>3</v>
      </c>
      <c r="L555" s="138">
        <f t="shared" si="457"/>
        <v>9</v>
      </c>
      <c r="M555" s="7">
        <v>45748</v>
      </c>
      <c r="O555" s="35" t="s">
        <v>5</v>
      </c>
      <c r="P555" s="135"/>
      <c r="Q555" s="136"/>
      <c r="R555" s="136"/>
      <c r="S555" s="137"/>
      <c r="T555" s="59">
        <f t="shared" si="461"/>
        <v>0</v>
      </c>
      <c r="U555" s="135"/>
      <c r="V555" s="136"/>
      <c r="W555" s="136"/>
      <c r="X555" s="137"/>
      <c r="Y555" s="59">
        <f t="shared" si="462"/>
        <v>0</v>
      </c>
      <c r="Z555" s="138">
        <f t="shared" si="463"/>
        <v>0</v>
      </c>
    </row>
    <row r="556" spans="1:27" ht="14.25" thickBot="1" x14ac:dyDescent="0.2">
      <c r="A556" s="2" t="s">
        <v>6</v>
      </c>
      <c r="B556" s="139">
        <f>SUM(B551:B555)</f>
        <v>9</v>
      </c>
      <c r="C556" s="140">
        <f>SUM(C551:C555)</f>
        <v>7</v>
      </c>
      <c r="D556" s="140">
        <f>SUM(D551:D555)</f>
        <v>7</v>
      </c>
      <c r="E556" s="141">
        <f>SUM(E551:E555)</f>
        <v>7</v>
      </c>
      <c r="F556" s="32">
        <f>SUM(B556:E556)</f>
        <v>30</v>
      </c>
      <c r="G556" s="142">
        <f>SUM(G551:G555)</f>
        <v>4</v>
      </c>
      <c r="H556" s="140">
        <f>SUM(H551:H555)</f>
        <v>6</v>
      </c>
      <c r="I556" s="140">
        <f>SUM(I551:I555)</f>
        <v>9</v>
      </c>
      <c r="J556" s="141">
        <f>SUM(J551:J555)</f>
        <v>8</v>
      </c>
      <c r="K556" s="32">
        <f>SUM(G556:J556)</f>
        <v>27</v>
      </c>
      <c r="L556" s="11">
        <f t="shared" ref="L556:L584" si="464">F556+K556</f>
        <v>57</v>
      </c>
      <c r="O556" s="2" t="s">
        <v>6</v>
      </c>
      <c r="P556" s="139">
        <f>SUM(P551:P555)</f>
        <v>336</v>
      </c>
      <c r="Q556" s="140">
        <f>SUM(Q551:Q555)</f>
        <v>302</v>
      </c>
      <c r="R556" s="140">
        <f>SUM(R551:R555)</f>
        <v>220</v>
      </c>
      <c r="S556" s="141">
        <f>SUM(S551:S555)</f>
        <v>174</v>
      </c>
      <c r="T556" s="32">
        <f>SUM(P556:S556)</f>
        <v>1032</v>
      </c>
      <c r="U556" s="142">
        <f>SUM(U551:U555)</f>
        <v>56</v>
      </c>
      <c r="V556" s="140">
        <f>SUM(V551:V555)</f>
        <v>64</v>
      </c>
      <c r="W556" s="140">
        <f>SUM(W551:W555)</f>
        <v>27</v>
      </c>
      <c r="X556" s="141">
        <f>SUM(X551:X555)</f>
        <v>31</v>
      </c>
      <c r="Y556" s="32">
        <f>SUM(U556:X556)</f>
        <v>178</v>
      </c>
      <c r="Z556" s="11">
        <f t="shared" si="463"/>
        <v>1210</v>
      </c>
    </row>
    <row r="557" spans="1:27" x14ac:dyDescent="0.15">
      <c r="A557" s="38" t="s">
        <v>35</v>
      </c>
      <c r="B557" s="8"/>
      <c r="C557" s="9"/>
      <c r="D557" s="9"/>
      <c r="E557" s="39"/>
      <c r="F557" s="14">
        <f t="shared" ref="F557:F568" si="465">SUM(B557:E557)</f>
        <v>0</v>
      </c>
      <c r="G557" s="9"/>
      <c r="H557" s="9"/>
      <c r="I557" s="9"/>
      <c r="J557" s="39">
        <v>1</v>
      </c>
      <c r="K557" s="14">
        <f t="shared" ref="K557:K568" si="466">SUM(G557:J557)</f>
        <v>1</v>
      </c>
      <c r="L557" s="14">
        <f t="shared" ref="L557:L568" si="467">F557+K557</f>
        <v>1</v>
      </c>
      <c r="M557" s="7">
        <v>45715</v>
      </c>
      <c r="O557" s="35" t="s">
        <v>31</v>
      </c>
      <c r="P557" s="8"/>
      <c r="Q557" s="9"/>
      <c r="R557" s="9">
        <v>2</v>
      </c>
      <c r="S557" s="39">
        <v>2</v>
      </c>
      <c r="T557" s="14">
        <f t="shared" ref="T557:T560" si="468">SUM(P557:S557)</f>
        <v>4</v>
      </c>
      <c r="U557" s="9"/>
      <c r="V557" s="9"/>
      <c r="W557" s="9"/>
      <c r="X557" s="39">
        <v>2</v>
      </c>
      <c r="Y557" s="14">
        <f t="shared" ref="Y557:Y560" si="469">SUM(U557:X557)</f>
        <v>2</v>
      </c>
      <c r="Z557" s="14">
        <f t="shared" si="463"/>
        <v>6</v>
      </c>
      <c r="AA557" s="7">
        <v>45708</v>
      </c>
    </row>
    <row r="558" spans="1:27" x14ac:dyDescent="0.15">
      <c r="A558" s="38" t="s">
        <v>35</v>
      </c>
      <c r="B558" s="8"/>
      <c r="C558" s="9">
        <v>1</v>
      </c>
      <c r="D558" s="9"/>
      <c r="E558" s="39"/>
      <c r="F558" s="14">
        <f t="shared" si="465"/>
        <v>1</v>
      </c>
      <c r="G558" s="9"/>
      <c r="H558" s="9"/>
      <c r="I558" s="9"/>
      <c r="J558" s="39"/>
      <c r="K558" s="14">
        <f t="shared" si="466"/>
        <v>0</v>
      </c>
      <c r="L558" s="14">
        <f t="shared" si="467"/>
        <v>1</v>
      </c>
      <c r="M558" s="7">
        <v>45719</v>
      </c>
      <c r="O558" s="35" t="s">
        <v>31</v>
      </c>
      <c r="P558" s="8"/>
      <c r="Q558" s="9">
        <v>3</v>
      </c>
      <c r="R558" s="9"/>
      <c r="S558" s="39"/>
      <c r="T558" s="14">
        <f t="shared" si="468"/>
        <v>3</v>
      </c>
      <c r="U558" s="9"/>
      <c r="V558" s="9">
        <v>3</v>
      </c>
      <c r="W558" s="9">
        <v>3</v>
      </c>
      <c r="X558" s="39">
        <v>5</v>
      </c>
      <c r="Y558" s="14">
        <f t="shared" si="469"/>
        <v>11</v>
      </c>
      <c r="Z558" s="14">
        <f t="shared" si="463"/>
        <v>14</v>
      </c>
      <c r="AA558" s="7">
        <v>45722</v>
      </c>
    </row>
    <row r="559" spans="1:27" x14ac:dyDescent="0.15">
      <c r="A559" s="38" t="s">
        <v>35</v>
      </c>
      <c r="B559" s="8"/>
      <c r="C559" s="9"/>
      <c r="D559" s="9"/>
      <c r="E559" s="39"/>
      <c r="F559" s="14">
        <f t="shared" si="465"/>
        <v>0</v>
      </c>
      <c r="G559" s="9"/>
      <c r="H559" s="9"/>
      <c r="I559" s="9"/>
      <c r="J559" s="39">
        <v>1</v>
      </c>
      <c r="K559" s="14">
        <f t="shared" si="466"/>
        <v>1</v>
      </c>
      <c r="L559" s="14">
        <f t="shared" si="467"/>
        <v>1</v>
      </c>
      <c r="M559" s="7">
        <v>45720</v>
      </c>
      <c r="O559" s="35" t="s">
        <v>31</v>
      </c>
      <c r="P559" s="8">
        <v>5</v>
      </c>
      <c r="Q559" s="9"/>
      <c r="R559" s="9"/>
      <c r="S559" s="39"/>
      <c r="T559" s="14">
        <f t="shared" si="468"/>
        <v>5</v>
      </c>
      <c r="U559" s="9"/>
      <c r="V559" s="9"/>
      <c r="W559" s="9"/>
      <c r="X559" s="39"/>
      <c r="Y559" s="14">
        <f t="shared" si="469"/>
        <v>0</v>
      </c>
      <c r="Z559" s="14">
        <f t="shared" si="463"/>
        <v>5</v>
      </c>
      <c r="AA559" s="7">
        <v>45729</v>
      </c>
    </row>
    <row r="560" spans="1:27" x14ac:dyDescent="0.15">
      <c r="A560" s="38" t="s">
        <v>35</v>
      </c>
      <c r="B560" s="8">
        <v>1</v>
      </c>
      <c r="C560" s="9"/>
      <c r="D560" s="9"/>
      <c r="E560" s="39"/>
      <c r="F560" s="14">
        <f t="shared" si="465"/>
        <v>1</v>
      </c>
      <c r="G560" s="9"/>
      <c r="H560" s="9"/>
      <c r="I560" s="9">
        <v>1</v>
      </c>
      <c r="J560" s="39"/>
      <c r="K560" s="14">
        <f t="shared" si="466"/>
        <v>1</v>
      </c>
      <c r="L560" s="14">
        <f t="shared" si="467"/>
        <v>2</v>
      </c>
      <c r="M560" s="7">
        <v>45721</v>
      </c>
      <c r="O560" s="35" t="s">
        <v>31</v>
      </c>
      <c r="P560" s="8"/>
      <c r="Q560" s="9"/>
      <c r="R560" s="9">
        <v>3</v>
      </c>
      <c r="S560" s="39">
        <v>3</v>
      </c>
      <c r="T560" s="14">
        <f t="shared" si="468"/>
        <v>6</v>
      </c>
      <c r="U560" s="9"/>
      <c r="V560" s="9"/>
      <c r="W560" s="9">
        <v>3</v>
      </c>
      <c r="X560" s="39"/>
      <c r="Y560" s="14">
        <f t="shared" si="469"/>
        <v>3</v>
      </c>
      <c r="Z560" s="14">
        <f t="shared" si="463"/>
        <v>9</v>
      </c>
      <c r="AA560" s="7">
        <v>45748</v>
      </c>
    </row>
    <row r="561" spans="1:26" x14ac:dyDescent="0.15">
      <c r="A561" s="38" t="s">
        <v>35</v>
      </c>
      <c r="B561" s="8"/>
      <c r="C561" s="9"/>
      <c r="D561" s="9"/>
      <c r="E561" s="39">
        <v>1</v>
      </c>
      <c r="F561" s="14">
        <f t="shared" si="465"/>
        <v>1</v>
      </c>
      <c r="G561" s="9"/>
      <c r="H561" s="9"/>
      <c r="I561" s="9"/>
      <c r="J561" s="39">
        <v>1</v>
      </c>
      <c r="K561" s="14">
        <f t="shared" si="466"/>
        <v>1</v>
      </c>
      <c r="L561" s="14">
        <f t="shared" si="467"/>
        <v>2</v>
      </c>
      <c r="M561" s="7">
        <v>45723</v>
      </c>
      <c r="O561" s="35"/>
      <c r="P561" s="8"/>
      <c r="Q561" s="9"/>
      <c r="R561" s="9"/>
      <c r="S561" s="39"/>
      <c r="T561" s="14">
        <f t="shared" ref="T561:T584" si="470">SUM(P561:S561)</f>
        <v>0</v>
      </c>
      <c r="U561" s="9"/>
      <c r="V561" s="9"/>
      <c r="W561" s="9"/>
      <c r="X561" s="39"/>
      <c r="Y561" s="14">
        <f t="shared" ref="Y561:Y584" si="471">SUM(U561:X561)</f>
        <v>0</v>
      </c>
      <c r="Z561" s="14">
        <f t="shared" si="463"/>
        <v>0</v>
      </c>
    </row>
    <row r="562" spans="1:26" x14ac:dyDescent="0.15">
      <c r="A562" s="38" t="s">
        <v>35</v>
      </c>
      <c r="B562" s="8">
        <v>1</v>
      </c>
      <c r="C562" s="9"/>
      <c r="D562" s="9"/>
      <c r="E562" s="39"/>
      <c r="F562" s="14">
        <f t="shared" si="465"/>
        <v>1</v>
      </c>
      <c r="G562" s="9"/>
      <c r="H562" s="9"/>
      <c r="I562" s="9"/>
      <c r="J562" s="39"/>
      <c r="K562" s="14">
        <f t="shared" si="466"/>
        <v>0</v>
      </c>
      <c r="L562" s="14">
        <f t="shared" si="467"/>
        <v>1</v>
      </c>
      <c r="M562" s="7">
        <v>45726</v>
      </c>
      <c r="O562" s="35"/>
      <c r="P562" s="8"/>
      <c r="Q562" s="9"/>
      <c r="R562" s="9"/>
      <c r="S562" s="39"/>
      <c r="T562" s="14">
        <f t="shared" si="470"/>
        <v>0</v>
      </c>
      <c r="U562" s="9"/>
      <c r="V562" s="9"/>
      <c r="W562" s="9"/>
      <c r="X562" s="39"/>
      <c r="Y562" s="14">
        <f t="shared" si="471"/>
        <v>0</v>
      </c>
      <c r="Z562" s="14">
        <f t="shared" si="463"/>
        <v>0</v>
      </c>
    </row>
    <row r="563" spans="1:26" x14ac:dyDescent="0.15">
      <c r="A563" s="38" t="s">
        <v>35</v>
      </c>
      <c r="B563" s="8">
        <v>1</v>
      </c>
      <c r="C563" s="9"/>
      <c r="D563" s="9"/>
      <c r="E563" s="39"/>
      <c r="F563" s="14">
        <f t="shared" si="465"/>
        <v>1</v>
      </c>
      <c r="G563" s="9"/>
      <c r="H563" s="9"/>
      <c r="I563" s="9"/>
      <c r="J563" s="39"/>
      <c r="K563" s="14">
        <f t="shared" si="466"/>
        <v>0</v>
      </c>
      <c r="L563" s="14">
        <f t="shared" si="467"/>
        <v>1</v>
      </c>
      <c r="M563" s="7">
        <v>45727</v>
      </c>
      <c r="O563" s="35"/>
      <c r="P563" s="8"/>
      <c r="Q563" s="9"/>
      <c r="R563" s="9"/>
      <c r="S563" s="39"/>
      <c r="T563" s="14">
        <f t="shared" si="470"/>
        <v>0</v>
      </c>
      <c r="U563" s="9"/>
      <c r="V563" s="9"/>
      <c r="W563" s="9"/>
      <c r="X563" s="39"/>
      <c r="Y563" s="14">
        <f t="shared" si="471"/>
        <v>0</v>
      </c>
      <c r="Z563" s="14">
        <f t="shared" si="463"/>
        <v>0</v>
      </c>
    </row>
    <row r="564" spans="1:26" x14ac:dyDescent="0.15">
      <c r="A564" s="38" t="s">
        <v>35</v>
      </c>
      <c r="B564" s="8"/>
      <c r="C564" s="9"/>
      <c r="D564" s="9"/>
      <c r="E564" s="39"/>
      <c r="F564" s="14">
        <f t="shared" si="465"/>
        <v>0</v>
      </c>
      <c r="G564" s="9"/>
      <c r="H564" s="9"/>
      <c r="I564" s="9">
        <v>1</v>
      </c>
      <c r="J564" s="39"/>
      <c r="K564" s="14">
        <f t="shared" si="466"/>
        <v>1</v>
      </c>
      <c r="L564" s="14">
        <f t="shared" si="467"/>
        <v>1</v>
      </c>
      <c r="M564" s="7">
        <v>45730</v>
      </c>
      <c r="O564" s="35"/>
      <c r="P564" s="8"/>
      <c r="Q564" s="9"/>
      <c r="R564" s="9"/>
      <c r="S564" s="39"/>
      <c r="T564" s="14">
        <f t="shared" si="470"/>
        <v>0</v>
      </c>
      <c r="U564" s="9"/>
      <c r="V564" s="9"/>
      <c r="W564" s="9"/>
      <c r="X564" s="39"/>
      <c r="Y564" s="14">
        <f t="shared" si="471"/>
        <v>0</v>
      </c>
      <c r="Z564" s="14">
        <f t="shared" si="463"/>
        <v>0</v>
      </c>
    </row>
    <row r="565" spans="1:26" x14ac:dyDescent="0.15">
      <c r="A565" s="38" t="s">
        <v>35</v>
      </c>
      <c r="B565" s="8"/>
      <c r="C565" s="9"/>
      <c r="D565" s="9"/>
      <c r="E565" s="39"/>
      <c r="F565" s="14">
        <f t="shared" si="465"/>
        <v>0</v>
      </c>
      <c r="G565" s="9"/>
      <c r="H565" s="9">
        <v>1</v>
      </c>
      <c r="I565" s="9"/>
      <c r="J565" s="39"/>
      <c r="K565" s="14">
        <f t="shared" si="466"/>
        <v>1</v>
      </c>
      <c r="L565" s="14">
        <f t="shared" si="467"/>
        <v>1</v>
      </c>
      <c r="M565" s="7">
        <v>45740</v>
      </c>
      <c r="O565" s="35"/>
      <c r="P565" s="8"/>
      <c r="Q565" s="9"/>
      <c r="R565" s="9"/>
      <c r="S565" s="39"/>
      <c r="T565" s="14">
        <f t="shared" si="470"/>
        <v>0</v>
      </c>
      <c r="U565" s="9"/>
      <c r="V565" s="9"/>
      <c r="W565" s="9"/>
      <c r="X565" s="39"/>
      <c r="Y565" s="14">
        <f t="shared" si="471"/>
        <v>0</v>
      </c>
      <c r="Z565" s="14">
        <f t="shared" si="463"/>
        <v>0</v>
      </c>
    </row>
    <row r="566" spans="1:26" x14ac:dyDescent="0.15">
      <c r="A566" s="38" t="s">
        <v>35</v>
      </c>
      <c r="B566" s="8"/>
      <c r="C566" s="9"/>
      <c r="D566" s="9"/>
      <c r="E566" s="39"/>
      <c r="F566" s="14">
        <f t="shared" si="465"/>
        <v>0</v>
      </c>
      <c r="G566" s="9"/>
      <c r="H566" s="9"/>
      <c r="I566" s="9">
        <v>1</v>
      </c>
      <c r="J566" s="39"/>
      <c r="K566" s="14">
        <f t="shared" si="466"/>
        <v>1</v>
      </c>
      <c r="L566" s="14">
        <f t="shared" si="467"/>
        <v>1</v>
      </c>
      <c r="M566" s="7">
        <v>45744</v>
      </c>
      <c r="O566" s="35"/>
      <c r="P566" s="8"/>
      <c r="Q566" s="9"/>
      <c r="R566" s="9"/>
      <c r="S566" s="39"/>
      <c r="T566" s="14">
        <f t="shared" si="470"/>
        <v>0</v>
      </c>
      <c r="U566" s="9"/>
      <c r="V566" s="9"/>
      <c r="W566" s="9"/>
      <c r="X566" s="39"/>
      <c r="Y566" s="14">
        <f t="shared" si="471"/>
        <v>0</v>
      </c>
      <c r="Z566" s="14">
        <f t="shared" si="463"/>
        <v>0</v>
      </c>
    </row>
    <row r="567" spans="1:26" x14ac:dyDescent="0.15">
      <c r="A567" s="38" t="s">
        <v>35</v>
      </c>
      <c r="B567" s="8"/>
      <c r="C567" s="9"/>
      <c r="D567" s="9">
        <v>1</v>
      </c>
      <c r="E567" s="39"/>
      <c r="F567" s="14">
        <f t="shared" si="465"/>
        <v>1</v>
      </c>
      <c r="G567" s="9"/>
      <c r="H567" s="9"/>
      <c r="I567" s="9">
        <v>2</v>
      </c>
      <c r="J567" s="39"/>
      <c r="K567" s="14">
        <f t="shared" si="466"/>
        <v>2</v>
      </c>
      <c r="L567" s="14">
        <f t="shared" si="467"/>
        <v>3</v>
      </c>
      <c r="M567" s="7">
        <v>45745</v>
      </c>
      <c r="O567" s="35"/>
      <c r="P567" s="8"/>
      <c r="Q567" s="9"/>
      <c r="R567" s="9"/>
      <c r="S567" s="39"/>
      <c r="T567" s="14">
        <f t="shared" si="470"/>
        <v>0</v>
      </c>
      <c r="U567" s="9"/>
      <c r="V567" s="9"/>
      <c r="W567" s="9"/>
      <c r="X567" s="39"/>
      <c r="Y567" s="14">
        <f t="shared" si="471"/>
        <v>0</v>
      </c>
      <c r="Z567" s="14">
        <f t="shared" si="463"/>
        <v>0</v>
      </c>
    </row>
    <row r="568" spans="1:26" x14ac:dyDescent="0.15">
      <c r="A568" s="38" t="s">
        <v>35</v>
      </c>
      <c r="B568" s="8">
        <v>1</v>
      </c>
      <c r="C568" s="9"/>
      <c r="D568" s="9"/>
      <c r="E568" s="39"/>
      <c r="F568" s="14">
        <f t="shared" si="465"/>
        <v>1</v>
      </c>
      <c r="G568" s="9"/>
      <c r="H568" s="9"/>
      <c r="I568" s="9"/>
      <c r="J568" s="39"/>
      <c r="K568" s="14">
        <f t="shared" si="466"/>
        <v>0</v>
      </c>
      <c r="L568" s="14">
        <f t="shared" si="467"/>
        <v>1</v>
      </c>
      <c r="M568" s="7">
        <v>45748</v>
      </c>
      <c r="O568" s="35"/>
      <c r="P568" s="8"/>
      <c r="Q568" s="9"/>
      <c r="R568" s="9"/>
      <c r="S568" s="39"/>
      <c r="T568" s="14">
        <f t="shared" si="470"/>
        <v>0</v>
      </c>
      <c r="U568" s="9"/>
      <c r="V568" s="9"/>
      <c r="W568" s="9"/>
      <c r="X568" s="39"/>
      <c r="Y568" s="14">
        <f t="shared" si="471"/>
        <v>0</v>
      </c>
      <c r="Z568" s="14">
        <f t="shared" si="463"/>
        <v>0</v>
      </c>
    </row>
    <row r="569" spans="1:26" x14ac:dyDescent="0.15">
      <c r="A569" s="38" t="s">
        <v>35</v>
      </c>
      <c r="B569" s="8"/>
      <c r="C569" s="9"/>
      <c r="D569" s="9"/>
      <c r="E569" s="39"/>
      <c r="F569" s="14">
        <f t="shared" ref="F569:F584" si="472">SUM(B569:E569)</f>
        <v>0</v>
      </c>
      <c r="G569" s="9"/>
      <c r="H569" s="9">
        <v>1</v>
      </c>
      <c r="I569" s="9"/>
      <c r="J569" s="39"/>
      <c r="K569" s="14">
        <f t="shared" ref="K569:K584" si="473">SUM(G569:J569)</f>
        <v>1</v>
      </c>
      <c r="L569" s="14">
        <f t="shared" si="464"/>
        <v>1</v>
      </c>
      <c r="M569" s="7">
        <v>45749</v>
      </c>
      <c r="O569" s="35"/>
      <c r="P569" s="8"/>
      <c r="Q569" s="9"/>
      <c r="R569" s="9"/>
      <c r="S569" s="39"/>
      <c r="T569" s="14">
        <f t="shared" si="470"/>
        <v>0</v>
      </c>
      <c r="U569" s="9"/>
      <c r="V569" s="9"/>
      <c r="W569" s="9"/>
      <c r="X569" s="39"/>
      <c r="Y569" s="14">
        <f t="shared" si="471"/>
        <v>0</v>
      </c>
      <c r="Z569" s="14">
        <f t="shared" si="463"/>
        <v>0</v>
      </c>
    </row>
    <row r="570" spans="1:26" x14ac:dyDescent="0.15">
      <c r="A570" s="38" t="s">
        <v>35</v>
      </c>
      <c r="B570" s="8"/>
      <c r="C570" s="9"/>
      <c r="D570" s="9"/>
      <c r="E570" s="39"/>
      <c r="F570" s="14">
        <f t="shared" si="472"/>
        <v>0</v>
      </c>
      <c r="G570" s="9">
        <v>1</v>
      </c>
      <c r="H570" s="9"/>
      <c r="I570" s="9"/>
      <c r="J570" s="39"/>
      <c r="K570" s="14">
        <f t="shared" si="473"/>
        <v>1</v>
      </c>
      <c r="L570" s="14">
        <f t="shared" si="464"/>
        <v>1</v>
      </c>
      <c r="M570" s="7">
        <v>45750</v>
      </c>
      <c r="O570" s="35"/>
      <c r="P570" s="8"/>
      <c r="Q570" s="9"/>
      <c r="R570" s="9"/>
      <c r="S570" s="39"/>
      <c r="T570" s="14">
        <f t="shared" si="470"/>
        <v>0</v>
      </c>
      <c r="U570" s="9"/>
      <c r="V570" s="9"/>
      <c r="W570" s="9"/>
      <c r="X570" s="39"/>
      <c r="Y570" s="14">
        <f t="shared" si="471"/>
        <v>0</v>
      </c>
      <c r="Z570" s="14">
        <f t="shared" si="463"/>
        <v>0</v>
      </c>
    </row>
    <row r="571" spans="1:26" x14ac:dyDescent="0.15">
      <c r="A571" s="38" t="s">
        <v>35</v>
      </c>
      <c r="B571" s="8"/>
      <c r="C571" s="9"/>
      <c r="D571" s="9"/>
      <c r="E571" s="39"/>
      <c r="F571" s="14">
        <f t="shared" si="472"/>
        <v>0</v>
      </c>
      <c r="G571" s="9"/>
      <c r="H571" s="9"/>
      <c r="I571" s="9">
        <v>1</v>
      </c>
      <c r="J571" s="39"/>
      <c r="K571" s="14">
        <f t="shared" si="473"/>
        <v>1</v>
      </c>
      <c r="L571" s="14">
        <f t="shared" si="464"/>
        <v>1</v>
      </c>
      <c r="M571" s="7">
        <v>45754</v>
      </c>
      <c r="O571" s="35"/>
      <c r="P571" s="8"/>
      <c r="Q571" s="9"/>
      <c r="R571" s="9"/>
      <c r="S571" s="39"/>
      <c r="T571" s="14">
        <f t="shared" si="470"/>
        <v>0</v>
      </c>
      <c r="U571" s="9"/>
      <c r="V571" s="9"/>
      <c r="W571" s="9"/>
      <c r="X571" s="39"/>
      <c r="Y571" s="14">
        <f t="shared" si="471"/>
        <v>0</v>
      </c>
      <c r="Z571" s="14">
        <f t="shared" si="463"/>
        <v>0</v>
      </c>
    </row>
    <row r="572" spans="1:26" x14ac:dyDescent="0.15">
      <c r="A572" s="33"/>
      <c r="B572" s="8"/>
      <c r="C572" s="9"/>
      <c r="D572" s="9"/>
      <c r="E572" s="39"/>
      <c r="F572" s="14">
        <f t="shared" si="472"/>
        <v>0</v>
      </c>
      <c r="G572" s="9"/>
      <c r="H572" s="9"/>
      <c r="I572" s="9"/>
      <c r="J572" s="39"/>
      <c r="K572" s="14">
        <f t="shared" si="473"/>
        <v>0</v>
      </c>
      <c r="L572" s="14">
        <f t="shared" si="464"/>
        <v>0</v>
      </c>
      <c r="O572" s="35"/>
      <c r="P572" s="8"/>
      <c r="Q572" s="9"/>
      <c r="R572" s="9"/>
      <c r="S572" s="39"/>
      <c r="T572" s="14">
        <f t="shared" si="470"/>
        <v>0</v>
      </c>
      <c r="U572" s="9"/>
      <c r="V572" s="9"/>
      <c r="W572" s="9"/>
      <c r="X572" s="39"/>
      <c r="Y572" s="14">
        <f t="shared" si="471"/>
        <v>0</v>
      </c>
      <c r="Z572" s="14">
        <f t="shared" si="463"/>
        <v>0</v>
      </c>
    </row>
    <row r="573" spans="1:26" x14ac:dyDescent="0.15">
      <c r="A573" s="33"/>
      <c r="B573" s="8"/>
      <c r="C573" s="9"/>
      <c r="D573" s="9"/>
      <c r="E573" s="39"/>
      <c r="F573" s="14">
        <f t="shared" si="472"/>
        <v>0</v>
      </c>
      <c r="G573" s="9"/>
      <c r="H573" s="9"/>
      <c r="I573" s="9"/>
      <c r="J573" s="39"/>
      <c r="K573" s="14">
        <f t="shared" si="473"/>
        <v>0</v>
      </c>
      <c r="L573" s="14">
        <f t="shared" si="464"/>
        <v>0</v>
      </c>
      <c r="O573" s="35"/>
      <c r="P573" s="8"/>
      <c r="Q573" s="9"/>
      <c r="R573" s="9"/>
      <c r="S573" s="39"/>
      <c r="T573" s="14">
        <f t="shared" si="470"/>
        <v>0</v>
      </c>
      <c r="U573" s="9"/>
      <c r="V573" s="9"/>
      <c r="W573" s="9"/>
      <c r="X573" s="39"/>
      <c r="Y573" s="14">
        <f t="shared" si="471"/>
        <v>0</v>
      </c>
      <c r="Z573" s="14">
        <f t="shared" si="463"/>
        <v>0</v>
      </c>
    </row>
    <row r="574" spans="1:26" x14ac:dyDescent="0.15">
      <c r="A574" s="33"/>
      <c r="B574" s="8"/>
      <c r="C574" s="9"/>
      <c r="D574" s="9"/>
      <c r="E574" s="39"/>
      <c r="F574" s="14">
        <f t="shared" si="472"/>
        <v>0</v>
      </c>
      <c r="G574" s="9"/>
      <c r="H574" s="9"/>
      <c r="I574" s="9"/>
      <c r="J574" s="39"/>
      <c r="K574" s="14">
        <f t="shared" si="473"/>
        <v>0</v>
      </c>
      <c r="L574" s="14">
        <f t="shared" si="464"/>
        <v>0</v>
      </c>
      <c r="O574" s="35"/>
      <c r="P574" s="8"/>
      <c r="Q574" s="9"/>
      <c r="R574" s="9"/>
      <c r="S574" s="39"/>
      <c r="T574" s="14">
        <f t="shared" ref="T574:T582" si="474">SUM(P574:S574)</f>
        <v>0</v>
      </c>
      <c r="U574" s="9"/>
      <c r="V574" s="9"/>
      <c r="W574" s="9"/>
      <c r="X574" s="39"/>
      <c r="Y574" s="14">
        <f t="shared" ref="Y574:Y582" si="475">SUM(U574:X574)</f>
        <v>0</v>
      </c>
      <c r="Z574" s="14">
        <f t="shared" ref="Z574:Z582" si="476">T574+Y574</f>
        <v>0</v>
      </c>
    </row>
    <row r="575" spans="1:26" x14ac:dyDescent="0.15">
      <c r="A575" s="33"/>
      <c r="B575" s="8"/>
      <c r="C575" s="9"/>
      <c r="D575" s="9"/>
      <c r="E575" s="39"/>
      <c r="F575" s="14">
        <f t="shared" si="472"/>
        <v>0</v>
      </c>
      <c r="G575" s="9"/>
      <c r="H575" s="9"/>
      <c r="I575" s="9"/>
      <c r="J575" s="39"/>
      <c r="K575" s="14">
        <f t="shared" si="473"/>
        <v>0</v>
      </c>
      <c r="L575" s="14">
        <f t="shared" si="464"/>
        <v>0</v>
      </c>
      <c r="O575" s="35"/>
      <c r="P575" s="8"/>
      <c r="Q575" s="9"/>
      <c r="R575" s="9"/>
      <c r="S575" s="39"/>
      <c r="T575" s="14">
        <f t="shared" si="474"/>
        <v>0</v>
      </c>
      <c r="U575" s="9"/>
      <c r="V575" s="9"/>
      <c r="W575" s="9"/>
      <c r="X575" s="39"/>
      <c r="Y575" s="14">
        <f t="shared" si="475"/>
        <v>0</v>
      </c>
      <c r="Z575" s="14">
        <f t="shared" si="476"/>
        <v>0</v>
      </c>
    </row>
    <row r="576" spans="1:26" x14ac:dyDescent="0.15">
      <c r="A576" s="33"/>
      <c r="B576" s="8"/>
      <c r="C576" s="9"/>
      <c r="D576" s="9"/>
      <c r="E576" s="39"/>
      <c r="F576" s="14">
        <f t="shared" si="472"/>
        <v>0</v>
      </c>
      <c r="G576" s="9"/>
      <c r="H576" s="9"/>
      <c r="I576" s="9"/>
      <c r="J576" s="39"/>
      <c r="K576" s="14">
        <f t="shared" si="473"/>
        <v>0</v>
      </c>
      <c r="L576" s="14">
        <f t="shared" si="464"/>
        <v>0</v>
      </c>
      <c r="O576" s="35"/>
      <c r="P576" s="8"/>
      <c r="Q576" s="9"/>
      <c r="R576" s="9"/>
      <c r="S576" s="39"/>
      <c r="T576" s="14">
        <f t="shared" si="474"/>
        <v>0</v>
      </c>
      <c r="U576" s="9"/>
      <c r="V576" s="9"/>
      <c r="W576" s="9"/>
      <c r="X576" s="39"/>
      <c r="Y576" s="14">
        <f t="shared" si="475"/>
        <v>0</v>
      </c>
      <c r="Z576" s="14">
        <f t="shared" si="476"/>
        <v>0</v>
      </c>
    </row>
    <row r="577" spans="1:26" x14ac:dyDescent="0.15">
      <c r="A577" s="33"/>
      <c r="B577" s="8"/>
      <c r="C577" s="9"/>
      <c r="D577" s="9"/>
      <c r="E577" s="39"/>
      <c r="F577" s="14">
        <f t="shared" si="472"/>
        <v>0</v>
      </c>
      <c r="G577" s="9"/>
      <c r="H577" s="9"/>
      <c r="I577" s="9"/>
      <c r="J577" s="39"/>
      <c r="K577" s="14">
        <f t="shared" si="473"/>
        <v>0</v>
      </c>
      <c r="L577" s="14">
        <f t="shared" si="464"/>
        <v>0</v>
      </c>
      <c r="O577" s="35"/>
      <c r="P577" s="8"/>
      <c r="Q577" s="9"/>
      <c r="R577" s="9"/>
      <c r="S577" s="39"/>
      <c r="T577" s="14">
        <f t="shared" si="474"/>
        <v>0</v>
      </c>
      <c r="U577" s="9"/>
      <c r="V577" s="9"/>
      <c r="W577" s="9"/>
      <c r="X577" s="39"/>
      <c r="Y577" s="14">
        <f t="shared" si="475"/>
        <v>0</v>
      </c>
      <c r="Z577" s="14">
        <f t="shared" si="476"/>
        <v>0</v>
      </c>
    </row>
    <row r="578" spans="1:26" x14ac:dyDescent="0.15">
      <c r="A578" s="33"/>
      <c r="B578" s="8"/>
      <c r="C578" s="9"/>
      <c r="D578" s="9"/>
      <c r="E578" s="39"/>
      <c r="F578" s="14">
        <f t="shared" si="472"/>
        <v>0</v>
      </c>
      <c r="G578" s="9"/>
      <c r="H578" s="9"/>
      <c r="I578" s="9"/>
      <c r="J578" s="39"/>
      <c r="K578" s="14">
        <f t="shared" si="473"/>
        <v>0</v>
      </c>
      <c r="L578" s="14">
        <f t="shared" si="464"/>
        <v>0</v>
      </c>
      <c r="O578" s="35"/>
      <c r="P578" s="8"/>
      <c r="Q578" s="9"/>
      <c r="R578" s="9"/>
      <c r="S578" s="39"/>
      <c r="T578" s="14">
        <f t="shared" si="474"/>
        <v>0</v>
      </c>
      <c r="U578" s="9"/>
      <c r="V578" s="9"/>
      <c r="W578" s="9"/>
      <c r="X578" s="39"/>
      <c r="Y578" s="14">
        <f t="shared" si="475"/>
        <v>0</v>
      </c>
      <c r="Z578" s="14">
        <f t="shared" si="476"/>
        <v>0</v>
      </c>
    </row>
    <row r="579" spans="1:26" x14ac:dyDescent="0.15">
      <c r="A579" s="33"/>
      <c r="B579" s="8"/>
      <c r="C579" s="9"/>
      <c r="D579" s="9"/>
      <c r="E579" s="39"/>
      <c r="F579" s="14">
        <f t="shared" si="472"/>
        <v>0</v>
      </c>
      <c r="G579" s="9"/>
      <c r="H579" s="9"/>
      <c r="I579" s="9"/>
      <c r="J579" s="39"/>
      <c r="K579" s="14">
        <f t="shared" si="473"/>
        <v>0</v>
      </c>
      <c r="L579" s="14">
        <f t="shared" si="464"/>
        <v>0</v>
      </c>
      <c r="O579" s="35"/>
      <c r="P579" s="8"/>
      <c r="Q579" s="9"/>
      <c r="R579" s="9"/>
      <c r="S579" s="39"/>
      <c r="T579" s="14">
        <f t="shared" si="474"/>
        <v>0</v>
      </c>
      <c r="U579" s="9"/>
      <c r="V579" s="9"/>
      <c r="W579" s="9"/>
      <c r="X579" s="39"/>
      <c r="Y579" s="14">
        <f t="shared" si="475"/>
        <v>0</v>
      </c>
      <c r="Z579" s="14">
        <f t="shared" si="476"/>
        <v>0</v>
      </c>
    </row>
    <row r="580" spans="1:26" x14ac:dyDescent="0.15">
      <c r="A580" s="33"/>
      <c r="B580" s="8"/>
      <c r="C580" s="9"/>
      <c r="D580" s="9"/>
      <c r="E580" s="39"/>
      <c r="F580" s="14">
        <f t="shared" si="472"/>
        <v>0</v>
      </c>
      <c r="G580" s="9"/>
      <c r="H580" s="9"/>
      <c r="I580" s="9"/>
      <c r="J580" s="39"/>
      <c r="K580" s="14">
        <f t="shared" si="473"/>
        <v>0</v>
      </c>
      <c r="L580" s="14">
        <f t="shared" si="464"/>
        <v>0</v>
      </c>
      <c r="O580" s="35"/>
      <c r="P580" s="8"/>
      <c r="Q580" s="9"/>
      <c r="R580" s="9"/>
      <c r="S580" s="39"/>
      <c r="T580" s="14">
        <f t="shared" si="474"/>
        <v>0</v>
      </c>
      <c r="U580" s="9"/>
      <c r="V580" s="9"/>
      <c r="W580" s="9"/>
      <c r="X580" s="39"/>
      <c r="Y580" s="14">
        <f t="shared" si="475"/>
        <v>0</v>
      </c>
      <c r="Z580" s="14">
        <f t="shared" si="476"/>
        <v>0</v>
      </c>
    </row>
    <row r="581" spans="1:26" x14ac:dyDescent="0.15">
      <c r="A581" s="33"/>
      <c r="B581" s="8"/>
      <c r="C581" s="9"/>
      <c r="D581" s="9"/>
      <c r="E581" s="39"/>
      <c r="F581" s="14">
        <f t="shared" si="472"/>
        <v>0</v>
      </c>
      <c r="G581" s="9"/>
      <c r="H581" s="9"/>
      <c r="I581" s="9"/>
      <c r="J581" s="39"/>
      <c r="K581" s="14">
        <f t="shared" si="473"/>
        <v>0</v>
      </c>
      <c r="L581" s="14">
        <f t="shared" si="464"/>
        <v>0</v>
      </c>
      <c r="O581" s="35"/>
      <c r="P581" s="8"/>
      <c r="Q581" s="9"/>
      <c r="R581" s="9"/>
      <c r="S581" s="39"/>
      <c r="T581" s="14">
        <f t="shared" si="474"/>
        <v>0</v>
      </c>
      <c r="U581" s="9"/>
      <c r="V581" s="9"/>
      <c r="W581" s="9"/>
      <c r="X581" s="39"/>
      <c r="Y581" s="14">
        <f t="shared" si="475"/>
        <v>0</v>
      </c>
      <c r="Z581" s="14">
        <f t="shared" si="476"/>
        <v>0</v>
      </c>
    </row>
    <row r="582" spans="1:26" ht="14.25" thickBot="1" x14ac:dyDescent="0.2">
      <c r="A582" s="33"/>
      <c r="B582" s="8"/>
      <c r="C582" s="9"/>
      <c r="D582" s="9"/>
      <c r="E582" s="39"/>
      <c r="F582" s="14">
        <f t="shared" si="472"/>
        <v>0</v>
      </c>
      <c r="G582" s="9"/>
      <c r="H582" s="9"/>
      <c r="I582" s="9"/>
      <c r="J582" s="39"/>
      <c r="K582" s="14">
        <f t="shared" si="473"/>
        <v>0</v>
      </c>
      <c r="L582" s="14">
        <f t="shared" si="464"/>
        <v>0</v>
      </c>
      <c r="O582" s="35"/>
      <c r="P582" s="8"/>
      <c r="Q582" s="9"/>
      <c r="R582" s="9"/>
      <c r="S582" s="39"/>
      <c r="T582" s="14">
        <f t="shared" si="474"/>
        <v>0</v>
      </c>
      <c r="U582" s="9"/>
      <c r="V582" s="9"/>
      <c r="W582" s="9"/>
      <c r="X582" s="39"/>
      <c r="Y582" s="14">
        <f t="shared" si="475"/>
        <v>0</v>
      </c>
      <c r="Z582" s="14">
        <f t="shared" si="476"/>
        <v>0</v>
      </c>
    </row>
    <row r="583" spans="1:26" ht="14.25" thickBot="1" x14ac:dyDescent="0.2">
      <c r="A583" s="3" t="s">
        <v>7</v>
      </c>
      <c r="B583" s="17">
        <f t="shared" ref="B583:E583" si="477">SUM(B557:B582)</f>
        <v>4</v>
      </c>
      <c r="C583" s="18">
        <f t="shared" si="477"/>
        <v>1</v>
      </c>
      <c r="D583" s="18">
        <f t="shared" si="477"/>
        <v>1</v>
      </c>
      <c r="E583" s="40">
        <f t="shared" si="477"/>
        <v>1</v>
      </c>
      <c r="F583" s="11">
        <f t="shared" si="472"/>
        <v>7</v>
      </c>
      <c r="G583" s="17">
        <f t="shared" ref="G583:J583" si="478">SUM(G557:G582)</f>
        <v>1</v>
      </c>
      <c r="H583" s="18">
        <f t="shared" si="478"/>
        <v>2</v>
      </c>
      <c r="I583" s="18">
        <f t="shared" si="478"/>
        <v>6</v>
      </c>
      <c r="J583" s="40">
        <f t="shared" si="478"/>
        <v>3</v>
      </c>
      <c r="K583" s="11">
        <f t="shared" si="473"/>
        <v>12</v>
      </c>
      <c r="L583" s="11">
        <f t="shared" si="464"/>
        <v>19</v>
      </c>
      <c r="O583" s="3" t="s">
        <v>7</v>
      </c>
      <c r="P583" s="17">
        <f t="shared" ref="P583:S583" si="479">SUM(P557:P582)</f>
        <v>5</v>
      </c>
      <c r="Q583" s="18">
        <f t="shared" si="479"/>
        <v>3</v>
      </c>
      <c r="R583" s="18">
        <f t="shared" si="479"/>
        <v>5</v>
      </c>
      <c r="S583" s="40">
        <f t="shared" si="479"/>
        <v>5</v>
      </c>
      <c r="T583" s="11">
        <f t="shared" si="470"/>
        <v>18</v>
      </c>
      <c r="U583" s="17">
        <f t="shared" ref="U583:X583" si="480">SUM(U557:U582)</f>
        <v>0</v>
      </c>
      <c r="V583" s="18">
        <f t="shared" si="480"/>
        <v>3</v>
      </c>
      <c r="W583" s="18">
        <f t="shared" si="480"/>
        <v>6</v>
      </c>
      <c r="X583" s="40">
        <f t="shared" si="480"/>
        <v>7</v>
      </c>
      <c r="Y583" s="11">
        <f t="shared" si="471"/>
        <v>16</v>
      </c>
      <c r="Z583" s="11">
        <f t="shared" si="463"/>
        <v>34</v>
      </c>
    </row>
    <row r="584" spans="1:26" ht="14.25" thickBot="1" x14ac:dyDescent="0.2">
      <c r="A584" s="19" t="s">
        <v>8</v>
      </c>
      <c r="B584" s="20">
        <f t="shared" ref="B584:E584" si="481">B556-B583</f>
        <v>5</v>
      </c>
      <c r="C584" s="21">
        <f t="shared" si="481"/>
        <v>6</v>
      </c>
      <c r="D584" s="21">
        <f t="shared" si="481"/>
        <v>6</v>
      </c>
      <c r="E584" s="22">
        <f t="shared" si="481"/>
        <v>6</v>
      </c>
      <c r="F584" s="11">
        <f t="shared" si="472"/>
        <v>23</v>
      </c>
      <c r="G584" s="20">
        <f t="shared" ref="G584:J584" si="482">G556-G583</f>
        <v>3</v>
      </c>
      <c r="H584" s="21">
        <f t="shared" si="482"/>
        <v>4</v>
      </c>
      <c r="I584" s="21">
        <f t="shared" si="482"/>
        <v>3</v>
      </c>
      <c r="J584" s="51">
        <f t="shared" si="482"/>
        <v>5</v>
      </c>
      <c r="K584" s="11">
        <f t="shared" si="473"/>
        <v>15</v>
      </c>
      <c r="L584" s="53">
        <f t="shared" si="464"/>
        <v>38</v>
      </c>
      <c r="O584" s="19" t="s">
        <v>8</v>
      </c>
      <c r="P584" s="20">
        <f t="shared" ref="P584:S584" si="483">P556-P583</f>
        <v>331</v>
      </c>
      <c r="Q584" s="21">
        <f t="shared" si="483"/>
        <v>299</v>
      </c>
      <c r="R584" s="21">
        <f t="shared" si="483"/>
        <v>215</v>
      </c>
      <c r="S584" s="22">
        <f t="shared" si="483"/>
        <v>169</v>
      </c>
      <c r="T584" s="11">
        <f t="shared" si="470"/>
        <v>1014</v>
      </c>
      <c r="U584" s="20">
        <f t="shared" ref="U584:X584" si="484">U556-U583</f>
        <v>56</v>
      </c>
      <c r="V584" s="21">
        <f t="shared" si="484"/>
        <v>61</v>
      </c>
      <c r="W584" s="21">
        <f t="shared" si="484"/>
        <v>21</v>
      </c>
      <c r="X584" s="51">
        <f t="shared" si="484"/>
        <v>24</v>
      </c>
      <c r="Y584" s="11">
        <f t="shared" si="471"/>
        <v>162</v>
      </c>
      <c r="Z584" s="53">
        <f t="shared" si="463"/>
        <v>1176</v>
      </c>
    </row>
    <row r="587" spans="1:26" ht="19.5" thickBot="1" x14ac:dyDescent="0.25">
      <c r="A587" s="1" t="s">
        <v>19</v>
      </c>
      <c r="C587" s="164" t="s">
        <v>20</v>
      </c>
      <c r="D587" s="164"/>
      <c r="O587" s="1" t="s">
        <v>21</v>
      </c>
      <c r="S587" s="164" t="s">
        <v>20</v>
      </c>
      <c r="T587" s="164"/>
    </row>
    <row r="588" spans="1:26" ht="14.25" thickBot="1" x14ac:dyDescent="0.2">
      <c r="A588" s="3" t="s">
        <v>0</v>
      </c>
      <c r="B588" s="165" t="s">
        <v>15</v>
      </c>
      <c r="C588" s="166"/>
      <c r="D588" s="166"/>
      <c r="E588" s="166"/>
      <c r="F588" s="167"/>
      <c r="G588" s="168" t="s">
        <v>18</v>
      </c>
      <c r="H588" s="169"/>
      <c r="I588" s="169"/>
      <c r="J588" s="169"/>
      <c r="K588" s="170"/>
      <c r="L588" s="47"/>
      <c r="O588" s="3" t="s">
        <v>0</v>
      </c>
      <c r="P588" s="165" t="s">
        <v>15</v>
      </c>
      <c r="Q588" s="166"/>
      <c r="R588" s="166"/>
      <c r="S588" s="166"/>
      <c r="T588" s="167"/>
      <c r="U588" s="168" t="s">
        <v>18</v>
      </c>
      <c r="V588" s="169"/>
      <c r="W588" s="169"/>
      <c r="X588" s="169"/>
      <c r="Y588" s="170"/>
      <c r="Z588" s="47"/>
    </row>
    <row r="589" spans="1:26" ht="14.25" thickBot="1" x14ac:dyDescent="0.2">
      <c r="A589" s="3" t="s">
        <v>1</v>
      </c>
      <c r="B589" s="23" t="s">
        <v>11</v>
      </c>
      <c r="C589" s="24" t="s">
        <v>12</v>
      </c>
      <c r="D589" s="24" t="s">
        <v>13</v>
      </c>
      <c r="E589" s="25" t="s">
        <v>14</v>
      </c>
      <c r="F589" s="48" t="s">
        <v>2</v>
      </c>
      <c r="G589" s="23" t="s">
        <v>11</v>
      </c>
      <c r="H589" s="24" t="s">
        <v>12</v>
      </c>
      <c r="I589" s="24" t="s">
        <v>13</v>
      </c>
      <c r="J589" s="25" t="s">
        <v>14</v>
      </c>
      <c r="K589" s="48" t="s">
        <v>2</v>
      </c>
      <c r="L589" s="48" t="s">
        <v>17</v>
      </c>
      <c r="O589" s="3" t="s">
        <v>1</v>
      </c>
      <c r="P589" s="23" t="s">
        <v>11</v>
      </c>
      <c r="Q589" s="24" t="s">
        <v>12</v>
      </c>
      <c r="R589" s="24" t="s">
        <v>13</v>
      </c>
      <c r="S589" s="25" t="s">
        <v>14</v>
      </c>
      <c r="T589" s="48" t="s">
        <v>2</v>
      </c>
      <c r="U589" s="23" t="s">
        <v>11</v>
      </c>
      <c r="V589" s="24" t="s">
        <v>12</v>
      </c>
      <c r="W589" s="24" t="s">
        <v>13</v>
      </c>
      <c r="X589" s="25" t="s">
        <v>14</v>
      </c>
      <c r="Y589" s="48" t="s">
        <v>2</v>
      </c>
      <c r="Z589" s="48" t="s">
        <v>17</v>
      </c>
    </row>
    <row r="590" spans="1:26" x14ac:dyDescent="0.15">
      <c r="A590" s="116" t="s">
        <v>9</v>
      </c>
      <c r="B590" s="113">
        <f>B584</f>
        <v>5</v>
      </c>
      <c r="C590" s="27">
        <f>C584</f>
        <v>6</v>
      </c>
      <c r="D590" s="27">
        <f>D584</f>
        <v>6</v>
      </c>
      <c r="E590" s="42">
        <f>E584</f>
        <v>6</v>
      </c>
      <c r="F590" s="28">
        <f>SUM(B590:E590)</f>
        <v>23</v>
      </c>
      <c r="G590" s="113">
        <f>G584</f>
        <v>3</v>
      </c>
      <c r="H590" s="27">
        <f>H584</f>
        <v>4</v>
      </c>
      <c r="I590" s="27">
        <f>I584</f>
        <v>3</v>
      </c>
      <c r="J590" s="42">
        <f>J584</f>
        <v>5</v>
      </c>
      <c r="K590" s="28">
        <f>SUM(G590:J590)</f>
        <v>15</v>
      </c>
      <c r="L590" s="114">
        <f>F590+K590</f>
        <v>38</v>
      </c>
      <c r="O590" s="54" t="s">
        <v>9</v>
      </c>
      <c r="P590" s="26">
        <f>P584</f>
        <v>331</v>
      </c>
      <c r="Q590" s="27">
        <f>Q584</f>
        <v>299</v>
      </c>
      <c r="R590" s="27">
        <f>R584</f>
        <v>215</v>
      </c>
      <c r="S590" s="42">
        <f>S584</f>
        <v>169</v>
      </c>
      <c r="T590" s="28">
        <f>SUM(P590:S590)</f>
        <v>1014</v>
      </c>
      <c r="U590" s="26">
        <f>U584</f>
        <v>56</v>
      </c>
      <c r="V590" s="27">
        <f>V584</f>
        <v>61</v>
      </c>
      <c r="W590" s="27">
        <f>W584</f>
        <v>21</v>
      </c>
      <c r="X590" s="42">
        <f>X584</f>
        <v>24</v>
      </c>
      <c r="Y590" s="52">
        <f>SUM(U590:X590)</f>
        <v>162</v>
      </c>
      <c r="Z590" s="28">
        <f>T590+Y590</f>
        <v>1176</v>
      </c>
    </row>
    <row r="591" spans="1:26" x14ac:dyDescent="0.15">
      <c r="A591" s="33" t="s">
        <v>10</v>
      </c>
      <c r="B591" s="9">
        <v>5</v>
      </c>
      <c r="C591" s="29">
        <v>4</v>
      </c>
      <c r="D591" s="29">
        <v>5</v>
      </c>
      <c r="E591" s="43">
        <v>5</v>
      </c>
      <c r="F591" s="14">
        <f t="shared" ref="F591" si="485">SUM(B591:E591)</f>
        <v>19</v>
      </c>
      <c r="G591" s="9"/>
      <c r="H591" s="29"/>
      <c r="I591" s="29"/>
      <c r="J591" s="43"/>
      <c r="K591" s="14">
        <f t="shared" ref="K591" si="486">SUM(G591:J591)</f>
        <v>0</v>
      </c>
      <c r="L591" s="125">
        <f t="shared" ref="L591" si="487">F591+K591</f>
        <v>19</v>
      </c>
      <c r="M591" s="7">
        <v>45766</v>
      </c>
      <c r="O591" s="33" t="s">
        <v>10</v>
      </c>
      <c r="P591" s="122"/>
      <c r="Q591" s="119"/>
      <c r="R591" s="119"/>
      <c r="S591" s="120"/>
      <c r="T591" s="14">
        <f t="shared" ref="T591:T594" si="488">SUM(P591:S591)</f>
        <v>0</v>
      </c>
      <c r="U591" s="122"/>
      <c r="V591" s="119"/>
      <c r="W591" s="119"/>
      <c r="X591" s="120"/>
      <c r="Y591" s="14">
        <f t="shared" ref="Y591:Y594" si="489">SUM(U591:X591)</f>
        <v>0</v>
      </c>
      <c r="Z591" s="125">
        <f t="shared" ref="Z591:Z623" si="490">T591+Y591</f>
        <v>0</v>
      </c>
    </row>
    <row r="592" spans="1:26" x14ac:dyDescent="0.15">
      <c r="A592" s="33" t="s">
        <v>3</v>
      </c>
      <c r="B592" s="9"/>
      <c r="C592" s="29"/>
      <c r="D592" s="29"/>
      <c r="E592" s="43"/>
      <c r="F592" s="14">
        <f t="shared" ref="F592:F594" si="491">SUM(B592:E592)</f>
        <v>0</v>
      </c>
      <c r="G592" s="9">
        <v>3</v>
      </c>
      <c r="H592" s="29">
        <v>3</v>
      </c>
      <c r="I592" s="29">
        <v>3</v>
      </c>
      <c r="J592" s="43">
        <v>3</v>
      </c>
      <c r="K592" s="14">
        <f t="shared" ref="K592:K594" si="492">SUM(G592:J592)</f>
        <v>12</v>
      </c>
      <c r="L592" s="125">
        <f t="shared" ref="L592:L623" si="493">F592+K592</f>
        <v>12</v>
      </c>
      <c r="M592" s="7">
        <v>45769</v>
      </c>
      <c r="O592" s="33" t="s">
        <v>3</v>
      </c>
      <c r="P592" s="122"/>
      <c r="Q592" s="119"/>
      <c r="R592" s="119"/>
      <c r="S592" s="120"/>
      <c r="T592" s="14">
        <f t="shared" si="488"/>
        <v>0</v>
      </c>
      <c r="U592" s="122"/>
      <c r="V592" s="119"/>
      <c r="W592" s="119"/>
      <c r="X592" s="120"/>
      <c r="Y592" s="14">
        <f t="shared" si="489"/>
        <v>0</v>
      </c>
      <c r="Z592" s="125">
        <f t="shared" si="490"/>
        <v>0</v>
      </c>
    </row>
    <row r="593" spans="1:27" x14ac:dyDescent="0.15">
      <c r="A593" s="33" t="s">
        <v>4</v>
      </c>
      <c r="B593" s="9"/>
      <c r="C593" s="29"/>
      <c r="D593" s="29"/>
      <c r="E593" s="43"/>
      <c r="F593" s="14">
        <f t="shared" si="491"/>
        <v>0</v>
      </c>
      <c r="G593" s="9"/>
      <c r="H593" s="29"/>
      <c r="I593" s="29"/>
      <c r="J593" s="43"/>
      <c r="K593" s="14">
        <f t="shared" si="492"/>
        <v>0</v>
      </c>
      <c r="L593" s="125">
        <f t="shared" si="493"/>
        <v>0</v>
      </c>
      <c r="O593" s="33" t="s">
        <v>4</v>
      </c>
      <c r="P593" s="122"/>
      <c r="Q593" s="119"/>
      <c r="R593" s="119"/>
      <c r="S593" s="120"/>
      <c r="T593" s="14">
        <f t="shared" si="488"/>
        <v>0</v>
      </c>
      <c r="U593" s="122"/>
      <c r="V593" s="119"/>
      <c r="W593" s="119"/>
      <c r="X593" s="120"/>
      <c r="Y593" s="14">
        <f t="shared" si="489"/>
        <v>0</v>
      </c>
      <c r="Z593" s="125">
        <f t="shared" si="490"/>
        <v>0</v>
      </c>
    </row>
    <row r="594" spans="1:27" ht="14.25" thickBot="1" x14ac:dyDescent="0.2">
      <c r="A594" s="35" t="s">
        <v>5</v>
      </c>
      <c r="B594" s="135"/>
      <c r="C594" s="136"/>
      <c r="D594" s="136"/>
      <c r="E594" s="137"/>
      <c r="F594" s="59">
        <f t="shared" si="491"/>
        <v>0</v>
      </c>
      <c r="G594" s="135"/>
      <c r="H594" s="136"/>
      <c r="I594" s="136"/>
      <c r="J594" s="137"/>
      <c r="K594" s="59">
        <f t="shared" si="492"/>
        <v>0</v>
      </c>
      <c r="L594" s="138">
        <f t="shared" si="493"/>
        <v>0</v>
      </c>
      <c r="O594" s="35" t="s">
        <v>5</v>
      </c>
      <c r="P594" s="135"/>
      <c r="Q594" s="136"/>
      <c r="R594" s="136"/>
      <c r="S594" s="137"/>
      <c r="T594" s="59">
        <f t="shared" si="488"/>
        <v>0</v>
      </c>
      <c r="U594" s="135"/>
      <c r="V594" s="136"/>
      <c r="W594" s="136"/>
      <c r="X594" s="137"/>
      <c r="Y594" s="59">
        <f t="shared" si="489"/>
        <v>0</v>
      </c>
      <c r="Z594" s="138">
        <f t="shared" si="490"/>
        <v>0</v>
      </c>
    </row>
    <row r="595" spans="1:27" ht="14.25" thickBot="1" x14ac:dyDescent="0.2">
      <c r="A595" s="2" t="s">
        <v>6</v>
      </c>
      <c r="B595" s="139">
        <f>SUM(B590:B594)</f>
        <v>10</v>
      </c>
      <c r="C595" s="140">
        <f>SUM(C590:C594)</f>
        <v>10</v>
      </c>
      <c r="D595" s="140">
        <f>SUM(D590:D594)</f>
        <v>11</v>
      </c>
      <c r="E595" s="141">
        <f>SUM(E590:E594)</f>
        <v>11</v>
      </c>
      <c r="F595" s="32">
        <f>SUM(B595:E595)</f>
        <v>42</v>
      </c>
      <c r="G595" s="142">
        <f>SUM(G590:G594)</f>
        <v>6</v>
      </c>
      <c r="H595" s="140">
        <f>SUM(H590:H594)</f>
        <v>7</v>
      </c>
      <c r="I595" s="140">
        <f>SUM(I590:I594)</f>
        <v>6</v>
      </c>
      <c r="J595" s="141">
        <f>SUM(J590:J594)</f>
        <v>8</v>
      </c>
      <c r="K595" s="32">
        <f>SUM(G595:J595)</f>
        <v>27</v>
      </c>
      <c r="L595" s="11">
        <f t="shared" si="493"/>
        <v>69</v>
      </c>
      <c r="O595" s="2" t="s">
        <v>6</v>
      </c>
      <c r="P595" s="139">
        <f>SUM(P590:P594)</f>
        <v>331</v>
      </c>
      <c r="Q595" s="140">
        <f>SUM(Q590:Q594)</f>
        <v>299</v>
      </c>
      <c r="R595" s="140">
        <f>SUM(R590:R594)</f>
        <v>215</v>
      </c>
      <c r="S595" s="141">
        <f>SUM(S590:S594)</f>
        <v>169</v>
      </c>
      <c r="T595" s="32">
        <f>SUM(P595:S595)</f>
        <v>1014</v>
      </c>
      <c r="U595" s="142">
        <f>SUM(U590:U594)</f>
        <v>56</v>
      </c>
      <c r="V595" s="140">
        <f>SUM(V590:V594)</f>
        <v>61</v>
      </c>
      <c r="W595" s="140">
        <f>SUM(W590:W594)</f>
        <v>21</v>
      </c>
      <c r="X595" s="141">
        <f>SUM(X590:X594)</f>
        <v>24</v>
      </c>
      <c r="Y595" s="32">
        <f>SUM(U595:X595)</f>
        <v>162</v>
      </c>
      <c r="Z595" s="11">
        <f t="shared" si="490"/>
        <v>1176</v>
      </c>
    </row>
    <row r="596" spans="1:27" x14ac:dyDescent="0.15">
      <c r="A596" s="38" t="s">
        <v>35</v>
      </c>
      <c r="B596" s="8"/>
      <c r="C596" s="9"/>
      <c r="D596" s="9"/>
      <c r="E596" s="39"/>
      <c r="F596" s="14">
        <f t="shared" ref="F596:F623" si="494">SUM(B596:E596)</f>
        <v>0</v>
      </c>
      <c r="G596" s="9"/>
      <c r="H596" s="9">
        <v>1</v>
      </c>
      <c r="I596" s="9"/>
      <c r="J596" s="39"/>
      <c r="K596" s="14">
        <f t="shared" ref="K596:K623" si="495">SUM(G596:J596)</f>
        <v>1</v>
      </c>
      <c r="L596" s="14">
        <f t="shared" si="493"/>
        <v>1</v>
      </c>
      <c r="M596" s="7">
        <v>45755</v>
      </c>
      <c r="O596" s="35" t="s">
        <v>162</v>
      </c>
      <c r="P596" s="8">
        <f>4+6</f>
        <v>10</v>
      </c>
      <c r="Q596" s="9">
        <f>4+7</f>
        <v>11</v>
      </c>
      <c r="R596" s="9">
        <f>4+6</f>
        <v>10</v>
      </c>
      <c r="S596" s="39">
        <f>4+6</f>
        <v>10</v>
      </c>
      <c r="T596" s="14">
        <f t="shared" ref="T596:T623" si="496">SUM(P596:S596)</f>
        <v>41</v>
      </c>
      <c r="U596" s="9"/>
      <c r="V596" s="9"/>
      <c r="W596" s="9"/>
      <c r="X596" s="39"/>
      <c r="Y596" s="14">
        <f t="shared" ref="Y596:Y623" si="497">SUM(U596:X596)</f>
        <v>0</v>
      </c>
      <c r="Z596" s="14">
        <f t="shared" si="490"/>
        <v>41</v>
      </c>
      <c r="AA596" s="7">
        <v>45735</v>
      </c>
    </row>
    <row r="597" spans="1:27" x14ac:dyDescent="0.15">
      <c r="A597" s="38" t="s">
        <v>35</v>
      </c>
      <c r="B597" s="8"/>
      <c r="C597" s="9">
        <v>1</v>
      </c>
      <c r="D597" s="9"/>
      <c r="E597" s="39"/>
      <c r="F597" s="14">
        <f t="shared" si="494"/>
        <v>1</v>
      </c>
      <c r="G597" s="9"/>
      <c r="H597" s="9"/>
      <c r="I597" s="9"/>
      <c r="J597" s="39"/>
      <c r="K597" s="14">
        <f t="shared" si="495"/>
        <v>0</v>
      </c>
      <c r="L597" s="14">
        <f t="shared" si="493"/>
        <v>1</v>
      </c>
      <c r="M597" s="7">
        <v>45757</v>
      </c>
      <c r="O597" s="35" t="s">
        <v>165</v>
      </c>
      <c r="P597" s="8">
        <v>6</v>
      </c>
      <c r="Q597" s="9">
        <v>6</v>
      </c>
      <c r="R597" s="9">
        <v>4</v>
      </c>
      <c r="S597" s="39">
        <v>2</v>
      </c>
      <c r="T597" s="14">
        <f t="shared" si="496"/>
        <v>18</v>
      </c>
      <c r="U597" s="9"/>
      <c r="V597" s="9"/>
      <c r="W597" s="9"/>
      <c r="X597" s="39"/>
      <c r="Y597" s="14">
        <f t="shared" si="497"/>
        <v>0</v>
      </c>
      <c r="Z597" s="14">
        <f t="shared" si="490"/>
        <v>18</v>
      </c>
      <c r="AA597" s="7">
        <v>45735</v>
      </c>
    </row>
    <row r="598" spans="1:27" x14ac:dyDescent="0.15">
      <c r="A598" s="38" t="s">
        <v>35</v>
      </c>
      <c r="B598" s="8">
        <v>1</v>
      </c>
      <c r="C598" s="9"/>
      <c r="D598" s="9"/>
      <c r="E598" s="39"/>
      <c r="F598" s="14">
        <f t="shared" si="494"/>
        <v>1</v>
      </c>
      <c r="G598" s="9"/>
      <c r="H598" s="9"/>
      <c r="I598" s="9"/>
      <c r="J598" s="39"/>
      <c r="K598" s="14">
        <f t="shared" si="495"/>
        <v>0</v>
      </c>
      <c r="L598" s="14">
        <f t="shared" si="493"/>
        <v>1</v>
      </c>
      <c r="M598" s="7">
        <v>45758</v>
      </c>
      <c r="O598" s="35" t="s">
        <v>170</v>
      </c>
      <c r="P598" s="8">
        <v>8</v>
      </c>
      <c r="Q598" s="9">
        <v>8</v>
      </c>
      <c r="R598" s="9">
        <v>8</v>
      </c>
      <c r="S598" s="39">
        <v>8</v>
      </c>
      <c r="T598" s="14">
        <f t="shared" si="496"/>
        <v>32</v>
      </c>
      <c r="U598" s="9"/>
      <c r="V598" s="9"/>
      <c r="W598" s="9"/>
      <c r="X598" s="39"/>
      <c r="Y598" s="14">
        <f t="shared" si="497"/>
        <v>0</v>
      </c>
      <c r="Z598" s="14">
        <f t="shared" si="490"/>
        <v>32</v>
      </c>
      <c r="AA598" s="7">
        <v>45756</v>
      </c>
    </row>
    <row r="599" spans="1:27" x14ac:dyDescent="0.15">
      <c r="A599" s="38" t="s">
        <v>35</v>
      </c>
      <c r="B599" s="8"/>
      <c r="C599" s="9">
        <v>1</v>
      </c>
      <c r="D599" s="9"/>
      <c r="E599" s="39"/>
      <c r="F599" s="14">
        <f t="shared" si="494"/>
        <v>1</v>
      </c>
      <c r="G599" s="9">
        <v>1</v>
      </c>
      <c r="H599" s="9"/>
      <c r="I599" s="9"/>
      <c r="J599" s="39">
        <v>1</v>
      </c>
      <c r="K599" s="14">
        <f t="shared" si="495"/>
        <v>2</v>
      </c>
      <c r="L599" s="14">
        <f t="shared" si="493"/>
        <v>3</v>
      </c>
      <c r="M599" s="7">
        <v>45761</v>
      </c>
      <c r="O599" s="35" t="s">
        <v>171</v>
      </c>
      <c r="P599" s="8"/>
      <c r="Q599" s="9"/>
      <c r="R599" s="9">
        <v>3</v>
      </c>
      <c r="S599" s="39">
        <v>3</v>
      </c>
      <c r="T599" s="14">
        <f t="shared" si="496"/>
        <v>6</v>
      </c>
      <c r="U599" s="9"/>
      <c r="V599" s="9"/>
      <c r="W599" s="9"/>
      <c r="X599" s="39"/>
      <c r="Y599" s="14">
        <f t="shared" si="497"/>
        <v>0</v>
      </c>
      <c r="Z599" s="14">
        <f t="shared" si="490"/>
        <v>6</v>
      </c>
      <c r="AA599" s="7">
        <v>45756</v>
      </c>
    </row>
    <row r="600" spans="1:27" x14ac:dyDescent="0.15">
      <c r="A600" s="38" t="s">
        <v>35</v>
      </c>
      <c r="B600" s="8"/>
      <c r="C600" s="9"/>
      <c r="D600" s="9">
        <v>1</v>
      </c>
      <c r="E600" s="39"/>
      <c r="F600" s="14">
        <f t="shared" si="494"/>
        <v>1</v>
      </c>
      <c r="G600" s="9"/>
      <c r="H600" s="9"/>
      <c r="I600" s="9"/>
      <c r="J600" s="39">
        <v>1</v>
      </c>
      <c r="K600" s="14">
        <f t="shared" si="495"/>
        <v>1</v>
      </c>
      <c r="L600" s="14">
        <f t="shared" si="493"/>
        <v>2</v>
      </c>
      <c r="M600" s="7">
        <v>45762</v>
      </c>
      <c r="O600" s="35" t="s">
        <v>172</v>
      </c>
      <c r="P600" s="8"/>
      <c r="Q600" s="9">
        <v>3</v>
      </c>
      <c r="R600" s="9"/>
      <c r="S600" s="39">
        <v>3</v>
      </c>
      <c r="T600" s="14">
        <f t="shared" si="496"/>
        <v>6</v>
      </c>
      <c r="U600" s="9"/>
      <c r="V600" s="9"/>
      <c r="W600" s="9"/>
      <c r="X600" s="39"/>
      <c r="Y600" s="14">
        <f t="shared" si="497"/>
        <v>0</v>
      </c>
      <c r="Z600" s="14">
        <f t="shared" si="490"/>
        <v>6</v>
      </c>
      <c r="AA600" s="7">
        <v>45757</v>
      </c>
    </row>
    <row r="601" spans="1:27" x14ac:dyDescent="0.15">
      <c r="A601" s="38" t="s">
        <v>35</v>
      </c>
      <c r="B601" s="8">
        <v>1</v>
      </c>
      <c r="C601" s="9"/>
      <c r="D601" s="9"/>
      <c r="E601" s="39"/>
      <c r="F601" s="14">
        <f t="shared" si="494"/>
        <v>1</v>
      </c>
      <c r="G601" s="9"/>
      <c r="H601" s="9"/>
      <c r="I601" s="9">
        <v>1</v>
      </c>
      <c r="J601" s="39"/>
      <c r="K601" s="14">
        <f t="shared" si="495"/>
        <v>1</v>
      </c>
      <c r="L601" s="14">
        <f t="shared" si="493"/>
        <v>2</v>
      </c>
      <c r="M601" s="7">
        <v>45768</v>
      </c>
      <c r="O601" s="35" t="s">
        <v>173</v>
      </c>
      <c r="P601" s="8"/>
      <c r="Q601" s="9"/>
      <c r="R601" s="9"/>
      <c r="S601" s="39">
        <v>3</v>
      </c>
      <c r="T601" s="14">
        <f t="shared" si="496"/>
        <v>3</v>
      </c>
      <c r="U601" s="9"/>
      <c r="V601" s="9"/>
      <c r="W601" s="9"/>
      <c r="X601" s="39"/>
      <c r="Y601" s="14">
        <f t="shared" si="497"/>
        <v>0</v>
      </c>
      <c r="Z601" s="14">
        <f t="shared" si="490"/>
        <v>3</v>
      </c>
      <c r="AA601" s="7">
        <v>45758</v>
      </c>
    </row>
    <row r="602" spans="1:27" x14ac:dyDescent="0.15">
      <c r="A602" s="33" t="s">
        <v>181</v>
      </c>
      <c r="B602" s="8"/>
      <c r="C602" s="9"/>
      <c r="D602" s="9">
        <v>1</v>
      </c>
      <c r="E602" s="39"/>
      <c r="F602" s="14">
        <f t="shared" si="494"/>
        <v>1</v>
      </c>
      <c r="G602" s="9"/>
      <c r="H602" s="9"/>
      <c r="I602" s="9"/>
      <c r="J602" s="39"/>
      <c r="K602" s="14">
        <f t="shared" si="495"/>
        <v>0</v>
      </c>
      <c r="L602" s="14">
        <f t="shared" si="493"/>
        <v>1</v>
      </c>
      <c r="M602" s="7">
        <v>45773</v>
      </c>
      <c r="O602" s="35" t="s">
        <v>174</v>
      </c>
      <c r="P602" s="8">
        <v>6</v>
      </c>
      <c r="Q602" s="9">
        <v>5</v>
      </c>
      <c r="R602" s="9">
        <v>3</v>
      </c>
      <c r="S602" s="39">
        <v>2</v>
      </c>
      <c r="T602" s="14">
        <f t="shared" si="496"/>
        <v>16</v>
      </c>
      <c r="U602" s="9"/>
      <c r="V602" s="9"/>
      <c r="W602" s="9"/>
      <c r="X602" s="39"/>
      <c r="Y602" s="14">
        <f t="shared" si="497"/>
        <v>0</v>
      </c>
      <c r="Z602" s="14">
        <f t="shared" si="490"/>
        <v>16</v>
      </c>
      <c r="AA602" s="7">
        <v>45758</v>
      </c>
    </row>
    <row r="603" spans="1:27" x14ac:dyDescent="0.15">
      <c r="A603" s="38" t="s">
        <v>35</v>
      </c>
      <c r="B603" s="8"/>
      <c r="C603" s="9">
        <v>1</v>
      </c>
      <c r="D603" s="9">
        <v>1</v>
      </c>
      <c r="E603" s="39"/>
      <c r="F603" s="14">
        <f t="shared" si="494"/>
        <v>2</v>
      </c>
      <c r="G603" s="9"/>
      <c r="H603" s="9"/>
      <c r="I603" s="9"/>
      <c r="J603" s="39"/>
      <c r="K603" s="14">
        <f t="shared" si="495"/>
        <v>0</v>
      </c>
      <c r="L603" s="14">
        <f t="shared" si="493"/>
        <v>2</v>
      </c>
      <c r="M603" s="7">
        <v>45772</v>
      </c>
      <c r="O603" s="35" t="s">
        <v>175</v>
      </c>
      <c r="P603" s="8">
        <v>2</v>
      </c>
      <c r="Q603" s="9">
        <v>2</v>
      </c>
      <c r="R603" s="9"/>
      <c r="S603" s="39"/>
      <c r="T603" s="14">
        <f t="shared" si="496"/>
        <v>4</v>
      </c>
      <c r="U603" s="9"/>
      <c r="V603" s="9"/>
      <c r="W603" s="9"/>
      <c r="X603" s="39"/>
      <c r="Y603" s="14">
        <f t="shared" si="497"/>
        <v>0</v>
      </c>
      <c r="Z603" s="14">
        <f t="shared" si="490"/>
        <v>4</v>
      </c>
      <c r="AA603" s="7">
        <v>45761</v>
      </c>
    </row>
    <row r="604" spans="1:27" x14ac:dyDescent="0.15">
      <c r="A604" s="33" t="s">
        <v>51</v>
      </c>
      <c r="B604" s="8">
        <v>1</v>
      </c>
      <c r="C604" s="9"/>
      <c r="D604" s="9"/>
      <c r="E604" s="39"/>
      <c r="F604" s="14">
        <f t="shared" si="494"/>
        <v>1</v>
      </c>
      <c r="G604" s="9"/>
      <c r="H604" s="9"/>
      <c r="I604" s="9"/>
      <c r="J604" s="39"/>
      <c r="K604" s="14">
        <f t="shared" si="495"/>
        <v>0</v>
      </c>
      <c r="L604" s="14">
        <f t="shared" si="493"/>
        <v>1</v>
      </c>
      <c r="M604" s="7">
        <v>45778</v>
      </c>
      <c r="O604" s="35" t="s">
        <v>176</v>
      </c>
      <c r="P604" s="8"/>
      <c r="Q604" s="9">
        <v>3</v>
      </c>
      <c r="R604" s="9"/>
      <c r="S604" s="39">
        <v>3</v>
      </c>
      <c r="T604" s="14">
        <f t="shared" si="496"/>
        <v>6</v>
      </c>
      <c r="U604" s="9"/>
      <c r="V604" s="9"/>
      <c r="W604" s="9"/>
      <c r="X604" s="39"/>
      <c r="Y604" s="14">
        <f t="shared" si="497"/>
        <v>0</v>
      </c>
      <c r="Z604" s="14">
        <f t="shared" si="490"/>
        <v>6</v>
      </c>
      <c r="AA604" s="7">
        <v>45762</v>
      </c>
    </row>
    <row r="605" spans="1:27" x14ac:dyDescent="0.15">
      <c r="A605" s="38" t="s">
        <v>35</v>
      </c>
      <c r="B605" s="8">
        <v>-1</v>
      </c>
      <c r="C605" s="9"/>
      <c r="D605" s="9"/>
      <c r="E605" s="39"/>
      <c r="F605" s="14">
        <f t="shared" si="494"/>
        <v>-1</v>
      </c>
      <c r="G605" s="9"/>
      <c r="H605" s="9"/>
      <c r="I605" s="9"/>
      <c r="J605" s="39"/>
      <c r="K605" s="14">
        <f t="shared" si="495"/>
        <v>0</v>
      </c>
      <c r="L605" s="14">
        <f t="shared" si="493"/>
        <v>-1</v>
      </c>
      <c r="M605" s="7">
        <v>45779</v>
      </c>
      <c r="O605" s="35" t="s">
        <v>177</v>
      </c>
      <c r="P605" s="8">
        <v>2</v>
      </c>
      <c r="Q605" s="9">
        <v>3</v>
      </c>
      <c r="R605" s="9">
        <v>3</v>
      </c>
      <c r="S605" s="39">
        <f>4+2</f>
        <v>6</v>
      </c>
      <c r="T605" s="14">
        <f t="shared" si="496"/>
        <v>14</v>
      </c>
      <c r="U605" s="9"/>
      <c r="V605" s="9"/>
      <c r="W605" s="9"/>
      <c r="X605" s="39"/>
      <c r="Y605" s="14">
        <f t="shared" si="497"/>
        <v>0</v>
      </c>
      <c r="Z605" s="14">
        <f t="shared" si="490"/>
        <v>14</v>
      </c>
      <c r="AA605" s="7">
        <v>45764</v>
      </c>
    </row>
    <row r="606" spans="1:27" x14ac:dyDescent="0.15">
      <c r="A606" s="38" t="s">
        <v>35</v>
      </c>
      <c r="B606" s="8"/>
      <c r="C606" s="9"/>
      <c r="D606" s="9"/>
      <c r="E606" s="39"/>
      <c r="F606" s="14">
        <f t="shared" si="494"/>
        <v>0</v>
      </c>
      <c r="G606" s="9"/>
      <c r="H606" s="9"/>
      <c r="I606" s="9">
        <v>1</v>
      </c>
      <c r="J606" s="39"/>
      <c r="K606" s="14">
        <f t="shared" si="495"/>
        <v>1</v>
      </c>
      <c r="L606" s="14">
        <f t="shared" si="493"/>
        <v>1</v>
      </c>
      <c r="M606" s="7">
        <v>45784</v>
      </c>
      <c r="O606" s="35" t="s">
        <v>178</v>
      </c>
      <c r="P606" s="8"/>
      <c r="Q606" s="9"/>
      <c r="R606" s="9">
        <v>1</v>
      </c>
      <c r="S606" s="39">
        <v>1</v>
      </c>
      <c r="T606" s="14">
        <f t="shared" si="496"/>
        <v>2</v>
      </c>
      <c r="U606" s="9"/>
      <c r="V606" s="9"/>
      <c r="W606" s="9"/>
      <c r="X606" s="39"/>
      <c r="Y606" s="14">
        <f t="shared" si="497"/>
        <v>0</v>
      </c>
      <c r="Z606" s="14">
        <f t="shared" si="490"/>
        <v>2</v>
      </c>
      <c r="AA606" s="7">
        <v>45765</v>
      </c>
    </row>
    <row r="607" spans="1:27" x14ac:dyDescent="0.15">
      <c r="A607" s="38" t="s">
        <v>35</v>
      </c>
      <c r="B607" s="8"/>
      <c r="C607" s="9">
        <f>1+1</f>
        <v>2</v>
      </c>
      <c r="D607" s="9"/>
      <c r="E607" s="39">
        <v>1</v>
      </c>
      <c r="F607" s="14">
        <f t="shared" si="494"/>
        <v>3</v>
      </c>
      <c r="G607" s="9"/>
      <c r="H607" s="9"/>
      <c r="I607" s="9">
        <v>1</v>
      </c>
      <c r="J607" s="39"/>
      <c r="K607" s="14">
        <f t="shared" si="495"/>
        <v>1</v>
      </c>
      <c r="L607" s="14">
        <f t="shared" si="493"/>
        <v>4</v>
      </c>
      <c r="M607" s="7">
        <v>45789</v>
      </c>
      <c r="O607" s="35" t="s">
        <v>179</v>
      </c>
      <c r="P607" s="8">
        <v>2</v>
      </c>
      <c r="Q607" s="9"/>
      <c r="R607" s="9">
        <v>2</v>
      </c>
      <c r="S607" s="39"/>
      <c r="T607" s="14">
        <f t="shared" si="496"/>
        <v>4</v>
      </c>
      <c r="U607" s="9"/>
      <c r="V607" s="9"/>
      <c r="W607" s="9"/>
      <c r="X607" s="39"/>
      <c r="Y607" s="14">
        <f t="shared" si="497"/>
        <v>0</v>
      </c>
      <c r="Z607" s="14">
        <f t="shared" si="490"/>
        <v>4</v>
      </c>
      <c r="AA607" s="7">
        <v>45768</v>
      </c>
    </row>
    <row r="608" spans="1:27" x14ac:dyDescent="0.15">
      <c r="A608" s="33"/>
      <c r="B608" s="8"/>
      <c r="C608" s="9"/>
      <c r="D608" s="9"/>
      <c r="E608" s="39"/>
      <c r="F608" s="14">
        <f t="shared" si="494"/>
        <v>0</v>
      </c>
      <c r="G608" s="9"/>
      <c r="H608" s="9"/>
      <c r="I608" s="9"/>
      <c r="J608" s="39"/>
      <c r="K608" s="14">
        <f t="shared" si="495"/>
        <v>0</v>
      </c>
      <c r="L608" s="14">
        <f t="shared" si="493"/>
        <v>0</v>
      </c>
      <c r="O608" s="35" t="s">
        <v>31</v>
      </c>
      <c r="P608" s="8">
        <v>5</v>
      </c>
      <c r="Q608" s="9">
        <v>4</v>
      </c>
      <c r="R608" s="9">
        <v>5</v>
      </c>
      <c r="S608" s="39">
        <v>5</v>
      </c>
      <c r="T608" s="14">
        <f t="shared" si="496"/>
        <v>19</v>
      </c>
      <c r="U608" s="9"/>
      <c r="V608" s="9"/>
      <c r="W608" s="9"/>
      <c r="X608" s="39"/>
      <c r="Y608" s="14">
        <f t="shared" si="497"/>
        <v>0</v>
      </c>
      <c r="Z608" s="14">
        <f t="shared" si="490"/>
        <v>19</v>
      </c>
      <c r="AA608" s="7">
        <v>45766</v>
      </c>
    </row>
    <row r="609" spans="1:27" x14ac:dyDescent="0.15">
      <c r="A609" s="33"/>
      <c r="B609" s="8"/>
      <c r="C609" s="9"/>
      <c r="D609" s="9"/>
      <c r="E609" s="39"/>
      <c r="F609" s="14">
        <f t="shared" si="494"/>
        <v>0</v>
      </c>
      <c r="G609" s="9"/>
      <c r="H609" s="9"/>
      <c r="I609" s="9"/>
      <c r="J609" s="39"/>
      <c r="K609" s="14">
        <f t="shared" si="495"/>
        <v>0</v>
      </c>
      <c r="L609" s="14">
        <f t="shared" si="493"/>
        <v>0</v>
      </c>
      <c r="O609" s="35" t="s">
        <v>31</v>
      </c>
      <c r="P609" s="8"/>
      <c r="Q609" s="9"/>
      <c r="R609" s="9"/>
      <c r="S609" s="39"/>
      <c r="T609" s="14">
        <f t="shared" si="496"/>
        <v>0</v>
      </c>
      <c r="U609" s="9">
        <v>3</v>
      </c>
      <c r="V609" s="9">
        <v>3</v>
      </c>
      <c r="W609" s="9">
        <v>3</v>
      </c>
      <c r="X609" s="39">
        <v>3</v>
      </c>
      <c r="Y609" s="14">
        <f t="shared" si="497"/>
        <v>12</v>
      </c>
      <c r="Z609" s="14">
        <f t="shared" si="490"/>
        <v>12</v>
      </c>
      <c r="AA609" s="7">
        <v>45769</v>
      </c>
    </row>
    <row r="610" spans="1:27" x14ac:dyDescent="0.15">
      <c r="A610" s="33"/>
      <c r="B610" s="8"/>
      <c r="C610" s="9"/>
      <c r="D610" s="9"/>
      <c r="E610" s="39"/>
      <c r="F610" s="14">
        <f t="shared" si="494"/>
        <v>0</v>
      </c>
      <c r="G610" s="9"/>
      <c r="H610" s="9"/>
      <c r="I610" s="9"/>
      <c r="J610" s="39"/>
      <c r="K610" s="14">
        <f t="shared" si="495"/>
        <v>0</v>
      </c>
      <c r="L610" s="14">
        <f t="shared" si="493"/>
        <v>0</v>
      </c>
      <c r="O610" s="35" t="s">
        <v>180</v>
      </c>
      <c r="P610" s="8"/>
      <c r="Q610" s="9"/>
      <c r="R610" s="9">
        <v>2</v>
      </c>
      <c r="S610" s="39"/>
      <c r="T610" s="14">
        <f t="shared" si="496"/>
        <v>2</v>
      </c>
      <c r="U610" s="9"/>
      <c r="V610" s="9"/>
      <c r="W610" s="9"/>
      <c r="X610" s="39"/>
      <c r="Y610" s="14">
        <f t="shared" si="497"/>
        <v>0</v>
      </c>
      <c r="Z610" s="14">
        <f t="shared" si="490"/>
        <v>2</v>
      </c>
      <c r="AA610" s="7">
        <v>45771</v>
      </c>
    </row>
    <row r="611" spans="1:27" x14ac:dyDescent="0.15">
      <c r="A611" s="33"/>
      <c r="B611" s="8"/>
      <c r="C611" s="9"/>
      <c r="D611" s="9"/>
      <c r="E611" s="39"/>
      <c r="F611" s="14">
        <f t="shared" si="494"/>
        <v>0</v>
      </c>
      <c r="G611" s="9"/>
      <c r="H611" s="9"/>
      <c r="I611" s="9"/>
      <c r="J611" s="39"/>
      <c r="K611" s="14">
        <f t="shared" si="495"/>
        <v>0</v>
      </c>
      <c r="L611" s="14">
        <f t="shared" si="493"/>
        <v>0</v>
      </c>
      <c r="O611" s="35" t="s">
        <v>182</v>
      </c>
      <c r="P611" s="8">
        <v>3</v>
      </c>
      <c r="Q611" s="9">
        <v>6</v>
      </c>
      <c r="R611" s="9">
        <v>5</v>
      </c>
      <c r="S611" s="39">
        <v>4</v>
      </c>
      <c r="T611" s="14">
        <f t="shared" si="496"/>
        <v>18</v>
      </c>
      <c r="U611" s="9"/>
      <c r="V611" s="9"/>
      <c r="W611" s="9"/>
      <c r="X611" s="39"/>
      <c r="Y611" s="14">
        <f t="shared" si="497"/>
        <v>0</v>
      </c>
      <c r="Z611" s="14">
        <f t="shared" si="490"/>
        <v>18</v>
      </c>
      <c r="AA611" s="7">
        <v>45779</v>
      </c>
    </row>
    <row r="612" spans="1:27" x14ac:dyDescent="0.15">
      <c r="A612" s="33"/>
      <c r="B612" s="8"/>
      <c r="C612" s="9"/>
      <c r="D612" s="9"/>
      <c r="E612" s="39"/>
      <c r="F612" s="14">
        <f t="shared" si="494"/>
        <v>0</v>
      </c>
      <c r="G612" s="9"/>
      <c r="H612" s="9"/>
      <c r="I612" s="9"/>
      <c r="J612" s="39"/>
      <c r="K612" s="14">
        <f t="shared" si="495"/>
        <v>0</v>
      </c>
      <c r="L612" s="14">
        <f t="shared" si="493"/>
        <v>0</v>
      </c>
      <c r="O612" s="35" t="s">
        <v>183</v>
      </c>
      <c r="P612" s="8">
        <v>5</v>
      </c>
      <c r="Q612" s="9">
        <v>5</v>
      </c>
      <c r="R612" s="9"/>
      <c r="S612" s="39"/>
      <c r="T612" s="14">
        <f t="shared" si="496"/>
        <v>10</v>
      </c>
      <c r="U612" s="9"/>
      <c r="V612" s="9"/>
      <c r="W612" s="9"/>
      <c r="X612" s="39"/>
      <c r="Y612" s="14">
        <f t="shared" si="497"/>
        <v>0</v>
      </c>
      <c r="Z612" s="14">
        <f t="shared" si="490"/>
        <v>10</v>
      </c>
      <c r="AA612" s="7">
        <v>45779</v>
      </c>
    </row>
    <row r="613" spans="1:27" x14ac:dyDescent="0.15">
      <c r="A613" s="33"/>
      <c r="B613" s="8"/>
      <c r="C613" s="9"/>
      <c r="D613" s="9"/>
      <c r="E613" s="39"/>
      <c r="F613" s="14">
        <f t="shared" si="494"/>
        <v>0</v>
      </c>
      <c r="G613" s="9"/>
      <c r="H613" s="9"/>
      <c r="I613" s="9"/>
      <c r="J613" s="39"/>
      <c r="K613" s="14">
        <f t="shared" si="495"/>
        <v>0</v>
      </c>
      <c r="L613" s="14">
        <f t="shared" si="493"/>
        <v>0</v>
      </c>
      <c r="O613" s="35" t="s">
        <v>184</v>
      </c>
      <c r="P613" s="8">
        <v>4</v>
      </c>
      <c r="Q613" s="9"/>
      <c r="R613" s="9"/>
      <c r="S613" s="39"/>
      <c r="T613" s="14">
        <f t="shared" si="496"/>
        <v>4</v>
      </c>
      <c r="U613" s="9"/>
      <c r="V613" s="9"/>
      <c r="W613" s="9"/>
      <c r="X613" s="39"/>
      <c r="Y613" s="14">
        <f t="shared" si="497"/>
        <v>0</v>
      </c>
      <c r="Z613" s="14">
        <f t="shared" si="490"/>
        <v>4</v>
      </c>
      <c r="AA613" s="7">
        <v>45784</v>
      </c>
    </row>
    <row r="614" spans="1:27" x14ac:dyDescent="0.15">
      <c r="A614" s="33"/>
      <c r="B614" s="8"/>
      <c r="C614" s="9"/>
      <c r="D614" s="9"/>
      <c r="E614" s="39"/>
      <c r="F614" s="14">
        <f t="shared" si="494"/>
        <v>0</v>
      </c>
      <c r="G614" s="9"/>
      <c r="H614" s="9"/>
      <c r="I614" s="9"/>
      <c r="J614" s="39"/>
      <c r="K614" s="14">
        <f t="shared" si="495"/>
        <v>0</v>
      </c>
      <c r="L614" s="14">
        <f t="shared" si="493"/>
        <v>0</v>
      </c>
      <c r="O614" s="35" t="s">
        <v>185</v>
      </c>
      <c r="P614" s="8"/>
      <c r="Q614" s="9"/>
      <c r="R614" s="9">
        <v>6</v>
      </c>
      <c r="S614" s="39"/>
      <c r="T614" s="14">
        <f t="shared" si="496"/>
        <v>6</v>
      </c>
      <c r="U614" s="9"/>
      <c r="V614" s="9"/>
      <c r="W614" s="9"/>
      <c r="X614" s="39"/>
      <c r="Y614" s="14">
        <f t="shared" si="497"/>
        <v>0</v>
      </c>
      <c r="Z614" s="14">
        <f t="shared" si="490"/>
        <v>6</v>
      </c>
      <c r="AA614" s="7">
        <v>45790</v>
      </c>
    </row>
    <row r="615" spans="1:27" x14ac:dyDescent="0.15">
      <c r="A615" s="33"/>
      <c r="B615" s="8"/>
      <c r="C615" s="9"/>
      <c r="D615" s="9"/>
      <c r="E615" s="39"/>
      <c r="F615" s="14">
        <f t="shared" si="494"/>
        <v>0</v>
      </c>
      <c r="G615" s="9"/>
      <c r="H615" s="9"/>
      <c r="I615" s="9"/>
      <c r="J615" s="39"/>
      <c r="K615" s="14">
        <f t="shared" si="495"/>
        <v>0</v>
      </c>
      <c r="L615" s="14">
        <f t="shared" si="493"/>
        <v>0</v>
      </c>
      <c r="O615" s="35" t="s">
        <v>184</v>
      </c>
      <c r="P615" s="8"/>
      <c r="Q615" s="9">
        <v>9</v>
      </c>
      <c r="R615" s="9">
        <v>4</v>
      </c>
      <c r="S615" s="39"/>
      <c r="T615" s="14">
        <f t="shared" si="496"/>
        <v>13</v>
      </c>
      <c r="U615" s="9"/>
      <c r="V615" s="9"/>
      <c r="W615" s="9"/>
      <c r="X615" s="39"/>
      <c r="Y615" s="14">
        <f t="shared" si="497"/>
        <v>0</v>
      </c>
      <c r="Z615" s="14">
        <f t="shared" si="490"/>
        <v>13</v>
      </c>
      <c r="AA615" s="7">
        <v>45790</v>
      </c>
    </row>
    <row r="616" spans="1:27" x14ac:dyDescent="0.15">
      <c r="A616" s="33"/>
      <c r="B616" s="8"/>
      <c r="C616" s="9"/>
      <c r="D616" s="9"/>
      <c r="E616" s="39"/>
      <c r="F616" s="14">
        <f t="shared" si="494"/>
        <v>0</v>
      </c>
      <c r="G616" s="9"/>
      <c r="H616" s="9"/>
      <c r="I616" s="9"/>
      <c r="J616" s="39"/>
      <c r="K616" s="14">
        <f t="shared" si="495"/>
        <v>0</v>
      </c>
      <c r="L616" s="14">
        <f t="shared" si="493"/>
        <v>0</v>
      </c>
      <c r="O616" s="35" t="s">
        <v>186</v>
      </c>
      <c r="P616" s="8"/>
      <c r="Q616" s="9"/>
      <c r="R616" s="9">
        <v>2</v>
      </c>
      <c r="S616" s="39"/>
      <c r="T616" s="14">
        <f t="shared" ref="T616:T620" si="498">SUM(P616:S616)</f>
        <v>2</v>
      </c>
      <c r="U616" s="9"/>
      <c r="V616" s="9"/>
      <c r="W616" s="9"/>
      <c r="X616" s="39"/>
      <c r="Y616" s="14">
        <f t="shared" ref="Y616:Y620" si="499">SUM(U616:X616)</f>
        <v>0</v>
      </c>
      <c r="Z616" s="14">
        <f t="shared" ref="Z616:Z620" si="500">T616+Y616</f>
        <v>2</v>
      </c>
      <c r="AA616" s="7">
        <v>45790</v>
      </c>
    </row>
    <row r="617" spans="1:27" x14ac:dyDescent="0.15">
      <c r="A617" s="33"/>
      <c r="B617" s="8"/>
      <c r="C617" s="9"/>
      <c r="D617" s="9"/>
      <c r="E617" s="39"/>
      <c r="F617" s="14">
        <f t="shared" si="494"/>
        <v>0</v>
      </c>
      <c r="G617" s="9"/>
      <c r="H617" s="9"/>
      <c r="I617" s="9"/>
      <c r="J617" s="39"/>
      <c r="K617" s="14">
        <f t="shared" si="495"/>
        <v>0</v>
      </c>
      <c r="L617" s="14">
        <f t="shared" si="493"/>
        <v>0</v>
      </c>
      <c r="O617" s="35" t="s">
        <v>187</v>
      </c>
      <c r="P617" s="8"/>
      <c r="Q617" s="9"/>
      <c r="R617" s="9"/>
      <c r="S617" s="39">
        <v>7</v>
      </c>
      <c r="T617" s="14">
        <f t="shared" si="498"/>
        <v>7</v>
      </c>
      <c r="U617" s="9"/>
      <c r="V617" s="9"/>
      <c r="W617" s="9"/>
      <c r="X617" s="39"/>
      <c r="Y617" s="14">
        <f t="shared" si="499"/>
        <v>0</v>
      </c>
      <c r="Z617" s="14">
        <f t="shared" si="500"/>
        <v>7</v>
      </c>
      <c r="AA617" s="7">
        <v>45790</v>
      </c>
    </row>
    <row r="618" spans="1:27" x14ac:dyDescent="0.15">
      <c r="A618" s="33"/>
      <c r="B618" s="8"/>
      <c r="C618" s="9"/>
      <c r="D618" s="9"/>
      <c r="E618" s="39"/>
      <c r="F618" s="14">
        <f t="shared" si="494"/>
        <v>0</v>
      </c>
      <c r="G618" s="9"/>
      <c r="H618" s="9"/>
      <c r="I618" s="9"/>
      <c r="J618" s="39"/>
      <c r="K618" s="14">
        <f t="shared" si="495"/>
        <v>0</v>
      </c>
      <c r="L618" s="14">
        <f t="shared" si="493"/>
        <v>0</v>
      </c>
      <c r="O618" s="35" t="s">
        <v>188</v>
      </c>
      <c r="P618" s="8">
        <v>4</v>
      </c>
      <c r="Q618" s="9"/>
      <c r="R618" s="9"/>
      <c r="S618" s="39">
        <v>6</v>
      </c>
      <c r="T618" s="14">
        <f t="shared" si="498"/>
        <v>10</v>
      </c>
      <c r="U618" s="9"/>
      <c r="V618" s="9"/>
      <c r="W618" s="9"/>
      <c r="X618" s="39"/>
      <c r="Y618" s="14">
        <f t="shared" si="499"/>
        <v>0</v>
      </c>
      <c r="Z618" s="14">
        <f t="shared" si="500"/>
        <v>10</v>
      </c>
      <c r="AA618" s="7">
        <v>45793</v>
      </c>
    </row>
    <row r="619" spans="1:27" x14ac:dyDescent="0.15">
      <c r="A619" s="33"/>
      <c r="B619" s="8"/>
      <c r="C619" s="9"/>
      <c r="D619" s="9"/>
      <c r="E619" s="39"/>
      <c r="F619" s="14">
        <f t="shared" si="494"/>
        <v>0</v>
      </c>
      <c r="G619" s="9"/>
      <c r="H619" s="9"/>
      <c r="I619" s="9"/>
      <c r="J619" s="39"/>
      <c r="K619" s="14">
        <f t="shared" si="495"/>
        <v>0</v>
      </c>
      <c r="L619" s="14">
        <f t="shared" si="493"/>
        <v>0</v>
      </c>
      <c r="O619" s="35" t="s">
        <v>189</v>
      </c>
      <c r="P619" s="8">
        <v>3</v>
      </c>
      <c r="Q619" s="9">
        <v>4</v>
      </c>
      <c r="R619" s="9"/>
      <c r="S619" s="39"/>
      <c r="T619" s="14">
        <f t="shared" si="498"/>
        <v>7</v>
      </c>
      <c r="U619" s="9"/>
      <c r="V619" s="9"/>
      <c r="W619" s="9"/>
      <c r="X619" s="39"/>
      <c r="Y619" s="14">
        <f t="shared" si="499"/>
        <v>0</v>
      </c>
      <c r="Z619" s="14">
        <f t="shared" si="500"/>
        <v>7</v>
      </c>
      <c r="AA619" s="7">
        <v>45793</v>
      </c>
    </row>
    <row r="620" spans="1:27" x14ac:dyDescent="0.15">
      <c r="A620" s="33"/>
      <c r="B620" s="8"/>
      <c r="C620" s="9"/>
      <c r="D620" s="9"/>
      <c r="E620" s="39"/>
      <c r="F620" s="14">
        <f t="shared" si="494"/>
        <v>0</v>
      </c>
      <c r="G620" s="9"/>
      <c r="H620" s="9"/>
      <c r="I620" s="9"/>
      <c r="J620" s="39"/>
      <c r="K620" s="14">
        <f t="shared" si="495"/>
        <v>0</v>
      </c>
      <c r="L620" s="14">
        <f t="shared" si="493"/>
        <v>0</v>
      </c>
      <c r="O620" s="35"/>
      <c r="P620" s="8"/>
      <c r="Q620" s="9"/>
      <c r="R620" s="9"/>
      <c r="S620" s="39"/>
      <c r="T620" s="14">
        <f t="shared" si="498"/>
        <v>0</v>
      </c>
      <c r="U620" s="9"/>
      <c r="V620" s="9"/>
      <c r="W620" s="9"/>
      <c r="X620" s="39"/>
      <c r="Y620" s="14">
        <f t="shared" si="499"/>
        <v>0</v>
      </c>
      <c r="Z620" s="14">
        <f t="shared" si="500"/>
        <v>0</v>
      </c>
    </row>
    <row r="621" spans="1:27" ht="14.25" thickBot="1" x14ac:dyDescent="0.2">
      <c r="A621" s="33"/>
      <c r="B621" s="8"/>
      <c r="C621" s="9"/>
      <c r="D621" s="9"/>
      <c r="E621" s="39"/>
      <c r="F621" s="14">
        <f t="shared" si="494"/>
        <v>0</v>
      </c>
      <c r="G621" s="9"/>
      <c r="H621" s="9"/>
      <c r="I621" s="9"/>
      <c r="J621" s="39"/>
      <c r="K621" s="14">
        <f t="shared" si="495"/>
        <v>0</v>
      </c>
      <c r="L621" s="14">
        <f t="shared" si="493"/>
        <v>0</v>
      </c>
      <c r="O621" s="35" t="s">
        <v>167</v>
      </c>
      <c r="P621" s="8"/>
      <c r="Q621" s="9"/>
      <c r="R621" s="9"/>
      <c r="S621" s="39"/>
      <c r="T621" s="14">
        <f t="shared" ref="T621" si="501">SUM(P621:S621)</f>
        <v>0</v>
      </c>
      <c r="U621" s="131"/>
      <c r="V621" s="131"/>
      <c r="W621" s="131"/>
      <c r="X621" s="132"/>
      <c r="Y621" s="14">
        <f t="shared" ref="Y621" si="502">SUM(U621:X621)</f>
        <v>0</v>
      </c>
      <c r="Z621" s="14">
        <f t="shared" ref="Z621" si="503">T621+Y621</f>
        <v>0</v>
      </c>
      <c r="AA621" t="s">
        <v>169</v>
      </c>
    </row>
    <row r="622" spans="1:27" ht="14.25" thickBot="1" x14ac:dyDescent="0.2">
      <c r="A622" s="3" t="s">
        <v>7</v>
      </c>
      <c r="B622" s="17">
        <f t="shared" ref="B622:E622" si="504">SUM(B596:B621)</f>
        <v>2</v>
      </c>
      <c r="C622" s="18">
        <f t="shared" si="504"/>
        <v>5</v>
      </c>
      <c r="D622" s="18">
        <f t="shared" si="504"/>
        <v>3</v>
      </c>
      <c r="E622" s="40">
        <f t="shared" si="504"/>
        <v>1</v>
      </c>
      <c r="F622" s="11">
        <f t="shared" si="494"/>
        <v>11</v>
      </c>
      <c r="G622" s="17">
        <f t="shared" ref="G622:J622" si="505">SUM(G596:G621)</f>
        <v>1</v>
      </c>
      <c r="H622" s="18">
        <f t="shared" si="505"/>
        <v>1</v>
      </c>
      <c r="I622" s="18">
        <f t="shared" si="505"/>
        <v>3</v>
      </c>
      <c r="J622" s="40">
        <f t="shared" si="505"/>
        <v>2</v>
      </c>
      <c r="K622" s="11">
        <f t="shared" si="495"/>
        <v>7</v>
      </c>
      <c r="L622" s="11">
        <f t="shared" si="493"/>
        <v>18</v>
      </c>
      <c r="O622" s="3" t="s">
        <v>7</v>
      </c>
      <c r="P622" s="17">
        <f t="shared" ref="P622:S622" si="506">SUM(P596:P621)</f>
        <v>60</v>
      </c>
      <c r="Q622" s="18">
        <f t="shared" si="506"/>
        <v>69</v>
      </c>
      <c r="R622" s="18">
        <f t="shared" si="506"/>
        <v>58</v>
      </c>
      <c r="S622" s="40">
        <f t="shared" si="506"/>
        <v>63</v>
      </c>
      <c r="T622" s="11">
        <f t="shared" si="496"/>
        <v>250</v>
      </c>
      <c r="U622" s="17">
        <f t="shared" ref="U622:X622" si="507">SUM(U596:U621)</f>
        <v>3</v>
      </c>
      <c r="V622" s="18">
        <f t="shared" si="507"/>
        <v>3</v>
      </c>
      <c r="W622" s="18">
        <f t="shared" si="507"/>
        <v>3</v>
      </c>
      <c r="X622" s="40">
        <f t="shared" si="507"/>
        <v>3</v>
      </c>
      <c r="Y622" s="11">
        <f t="shared" si="497"/>
        <v>12</v>
      </c>
      <c r="Z622" s="11">
        <f t="shared" si="490"/>
        <v>262</v>
      </c>
    </row>
    <row r="623" spans="1:27" ht="14.25" thickBot="1" x14ac:dyDescent="0.2">
      <c r="A623" s="19" t="s">
        <v>8</v>
      </c>
      <c r="B623" s="20">
        <f t="shared" ref="B623:E623" si="508">B595-B622</f>
        <v>8</v>
      </c>
      <c r="C623" s="21">
        <f t="shared" si="508"/>
        <v>5</v>
      </c>
      <c r="D623" s="21">
        <f t="shared" si="508"/>
        <v>8</v>
      </c>
      <c r="E623" s="22">
        <f t="shared" si="508"/>
        <v>10</v>
      </c>
      <c r="F623" s="11">
        <f t="shared" si="494"/>
        <v>31</v>
      </c>
      <c r="G623" s="20">
        <f t="shared" ref="G623:J623" si="509">G595-G622</f>
        <v>5</v>
      </c>
      <c r="H623" s="21">
        <f t="shared" si="509"/>
        <v>6</v>
      </c>
      <c r="I623" s="21">
        <f t="shared" si="509"/>
        <v>3</v>
      </c>
      <c r="J623" s="51">
        <f t="shared" si="509"/>
        <v>6</v>
      </c>
      <c r="K623" s="11">
        <f t="shared" si="495"/>
        <v>20</v>
      </c>
      <c r="L623" s="53">
        <f t="shared" si="493"/>
        <v>51</v>
      </c>
      <c r="O623" s="19" t="s">
        <v>8</v>
      </c>
      <c r="P623" s="20">
        <f t="shared" ref="P623:S623" si="510">P595-P622</f>
        <v>271</v>
      </c>
      <c r="Q623" s="21">
        <f t="shared" si="510"/>
        <v>230</v>
      </c>
      <c r="R623" s="21">
        <f t="shared" si="510"/>
        <v>157</v>
      </c>
      <c r="S623" s="22">
        <f t="shared" si="510"/>
        <v>106</v>
      </c>
      <c r="T623" s="11">
        <f t="shared" si="496"/>
        <v>764</v>
      </c>
      <c r="U623" s="20">
        <f t="shared" ref="U623:X623" si="511">U595-U622</f>
        <v>53</v>
      </c>
      <c r="V623" s="21">
        <f t="shared" si="511"/>
        <v>58</v>
      </c>
      <c r="W623" s="21">
        <f t="shared" si="511"/>
        <v>18</v>
      </c>
      <c r="X623" s="51">
        <f t="shared" si="511"/>
        <v>21</v>
      </c>
      <c r="Y623" s="11">
        <f t="shared" si="497"/>
        <v>150</v>
      </c>
      <c r="Z623" s="53">
        <f t="shared" si="490"/>
        <v>914</v>
      </c>
    </row>
    <row r="626" spans="1:27" ht="19.5" thickBot="1" x14ac:dyDescent="0.25">
      <c r="A626" s="1" t="s">
        <v>19</v>
      </c>
      <c r="C626" s="164" t="s">
        <v>20</v>
      </c>
      <c r="D626" s="164"/>
      <c r="O626" s="1" t="s">
        <v>21</v>
      </c>
      <c r="S626" s="164" t="s">
        <v>20</v>
      </c>
      <c r="T626" s="164"/>
    </row>
    <row r="627" spans="1:27" ht="14.25" thickBot="1" x14ac:dyDescent="0.2">
      <c r="A627" s="3" t="s">
        <v>0</v>
      </c>
      <c r="B627" s="165" t="s">
        <v>15</v>
      </c>
      <c r="C627" s="166"/>
      <c r="D627" s="166"/>
      <c r="E627" s="166"/>
      <c r="F627" s="167"/>
      <c r="G627" s="168" t="s">
        <v>18</v>
      </c>
      <c r="H627" s="169"/>
      <c r="I627" s="169"/>
      <c r="J627" s="169"/>
      <c r="K627" s="170"/>
      <c r="L627" s="47"/>
      <c r="O627" s="3" t="s">
        <v>0</v>
      </c>
      <c r="P627" s="165" t="s">
        <v>15</v>
      </c>
      <c r="Q627" s="166"/>
      <c r="R627" s="166"/>
      <c r="S627" s="166"/>
      <c r="T627" s="167"/>
      <c r="U627" s="168" t="s">
        <v>18</v>
      </c>
      <c r="V627" s="169"/>
      <c r="W627" s="169"/>
      <c r="X627" s="169"/>
      <c r="Y627" s="170"/>
      <c r="Z627" s="47"/>
    </row>
    <row r="628" spans="1:27" ht="14.25" thickBot="1" x14ac:dyDescent="0.2">
      <c r="A628" s="3" t="s">
        <v>1</v>
      </c>
      <c r="B628" s="23" t="s">
        <v>11</v>
      </c>
      <c r="C628" s="24" t="s">
        <v>12</v>
      </c>
      <c r="D628" s="24" t="s">
        <v>13</v>
      </c>
      <c r="E628" s="25" t="s">
        <v>14</v>
      </c>
      <c r="F628" s="48" t="s">
        <v>2</v>
      </c>
      <c r="G628" s="23" t="s">
        <v>11</v>
      </c>
      <c r="H628" s="24" t="s">
        <v>12</v>
      </c>
      <c r="I628" s="24" t="s">
        <v>13</v>
      </c>
      <c r="J628" s="25" t="s">
        <v>14</v>
      </c>
      <c r="K628" s="48" t="s">
        <v>2</v>
      </c>
      <c r="L628" s="48" t="s">
        <v>17</v>
      </c>
      <c r="O628" s="3" t="s">
        <v>1</v>
      </c>
      <c r="P628" s="23" t="s">
        <v>11</v>
      </c>
      <c r="Q628" s="24" t="s">
        <v>12</v>
      </c>
      <c r="R628" s="24" t="s">
        <v>13</v>
      </c>
      <c r="S628" s="25" t="s">
        <v>14</v>
      </c>
      <c r="T628" s="48" t="s">
        <v>2</v>
      </c>
      <c r="U628" s="23" t="s">
        <v>11</v>
      </c>
      <c r="V628" s="24" t="s">
        <v>12</v>
      </c>
      <c r="W628" s="24" t="s">
        <v>13</v>
      </c>
      <c r="X628" s="25" t="s">
        <v>14</v>
      </c>
      <c r="Y628" s="48" t="s">
        <v>2</v>
      </c>
      <c r="Z628" s="48" t="s">
        <v>17</v>
      </c>
    </row>
    <row r="629" spans="1:27" x14ac:dyDescent="0.15">
      <c r="A629" s="116" t="s">
        <v>9</v>
      </c>
      <c r="B629" s="113">
        <f>B623</f>
        <v>8</v>
      </c>
      <c r="C629" s="27">
        <f>C623</f>
        <v>5</v>
      </c>
      <c r="D629" s="27">
        <f>D623</f>
        <v>8</v>
      </c>
      <c r="E629" s="42">
        <f>E623</f>
        <v>10</v>
      </c>
      <c r="F629" s="28">
        <f>SUM(B629:E629)</f>
        <v>31</v>
      </c>
      <c r="G629" s="113">
        <f>G623</f>
        <v>5</v>
      </c>
      <c r="H629" s="27">
        <f>H623</f>
        <v>6</v>
      </c>
      <c r="I629" s="27">
        <f>I623</f>
        <v>3</v>
      </c>
      <c r="J629" s="42">
        <f>J623</f>
        <v>6</v>
      </c>
      <c r="K629" s="28">
        <f>SUM(G629:J629)</f>
        <v>20</v>
      </c>
      <c r="L629" s="114">
        <f>F629+K629</f>
        <v>51</v>
      </c>
      <c r="O629" s="54" t="s">
        <v>9</v>
      </c>
      <c r="P629" s="26">
        <f>P623</f>
        <v>271</v>
      </c>
      <c r="Q629" s="27">
        <f>Q623</f>
        <v>230</v>
      </c>
      <c r="R629" s="27">
        <f>R623</f>
        <v>157</v>
      </c>
      <c r="S629" s="42">
        <f>S623</f>
        <v>106</v>
      </c>
      <c r="T629" s="28">
        <f>SUM(P629:S629)</f>
        <v>764</v>
      </c>
      <c r="U629" s="26">
        <f>U623</f>
        <v>53</v>
      </c>
      <c r="V629" s="27">
        <f>V623</f>
        <v>58</v>
      </c>
      <c r="W629" s="27">
        <f>W623</f>
        <v>18</v>
      </c>
      <c r="X629" s="42">
        <f>X623</f>
        <v>21</v>
      </c>
      <c r="Y629" s="52">
        <f>SUM(U629:X629)</f>
        <v>150</v>
      </c>
      <c r="Z629" s="28">
        <f>T629+Y629</f>
        <v>914</v>
      </c>
    </row>
    <row r="630" spans="1:27" x14ac:dyDescent="0.15">
      <c r="A630" s="33" t="s">
        <v>38</v>
      </c>
      <c r="B630" s="9"/>
      <c r="C630" s="29">
        <v>1</v>
      </c>
      <c r="D630" s="29">
        <v>1</v>
      </c>
      <c r="E630" s="43"/>
      <c r="F630" s="14">
        <f t="shared" ref="F630:F631" si="512">SUM(B630:E630)</f>
        <v>2</v>
      </c>
      <c r="G630" s="9"/>
      <c r="H630" s="29"/>
      <c r="I630" s="29"/>
      <c r="J630" s="43"/>
      <c r="K630" s="14">
        <f t="shared" ref="K630:K631" si="513">SUM(G630:J630)</f>
        <v>0</v>
      </c>
      <c r="L630" s="125">
        <f t="shared" ref="L630:L631" si="514">F630+K630</f>
        <v>2</v>
      </c>
      <c r="M630" s="7">
        <v>45799</v>
      </c>
      <c r="O630" s="33" t="s">
        <v>10</v>
      </c>
      <c r="P630" s="122"/>
      <c r="Q630" s="119"/>
      <c r="R630" s="119"/>
      <c r="S630" s="120"/>
      <c r="T630" s="14">
        <f t="shared" ref="T630:T633" si="515">SUM(P630:S630)</f>
        <v>0</v>
      </c>
      <c r="U630" s="122"/>
      <c r="V630" s="119"/>
      <c r="W630" s="119"/>
      <c r="X630" s="120"/>
      <c r="Y630" s="14">
        <f t="shared" ref="Y630:Y633" si="516">SUM(U630:X630)</f>
        <v>0</v>
      </c>
      <c r="Z630" s="125">
        <f t="shared" ref="Z630:Z662" si="517">T630+Y630</f>
        <v>0</v>
      </c>
    </row>
    <row r="631" spans="1:27" x14ac:dyDescent="0.15">
      <c r="A631" s="33" t="s">
        <v>38</v>
      </c>
      <c r="B631" s="9"/>
      <c r="C631" s="29"/>
      <c r="D631" s="29">
        <v>1</v>
      </c>
      <c r="E631" s="43"/>
      <c r="F631" s="14">
        <f t="shared" si="512"/>
        <v>1</v>
      </c>
      <c r="G631" s="9"/>
      <c r="H631" s="29"/>
      <c r="I631" s="29"/>
      <c r="J631" s="43"/>
      <c r="K631" s="14">
        <f t="shared" si="513"/>
        <v>0</v>
      </c>
      <c r="L631" s="125">
        <f t="shared" si="514"/>
        <v>1</v>
      </c>
      <c r="M631" s="7">
        <v>45799</v>
      </c>
      <c r="O631" s="33" t="s">
        <v>3</v>
      </c>
      <c r="P631" s="122"/>
      <c r="Q631" s="119"/>
      <c r="R631" s="119"/>
      <c r="S631" s="120"/>
      <c r="T631" s="14">
        <f t="shared" si="515"/>
        <v>0</v>
      </c>
      <c r="U631" s="122"/>
      <c r="V631" s="119"/>
      <c r="W631" s="119"/>
      <c r="X631" s="120"/>
      <c r="Y631" s="14">
        <f t="shared" si="516"/>
        <v>0</v>
      </c>
      <c r="Z631" s="125">
        <f t="shared" si="517"/>
        <v>0</v>
      </c>
    </row>
    <row r="632" spans="1:27" x14ac:dyDescent="0.15">
      <c r="A632" s="33" t="s">
        <v>4</v>
      </c>
      <c r="B632" s="9"/>
      <c r="C632" s="29">
        <v>3</v>
      </c>
      <c r="D632" s="29"/>
      <c r="E632" s="43"/>
      <c r="F632" s="14">
        <f t="shared" ref="F632:F633" si="518">SUM(B632:E632)</f>
        <v>3</v>
      </c>
      <c r="G632" s="9"/>
      <c r="H632" s="29">
        <v>3</v>
      </c>
      <c r="I632" s="29">
        <v>3</v>
      </c>
      <c r="J632" s="43"/>
      <c r="K632" s="14">
        <f t="shared" ref="K632:K633" si="519">SUM(G632:J632)</f>
        <v>6</v>
      </c>
      <c r="L632" s="125">
        <f t="shared" ref="L632:L662" si="520">F632+K632</f>
        <v>9</v>
      </c>
      <c r="M632" s="7">
        <v>45815</v>
      </c>
      <c r="O632" s="33" t="s">
        <v>4</v>
      </c>
      <c r="P632" s="122"/>
      <c r="Q632" s="119"/>
      <c r="R632" s="119"/>
      <c r="S632" s="120"/>
      <c r="T632" s="14">
        <f t="shared" si="515"/>
        <v>0</v>
      </c>
      <c r="U632" s="122"/>
      <c r="V632" s="119"/>
      <c r="W632" s="119"/>
      <c r="X632" s="120"/>
      <c r="Y632" s="14">
        <f t="shared" si="516"/>
        <v>0</v>
      </c>
      <c r="Z632" s="125">
        <f t="shared" si="517"/>
        <v>0</v>
      </c>
    </row>
    <row r="633" spans="1:27" ht="14.25" thickBot="1" x14ac:dyDescent="0.2">
      <c r="A633" s="33" t="s">
        <v>38</v>
      </c>
      <c r="B633" s="135">
        <v>1</v>
      </c>
      <c r="C633" s="136"/>
      <c r="D633" s="136"/>
      <c r="E633" s="137">
        <v>1</v>
      </c>
      <c r="F633" s="59">
        <f t="shared" si="518"/>
        <v>2</v>
      </c>
      <c r="G633" s="135"/>
      <c r="H633" s="136"/>
      <c r="I633" s="136"/>
      <c r="J633" s="137"/>
      <c r="K633" s="59">
        <f t="shared" si="519"/>
        <v>0</v>
      </c>
      <c r="L633" s="138">
        <f t="shared" si="520"/>
        <v>2</v>
      </c>
      <c r="M633" s="7">
        <v>45824</v>
      </c>
      <c r="O633" s="35" t="s">
        <v>5</v>
      </c>
      <c r="P633" s="135"/>
      <c r="Q633" s="136"/>
      <c r="R633" s="136"/>
      <c r="S633" s="137"/>
      <c r="T633" s="59">
        <f t="shared" si="515"/>
        <v>0</v>
      </c>
      <c r="U633" s="135"/>
      <c r="V633" s="136"/>
      <c r="W633" s="136"/>
      <c r="X633" s="137"/>
      <c r="Y633" s="59">
        <f t="shared" si="516"/>
        <v>0</v>
      </c>
      <c r="Z633" s="138">
        <f t="shared" si="517"/>
        <v>0</v>
      </c>
    </row>
    <row r="634" spans="1:27" ht="14.25" thickBot="1" x14ac:dyDescent="0.2">
      <c r="A634" s="2" t="s">
        <v>6</v>
      </c>
      <c r="B634" s="139">
        <f>SUM(B629:B633)</f>
        <v>9</v>
      </c>
      <c r="C634" s="140">
        <f>SUM(C629:C633)</f>
        <v>9</v>
      </c>
      <c r="D634" s="140">
        <f>SUM(D629:D633)</f>
        <v>10</v>
      </c>
      <c r="E634" s="141">
        <f>SUM(E629:E633)</f>
        <v>11</v>
      </c>
      <c r="F634" s="32">
        <f>SUM(B634:E634)</f>
        <v>39</v>
      </c>
      <c r="G634" s="142">
        <f>SUM(G629:G633)</f>
        <v>5</v>
      </c>
      <c r="H634" s="140">
        <f>SUM(H629:H633)</f>
        <v>9</v>
      </c>
      <c r="I634" s="140">
        <f>SUM(I629:I633)</f>
        <v>6</v>
      </c>
      <c r="J634" s="141">
        <f>SUM(J629:J633)</f>
        <v>6</v>
      </c>
      <c r="K634" s="32">
        <f>SUM(G634:J634)</f>
        <v>26</v>
      </c>
      <c r="L634" s="11">
        <f t="shared" si="520"/>
        <v>65</v>
      </c>
      <c r="O634" s="2" t="s">
        <v>6</v>
      </c>
      <c r="P634" s="139">
        <f>SUM(P629:P633)</f>
        <v>271</v>
      </c>
      <c r="Q634" s="140">
        <f>SUM(Q629:Q633)</f>
        <v>230</v>
      </c>
      <c r="R634" s="140">
        <f>SUM(R629:R633)</f>
        <v>157</v>
      </c>
      <c r="S634" s="141">
        <f>SUM(S629:S633)</f>
        <v>106</v>
      </c>
      <c r="T634" s="32">
        <f>SUM(P634:S634)</f>
        <v>764</v>
      </c>
      <c r="U634" s="142">
        <f>SUM(U629:U633)</f>
        <v>53</v>
      </c>
      <c r="V634" s="140">
        <f>SUM(V629:V633)</f>
        <v>58</v>
      </c>
      <c r="W634" s="140">
        <f>SUM(W629:W633)</f>
        <v>18</v>
      </c>
      <c r="X634" s="141">
        <f>SUM(X629:X633)</f>
        <v>21</v>
      </c>
      <c r="Y634" s="32">
        <f>SUM(U634:X634)</f>
        <v>150</v>
      </c>
      <c r="Z634" s="11">
        <f t="shared" si="517"/>
        <v>914</v>
      </c>
    </row>
    <row r="635" spans="1:27" x14ac:dyDescent="0.15">
      <c r="A635" s="38" t="s">
        <v>35</v>
      </c>
      <c r="B635" s="8"/>
      <c r="C635" s="9">
        <v>2</v>
      </c>
      <c r="D635" s="9"/>
      <c r="E635" s="39"/>
      <c r="F635" s="14">
        <f t="shared" ref="F635:F644" si="521">SUM(B635:E635)</f>
        <v>2</v>
      </c>
      <c r="G635" s="9"/>
      <c r="H635" s="9"/>
      <c r="I635" s="9"/>
      <c r="J635" s="39"/>
      <c r="K635" s="14">
        <f t="shared" ref="K635:K644" si="522">SUM(G635:J635)</f>
        <v>0</v>
      </c>
      <c r="L635" s="14">
        <f t="shared" ref="L635:L644" si="523">F635+K635</f>
        <v>2</v>
      </c>
      <c r="M635" s="7">
        <v>45791</v>
      </c>
      <c r="O635" s="35" t="s">
        <v>190</v>
      </c>
      <c r="P635" s="8"/>
      <c r="Q635" s="9">
        <v>1</v>
      </c>
      <c r="R635" s="9">
        <v>1</v>
      </c>
      <c r="S635" s="39"/>
      <c r="T635" s="14">
        <f t="shared" ref="T635:T650" si="524">SUM(P635:S635)</f>
        <v>2</v>
      </c>
      <c r="U635" s="9"/>
      <c r="V635" s="9"/>
      <c r="W635" s="9"/>
      <c r="X635" s="39"/>
      <c r="Y635" s="14">
        <f t="shared" ref="Y635:Y650" si="525">SUM(U635:X635)</f>
        <v>0</v>
      </c>
      <c r="Z635" s="14">
        <f t="shared" ref="Z635:Z650" si="526">T635+Y635</f>
        <v>2</v>
      </c>
      <c r="AA635" s="7">
        <v>45796</v>
      </c>
    </row>
    <row r="636" spans="1:27" x14ac:dyDescent="0.15">
      <c r="A636" s="38" t="s">
        <v>35</v>
      </c>
      <c r="B636" s="8"/>
      <c r="C636" s="9"/>
      <c r="D636" s="9"/>
      <c r="E636" s="39"/>
      <c r="F636" s="14">
        <f t="shared" si="521"/>
        <v>0</v>
      </c>
      <c r="G636" s="9"/>
      <c r="H636" s="9"/>
      <c r="I636" s="9"/>
      <c r="J636" s="39">
        <v>1</v>
      </c>
      <c r="K636" s="14">
        <f t="shared" si="522"/>
        <v>1</v>
      </c>
      <c r="L636" s="14">
        <f t="shared" si="523"/>
        <v>1</v>
      </c>
      <c r="M636" s="7">
        <v>45792</v>
      </c>
      <c r="O636" s="35" t="s">
        <v>191</v>
      </c>
      <c r="P636" s="8">
        <v>2</v>
      </c>
      <c r="Q636" s="9">
        <v>2</v>
      </c>
      <c r="R636" s="9"/>
      <c r="S636" s="39"/>
      <c r="T636" s="14">
        <f t="shared" si="524"/>
        <v>4</v>
      </c>
      <c r="U636" s="9"/>
      <c r="V636" s="9"/>
      <c r="W636" s="9"/>
      <c r="X636" s="39"/>
      <c r="Y636" s="14">
        <f t="shared" si="525"/>
        <v>0</v>
      </c>
      <c r="Z636" s="14">
        <f t="shared" si="526"/>
        <v>4</v>
      </c>
      <c r="AA636" s="7">
        <v>45796</v>
      </c>
    </row>
    <row r="637" spans="1:27" x14ac:dyDescent="0.15">
      <c r="A637" s="38" t="s">
        <v>35</v>
      </c>
      <c r="B637" s="8"/>
      <c r="C637" s="9"/>
      <c r="D637" s="9"/>
      <c r="E637" s="39"/>
      <c r="F637" s="14">
        <f t="shared" si="521"/>
        <v>0</v>
      </c>
      <c r="G637" s="9">
        <v>1</v>
      </c>
      <c r="H637" s="9"/>
      <c r="I637" s="9"/>
      <c r="J637" s="39"/>
      <c r="K637" s="14">
        <f t="shared" si="522"/>
        <v>1</v>
      </c>
      <c r="L637" s="14">
        <f t="shared" si="523"/>
        <v>1</v>
      </c>
      <c r="M637" s="7">
        <v>45796</v>
      </c>
      <c r="O637" s="35" t="s">
        <v>192</v>
      </c>
      <c r="P637" s="8"/>
      <c r="Q637" s="9"/>
      <c r="R637" s="9"/>
      <c r="S637" s="39">
        <v>2</v>
      </c>
      <c r="T637" s="14">
        <f t="shared" si="524"/>
        <v>2</v>
      </c>
      <c r="U637" s="9"/>
      <c r="V637" s="9"/>
      <c r="W637" s="9"/>
      <c r="X637" s="39"/>
      <c r="Y637" s="14">
        <f t="shared" si="525"/>
        <v>0</v>
      </c>
      <c r="Z637" s="14">
        <f t="shared" si="526"/>
        <v>2</v>
      </c>
      <c r="AA637" s="7">
        <v>45796</v>
      </c>
    </row>
    <row r="638" spans="1:27" x14ac:dyDescent="0.15">
      <c r="A638" s="38" t="s">
        <v>35</v>
      </c>
      <c r="B638" s="8"/>
      <c r="C638" s="9"/>
      <c r="D638" s="9">
        <v>1</v>
      </c>
      <c r="E638" s="39"/>
      <c r="F638" s="14">
        <f t="shared" si="521"/>
        <v>1</v>
      </c>
      <c r="G638" s="9"/>
      <c r="H638" s="9"/>
      <c r="I638" s="9"/>
      <c r="J638" s="39"/>
      <c r="K638" s="14">
        <f t="shared" si="522"/>
        <v>0</v>
      </c>
      <c r="L638" s="14">
        <f t="shared" si="523"/>
        <v>1</v>
      </c>
      <c r="M638" s="7">
        <v>45797</v>
      </c>
      <c r="O638" s="35" t="s">
        <v>194</v>
      </c>
      <c r="P638" s="8"/>
      <c r="Q638" s="9"/>
      <c r="R638" s="9">
        <v>2</v>
      </c>
      <c r="S638" s="39"/>
      <c r="T638" s="14">
        <f t="shared" si="524"/>
        <v>2</v>
      </c>
      <c r="U638" s="9"/>
      <c r="V638" s="9"/>
      <c r="W638" s="9"/>
      <c r="X638" s="39"/>
      <c r="Y638" s="14">
        <f t="shared" si="525"/>
        <v>0</v>
      </c>
      <c r="Z638" s="14">
        <f t="shared" si="526"/>
        <v>2</v>
      </c>
      <c r="AA638" s="7">
        <v>45796</v>
      </c>
    </row>
    <row r="639" spans="1:27" x14ac:dyDescent="0.15">
      <c r="A639" s="38" t="s">
        <v>35</v>
      </c>
      <c r="B639" s="8"/>
      <c r="C639" s="9"/>
      <c r="D639" s="9"/>
      <c r="E639" s="39"/>
      <c r="F639" s="14">
        <f t="shared" si="521"/>
        <v>0</v>
      </c>
      <c r="G639" s="9"/>
      <c r="H639" s="9"/>
      <c r="I639" s="9">
        <v>1</v>
      </c>
      <c r="J639" s="39">
        <v>1</v>
      </c>
      <c r="K639" s="14">
        <f t="shared" si="522"/>
        <v>2</v>
      </c>
      <c r="L639" s="14">
        <f t="shared" si="523"/>
        <v>2</v>
      </c>
      <c r="M639" s="7">
        <v>45803</v>
      </c>
      <c r="O639" s="35" t="s">
        <v>193</v>
      </c>
      <c r="P639" s="8"/>
      <c r="Q639" s="9">
        <v>5</v>
      </c>
      <c r="R639" s="9"/>
      <c r="S639" s="39"/>
      <c r="T639" s="14">
        <f t="shared" si="524"/>
        <v>5</v>
      </c>
      <c r="U639" s="9"/>
      <c r="V639" s="9"/>
      <c r="W639" s="9"/>
      <c r="X639" s="39"/>
      <c r="Y639" s="14">
        <f t="shared" si="525"/>
        <v>0</v>
      </c>
      <c r="Z639" s="14">
        <f t="shared" si="526"/>
        <v>5</v>
      </c>
      <c r="AA639" s="7">
        <v>45796</v>
      </c>
    </row>
    <row r="640" spans="1:27" x14ac:dyDescent="0.15">
      <c r="A640" s="33" t="s">
        <v>202</v>
      </c>
      <c r="B640" s="8"/>
      <c r="C640" s="9"/>
      <c r="D640" s="9"/>
      <c r="E640" s="39">
        <v>1</v>
      </c>
      <c r="F640" s="14">
        <f t="shared" si="521"/>
        <v>1</v>
      </c>
      <c r="G640" s="9"/>
      <c r="H640" s="9"/>
      <c r="I640" s="9"/>
      <c r="J640" s="39"/>
      <c r="K640" s="14">
        <f t="shared" si="522"/>
        <v>0</v>
      </c>
      <c r="L640" s="14">
        <f t="shared" si="523"/>
        <v>1</v>
      </c>
      <c r="M640" s="7">
        <v>45804</v>
      </c>
      <c r="O640" s="35" t="s">
        <v>195</v>
      </c>
      <c r="P640" s="8"/>
      <c r="Q640" s="9">
        <v>5</v>
      </c>
      <c r="R640" s="9"/>
      <c r="S640" s="39">
        <v>5</v>
      </c>
      <c r="T640" s="14">
        <f t="shared" si="524"/>
        <v>10</v>
      </c>
      <c r="U640" s="9"/>
      <c r="V640" s="9"/>
      <c r="W640" s="9"/>
      <c r="X640" s="39"/>
      <c r="Y640" s="14">
        <f t="shared" si="525"/>
        <v>0</v>
      </c>
      <c r="Z640" s="14">
        <f t="shared" si="526"/>
        <v>10</v>
      </c>
      <c r="AA640" s="7">
        <v>45797</v>
      </c>
    </row>
    <row r="641" spans="1:27" x14ac:dyDescent="0.15">
      <c r="A641" s="38" t="s">
        <v>35</v>
      </c>
      <c r="B641" s="8"/>
      <c r="C641" s="9"/>
      <c r="D641" s="9"/>
      <c r="E641" s="39"/>
      <c r="F641" s="14">
        <f t="shared" si="521"/>
        <v>0</v>
      </c>
      <c r="G641" s="9"/>
      <c r="H641" s="9">
        <v>1</v>
      </c>
      <c r="I641" s="9"/>
      <c r="J641" s="39"/>
      <c r="K641" s="14">
        <f t="shared" si="522"/>
        <v>1</v>
      </c>
      <c r="L641" s="14">
        <f t="shared" si="523"/>
        <v>1</v>
      </c>
      <c r="M641" s="7">
        <v>45806</v>
      </c>
      <c r="O641" s="35" t="s">
        <v>196</v>
      </c>
      <c r="P641" s="8"/>
      <c r="Q641" s="9">
        <v>5</v>
      </c>
      <c r="R641" s="9"/>
      <c r="S641" s="39"/>
      <c r="T641" s="14">
        <f t="shared" si="524"/>
        <v>5</v>
      </c>
      <c r="U641" s="9"/>
      <c r="V641" s="9"/>
      <c r="W641" s="9"/>
      <c r="X641" s="39"/>
      <c r="Y641" s="14">
        <f t="shared" si="525"/>
        <v>0</v>
      </c>
      <c r="Z641" s="14">
        <f t="shared" si="526"/>
        <v>5</v>
      </c>
      <c r="AA641" s="7">
        <v>45797</v>
      </c>
    </row>
    <row r="642" spans="1:27" x14ac:dyDescent="0.15">
      <c r="A642" s="38" t="s">
        <v>35</v>
      </c>
      <c r="B642" s="8"/>
      <c r="C642" s="9"/>
      <c r="D642" s="9"/>
      <c r="E642" s="39"/>
      <c r="F642" s="14">
        <f t="shared" si="521"/>
        <v>0</v>
      </c>
      <c r="G642" s="9"/>
      <c r="H642" s="9">
        <v>1</v>
      </c>
      <c r="I642" s="9"/>
      <c r="J642" s="39"/>
      <c r="K642" s="14">
        <f t="shared" si="522"/>
        <v>1</v>
      </c>
      <c r="L642" s="14">
        <f t="shared" si="523"/>
        <v>1</v>
      </c>
      <c r="M642" s="7">
        <v>45810</v>
      </c>
      <c r="O642" s="35" t="s">
        <v>197</v>
      </c>
      <c r="P642" s="8">
        <v>1</v>
      </c>
      <c r="Q642" s="9"/>
      <c r="R642" s="9"/>
      <c r="S642" s="39"/>
      <c r="T642" s="14">
        <f t="shared" si="524"/>
        <v>1</v>
      </c>
      <c r="U642" s="9"/>
      <c r="V642" s="9"/>
      <c r="W642" s="9"/>
      <c r="X642" s="39"/>
      <c r="Y642" s="14">
        <f t="shared" si="525"/>
        <v>0</v>
      </c>
      <c r="Z642" s="14">
        <f t="shared" si="526"/>
        <v>1</v>
      </c>
      <c r="AA642" s="7">
        <v>45800</v>
      </c>
    </row>
    <row r="643" spans="1:27" x14ac:dyDescent="0.15">
      <c r="A643" s="38" t="s">
        <v>35</v>
      </c>
      <c r="B643" s="8"/>
      <c r="C643" s="9"/>
      <c r="D643" s="9"/>
      <c r="E643" s="39"/>
      <c r="F643" s="14">
        <f t="shared" si="521"/>
        <v>0</v>
      </c>
      <c r="G643" s="9"/>
      <c r="H643" s="9">
        <v>1</v>
      </c>
      <c r="I643" s="9"/>
      <c r="J643" s="39"/>
      <c r="K643" s="14">
        <f t="shared" si="522"/>
        <v>1</v>
      </c>
      <c r="L643" s="14">
        <f t="shared" si="523"/>
        <v>1</v>
      </c>
      <c r="M643" s="7">
        <v>45812</v>
      </c>
      <c r="O643" s="35" t="s">
        <v>198</v>
      </c>
      <c r="P643" s="8"/>
      <c r="Q643" s="9">
        <v>1</v>
      </c>
      <c r="R643" s="9"/>
      <c r="S643" s="39"/>
      <c r="T643" s="14">
        <f t="shared" si="524"/>
        <v>1</v>
      </c>
      <c r="U643" s="9"/>
      <c r="V643" s="9"/>
      <c r="W643" s="9"/>
      <c r="X643" s="39"/>
      <c r="Y643" s="14">
        <f t="shared" si="525"/>
        <v>0</v>
      </c>
      <c r="Z643" s="14">
        <f t="shared" si="526"/>
        <v>1</v>
      </c>
      <c r="AA643" s="7">
        <v>45800</v>
      </c>
    </row>
    <row r="644" spans="1:27" x14ac:dyDescent="0.15">
      <c r="A644" s="38" t="s">
        <v>35</v>
      </c>
      <c r="B644" s="8"/>
      <c r="C644" s="9">
        <v>1</v>
      </c>
      <c r="D644" s="9"/>
      <c r="E644" s="39">
        <v>1</v>
      </c>
      <c r="F644" s="14">
        <f t="shared" si="521"/>
        <v>2</v>
      </c>
      <c r="G644" s="9"/>
      <c r="H644" s="9"/>
      <c r="I644" s="9"/>
      <c r="J644" s="39"/>
      <c r="K644" s="14">
        <f t="shared" si="522"/>
        <v>0</v>
      </c>
      <c r="L644" s="14">
        <f t="shared" si="523"/>
        <v>2</v>
      </c>
      <c r="M644" s="7">
        <v>45813</v>
      </c>
      <c r="O644" s="35" t="s">
        <v>199</v>
      </c>
      <c r="P644" s="8">
        <v>4</v>
      </c>
      <c r="Q644" s="9"/>
      <c r="R644" s="9"/>
      <c r="S644" s="39"/>
      <c r="T644" s="14">
        <f t="shared" si="524"/>
        <v>4</v>
      </c>
      <c r="U644" s="9"/>
      <c r="V644" s="9"/>
      <c r="W644" s="9"/>
      <c r="X644" s="39"/>
      <c r="Y644" s="14">
        <f t="shared" si="525"/>
        <v>0</v>
      </c>
      <c r="Z644" s="14">
        <f t="shared" si="526"/>
        <v>4</v>
      </c>
      <c r="AA644" s="7">
        <v>45803</v>
      </c>
    </row>
    <row r="645" spans="1:27" x14ac:dyDescent="0.15">
      <c r="A645" s="38" t="s">
        <v>35</v>
      </c>
      <c r="B645" s="8"/>
      <c r="C645" s="9"/>
      <c r="D645" s="9">
        <v>1</v>
      </c>
      <c r="E645" s="39"/>
      <c r="F645" s="14">
        <f t="shared" ref="F645:F662" si="527">SUM(B645:E645)</f>
        <v>1</v>
      </c>
      <c r="G645" s="9"/>
      <c r="H645" s="9">
        <v>1</v>
      </c>
      <c r="I645" s="9"/>
      <c r="J645" s="39"/>
      <c r="K645" s="14">
        <f t="shared" ref="K645:K662" si="528">SUM(G645:J645)</f>
        <v>1</v>
      </c>
      <c r="L645" s="14">
        <f t="shared" si="520"/>
        <v>2</v>
      </c>
      <c r="M645" s="7">
        <v>45817</v>
      </c>
      <c r="O645" s="35" t="s">
        <v>200</v>
      </c>
      <c r="P645" s="8">
        <v>4</v>
      </c>
      <c r="Q645" s="9"/>
      <c r="R645" s="9">
        <v>2</v>
      </c>
      <c r="S645" s="39"/>
      <c r="T645" s="14">
        <f t="shared" si="524"/>
        <v>6</v>
      </c>
      <c r="U645" s="9"/>
      <c r="V645" s="9"/>
      <c r="W645" s="9"/>
      <c r="X645" s="39"/>
      <c r="Y645" s="14">
        <f t="shared" si="525"/>
        <v>0</v>
      </c>
      <c r="Z645" s="14">
        <f t="shared" si="526"/>
        <v>6</v>
      </c>
      <c r="AA645" s="7">
        <v>45806</v>
      </c>
    </row>
    <row r="646" spans="1:27" x14ac:dyDescent="0.15">
      <c r="A646" s="38" t="s">
        <v>35</v>
      </c>
      <c r="B646" s="8"/>
      <c r="C646" s="9"/>
      <c r="D646" s="9"/>
      <c r="E646" s="39"/>
      <c r="F646" s="14">
        <f t="shared" si="527"/>
        <v>0</v>
      </c>
      <c r="G646" s="9">
        <v>1</v>
      </c>
      <c r="H646" s="9">
        <f>1-1</f>
        <v>0</v>
      </c>
      <c r="I646" s="9"/>
      <c r="J646" s="39"/>
      <c r="K646" s="14">
        <f t="shared" si="528"/>
        <v>1</v>
      </c>
      <c r="L646" s="14">
        <f t="shared" si="520"/>
        <v>1</v>
      </c>
      <c r="M646" s="7">
        <v>45818</v>
      </c>
      <c r="O646" s="35" t="s">
        <v>201</v>
      </c>
      <c r="P646" s="8">
        <v>2</v>
      </c>
      <c r="Q646" s="9">
        <v>2</v>
      </c>
      <c r="R646" s="9"/>
      <c r="S646" s="39">
        <v>6</v>
      </c>
      <c r="T646" s="14">
        <f t="shared" si="524"/>
        <v>10</v>
      </c>
      <c r="U646" s="9"/>
      <c r="V646" s="9"/>
      <c r="W646" s="9"/>
      <c r="X646" s="39"/>
      <c r="Y646" s="14">
        <f t="shared" si="525"/>
        <v>0</v>
      </c>
      <c r="Z646" s="14">
        <f t="shared" si="526"/>
        <v>10</v>
      </c>
      <c r="AA646" s="7">
        <v>45806</v>
      </c>
    </row>
    <row r="647" spans="1:27" x14ac:dyDescent="0.15">
      <c r="A647" s="38" t="s">
        <v>35</v>
      </c>
      <c r="B647" s="8"/>
      <c r="C647" s="9"/>
      <c r="D647" s="9"/>
      <c r="E647" s="39"/>
      <c r="F647" s="14">
        <f t="shared" si="527"/>
        <v>0</v>
      </c>
      <c r="G647" s="9"/>
      <c r="H647" s="9"/>
      <c r="I647" s="9">
        <v>1</v>
      </c>
      <c r="J647" s="39"/>
      <c r="K647" s="14">
        <f t="shared" si="528"/>
        <v>1</v>
      </c>
      <c r="L647" s="14">
        <f t="shared" si="520"/>
        <v>1</v>
      </c>
      <c r="M647" s="7">
        <v>45819</v>
      </c>
      <c r="O647" s="35" t="s">
        <v>203</v>
      </c>
      <c r="P647" s="8"/>
      <c r="Q647" s="9"/>
      <c r="R647" s="9">
        <v>2</v>
      </c>
      <c r="S647" s="39"/>
      <c r="T647" s="14">
        <f t="shared" si="524"/>
        <v>2</v>
      </c>
      <c r="U647" s="9"/>
      <c r="V647" s="9"/>
      <c r="W647" s="9"/>
      <c r="X647" s="39"/>
      <c r="Y647" s="14">
        <f t="shared" si="525"/>
        <v>0</v>
      </c>
      <c r="Z647" s="14">
        <f t="shared" si="526"/>
        <v>2</v>
      </c>
      <c r="AA647" s="7">
        <v>45811</v>
      </c>
    </row>
    <row r="648" spans="1:27" x14ac:dyDescent="0.15">
      <c r="A648" s="38" t="s">
        <v>35</v>
      </c>
      <c r="B648" s="8"/>
      <c r="C648" s="9"/>
      <c r="D648" s="9"/>
      <c r="E648" s="39"/>
      <c r="F648" s="14">
        <f t="shared" si="527"/>
        <v>0</v>
      </c>
      <c r="G648" s="9"/>
      <c r="H648" s="9">
        <v>1</v>
      </c>
      <c r="I648" s="9"/>
      <c r="J648" s="39"/>
      <c r="K648" s="14">
        <f t="shared" si="528"/>
        <v>1</v>
      </c>
      <c r="L648" s="14">
        <f t="shared" si="520"/>
        <v>1</v>
      </c>
      <c r="M648" s="7">
        <v>45828</v>
      </c>
      <c r="O648" s="35" t="s">
        <v>204</v>
      </c>
      <c r="P648" s="8">
        <v>7</v>
      </c>
      <c r="Q648" s="9"/>
      <c r="R648" s="9"/>
      <c r="S648" s="39">
        <v>3</v>
      </c>
      <c r="T648" s="14">
        <f t="shared" si="524"/>
        <v>10</v>
      </c>
      <c r="U648" s="9"/>
      <c r="V648" s="9"/>
      <c r="W648" s="9"/>
      <c r="X648" s="39"/>
      <c r="Y648" s="14">
        <f t="shared" si="525"/>
        <v>0</v>
      </c>
      <c r="Z648" s="14">
        <f t="shared" si="526"/>
        <v>10</v>
      </c>
      <c r="AA648" s="7">
        <v>45813</v>
      </c>
    </row>
    <row r="649" spans="1:27" x14ac:dyDescent="0.15">
      <c r="A649" s="38" t="s">
        <v>35</v>
      </c>
      <c r="B649" s="8">
        <v>1</v>
      </c>
      <c r="C649" s="9"/>
      <c r="D649" s="9"/>
      <c r="E649" s="39"/>
      <c r="F649" s="14">
        <f t="shared" si="527"/>
        <v>1</v>
      </c>
      <c r="G649" s="9"/>
      <c r="H649" s="9"/>
      <c r="I649" s="9"/>
      <c r="J649" s="39"/>
      <c r="K649" s="14">
        <f t="shared" si="528"/>
        <v>0</v>
      </c>
      <c r="L649" s="14">
        <f t="shared" si="520"/>
        <v>1</v>
      </c>
      <c r="M649" s="7">
        <v>45831</v>
      </c>
      <c r="O649" s="35" t="s">
        <v>205</v>
      </c>
      <c r="P649" s="8">
        <v>2</v>
      </c>
      <c r="Q649" s="9">
        <v>3</v>
      </c>
      <c r="R649" s="9"/>
      <c r="S649" s="39"/>
      <c r="T649" s="14">
        <f t="shared" si="524"/>
        <v>5</v>
      </c>
      <c r="U649" s="9"/>
      <c r="V649" s="9"/>
      <c r="W649" s="9"/>
      <c r="X649" s="39"/>
      <c r="Y649" s="14">
        <f t="shared" si="525"/>
        <v>0</v>
      </c>
      <c r="Z649" s="14">
        <f t="shared" si="526"/>
        <v>5</v>
      </c>
      <c r="AA649" s="7">
        <v>45817</v>
      </c>
    </row>
    <row r="650" spans="1:27" x14ac:dyDescent="0.15">
      <c r="A650" s="38" t="s">
        <v>35</v>
      </c>
      <c r="B650" s="8"/>
      <c r="C650" s="9"/>
      <c r="D650" s="9"/>
      <c r="E650" s="39"/>
      <c r="F650" s="14">
        <f t="shared" si="527"/>
        <v>0</v>
      </c>
      <c r="G650" s="9">
        <v>1</v>
      </c>
      <c r="H650" s="9"/>
      <c r="I650" s="9"/>
      <c r="J650" s="39"/>
      <c r="K650" s="14">
        <f t="shared" si="528"/>
        <v>1</v>
      </c>
      <c r="L650" s="14">
        <f t="shared" si="520"/>
        <v>1</v>
      </c>
      <c r="M650" s="7">
        <v>45833</v>
      </c>
      <c r="O650" s="35" t="s">
        <v>31</v>
      </c>
      <c r="P650" s="8"/>
      <c r="Q650" s="9">
        <v>3</v>
      </c>
      <c r="R650" s="9"/>
      <c r="S650" s="39"/>
      <c r="T650" s="14">
        <f t="shared" si="524"/>
        <v>3</v>
      </c>
      <c r="U650" s="9"/>
      <c r="V650" s="9">
        <v>3</v>
      </c>
      <c r="W650" s="9">
        <v>3</v>
      </c>
      <c r="X650" s="39"/>
      <c r="Y650" s="14">
        <f t="shared" si="525"/>
        <v>6</v>
      </c>
      <c r="Z650" s="14">
        <f t="shared" si="526"/>
        <v>9</v>
      </c>
      <c r="AA650" s="7">
        <v>45815</v>
      </c>
    </row>
    <row r="651" spans="1:27" x14ac:dyDescent="0.15">
      <c r="A651" s="38" t="s">
        <v>35</v>
      </c>
      <c r="B651" s="8"/>
      <c r="C651" s="9">
        <v>1</v>
      </c>
      <c r="D651" s="9"/>
      <c r="E651" s="39"/>
      <c r="F651" s="14">
        <f t="shared" si="527"/>
        <v>1</v>
      </c>
      <c r="G651" s="9"/>
      <c r="H651" s="9"/>
      <c r="I651" s="9">
        <v>1</v>
      </c>
      <c r="J651" s="39"/>
      <c r="K651" s="14">
        <f t="shared" si="528"/>
        <v>1</v>
      </c>
      <c r="L651" s="14">
        <f t="shared" si="520"/>
        <v>2</v>
      </c>
      <c r="M651" s="7">
        <v>45834</v>
      </c>
      <c r="O651" s="35" t="s">
        <v>206</v>
      </c>
      <c r="P651" s="8"/>
      <c r="Q651" s="9">
        <v>5</v>
      </c>
      <c r="R651" s="9"/>
      <c r="S651" s="39"/>
      <c r="T651" s="14">
        <f t="shared" ref="T651:T662" si="529">SUM(P651:S651)</f>
        <v>5</v>
      </c>
      <c r="U651" s="9"/>
      <c r="V651" s="9"/>
      <c r="W651" s="9"/>
      <c r="X651" s="39"/>
      <c r="Y651" s="14">
        <f t="shared" ref="Y651:Y662" si="530">SUM(U651:X651)</f>
        <v>0</v>
      </c>
      <c r="Z651" s="14">
        <f t="shared" si="517"/>
        <v>5</v>
      </c>
      <c r="AA651" s="7">
        <v>45827</v>
      </c>
    </row>
    <row r="652" spans="1:27" x14ac:dyDescent="0.15">
      <c r="A652" s="33" t="s">
        <v>212</v>
      </c>
      <c r="B652" s="8"/>
      <c r="C652" s="9"/>
      <c r="D652" s="9"/>
      <c r="E652" s="39"/>
      <c r="F652" s="14">
        <f t="shared" si="527"/>
        <v>0</v>
      </c>
      <c r="G652" s="9">
        <v>-3</v>
      </c>
      <c r="H652" s="9"/>
      <c r="I652" s="9">
        <v>-3</v>
      </c>
      <c r="J652" s="39"/>
      <c r="K652" s="14">
        <f t="shared" si="528"/>
        <v>-6</v>
      </c>
      <c r="L652" s="14">
        <f t="shared" si="520"/>
        <v>-6</v>
      </c>
      <c r="M652" s="7">
        <v>45835</v>
      </c>
      <c r="O652" s="35" t="s">
        <v>207</v>
      </c>
      <c r="P652" s="8"/>
      <c r="Q652" s="9">
        <v>3</v>
      </c>
      <c r="R652" s="9"/>
      <c r="S652" s="39"/>
      <c r="T652" s="14">
        <f t="shared" si="529"/>
        <v>3</v>
      </c>
      <c r="U652" s="9"/>
      <c r="V652" s="9"/>
      <c r="W652" s="9"/>
      <c r="X652" s="39"/>
      <c r="Y652" s="14">
        <f t="shared" si="530"/>
        <v>0</v>
      </c>
      <c r="Z652" s="14">
        <f t="shared" si="517"/>
        <v>3</v>
      </c>
      <c r="AA652" s="7">
        <v>45832</v>
      </c>
    </row>
    <row r="653" spans="1:27" x14ac:dyDescent="0.15">
      <c r="A653" s="38" t="s">
        <v>35</v>
      </c>
      <c r="B653" s="8"/>
      <c r="C653" s="9">
        <v>1</v>
      </c>
      <c r="D653" s="9"/>
      <c r="E653" s="39"/>
      <c r="F653" s="14">
        <f t="shared" si="527"/>
        <v>1</v>
      </c>
      <c r="G653" s="9"/>
      <c r="H653" s="9"/>
      <c r="I653" s="9"/>
      <c r="J653" s="39">
        <v>1</v>
      </c>
      <c r="K653" s="14">
        <f t="shared" si="528"/>
        <v>1</v>
      </c>
      <c r="L653" s="14">
        <f t="shared" si="520"/>
        <v>2</v>
      </c>
      <c r="M653" s="7">
        <v>45838</v>
      </c>
      <c r="O653" s="35" t="s">
        <v>208</v>
      </c>
      <c r="P653" s="8"/>
      <c r="Q653" s="9">
        <v>2</v>
      </c>
      <c r="R653" s="9"/>
      <c r="S653" s="39"/>
      <c r="T653" s="14">
        <f t="shared" ref="T653:T655" si="531">SUM(P653:S653)</f>
        <v>2</v>
      </c>
      <c r="U653" s="9"/>
      <c r="V653" s="9"/>
      <c r="W653" s="9"/>
      <c r="X653" s="39"/>
      <c r="Y653" s="14">
        <f t="shared" ref="Y653:Y655" si="532">SUM(U653:X653)</f>
        <v>0</v>
      </c>
      <c r="Z653" s="14">
        <f t="shared" ref="Z653:Z655" si="533">T653+Y653</f>
        <v>2</v>
      </c>
      <c r="AA653" s="7">
        <v>45832</v>
      </c>
    </row>
    <row r="654" spans="1:27" x14ac:dyDescent="0.15">
      <c r="A654" s="38" t="s">
        <v>35</v>
      </c>
      <c r="B654" s="8">
        <v>1</v>
      </c>
      <c r="C654" s="9"/>
      <c r="D654" s="9"/>
      <c r="E654" s="39"/>
      <c r="F654" s="14">
        <f t="shared" si="527"/>
        <v>1</v>
      </c>
      <c r="G654" s="9"/>
      <c r="H654" s="9"/>
      <c r="I654" s="9"/>
      <c r="J654" s="39">
        <v>1</v>
      </c>
      <c r="K654" s="14">
        <f t="shared" si="528"/>
        <v>1</v>
      </c>
      <c r="L654" s="14">
        <f t="shared" si="520"/>
        <v>2</v>
      </c>
      <c r="M654" s="7">
        <v>45839</v>
      </c>
      <c r="O654" s="35" t="s">
        <v>209</v>
      </c>
      <c r="P654" s="8"/>
      <c r="Q654" s="9"/>
      <c r="R654" s="9">
        <v>8</v>
      </c>
      <c r="S654" s="39"/>
      <c r="T654" s="14">
        <f t="shared" si="531"/>
        <v>8</v>
      </c>
      <c r="U654" s="9"/>
      <c r="V654" s="9"/>
      <c r="W654" s="9"/>
      <c r="X654" s="39"/>
      <c r="Y654" s="14">
        <f t="shared" si="532"/>
        <v>0</v>
      </c>
      <c r="Z654" s="14">
        <f t="shared" si="533"/>
        <v>8</v>
      </c>
      <c r="AA654" s="7">
        <v>45835</v>
      </c>
    </row>
    <row r="655" spans="1:27" x14ac:dyDescent="0.15">
      <c r="A655" s="33" t="s">
        <v>51</v>
      </c>
      <c r="B655" s="8"/>
      <c r="C655" s="9"/>
      <c r="D655" s="9"/>
      <c r="E655" s="39">
        <v>1</v>
      </c>
      <c r="F655" s="14">
        <f t="shared" si="527"/>
        <v>1</v>
      </c>
      <c r="G655" s="9"/>
      <c r="H655" s="9"/>
      <c r="I655" s="9"/>
      <c r="J655" s="39"/>
      <c r="K655" s="14">
        <f t="shared" si="528"/>
        <v>0</v>
      </c>
      <c r="L655" s="14">
        <f t="shared" si="520"/>
        <v>1</v>
      </c>
      <c r="M655" s="7">
        <v>45840</v>
      </c>
      <c r="O655" s="35" t="s">
        <v>210</v>
      </c>
      <c r="P655" s="8"/>
      <c r="Q655" s="9"/>
      <c r="R655" s="9">
        <v>3</v>
      </c>
      <c r="S655" s="39"/>
      <c r="T655" s="14">
        <f t="shared" si="531"/>
        <v>3</v>
      </c>
      <c r="U655" s="9"/>
      <c r="V655" s="9"/>
      <c r="W655" s="9"/>
      <c r="X655" s="39"/>
      <c r="Y655" s="14">
        <f t="shared" si="532"/>
        <v>0</v>
      </c>
      <c r="Z655" s="14">
        <f t="shared" si="533"/>
        <v>3</v>
      </c>
      <c r="AA655" s="7">
        <v>45838</v>
      </c>
    </row>
    <row r="656" spans="1:27" x14ac:dyDescent="0.15">
      <c r="A656" s="38" t="s">
        <v>35</v>
      </c>
      <c r="B656" s="8"/>
      <c r="C656" s="9"/>
      <c r="D656" s="9">
        <v>1</v>
      </c>
      <c r="E656" s="39"/>
      <c r="F656" s="14">
        <f t="shared" si="527"/>
        <v>1</v>
      </c>
      <c r="G656" s="9"/>
      <c r="H656" s="9"/>
      <c r="I656" s="9"/>
      <c r="J656" s="39"/>
      <c r="K656" s="14">
        <f t="shared" si="528"/>
        <v>0</v>
      </c>
      <c r="L656" s="14">
        <f t="shared" si="520"/>
        <v>1</v>
      </c>
      <c r="M656" s="7">
        <v>45840</v>
      </c>
      <c r="O656" s="35" t="s">
        <v>211</v>
      </c>
      <c r="P656" s="8"/>
      <c r="Q656" s="9"/>
      <c r="R656" s="9">
        <v>3</v>
      </c>
      <c r="S656" s="39"/>
      <c r="T656" s="14">
        <f t="shared" ref="T656:T658" si="534">SUM(P656:S656)</f>
        <v>3</v>
      </c>
      <c r="U656" s="9"/>
      <c r="V656" s="9"/>
      <c r="W656" s="9"/>
      <c r="X656" s="39"/>
      <c r="Y656" s="14">
        <f t="shared" ref="Y656:Y658" si="535">SUM(U656:X656)</f>
        <v>0</v>
      </c>
      <c r="Z656" s="14">
        <f t="shared" ref="Z656:Z658" si="536">T656+Y656</f>
        <v>3</v>
      </c>
      <c r="AA656" s="7">
        <v>45838</v>
      </c>
    </row>
    <row r="657" spans="1:27" x14ac:dyDescent="0.15">
      <c r="A657" s="38" t="s">
        <v>35</v>
      </c>
      <c r="B657" s="8"/>
      <c r="C657" s="9"/>
      <c r="D657" s="9">
        <v>1</v>
      </c>
      <c r="E657" s="39">
        <v>1</v>
      </c>
      <c r="F657" s="14">
        <f t="shared" si="527"/>
        <v>2</v>
      </c>
      <c r="G657" s="9"/>
      <c r="H657" s="9"/>
      <c r="I657" s="9"/>
      <c r="J657" s="39"/>
      <c r="K657" s="14">
        <f t="shared" si="528"/>
        <v>0</v>
      </c>
      <c r="L657" s="14">
        <f t="shared" si="520"/>
        <v>2</v>
      </c>
      <c r="M657" s="7">
        <v>45843</v>
      </c>
      <c r="O657" s="35" t="s">
        <v>31</v>
      </c>
      <c r="P657" s="8"/>
      <c r="Q657" s="9"/>
      <c r="R657" s="9"/>
      <c r="S657" s="39"/>
      <c r="T657" s="14">
        <f t="shared" si="534"/>
        <v>0</v>
      </c>
      <c r="U657" s="9">
        <v>3</v>
      </c>
      <c r="V657" s="9"/>
      <c r="W657" s="9">
        <v>3</v>
      </c>
      <c r="X657" s="39"/>
      <c r="Y657" s="14">
        <f t="shared" si="535"/>
        <v>6</v>
      </c>
      <c r="Z657" s="14">
        <f t="shared" si="536"/>
        <v>6</v>
      </c>
      <c r="AA657" s="7">
        <v>45835</v>
      </c>
    </row>
    <row r="658" spans="1:27" x14ac:dyDescent="0.15">
      <c r="A658" s="33"/>
      <c r="B658" s="8"/>
      <c r="C658" s="9"/>
      <c r="D658" s="9"/>
      <c r="E658" s="39"/>
      <c r="F658" s="14">
        <f t="shared" ref="F658" si="537">SUM(B658:E658)</f>
        <v>0</v>
      </c>
      <c r="G658" s="9"/>
      <c r="H658" s="9"/>
      <c r="I658" s="9"/>
      <c r="J658" s="39"/>
      <c r="K658" s="14">
        <f t="shared" ref="K658" si="538">SUM(G658:J658)</f>
        <v>0</v>
      </c>
      <c r="L658" s="14">
        <f t="shared" ref="L658" si="539">F658+K658</f>
        <v>0</v>
      </c>
      <c r="O658" s="35"/>
      <c r="P658" s="8"/>
      <c r="Q658" s="9"/>
      <c r="R658" s="9"/>
      <c r="S658" s="39"/>
      <c r="T658" s="14">
        <f t="shared" si="534"/>
        <v>0</v>
      </c>
      <c r="U658" s="9"/>
      <c r="V658" s="9"/>
      <c r="W658" s="9"/>
      <c r="X658" s="39"/>
      <c r="Y658" s="14">
        <f t="shared" si="535"/>
        <v>0</v>
      </c>
      <c r="Z658" s="14">
        <f t="shared" si="536"/>
        <v>0</v>
      </c>
    </row>
    <row r="659" spans="1:27" x14ac:dyDescent="0.15">
      <c r="A659" s="33"/>
      <c r="B659" s="8"/>
      <c r="C659" s="9"/>
      <c r="D659" s="9"/>
      <c r="E659" s="39"/>
      <c r="F659" s="14">
        <f t="shared" si="527"/>
        <v>0</v>
      </c>
      <c r="G659" s="9"/>
      <c r="H659" s="9"/>
      <c r="I659" s="9"/>
      <c r="J659" s="39"/>
      <c r="K659" s="14">
        <f t="shared" si="528"/>
        <v>0</v>
      </c>
      <c r="L659" s="14">
        <f t="shared" si="520"/>
        <v>0</v>
      </c>
      <c r="O659" s="35" t="s">
        <v>163</v>
      </c>
      <c r="P659" s="8"/>
      <c r="Q659" s="9"/>
      <c r="R659" s="9"/>
      <c r="S659" s="39"/>
      <c r="T659" s="14">
        <f t="shared" ref="T659:T660" si="540">SUM(P659:S659)</f>
        <v>0</v>
      </c>
      <c r="U659" s="131"/>
      <c r="V659" s="131"/>
      <c r="W659" s="131"/>
      <c r="X659" s="132"/>
      <c r="Y659" s="14">
        <f t="shared" ref="Y659:Y660" si="541">SUM(U659:X659)</f>
        <v>0</v>
      </c>
      <c r="Z659" s="14">
        <f t="shared" ref="Z659:Z660" si="542">T659+Y659</f>
        <v>0</v>
      </c>
    </row>
    <row r="660" spans="1:27" ht="14.25" thickBot="1" x14ac:dyDescent="0.2">
      <c r="A660" s="33"/>
      <c r="B660" s="8"/>
      <c r="C660" s="9"/>
      <c r="D660" s="9"/>
      <c r="E660" s="39"/>
      <c r="F660" s="14">
        <f t="shared" si="527"/>
        <v>0</v>
      </c>
      <c r="G660" s="9"/>
      <c r="H660" s="9"/>
      <c r="I660" s="9"/>
      <c r="J660" s="39"/>
      <c r="K660" s="14">
        <f t="shared" si="528"/>
        <v>0</v>
      </c>
      <c r="L660" s="14">
        <f t="shared" si="520"/>
        <v>0</v>
      </c>
      <c r="O660" s="35" t="s">
        <v>159</v>
      </c>
      <c r="P660" s="8"/>
      <c r="Q660" s="9"/>
      <c r="R660" s="9"/>
      <c r="S660" s="39"/>
      <c r="T660" s="14">
        <f t="shared" si="540"/>
        <v>0</v>
      </c>
      <c r="U660" s="131"/>
      <c r="V660" s="131"/>
      <c r="W660" s="131"/>
      <c r="X660" s="132"/>
      <c r="Y660" s="14">
        <f t="shared" si="541"/>
        <v>0</v>
      </c>
      <c r="Z660" s="14">
        <f t="shared" si="542"/>
        <v>0</v>
      </c>
    </row>
    <row r="661" spans="1:27" ht="14.25" thickBot="1" x14ac:dyDescent="0.2">
      <c r="A661" s="3" t="s">
        <v>7</v>
      </c>
      <c r="B661" s="17">
        <f t="shared" ref="B661:E661" si="543">SUM(B635:B660)</f>
        <v>2</v>
      </c>
      <c r="C661" s="18">
        <f t="shared" si="543"/>
        <v>5</v>
      </c>
      <c r="D661" s="18">
        <f t="shared" si="543"/>
        <v>4</v>
      </c>
      <c r="E661" s="40">
        <f t="shared" si="543"/>
        <v>4</v>
      </c>
      <c r="F661" s="11">
        <f t="shared" si="527"/>
        <v>15</v>
      </c>
      <c r="G661" s="17">
        <f t="shared" ref="G661:J661" si="544">SUM(G635:G660)</f>
        <v>0</v>
      </c>
      <c r="H661" s="18">
        <f t="shared" si="544"/>
        <v>5</v>
      </c>
      <c r="I661" s="18">
        <f t="shared" si="544"/>
        <v>0</v>
      </c>
      <c r="J661" s="40">
        <f t="shared" si="544"/>
        <v>4</v>
      </c>
      <c r="K661" s="11">
        <f t="shared" si="528"/>
        <v>9</v>
      </c>
      <c r="L661" s="11">
        <f t="shared" si="520"/>
        <v>24</v>
      </c>
      <c r="O661" s="3" t="s">
        <v>7</v>
      </c>
      <c r="P661" s="17">
        <f t="shared" ref="P661:S661" si="545">SUM(P635:P660)</f>
        <v>22</v>
      </c>
      <c r="Q661" s="18">
        <f t="shared" si="545"/>
        <v>37</v>
      </c>
      <c r="R661" s="18">
        <f t="shared" si="545"/>
        <v>21</v>
      </c>
      <c r="S661" s="40">
        <f t="shared" si="545"/>
        <v>16</v>
      </c>
      <c r="T661" s="11">
        <f t="shared" si="529"/>
        <v>96</v>
      </c>
      <c r="U661" s="17">
        <f t="shared" ref="U661:X661" si="546">SUM(U635:U660)</f>
        <v>3</v>
      </c>
      <c r="V661" s="18">
        <f t="shared" si="546"/>
        <v>3</v>
      </c>
      <c r="W661" s="18">
        <f t="shared" si="546"/>
        <v>6</v>
      </c>
      <c r="X661" s="40">
        <f t="shared" si="546"/>
        <v>0</v>
      </c>
      <c r="Y661" s="11">
        <f t="shared" si="530"/>
        <v>12</v>
      </c>
      <c r="Z661" s="11">
        <f t="shared" si="517"/>
        <v>108</v>
      </c>
    </row>
    <row r="662" spans="1:27" ht="14.25" thickBot="1" x14ac:dyDescent="0.2">
      <c r="A662" s="19" t="s">
        <v>8</v>
      </c>
      <c r="B662" s="20">
        <f t="shared" ref="B662:E662" si="547">B634-B661</f>
        <v>7</v>
      </c>
      <c r="C662" s="21">
        <f t="shared" si="547"/>
        <v>4</v>
      </c>
      <c r="D662" s="21">
        <f t="shared" si="547"/>
        <v>6</v>
      </c>
      <c r="E662" s="22">
        <f t="shared" si="547"/>
        <v>7</v>
      </c>
      <c r="F662" s="11">
        <f t="shared" si="527"/>
        <v>24</v>
      </c>
      <c r="G662" s="20">
        <f t="shared" ref="G662:J662" si="548">G634-G661</f>
        <v>5</v>
      </c>
      <c r="H662" s="21">
        <f t="shared" si="548"/>
        <v>4</v>
      </c>
      <c r="I662" s="21">
        <f t="shared" si="548"/>
        <v>6</v>
      </c>
      <c r="J662" s="51">
        <f t="shared" si="548"/>
        <v>2</v>
      </c>
      <c r="K662" s="11">
        <f t="shared" si="528"/>
        <v>17</v>
      </c>
      <c r="L662" s="53">
        <f t="shared" si="520"/>
        <v>41</v>
      </c>
      <c r="O662" s="19" t="s">
        <v>8</v>
      </c>
      <c r="P662" s="20">
        <f t="shared" ref="P662:S662" si="549">P634-P661</f>
        <v>249</v>
      </c>
      <c r="Q662" s="21">
        <f t="shared" si="549"/>
        <v>193</v>
      </c>
      <c r="R662" s="21">
        <f t="shared" si="549"/>
        <v>136</v>
      </c>
      <c r="S662" s="22">
        <f t="shared" si="549"/>
        <v>90</v>
      </c>
      <c r="T662" s="11">
        <f t="shared" si="529"/>
        <v>668</v>
      </c>
      <c r="U662" s="20">
        <f t="shared" ref="U662:X662" si="550">U634-U661</f>
        <v>50</v>
      </c>
      <c r="V662" s="21">
        <f t="shared" si="550"/>
        <v>55</v>
      </c>
      <c r="W662" s="21">
        <f t="shared" si="550"/>
        <v>12</v>
      </c>
      <c r="X662" s="51">
        <f t="shared" si="550"/>
        <v>21</v>
      </c>
      <c r="Y662" s="11">
        <f t="shared" si="530"/>
        <v>138</v>
      </c>
      <c r="Z662" s="53">
        <f t="shared" si="517"/>
        <v>806</v>
      </c>
    </row>
    <row r="665" spans="1:27" ht="19.5" thickBot="1" x14ac:dyDescent="0.25">
      <c r="A665" s="1" t="s">
        <v>19</v>
      </c>
      <c r="C665" s="164" t="s">
        <v>20</v>
      </c>
      <c r="D665" s="164"/>
      <c r="O665" s="1" t="s">
        <v>21</v>
      </c>
      <c r="S665" s="164" t="s">
        <v>20</v>
      </c>
      <c r="T665" s="164"/>
    </row>
    <row r="666" spans="1:27" ht="14.25" thickBot="1" x14ac:dyDescent="0.2">
      <c r="A666" s="3" t="s">
        <v>0</v>
      </c>
      <c r="B666" s="165" t="s">
        <v>15</v>
      </c>
      <c r="C666" s="166"/>
      <c r="D666" s="166"/>
      <c r="E666" s="166"/>
      <c r="F666" s="167"/>
      <c r="G666" s="168" t="s">
        <v>18</v>
      </c>
      <c r="H666" s="169"/>
      <c r="I666" s="169"/>
      <c r="J666" s="169"/>
      <c r="K666" s="170"/>
      <c r="L666" s="47"/>
      <c r="O666" s="3" t="s">
        <v>0</v>
      </c>
      <c r="P666" s="165" t="s">
        <v>15</v>
      </c>
      <c r="Q666" s="166"/>
      <c r="R666" s="166"/>
      <c r="S666" s="166"/>
      <c r="T666" s="167"/>
      <c r="U666" s="168" t="s">
        <v>18</v>
      </c>
      <c r="V666" s="169"/>
      <c r="W666" s="169"/>
      <c r="X666" s="169"/>
      <c r="Y666" s="170"/>
      <c r="Z666" s="47"/>
    </row>
    <row r="667" spans="1:27" ht="14.25" thickBot="1" x14ac:dyDescent="0.2">
      <c r="A667" s="3" t="s">
        <v>1</v>
      </c>
      <c r="B667" s="23" t="s">
        <v>11</v>
      </c>
      <c r="C667" s="24" t="s">
        <v>12</v>
      </c>
      <c r="D667" s="24" t="s">
        <v>13</v>
      </c>
      <c r="E667" s="25" t="s">
        <v>14</v>
      </c>
      <c r="F667" s="48" t="s">
        <v>2</v>
      </c>
      <c r="G667" s="23" t="s">
        <v>11</v>
      </c>
      <c r="H667" s="24" t="s">
        <v>12</v>
      </c>
      <c r="I667" s="24" t="s">
        <v>13</v>
      </c>
      <c r="J667" s="25" t="s">
        <v>14</v>
      </c>
      <c r="K667" s="48" t="s">
        <v>2</v>
      </c>
      <c r="L667" s="48" t="s">
        <v>17</v>
      </c>
      <c r="O667" s="3" t="s">
        <v>1</v>
      </c>
      <c r="P667" s="23" t="s">
        <v>11</v>
      </c>
      <c r="Q667" s="24" t="s">
        <v>12</v>
      </c>
      <c r="R667" s="24" t="s">
        <v>13</v>
      </c>
      <c r="S667" s="25" t="s">
        <v>14</v>
      </c>
      <c r="T667" s="48" t="s">
        <v>2</v>
      </c>
      <c r="U667" s="23" t="s">
        <v>11</v>
      </c>
      <c r="V667" s="24" t="s">
        <v>12</v>
      </c>
      <c r="W667" s="24" t="s">
        <v>13</v>
      </c>
      <c r="X667" s="25" t="s">
        <v>14</v>
      </c>
      <c r="Y667" s="48" t="s">
        <v>2</v>
      </c>
      <c r="Z667" s="48" t="s">
        <v>17</v>
      </c>
    </row>
    <row r="668" spans="1:27" x14ac:dyDescent="0.15">
      <c r="A668" s="116" t="s">
        <v>9</v>
      </c>
      <c r="B668" s="113">
        <f>B662</f>
        <v>7</v>
      </c>
      <c r="C668" s="27">
        <f>C662</f>
        <v>4</v>
      </c>
      <c r="D668" s="27">
        <f>D662</f>
        <v>6</v>
      </c>
      <c r="E668" s="42">
        <f>E662</f>
        <v>7</v>
      </c>
      <c r="F668" s="28">
        <f>SUM(B668:E668)</f>
        <v>24</v>
      </c>
      <c r="G668" s="113">
        <f>G662</f>
        <v>5</v>
      </c>
      <c r="H668" s="27">
        <f>H662</f>
        <v>4</v>
      </c>
      <c r="I668" s="27">
        <f>I662</f>
        <v>6</v>
      </c>
      <c r="J668" s="42">
        <f>J662</f>
        <v>2</v>
      </c>
      <c r="K668" s="28">
        <f>SUM(G668:J668)</f>
        <v>17</v>
      </c>
      <c r="L668" s="114">
        <f>F668+K668</f>
        <v>41</v>
      </c>
      <c r="O668" s="54" t="s">
        <v>9</v>
      </c>
      <c r="P668" s="26">
        <f>P662</f>
        <v>249</v>
      </c>
      <c r="Q668" s="27">
        <f>Q662</f>
        <v>193</v>
      </c>
      <c r="R668" s="27">
        <f>R662</f>
        <v>136</v>
      </c>
      <c r="S668" s="42">
        <f>S662</f>
        <v>90</v>
      </c>
      <c r="T668" s="28">
        <f>SUM(P668:S668)</f>
        <v>668</v>
      </c>
      <c r="U668" s="26">
        <f>U662</f>
        <v>50</v>
      </c>
      <c r="V668" s="27">
        <f>V662</f>
        <v>55</v>
      </c>
      <c r="W668" s="27">
        <f>W662</f>
        <v>12</v>
      </c>
      <c r="X668" s="42">
        <f>X662</f>
        <v>21</v>
      </c>
      <c r="Y668" s="52">
        <f>SUM(U668:X668)</f>
        <v>138</v>
      </c>
      <c r="Z668" s="28">
        <f>T668+Y668</f>
        <v>806</v>
      </c>
    </row>
    <row r="669" spans="1:27" x14ac:dyDescent="0.15">
      <c r="A669" s="33" t="s">
        <v>10</v>
      </c>
      <c r="B669" s="9"/>
      <c r="C669" s="29">
        <v>3</v>
      </c>
      <c r="D669" s="29"/>
      <c r="E669" s="43"/>
      <c r="F669" s="14">
        <f t="shared" ref="F669:F672" si="551">SUM(B669:E669)</f>
        <v>3</v>
      </c>
      <c r="G669" s="9"/>
      <c r="H669" s="29"/>
      <c r="I669" s="29"/>
      <c r="J669" s="43">
        <v>3</v>
      </c>
      <c r="K669" s="14">
        <f t="shared" ref="K669:K672" si="552">SUM(G669:J669)</f>
        <v>3</v>
      </c>
      <c r="L669" s="125">
        <f t="shared" ref="L669:L701" si="553">F669+K669</f>
        <v>6</v>
      </c>
      <c r="M669" s="7">
        <v>45843</v>
      </c>
      <c r="O669" s="33" t="s">
        <v>10</v>
      </c>
      <c r="P669" s="122"/>
      <c r="Q669" s="119"/>
      <c r="R669" s="119"/>
      <c r="S669" s="120"/>
      <c r="T669" s="14">
        <f t="shared" ref="T669:T672" si="554">SUM(P669:S669)</f>
        <v>0</v>
      </c>
      <c r="U669" s="122"/>
      <c r="V669" s="119"/>
      <c r="W669" s="119"/>
      <c r="X669" s="120"/>
      <c r="Y669" s="14">
        <f t="shared" ref="Y669:Y672" si="555">SUM(U669:X669)</f>
        <v>0</v>
      </c>
      <c r="Z669" s="125">
        <f t="shared" ref="Z669:Z701" si="556">T669+Y669</f>
        <v>0</v>
      </c>
    </row>
    <row r="670" spans="1:27" x14ac:dyDescent="0.15">
      <c r="A670" s="33" t="s">
        <v>3</v>
      </c>
      <c r="B670" s="9"/>
      <c r="C670" s="29"/>
      <c r="D670" s="29"/>
      <c r="E670" s="43">
        <v>3</v>
      </c>
      <c r="F670" s="14">
        <f t="shared" si="551"/>
        <v>3</v>
      </c>
      <c r="G670" s="9"/>
      <c r="H670" s="29">
        <v>5</v>
      </c>
      <c r="I670" s="29">
        <v>13</v>
      </c>
      <c r="J670" s="43"/>
      <c r="K670" s="14">
        <f t="shared" si="552"/>
        <v>18</v>
      </c>
      <c r="L670" s="125">
        <f t="shared" si="553"/>
        <v>21</v>
      </c>
      <c r="M670" s="7">
        <v>45848</v>
      </c>
      <c r="O670" s="33" t="s">
        <v>3</v>
      </c>
      <c r="P670" s="122"/>
      <c r="Q670" s="119"/>
      <c r="R670" s="119"/>
      <c r="S670" s="120"/>
      <c r="T670" s="14">
        <f t="shared" si="554"/>
        <v>0</v>
      </c>
      <c r="U670" s="122"/>
      <c r="V670" s="119"/>
      <c r="W670" s="119"/>
      <c r="X670" s="120"/>
      <c r="Y670" s="14">
        <f t="shared" si="555"/>
        <v>0</v>
      </c>
      <c r="Z670" s="125">
        <f t="shared" si="556"/>
        <v>0</v>
      </c>
    </row>
    <row r="671" spans="1:27" x14ac:dyDescent="0.15">
      <c r="A671" s="33" t="s">
        <v>38</v>
      </c>
      <c r="B671" s="9">
        <v>1</v>
      </c>
      <c r="C671" s="29">
        <v>3</v>
      </c>
      <c r="D671" s="29">
        <v>2</v>
      </c>
      <c r="E671" s="43">
        <v>1</v>
      </c>
      <c r="F671" s="14">
        <f t="shared" si="551"/>
        <v>7</v>
      </c>
      <c r="G671" s="9"/>
      <c r="H671" s="29"/>
      <c r="I671" s="29"/>
      <c r="J671" s="43"/>
      <c r="K671" s="14">
        <f t="shared" si="552"/>
        <v>0</v>
      </c>
      <c r="L671" s="125">
        <f t="shared" si="553"/>
        <v>7</v>
      </c>
      <c r="M671" s="7">
        <v>45847</v>
      </c>
      <c r="O671" s="33" t="s">
        <v>4</v>
      </c>
      <c r="P671" s="122"/>
      <c r="Q671" s="119"/>
      <c r="R671" s="119"/>
      <c r="S671" s="120"/>
      <c r="T671" s="14">
        <f t="shared" si="554"/>
        <v>0</v>
      </c>
      <c r="U671" s="122"/>
      <c r="V671" s="119"/>
      <c r="W671" s="119"/>
      <c r="X671" s="120"/>
      <c r="Y671" s="14">
        <f t="shared" si="555"/>
        <v>0</v>
      </c>
      <c r="Z671" s="125">
        <f t="shared" si="556"/>
        <v>0</v>
      </c>
    </row>
    <row r="672" spans="1:27" ht="14.25" thickBot="1" x14ac:dyDescent="0.2">
      <c r="A672" s="33" t="s">
        <v>5</v>
      </c>
      <c r="B672" s="135"/>
      <c r="C672" s="136"/>
      <c r="D672" s="136"/>
      <c r="E672" s="137"/>
      <c r="F672" s="59">
        <f t="shared" si="551"/>
        <v>0</v>
      </c>
      <c r="G672" s="135"/>
      <c r="H672" s="136"/>
      <c r="I672" s="136"/>
      <c r="J672" s="137">
        <v>3</v>
      </c>
      <c r="K672" s="59">
        <f t="shared" si="552"/>
        <v>3</v>
      </c>
      <c r="L672" s="138">
        <f t="shared" si="553"/>
        <v>3</v>
      </c>
      <c r="M672" s="7">
        <v>45854</v>
      </c>
      <c r="O672" s="35" t="s">
        <v>5</v>
      </c>
      <c r="P672" s="135"/>
      <c r="Q672" s="136"/>
      <c r="R672" s="136"/>
      <c r="S672" s="137"/>
      <c r="T672" s="59">
        <f t="shared" si="554"/>
        <v>0</v>
      </c>
      <c r="U672" s="135"/>
      <c r="V672" s="136"/>
      <c r="W672" s="136"/>
      <c r="X672" s="137"/>
      <c r="Y672" s="59">
        <f t="shared" si="555"/>
        <v>0</v>
      </c>
      <c r="Z672" s="138">
        <f t="shared" si="556"/>
        <v>0</v>
      </c>
    </row>
    <row r="673" spans="1:27" ht="14.25" thickBot="1" x14ac:dyDescent="0.2">
      <c r="A673" s="2" t="s">
        <v>6</v>
      </c>
      <c r="B673" s="139">
        <f>SUM(B668:B672)</f>
        <v>8</v>
      </c>
      <c r="C673" s="140">
        <f>SUM(C668:C672)</f>
        <v>10</v>
      </c>
      <c r="D673" s="140">
        <f>SUM(D668:D672)</f>
        <v>8</v>
      </c>
      <c r="E673" s="141">
        <f>SUM(E668:E672)</f>
        <v>11</v>
      </c>
      <c r="F673" s="32">
        <f>SUM(B673:E673)</f>
        <v>37</v>
      </c>
      <c r="G673" s="142">
        <f>SUM(G668:G672)</f>
        <v>5</v>
      </c>
      <c r="H673" s="140">
        <f>SUM(H668:H672)</f>
        <v>9</v>
      </c>
      <c r="I673" s="140">
        <f>SUM(I668:I672)</f>
        <v>19</v>
      </c>
      <c r="J673" s="141">
        <f>SUM(J668:J672)</f>
        <v>8</v>
      </c>
      <c r="K673" s="32">
        <f>SUM(G673:J673)</f>
        <v>41</v>
      </c>
      <c r="L673" s="11">
        <f t="shared" si="553"/>
        <v>78</v>
      </c>
      <c r="O673" s="2" t="s">
        <v>6</v>
      </c>
      <c r="P673" s="139">
        <f>SUM(P668:P672)</f>
        <v>249</v>
      </c>
      <c r="Q673" s="140">
        <f>SUM(Q668:Q672)</f>
        <v>193</v>
      </c>
      <c r="R673" s="140">
        <f>SUM(R668:R672)</f>
        <v>136</v>
      </c>
      <c r="S673" s="141">
        <f>SUM(S668:S672)</f>
        <v>90</v>
      </c>
      <c r="T673" s="32">
        <f>SUM(P673:S673)</f>
        <v>668</v>
      </c>
      <c r="U673" s="142">
        <f>SUM(U668:U672)</f>
        <v>50</v>
      </c>
      <c r="V673" s="140">
        <f>SUM(V668:V672)</f>
        <v>55</v>
      </c>
      <c r="W673" s="140">
        <f>SUM(W668:W672)</f>
        <v>12</v>
      </c>
      <c r="X673" s="141">
        <f>SUM(X668:X672)</f>
        <v>21</v>
      </c>
      <c r="Y673" s="32">
        <f>SUM(U673:X673)</f>
        <v>138</v>
      </c>
      <c r="Z673" s="11">
        <f t="shared" si="556"/>
        <v>806</v>
      </c>
    </row>
    <row r="674" spans="1:27" x14ac:dyDescent="0.15">
      <c r="A674" s="38" t="s">
        <v>35</v>
      </c>
      <c r="B674" s="8">
        <v>1</v>
      </c>
      <c r="C674" s="9"/>
      <c r="D674" s="9"/>
      <c r="E674" s="39">
        <f>2+1</f>
        <v>3</v>
      </c>
      <c r="F674" s="14">
        <f t="shared" ref="F674" si="557">SUM(B674:E674)</f>
        <v>4</v>
      </c>
      <c r="G674" s="9"/>
      <c r="H674" s="9">
        <f>1+1</f>
        <v>2</v>
      </c>
      <c r="I674" s="9">
        <f>1+1</f>
        <v>2</v>
      </c>
      <c r="J674" s="39">
        <v>1</v>
      </c>
      <c r="K674" s="14">
        <f t="shared" ref="K674" si="558">SUM(G674:J674)</f>
        <v>5</v>
      </c>
      <c r="L674" s="14">
        <f t="shared" si="553"/>
        <v>9</v>
      </c>
      <c r="M674" s="7">
        <v>45845</v>
      </c>
      <c r="O674" s="35" t="s">
        <v>213</v>
      </c>
      <c r="P674" s="8"/>
      <c r="Q674" s="9"/>
      <c r="R674" s="9"/>
      <c r="S674" s="39">
        <v>2</v>
      </c>
      <c r="T674" s="14">
        <f t="shared" ref="T674:T701" si="559">SUM(P674:S674)</f>
        <v>2</v>
      </c>
      <c r="U674" s="9"/>
      <c r="V674" s="9"/>
      <c r="W674" s="9"/>
      <c r="X674" s="39"/>
      <c r="Y674" s="14">
        <f t="shared" ref="Y674:Y701" si="560">SUM(U674:X674)</f>
        <v>0</v>
      </c>
      <c r="Z674" s="14">
        <f t="shared" si="556"/>
        <v>2</v>
      </c>
      <c r="AA674" s="7">
        <v>45840</v>
      </c>
    </row>
    <row r="675" spans="1:27" x14ac:dyDescent="0.15">
      <c r="A675" s="38" t="s">
        <v>35</v>
      </c>
      <c r="B675" s="8"/>
      <c r="C675" s="9"/>
      <c r="D675" s="9"/>
      <c r="E675" s="39">
        <v>1</v>
      </c>
      <c r="F675" s="14">
        <f t="shared" ref="F675:F688" si="561">SUM(B675:E675)</f>
        <v>1</v>
      </c>
      <c r="G675" s="9"/>
      <c r="H675" s="9"/>
      <c r="I675" s="9">
        <v>2</v>
      </c>
      <c r="J675" s="39"/>
      <c r="K675" s="14">
        <f t="shared" ref="K675:K688" si="562">SUM(G675:J675)</f>
        <v>2</v>
      </c>
      <c r="L675" s="14">
        <f t="shared" ref="L675:L688" si="563">F675+K675</f>
        <v>3</v>
      </c>
      <c r="M675" s="7">
        <v>45846</v>
      </c>
      <c r="O675" s="35" t="s">
        <v>214</v>
      </c>
      <c r="P675" s="8"/>
      <c r="Q675" s="9">
        <v>4</v>
      </c>
      <c r="R675" s="9"/>
      <c r="S675" s="39"/>
      <c r="T675" s="14">
        <f t="shared" si="559"/>
        <v>4</v>
      </c>
      <c r="U675" s="9"/>
      <c r="V675" s="9"/>
      <c r="W675" s="9"/>
      <c r="X675" s="39"/>
      <c r="Y675" s="14">
        <f t="shared" si="560"/>
        <v>0</v>
      </c>
      <c r="Z675" s="14">
        <f t="shared" si="556"/>
        <v>4</v>
      </c>
      <c r="AA675" s="7">
        <v>45842</v>
      </c>
    </row>
    <row r="676" spans="1:27" x14ac:dyDescent="0.15">
      <c r="A676" s="38" t="s">
        <v>35</v>
      </c>
      <c r="B676" s="8"/>
      <c r="C676" s="9"/>
      <c r="D676" s="9"/>
      <c r="E676" s="39"/>
      <c r="F676" s="14">
        <f t="shared" si="561"/>
        <v>0</v>
      </c>
      <c r="G676" s="9"/>
      <c r="H676" s="9">
        <v>2</v>
      </c>
      <c r="I676" s="9"/>
      <c r="J676" s="39"/>
      <c r="K676" s="14">
        <f t="shared" si="562"/>
        <v>2</v>
      </c>
      <c r="L676" s="14">
        <f t="shared" si="563"/>
        <v>2</v>
      </c>
      <c r="M676" s="7">
        <v>45847</v>
      </c>
      <c r="O676" s="35" t="s">
        <v>215</v>
      </c>
      <c r="P676" s="8">
        <v>2</v>
      </c>
      <c r="Q676" s="9"/>
      <c r="R676" s="9"/>
      <c r="S676" s="39"/>
      <c r="T676" s="14">
        <f t="shared" si="559"/>
        <v>2</v>
      </c>
      <c r="U676" s="9"/>
      <c r="V676" s="9"/>
      <c r="W676" s="9"/>
      <c r="X676" s="39"/>
      <c r="Y676" s="14">
        <f t="shared" si="560"/>
        <v>0</v>
      </c>
      <c r="Z676" s="14">
        <f t="shared" si="556"/>
        <v>2</v>
      </c>
      <c r="AA676" s="7">
        <v>45842</v>
      </c>
    </row>
    <row r="677" spans="1:27" x14ac:dyDescent="0.15">
      <c r="A677" s="38" t="s">
        <v>35</v>
      </c>
      <c r="B677" s="8"/>
      <c r="C677" s="9"/>
      <c r="D677" s="9"/>
      <c r="E677" s="39">
        <v>1</v>
      </c>
      <c r="F677" s="14">
        <f t="shared" si="561"/>
        <v>1</v>
      </c>
      <c r="G677" s="9"/>
      <c r="H677" s="9"/>
      <c r="I677" s="9"/>
      <c r="J677" s="39"/>
      <c r="K677" s="14">
        <f t="shared" si="562"/>
        <v>0</v>
      </c>
      <c r="L677" s="14">
        <f t="shared" si="563"/>
        <v>1</v>
      </c>
      <c r="M677" s="7">
        <v>45848</v>
      </c>
      <c r="O677" s="35" t="s">
        <v>216</v>
      </c>
      <c r="P677" s="8"/>
      <c r="Q677" s="9"/>
      <c r="R677" s="9"/>
      <c r="S677" s="39">
        <v>4</v>
      </c>
      <c r="T677" s="14">
        <f t="shared" si="559"/>
        <v>4</v>
      </c>
      <c r="U677" s="9"/>
      <c r="V677" s="9"/>
      <c r="W677" s="9"/>
      <c r="X677" s="39"/>
      <c r="Y677" s="14">
        <f t="shared" si="560"/>
        <v>0</v>
      </c>
      <c r="Z677" s="14">
        <f t="shared" si="556"/>
        <v>4</v>
      </c>
      <c r="AA677" s="7">
        <v>45845</v>
      </c>
    </row>
    <row r="678" spans="1:27" x14ac:dyDescent="0.15">
      <c r="A678" s="38" t="s">
        <v>35</v>
      </c>
      <c r="B678" s="8">
        <v>1</v>
      </c>
      <c r="C678" s="9"/>
      <c r="D678" s="9"/>
      <c r="E678" s="39"/>
      <c r="F678" s="14">
        <f t="shared" si="561"/>
        <v>1</v>
      </c>
      <c r="G678" s="9"/>
      <c r="H678" s="9"/>
      <c r="I678" s="9"/>
      <c r="J678" s="39"/>
      <c r="K678" s="14">
        <f t="shared" si="562"/>
        <v>0</v>
      </c>
      <c r="L678" s="14">
        <f t="shared" si="563"/>
        <v>1</v>
      </c>
      <c r="M678" s="7">
        <v>45849</v>
      </c>
      <c r="O678" s="35" t="s">
        <v>31</v>
      </c>
      <c r="P678" s="8"/>
      <c r="Q678" s="9">
        <v>3</v>
      </c>
      <c r="R678" s="9"/>
      <c r="S678" s="39"/>
      <c r="T678" s="14">
        <f t="shared" ref="T678" si="564">SUM(P678:S678)</f>
        <v>3</v>
      </c>
      <c r="U678" s="9"/>
      <c r="V678" s="9"/>
      <c r="W678" s="9"/>
      <c r="X678" s="39">
        <v>3</v>
      </c>
      <c r="Y678" s="14">
        <f t="shared" ref="Y678" si="565">SUM(U678:X678)</f>
        <v>3</v>
      </c>
      <c r="Z678" s="14">
        <f t="shared" ref="Z678" si="566">T678+Y678</f>
        <v>6</v>
      </c>
      <c r="AA678" s="7">
        <v>45843</v>
      </c>
    </row>
    <row r="679" spans="1:27" x14ac:dyDescent="0.15">
      <c r="A679" s="38" t="s">
        <v>35</v>
      </c>
      <c r="B679" s="8"/>
      <c r="C679" s="9">
        <v>1</v>
      </c>
      <c r="D679" s="9">
        <v>1</v>
      </c>
      <c r="E679" s="39">
        <f>1+1</f>
        <v>2</v>
      </c>
      <c r="F679" s="14">
        <f t="shared" si="561"/>
        <v>4</v>
      </c>
      <c r="G679" s="9"/>
      <c r="H679" s="9"/>
      <c r="I679" s="9">
        <v>1</v>
      </c>
      <c r="J679" s="39"/>
      <c r="K679" s="14">
        <f t="shared" si="562"/>
        <v>1</v>
      </c>
      <c r="L679" s="14">
        <f t="shared" si="563"/>
        <v>5</v>
      </c>
      <c r="M679" s="7">
        <v>45852</v>
      </c>
      <c r="O679" s="35" t="s">
        <v>217</v>
      </c>
      <c r="P679" s="8">
        <v>2</v>
      </c>
      <c r="Q679" s="9">
        <f>2+1</f>
        <v>3</v>
      </c>
      <c r="R679" s="9">
        <v>1</v>
      </c>
      <c r="S679" s="39">
        <v>1</v>
      </c>
      <c r="T679" s="14">
        <f t="shared" si="559"/>
        <v>7</v>
      </c>
      <c r="U679" s="9"/>
      <c r="V679" s="9"/>
      <c r="W679" s="9"/>
      <c r="X679" s="39"/>
      <c r="Y679" s="14">
        <f t="shared" si="560"/>
        <v>0</v>
      </c>
      <c r="Z679" s="14">
        <f t="shared" si="556"/>
        <v>7</v>
      </c>
      <c r="AA679" s="7">
        <v>45849</v>
      </c>
    </row>
    <row r="680" spans="1:27" x14ac:dyDescent="0.15">
      <c r="A680" s="38" t="s">
        <v>35</v>
      </c>
      <c r="B680" s="8"/>
      <c r="C680" s="9"/>
      <c r="D680" s="9"/>
      <c r="E680" s="39">
        <v>1</v>
      </c>
      <c r="F680" s="14">
        <f t="shared" si="561"/>
        <v>1</v>
      </c>
      <c r="G680" s="9"/>
      <c r="H680" s="9"/>
      <c r="I680" s="9"/>
      <c r="J680" s="39">
        <v>1</v>
      </c>
      <c r="K680" s="14">
        <f t="shared" si="562"/>
        <v>1</v>
      </c>
      <c r="L680" s="14">
        <f t="shared" si="563"/>
        <v>2</v>
      </c>
      <c r="M680" s="7">
        <v>45853</v>
      </c>
      <c r="O680" s="35" t="s">
        <v>31</v>
      </c>
      <c r="P680" s="8"/>
      <c r="Q680" s="9"/>
      <c r="R680" s="9"/>
      <c r="S680" s="39">
        <v>3</v>
      </c>
      <c r="T680" s="14">
        <f t="shared" si="559"/>
        <v>3</v>
      </c>
      <c r="U680" s="9"/>
      <c r="V680" s="9">
        <v>5</v>
      </c>
      <c r="W680" s="9">
        <v>12</v>
      </c>
      <c r="X680" s="39"/>
      <c r="Y680" s="14">
        <f t="shared" si="560"/>
        <v>17</v>
      </c>
      <c r="Z680" s="14">
        <f t="shared" si="556"/>
        <v>20</v>
      </c>
      <c r="AA680" s="7">
        <v>45848</v>
      </c>
    </row>
    <row r="681" spans="1:27" x14ac:dyDescent="0.15">
      <c r="A681" s="38" t="s">
        <v>35</v>
      </c>
      <c r="B681" s="8">
        <v>1</v>
      </c>
      <c r="C681" s="9">
        <v>1</v>
      </c>
      <c r="D681" s="9"/>
      <c r="E681" s="39"/>
      <c r="F681" s="14">
        <f t="shared" si="561"/>
        <v>2</v>
      </c>
      <c r="G681" s="9">
        <v>1</v>
      </c>
      <c r="H681" s="9"/>
      <c r="I681" s="9">
        <v>1</v>
      </c>
      <c r="J681" s="39"/>
      <c r="K681" s="14">
        <f t="shared" si="562"/>
        <v>2</v>
      </c>
      <c r="L681" s="14">
        <f t="shared" si="563"/>
        <v>4</v>
      </c>
      <c r="M681" s="7">
        <v>45854</v>
      </c>
      <c r="O681" s="35" t="s">
        <v>218</v>
      </c>
      <c r="P681" s="8">
        <v>3</v>
      </c>
      <c r="Q681" s="9"/>
      <c r="R681" s="9"/>
      <c r="S681" s="39"/>
      <c r="T681" s="14">
        <f t="shared" si="559"/>
        <v>3</v>
      </c>
      <c r="U681" s="9"/>
      <c r="V681" s="9"/>
      <c r="W681" s="9"/>
      <c r="X681" s="39"/>
      <c r="Y681" s="14">
        <f t="shared" si="560"/>
        <v>0</v>
      </c>
      <c r="Z681" s="14">
        <f t="shared" si="556"/>
        <v>3</v>
      </c>
      <c r="AA681" s="7">
        <v>45853</v>
      </c>
    </row>
    <row r="682" spans="1:27" x14ac:dyDescent="0.15">
      <c r="A682" s="38" t="s">
        <v>35</v>
      </c>
      <c r="B682" s="8"/>
      <c r="C682" s="9"/>
      <c r="D682" s="9"/>
      <c r="E682" s="39"/>
      <c r="F682" s="14">
        <f t="shared" si="561"/>
        <v>0</v>
      </c>
      <c r="G682" s="9"/>
      <c r="H682" s="9"/>
      <c r="I682" s="9">
        <v>1</v>
      </c>
      <c r="J682" s="39">
        <v>1</v>
      </c>
      <c r="K682" s="14">
        <f t="shared" si="562"/>
        <v>2</v>
      </c>
      <c r="L682" s="14">
        <f t="shared" si="563"/>
        <v>2</v>
      </c>
      <c r="M682" s="7">
        <v>45855</v>
      </c>
      <c r="O682" s="35" t="s">
        <v>219</v>
      </c>
      <c r="P682" s="8"/>
      <c r="Q682" s="9"/>
      <c r="R682" s="9">
        <v>1</v>
      </c>
      <c r="S682" s="39">
        <v>2</v>
      </c>
      <c r="T682" s="14">
        <f t="shared" si="559"/>
        <v>3</v>
      </c>
      <c r="U682" s="9"/>
      <c r="V682" s="9"/>
      <c r="W682" s="9"/>
      <c r="X682" s="39"/>
      <c r="Y682" s="14">
        <f t="shared" si="560"/>
        <v>0</v>
      </c>
      <c r="Z682" s="14">
        <f t="shared" si="556"/>
        <v>3</v>
      </c>
      <c r="AA682" s="7">
        <v>45856</v>
      </c>
    </row>
    <row r="683" spans="1:27" x14ac:dyDescent="0.15">
      <c r="A683" s="33" t="s">
        <v>225</v>
      </c>
      <c r="B683" s="8">
        <v>-2</v>
      </c>
      <c r="C683" s="9"/>
      <c r="D683" s="9"/>
      <c r="E683" s="39"/>
      <c r="F683" s="14">
        <f t="shared" si="561"/>
        <v>-2</v>
      </c>
      <c r="G683" s="9"/>
      <c r="H683" s="9"/>
      <c r="I683" s="9"/>
      <c r="J683" s="39"/>
      <c r="K683" s="14">
        <f t="shared" si="562"/>
        <v>0</v>
      </c>
      <c r="L683" s="14">
        <f t="shared" si="563"/>
        <v>-2</v>
      </c>
      <c r="M683" s="7">
        <v>45855</v>
      </c>
      <c r="O683" s="35" t="s">
        <v>31</v>
      </c>
      <c r="P683" s="8"/>
      <c r="Q683" s="9"/>
      <c r="R683" s="9"/>
      <c r="S683" s="39"/>
      <c r="T683" s="14">
        <f t="shared" si="559"/>
        <v>0</v>
      </c>
      <c r="U683" s="9"/>
      <c r="V683" s="9"/>
      <c r="W683" s="9"/>
      <c r="X683" s="39">
        <v>3</v>
      </c>
      <c r="Y683" s="14">
        <f t="shared" si="560"/>
        <v>3</v>
      </c>
      <c r="Z683" s="14">
        <f t="shared" si="556"/>
        <v>3</v>
      </c>
      <c r="AA683" s="7">
        <v>45854</v>
      </c>
    </row>
    <row r="684" spans="1:27" x14ac:dyDescent="0.15">
      <c r="A684" s="33" t="s">
        <v>228</v>
      </c>
      <c r="B684" s="8"/>
      <c r="C684" s="9"/>
      <c r="D684" s="9"/>
      <c r="E684" s="39">
        <v>-5</v>
      </c>
      <c r="F684" s="14">
        <f t="shared" si="561"/>
        <v>-5</v>
      </c>
      <c r="G684" s="9"/>
      <c r="H684" s="9"/>
      <c r="I684" s="9"/>
      <c r="J684" s="39">
        <v>-15</v>
      </c>
      <c r="K684" s="14">
        <f t="shared" si="562"/>
        <v>-15</v>
      </c>
      <c r="L684" s="14">
        <f t="shared" si="563"/>
        <v>-20</v>
      </c>
      <c r="M684" s="7">
        <v>45857</v>
      </c>
      <c r="O684" s="35" t="s">
        <v>220</v>
      </c>
      <c r="P684" s="8"/>
      <c r="Q684" s="9">
        <v>2</v>
      </c>
      <c r="R684" s="9"/>
      <c r="S684" s="39"/>
      <c r="T684" s="14">
        <f t="shared" si="559"/>
        <v>2</v>
      </c>
      <c r="U684" s="9"/>
      <c r="V684" s="9"/>
      <c r="W684" s="9"/>
      <c r="X684" s="39"/>
      <c r="Y684" s="14">
        <f t="shared" si="560"/>
        <v>0</v>
      </c>
      <c r="Z684" s="14">
        <f t="shared" si="556"/>
        <v>2</v>
      </c>
      <c r="AA684" s="7">
        <v>45856</v>
      </c>
    </row>
    <row r="685" spans="1:27" x14ac:dyDescent="0.15">
      <c r="A685" s="38" t="s">
        <v>35</v>
      </c>
      <c r="B685" s="8"/>
      <c r="C685" s="9"/>
      <c r="D685" s="9">
        <v>1</v>
      </c>
      <c r="E685" s="39"/>
      <c r="F685" s="14">
        <f t="shared" si="561"/>
        <v>1</v>
      </c>
      <c r="G685" s="9"/>
      <c r="H685" s="9"/>
      <c r="I685" s="9"/>
      <c r="J685" s="39"/>
      <c r="K685" s="14">
        <f t="shared" si="562"/>
        <v>0</v>
      </c>
      <c r="L685" s="14">
        <f t="shared" si="563"/>
        <v>1</v>
      </c>
      <c r="M685" s="7">
        <v>45857</v>
      </c>
      <c r="O685" s="35" t="s">
        <v>221</v>
      </c>
      <c r="P685" s="8"/>
      <c r="Q685" s="9"/>
      <c r="R685" s="9">
        <v>6</v>
      </c>
      <c r="S685" s="39">
        <v>7</v>
      </c>
      <c r="T685" s="14">
        <f t="shared" si="559"/>
        <v>13</v>
      </c>
      <c r="U685" s="9"/>
      <c r="V685" s="9"/>
      <c r="W685" s="9"/>
      <c r="X685" s="39"/>
      <c r="Y685" s="14">
        <f t="shared" si="560"/>
        <v>0</v>
      </c>
      <c r="Z685" s="14">
        <f t="shared" si="556"/>
        <v>13</v>
      </c>
      <c r="AA685" s="7">
        <v>45856</v>
      </c>
    </row>
    <row r="686" spans="1:27" x14ac:dyDescent="0.15">
      <c r="A686" s="38" t="s">
        <v>35</v>
      </c>
      <c r="B686" s="8">
        <v>1</v>
      </c>
      <c r="C686" s="9">
        <v>1</v>
      </c>
      <c r="D686" s="9">
        <v>1</v>
      </c>
      <c r="E686" s="39">
        <v>1</v>
      </c>
      <c r="F686" s="14">
        <f t="shared" si="561"/>
        <v>4</v>
      </c>
      <c r="G686" s="9"/>
      <c r="H686" s="9">
        <v>1</v>
      </c>
      <c r="I686" s="9"/>
      <c r="J686" s="39"/>
      <c r="K686" s="14">
        <f t="shared" si="562"/>
        <v>1</v>
      </c>
      <c r="L686" s="14">
        <f t="shared" si="563"/>
        <v>5</v>
      </c>
      <c r="M686" s="7">
        <v>45860</v>
      </c>
      <c r="O686" s="35" t="s">
        <v>222</v>
      </c>
      <c r="P686" s="8">
        <v>9</v>
      </c>
      <c r="Q686" s="9"/>
      <c r="R686" s="9"/>
      <c r="S686" s="39"/>
      <c r="T686" s="14">
        <f t="shared" si="559"/>
        <v>9</v>
      </c>
      <c r="U686" s="9"/>
      <c r="V686" s="9"/>
      <c r="W686" s="9"/>
      <c r="X686" s="39"/>
      <c r="Y686" s="14">
        <f t="shared" si="560"/>
        <v>0</v>
      </c>
      <c r="Z686" s="14">
        <f t="shared" si="556"/>
        <v>9</v>
      </c>
      <c r="AA686" s="7">
        <v>45860</v>
      </c>
    </row>
    <row r="687" spans="1:27" x14ac:dyDescent="0.15">
      <c r="A687" s="33" t="s">
        <v>230</v>
      </c>
      <c r="B687" s="8">
        <v>-1</v>
      </c>
      <c r="C687" s="9"/>
      <c r="D687" s="9"/>
      <c r="E687" s="39"/>
      <c r="F687" s="14">
        <f t="shared" si="561"/>
        <v>-1</v>
      </c>
      <c r="G687" s="9"/>
      <c r="H687" s="9"/>
      <c r="I687" s="9"/>
      <c r="J687" s="39"/>
      <c r="K687" s="14">
        <f t="shared" si="562"/>
        <v>0</v>
      </c>
      <c r="L687" s="14">
        <f t="shared" si="563"/>
        <v>-1</v>
      </c>
      <c r="M687" s="7">
        <v>45855</v>
      </c>
      <c r="O687" s="35" t="s">
        <v>223</v>
      </c>
      <c r="P687" s="8"/>
      <c r="Q687" s="9">
        <v>6</v>
      </c>
      <c r="R687" s="9"/>
      <c r="S687" s="39"/>
      <c r="T687" s="14">
        <f t="shared" si="559"/>
        <v>6</v>
      </c>
      <c r="U687" s="9"/>
      <c r="V687" s="9"/>
      <c r="W687" s="9"/>
      <c r="X687" s="39"/>
      <c r="Y687" s="14">
        <f t="shared" si="560"/>
        <v>0</v>
      </c>
      <c r="Z687" s="14">
        <f t="shared" si="556"/>
        <v>6</v>
      </c>
      <c r="AA687" s="7">
        <v>45860</v>
      </c>
    </row>
    <row r="688" spans="1:27" x14ac:dyDescent="0.15">
      <c r="A688" s="38" t="s">
        <v>35</v>
      </c>
      <c r="B688" s="8"/>
      <c r="C688" s="9"/>
      <c r="D688" s="9"/>
      <c r="E688" s="39"/>
      <c r="F688" s="14">
        <f t="shared" si="561"/>
        <v>0</v>
      </c>
      <c r="G688" s="9"/>
      <c r="H688" s="9">
        <v>1</v>
      </c>
      <c r="I688" s="9"/>
      <c r="J688" s="39"/>
      <c r="K688" s="14">
        <f t="shared" si="562"/>
        <v>1</v>
      </c>
      <c r="L688" s="14">
        <f t="shared" si="563"/>
        <v>1</v>
      </c>
      <c r="M688" s="7">
        <v>45862</v>
      </c>
      <c r="O688" s="35" t="s">
        <v>224</v>
      </c>
      <c r="P688" s="8"/>
      <c r="Q688" s="9">
        <v>5</v>
      </c>
      <c r="R688" s="9">
        <v>4</v>
      </c>
      <c r="S688" s="39"/>
      <c r="T688" s="14">
        <f t="shared" si="559"/>
        <v>9</v>
      </c>
      <c r="U688" s="9"/>
      <c r="V688" s="9"/>
      <c r="W688" s="9"/>
      <c r="X688" s="39"/>
      <c r="Y688" s="14">
        <f t="shared" si="560"/>
        <v>0</v>
      </c>
      <c r="Z688" s="14">
        <f t="shared" si="556"/>
        <v>9</v>
      </c>
      <c r="AA688" s="7">
        <v>45862</v>
      </c>
    </row>
    <row r="689" spans="1:27" x14ac:dyDescent="0.15">
      <c r="A689" s="38" t="s">
        <v>35</v>
      </c>
      <c r="B689" s="8"/>
      <c r="C689" s="9">
        <v>2</v>
      </c>
      <c r="D689" s="9"/>
      <c r="E689" s="39"/>
      <c r="F689" s="14">
        <f t="shared" ref="F689:F701" si="567">SUM(B689:E689)</f>
        <v>2</v>
      </c>
      <c r="G689" s="9"/>
      <c r="H689" s="9"/>
      <c r="I689" s="9">
        <v>2</v>
      </c>
      <c r="J689" s="39"/>
      <c r="K689" s="14">
        <f t="shared" ref="K689:K701" si="568">SUM(G689:J689)</f>
        <v>2</v>
      </c>
      <c r="L689" s="14">
        <f t="shared" si="553"/>
        <v>4</v>
      </c>
      <c r="M689" s="7">
        <v>45863</v>
      </c>
      <c r="O689" s="35" t="s">
        <v>226</v>
      </c>
      <c r="P689" s="8"/>
      <c r="Q689" s="9">
        <v>5</v>
      </c>
      <c r="R689" s="9"/>
      <c r="S689" s="39"/>
      <c r="T689" s="14">
        <f t="shared" si="559"/>
        <v>5</v>
      </c>
      <c r="U689" s="9"/>
      <c r="V689" s="9"/>
      <c r="W689" s="9"/>
      <c r="X689" s="39"/>
      <c r="Y689" s="14">
        <f t="shared" si="560"/>
        <v>0</v>
      </c>
      <c r="Z689" s="14">
        <f t="shared" si="556"/>
        <v>5</v>
      </c>
      <c r="AA689" s="7">
        <v>45863</v>
      </c>
    </row>
    <row r="690" spans="1:27" x14ac:dyDescent="0.15">
      <c r="A690" s="38" t="s">
        <v>35</v>
      </c>
      <c r="B690" s="8"/>
      <c r="C690" s="9">
        <f>2+1</f>
        <v>3</v>
      </c>
      <c r="D690" s="9">
        <v>1</v>
      </c>
      <c r="E690" s="39"/>
      <c r="F690" s="14">
        <f t="shared" si="567"/>
        <v>4</v>
      </c>
      <c r="G690" s="9"/>
      <c r="H690" s="9"/>
      <c r="I690" s="9">
        <v>1</v>
      </c>
      <c r="J690" s="39">
        <v>1</v>
      </c>
      <c r="K690" s="14">
        <f t="shared" si="568"/>
        <v>2</v>
      </c>
      <c r="L690" s="14">
        <f t="shared" si="553"/>
        <v>6</v>
      </c>
      <c r="M690" s="7">
        <v>45866</v>
      </c>
      <c r="O690" s="35" t="s">
        <v>227</v>
      </c>
      <c r="P690" s="8"/>
      <c r="Q690" s="9">
        <v>7</v>
      </c>
      <c r="R690" s="9"/>
      <c r="S690" s="39"/>
      <c r="T690" s="14">
        <f t="shared" si="559"/>
        <v>7</v>
      </c>
      <c r="U690" s="9"/>
      <c r="V690" s="9"/>
      <c r="W690" s="9"/>
      <c r="X690" s="39"/>
      <c r="Y690" s="14">
        <f t="shared" si="560"/>
        <v>0</v>
      </c>
      <c r="Z690" s="14">
        <f t="shared" si="556"/>
        <v>7</v>
      </c>
      <c r="AA690" s="7">
        <v>45863</v>
      </c>
    </row>
    <row r="691" spans="1:27" x14ac:dyDescent="0.15">
      <c r="A691" s="33" t="s">
        <v>40</v>
      </c>
      <c r="B691" s="8"/>
      <c r="C691" s="9">
        <v>-5</v>
      </c>
      <c r="D691" s="9">
        <v>-5</v>
      </c>
      <c r="E691" s="39"/>
      <c r="F691" s="14">
        <f t="shared" si="567"/>
        <v>-10</v>
      </c>
      <c r="G691" s="9"/>
      <c r="H691" s="9">
        <v>-5</v>
      </c>
      <c r="I691" s="9"/>
      <c r="J691" s="39"/>
      <c r="K691" s="14">
        <f t="shared" si="568"/>
        <v>-5</v>
      </c>
      <c r="L691" s="14">
        <f t="shared" si="553"/>
        <v>-15</v>
      </c>
      <c r="M691" s="7">
        <v>45867</v>
      </c>
      <c r="O691" s="35" t="s">
        <v>31</v>
      </c>
      <c r="P691" s="8"/>
      <c r="Q691" s="9"/>
      <c r="R691" s="9"/>
      <c r="S691" s="39">
        <v>5</v>
      </c>
      <c r="T691" s="14">
        <f t="shared" si="559"/>
        <v>5</v>
      </c>
      <c r="U691" s="9"/>
      <c r="V691" s="9"/>
      <c r="W691" s="9"/>
      <c r="X691" s="39">
        <v>15</v>
      </c>
      <c r="Y691" s="14">
        <f t="shared" si="560"/>
        <v>15</v>
      </c>
      <c r="Z691" s="14">
        <f t="shared" si="556"/>
        <v>20</v>
      </c>
      <c r="AA691" s="7">
        <v>45857</v>
      </c>
    </row>
    <row r="692" spans="1:27" x14ac:dyDescent="0.15">
      <c r="A692" s="38" t="s">
        <v>35</v>
      </c>
      <c r="B692" s="8"/>
      <c r="C692" s="9">
        <v>1</v>
      </c>
      <c r="D692" s="9">
        <v>1</v>
      </c>
      <c r="E692" s="39">
        <v>1</v>
      </c>
      <c r="F692" s="14">
        <f t="shared" si="567"/>
        <v>3</v>
      </c>
      <c r="G692" s="9"/>
      <c r="H692" s="9"/>
      <c r="I692" s="9"/>
      <c r="J692" s="39"/>
      <c r="K692" s="14">
        <f t="shared" si="568"/>
        <v>0</v>
      </c>
      <c r="L692" s="14">
        <f t="shared" si="553"/>
        <v>3</v>
      </c>
      <c r="M692" s="7">
        <v>45867</v>
      </c>
      <c r="O692" s="35" t="s">
        <v>229</v>
      </c>
      <c r="P692" s="8"/>
      <c r="Q692" s="9"/>
      <c r="R692" s="9">
        <v>3</v>
      </c>
      <c r="S692" s="39"/>
      <c r="T692" s="14">
        <f t="shared" si="559"/>
        <v>3</v>
      </c>
      <c r="U692" s="9"/>
      <c r="V692" s="9"/>
      <c r="W692" s="9"/>
      <c r="X692" s="39"/>
      <c r="Y692" s="14">
        <f t="shared" si="560"/>
        <v>0</v>
      </c>
      <c r="Z692" s="14">
        <f t="shared" si="556"/>
        <v>3</v>
      </c>
      <c r="AA692" s="7">
        <v>45863</v>
      </c>
    </row>
    <row r="693" spans="1:27" x14ac:dyDescent="0.15">
      <c r="A693" s="38" t="s">
        <v>35</v>
      </c>
      <c r="B693" s="8"/>
      <c r="C693" s="9"/>
      <c r="D693" s="9"/>
      <c r="E693" s="39"/>
      <c r="F693" s="14">
        <f t="shared" si="567"/>
        <v>0</v>
      </c>
      <c r="G693" s="9"/>
      <c r="H693" s="9"/>
      <c r="I693" s="9"/>
      <c r="J693" s="39">
        <v>1</v>
      </c>
      <c r="K693" s="14">
        <f t="shared" si="568"/>
        <v>1</v>
      </c>
      <c r="L693" s="14">
        <f t="shared" si="553"/>
        <v>1</v>
      </c>
      <c r="M693" s="7">
        <v>45869</v>
      </c>
      <c r="O693" s="35" t="s">
        <v>231</v>
      </c>
      <c r="P693" s="8">
        <v>3</v>
      </c>
      <c r="Q693" s="9">
        <v>1</v>
      </c>
      <c r="R693" s="9">
        <v>6</v>
      </c>
      <c r="S693" s="39"/>
      <c r="T693" s="14">
        <f t="shared" si="559"/>
        <v>10</v>
      </c>
      <c r="U693" s="9"/>
      <c r="V693" s="9"/>
      <c r="W693" s="9"/>
      <c r="X693" s="39"/>
      <c r="Y693" s="14">
        <f t="shared" si="560"/>
        <v>0</v>
      </c>
      <c r="Z693" s="14">
        <f t="shared" si="556"/>
        <v>10</v>
      </c>
      <c r="AA693" s="7">
        <v>45866</v>
      </c>
    </row>
    <row r="694" spans="1:27" x14ac:dyDescent="0.15">
      <c r="A694" s="33"/>
      <c r="B694" s="8"/>
      <c r="C694" s="9"/>
      <c r="D694" s="9"/>
      <c r="E694" s="39"/>
      <c r="F694" s="14">
        <f t="shared" si="567"/>
        <v>0</v>
      </c>
      <c r="G694" s="9"/>
      <c r="H694" s="9"/>
      <c r="I694" s="9"/>
      <c r="J694" s="39"/>
      <c r="K694" s="14">
        <f t="shared" si="568"/>
        <v>0</v>
      </c>
      <c r="L694" s="14">
        <f t="shared" si="553"/>
        <v>0</v>
      </c>
      <c r="O694" s="35" t="s">
        <v>31</v>
      </c>
      <c r="P694" s="8"/>
      <c r="Q694" s="9">
        <v>5</v>
      </c>
      <c r="R694" s="9">
        <v>5</v>
      </c>
      <c r="S694" s="39"/>
      <c r="T694" s="14">
        <f t="shared" si="559"/>
        <v>10</v>
      </c>
      <c r="U694" s="9"/>
      <c r="V694" s="9">
        <v>5</v>
      </c>
      <c r="W694" s="9"/>
      <c r="X694" s="39"/>
      <c r="Y694" s="14">
        <f t="shared" si="560"/>
        <v>5</v>
      </c>
      <c r="Z694" s="14">
        <f t="shared" si="556"/>
        <v>15</v>
      </c>
      <c r="AA694" s="7">
        <v>45867</v>
      </c>
    </row>
    <row r="695" spans="1:27" x14ac:dyDescent="0.15">
      <c r="A695" s="33"/>
      <c r="B695" s="8"/>
      <c r="C695" s="9"/>
      <c r="D695" s="9"/>
      <c r="E695" s="39"/>
      <c r="F695" s="14">
        <f t="shared" si="567"/>
        <v>0</v>
      </c>
      <c r="G695" s="9"/>
      <c r="H695" s="9"/>
      <c r="I695" s="9"/>
      <c r="J695" s="39"/>
      <c r="K695" s="14">
        <f t="shared" si="568"/>
        <v>0</v>
      </c>
      <c r="L695" s="14">
        <f t="shared" si="553"/>
        <v>0</v>
      </c>
      <c r="O695" s="35" t="s">
        <v>232</v>
      </c>
      <c r="P695" s="8">
        <v>7</v>
      </c>
      <c r="Q695" s="9">
        <v>8</v>
      </c>
      <c r="R695" s="9"/>
      <c r="S695" s="39"/>
      <c r="T695" s="14">
        <f t="shared" si="559"/>
        <v>15</v>
      </c>
      <c r="U695" s="9"/>
      <c r="V695" s="9"/>
      <c r="W695" s="9"/>
      <c r="X695" s="39"/>
      <c r="Y695" s="14">
        <f t="shared" si="560"/>
        <v>0</v>
      </c>
      <c r="Z695" s="14">
        <f t="shared" si="556"/>
        <v>15</v>
      </c>
      <c r="AA695" s="7">
        <v>45870</v>
      </c>
    </row>
    <row r="696" spans="1:27" x14ac:dyDescent="0.15">
      <c r="A696" s="33"/>
      <c r="B696" s="8"/>
      <c r="C696" s="9"/>
      <c r="D696" s="9"/>
      <c r="E696" s="39"/>
      <c r="F696" s="14">
        <f t="shared" si="567"/>
        <v>0</v>
      </c>
      <c r="G696" s="9"/>
      <c r="H696" s="9"/>
      <c r="I696" s="9"/>
      <c r="J696" s="39"/>
      <c r="K696" s="14">
        <f t="shared" si="568"/>
        <v>0</v>
      </c>
      <c r="L696" s="14">
        <f t="shared" si="553"/>
        <v>0</v>
      </c>
      <c r="O696" s="35"/>
      <c r="P696" s="8"/>
      <c r="Q696" s="9"/>
      <c r="R696" s="9"/>
      <c r="S696" s="39"/>
      <c r="T696" s="14">
        <f t="shared" si="559"/>
        <v>0</v>
      </c>
      <c r="U696" s="9"/>
      <c r="V696" s="9"/>
      <c r="W696" s="9"/>
      <c r="X696" s="39"/>
      <c r="Y696" s="14">
        <f t="shared" si="560"/>
        <v>0</v>
      </c>
      <c r="Z696" s="14">
        <f t="shared" si="556"/>
        <v>0</v>
      </c>
    </row>
    <row r="697" spans="1:27" x14ac:dyDescent="0.15">
      <c r="A697" s="33"/>
      <c r="B697" s="8"/>
      <c r="C697" s="9"/>
      <c r="D697" s="9"/>
      <c r="E697" s="39"/>
      <c r="F697" s="14">
        <f t="shared" si="567"/>
        <v>0</v>
      </c>
      <c r="G697" s="9"/>
      <c r="H697" s="9"/>
      <c r="I697" s="9"/>
      <c r="J697" s="39"/>
      <c r="K697" s="14">
        <f t="shared" si="568"/>
        <v>0</v>
      </c>
      <c r="L697" s="14">
        <f t="shared" si="553"/>
        <v>0</v>
      </c>
      <c r="O697" s="35" t="s">
        <v>168</v>
      </c>
      <c r="P697" s="8"/>
      <c r="Q697" s="9"/>
      <c r="R697" s="9"/>
      <c r="S697" s="39"/>
      <c r="T697" s="14">
        <f t="shared" si="559"/>
        <v>0</v>
      </c>
      <c r="U697" s="131"/>
      <c r="V697" s="131"/>
      <c r="W697" s="131"/>
      <c r="X697" s="132"/>
      <c r="Y697" s="14">
        <f t="shared" si="560"/>
        <v>0</v>
      </c>
      <c r="Z697" s="14">
        <f t="shared" si="556"/>
        <v>0</v>
      </c>
      <c r="AA697" t="s">
        <v>166</v>
      </c>
    </row>
    <row r="698" spans="1:27" x14ac:dyDescent="0.15">
      <c r="A698" s="33"/>
      <c r="B698" s="8"/>
      <c r="C698" s="9"/>
      <c r="D698" s="9"/>
      <c r="E698" s="39"/>
      <c r="F698" s="14">
        <f t="shared" si="567"/>
        <v>0</v>
      </c>
      <c r="G698" s="9"/>
      <c r="H698" s="9"/>
      <c r="I698" s="9"/>
      <c r="J698" s="39"/>
      <c r="K698" s="14">
        <f t="shared" si="568"/>
        <v>0</v>
      </c>
      <c r="L698" s="14">
        <f t="shared" si="553"/>
        <v>0</v>
      </c>
      <c r="O698" s="35" t="s">
        <v>164</v>
      </c>
      <c r="P698" s="8"/>
      <c r="Q698" s="9"/>
      <c r="R698" s="9"/>
      <c r="S698" s="39"/>
      <c r="T698" s="14">
        <f t="shared" si="559"/>
        <v>0</v>
      </c>
      <c r="U698" s="131"/>
      <c r="V698" s="131"/>
      <c r="W698" s="131"/>
      <c r="X698" s="132"/>
      <c r="Y698" s="14">
        <f t="shared" si="560"/>
        <v>0</v>
      </c>
      <c r="Z698" s="14">
        <f t="shared" si="556"/>
        <v>0</v>
      </c>
    </row>
    <row r="699" spans="1:27" ht="14.25" thickBot="1" x14ac:dyDescent="0.2">
      <c r="A699" s="33"/>
      <c r="B699" s="8"/>
      <c r="C699" s="9"/>
      <c r="D699" s="9"/>
      <c r="E699" s="39"/>
      <c r="F699" s="14">
        <f t="shared" si="567"/>
        <v>0</v>
      </c>
      <c r="G699" s="9"/>
      <c r="H699" s="9"/>
      <c r="I699" s="9"/>
      <c r="J699" s="39"/>
      <c r="K699" s="14">
        <f t="shared" si="568"/>
        <v>0</v>
      </c>
      <c r="L699" s="14">
        <f t="shared" si="553"/>
        <v>0</v>
      </c>
      <c r="O699" s="35" t="s">
        <v>160</v>
      </c>
      <c r="P699" s="8"/>
      <c r="Q699" s="9"/>
      <c r="R699" s="9"/>
      <c r="S699" s="39"/>
      <c r="T699" s="14">
        <f t="shared" si="559"/>
        <v>0</v>
      </c>
      <c r="U699" s="131"/>
      <c r="V699" s="131"/>
      <c r="W699" s="131"/>
      <c r="X699" s="132"/>
      <c r="Y699" s="14">
        <f t="shared" si="560"/>
        <v>0</v>
      </c>
      <c r="Z699" s="14">
        <f t="shared" si="556"/>
        <v>0</v>
      </c>
    </row>
    <row r="700" spans="1:27" ht="14.25" thickBot="1" x14ac:dyDescent="0.2">
      <c r="A700" s="3" t="s">
        <v>7</v>
      </c>
      <c r="B700" s="17">
        <f t="shared" ref="B700:E700" si="569">SUM(B674:B699)</f>
        <v>1</v>
      </c>
      <c r="C700" s="18">
        <f t="shared" si="569"/>
        <v>4</v>
      </c>
      <c r="D700" s="18">
        <f t="shared" si="569"/>
        <v>0</v>
      </c>
      <c r="E700" s="40">
        <f t="shared" si="569"/>
        <v>5</v>
      </c>
      <c r="F700" s="11">
        <f t="shared" si="567"/>
        <v>10</v>
      </c>
      <c r="G700" s="17">
        <f t="shared" ref="G700:J700" si="570">SUM(G674:G699)</f>
        <v>1</v>
      </c>
      <c r="H700" s="18">
        <f t="shared" si="570"/>
        <v>1</v>
      </c>
      <c r="I700" s="18">
        <f t="shared" si="570"/>
        <v>10</v>
      </c>
      <c r="J700" s="40">
        <f t="shared" si="570"/>
        <v>-10</v>
      </c>
      <c r="K700" s="11">
        <f t="shared" si="568"/>
        <v>2</v>
      </c>
      <c r="L700" s="11">
        <f t="shared" si="553"/>
        <v>12</v>
      </c>
      <c r="O700" s="3" t="s">
        <v>7</v>
      </c>
      <c r="P700" s="17">
        <f t="shared" ref="P700:S700" si="571">SUM(P674:P699)</f>
        <v>26</v>
      </c>
      <c r="Q700" s="18">
        <f t="shared" si="571"/>
        <v>49</v>
      </c>
      <c r="R700" s="18">
        <f t="shared" si="571"/>
        <v>26</v>
      </c>
      <c r="S700" s="40">
        <f t="shared" si="571"/>
        <v>24</v>
      </c>
      <c r="T700" s="11">
        <f t="shared" si="559"/>
        <v>125</v>
      </c>
      <c r="U700" s="17">
        <f t="shared" ref="U700:W700" si="572">SUM(U674:U699)</f>
        <v>0</v>
      </c>
      <c r="V700" s="18">
        <f t="shared" si="572"/>
        <v>10</v>
      </c>
      <c r="W700" s="146">
        <f t="shared" si="572"/>
        <v>12</v>
      </c>
      <c r="X700" s="146">
        <f t="shared" ref="X700" si="573">SUM(X674:X699)</f>
        <v>21</v>
      </c>
      <c r="Y700" s="11">
        <f t="shared" si="560"/>
        <v>43</v>
      </c>
      <c r="Z700" s="11">
        <f t="shared" si="556"/>
        <v>168</v>
      </c>
    </row>
    <row r="701" spans="1:27" ht="14.25" thickBot="1" x14ac:dyDescent="0.2">
      <c r="A701" s="19" t="s">
        <v>8</v>
      </c>
      <c r="B701" s="20">
        <f t="shared" ref="B701:E701" si="574">B673-B700</f>
        <v>7</v>
      </c>
      <c r="C701" s="21">
        <f t="shared" si="574"/>
        <v>6</v>
      </c>
      <c r="D701" s="21">
        <f t="shared" si="574"/>
        <v>8</v>
      </c>
      <c r="E701" s="22">
        <f t="shared" si="574"/>
        <v>6</v>
      </c>
      <c r="F701" s="11">
        <f t="shared" si="567"/>
        <v>27</v>
      </c>
      <c r="G701" s="20">
        <f t="shared" ref="G701:J701" si="575">G673-G700</f>
        <v>4</v>
      </c>
      <c r="H701" s="21">
        <f t="shared" si="575"/>
        <v>8</v>
      </c>
      <c r="I701" s="21">
        <f t="shared" si="575"/>
        <v>9</v>
      </c>
      <c r="J701" s="51">
        <f t="shared" si="575"/>
        <v>18</v>
      </c>
      <c r="K701" s="11">
        <f t="shared" si="568"/>
        <v>39</v>
      </c>
      <c r="L701" s="53">
        <f t="shared" si="553"/>
        <v>66</v>
      </c>
      <c r="O701" s="19" t="s">
        <v>8</v>
      </c>
      <c r="P701" s="20">
        <f t="shared" ref="P701:S701" si="576">P673-P700</f>
        <v>223</v>
      </c>
      <c r="Q701" s="21">
        <f t="shared" si="576"/>
        <v>144</v>
      </c>
      <c r="R701" s="21">
        <f t="shared" si="576"/>
        <v>110</v>
      </c>
      <c r="S701" s="22">
        <f t="shared" si="576"/>
        <v>66</v>
      </c>
      <c r="T701" s="11">
        <f t="shared" si="559"/>
        <v>543</v>
      </c>
      <c r="U701" s="20">
        <f t="shared" ref="U701:W701" si="577">U673-U700</f>
        <v>50</v>
      </c>
      <c r="V701" s="21">
        <f t="shared" si="577"/>
        <v>45</v>
      </c>
      <c r="W701" s="147">
        <f t="shared" si="577"/>
        <v>0</v>
      </c>
      <c r="X701" s="147">
        <f t="shared" ref="X701" si="578">X673-X700</f>
        <v>0</v>
      </c>
      <c r="Y701" s="11">
        <f t="shared" si="560"/>
        <v>95</v>
      </c>
      <c r="Z701" s="53">
        <f t="shared" si="556"/>
        <v>638</v>
      </c>
    </row>
    <row r="704" spans="1:27" ht="19.5" thickBot="1" x14ac:dyDescent="0.25">
      <c r="A704" s="1" t="s">
        <v>19</v>
      </c>
      <c r="C704" s="164" t="s">
        <v>20</v>
      </c>
      <c r="D704" s="164"/>
      <c r="O704" s="1" t="s">
        <v>21</v>
      </c>
      <c r="S704" s="164" t="s">
        <v>20</v>
      </c>
      <c r="T704" s="164"/>
    </row>
    <row r="705" spans="1:27" ht="14.25" thickBot="1" x14ac:dyDescent="0.2">
      <c r="A705" s="3" t="s">
        <v>0</v>
      </c>
      <c r="B705" s="165" t="s">
        <v>15</v>
      </c>
      <c r="C705" s="166"/>
      <c r="D705" s="166"/>
      <c r="E705" s="166"/>
      <c r="F705" s="167"/>
      <c r="G705" s="168" t="s">
        <v>18</v>
      </c>
      <c r="H705" s="169"/>
      <c r="I705" s="169"/>
      <c r="J705" s="169"/>
      <c r="K705" s="170"/>
      <c r="L705" s="47"/>
      <c r="O705" s="3" t="s">
        <v>0</v>
      </c>
      <c r="P705" s="165" t="s">
        <v>15</v>
      </c>
      <c r="Q705" s="166"/>
      <c r="R705" s="166"/>
      <c r="S705" s="166"/>
      <c r="T705" s="167"/>
      <c r="U705" s="168" t="s">
        <v>18</v>
      </c>
      <c r="V705" s="169"/>
      <c r="W705" s="169"/>
      <c r="X705" s="169"/>
      <c r="Y705" s="170"/>
      <c r="Z705" s="47"/>
    </row>
    <row r="706" spans="1:27" ht="14.25" thickBot="1" x14ac:dyDescent="0.2">
      <c r="A706" s="3" t="s">
        <v>1</v>
      </c>
      <c r="B706" s="23" t="s">
        <v>11</v>
      </c>
      <c r="C706" s="24" t="s">
        <v>12</v>
      </c>
      <c r="D706" s="24" t="s">
        <v>13</v>
      </c>
      <c r="E706" s="25" t="s">
        <v>14</v>
      </c>
      <c r="F706" s="48" t="s">
        <v>2</v>
      </c>
      <c r="G706" s="23" t="s">
        <v>11</v>
      </c>
      <c r="H706" s="24" t="s">
        <v>12</v>
      </c>
      <c r="I706" s="24" t="s">
        <v>13</v>
      </c>
      <c r="J706" s="25" t="s">
        <v>14</v>
      </c>
      <c r="K706" s="48" t="s">
        <v>2</v>
      </c>
      <c r="L706" s="48" t="s">
        <v>17</v>
      </c>
      <c r="O706" s="3" t="s">
        <v>1</v>
      </c>
      <c r="P706" s="23" t="s">
        <v>11</v>
      </c>
      <c r="Q706" s="24" t="s">
        <v>12</v>
      </c>
      <c r="R706" s="24" t="s">
        <v>13</v>
      </c>
      <c r="S706" s="25" t="s">
        <v>14</v>
      </c>
      <c r="T706" s="48" t="s">
        <v>2</v>
      </c>
      <c r="U706" s="23" t="s">
        <v>11</v>
      </c>
      <c r="V706" s="24" t="s">
        <v>12</v>
      </c>
      <c r="W706" s="24" t="s">
        <v>13</v>
      </c>
      <c r="X706" s="25" t="s">
        <v>14</v>
      </c>
      <c r="Y706" s="48" t="s">
        <v>2</v>
      </c>
      <c r="Z706" s="48" t="s">
        <v>17</v>
      </c>
    </row>
    <row r="707" spans="1:27" x14ac:dyDescent="0.15">
      <c r="A707" s="116" t="s">
        <v>9</v>
      </c>
      <c r="B707" s="113">
        <f>B701</f>
        <v>7</v>
      </c>
      <c r="C707" s="27">
        <f>C701</f>
        <v>6</v>
      </c>
      <c r="D707" s="27">
        <f>D701</f>
        <v>8</v>
      </c>
      <c r="E707" s="42">
        <f>E701</f>
        <v>6</v>
      </c>
      <c r="F707" s="28">
        <f>SUM(B707:E707)</f>
        <v>27</v>
      </c>
      <c r="G707" s="113">
        <f>G701</f>
        <v>4</v>
      </c>
      <c r="H707" s="27">
        <f>H701</f>
        <v>8</v>
      </c>
      <c r="I707" s="27">
        <f>I701</f>
        <v>9</v>
      </c>
      <c r="J707" s="42">
        <f>J701</f>
        <v>18</v>
      </c>
      <c r="K707" s="28">
        <f>SUM(G707:J707)</f>
        <v>39</v>
      </c>
      <c r="L707" s="114">
        <f>F707+K707</f>
        <v>66</v>
      </c>
      <c r="O707" s="54" t="s">
        <v>9</v>
      </c>
      <c r="P707" s="26">
        <f>P701</f>
        <v>223</v>
      </c>
      <c r="Q707" s="27">
        <f>Q701</f>
        <v>144</v>
      </c>
      <c r="R707" s="27">
        <f>R701</f>
        <v>110</v>
      </c>
      <c r="S707" s="42">
        <f>S701</f>
        <v>66</v>
      </c>
      <c r="T707" s="28">
        <f>SUM(P707:S707)</f>
        <v>543</v>
      </c>
      <c r="U707" s="26">
        <f>U701</f>
        <v>50</v>
      </c>
      <c r="V707" s="27">
        <f>V701</f>
        <v>45</v>
      </c>
      <c r="W707" s="27">
        <f>W701</f>
        <v>0</v>
      </c>
      <c r="X707" s="42">
        <f>X701</f>
        <v>0</v>
      </c>
      <c r="Y707" s="52">
        <f>SUM(U707:X707)</f>
        <v>95</v>
      </c>
      <c r="Z707" s="28">
        <f>T707+Y707</f>
        <v>638</v>
      </c>
    </row>
    <row r="708" spans="1:27" x14ac:dyDescent="0.15">
      <c r="A708" s="33" t="s">
        <v>10</v>
      </c>
      <c r="B708" s="9">
        <v>3</v>
      </c>
      <c r="C708" s="29">
        <v>3</v>
      </c>
      <c r="D708" s="29"/>
      <c r="E708" s="43"/>
      <c r="F708" s="14">
        <f t="shared" ref="F708:F711" si="579">SUM(B708:E708)</f>
        <v>6</v>
      </c>
      <c r="G708" s="9">
        <v>3</v>
      </c>
      <c r="H708" s="29"/>
      <c r="I708" s="29"/>
      <c r="J708" s="43"/>
      <c r="K708" s="14">
        <f t="shared" ref="K708:K711" si="580">SUM(G708:J708)</f>
        <v>3</v>
      </c>
      <c r="L708" s="125">
        <f t="shared" ref="L708:L740" si="581">F708+K708</f>
        <v>9</v>
      </c>
      <c r="M708" s="7">
        <v>45875</v>
      </c>
      <c r="O708" s="33" t="s">
        <v>10</v>
      </c>
      <c r="P708" s="122"/>
      <c r="Q708" s="119"/>
      <c r="R708" s="119"/>
      <c r="S708" s="120"/>
      <c r="T708" s="14">
        <f t="shared" ref="T708:T711" si="582">SUM(P708:S708)</f>
        <v>0</v>
      </c>
      <c r="U708" s="122"/>
      <c r="V708" s="119"/>
      <c r="W708" s="119"/>
      <c r="X708" s="120"/>
      <c r="Y708" s="14">
        <f t="shared" ref="Y708:Y711" si="583">SUM(U708:X708)</f>
        <v>0</v>
      </c>
      <c r="Z708" s="125">
        <f t="shared" ref="Z708:Z740" si="584">T708+Y708</f>
        <v>0</v>
      </c>
    </row>
    <row r="709" spans="1:27" x14ac:dyDescent="0.15">
      <c r="A709" s="33" t="s">
        <v>3</v>
      </c>
      <c r="B709" s="9"/>
      <c r="C709" s="29"/>
      <c r="D709" s="29"/>
      <c r="E709" s="43">
        <v>5</v>
      </c>
      <c r="F709" s="14">
        <f t="shared" si="579"/>
        <v>5</v>
      </c>
      <c r="G709" s="9"/>
      <c r="H709" s="29"/>
      <c r="I709" s="29"/>
      <c r="J709" s="43"/>
      <c r="K709" s="14">
        <f t="shared" si="580"/>
        <v>0</v>
      </c>
      <c r="L709" s="125">
        <f t="shared" si="581"/>
        <v>5</v>
      </c>
      <c r="M709" s="7">
        <v>45878</v>
      </c>
      <c r="O709" s="33" t="s">
        <v>3</v>
      </c>
      <c r="P709" s="122"/>
      <c r="Q709" s="119"/>
      <c r="R709" s="119"/>
      <c r="S709" s="120"/>
      <c r="T709" s="14">
        <f t="shared" si="582"/>
        <v>0</v>
      </c>
      <c r="U709" s="122"/>
      <c r="V709" s="119"/>
      <c r="W709" s="119"/>
      <c r="X709" s="120"/>
      <c r="Y709" s="14">
        <f t="shared" si="583"/>
        <v>0</v>
      </c>
      <c r="Z709" s="125">
        <f t="shared" si="584"/>
        <v>0</v>
      </c>
    </row>
    <row r="710" spans="1:27" x14ac:dyDescent="0.15">
      <c r="A710" s="33" t="s">
        <v>87</v>
      </c>
      <c r="B710" s="9"/>
      <c r="C710" s="29"/>
      <c r="D710" s="29">
        <v>1</v>
      </c>
      <c r="E710" s="43">
        <v>-1</v>
      </c>
      <c r="F710" s="14">
        <f t="shared" si="579"/>
        <v>0</v>
      </c>
      <c r="G710" s="9">
        <v>-1</v>
      </c>
      <c r="H710" s="29"/>
      <c r="I710" s="29"/>
      <c r="J710" s="43"/>
      <c r="K710" s="14">
        <f t="shared" si="580"/>
        <v>-1</v>
      </c>
      <c r="L710" s="125">
        <f t="shared" si="581"/>
        <v>-1</v>
      </c>
      <c r="M710" s="7">
        <v>45878</v>
      </c>
      <c r="O710" s="33" t="s">
        <v>4</v>
      </c>
      <c r="P710" s="122"/>
      <c r="Q710" s="119"/>
      <c r="R710" s="119"/>
      <c r="S710" s="120"/>
      <c r="T710" s="14">
        <f t="shared" si="582"/>
        <v>0</v>
      </c>
      <c r="U710" s="122"/>
      <c r="V710" s="119"/>
      <c r="W710" s="119"/>
      <c r="X710" s="120"/>
      <c r="Y710" s="14">
        <f t="shared" si="583"/>
        <v>0</v>
      </c>
      <c r="Z710" s="125">
        <f t="shared" si="584"/>
        <v>0</v>
      </c>
    </row>
    <row r="711" spans="1:27" ht="14.25" thickBot="1" x14ac:dyDescent="0.2">
      <c r="A711" s="33" t="s">
        <v>5</v>
      </c>
      <c r="B711" s="135"/>
      <c r="C711" s="136"/>
      <c r="D711" s="136">
        <v>3</v>
      </c>
      <c r="E711" s="137"/>
      <c r="F711" s="59">
        <f t="shared" si="579"/>
        <v>3</v>
      </c>
      <c r="G711" s="135"/>
      <c r="H711" s="136"/>
      <c r="I711" s="136"/>
      <c r="J711" s="137"/>
      <c r="K711" s="59">
        <f t="shared" si="580"/>
        <v>0</v>
      </c>
      <c r="L711" s="138">
        <f t="shared" si="581"/>
        <v>3</v>
      </c>
      <c r="M711" s="7">
        <v>45897</v>
      </c>
      <c r="O711" s="35" t="s">
        <v>5</v>
      </c>
      <c r="P711" s="135"/>
      <c r="Q711" s="136"/>
      <c r="R711" s="136"/>
      <c r="S711" s="137"/>
      <c r="T711" s="59">
        <f t="shared" si="582"/>
        <v>0</v>
      </c>
      <c r="U711" s="135"/>
      <c r="V711" s="136"/>
      <c r="W711" s="136"/>
      <c r="X711" s="137"/>
      <c r="Y711" s="59">
        <f t="shared" si="583"/>
        <v>0</v>
      </c>
      <c r="Z711" s="138">
        <f t="shared" si="584"/>
        <v>0</v>
      </c>
    </row>
    <row r="712" spans="1:27" ht="14.25" thickBot="1" x14ac:dyDescent="0.2">
      <c r="A712" s="2" t="s">
        <v>6</v>
      </c>
      <c r="B712" s="139">
        <f>SUM(B707:B711)</f>
        <v>10</v>
      </c>
      <c r="C712" s="140">
        <f>SUM(C707:C711)</f>
        <v>9</v>
      </c>
      <c r="D712" s="140">
        <f>SUM(D707:D711)</f>
        <v>12</v>
      </c>
      <c r="E712" s="141">
        <f>SUM(E707:E711)</f>
        <v>10</v>
      </c>
      <c r="F712" s="32">
        <f>SUM(B712:E712)</f>
        <v>41</v>
      </c>
      <c r="G712" s="142">
        <f>SUM(G707:G711)</f>
        <v>6</v>
      </c>
      <c r="H712" s="140">
        <f>SUM(H707:H711)</f>
        <v>8</v>
      </c>
      <c r="I712" s="140">
        <f>SUM(I707:I711)</f>
        <v>9</v>
      </c>
      <c r="J712" s="141">
        <f>SUM(J707:J711)</f>
        <v>18</v>
      </c>
      <c r="K712" s="32">
        <f>SUM(G712:J712)</f>
        <v>41</v>
      </c>
      <c r="L712" s="11">
        <f t="shared" si="581"/>
        <v>82</v>
      </c>
      <c r="O712" s="2" t="s">
        <v>6</v>
      </c>
      <c r="P712" s="139">
        <f>SUM(P707:P711)</f>
        <v>223</v>
      </c>
      <c r="Q712" s="140">
        <f>SUM(Q707:Q711)</f>
        <v>144</v>
      </c>
      <c r="R712" s="140">
        <f>SUM(R707:R711)</f>
        <v>110</v>
      </c>
      <c r="S712" s="141">
        <f>SUM(S707:S711)</f>
        <v>66</v>
      </c>
      <c r="T712" s="32">
        <f>SUM(P712:S712)</f>
        <v>543</v>
      </c>
      <c r="U712" s="142">
        <f>SUM(U707:U711)</f>
        <v>50</v>
      </c>
      <c r="V712" s="140">
        <f>SUM(V707:V711)</f>
        <v>45</v>
      </c>
      <c r="W712" s="140">
        <f>SUM(W707:W711)</f>
        <v>0</v>
      </c>
      <c r="X712" s="141">
        <f>SUM(X707:X711)</f>
        <v>0</v>
      </c>
      <c r="Y712" s="32">
        <f>SUM(U712:X712)</f>
        <v>95</v>
      </c>
      <c r="Z712" s="11">
        <f t="shared" si="584"/>
        <v>638</v>
      </c>
    </row>
    <row r="713" spans="1:27" x14ac:dyDescent="0.15">
      <c r="A713" s="38" t="s">
        <v>35</v>
      </c>
      <c r="B713" s="8"/>
      <c r="C713" s="9"/>
      <c r="D713" s="9"/>
      <c r="E713" s="39"/>
      <c r="F713" s="14">
        <f t="shared" ref="F713:F740" si="585">SUM(B713:E713)</f>
        <v>0</v>
      </c>
      <c r="G713" s="9">
        <v>1</v>
      </c>
      <c r="H713" s="9"/>
      <c r="I713" s="9">
        <v>1</v>
      </c>
      <c r="J713" s="39"/>
      <c r="K713" s="14">
        <f t="shared" ref="K713:K740" si="586">SUM(G713:J713)</f>
        <v>2</v>
      </c>
      <c r="L713" s="14">
        <f t="shared" si="581"/>
        <v>2</v>
      </c>
      <c r="M713" s="7">
        <v>45870</v>
      </c>
      <c r="O713" s="35" t="s">
        <v>233</v>
      </c>
      <c r="P713" s="8">
        <v>2</v>
      </c>
      <c r="Q713" s="9"/>
      <c r="R713" s="9">
        <v>2</v>
      </c>
      <c r="S713" s="39"/>
      <c r="T713" s="14">
        <f t="shared" ref="T713:T740" si="587">SUM(P713:S713)</f>
        <v>4</v>
      </c>
      <c r="U713" s="9"/>
      <c r="V713" s="9"/>
      <c r="W713" s="9"/>
      <c r="X713" s="39"/>
      <c r="Y713" s="14">
        <f t="shared" ref="Y713:Y740" si="588">SUM(U713:X713)</f>
        <v>0</v>
      </c>
      <c r="Z713" s="14">
        <f t="shared" si="584"/>
        <v>4</v>
      </c>
      <c r="AA713" s="7">
        <v>45873</v>
      </c>
    </row>
    <row r="714" spans="1:27" x14ac:dyDescent="0.15">
      <c r="A714" s="38" t="s">
        <v>35</v>
      </c>
      <c r="B714" s="8"/>
      <c r="C714" s="9">
        <v>2</v>
      </c>
      <c r="D714" s="9"/>
      <c r="E714" s="39">
        <v>2</v>
      </c>
      <c r="F714" s="14">
        <f t="shared" si="585"/>
        <v>4</v>
      </c>
      <c r="G714" s="9"/>
      <c r="H714" s="9"/>
      <c r="I714" s="9"/>
      <c r="J714" s="39">
        <v>1</v>
      </c>
      <c r="K714" s="14">
        <f t="shared" si="586"/>
        <v>1</v>
      </c>
      <c r="L714" s="14">
        <f t="shared" si="581"/>
        <v>5</v>
      </c>
      <c r="M714" s="7">
        <v>45873</v>
      </c>
      <c r="O714" s="35" t="s">
        <v>234</v>
      </c>
      <c r="P714" s="8"/>
      <c r="Q714" s="9"/>
      <c r="R714" s="9"/>
      <c r="S714" s="39">
        <v>2</v>
      </c>
      <c r="T714" s="14">
        <f t="shared" si="587"/>
        <v>2</v>
      </c>
      <c r="U714" s="9"/>
      <c r="V714" s="9"/>
      <c r="W714" s="9"/>
      <c r="X714" s="39"/>
      <c r="Y714" s="14">
        <f t="shared" si="588"/>
        <v>0</v>
      </c>
      <c r="Z714" s="14">
        <f t="shared" si="584"/>
        <v>2</v>
      </c>
      <c r="AA714" s="7">
        <v>45875</v>
      </c>
    </row>
    <row r="715" spans="1:27" x14ac:dyDescent="0.15">
      <c r="A715" s="38" t="s">
        <v>35</v>
      </c>
      <c r="B715" s="8"/>
      <c r="C715" s="9">
        <v>1</v>
      </c>
      <c r="D715" s="9"/>
      <c r="E715" s="39"/>
      <c r="F715" s="14">
        <f t="shared" si="585"/>
        <v>1</v>
      </c>
      <c r="G715" s="9"/>
      <c r="H715" s="9"/>
      <c r="I715" s="9"/>
      <c r="J715" s="39"/>
      <c r="K715" s="14">
        <f t="shared" si="586"/>
        <v>0</v>
      </c>
      <c r="L715" s="14">
        <f t="shared" si="581"/>
        <v>1</v>
      </c>
      <c r="M715" s="7">
        <v>45873</v>
      </c>
      <c r="O715" s="35" t="s">
        <v>31</v>
      </c>
      <c r="P715" s="8">
        <v>3</v>
      </c>
      <c r="Q715" s="9">
        <v>3</v>
      </c>
      <c r="R715" s="9"/>
      <c r="S715" s="39"/>
      <c r="T715" s="14">
        <f t="shared" si="587"/>
        <v>6</v>
      </c>
      <c r="U715" s="9">
        <v>3</v>
      </c>
      <c r="V715" s="9"/>
      <c r="W715" s="9"/>
      <c r="X715" s="39"/>
      <c r="Y715" s="14">
        <f t="shared" si="588"/>
        <v>3</v>
      </c>
      <c r="Z715" s="14">
        <f t="shared" si="584"/>
        <v>9</v>
      </c>
      <c r="AA715" s="7">
        <v>45875</v>
      </c>
    </row>
    <row r="716" spans="1:27" x14ac:dyDescent="0.15">
      <c r="A716" s="38" t="s">
        <v>35</v>
      </c>
      <c r="B716" s="8">
        <v>3</v>
      </c>
      <c r="C716" s="9"/>
      <c r="D716" s="9"/>
      <c r="E716" s="39"/>
      <c r="F716" s="14">
        <f t="shared" si="585"/>
        <v>3</v>
      </c>
      <c r="G716" s="9"/>
      <c r="H716" s="9"/>
      <c r="I716" s="9"/>
      <c r="J716" s="39">
        <v>3</v>
      </c>
      <c r="K716" s="14">
        <f t="shared" si="586"/>
        <v>3</v>
      </c>
      <c r="L716" s="14">
        <f t="shared" si="581"/>
        <v>6</v>
      </c>
      <c r="M716" s="7">
        <v>45874</v>
      </c>
      <c r="O716" s="35" t="s">
        <v>31</v>
      </c>
      <c r="P716" s="8"/>
      <c r="Q716" s="9"/>
      <c r="R716" s="9"/>
      <c r="S716" s="39">
        <v>5</v>
      </c>
      <c r="T716" s="14">
        <f t="shared" si="587"/>
        <v>5</v>
      </c>
      <c r="U716" s="9"/>
      <c r="V716" s="9"/>
      <c r="W716" s="9"/>
      <c r="X716" s="39"/>
      <c r="Y716" s="14">
        <f t="shared" si="588"/>
        <v>0</v>
      </c>
      <c r="Z716" s="14">
        <f t="shared" si="584"/>
        <v>5</v>
      </c>
      <c r="AA716" s="7">
        <v>45878</v>
      </c>
    </row>
    <row r="717" spans="1:27" x14ac:dyDescent="0.15">
      <c r="A717" s="38" t="s">
        <v>35</v>
      </c>
      <c r="B717" s="8"/>
      <c r="C717" s="9"/>
      <c r="D717" s="9">
        <v>2</v>
      </c>
      <c r="E717" s="39">
        <v>1</v>
      </c>
      <c r="F717" s="14">
        <f t="shared" si="585"/>
        <v>3</v>
      </c>
      <c r="G717" s="9"/>
      <c r="H717" s="9"/>
      <c r="I717" s="9"/>
      <c r="J717" s="39"/>
      <c r="K717" s="14">
        <f t="shared" si="586"/>
        <v>0</v>
      </c>
      <c r="L717" s="14">
        <f t="shared" si="581"/>
        <v>3</v>
      </c>
      <c r="M717" s="7">
        <v>45875</v>
      </c>
      <c r="O717" s="35" t="s">
        <v>235</v>
      </c>
      <c r="P717" s="8">
        <v>3</v>
      </c>
      <c r="Q717" s="9"/>
      <c r="R717" s="9"/>
      <c r="S717" s="39">
        <v>3</v>
      </c>
      <c r="T717" s="14">
        <f t="shared" si="587"/>
        <v>6</v>
      </c>
      <c r="U717" s="9"/>
      <c r="V717" s="9"/>
      <c r="W717" s="9"/>
      <c r="X717" s="39"/>
      <c r="Y717" s="14">
        <f t="shared" si="588"/>
        <v>0</v>
      </c>
      <c r="Z717" s="14">
        <f t="shared" si="584"/>
        <v>6</v>
      </c>
      <c r="AA717" s="7">
        <v>45891</v>
      </c>
    </row>
    <row r="718" spans="1:27" x14ac:dyDescent="0.15">
      <c r="A718" s="38" t="s">
        <v>35</v>
      </c>
      <c r="B718" s="8"/>
      <c r="C718" s="9"/>
      <c r="D718" s="9">
        <v>1</v>
      </c>
      <c r="E718" s="39"/>
      <c r="F718" s="14">
        <f t="shared" si="585"/>
        <v>1</v>
      </c>
      <c r="G718" s="9"/>
      <c r="H718" s="9"/>
      <c r="I718" s="9"/>
      <c r="J718" s="39"/>
      <c r="K718" s="14">
        <f t="shared" si="586"/>
        <v>0</v>
      </c>
      <c r="L718" s="14">
        <f t="shared" si="581"/>
        <v>1</v>
      </c>
      <c r="M718" s="7">
        <v>45878</v>
      </c>
      <c r="O718" s="35" t="s">
        <v>236</v>
      </c>
      <c r="P718" s="8"/>
      <c r="Q718" s="9">
        <v>8</v>
      </c>
      <c r="R718" s="9"/>
      <c r="S718" s="39"/>
      <c r="T718" s="14">
        <f t="shared" si="587"/>
        <v>8</v>
      </c>
      <c r="U718" s="9"/>
      <c r="V718" s="9"/>
      <c r="W718" s="9"/>
      <c r="X718" s="39"/>
      <c r="Y718" s="14">
        <f t="shared" si="588"/>
        <v>0</v>
      </c>
      <c r="Z718" s="14">
        <f t="shared" si="584"/>
        <v>8</v>
      </c>
      <c r="AA718" s="7">
        <v>45891</v>
      </c>
    </row>
    <row r="719" spans="1:27" x14ac:dyDescent="0.15">
      <c r="A719" s="38" t="s">
        <v>35</v>
      </c>
      <c r="B719" s="8"/>
      <c r="C719" s="9">
        <v>1</v>
      </c>
      <c r="D719" s="9"/>
      <c r="E719" s="39">
        <v>2</v>
      </c>
      <c r="F719" s="14">
        <f t="shared" si="585"/>
        <v>3</v>
      </c>
      <c r="G719" s="9"/>
      <c r="H719" s="9">
        <f>1+1</f>
        <v>2</v>
      </c>
      <c r="I719" s="9">
        <v>1</v>
      </c>
      <c r="J719" s="39"/>
      <c r="K719" s="14">
        <f t="shared" si="586"/>
        <v>3</v>
      </c>
      <c r="L719" s="14">
        <f t="shared" si="581"/>
        <v>6</v>
      </c>
      <c r="M719" s="7">
        <v>45887</v>
      </c>
      <c r="O719" s="35" t="s">
        <v>237</v>
      </c>
      <c r="P719" s="8"/>
      <c r="Q719" s="9">
        <v>2</v>
      </c>
      <c r="R719" s="9"/>
      <c r="S719" s="39"/>
      <c r="T719" s="14">
        <f t="shared" si="587"/>
        <v>2</v>
      </c>
      <c r="U719" s="9"/>
      <c r="V719" s="9"/>
      <c r="W719" s="9"/>
      <c r="X719" s="39"/>
      <c r="Y719" s="14">
        <f t="shared" si="588"/>
        <v>0</v>
      </c>
      <c r="Z719" s="14">
        <f t="shared" si="584"/>
        <v>2</v>
      </c>
      <c r="AA719" s="7">
        <v>45895</v>
      </c>
    </row>
    <row r="720" spans="1:27" x14ac:dyDescent="0.15">
      <c r="A720" s="38" t="s">
        <v>35</v>
      </c>
      <c r="B720" s="8"/>
      <c r="C720" s="9"/>
      <c r="D720" s="9">
        <v>1</v>
      </c>
      <c r="E720" s="39"/>
      <c r="F720" s="14">
        <f t="shared" si="585"/>
        <v>1</v>
      </c>
      <c r="G720" s="9"/>
      <c r="H720" s="9"/>
      <c r="I720" s="9"/>
      <c r="J720" s="39"/>
      <c r="K720" s="14">
        <f t="shared" si="586"/>
        <v>0</v>
      </c>
      <c r="L720" s="14">
        <f t="shared" si="581"/>
        <v>1</v>
      </c>
      <c r="M720" s="7">
        <v>45888</v>
      </c>
      <c r="O720" s="35" t="s">
        <v>238</v>
      </c>
      <c r="P720" s="8"/>
      <c r="Q720" s="9">
        <v>2</v>
      </c>
      <c r="R720" s="9"/>
      <c r="S720" s="39"/>
      <c r="T720" s="14">
        <f t="shared" si="587"/>
        <v>2</v>
      </c>
      <c r="U720" s="9"/>
      <c r="V720" s="9"/>
      <c r="W720" s="9"/>
      <c r="X720" s="39"/>
      <c r="Y720" s="14">
        <f t="shared" si="588"/>
        <v>0</v>
      </c>
      <c r="Z720" s="14">
        <f t="shared" si="584"/>
        <v>2</v>
      </c>
      <c r="AA720" s="7">
        <v>45895</v>
      </c>
    </row>
    <row r="721" spans="1:28" x14ac:dyDescent="0.15">
      <c r="A721" s="38" t="s">
        <v>35</v>
      </c>
      <c r="B721" s="8"/>
      <c r="C721" s="9"/>
      <c r="D721" s="9"/>
      <c r="E721" s="39">
        <v>1</v>
      </c>
      <c r="F721" s="14">
        <f t="shared" si="585"/>
        <v>1</v>
      </c>
      <c r="G721" s="9"/>
      <c r="H721" s="9"/>
      <c r="I721" s="9"/>
      <c r="J721" s="39"/>
      <c r="K721" s="14">
        <f t="shared" si="586"/>
        <v>0</v>
      </c>
      <c r="L721" s="14">
        <f t="shared" si="581"/>
        <v>1</v>
      </c>
      <c r="M721" s="7">
        <v>45889</v>
      </c>
      <c r="O721" s="35" t="s">
        <v>31</v>
      </c>
      <c r="P721" s="8"/>
      <c r="Q721" s="9"/>
      <c r="R721" s="9">
        <v>3</v>
      </c>
      <c r="S721" s="39"/>
      <c r="T721" s="14">
        <f t="shared" si="587"/>
        <v>3</v>
      </c>
      <c r="U721" s="9"/>
      <c r="V721" s="9"/>
      <c r="W721" s="9"/>
      <c r="X721" s="39"/>
      <c r="Y721" s="14">
        <f t="shared" si="588"/>
        <v>0</v>
      </c>
      <c r="Z721" s="14">
        <f t="shared" si="584"/>
        <v>3</v>
      </c>
      <c r="AA721" s="7">
        <v>45897</v>
      </c>
    </row>
    <row r="722" spans="1:28" x14ac:dyDescent="0.15">
      <c r="A722" s="38" t="s">
        <v>35</v>
      </c>
      <c r="B722" s="8"/>
      <c r="C722" s="9"/>
      <c r="D722" s="9"/>
      <c r="E722" s="39"/>
      <c r="F722" s="14">
        <f t="shared" si="585"/>
        <v>0</v>
      </c>
      <c r="G722" s="9"/>
      <c r="H722" s="9"/>
      <c r="I722" s="9"/>
      <c r="J722" s="39">
        <v>1</v>
      </c>
      <c r="K722" s="14">
        <f t="shared" si="586"/>
        <v>1</v>
      </c>
      <c r="L722" s="14">
        <f t="shared" si="581"/>
        <v>1</v>
      </c>
      <c r="M722" s="7">
        <v>45890</v>
      </c>
      <c r="O722" s="35" t="s">
        <v>240</v>
      </c>
      <c r="P722" s="8">
        <v>3</v>
      </c>
      <c r="Q722" s="9"/>
      <c r="R722" s="9"/>
      <c r="S722" s="39"/>
      <c r="T722" s="14">
        <f t="shared" si="587"/>
        <v>3</v>
      </c>
      <c r="U722" s="9"/>
      <c r="V722" s="9"/>
      <c r="W722" s="9"/>
      <c r="X722" s="39"/>
      <c r="Y722" s="14">
        <f t="shared" si="588"/>
        <v>0</v>
      </c>
      <c r="Z722" s="14">
        <f t="shared" si="584"/>
        <v>3</v>
      </c>
      <c r="AA722" s="7">
        <v>45905</v>
      </c>
    </row>
    <row r="723" spans="1:28" x14ac:dyDescent="0.15">
      <c r="A723" s="38" t="s">
        <v>35</v>
      </c>
      <c r="B723" s="8"/>
      <c r="C723" s="9">
        <v>1</v>
      </c>
      <c r="D723" s="9"/>
      <c r="E723" s="39"/>
      <c r="F723" s="14">
        <f t="shared" si="585"/>
        <v>1</v>
      </c>
      <c r="G723" s="9"/>
      <c r="H723" s="9"/>
      <c r="I723" s="9"/>
      <c r="J723" s="39"/>
      <c r="K723" s="14">
        <f t="shared" si="586"/>
        <v>0</v>
      </c>
      <c r="L723" s="14">
        <f t="shared" si="581"/>
        <v>1</v>
      </c>
      <c r="M723" s="7">
        <v>45894</v>
      </c>
      <c r="O723" s="35" t="s">
        <v>31</v>
      </c>
      <c r="P723" s="8"/>
      <c r="Q723" s="9"/>
      <c r="R723" s="9">
        <v>3</v>
      </c>
      <c r="S723" s="39"/>
      <c r="T723" s="14">
        <f t="shared" si="587"/>
        <v>3</v>
      </c>
      <c r="U723" s="9"/>
      <c r="V723" s="9"/>
      <c r="W723" s="9"/>
      <c r="X723" s="39"/>
      <c r="Y723" s="14">
        <f t="shared" si="588"/>
        <v>0</v>
      </c>
      <c r="Z723" s="14">
        <f t="shared" si="584"/>
        <v>3</v>
      </c>
      <c r="AA723" s="7">
        <v>45917</v>
      </c>
    </row>
    <row r="724" spans="1:28" x14ac:dyDescent="0.15">
      <c r="A724" s="38" t="s">
        <v>239</v>
      </c>
      <c r="B724" s="8">
        <v>-2</v>
      </c>
      <c r="C724" s="9"/>
      <c r="D724" s="9">
        <v>-1</v>
      </c>
      <c r="E724" s="39">
        <v>-1</v>
      </c>
      <c r="F724" s="14">
        <f t="shared" si="585"/>
        <v>-4</v>
      </c>
      <c r="G724" s="9"/>
      <c r="H724" s="9"/>
      <c r="I724" s="9"/>
      <c r="J724" s="39"/>
      <c r="K724" s="14">
        <f t="shared" si="586"/>
        <v>0</v>
      </c>
      <c r="L724" s="14">
        <f t="shared" si="581"/>
        <v>-4</v>
      </c>
      <c r="M724" s="7">
        <v>45894</v>
      </c>
      <c r="O724" s="35"/>
      <c r="P724" s="8"/>
      <c r="Q724" s="9"/>
      <c r="R724" s="9"/>
      <c r="S724" s="39"/>
      <c r="T724" s="14">
        <f t="shared" si="587"/>
        <v>0</v>
      </c>
      <c r="U724" s="9"/>
      <c r="V724" s="9"/>
      <c r="W724" s="9"/>
      <c r="X724" s="39"/>
      <c r="Y724" s="14">
        <f t="shared" si="588"/>
        <v>0</v>
      </c>
      <c r="Z724" s="14">
        <f t="shared" si="584"/>
        <v>0</v>
      </c>
      <c r="AA724" s="7"/>
      <c r="AB724" s="150"/>
    </row>
    <row r="725" spans="1:28" x14ac:dyDescent="0.15">
      <c r="A725" s="38" t="s">
        <v>35</v>
      </c>
      <c r="B725" s="8"/>
      <c r="C725" s="9"/>
      <c r="D725" s="9">
        <v>2</v>
      </c>
      <c r="E725" s="39">
        <v>1</v>
      </c>
      <c r="F725" s="14">
        <f t="shared" si="585"/>
        <v>3</v>
      </c>
      <c r="G725" s="9">
        <v>1</v>
      </c>
      <c r="H725" s="9"/>
      <c r="I725" s="9"/>
      <c r="J725" s="39"/>
      <c r="K725" s="14">
        <f t="shared" si="586"/>
        <v>1</v>
      </c>
      <c r="L725" s="14">
        <f t="shared" si="581"/>
        <v>4</v>
      </c>
      <c r="M725" s="7">
        <v>45895</v>
      </c>
      <c r="O725" s="148"/>
      <c r="P725" s="62"/>
      <c r="Q725" s="63"/>
      <c r="R725" s="63"/>
      <c r="S725" s="64"/>
      <c r="T725" s="65">
        <f t="shared" si="587"/>
        <v>0</v>
      </c>
      <c r="U725" s="63"/>
      <c r="V725" s="63"/>
      <c r="W725" s="63"/>
      <c r="X725" s="64"/>
      <c r="Y725" s="65">
        <f t="shared" si="588"/>
        <v>0</v>
      </c>
      <c r="Z725" s="65">
        <f t="shared" si="584"/>
        <v>0</v>
      </c>
      <c r="AA725" s="149"/>
      <c r="AB725" s="150"/>
    </row>
    <row r="726" spans="1:28" x14ac:dyDescent="0.15">
      <c r="A726" s="38" t="s">
        <v>35</v>
      </c>
      <c r="B726" s="8"/>
      <c r="C726" s="9"/>
      <c r="D726" s="9"/>
      <c r="E726" s="39"/>
      <c r="F726" s="14">
        <f t="shared" si="585"/>
        <v>0</v>
      </c>
      <c r="G726" s="9"/>
      <c r="H726" s="9">
        <v>1</v>
      </c>
      <c r="I726" s="9"/>
      <c r="J726" s="39"/>
      <c r="K726" s="14">
        <f t="shared" si="586"/>
        <v>1</v>
      </c>
      <c r="L726" s="14">
        <f t="shared" si="581"/>
        <v>1</v>
      </c>
      <c r="M726" s="7">
        <v>45898</v>
      </c>
      <c r="O726" s="148"/>
      <c r="P726" s="62"/>
      <c r="Q726" s="63"/>
      <c r="R726" s="63"/>
      <c r="S726" s="64"/>
      <c r="T726" s="65">
        <f t="shared" si="587"/>
        <v>0</v>
      </c>
      <c r="U726" s="63"/>
      <c r="V726" s="63"/>
      <c r="W726" s="63"/>
      <c r="X726" s="64"/>
      <c r="Y726" s="65">
        <f t="shared" si="588"/>
        <v>0</v>
      </c>
      <c r="Z726" s="65">
        <f t="shared" si="584"/>
        <v>0</v>
      </c>
      <c r="AA726" s="149"/>
      <c r="AB726" s="150"/>
    </row>
    <row r="727" spans="1:28" x14ac:dyDescent="0.15">
      <c r="A727" s="38" t="s">
        <v>38</v>
      </c>
      <c r="B727" s="8"/>
      <c r="C727" s="9">
        <v>-1</v>
      </c>
      <c r="D727" s="9"/>
      <c r="E727" s="39">
        <v>-1</v>
      </c>
      <c r="F727" s="14">
        <f t="shared" si="585"/>
        <v>-2</v>
      </c>
      <c r="G727" s="9"/>
      <c r="H727" s="9"/>
      <c r="I727" s="9"/>
      <c r="J727" s="39"/>
      <c r="K727" s="14">
        <f t="shared" si="586"/>
        <v>0</v>
      </c>
      <c r="L727" s="14">
        <f t="shared" si="581"/>
        <v>-2</v>
      </c>
      <c r="M727" s="7">
        <v>45899</v>
      </c>
      <c r="O727" s="148"/>
      <c r="P727" s="62"/>
      <c r="Q727" s="63"/>
      <c r="R727" s="63"/>
      <c r="S727" s="64"/>
      <c r="T727" s="65">
        <f t="shared" si="587"/>
        <v>0</v>
      </c>
      <c r="U727" s="63"/>
      <c r="V727" s="63"/>
      <c r="W727" s="63"/>
      <c r="X727" s="64"/>
      <c r="Y727" s="65">
        <f t="shared" si="588"/>
        <v>0</v>
      </c>
      <c r="Z727" s="65">
        <f t="shared" si="584"/>
        <v>0</v>
      </c>
      <c r="AA727" s="149"/>
      <c r="AB727" s="150"/>
    </row>
    <row r="728" spans="1:28" x14ac:dyDescent="0.15">
      <c r="A728" s="38" t="s">
        <v>35</v>
      </c>
      <c r="B728" s="8"/>
      <c r="C728" s="9"/>
      <c r="D728" s="9">
        <v>1</v>
      </c>
      <c r="E728" s="39">
        <v>2</v>
      </c>
      <c r="F728" s="14">
        <f t="shared" si="585"/>
        <v>3</v>
      </c>
      <c r="G728" s="9"/>
      <c r="H728" s="9"/>
      <c r="I728" s="9"/>
      <c r="J728" s="39"/>
      <c r="K728" s="14">
        <f t="shared" si="586"/>
        <v>0</v>
      </c>
      <c r="L728" s="14">
        <f t="shared" si="581"/>
        <v>3</v>
      </c>
      <c r="M728" s="7">
        <v>45901</v>
      </c>
      <c r="O728" s="148"/>
      <c r="P728" s="62"/>
      <c r="Q728" s="63"/>
      <c r="R728" s="63"/>
      <c r="S728" s="64"/>
      <c r="T728" s="65">
        <f t="shared" si="587"/>
        <v>0</v>
      </c>
      <c r="U728" s="63"/>
      <c r="V728" s="63"/>
      <c r="W728" s="63"/>
      <c r="X728" s="64"/>
      <c r="Y728" s="65">
        <f t="shared" si="588"/>
        <v>0</v>
      </c>
      <c r="Z728" s="65">
        <f t="shared" si="584"/>
        <v>0</v>
      </c>
      <c r="AA728" s="149"/>
      <c r="AB728" s="150"/>
    </row>
    <row r="729" spans="1:28" x14ac:dyDescent="0.15">
      <c r="A729" s="38" t="s">
        <v>35</v>
      </c>
      <c r="B729" s="8"/>
      <c r="C729" s="9"/>
      <c r="D729" s="9"/>
      <c r="E729" s="39"/>
      <c r="F729" s="14">
        <f t="shared" si="585"/>
        <v>0</v>
      </c>
      <c r="G729" s="9"/>
      <c r="H729" s="9">
        <v>1</v>
      </c>
      <c r="I729" s="9"/>
      <c r="J729" s="39"/>
      <c r="K729" s="14">
        <f t="shared" si="586"/>
        <v>1</v>
      </c>
      <c r="L729" s="14">
        <f t="shared" si="581"/>
        <v>1</v>
      </c>
      <c r="M729" s="7">
        <v>45905</v>
      </c>
      <c r="O729" s="148"/>
      <c r="P729" s="62"/>
      <c r="Q729" s="63"/>
      <c r="R729" s="63"/>
      <c r="S729" s="64"/>
      <c r="T729" s="65">
        <f t="shared" si="587"/>
        <v>0</v>
      </c>
      <c r="U729" s="63"/>
      <c r="V729" s="63"/>
      <c r="W729" s="63"/>
      <c r="X729" s="64"/>
      <c r="Y729" s="65">
        <f t="shared" si="588"/>
        <v>0</v>
      </c>
      <c r="Z729" s="65">
        <f t="shared" si="584"/>
        <v>0</v>
      </c>
      <c r="AA729" s="149"/>
      <c r="AB729" s="150"/>
    </row>
    <row r="730" spans="1:28" x14ac:dyDescent="0.15">
      <c r="A730" s="38" t="s">
        <v>35</v>
      </c>
      <c r="B730" s="8"/>
      <c r="C730" s="9"/>
      <c r="D730" s="9"/>
      <c r="E730" s="39"/>
      <c r="F730" s="14">
        <f t="shared" si="585"/>
        <v>0</v>
      </c>
      <c r="G730" s="9"/>
      <c r="H730" s="9"/>
      <c r="I730" s="9">
        <v>1</v>
      </c>
      <c r="J730" s="39"/>
      <c r="K730" s="14">
        <f t="shared" si="586"/>
        <v>1</v>
      </c>
      <c r="L730" s="14">
        <f t="shared" si="581"/>
        <v>1</v>
      </c>
      <c r="M730" s="7">
        <v>45906</v>
      </c>
      <c r="O730" s="148"/>
      <c r="P730" s="62"/>
      <c r="Q730" s="63"/>
      <c r="R730" s="63"/>
      <c r="S730" s="64"/>
      <c r="T730" s="65">
        <f t="shared" si="587"/>
        <v>0</v>
      </c>
      <c r="U730" s="63"/>
      <c r="V730" s="63"/>
      <c r="W730" s="63"/>
      <c r="X730" s="64"/>
      <c r="Y730" s="65">
        <f t="shared" si="588"/>
        <v>0</v>
      </c>
      <c r="Z730" s="65">
        <f t="shared" si="584"/>
        <v>0</v>
      </c>
      <c r="AA730" s="149"/>
      <c r="AB730" s="150"/>
    </row>
    <row r="731" spans="1:28" x14ac:dyDescent="0.15">
      <c r="A731" s="38" t="s">
        <v>35</v>
      </c>
      <c r="B731" s="8"/>
      <c r="C731" s="9"/>
      <c r="D731" s="9"/>
      <c r="E731" s="39"/>
      <c r="F731" s="14">
        <f t="shared" si="585"/>
        <v>0</v>
      </c>
      <c r="G731" s="9">
        <v>1</v>
      </c>
      <c r="H731" s="9"/>
      <c r="I731" s="9"/>
      <c r="J731" s="39"/>
      <c r="K731" s="14">
        <f t="shared" si="586"/>
        <v>1</v>
      </c>
      <c r="L731" s="14">
        <f t="shared" si="581"/>
        <v>1</v>
      </c>
      <c r="M731" s="7">
        <v>45908</v>
      </c>
      <c r="O731" s="148"/>
      <c r="P731" s="62"/>
      <c r="Q731" s="63"/>
      <c r="R731" s="63"/>
      <c r="S731" s="64"/>
      <c r="T731" s="65">
        <f t="shared" si="587"/>
        <v>0</v>
      </c>
      <c r="U731" s="63"/>
      <c r="V731" s="63"/>
      <c r="W731" s="63"/>
      <c r="X731" s="64"/>
      <c r="Y731" s="65">
        <f t="shared" si="588"/>
        <v>0</v>
      </c>
      <c r="Z731" s="65">
        <f t="shared" si="584"/>
        <v>0</v>
      </c>
      <c r="AA731" s="149"/>
      <c r="AB731" s="150"/>
    </row>
    <row r="732" spans="1:28" x14ac:dyDescent="0.15">
      <c r="A732" s="38" t="s">
        <v>35</v>
      </c>
      <c r="B732" s="8"/>
      <c r="C732" s="9"/>
      <c r="D732" s="9"/>
      <c r="E732" s="39"/>
      <c r="F732" s="14">
        <f t="shared" si="585"/>
        <v>0</v>
      </c>
      <c r="G732" s="9">
        <v>1</v>
      </c>
      <c r="H732" s="9"/>
      <c r="I732" s="9">
        <v>1</v>
      </c>
      <c r="J732" s="39"/>
      <c r="K732" s="14">
        <f t="shared" si="586"/>
        <v>2</v>
      </c>
      <c r="L732" s="14">
        <f t="shared" si="581"/>
        <v>2</v>
      </c>
      <c r="M732" s="7">
        <v>45912</v>
      </c>
      <c r="O732" s="148"/>
      <c r="P732" s="62"/>
      <c r="Q732" s="63"/>
      <c r="R732" s="63"/>
      <c r="S732" s="64"/>
      <c r="T732" s="65">
        <f t="shared" si="587"/>
        <v>0</v>
      </c>
      <c r="U732" s="63"/>
      <c r="V732" s="63"/>
      <c r="W732" s="63"/>
      <c r="X732" s="64"/>
      <c r="Y732" s="65">
        <f t="shared" si="588"/>
        <v>0</v>
      </c>
      <c r="Z732" s="65">
        <f t="shared" si="584"/>
        <v>0</v>
      </c>
      <c r="AA732" s="149"/>
      <c r="AB732" s="150"/>
    </row>
    <row r="733" spans="1:28" x14ac:dyDescent="0.15">
      <c r="A733" s="38" t="s">
        <v>35</v>
      </c>
      <c r="B733" s="8"/>
      <c r="C733" s="9">
        <v>1</v>
      </c>
      <c r="D733" s="9">
        <f>3+1</f>
        <v>4</v>
      </c>
      <c r="E733" s="39">
        <v>1</v>
      </c>
      <c r="F733" s="14">
        <f t="shared" si="585"/>
        <v>6</v>
      </c>
      <c r="G733" s="9"/>
      <c r="H733" s="9"/>
      <c r="I733" s="9"/>
      <c r="J733" s="39"/>
      <c r="K733" s="14">
        <f t="shared" si="586"/>
        <v>0</v>
      </c>
      <c r="L733" s="14">
        <f t="shared" si="581"/>
        <v>6</v>
      </c>
      <c r="M733" s="7">
        <v>45916</v>
      </c>
      <c r="O733" s="148"/>
      <c r="P733" s="62"/>
      <c r="Q733" s="63"/>
      <c r="R733" s="63"/>
      <c r="S733" s="64"/>
      <c r="T733" s="65">
        <f t="shared" si="587"/>
        <v>0</v>
      </c>
      <c r="U733" s="63"/>
      <c r="V733" s="63"/>
      <c r="W733" s="63"/>
      <c r="X733" s="64"/>
      <c r="Y733" s="65">
        <f t="shared" si="588"/>
        <v>0</v>
      </c>
      <c r="Z733" s="65">
        <f t="shared" si="584"/>
        <v>0</v>
      </c>
      <c r="AA733" s="149"/>
      <c r="AB733" s="150"/>
    </row>
    <row r="734" spans="1:28" x14ac:dyDescent="0.15">
      <c r="A734" s="33" t="s">
        <v>241</v>
      </c>
      <c r="B734" s="8"/>
      <c r="C734" s="9"/>
      <c r="D734" s="9">
        <v>-3</v>
      </c>
      <c r="E734" s="39"/>
      <c r="F734" s="14">
        <f t="shared" si="585"/>
        <v>-3</v>
      </c>
      <c r="G734" s="9"/>
      <c r="H734" s="9"/>
      <c r="I734" s="9"/>
      <c r="J734" s="39"/>
      <c r="K734" s="14">
        <f t="shared" si="586"/>
        <v>0</v>
      </c>
      <c r="L734" s="14">
        <f t="shared" si="581"/>
        <v>-3</v>
      </c>
      <c r="M734" s="7">
        <v>45917</v>
      </c>
      <c r="O734" s="148"/>
      <c r="P734" s="62"/>
      <c r="Q734" s="63"/>
      <c r="R734" s="63"/>
      <c r="S734" s="64"/>
      <c r="T734" s="65">
        <f t="shared" si="587"/>
        <v>0</v>
      </c>
      <c r="U734" s="63"/>
      <c r="V734" s="63"/>
      <c r="W734" s="63"/>
      <c r="X734" s="64"/>
      <c r="Y734" s="65">
        <f t="shared" si="588"/>
        <v>0</v>
      </c>
      <c r="Z734" s="65">
        <f t="shared" si="584"/>
        <v>0</v>
      </c>
      <c r="AA734" s="150"/>
      <c r="AB734" s="150"/>
    </row>
    <row r="735" spans="1:28" x14ac:dyDescent="0.15">
      <c r="A735" s="38" t="s">
        <v>35</v>
      </c>
      <c r="B735" s="8"/>
      <c r="C735" s="9">
        <v>1</v>
      </c>
      <c r="D735" s="9">
        <v>1</v>
      </c>
      <c r="E735" s="39"/>
      <c r="F735" s="14">
        <f t="shared" si="585"/>
        <v>2</v>
      </c>
      <c r="G735" s="9"/>
      <c r="H735" s="9"/>
      <c r="I735" s="9"/>
      <c r="J735" s="39"/>
      <c r="K735" s="14">
        <f t="shared" si="586"/>
        <v>0</v>
      </c>
      <c r="L735" s="14">
        <f t="shared" si="581"/>
        <v>2</v>
      </c>
      <c r="M735" s="7">
        <v>45917</v>
      </c>
      <c r="O735" s="148"/>
      <c r="P735" s="62"/>
      <c r="Q735" s="63"/>
      <c r="R735" s="63"/>
      <c r="S735" s="64"/>
      <c r="T735" s="65">
        <f t="shared" si="587"/>
        <v>0</v>
      </c>
      <c r="U735" s="63"/>
      <c r="V735" s="63"/>
      <c r="W735" s="63"/>
      <c r="X735" s="64"/>
      <c r="Y735" s="65">
        <f t="shared" si="588"/>
        <v>0</v>
      </c>
      <c r="Z735" s="65">
        <f t="shared" si="584"/>
        <v>0</v>
      </c>
      <c r="AA735" s="150"/>
      <c r="AB735" s="150"/>
    </row>
    <row r="736" spans="1:28" x14ac:dyDescent="0.15">
      <c r="A736" s="38" t="s">
        <v>35</v>
      </c>
      <c r="B736" s="8"/>
      <c r="C736" s="9"/>
      <c r="D736" s="9">
        <v>1</v>
      </c>
      <c r="E736" s="39"/>
      <c r="F736" s="14">
        <f t="shared" si="585"/>
        <v>1</v>
      </c>
      <c r="G736" s="9"/>
      <c r="H736" s="9"/>
      <c r="I736" s="9"/>
      <c r="J736" s="39"/>
      <c r="K736" s="14">
        <f t="shared" si="586"/>
        <v>0</v>
      </c>
      <c r="L736" s="14">
        <f t="shared" si="581"/>
        <v>1</v>
      </c>
      <c r="M736" s="7">
        <v>45918</v>
      </c>
      <c r="O736" s="148"/>
      <c r="P736" s="62"/>
      <c r="Q736" s="63"/>
      <c r="R736" s="63"/>
      <c r="S736" s="64"/>
      <c r="T736" s="65">
        <f t="shared" si="587"/>
        <v>0</v>
      </c>
      <c r="U736" s="63"/>
      <c r="V736" s="63"/>
      <c r="W736" s="63"/>
      <c r="X736" s="64"/>
      <c r="Y736" s="65">
        <f t="shared" si="588"/>
        <v>0</v>
      </c>
      <c r="Z736" s="65">
        <f t="shared" si="584"/>
        <v>0</v>
      </c>
      <c r="AA736" s="150"/>
      <c r="AB736" s="150"/>
    </row>
    <row r="737" spans="1:28" x14ac:dyDescent="0.15">
      <c r="A737" s="38" t="s">
        <v>35</v>
      </c>
      <c r="B737" s="8"/>
      <c r="C737" s="9">
        <v>1</v>
      </c>
      <c r="D737" s="9"/>
      <c r="E737" s="39">
        <f>-1+1</f>
        <v>0</v>
      </c>
      <c r="F737" s="14">
        <f t="shared" si="585"/>
        <v>1</v>
      </c>
      <c r="G737" s="9"/>
      <c r="H737" s="9"/>
      <c r="I737" s="9"/>
      <c r="J737" s="39"/>
      <c r="K737" s="14">
        <f t="shared" si="586"/>
        <v>0</v>
      </c>
      <c r="L737" s="14">
        <f t="shared" si="581"/>
        <v>1</v>
      </c>
      <c r="M737" s="7">
        <v>45922</v>
      </c>
      <c r="O737" s="148"/>
      <c r="P737" s="62"/>
      <c r="Q737" s="63"/>
      <c r="R737" s="63"/>
      <c r="S737" s="64"/>
      <c r="T737" s="65">
        <f t="shared" si="587"/>
        <v>0</v>
      </c>
      <c r="U737" s="63"/>
      <c r="V737" s="63"/>
      <c r="W737" s="63"/>
      <c r="X737" s="64"/>
      <c r="Y737" s="65">
        <f t="shared" si="588"/>
        <v>0</v>
      </c>
      <c r="Z737" s="65">
        <f t="shared" si="584"/>
        <v>0</v>
      </c>
      <c r="AA737" s="150"/>
      <c r="AB737" s="150"/>
    </row>
    <row r="738" spans="1:28" ht="14.25" thickBot="1" x14ac:dyDescent="0.2">
      <c r="A738" s="38" t="s">
        <v>35</v>
      </c>
      <c r="B738" s="8"/>
      <c r="C738" s="9">
        <v>1</v>
      </c>
      <c r="D738" s="9"/>
      <c r="E738" s="39"/>
      <c r="F738" s="14">
        <f t="shared" si="585"/>
        <v>1</v>
      </c>
      <c r="G738" s="9"/>
      <c r="H738" s="9"/>
      <c r="I738" s="9"/>
      <c r="J738" s="39"/>
      <c r="K738" s="14">
        <f t="shared" si="586"/>
        <v>0</v>
      </c>
      <c r="L738" s="14">
        <f t="shared" si="581"/>
        <v>1</v>
      </c>
      <c r="M738" s="7">
        <v>45924</v>
      </c>
      <c r="O738" s="148"/>
      <c r="P738" s="62"/>
      <c r="Q738" s="63"/>
      <c r="R738" s="63"/>
      <c r="S738" s="64"/>
      <c r="T738" s="65">
        <f t="shared" si="587"/>
        <v>0</v>
      </c>
      <c r="U738" s="63"/>
      <c r="V738" s="63"/>
      <c r="W738" s="63"/>
      <c r="X738" s="64"/>
      <c r="Y738" s="65">
        <f t="shared" si="588"/>
        <v>0</v>
      </c>
      <c r="Z738" s="65">
        <f t="shared" si="584"/>
        <v>0</v>
      </c>
      <c r="AA738" s="150"/>
      <c r="AB738" s="150"/>
    </row>
    <row r="739" spans="1:28" ht="14.25" thickBot="1" x14ac:dyDescent="0.2">
      <c r="A739" s="3" t="s">
        <v>7</v>
      </c>
      <c r="B739" s="17">
        <f t="shared" ref="B739:E739" si="589">SUM(B713:B738)</f>
        <v>1</v>
      </c>
      <c r="C739" s="18">
        <f t="shared" si="589"/>
        <v>8</v>
      </c>
      <c r="D739" s="18">
        <f t="shared" si="589"/>
        <v>9</v>
      </c>
      <c r="E739" s="40">
        <f t="shared" si="589"/>
        <v>8</v>
      </c>
      <c r="F739" s="11">
        <f t="shared" si="585"/>
        <v>26</v>
      </c>
      <c r="G739" s="17">
        <f t="shared" ref="G739:J739" si="590">SUM(G713:G738)</f>
        <v>4</v>
      </c>
      <c r="H739" s="18">
        <f t="shared" si="590"/>
        <v>4</v>
      </c>
      <c r="I739" s="18">
        <f t="shared" si="590"/>
        <v>4</v>
      </c>
      <c r="J739" s="40">
        <f t="shared" si="590"/>
        <v>5</v>
      </c>
      <c r="K739" s="11">
        <f t="shared" si="586"/>
        <v>17</v>
      </c>
      <c r="L739" s="11">
        <f t="shared" si="581"/>
        <v>43</v>
      </c>
      <c r="O739" s="3" t="s">
        <v>7</v>
      </c>
      <c r="P739" s="17">
        <f t="shared" ref="P739:S739" si="591">SUM(P713:P738)</f>
        <v>11</v>
      </c>
      <c r="Q739" s="18">
        <f t="shared" si="591"/>
        <v>15</v>
      </c>
      <c r="R739" s="18">
        <f t="shared" si="591"/>
        <v>8</v>
      </c>
      <c r="S739" s="40">
        <f t="shared" si="591"/>
        <v>10</v>
      </c>
      <c r="T739" s="11">
        <f t="shared" si="587"/>
        <v>44</v>
      </c>
      <c r="U739" s="17">
        <f t="shared" ref="U739:X739" si="592">SUM(U713:U738)</f>
        <v>3</v>
      </c>
      <c r="V739" s="18">
        <f t="shared" si="592"/>
        <v>0</v>
      </c>
      <c r="W739" s="146">
        <f t="shared" si="592"/>
        <v>0</v>
      </c>
      <c r="X739" s="146">
        <f t="shared" si="592"/>
        <v>0</v>
      </c>
      <c r="Y739" s="11">
        <f t="shared" si="588"/>
        <v>3</v>
      </c>
      <c r="Z739" s="11">
        <f t="shared" si="584"/>
        <v>47</v>
      </c>
    </row>
    <row r="740" spans="1:28" ht="14.25" thickBot="1" x14ac:dyDescent="0.2">
      <c r="A740" s="19" t="s">
        <v>8</v>
      </c>
      <c r="B740" s="20">
        <f t="shared" ref="B740:E740" si="593">B712-B739</f>
        <v>9</v>
      </c>
      <c r="C740" s="21">
        <f t="shared" si="593"/>
        <v>1</v>
      </c>
      <c r="D740" s="21">
        <f t="shared" si="593"/>
        <v>3</v>
      </c>
      <c r="E740" s="22">
        <f t="shared" si="593"/>
        <v>2</v>
      </c>
      <c r="F740" s="11">
        <f t="shared" si="585"/>
        <v>15</v>
      </c>
      <c r="G740" s="20">
        <f t="shared" ref="G740:J740" si="594">G712-G739</f>
        <v>2</v>
      </c>
      <c r="H740" s="21">
        <f t="shared" si="594"/>
        <v>4</v>
      </c>
      <c r="I740" s="21">
        <f t="shared" si="594"/>
        <v>5</v>
      </c>
      <c r="J740" s="51">
        <f t="shared" si="594"/>
        <v>13</v>
      </c>
      <c r="K740" s="11">
        <f t="shared" si="586"/>
        <v>24</v>
      </c>
      <c r="L740" s="53">
        <f t="shared" si="581"/>
        <v>39</v>
      </c>
      <c r="O740" s="19" t="s">
        <v>8</v>
      </c>
      <c r="P740" s="20">
        <f t="shared" ref="P740:S740" si="595">P712-P739</f>
        <v>212</v>
      </c>
      <c r="Q740" s="21">
        <f t="shared" si="595"/>
        <v>129</v>
      </c>
      <c r="R740" s="21">
        <f t="shared" si="595"/>
        <v>102</v>
      </c>
      <c r="S740" s="22">
        <f t="shared" si="595"/>
        <v>56</v>
      </c>
      <c r="T740" s="11">
        <f t="shared" si="587"/>
        <v>499</v>
      </c>
      <c r="U740" s="20">
        <f t="shared" ref="U740:X740" si="596">U712-U739</f>
        <v>47</v>
      </c>
      <c r="V740" s="21">
        <f t="shared" si="596"/>
        <v>45</v>
      </c>
      <c r="W740" s="147">
        <f t="shared" si="596"/>
        <v>0</v>
      </c>
      <c r="X740" s="147">
        <f t="shared" si="596"/>
        <v>0</v>
      </c>
      <c r="Y740" s="11">
        <f t="shared" si="588"/>
        <v>92</v>
      </c>
      <c r="Z740" s="53">
        <f t="shared" si="584"/>
        <v>591</v>
      </c>
    </row>
    <row r="743" spans="1:28" ht="19.5" thickBot="1" x14ac:dyDescent="0.25">
      <c r="A743" s="1" t="s">
        <v>19</v>
      </c>
      <c r="C743" s="164" t="s">
        <v>20</v>
      </c>
      <c r="D743" s="164"/>
      <c r="O743" s="1" t="s">
        <v>21</v>
      </c>
      <c r="S743" s="164" t="s">
        <v>20</v>
      </c>
      <c r="T743" s="164"/>
    </row>
    <row r="744" spans="1:28" ht="14.25" thickBot="1" x14ac:dyDescent="0.2">
      <c r="A744" s="3" t="s">
        <v>0</v>
      </c>
      <c r="B744" s="165" t="s">
        <v>15</v>
      </c>
      <c r="C744" s="166"/>
      <c r="D744" s="166"/>
      <c r="E744" s="166"/>
      <c r="F744" s="167"/>
      <c r="G744" s="168" t="s">
        <v>18</v>
      </c>
      <c r="H744" s="169"/>
      <c r="I744" s="169"/>
      <c r="J744" s="169"/>
      <c r="K744" s="170"/>
      <c r="L744" s="47"/>
      <c r="O744" s="3" t="s">
        <v>0</v>
      </c>
      <c r="P744" s="165" t="s">
        <v>15</v>
      </c>
      <c r="Q744" s="166"/>
      <c r="R744" s="166"/>
      <c r="S744" s="166"/>
      <c r="T744" s="167"/>
      <c r="U744" s="168" t="s">
        <v>18</v>
      </c>
      <c r="V744" s="169"/>
      <c r="W744" s="169"/>
      <c r="X744" s="169"/>
      <c r="Y744" s="170"/>
      <c r="Z744" s="47"/>
    </row>
    <row r="745" spans="1:28" ht="14.25" thickBot="1" x14ac:dyDescent="0.2">
      <c r="A745" s="3" t="s">
        <v>1</v>
      </c>
      <c r="B745" s="23" t="s">
        <v>11</v>
      </c>
      <c r="C745" s="24" t="s">
        <v>12</v>
      </c>
      <c r="D745" s="24" t="s">
        <v>13</v>
      </c>
      <c r="E745" s="25" t="s">
        <v>14</v>
      </c>
      <c r="F745" s="48" t="s">
        <v>2</v>
      </c>
      <c r="G745" s="23" t="s">
        <v>11</v>
      </c>
      <c r="H745" s="24" t="s">
        <v>12</v>
      </c>
      <c r="I745" s="24" t="s">
        <v>13</v>
      </c>
      <c r="J745" s="25" t="s">
        <v>14</v>
      </c>
      <c r="K745" s="48" t="s">
        <v>2</v>
      </c>
      <c r="L745" s="48" t="s">
        <v>17</v>
      </c>
      <c r="O745" s="3" t="s">
        <v>1</v>
      </c>
      <c r="P745" s="23" t="s">
        <v>11</v>
      </c>
      <c r="Q745" s="24" t="s">
        <v>12</v>
      </c>
      <c r="R745" s="24" t="s">
        <v>13</v>
      </c>
      <c r="S745" s="25" t="s">
        <v>14</v>
      </c>
      <c r="T745" s="48" t="s">
        <v>2</v>
      </c>
      <c r="U745" s="23" t="s">
        <v>11</v>
      </c>
      <c r="V745" s="24" t="s">
        <v>12</v>
      </c>
      <c r="W745" s="24" t="s">
        <v>13</v>
      </c>
      <c r="X745" s="25" t="s">
        <v>14</v>
      </c>
      <c r="Y745" s="48" t="s">
        <v>2</v>
      </c>
      <c r="Z745" s="48" t="s">
        <v>17</v>
      </c>
    </row>
    <row r="746" spans="1:28" x14ac:dyDescent="0.15">
      <c r="A746" s="116" t="s">
        <v>9</v>
      </c>
      <c r="B746" s="113">
        <f>B740</f>
        <v>9</v>
      </c>
      <c r="C746" s="27">
        <f>C740</f>
        <v>1</v>
      </c>
      <c r="D746" s="27">
        <f>D740</f>
        <v>3</v>
      </c>
      <c r="E746" s="42">
        <f>E740</f>
        <v>2</v>
      </c>
      <c r="F746" s="28">
        <f>SUM(B746:E746)</f>
        <v>15</v>
      </c>
      <c r="G746" s="113">
        <f>G740</f>
        <v>2</v>
      </c>
      <c r="H746" s="27">
        <f>H740</f>
        <v>4</v>
      </c>
      <c r="I746" s="27">
        <f>I740</f>
        <v>5</v>
      </c>
      <c r="J746" s="42">
        <f>J740</f>
        <v>13</v>
      </c>
      <c r="K746" s="28">
        <f>SUM(G746:J746)</f>
        <v>24</v>
      </c>
      <c r="L746" s="114">
        <f>F746+K746</f>
        <v>39</v>
      </c>
      <c r="O746" s="54" t="s">
        <v>9</v>
      </c>
      <c r="P746" s="26">
        <f>P740</f>
        <v>212</v>
      </c>
      <c r="Q746" s="27">
        <f>Q740</f>
        <v>129</v>
      </c>
      <c r="R746" s="27">
        <f>R740</f>
        <v>102</v>
      </c>
      <c r="S746" s="42">
        <f>S740</f>
        <v>56</v>
      </c>
      <c r="T746" s="28">
        <f>SUM(P746:S746)</f>
        <v>499</v>
      </c>
      <c r="U746" s="26">
        <f>U740</f>
        <v>47</v>
      </c>
      <c r="V746" s="27">
        <f>V740</f>
        <v>45</v>
      </c>
      <c r="W746" s="27">
        <f>W740</f>
        <v>0</v>
      </c>
      <c r="X746" s="42">
        <f>X740</f>
        <v>0</v>
      </c>
      <c r="Y746" s="52">
        <f>SUM(U746:X746)</f>
        <v>92</v>
      </c>
      <c r="Z746" s="28">
        <f>T746+Y746</f>
        <v>591</v>
      </c>
    </row>
    <row r="747" spans="1:28" x14ac:dyDescent="0.15">
      <c r="A747" s="33" t="s">
        <v>10</v>
      </c>
      <c r="B747" s="9"/>
      <c r="C747" s="29"/>
      <c r="D747" s="29">
        <v>3</v>
      </c>
      <c r="E747" s="43"/>
      <c r="F747" s="14">
        <f t="shared" ref="F747:F750" si="597">SUM(B747:E747)</f>
        <v>3</v>
      </c>
      <c r="G747" s="9"/>
      <c r="H747" s="29"/>
      <c r="I747" s="29"/>
      <c r="J747" s="43"/>
      <c r="K747" s="14">
        <f t="shared" ref="K747:K750" si="598">SUM(G747:J747)</f>
        <v>0</v>
      </c>
      <c r="L747" s="125">
        <f t="shared" ref="L747:L779" si="599">F747+K747</f>
        <v>3</v>
      </c>
      <c r="M747" s="7">
        <v>45920</v>
      </c>
      <c r="O747" s="33" t="s">
        <v>37</v>
      </c>
      <c r="P747" s="9">
        <v>2</v>
      </c>
      <c r="Q747" s="29">
        <v>1</v>
      </c>
      <c r="R747" s="29">
        <v>3</v>
      </c>
      <c r="S747" s="43"/>
      <c r="T747" s="14">
        <f t="shared" ref="T747:T750" si="600">SUM(P747:S747)</f>
        <v>6</v>
      </c>
      <c r="U747" s="9"/>
      <c r="V747" s="29"/>
      <c r="W747" s="29"/>
      <c r="X747" s="43"/>
      <c r="Y747" s="14">
        <f t="shared" ref="Y747:Y750" si="601">SUM(U747:X747)</f>
        <v>0</v>
      </c>
      <c r="Z747" s="125">
        <f t="shared" ref="Z747:Z779" si="602">T747+Y747</f>
        <v>6</v>
      </c>
      <c r="AA747" s="7">
        <v>45947</v>
      </c>
    </row>
    <row r="748" spans="1:28" x14ac:dyDescent="0.15">
      <c r="A748" s="33" t="s">
        <v>3</v>
      </c>
      <c r="B748" s="9"/>
      <c r="C748" s="29">
        <v>3</v>
      </c>
      <c r="D748" s="29"/>
      <c r="E748" s="43"/>
      <c r="F748" s="14">
        <f t="shared" si="597"/>
        <v>3</v>
      </c>
      <c r="G748" s="9">
        <v>3</v>
      </c>
      <c r="H748" s="29">
        <v>3</v>
      </c>
      <c r="I748" s="29"/>
      <c r="J748" s="43"/>
      <c r="K748" s="14">
        <f t="shared" si="598"/>
        <v>6</v>
      </c>
      <c r="L748" s="125">
        <f t="shared" si="599"/>
        <v>9</v>
      </c>
      <c r="M748" s="7">
        <v>45926</v>
      </c>
      <c r="O748" s="33" t="s">
        <v>49</v>
      </c>
      <c r="P748" s="8">
        <v>7</v>
      </c>
      <c r="Q748" s="9">
        <v>1</v>
      </c>
      <c r="R748" s="9">
        <v>3</v>
      </c>
      <c r="S748" s="39">
        <v>2</v>
      </c>
      <c r="T748" s="14">
        <f t="shared" si="600"/>
        <v>13</v>
      </c>
      <c r="U748" s="9">
        <v>2</v>
      </c>
      <c r="V748" s="9">
        <v>4</v>
      </c>
      <c r="W748" s="9"/>
      <c r="X748" s="39"/>
      <c r="Y748" s="14">
        <f t="shared" si="601"/>
        <v>6</v>
      </c>
      <c r="Z748" s="14">
        <f t="shared" si="602"/>
        <v>19</v>
      </c>
      <c r="AA748" s="7">
        <v>45962</v>
      </c>
    </row>
    <row r="749" spans="1:28" x14ac:dyDescent="0.15">
      <c r="A749" s="33" t="s">
        <v>38</v>
      </c>
      <c r="B749" s="9"/>
      <c r="C749" s="29">
        <v>1</v>
      </c>
      <c r="D749" s="29"/>
      <c r="E749" s="43"/>
      <c r="F749" s="14">
        <f t="shared" si="597"/>
        <v>1</v>
      </c>
      <c r="G749" s="9"/>
      <c r="H749" s="29"/>
      <c r="I749" s="29"/>
      <c r="J749" s="43"/>
      <c r="K749" s="14">
        <f t="shared" si="598"/>
        <v>0</v>
      </c>
      <c r="L749" s="125">
        <f t="shared" si="599"/>
        <v>1</v>
      </c>
      <c r="M749" s="7">
        <v>45950</v>
      </c>
      <c r="O749" s="33" t="s">
        <v>4</v>
      </c>
      <c r="P749" s="122"/>
      <c r="Q749" s="119"/>
      <c r="R749" s="119"/>
      <c r="S749" s="120"/>
      <c r="T749" s="14">
        <f t="shared" ref="T749" si="603">SUM(P749:S749)</f>
        <v>0</v>
      </c>
      <c r="U749" s="122"/>
      <c r="V749" s="119"/>
      <c r="W749" s="119"/>
      <c r="X749" s="120"/>
      <c r="Y749" s="14">
        <f t="shared" ref="Y749" si="604">SUM(U749:X749)</f>
        <v>0</v>
      </c>
      <c r="Z749" s="125">
        <f t="shared" ref="Z749" si="605">T749+Y749</f>
        <v>0</v>
      </c>
    </row>
    <row r="750" spans="1:28" ht="14.25" thickBot="1" x14ac:dyDescent="0.2">
      <c r="A750" s="33" t="s">
        <v>38</v>
      </c>
      <c r="B750" s="135">
        <v>1</v>
      </c>
      <c r="C750" s="136"/>
      <c r="D750" s="136"/>
      <c r="E750" s="137"/>
      <c r="F750" s="59">
        <f t="shared" si="597"/>
        <v>1</v>
      </c>
      <c r="G750" s="135"/>
      <c r="H750" s="136"/>
      <c r="I750" s="136"/>
      <c r="J750" s="137"/>
      <c r="K750" s="59">
        <f t="shared" si="598"/>
        <v>0</v>
      </c>
      <c r="L750" s="138">
        <f t="shared" si="599"/>
        <v>1</v>
      </c>
      <c r="M750" s="7">
        <v>45950</v>
      </c>
      <c r="O750" s="35" t="s">
        <v>5</v>
      </c>
      <c r="P750" s="135"/>
      <c r="Q750" s="136"/>
      <c r="R750" s="136"/>
      <c r="S750" s="137"/>
      <c r="T750" s="59">
        <f t="shared" si="600"/>
        <v>0</v>
      </c>
      <c r="U750" s="135"/>
      <c r="V750" s="136"/>
      <c r="W750" s="136"/>
      <c r="X750" s="137"/>
      <c r="Y750" s="59">
        <f t="shared" si="601"/>
        <v>0</v>
      </c>
      <c r="Z750" s="138">
        <f t="shared" si="602"/>
        <v>0</v>
      </c>
    </row>
    <row r="751" spans="1:28" ht="14.25" thickBot="1" x14ac:dyDescent="0.2">
      <c r="A751" s="2" t="s">
        <v>6</v>
      </c>
      <c r="B751" s="139">
        <f>SUM(B746:B750)</f>
        <v>10</v>
      </c>
      <c r="C751" s="140">
        <f>SUM(C746:C750)</f>
        <v>5</v>
      </c>
      <c r="D751" s="140">
        <f>SUM(D746:D750)</f>
        <v>6</v>
      </c>
      <c r="E751" s="141">
        <f>SUM(E746:E750)</f>
        <v>2</v>
      </c>
      <c r="F751" s="32">
        <f>SUM(B751:E751)</f>
        <v>23</v>
      </c>
      <c r="G751" s="142">
        <f>SUM(G746:G750)</f>
        <v>5</v>
      </c>
      <c r="H751" s="140">
        <f>SUM(H746:H750)</f>
        <v>7</v>
      </c>
      <c r="I751" s="140">
        <f>SUM(I746:I750)</f>
        <v>5</v>
      </c>
      <c r="J751" s="141">
        <f>SUM(J746:J750)</f>
        <v>13</v>
      </c>
      <c r="K751" s="32">
        <f>SUM(G751:J751)</f>
        <v>30</v>
      </c>
      <c r="L751" s="11">
        <f t="shared" si="599"/>
        <v>53</v>
      </c>
      <c r="O751" s="2" t="s">
        <v>6</v>
      </c>
      <c r="P751" s="139">
        <f>SUM(P746:P750)</f>
        <v>221</v>
      </c>
      <c r="Q751" s="140">
        <f>SUM(Q746:Q750)</f>
        <v>131</v>
      </c>
      <c r="R751" s="140">
        <f>SUM(R746:R750)</f>
        <v>108</v>
      </c>
      <c r="S751" s="141">
        <f>SUM(S746:S750)</f>
        <v>58</v>
      </c>
      <c r="T751" s="32">
        <f>SUM(P751:S751)</f>
        <v>518</v>
      </c>
      <c r="U751" s="142">
        <f>SUM(U746:U750)</f>
        <v>49</v>
      </c>
      <c r="V751" s="140">
        <f>SUM(V746:V750)</f>
        <v>49</v>
      </c>
      <c r="W751" s="140">
        <f>SUM(W746:W750)</f>
        <v>0</v>
      </c>
      <c r="X751" s="141">
        <f>SUM(X746:X750)</f>
        <v>0</v>
      </c>
      <c r="Y751" s="32">
        <f>SUM(U751:X751)</f>
        <v>98</v>
      </c>
      <c r="Z751" s="11">
        <f t="shared" si="602"/>
        <v>616</v>
      </c>
    </row>
    <row r="752" spans="1:28" x14ac:dyDescent="0.15">
      <c r="A752" s="38" t="s">
        <v>35</v>
      </c>
      <c r="B752" s="8"/>
      <c r="C752" s="9"/>
      <c r="D752" s="9"/>
      <c r="E752" s="39"/>
      <c r="F752" s="14">
        <f t="shared" ref="F752:F774" si="606">SUM(B752:E752)</f>
        <v>0</v>
      </c>
      <c r="G752" s="9"/>
      <c r="H752" s="9"/>
      <c r="I752" s="9"/>
      <c r="J752" s="39"/>
      <c r="K752" s="14">
        <f t="shared" ref="K752:K774" si="607">SUM(G752:J752)</f>
        <v>0</v>
      </c>
      <c r="L752" s="14">
        <f t="shared" ref="L752:L774" si="608">F752+K752</f>
        <v>0</v>
      </c>
      <c r="M752" s="7">
        <v>45922</v>
      </c>
      <c r="O752" s="35" t="s">
        <v>31</v>
      </c>
      <c r="P752" s="8"/>
      <c r="Q752" s="9"/>
      <c r="R752" s="9">
        <v>3</v>
      </c>
      <c r="S752" s="39"/>
      <c r="T752" s="14">
        <f t="shared" ref="T752:T753" si="609">SUM(P752:S752)</f>
        <v>3</v>
      </c>
      <c r="U752" s="9"/>
      <c r="V752" s="9"/>
      <c r="W752" s="9"/>
      <c r="X752" s="39"/>
      <c r="Y752" s="14">
        <f t="shared" ref="Y752:Y753" si="610">SUM(U752:X752)</f>
        <v>0</v>
      </c>
      <c r="Z752" s="14">
        <f t="shared" si="602"/>
        <v>3</v>
      </c>
      <c r="AA752" s="7">
        <v>45920</v>
      </c>
    </row>
    <row r="753" spans="1:28" x14ac:dyDescent="0.15">
      <c r="A753" s="38" t="s">
        <v>35</v>
      </c>
      <c r="B753" s="8"/>
      <c r="C753" s="9"/>
      <c r="D753" s="9"/>
      <c r="E753" s="39"/>
      <c r="F753" s="14">
        <f t="shared" si="606"/>
        <v>0</v>
      </c>
      <c r="G753" s="9"/>
      <c r="H753" s="9"/>
      <c r="I753" s="9">
        <v>1</v>
      </c>
      <c r="J753" s="39"/>
      <c r="K753" s="14">
        <f t="shared" si="607"/>
        <v>1</v>
      </c>
      <c r="L753" s="14">
        <f t="shared" si="608"/>
        <v>1</v>
      </c>
      <c r="M753" s="7">
        <v>45929</v>
      </c>
      <c r="O753" s="35" t="s">
        <v>31</v>
      </c>
      <c r="P753" s="8"/>
      <c r="Q753" s="9">
        <v>3</v>
      </c>
      <c r="R753" s="9"/>
      <c r="S753" s="39">
        <v>3</v>
      </c>
      <c r="T753" s="14">
        <f t="shared" si="609"/>
        <v>6</v>
      </c>
      <c r="U753" s="9">
        <v>3</v>
      </c>
      <c r="V753" s="9">
        <v>3</v>
      </c>
      <c r="W753" s="9"/>
      <c r="X753" s="39"/>
      <c r="Y753" s="14">
        <f t="shared" si="610"/>
        <v>6</v>
      </c>
      <c r="Z753" s="14">
        <f t="shared" si="602"/>
        <v>12</v>
      </c>
      <c r="AA753" s="7">
        <v>45926</v>
      </c>
    </row>
    <row r="754" spans="1:28" x14ac:dyDescent="0.15">
      <c r="A754" s="38" t="s">
        <v>35</v>
      </c>
      <c r="B754" s="8"/>
      <c r="C754" s="9"/>
      <c r="D754" s="9"/>
      <c r="E754" s="39"/>
      <c r="F754" s="14">
        <f t="shared" si="606"/>
        <v>0</v>
      </c>
      <c r="G754" s="9"/>
      <c r="H754" s="9"/>
      <c r="I754" s="9"/>
      <c r="J754" s="39">
        <v>1</v>
      </c>
      <c r="K754" s="14">
        <f t="shared" si="607"/>
        <v>1</v>
      </c>
      <c r="L754" s="14">
        <f t="shared" si="608"/>
        <v>1</v>
      </c>
      <c r="M754" s="7">
        <v>45936</v>
      </c>
      <c r="O754" s="35" t="s">
        <v>242</v>
      </c>
      <c r="P754" s="8"/>
      <c r="Q754" s="9"/>
      <c r="R754" s="9"/>
      <c r="S754" s="39">
        <v>2</v>
      </c>
      <c r="T754" s="14">
        <f t="shared" ref="T754:T762" si="611">SUM(P754:S754)</f>
        <v>2</v>
      </c>
      <c r="U754" s="9"/>
      <c r="V754" s="9"/>
      <c r="W754" s="9"/>
      <c r="X754" s="39"/>
      <c r="Y754" s="14">
        <f t="shared" ref="Y754:Y762" si="612">SUM(U754:X754)</f>
        <v>0</v>
      </c>
      <c r="Z754" s="14">
        <f t="shared" ref="Z754:Z762" si="613">T754+Y754</f>
        <v>2</v>
      </c>
      <c r="AA754" s="7">
        <v>45932</v>
      </c>
    </row>
    <row r="755" spans="1:28" x14ac:dyDescent="0.15">
      <c r="A755" s="38" t="s">
        <v>35</v>
      </c>
      <c r="B755" s="8"/>
      <c r="C755" s="9">
        <v>1</v>
      </c>
      <c r="D755" s="9"/>
      <c r="E755" s="39"/>
      <c r="F755" s="14">
        <f t="shared" si="606"/>
        <v>1</v>
      </c>
      <c r="G755" s="9"/>
      <c r="H755" s="9"/>
      <c r="I755" s="9"/>
      <c r="J755" s="39"/>
      <c r="K755" s="14">
        <f t="shared" si="607"/>
        <v>0</v>
      </c>
      <c r="L755" s="14">
        <f t="shared" si="608"/>
        <v>1</v>
      </c>
      <c r="M755" s="7">
        <v>45937</v>
      </c>
      <c r="O755" s="35" t="s">
        <v>243</v>
      </c>
      <c r="P755" s="8">
        <v>1</v>
      </c>
      <c r="Q755" s="9"/>
      <c r="R755" s="9"/>
      <c r="S755" s="39"/>
      <c r="T755" s="14">
        <f t="shared" si="611"/>
        <v>1</v>
      </c>
      <c r="U755" s="9"/>
      <c r="V755" s="9"/>
      <c r="W755" s="9"/>
      <c r="X755" s="39"/>
      <c r="Y755" s="14">
        <f t="shared" si="612"/>
        <v>0</v>
      </c>
      <c r="Z755" s="14">
        <f t="shared" si="613"/>
        <v>1</v>
      </c>
      <c r="AA755" s="7">
        <v>45933</v>
      </c>
    </row>
    <row r="756" spans="1:28" x14ac:dyDescent="0.15">
      <c r="A756" s="33" t="s">
        <v>248</v>
      </c>
      <c r="B756" s="8">
        <v>7</v>
      </c>
      <c r="C756" s="9">
        <v>1</v>
      </c>
      <c r="D756" s="9">
        <v>3</v>
      </c>
      <c r="E756" s="39">
        <v>2</v>
      </c>
      <c r="F756" s="14">
        <f t="shared" si="606"/>
        <v>13</v>
      </c>
      <c r="G756" s="9">
        <v>2</v>
      </c>
      <c r="H756" s="9">
        <v>4</v>
      </c>
      <c r="I756" s="9"/>
      <c r="J756" s="39"/>
      <c r="K756" s="14">
        <f t="shared" si="607"/>
        <v>6</v>
      </c>
      <c r="L756" s="14">
        <f t="shared" si="608"/>
        <v>19</v>
      </c>
      <c r="M756" s="7">
        <v>45962</v>
      </c>
      <c r="O756" s="35" t="s">
        <v>244</v>
      </c>
      <c r="P756" s="8"/>
      <c r="Q756" s="9"/>
      <c r="R756" s="9"/>
      <c r="S756" s="39">
        <v>4</v>
      </c>
      <c r="T756" s="14">
        <f t="shared" si="611"/>
        <v>4</v>
      </c>
      <c r="U756" s="9"/>
      <c r="V756" s="9"/>
      <c r="W756" s="9"/>
      <c r="X756" s="39"/>
      <c r="Y756" s="14">
        <f t="shared" si="612"/>
        <v>0</v>
      </c>
      <c r="Z756" s="14">
        <f t="shared" si="613"/>
        <v>4</v>
      </c>
      <c r="AA756" s="7">
        <v>45937</v>
      </c>
    </row>
    <row r="757" spans="1:28" x14ac:dyDescent="0.15">
      <c r="A757" s="33" t="s">
        <v>35</v>
      </c>
      <c r="B757" s="8"/>
      <c r="C757" s="9"/>
      <c r="D757" s="9"/>
      <c r="E757" s="39">
        <v>1</v>
      </c>
      <c r="F757" s="14">
        <f t="shared" si="606"/>
        <v>1</v>
      </c>
      <c r="G757" s="9"/>
      <c r="H757" s="9"/>
      <c r="I757" s="9"/>
      <c r="J757" s="39"/>
      <c r="K757" s="14">
        <f t="shared" si="607"/>
        <v>0</v>
      </c>
      <c r="L757" s="14">
        <f t="shared" si="608"/>
        <v>1</v>
      </c>
      <c r="M757" s="7">
        <v>45965</v>
      </c>
      <c r="O757" s="35" t="s">
        <v>245</v>
      </c>
      <c r="P757" s="8">
        <v>1</v>
      </c>
      <c r="Q757" s="9"/>
      <c r="R757" s="9"/>
      <c r="S757" s="39"/>
      <c r="T757" s="14">
        <f t="shared" si="611"/>
        <v>1</v>
      </c>
      <c r="U757" s="9"/>
      <c r="V757" s="9"/>
      <c r="W757" s="9"/>
      <c r="X757" s="39"/>
      <c r="Y757" s="14">
        <f t="shared" si="612"/>
        <v>0</v>
      </c>
      <c r="Z757" s="14">
        <f t="shared" si="613"/>
        <v>1</v>
      </c>
      <c r="AA757" s="7">
        <v>45944</v>
      </c>
    </row>
    <row r="758" spans="1:28" x14ac:dyDescent="0.15">
      <c r="A758" s="33" t="s">
        <v>35</v>
      </c>
      <c r="B758" s="8"/>
      <c r="C758" s="9">
        <v>1</v>
      </c>
      <c r="D758" s="9"/>
      <c r="E758" s="39"/>
      <c r="F758" s="14">
        <f t="shared" si="606"/>
        <v>1</v>
      </c>
      <c r="G758" s="9"/>
      <c r="H758" s="9"/>
      <c r="I758" s="9"/>
      <c r="J758" s="39"/>
      <c r="K758" s="14">
        <f t="shared" si="607"/>
        <v>0</v>
      </c>
      <c r="L758" s="14">
        <f t="shared" si="608"/>
        <v>1</v>
      </c>
      <c r="M758" s="7">
        <v>45968</v>
      </c>
      <c r="O758" s="35" t="s">
        <v>246</v>
      </c>
      <c r="P758" s="8"/>
      <c r="Q758" s="9"/>
      <c r="R758" s="9">
        <v>8</v>
      </c>
      <c r="S758" s="39"/>
      <c r="T758" s="14">
        <f t="shared" si="611"/>
        <v>8</v>
      </c>
      <c r="U758" s="9"/>
      <c r="V758" s="9"/>
      <c r="W758" s="9"/>
      <c r="X758" s="39"/>
      <c r="Y758" s="14">
        <f t="shared" si="612"/>
        <v>0</v>
      </c>
      <c r="Z758" s="14">
        <f t="shared" si="613"/>
        <v>8</v>
      </c>
      <c r="AA758" s="7">
        <v>45954</v>
      </c>
    </row>
    <row r="759" spans="1:28" x14ac:dyDescent="0.15">
      <c r="A759" s="33" t="s">
        <v>35</v>
      </c>
      <c r="B759" s="8"/>
      <c r="C759" s="9">
        <v>1</v>
      </c>
      <c r="D759" s="9"/>
      <c r="E759" s="39"/>
      <c r="F759" s="14">
        <f t="shared" si="606"/>
        <v>1</v>
      </c>
      <c r="G759" s="9"/>
      <c r="H759" s="9"/>
      <c r="I759" s="9"/>
      <c r="J759" s="39"/>
      <c r="K759" s="14">
        <f t="shared" si="607"/>
        <v>0</v>
      </c>
      <c r="L759" s="14">
        <f t="shared" si="608"/>
        <v>1</v>
      </c>
      <c r="M759" s="7">
        <v>45971</v>
      </c>
      <c r="O759" s="35" t="s">
        <v>247</v>
      </c>
      <c r="P759" s="8"/>
      <c r="Q759" s="9"/>
      <c r="R759" s="9"/>
      <c r="S759" s="39">
        <v>2</v>
      </c>
      <c r="T759" s="14">
        <f t="shared" si="611"/>
        <v>2</v>
      </c>
      <c r="U759" s="9"/>
      <c r="V759" s="9"/>
      <c r="W759" s="9"/>
      <c r="X759" s="39"/>
      <c r="Y759" s="14">
        <f t="shared" si="612"/>
        <v>0</v>
      </c>
      <c r="Z759" s="14">
        <f t="shared" si="613"/>
        <v>2</v>
      </c>
      <c r="AA759" s="7">
        <v>45959</v>
      </c>
    </row>
    <row r="760" spans="1:28" x14ac:dyDescent="0.15">
      <c r="A760" s="33" t="s">
        <v>35</v>
      </c>
      <c r="B760" s="8"/>
      <c r="C760" s="9">
        <v>1</v>
      </c>
      <c r="D760" s="9"/>
      <c r="E760" s="39"/>
      <c r="F760" s="14">
        <f t="shared" si="606"/>
        <v>1</v>
      </c>
      <c r="G760" s="9"/>
      <c r="H760" s="9"/>
      <c r="I760" s="9"/>
      <c r="J760" s="39"/>
      <c r="K760" s="14">
        <f t="shared" si="607"/>
        <v>0</v>
      </c>
      <c r="L760" s="14">
        <f t="shared" si="608"/>
        <v>1</v>
      </c>
      <c r="M760" s="7">
        <v>45974</v>
      </c>
      <c r="O760" s="148" t="s">
        <v>252</v>
      </c>
      <c r="P760" s="62"/>
      <c r="Q760" s="63">
        <v>3</v>
      </c>
      <c r="R760" s="63"/>
      <c r="S760" s="64"/>
      <c r="T760" s="65">
        <f t="shared" si="611"/>
        <v>3</v>
      </c>
      <c r="U760" s="63"/>
      <c r="V760" s="63"/>
      <c r="W760" s="63"/>
      <c r="X760" s="64"/>
      <c r="Y760" s="65">
        <f t="shared" si="612"/>
        <v>0</v>
      </c>
      <c r="Z760" s="65">
        <f t="shared" si="613"/>
        <v>3</v>
      </c>
      <c r="AA760" s="149">
        <v>45980</v>
      </c>
      <c r="AB760" s="150"/>
    </row>
    <row r="761" spans="1:28" x14ac:dyDescent="0.15">
      <c r="A761" s="33" t="s">
        <v>35</v>
      </c>
      <c r="B761" s="8"/>
      <c r="C761" s="9"/>
      <c r="D761" s="9"/>
      <c r="E761" s="39">
        <v>1</v>
      </c>
      <c r="F761" s="14">
        <f t="shared" si="606"/>
        <v>1</v>
      </c>
      <c r="G761" s="9"/>
      <c r="H761" s="9"/>
      <c r="I761" s="9"/>
      <c r="J761" s="39"/>
      <c r="K761" s="14">
        <f t="shared" si="607"/>
        <v>0</v>
      </c>
      <c r="L761" s="14">
        <f t="shared" si="608"/>
        <v>1</v>
      </c>
      <c r="M761" s="7">
        <v>45978</v>
      </c>
      <c r="O761" s="35" t="s">
        <v>252</v>
      </c>
      <c r="P761" s="8"/>
      <c r="Q761" s="9"/>
      <c r="R761" s="9">
        <v>3</v>
      </c>
      <c r="S761" s="39"/>
      <c r="T761" s="14">
        <f t="shared" si="611"/>
        <v>3</v>
      </c>
      <c r="U761" s="9"/>
      <c r="V761" s="9"/>
      <c r="W761" s="9"/>
      <c r="X761" s="39"/>
      <c r="Y761" s="14">
        <f t="shared" si="612"/>
        <v>0</v>
      </c>
      <c r="Z761" s="14">
        <f t="shared" si="613"/>
        <v>3</v>
      </c>
      <c r="AA761" s="7">
        <v>45989</v>
      </c>
    </row>
    <row r="762" spans="1:28" x14ac:dyDescent="0.15">
      <c r="A762" s="33" t="s">
        <v>35</v>
      </c>
      <c r="B762" s="8"/>
      <c r="C762" s="9"/>
      <c r="D762" s="9">
        <v>1</v>
      </c>
      <c r="E762" s="39"/>
      <c r="F762" s="14">
        <f t="shared" si="606"/>
        <v>1</v>
      </c>
      <c r="G762" s="9"/>
      <c r="H762" s="9"/>
      <c r="I762" s="9"/>
      <c r="J762" s="39"/>
      <c r="K762" s="14">
        <f t="shared" si="607"/>
        <v>0</v>
      </c>
      <c r="L762" s="14">
        <f t="shared" si="608"/>
        <v>1</v>
      </c>
      <c r="M762" s="7">
        <v>45979</v>
      </c>
      <c r="O762" s="148" t="s">
        <v>252</v>
      </c>
      <c r="P762" s="62"/>
      <c r="Q762" s="63">
        <v>3</v>
      </c>
      <c r="R762" s="63"/>
      <c r="S762" s="64"/>
      <c r="T762" s="65">
        <f t="shared" si="611"/>
        <v>3</v>
      </c>
      <c r="U762" s="63">
        <v>3</v>
      </c>
      <c r="V762" s="63">
        <v>3</v>
      </c>
      <c r="W762" s="63"/>
      <c r="X762" s="64"/>
      <c r="Y762" s="65">
        <f t="shared" si="612"/>
        <v>6</v>
      </c>
      <c r="Z762" s="65">
        <f t="shared" si="613"/>
        <v>9</v>
      </c>
      <c r="AA762" s="149">
        <v>46015</v>
      </c>
    </row>
    <row r="763" spans="1:28" x14ac:dyDescent="0.15">
      <c r="A763" s="152" t="s">
        <v>40</v>
      </c>
      <c r="B763" s="62"/>
      <c r="C763" s="63">
        <v>-3</v>
      </c>
      <c r="D763" s="63"/>
      <c r="E763" s="64">
        <v>-3</v>
      </c>
      <c r="F763" s="65">
        <f t="shared" si="606"/>
        <v>-6</v>
      </c>
      <c r="G763" s="63"/>
      <c r="H763" s="63"/>
      <c r="I763" s="63"/>
      <c r="J763" s="64"/>
      <c r="K763" s="65">
        <f t="shared" si="607"/>
        <v>0</v>
      </c>
      <c r="L763" s="65">
        <f t="shared" si="608"/>
        <v>-6</v>
      </c>
      <c r="M763" s="149">
        <v>45980</v>
      </c>
      <c r="O763" s="35" t="s">
        <v>254</v>
      </c>
      <c r="P763" s="8"/>
      <c r="Q763" s="9"/>
      <c r="R763" s="9">
        <v>1</v>
      </c>
      <c r="S763" s="39"/>
      <c r="T763" s="14">
        <f t="shared" ref="T763:T779" si="614">SUM(P763:S763)</f>
        <v>1</v>
      </c>
      <c r="U763" s="9"/>
      <c r="V763" s="9"/>
      <c r="W763" s="9"/>
      <c r="X763" s="39"/>
      <c r="Y763" s="14">
        <f t="shared" ref="Y763:Y779" si="615">SUM(U763:X763)</f>
        <v>0</v>
      </c>
      <c r="Z763" s="14">
        <f t="shared" si="602"/>
        <v>1</v>
      </c>
      <c r="AA763" s="7">
        <v>46035</v>
      </c>
    </row>
    <row r="764" spans="1:28" x14ac:dyDescent="0.15">
      <c r="A764" s="33" t="s">
        <v>35</v>
      </c>
      <c r="B764" s="8"/>
      <c r="C764" s="9">
        <v>1</v>
      </c>
      <c r="D764" s="9"/>
      <c r="E764" s="39"/>
      <c r="F764" s="14">
        <f t="shared" si="606"/>
        <v>1</v>
      </c>
      <c r="G764" s="9"/>
      <c r="H764" s="9"/>
      <c r="I764" s="9"/>
      <c r="J764" s="39"/>
      <c r="K764" s="14">
        <f t="shared" si="607"/>
        <v>0</v>
      </c>
      <c r="L764" s="14">
        <f t="shared" si="608"/>
        <v>1</v>
      </c>
      <c r="M764" s="7">
        <v>45986</v>
      </c>
      <c r="O764" s="148" t="s">
        <v>252</v>
      </c>
      <c r="P764" s="62"/>
      <c r="Q764" s="63"/>
      <c r="R764" s="63"/>
      <c r="S764" s="64">
        <v>2</v>
      </c>
      <c r="T764" s="65">
        <f t="shared" si="614"/>
        <v>2</v>
      </c>
      <c r="U764" s="63"/>
      <c r="V764" s="63"/>
      <c r="W764" s="63"/>
      <c r="X764" s="64"/>
      <c r="Y764" s="65">
        <f t="shared" si="615"/>
        <v>0</v>
      </c>
      <c r="Z764" s="65">
        <f t="shared" si="602"/>
        <v>2</v>
      </c>
      <c r="AA764" s="149">
        <v>46030</v>
      </c>
    </row>
    <row r="765" spans="1:28" x14ac:dyDescent="0.15">
      <c r="A765" s="33" t="s">
        <v>35</v>
      </c>
      <c r="B765" s="8"/>
      <c r="C765" s="9"/>
      <c r="D765" s="9">
        <v>1</v>
      </c>
      <c r="E765" s="39"/>
      <c r="F765" s="14">
        <f t="shared" si="606"/>
        <v>1</v>
      </c>
      <c r="G765" s="9"/>
      <c r="H765" s="9"/>
      <c r="I765" s="9"/>
      <c r="J765" s="39"/>
      <c r="K765" s="14">
        <f t="shared" si="607"/>
        <v>0</v>
      </c>
      <c r="L765" s="14">
        <f t="shared" si="608"/>
        <v>1</v>
      </c>
      <c r="M765" s="7">
        <v>45987</v>
      </c>
      <c r="O765" s="35" t="s">
        <v>256</v>
      </c>
      <c r="P765" s="8"/>
      <c r="Q765" s="9"/>
      <c r="R765" s="9">
        <v>3</v>
      </c>
      <c r="S765" s="39"/>
      <c r="T765" s="14">
        <f t="shared" si="614"/>
        <v>3</v>
      </c>
      <c r="U765" s="9"/>
      <c r="V765" s="9"/>
      <c r="W765" s="9"/>
      <c r="X765" s="39"/>
      <c r="Y765" s="14">
        <f t="shared" si="615"/>
        <v>0</v>
      </c>
      <c r="Z765" s="14">
        <f t="shared" si="602"/>
        <v>3</v>
      </c>
      <c r="AA765" s="7">
        <v>46051</v>
      </c>
    </row>
    <row r="766" spans="1:28" x14ac:dyDescent="0.15">
      <c r="A766" s="33" t="s">
        <v>40</v>
      </c>
      <c r="B766" s="8"/>
      <c r="C766" s="9"/>
      <c r="D766" s="9">
        <v>-3</v>
      </c>
      <c r="E766" s="39"/>
      <c r="F766" s="14">
        <f t="shared" si="606"/>
        <v>-3</v>
      </c>
      <c r="G766" s="9"/>
      <c r="H766" s="9"/>
      <c r="I766" s="9"/>
      <c r="J766" s="39"/>
      <c r="K766" s="14">
        <f t="shared" si="607"/>
        <v>0</v>
      </c>
      <c r="L766" s="14">
        <f t="shared" si="608"/>
        <v>-3</v>
      </c>
      <c r="M766" s="7">
        <v>45989</v>
      </c>
      <c r="O766" s="35" t="s">
        <v>257</v>
      </c>
      <c r="P766" s="8"/>
      <c r="Q766" s="9">
        <v>2</v>
      </c>
      <c r="R766" s="9"/>
      <c r="S766" s="39"/>
      <c r="T766" s="14">
        <f t="shared" si="614"/>
        <v>2</v>
      </c>
      <c r="U766" s="9"/>
      <c r="V766" s="9"/>
      <c r="W766" s="9"/>
      <c r="X766" s="39"/>
      <c r="Y766" s="14">
        <f t="shared" si="615"/>
        <v>0</v>
      </c>
      <c r="Z766" s="14">
        <f t="shared" si="602"/>
        <v>2</v>
      </c>
      <c r="AA766" s="7">
        <v>46077</v>
      </c>
    </row>
    <row r="767" spans="1:28" x14ac:dyDescent="0.15">
      <c r="A767" s="33" t="s">
        <v>35</v>
      </c>
      <c r="B767" s="8"/>
      <c r="C767" s="9"/>
      <c r="D767" s="9"/>
      <c r="E767" s="39"/>
      <c r="F767" s="14">
        <f t="shared" si="606"/>
        <v>0</v>
      </c>
      <c r="G767" s="9"/>
      <c r="H767" s="9">
        <v>1</v>
      </c>
      <c r="I767" s="9"/>
      <c r="J767" s="39"/>
      <c r="K767" s="14">
        <f t="shared" si="607"/>
        <v>1</v>
      </c>
      <c r="L767" s="14">
        <f t="shared" si="608"/>
        <v>1</v>
      </c>
      <c r="M767" s="7">
        <v>45999</v>
      </c>
      <c r="O767" s="35"/>
      <c r="P767" s="8"/>
      <c r="Q767" s="9"/>
      <c r="R767" s="9"/>
      <c r="S767" s="39"/>
      <c r="T767" s="14">
        <f t="shared" ref="T767" si="616">SUM(P767:S767)</f>
        <v>0</v>
      </c>
      <c r="U767" s="9"/>
      <c r="V767" s="9"/>
      <c r="W767" s="9"/>
      <c r="X767" s="39"/>
      <c r="Y767" s="14">
        <f t="shared" ref="Y767" si="617">SUM(U767:X767)</f>
        <v>0</v>
      </c>
      <c r="Z767" s="14">
        <f t="shared" ref="Z767" si="618">T767+Y767</f>
        <v>0</v>
      </c>
    </row>
    <row r="768" spans="1:28" x14ac:dyDescent="0.15">
      <c r="A768" s="33" t="s">
        <v>35</v>
      </c>
      <c r="B768" s="8"/>
      <c r="C768" s="9"/>
      <c r="D768" s="9"/>
      <c r="E768" s="39"/>
      <c r="F768" s="14">
        <f t="shared" si="606"/>
        <v>0</v>
      </c>
      <c r="G768" s="9"/>
      <c r="H768" s="9"/>
      <c r="I768" s="9">
        <v>1</v>
      </c>
      <c r="J768" s="39"/>
      <c r="K768" s="14">
        <f t="shared" si="607"/>
        <v>1</v>
      </c>
      <c r="L768" s="14">
        <f t="shared" si="608"/>
        <v>1</v>
      </c>
      <c r="M768" s="7">
        <v>46002</v>
      </c>
      <c r="O768" s="35"/>
      <c r="P768" s="8"/>
      <c r="Q768" s="9"/>
      <c r="R768" s="9"/>
      <c r="S768" s="39"/>
      <c r="T768" s="14">
        <f t="shared" si="614"/>
        <v>0</v>
      </c>
      <c r="U768" s="9"/>
      <c r="V768" s="9"/>
      <c r="W768" s="9"/>
      <c r="X768" s="39"/>
      <c r="Y768" s="14">
        <f t="shared" si="615"/>
        <v>0</v>
      </c>
      <c r="Z768" s="14">
        <f t="shared" si="602"/>
        <v>0</v>
      </c>
    </row>
    <row r="769" spans="1:26" x14ac:dyDescent="0.15">
      <c r="A769" s="33" t="s">
        <v>35</v>
      </c>
      <c r="B769" s="8"/>
      <c r="C769" s="9"/>
      <c r="D769" s="9"/>
      <c r="E769" s="39"/>
      <c r="F769" s="14">
        <f t="shared" si="606"/>
        <v>0</v>
      </c>
      <c r="G769" s="9">
        <v>1</v>
      </c>
      <c r="H769" s="9"/>
      <c r="I769" s="9"/>
      <c r="J769" s="39"/>
      <c r="K769" s="14">
        <f t="shared" si="607"/>
        <v>1</v>
      </c>
      <c r="L769" s="14">
        <f t="shared" si="608"/>
        <v>1</v>
      </c>
      <c r="O769" s="35"/>
      <c r="P769" s="8"/>
      <c r="Q769" s="9"/>
      <c r="R769" s="9"/>
      <c r="S769" s="39"/>
      <c r="T769" s="14">
        <f t="shared" si="614"/>
        <v>0</v>
      </c>
      <c r="U769" s="9"/>
      <c r="V769" s="9"/>
      <c r="W769" s="9"/>
      <c r="X769" s="39"/>
      <c r="Y769" s="14">
        <f t="shared" si="615"/>
        <v>0</v>
      </c>
      <c r="Z769" s="14">
        <f t="shared" si="602"/>
        <v>0</v>
      </c>
    </row>
    <row r="770" spans="1:26" x14ac:dyDescent="0.15">
      <c r="A770" s="152" t="s">
        <v>40</v>
      </c>
      <c r="B770" s="62"/>
      <c r="C770" s="63">
        <v>-3</v>
      </c>
      <c r="D770" s="63"/>
      <c r="E770" s="64"/>
      <c r="F770" s="65">
        <f t="shared" si="606"/>
        <v>-3</v>
      </c>
      <c r="G770" s="63">
        <v>-3</v>
      </c>
      <c r="H770" s="63">
        <v>-3</v>
      </c>
      <c r="I770" s="63"/>
      <c r="J770" s="64"/>
      <c r="K770" s="65">
        <f t="shared" si="607"/>
        <v>-6</v>
      </c>
      <c r="L770" s="65">
        <f t="shared" si="608"/>
        <v>-9</v>
      </c>
      <c r="M770" s="149">
        <v>46015</v>
      </c>
      <c r="O770" s="35"/>
      <c r="P770" s="8"/>
      <c r="Q770" s="9"/>
      <c r="R770" s="9"/>
      <c r="S770" s="39"/>
      <c r="T770" s="14">
        <f t="shared" si="614"/>
        <v>0</v>
      </c>
      <c r="U770" s="9"/>
      <c r="V770" s="9"/>
      <c r="W770" s="9"/>
      <c r="X770" s="39"/>
      <c r="Y770" s="14">
        <f t="shared" si="615"/>
        <v>0</v>
      </c>
      <c r="Z770" s="14">
        <f t="shared" si="602"/>
        <v>0</v>
      </c>
    </row>
    <row r="771" spans="1:26" x14ac:dyDescent="0.15">
      <c r="A771" s="33" t="s">
        <v>35</v>
      </c>
      <c r="B771" s="8"/>
      <c r="C771" s="9"/>
      <c r="D771" s="9">
        <v>1</v>
      </c>
      <c r="E771" s="39"/>
      <c r="F771" s="14">
        <f t="shared" si="606"/>
        <v>1</v>
      </c>
      <c r="G771" s="9"/>
      <c r="H771" s="9">
        <v>1</v>
      </c>
      <c r="I771" s="9"/>
      <c r="J771" s="39"/>
      <c r="K771" s="14">
        <f t="shared" si="607"/>
        <v>1</v>
      </c>
      <c r="L771" s="14">
        <f t="shared" si="608"/>
        <v>2</v>
      </c>
      <c r="M771" s="7">
        <v>46027</v>
      </c>
      <c r="O771" s="148"/>
      <c r="P771" s="62"/>
      <c r="Q771" s="63"/>
      <c r="R771" s="63"/>
      <c r="S771" s="64"/>
      <c r="T771" s="65">
        <f t="shared" si="614"/>
        <v>0</v>
      </c>
      <c r="U771" s="63"/>
      <c r="V771" s="63"/>
      <c r="W771" s="63"/>
      <c r="X771" s="64"/>
      <c r="Y771" s="65">
        <f t="shared" si="615"/>
        <v>0</v>
      </c>
      <c r="Z771" s="65">
        <f t="shared" si="602"/>
        <v>0</v>
      </c>
    </row>
    <row r="772" spans="1:26" x14ac:dyDescent="0.15">
      <c r="A772" s="152" t="s">
        <v>40</v>
      </c>
      <c r="B772" s="62"/>
      <c r="C772" s="63"/>
      <c r="D772" s="63"/>
      <c r="E772" s="64">
        <v>-2</v>
      </c>
      <c r="F772" s="65">
        <f t="shared" si="606"/>
        <v>-2</v>
      </c>
      <c r="G772" s="63"/>
      <c r="H772" s="63"/>
      <c r="I772" s="63"/>
      <c r="J772" s="64"/>
      <c r="K772" s="65">
        <f t="shared" si="607"/>
        <v>0</v>
      </c>
      <c r="L772" s="65">
        <f t="shared" si="608"/>
        <v>-2</v>
      </c>
      <c r="M772" s="149">
        <v>46030</v>
      </c>
      <c r="O772" s="148"/>
      <c r="P772" s="62"/>
      <c r="Q772" s="63"/>
      <c r="R772" s="63"/>
      <c r="S772" s="64"/>
      <c r="T772" s="65">
        <f t="shared" si="614"/>
        <v>0</v>
      </c>
      <c r="U772" s="63"/>
      <c r="V772" s="63"/>
      <c r="W772" s="63"/>
      <c r="X772" s="64"/>
      <c r="Y772" s="65">
        <f t="shared" si="615"/>
        <v>0</v>
      </c>
      <c r="Z772" s="65">
        <f t="shared" si="602"/>
        <v>0</v>
      </c>
    </row>
    <row r="773" spans="1:26" x14ac:dyDescent="0.15">
      <c r="A773" s="33" t="s">
        <v>35</v>
      </c>
      <c r="B773" s="8"/>
      <c r="C773" s="9"/>
      <c r="D773" s="9"/>
      <c r="E773" s="39"/>
      <c r="F773" s="14">
        <f t="shared" si="606"/>
        <v>0</v>
      </c>
      <c r="G773" s="9"/>
      <c r="H773" s="9"/>
      <c r="I773" s="9">
        <v>1</v>
      </c>
      <c r="J773" s="39"/>
      <c r="K773" s="14">
        <f t="shared" si="607"/>
        <v>1</v>
      </c>
      <c r="L773" s="14">
        <f t="shared" si="608"/>
        <v>1</v>
      </c>
      <c r="M773" s="7">
        <v>46035</v>
      </c>
      <c r="O773" s="148"/>
      <c r="P773" s="62"/>
      <c r="Q773" s="63"/>
      <c r="R773" s="63"/>
      <c r="S773" s="64"/>
      <c r="T773" s="65">
        <f t="shared" si="614"/>
        <v>0</v>
      </c>
      <c r="U773" s="63"/>
      <c r="V773" s="63"/>
      <c r="W773" s="63"/>
      <c r="X773" s="64"/>
      <c r="Y773" s="65">
        <f t="shared" si="615"/>
        <v>0</v>
      </c>
      <c r="Z773" s="65">
        <f t="shared" si="602"/>
        <v>0</v>
      </c>
    </row>
    <row r="774" spans="1:26" x14ac:dyDescent="0.15">
      <c r="A774" s="33" t="s">
        <v>35</v>
      </c>
      <c r="B774" s="8"/>
      <c r="C774" s="9"/>
      <c r="D774" s="9"/>
      <c r="E774" s="39"/>
      <c r="F774" s="14">
        <f t="shared" si="606"/>
        <v>0</v>
      </c>
      <c r="G774" s="9"/>
      <c r="H774" s="9"/>
      <c r="I774" s="9"/>
      <c r="J774" s="39">
        <v>1</v>
      </c>
      <c r="K774" s="14">
        <f t="shared" si="607"/>
        <v>1</v>
      </c>
      <c r="L774" s="14">
        <f t="shared" si="608"/>
        <v>1</v>
      </c>
      <c r="M774" s="7">
        <v>46044</v>
      </c>
      <c r="O774" s="148"/>
      <c r="P774" s="62"/>
      <c r="Q774" s="63"/>
      <c r="R774" s="63"/>
      <c r="S774" s="64"/>
      <c r="T774" s="65">
        <f t="shared" si="614"/>
        <v>0</v>
      </c>
      <c r="U774" s="63"/>
      <c r="V774" s="63"/>
      <c r="W774" s="63"/>
      <c r="X774" s="64"/>
      <c r="Y774" s="65">
        <f t="shared" si="615"/>
        <v>0</v>
      </c>
      <c r="Z774" s="65">
        <f t="shared" si="602"/>
        <v>0</v>
      </c>
    </row>
    <row r="775" spans="1:26" x14ac:dyDescent="0.15">
      <c r="A775" s="33" t="s">
        <v>35</v>
      </c>
      <c r="B775" s="8"/>
      <c r="C775" s="9">
        <v>1</v>
      </c>
      <c r="D775" s="9"/>
      <c r="E775" s="39"/>
      <c r="F775" s="14">
        <f t="shared" ref="F775:F779" si="619">SUM(B775:E775)</f>
        <v>1</v>
      </c>
      <c r="G775" s="9"/>
      <c r="H775" s="9"/>
      <c r="I775" s="9"/>
      <c r="J775" s="39"/>
      <c r="K775" s="14">
        <f t="shared" ref="K775:K779" si="620">SUM(G775:J775)</f>
        <v>0</v>
      </c>
      <c r="L775" s="14">
        <f t="shared" si="599"/>
        <v>1</v>
      </c>
      <c r="M775" s="7">
        <v>46048</v>
      </c>
      <c r="O775" s="148"/>
      <c r="P775" s="62"/>
      <c r="Q775" s="63"/>
      <c r="R775" s="63"/>
      <c r="S775" s="64"/>
      <c r="T775" s="65">
        <f t="shared" si="614"/>
        <v>0</v>
      </c>
      <c r="U775" s="63"/>
      <c r="V775" s="63"/>
      <c r="W775" s="63"/>
      <c r="X775" s="64"/>
      <c r="Y775" s="65">
        <f t="shared" si="615"/>
        <v>0</v>
      </c>
      <c r="Z775" s="65">
        <f t="shared" si="602"/>
        <v>0</v>
      </c>
    </row>
    <row r="776" spans="1:26" x14ac:dyDescent="0.15">
      <c r="A776" s="33" t="s">
        <v>35</v>
      </c>
      <c r="B776" s="8"/>
      <c r="C776" s="9"/>
      <c r="D776" s="9"/>
      <c r="E776" s="39"/>
      <c r="F776" s="14">
        <f t="shared" si="619"/>
        <v>0</v>
      </c>
      <c r="G776" s="9"/>
      <c r="H776" s="9">
        <v>1</v>
      </c>
      <c r="I776" s="9"/>
      <c r="J776" s="39"/>
      <c r="K776" s="14">
        <f t="shared" si="620"/>
        <v>1</v>
      </c>
      <c r="L776" s="14">
        <f t="shared" si="599"/>
        <v>1</v>
      </c>
      <c r="M776" s="7">
        <v>46052</v>
      </c>
      <c r="O776" s="148"/>
      <c r="P776" s="62"/>
      <c r="Q776" s="63"/>
      <c r="R776" s="63"/>
      <c r="S776" s="64"/>
      <c r="T776" s="65">
        <f t="shared" si="614"/>
        <v>0</v>
      </c>
      <c r="U776" s="63"/>
      <c r="V776" s="63"/>
      <c r="W776" s="63"/>
      <c r="X776" s="64"/>
      <c r="Y776" s="65">
        <f t="shared" si="615"/>
        <v>0</v>
      </c>
      <c r="Z776" s="65">
        <f t="shared" si="602"/>
        <v>0</v>
      </c>
    </row>
    <row r="777" spans="1:26" ht="14.25" thickBot="1" x14ac:dyDescent="0.2">
      <c r="A777" s="33" t="s">
        <v>35</v>
      </c>
      <c r="B777" s="8"/>
      <c r="C777" s="9">
        <v>1</v>
      </c>
      <c r="D777" s="9"/>
      <c r="E777" s="39"/>
      <c r="F777" s="14">
        <f t="shared" si="619"/>
        <v>1</v>
      </c>
      <c r="G777" s="9"/>
      <c r="H777" s="9"/>
      <c r="I777" s="9">
        <v>1</v>
      </c>
      <c r="J777" s="39">
        <v>1</v>
      </c>
      <c r="K777" s="14">
        <f t="shared" si="620"/>
        <v>2</v>
      </c>
      <c r="L777" s="14">
        <f t="shared" si="599"/>
        <v>3</v>
      </c>
      <c r="M777" s="7">
        <v>46055</v>
      </c>
      <c r="O777" s="148"/>
      <c r="P777" s="62"/>
      <c r="Q777" s="63"/>
      <c r="R777" s="63"/>
      <c r="S777" s="64"/>
      <c r="T777" s="65">
        <f t="shared" si="614"/>
        <v>0</v>
      </c>
      <c r="U777" s="63"/>
      <c r="V777" s="63"/>
      <c r="W777" s="63"/>
      <c r="X777" s="64"/>
      <c r="Y777" s="65">
        <f t="shared" si="615"/>
        <v>0</v>
      </c>
      <c r="Z777" s="65">
        <f t="shared" si="602"/>
        <v>0</v>
      </c>
    </row>
    <row r="778" spans="1:26" ht="14.25" thickBot="1" x14ac:dyDescent="0.2">
      <c r="A778" s="3" t="s">
        <v>7</v>
      </c>
      <c r="B778" s="17">
        <f t="shared" ref="B778:E778" si="621">SUM(B752:B777)</f>
        <v>7</v>
      </c>
      <c r="C778" s="18">
        <f t="shared" si="621"/>
        <v>2</v>
      </c>
      <c r="D778" s="18">
        <f t="shared" si="621"/>
        <v>3</v>
      </c>
      <c r="E778" s="40">
        <f t="shared" si="621"/>
        <v>-1</v>
      </c>
      <c r="F778" s="11">
        <f t="shared" si="619"/>
        <v>11</v>
      </c>
      <c r="G778" s="17">
        <f t="shared" ref="G778:J778" si="622">SUM(G752:G777)</f>
        <v>0</v>
      </c>
      <c r="H778" s="18">
        <f t="shared" si="622"/>
        <v>4</v>
      </c>
      <c r="I778" s="18">
        <f t="shared" si="622"/>
        <v>4</v>
      </c>
      <c r="J778" s="40">
        <f t="shared" si="622"/>
        <v>3</v>
      </c>
      <c r="K778" s="11">
        <f t="shared" si="620"/>
        <v>11</v>
      </c>
      <c r="L778" s="11">
        <f t="shared" si="599"/>
        <v>22</v>
      </c>
      <c r="O778" s="3" t="s">
        <v>7</v>
      </c>
      <c r="P778" s="17">
        <f t="shared" ref="P778:S778" si="623">SUM(P752:P777)</f>
        <v>2</v>
      </c>
      <c r="Q778" s="18">
        <f t="shared" si="623"/>
        <v>11</v>
      </c>
      <c r="R778" s="18">
        <f t="shared" si="623"/>
        <v>18</v>
      </c>
      <c r="S778" s="40">
        <f t="shared" si="623"/>
        <v>13</v>
      </c>
      <c r="T778" s="11">
        <f t="shared" si="614"/>
        <v>44</v>
      </c>
      <c r="U778" s="17">
        <f t="shared" ref="U778:X778" si="624">SUM(U752:U777)</f>
        <v>6</v>
      </c>
      <c r="V778" s="18">
        <f t="shared" si="624"/>
        <v>6</v>
      </c>
      <c r="W778" s="146">
        <f t="shared" si="624"/>
        <v>0</v>
      </c>
      <c r="X778" s="146">
        <f t="shared" si="624"/>
        <v>0</v>
      </c>
      <c r="Y778" s="11">
        <f t="shared" si="615"/>
        <v>12</v>
      </c>
      <c r="Z778" s="11">
        <f t="shared" si="602"/>
        <v>56</v>
      </c>
    </row>
    <row r="779" spans="1:26" ht="14.25" thickBot="1" x14ac:dyDescent="0.2">
      <c r="A779" s="19" t="s">
        <v>8</v>
      </c>
      <c r="B779" s="20">
        <f t="shared" ref="B779:E779" si="625">B751-B778</f>
        <v>3</v>
      </c>
      <c r="C779" s="21">
        <f t="shared" si="625"/>
        <v>3</v>
      </c>
      <c r="D779" s="21">
        <f t="shared" si="625"/>
        <v>3</v>
      </c>
      <c r="E779" s="22">
        <f t="shared" si="625"/>
        <v>3</v>
      </c>
      <c r="F779" s="11">
        <f t="shared" si="619"/>
        <v>12</v>
      </c>
      <c r="G779" s="20">
        <f t="shared" ref="G779:J779" si="626">G751-G778</f>
        <v>5</v>
      </c>
      <c r="H779" s="21">
        <f t="shared" si="626"/>
        <v>3</v>
      </c>
      <c r="I779" s="21">
        <f t="shared" si="626"/>
        <v>1</v>
      </c>
      <c r="J779" s="51">
        <f t="shared" si="626"/>
        <v>10</v>
      </c>
      <c r="K779" s="11">
        <f t="shared" si="620"/>
        <v>19</v>
      </c>
      <c r="L779" s="53">
        <f t="shared" si="599"/>
        <v>31</v>
      </c>
      <c r="O779" s="19" t="s">
        <v>8</v>
      </c>
      <c r="P779" s="20">
        <f t="shared" ref="P779:S779" si="627">P751-P778</f>
        <v>219</v>
      </c>
      <c r="Q779" s="21">
        <f t="shared" si="627"/>
        <v>120</v>
      </c>
      <c r="R779" s="21">
        <f t="shared" si="627"/>
        <v>90</v>
      </c>
      <c r="S779" s="22">
        <f t="shared" si="627"/>
        <v>45</v>
      </c>
      <c r="T779" s="11">
        <f t="shared" si="614"/>
        <v>474</v>
      </c>
      <c r="U779" s="20">
        <f t="shared" ref="U779:X779" si="628">U751-U778</f>
        <v>43</v>
      </c>
      <c r="V779" s="21">
        <f t="shared" si="628"/>
        <v>43</v>
      </c>
      <c r="W779" s="147">
        <f t="shared" si="628"/>
        <v>0</v>
      </c>
      <c r="X779" s="147">
        <f t="shared" si="628"/>
        <v>0</v>
      </c>
      <c r="Y779" s="11">
        <f t="shared" si="615"/>
        <v>86</v>
      </c>
      <c r="Z779" s="53">
        <f t="shared" si="602"/>
        <v>560</v>
      </c>
    </row>
    <row r="780" spans="1:26" x14ac:dyDescent="0.15">
      <c r="I780" t="s">
        <v>253</v>
      </c>
      <c r="J780" t="s">
        <v>253</v>
      </c>
    </row>
    <row r="782" spans="1:26" ht="19.5" thickBot="1" x14ac:dyDescent="0.25">
      <c r="A782" s="1" t="s">
        <v>19</v>
      </c>
      <c r="C782" s="164" t="s">
        <v>20</v>
      </c>
      <c r="D782" s="164"/>
      <c r="O782" s="1" t="s">
        <v>21</v>
      </c>
      <c r="S782" s="164" t="s">
        <v>20</v>
      </c>
      <c r="T782" s="164"/>
    </row>
    <row r="783" spans="1:26" ht="14.25" thickBot="1" x14ac:dyDescent="0.2">
      <c r="A783" s="3" t="s">
        <v>0</v>
      </c>
      <c r="B783" s="165" t="s">
        <v>15</v>
      </c>
      <c r="C783" s="166"/>
      <c r="D783" s="166"/>
      <c r="E783" s="166"/>
      <c r="F783" s="167"/>
      <c r="G783" s="168" t="s">
        <v>18</v>
      </c>
      <c r="H783" s="169"/>
      <c r="I783" s="169"/>
      <c r="J783" s="169"/>
      <c r="K783" s="170"/>
      <c r="L783" s="47"/>
      <c r="O783" s="3" t="s">
        <v>0</v>
      </c>
      <c r="P783" s="165" t="s">
        <v>15</v>
      </c>
      <c r="Q783" s="166"/>
      <c r="R783" s="166"/>
      <c r="S783" s="166"/>
      <c r="T783" s="167"/>
      <c r="U783" s="168" t="s">
        <v>18</v>
      </c>
      <c r="V783" s="169"/>
      <c r="W783" s="169"/>
      <c r="X783" s="169"/>
      <c r="Y783" s="170"/>
      <c r="Z783" s="47"/>
    </row>
    <row r="784" spans="1:26" ht="14.25" thickBot="1" x14ac:dyDescent="0.2">
      <c r="A784" s="3" t="s">
        <v>1</v>
      </c>
      <c r="B784" s="23" t="s">
        <v>11</v>
      </c>
      <c r="C784" s="24" t="s">
        <v>12</v>
      </c>
      <c r="D784" s="24" t="s">
        <v>13</v>
      </c>
      <c r="E784" s="25" t="s">
        <v>14</v>
      </c>
      <c r="F784" s="48" t="s">
        <v>2</v>
      </c>
      <c r="G784" s="23" t="s">
        <v>11</v>
      </c>
      <c r="H784" s="24" t="s">
        <v>12</v>
      </c>
      <c r="I784" s="24" t="s">
        <v>13</v>
      </c>
      <c r="J784" s="25" t="s">
        <v>14</v>
      </c>
      <c r="K784" s="48" t="s">
        <v>2</v>
      </c>
      <c r="L784" s="48" t="s">
        <v>17</v>
      </c>
      <c r="O784" s="3" t="s">
        <v>1</v>
      </c>
      <c r="P784" s="23" t="s">
        <v>11</v>
      </c>
      <c r="Q784" s="24" t="s">
        <v>12</v>
      </c>
      <c r="R784" s="24" t="s">
        <v>13</v>
      </c>
      <c r="S784" s="25" t="s">
        <v>14</v>
      </c>
      <c r="T784" s="48" t="s">
        <v>2</v>
      </c>
      <c r="U784" s="23" t="s">
        <v>11</v>
      </c>
      <c r="V784" s="24" t="s">
        <v>12</v>
      </c>
      <c r="W784" s="24" t="s">
        <v>13</v>
      </c>
      <c r="X784" s="25" t="s">
        <v>14</v>
      </c>
      <c r="Y784" s="48" t="s">
        <v>2</v>
      </c>
      <c r="Z784" s="48" t="s">
        <v>17</v>
      </c>
    </row>
    <row r="785" spans="1:27" x14ac:dyDescent="0.15">
      <c r="A785" s="116" t="s">
        <v>9</v>
      </c>
      <c r="B785" s="113">
        <f>B779</f>
        <v>3</v>
      </c>
      <c r="C785" s="27">
        <f>C779</f>
        <v>3</v>
      </c>
      <c r="D785" s="27">
        <f>D779</f>
        <v>3</v>
      </c>
      <c r="E785" s="42">
        <f>E779</f>
        <v>3</v>
      </c>
      <c r="F785" s="28">
        <f>SUM(B785:E785)</f>
        <v>12</v>
      </c>
      <c r="G785" s="113">
        <f>G779</f>
        <v>5</v>
      </c>
      <c r="H785" s="27">
        <f>H779</f>
        <v>3</v>
      </c>
      <c r="I785" s="27">
        <f>I779</f>
        <v>1</v>
      </c>
      <c r="J785" s="42">
        <f>J779</f>
        <v>10</v>
      </c>
      <c r="K785" s="28">
        <f>SUM(G785:J785)</f>
        <v>19</v>
      </c>
      <c r="L785" s="114">
        <f>F785+K785</f>
        <v>31</v>
      </c>
      <c r="O785" s="54" t="s">
        <v>9</v>
      </c>
      <c r="P785" s="26">
        <f>P779</f>
        <v>219</v>
      </c>
      <c r="Q785" s="27">
        <f>Q779</f>
        <v>120</v>
      </c>
      <c r="R785" s="27">
        <f>R779</f>
        <v>90</v>
      </c>
      <c r="S785" s="42">
        <f>S779</f>
        <v>45</v>
      </c>
      <c r="T785" s="28">
        <f>SUM(P785:S785)</f>
        <v>474</v>
      </c>
      <c r="U785" s="26">
        <f>U779</f>
        <v>43</v>
      </c>
      <c r="V785" s="27">
        <f>V779</f>
        <v>43</v>
      </c>
      <c r="W785" s="27">
        <f>W779</f>
        <v>0</v>
      </c>
      <c r="X785" s="42">
        <f>X779</f>
        <v>0</v>
      </c>
      <c r="Y785" s="52">
        <f>SUM(U785:X785)</f>
        <v>86</v>
      </c>
      <c r="Z785" s="28">
        <f>T785+Y785</f>
        <v>560</v>
      </c>
    </row>
    <row r="786" spans="1:27" x14ac:dyDescent="0.15">
      <c r="A786" s="33" t="s">
        <v>38</v>
      </c>
      <c r="B786" s="9"/>
      <c r="C786" s="29"/>
      <c r="D786" s="29"/>
      <c r="E786" s="43">
        <v>1</v>
      </c>
      <c r="F786" s="14">
        <f t="shared" ref="F786" si="629">SUM(B786:E786)</f>
        <v>1</v>
      </c>
      <c r="G786" s="9"/>
      <c r="H786" s="29"/>
      <c r="I786" s="29"/>
      <c r="J786" s="43"/>
      <c r="K786" s="14">
        <f t="shared" ref="K786" si="630">SUM(G786:J786)</f>
        <v>0</v>
      </c>
      <c r="L786" s="125">
        <f t="shared" ref="L786" si="631">F786+K786</f>
        <v>1</v>
      </c>
      <c r="M786" s="7">
        <v>46071</v>
      </c>
      <c r="O786" s="33" t="s">
        <v>10</v>
      </c>
      <c r="P786" s="122"/>
      <c r="Q786" s="119"/>
      <c r="R786" s="119"/>
      <c r="S786" s="120"/>
      <c r="T786" s="14">
        <f t="shared" ref="T786:T789" si="632">SUM(P786:S786)</f>
        <v>0</v>
      </c>
      <c r="U786" s="122"/>
      <c r="V786" s="119"/>
      <c r="W786" s="119"/>
      <c r="X786" s="120"/>
      <c r="Y786" s="14">
        <f t="shared" ref="Y786:Y789" si="633">SUM(U786:X786)</f>
        <v>0</v>
      </c>
      <c r="Z786" s="125">
        <f t="shared" ref="Z786:Z818" si="634">T786+Y786</f>
        <v>0</v>
      </c>
    </row>
    <row r="787" spans="1:27" x14ac:dyDescent="0.15">
      <c r="A787" s="152" t="s">
        <v>3</v>
      </c>
      <c r="B787" s="63"/>
      <c r="C787" s="155"/>
      <c r="D787" s="155"/>
      <c r="E787" s="156"/>
      <c r="F787" s="65">
        <f t="shared" ref="F787:F789" si="635">SUM(B787:E787)</f>
        <v>0</v>
      </c>
      <c r="G787" s="63"/>
      <c r="H787" s="155">
        <v>3</v>
      </c>
      <c r="I787" s="155"/>
      <c r="J787" s="156"/>
      <c r="K787" s="65">
        <f t="shared" ref="K787:K789" si="636">SUM(G787:J787)</f>
        <v>3</v>
      </c>
      <c r="L787" s="157">
        <f t="shared" ref="L787:L818" si="637">F787+K787</f>
        <v>3</v>
      </c>
      <c r="M787" s="149">
        <v>46083</v>
      </c>
      <c r="O787" s="33" t="s">
        <v>3</v>
      </c>
      <c r="P787" s="122"/>
      <c r="Q787" s="119"/>
      <c r="R787" s="119"/>
      <c r="S787" s="120"/>
      <c r="T787" s="14">
        <f t="shared" si="632"/>
        <v>0</v>
      </c>
      <c r="U787" s="122"/>
      <c r="V787" s="119"/>
      <c r="W787" s="119"/>
      <c r="X787" s="120"/>
      <c r="Y787" s="14">
        <f t="shared" si="633"/>
        <v>0</v>
      </c>
      <c r="Z787" s="125">
        <f t="shared" si="634"/>
        <v>0</v>
      </c>
    </row>
    <row r="788" spans="1:27" x14ac:dyDescent="0.15">
      <c r="A788" s="152" t="s">
        <v>4</v>
      </c>
      <c r="B788" s="63">
        <v>2</v>
      </c>
      <c r="C788" s="155">
        <v>3</v>
      </c>
      <c r="D788" s="155">
        <v>3</v>
      </c>
      <c r="E788" s="156"/>
      <c r="F788" s="65">
        <f t="shared" si="635"/>
        <v>8</v>
      </c>
      <c r="G788" s="63"/>
      <c r="H788" s="155">
        <v>2</v>
      </c>
      <c r="I788" s="155"/>
      <c r="J788" s="156"/>
      <c r="K788" s="65">
        <f t="shared" si="636"/>
        <v>2</v>
      </c>
      <c r="L788" s="157">
        <f t="shared" si="637"/>
        <v>10</v>
      </c>
      <c r="M788" s="149">
        <v>46126</v>
      </c>
      <c r="O788" s="33" t="s">
        <v>4</v>
      </c>
      <c r="P788" s="122"/>
      <c r="Q788" s="119"/>
      <c r="R788" s="119"/>
      <c r="S788" s="120"/>
      <c r="T788" s="14">
        <f t="shared" ref="T788" si="638">SUM(P788:S788)</f>
        <v>0</v>
      </c>
      <c r="U788" s="122"/>
      <c r="V788" s="119"/>
      <c r="W788" s="119"/>
      <c r="X788" s="120"/>
      <c r="Y788" s="14">
        <f t="shared" ref="Y788" si="639">SUM(U788:X788)</f>
        <v>0</v>
      </c>
      <c r="Z788" s="125">
        <f t="shared" ref="Z788" si="640">T788+Y788</f>
        <v>0</v>
      </c>
    </row>
    <row r="789" spans="1:27" ht="14.25" thickBot="1" x14ac:dyDescent="0.2">
      <c r="A789" s="152" t="s">
        <v>5</v>
      </c>
      <c r="B789" s="135"/>
      <c r="C789" s="136"/>
      <c r="D789" s="136"/>
      <c r="E789" s="137"/>
      <c r="F789" s="59">
        <f t="shared" si="635"/>
        <v>0</v>
      </c>
      <c r="G789" s="135"/>
      <c r="H789" s="136"/>
      <c r="I789" s="136"/>
      <c r="J789" s="137"/>
      <c r="K789" s="59">
        <f t="shared" si="636"/>
        <v>0</v>
      </c>
      <c r="L789" s="138">
        <f t="shared" si="637"/>
        <v>0</v>
      </c>
      <c r="M789" s="7"/>
      <c r="O789" s="35" t="s">
        <v>5</v>
      </c>
      <c r="P789" s="135"/>
      <c r="Q789" s="136"/>
      <c r="R789" s="136"/>
      <c r="S789" s="137"/>
      <c r="T789" s="59">
        <f t="shared" si="632"/>
        <v>0</v>
      </c>
      <c r="U789" s="135"/>
      <c r="V789" s="136"/>
      <c r="W789" s="136"/>
      <c r="X789" s="137"/>
      <c r="Y789" s="59">
        <f t="shared" si="633"/>
        <v>0</v>
      </c>
      <c r="Z789" s="138">
        <f t="shared" si="634"/>
        <v>0</v>
      </c>
    </row>
    <row r="790" spans="1:27" ht="14.25" thickBot="1" x14ac:dyDescent="0.2">
      <c r="A790" s="2" t="s">
        <v>6</v>
      </c>
      <c r="B790" s="139">
        <f>SUM(B785:B789)</f>
        <v>5</v>
      </c>
      <c r="C790" s="140">
        <f>SUM(C785:C789)</f>
        <v>6</v>
      </c>
      <c r="D790" s="140">
        <f>SUM(D785:D789)</f>
        <v>6</v>
      </c>
      <c r="E790" s="141">
        <f>SUM(E785:E789)</f>
        <v>4</v>
      </c>
      <c r="F790" s="32">
        <f>SUM(B790:E790)</f>
        <v>21</v>
      </c>
      <c r="G790" s="142">
        <f>SUM(G785:G789)</f>
        <v>5</v>
      </c>
      <c r="H790" s="140">
        <f>SUM(H785:H789)</f>
        <v>8</v>
      </c>
      <c r="I790" s="140">
        <f>SUM(I785:I789)</f>
        <v>1</v>
      </c>
      <c r="J790" s="141">
        <f>SUM(J785:J789)</f>
        <v>10</v>
      </c>
      <c r="K790" s="32">
        <f>SUM(G790:J790)</f>
        <v>24</v>
      </c>
      <c r="L790" s="11">
        <f t="shared" si="637"/>
        <v>45</v>
      </c>
      <c r="O790" s="2" t="s">
        <v>6</v>
      </c>
      <c r="P790" s="139">
        <f>SUM(P785:P789)</f>
        <v>219</v>
      </c>
      <c r="Q790" s="140">
        <f>SUM(Q785:Q789)</f>
        <v>120</v>
      </c>
      <c r="R790" s="140">
        <f>SUM(R785:R789)</f>
        <v>90</v>
      </c>
      <c r="S790" s="141">
        <f>SUM(S785:S789)</f>
        <v>45</v>
      </c>
      <c r="T790" s="32">
        <f>SUM(P790:S790)</f>
        <v>474</v>
      </c>
      <c r="U790" s="142">
        <f>SUM(U785:U789)</f>
        <v>43</v>
      </c>
      <c r="V790" s="140">
        <f>SUM(V785:V789)</f>
        <v>43</v>
      </c>
      <c r="W790" s="140">
        <f>SUM(W785:W789)</f>
        <v>0</v>
      </c>
      <c r="X790" s="141">
        <f>SUM(X785:X789)</f>
        <v>0</v>
      </c>
      <c r="Y790" s="32">
        <f>SUM(U790:X790)</f>
        <v>86</v>
      </c>
      <c r="Z790" s="11">
        <f t="shared" si="634"/>
        <v>560</v>
      </c>
    </row>
    <row r="791" spans="1:27" x14ac:dyDescent="0.15">
      <c r="A791" s="33" t="s">
        <v>35</v>
      </c>
      <c r="B791" s="8"/>
      <c r="C791" s="9">
        <v>1</v>
      </c>
      <c r="D791" s="9"/>
      <c r="E791" s="39"/>
      <c r="F791" s="14">
        <f t="shared" ref="F791:F818" si="641">SUM(B791:E791)</f>
        <v>1</v>
      </c>
      <c r="G791" s="9"/>
      <c r="H791" s="9"/>
      <c r="I791" s="9"/>
      <c r="J791" s="39"/>
      <c r="K791" s="14">
        <f t="shared" ref="K791:K818" si="642">SUM(G791:J791)</f>
        <v>0</v>
      </c>
      <c r="L791" s="14">
        <f t="shared" si="637"/>
        <v>1</v>
      </c>
      <c r="M791" s="7">
        <v>46059</v>
      </c>
      <c r="O791" s="35" t="s">
        <v>258</v>
      </c>
      <c r="P791" s="8">
        <v>2</v>
      </c>
      <c r="Q791" s="9">
        <v>3</v>
      </c>
      <c r="R791" s="9"/>
      <c r="S791" s="39">
        <v>2</v>
      </c>
      <c r="T791" s="14">
        <f t="shared" ref="T791:T818" si="643">SUM(P791:S791)</f>
        <v>7</v>
      </c>
      <c r="U791" s="9"/>
      <c r="V791" s="9"/>
      <c r="W791" s="9"/>
      <c r="X791" s="39"/>
      <c r="Y791" s="14">
        <f t="shared" ref="Y791:Y818" si="644">SUM(U791:X791)</f>
        <v>0</v>
      </c>
      <c r="Z791" s="14">
        <f t="shared" si="634"/>
        <v>7</v>
      </c>
      <c r="AA791" s="7">
        <v>46084</v>
      </c>
    </row>
    <row r="792" spans="1:27" x14ac:dyDescent="0.15">
      <c r="A792" s="33" t="s">
        <v>35</v>
      </c>
      <c r="B792" s="8"/>
      <c r="C792" s="9"/>
      <c r="D792" s="9"/>
      <c r="E792" s="39"/>
      <c r="F792" s="14">
        <f t="shared" si="641"/>
        <v>0</v>
      </c>
      <c r="G792" s="9"/>
      <c r="H792" s="9">
        <v>1</v>
      </c>
      <c r="I792" s="9"/>
      <c r="J792" s="39"/>
      <c r="K792" s="14">
        <f t="shared" si="642"/>
        <v>1</v>
      </c>
      <c r="L792" s="14">
        <f t="shared" si="637"/>
        <v>1</v>
      </c>
      <c r="M792" s="7">
        <v>46062</v>
      </c>
      <c r="O792" s="35" t="s">
        <v>252</v>
      </c>
      <c r="P792" s="8"/>
      <c r="Q792" s="9"/>
      <c r="R792" s="9"/>
      <c r="S792" s="39"/>
      <c r="T792" s="14">
        <f t="shared" si="643"/>
        <v>0</v>
      </c>
      <c r="U792" s="9"/>
      <c r="V792" s="9">
        <v>3</v>
      </c>
      <c r="W792" s="9"/>
      <c r="X792" s="39"/>
      <c r="Y792" s="14">
        <f t="shared" si="644"/>
        <v>3</v>
      </c>
      <c r="Z792" s="14">
        <f t="shared" si="634"/>
        <v>3</v>
      </c>
      <c r="AA792" s="7">
        <v>46083</v>
      </c>
    </row>
    <row r="793" spans="1:27" x14ac:dyDescent="0.15">
      <c r="A793" s="33" t="s">
        <v>35</v>
      </c>
      <c r="B793" s="8"/>
      <c r="C793" s="9"/>
      <c r="D793" s="9"/>
      <c r="E793" s="39"/>
      <c r="F793" s="14">
        <f t="shared" si="641"/>
        <v>0</v>
      </c>
      <c r="G793" s="9"/>
      <c r="H793" s="9">
        <v>1</v>
      </c>
      <c r="I793" s="9"/>
      <c r="J793" s="39"/>
      <c r="K793" s="14">
        <f t="shared" si="642"/>
        <v>1</v>
      </c>
      <c r="L793" s="14">
        <f t="shared" si="637"/>
        <v>1</v>
      </c>
      <c r="M793" s="7">
        <v>46063</v>
      </c>
      <c r="O793" s="35" t="s">
        <v>259</v>
      </c>
      <c r="P793" s="8"/>
      <c r="Q793" s="9"/>
      <c r="R793" s="9">
        <v>3</v>
      </c>
      <c r="S793" s="39"/>
      <c r="T793" s="14">
        <f t="shared" si="643"/>
        <v>3</v>
      </c>
      <c r="U793" s="9"/>
      <c r="V793" s="9"/>
      <c r="W793" s="9"/>
      <c r="X793" s="39"/>
      <c r="Y793" s="14">
        <f t="shared" si="644"/>
        <v>0</v>
      </c>
      <c r="Z793" s="14">
        <f t="shared" si="634"/>
        <v>3</v>
      </c>
      <c r="AA793" s="7">
        <v>46091</v>
      </c>
    </row>
    <row r="794" spans="1:27" x14ac:dyDescent="0.15">
      <c r="A794" s="33" t="s">
        <v>35</v>
      </c>
      <c r="B794" s="8"/>
      <c r="C794" s="9"/>
      <c r="D794" s="9"/>
      <c r="E794" s="39"/>
      <c r="F794" s="14">
        <f t="shared" si="641"/>
        <v>0</v>
      </c>
      <c r="G794" s="9"/>
      <c r="H794" s="9"/>
      <c r="I794" s="9">
        <v>1</v>
      </c>
      <c r="J794" s="39"/>
      <c r="K794" s="14">
        <f t="shared" si="642"/>
        <v>1</v>
      </c>
      <c r="L794" s="14">
        <f t="shared" si="637"/>
        <v>1</v>
      </c>
      <c r="M794" s="7">
        <v>46070</v>
      </c>
      <c r="O794" s="35" t="s">
        <v>260</v>
      </c>
      <c r="P794" s="8"/>
      <c r="Q794" s="9">
        <v>2</v>
      </c>
      <c r="R794" s="9">
        <v>4</v>
      </c>
      <c r="S794" s="39"/>
      <c r="T794" s="14">
        <f t="shared" si="643"/>
        <v>6</v>
      </c>
      <c r="U794" s="9"/>
      <c r="V794" s="9"/>
      <c r="W794" s="9"/>
      <c r="X794" s="39"/>
      <c r="Y794" s="14">
        <f t="shared" si="644"/>
        <v>0</v>
      </c>
      <c r="Z794" s="14">
        <f t="shared" si="634"/>
        <v>6</v>
      </c>
      <c r="AA794" s="7">
        <v>46105</v>
      </c>
    </row>
    <row r="795" spans="1:27" x14ac:dyDescent="0.15">
      <c r="A795" s="33" t="s">
        <v>35</v>
      </c>
      <c r="B795" s="8"/>
      <c r="C795" s="9"/>
      <c r="D795" s="9"/>
      <c r="E795" s="39"/>
      <c r="F795" s="14">
        <f t="shared" si="641"/>
        <v>0</v>
      </c>
      <c r="G795" s="9"/>
      <c r="H795" s="9"/>
      <c r="I795" s="9"/>
      <c r="J795" s="39">
        <v>1</v>
      </c>
      <c r="K795" s="14">
        <f t="shared" si="642"/>
        <v>1</v>
      </c>
      <c r="L795" s="14">
        <f t="shared" si="637"/>
        <v>1</v>
      </c>
      <c r="M795" s="7">
        <v>46078</v>
      </c>
      <c r="O795" s="35" t="s">
        <v>261</v>
      </c>
      <c r="P795" s="8">
        <v>3</v>
      </c>
      <c r="Q795" s="9"/>
      <c r="R795" s="9"/>
      <c r="S795" s="39"/>
      <c r="T795" s="14">
        <f t="shared" si="643"/>
        <v>3</v>
      </c>
      <c r="U795" s="9"/>
      <c r="V795" s="9"/>
      <c r="W795" s="9"/>
      <c r="X795" s="39"/>
      <c r="Y795" s="14">
        <f t="shared" si="644"/>
        <v>0</v>
      </c>
      <c r="Z795" s="14">
        <f t="shared" si="634"/>
        <v>3</v>
      </c>
      <c r="AA795" s="7">
        <v>46114</v>
      </c>
    </row>
    <row r="796" spans="1:27" x14ac:dyDescent="0.15">
      <c r="A796" s="33" t="s">
        <v>35</v>
      </c>
      <c r="B796" s="8"/>
      <c r="C796" s="9"/>
      <c r="D796" s="9"/>
      <c r="E796" s="39"/>
      <c r="F796" s="14">
        <f t="shared" si="641"/>
        <v>0</v>
      </c>
      <c r="G796" s="9"/>
      <c r="H796" s="9">
        <v>1</v>
      </c>
      <c r="I796" s="9"/>
      <c r="J796" s="39"/>
      <c r="K796" s="14">
        <f t="shared" si="642"/>
        <v>1</v>
      </c>
      <c r="L796" s="14">
        <f t="shared" si="637"/>
        <v>1</v>
      </c>
      <c r="M796" s="7">
        <v>46087</v>
      </c>
      <c r="O796" s="35" t="s">
        <v>262</v>
      </c>
      <c r="P796" s="8">
        <v>3</v>
      </c>
      <c r="Q796" s="9">
        <v>3</v>
      </c>
      <c r="R796" s="9"/>
      <c r="S796" s="39"/>
      <c r="T796" s="14">
        <f t="shared" si="643"/>
        <v>6</v>
      </c>
      <c r="U796" s="9"/>
      <c r="V796" s="9"/>
      <c r="W796" s="9"/>
      <c r="X796" s="39"/>
      <c r="Y796" s="14">
        <f t="shared" si="644"/>
        <v>0</v>
      </c>
      <c r="Z796" s="14">
        <f t="shared" si="634"/>
        <v>6</v>
      </c>
      <c r="AA796" s="7">
        <v>46115</v>
      </c>
    </row>
    <row r="797" spans="1:27" x14ac:dyDescent="0.15">
      <c r="A797" s="33" t="s">
        <v>35</v>
      </c>
      <c r="B797" s="8"/>
      <c r="C797" s="9"/>
      <c r="D797" s="9">
        <v>1</v>
      </c>
      <c r="E797" s="39"/>
      <c r="F797" s="14">
        <f t="shared" si="641"/>
        <v>1</v>
      </c>
      <c r="G797" s="9"/>
      <c r="H797" s="9"/>
      <c r="I797" s="9"/>
      <c r="J797" s="39"/>
      <c r="K797" s="14">
        <f t="shared" si="642"/>
        <v>0</v>
      </c>
      <c r="L797" s="14">
        <f t="shared" si="637"/>
        <v>1</v>
      </c>
      <c r="M797" s="7">
        <v>46097</v>
      </c>
      <c r="O797" s="35" t="s">
        <v>263</v>
      </c>
      <c r="P797" s="8">
        <v>2</v>
      </c>
      <c r="Q797" s="9">
        <v>2</v>
      </c>
      <c r="R797" s="9">
        <v>2</v>
      </c>
      <c r="S797" s="39">
        <v>1</v>
      </c>
      <c r="T797" s="14">
        <f t="shared" si="643"/>
        <v>7</v>
      </c>
      <c r="U797" s="9"/>
      <c r="V797" s="9"/>
      <c r="W797" s="9"/>
      <c r="X797" s="39"/>
      <c r="Y797" s="14">
        <f t="shared" si="644"/>
        <v>0</v>
      </c>
      <c r="Z797" s="14">
        <f t="shared" si="634"/>
        <v>7</v>
      </c>
      <c r="AA797" s="7">
        <v>46115</v>
      </c>
    </row>
    <row r="798" spans="1:27" x14ac:dyDescent="0.15">
      <c r="A798" s="33" t="s">
        <v>35</v>
      </c>
      <c r="B798" s="8"/>
      <c r="C798" s="9"/>
      <c r="D798" s="9"/>
      <c r="E798" s="39"/>
      <c r="F798" s="14">
        <f t="shared" si="641"/>
        <v>0</v>
      </c>
      <c r="G798" s="9"/>
      <c r="H798" s="9"/>
      <c r="I798" s="9"/>
      <c r="J798" s="39">
        <v>1</v>
      </c>
      <c r="K798" s="14">
        <f t="shared" si="642"/>
        <v>1</v>
      </c>
      <c r="L798" s="14">
        <f t="shared" si="637"/>
        <v>1</v>
      </c>
      <c r="M798" s="7">
        <v>46098</v>
      </c>
      <c r="O798" s="35" t="s">
        <v>264</v>
      </c>
      <c r="P798" s="8">
        <v>1</v>
      </c>
      <c r="Q798" s="9">
        <v>1</v>
      </c>
      <c r="R798" s="9"/>
      <c r="S798" s="39">
        <v>1</v>
      </c>
      <c r="T798" s="14">
        <f t="shared" si="643"/>
        <v>3</v>
      </c>
      <c r="U798" s="9"/>
      <c r="V798" s="9"/>
      <c r="W798" s="9"/>
      <c r="X798" s="39"/>
      <c r="Y798" s="14">
        <f t="shared" si="644"/>
        <v>0</v>
      </c>
      <c r="Z798" s="14">
        <f t="shared" si="634"/>
        <v>3</v>
      </c>
      <c r="AA798" s="7">
        <v>46115</v>
      </c>
    </row>
    <row r="799" spans="1:27" x14ac:dyDescent="0.15">
      <c r="A799" s="33" t="s">
        <v>35</v>
      </c>
      <c r="B799" s="8"/>
      <c r="C799" s="9"/>
      <c r="D799" s="9"/>
      <c r="E799" s="39"/>
      <c r="F799" s="14">
        <f t="shared" si="641"/>
        <v>0</v>
      </c>
      <c r="G799" s="9"/>
      <c r="H799" s="9">
        <v>1</v>
      </c>
      <c r="I799" s="9"/>
      <c r="J799" s="39"/>
      <c r="K799" s="14">
        <f t="shared" si="642"/>
        <v>1</v>
      </c>
      <c r="L799" s="14">
        <f t="shared" si="637"/>
        <v>1</v>
      </c>
      <c r="M799" s="7">
        <v>46104</v>
      </c>
      <c r="O799" s="35" t="s">
        <v>265</v>
      </c>
      <c r="P799" s="8"/>
      <c r="Q799" s="9">
        <v>2</v>
      </c>
      <c r="R799" s="9"/>
      <c r="S799" s="39">
        <v>6</v>
      </c>
      <c r="T799" s="14">
        <f t="shared" si="643"/>
        <v>8</v>
      </c>
      <c r="U799" s="9"/>
      <c r="V799" s="9"/>
      <c r="W799" s="9"/>
      <c r="X799" s="39"/>
      <c r="Y799" s="14">
        <f t="shared" si="644"/>
        <v>0</v>
      </c>
      <c r="Z799" s="14">
        <f t="shared" si="634"/>
        <v>8</v>
      </c>
      <c r="AA799" s="7">
        <v>46120</v>
      </c>
    </row>
    <row r="800" spans="1:27" x14ac:dyDescent="0.15">
      <c r="A800" s="33" t="s">
        <v>35</v>
      </c>
      <c r="B800" s="8">
        <v>1</v>
      </c>
      <c r="C800" s="9"/>
      <c r="D800" s="9"/>
      <c r="E800" s="39"/>
      <c r="F800" s="14">
        <f t="shared" si="641"/>
        <v>1</v>
      </c>
      <c r="G800" s="9"/>
      <c r="H800" s="9"/>
      <c r="I800" s="9"/>
      <c r="J800" s="39"/>
      <c r="K800" s="14">
        <f t="shared" si="642"/>
        <v>0</v>
      </c>
      <c r="L800" s="14">
        <f t="shared" si="637"/>
        <v>1</v>
      </c>
      <c r="M800" s="7">
        <v>46106</v>
      </c>
      <c r="O800" s="35" t="s">
        <v>266</v>
      </c>
      <c r="P800" s="8">
        <v>2</v>
      </c>
      <c r="Q800" s="9"/>
      <c r="R800" s="9"/>
      <c r="S800" s="39"/>
      <c r="T800" s="14">
        <f t="shared" si="643"/>
        <v>2</v>
      </c>
      <c r="U800" s="9"/>
      <c r="V800" s="9"/>
      <c r="W800" s="9"/>
      <c r="X800" s="39"/>
      <c r="Y800" s="14">
        <f t="shared" si="644"/>
        <v>0</v>
      </c>
      <c r="Z800" s="14">
        <f t="shared" si="634"/>
        <v>2</v>
      </c>
      <c r="AA800" s="7">
        <v>46120</v>
      </c>
    </row>
    <row r="801" spans="1:27" x14ac:dyDescent="0.15">
      <c r="A801" s="33" t="s">
        <v>35</v>
      </c>
      <c r="B801" s="8"/>
      <c r="C801" s="9">
        <v>1</v>
      </c>
      <c r="D801" s="9"/>
      <c r="E801" s="39"/>
      <c r="F801" s="14">
        <f t="shared" si="641"/>
        <v>1</v>
      </c>
      <c r="G801" s="9"/>
      <c r="H801" s="9"/>
      <c r="I801" s="9"/>
      <c r="J801" s="39"/>
      <c r="K801" s="14">
        <f t="shared" si="642"/>
        <v>0</v>
      </c>
      <c r="L801" s="14">
        <f t="shared" si="637"/>
        <v>1</v>
      </c>
      <c r="M801" s="7">
        <v>46114</v>
      </c>
      <c r="O801" s="35" t="s">
        <v>267</v>
      </c>
      <c r="P801" s="8">
        <v>3</v>
      </c>
      <c r="Q801" s="9">
        <v>5</v>
      </c>
      <c r="R801" s="9">
        <v>8</v>
      </c>
      <c r="S801" s="39"/>
      <c r="T801" s="14">
        <f t="shared" si="643"/>
        <v>16</v>
      </c>
      <c r="U801" s="9"/>
      <c r="V801" s="9"/>
      <c r="W801" s="9"/>
      <c r="X801" s="39"/>
      <c r="Y801" s="14">
        <f t="shared" si="644"/>
        <v>0</v>
      </c>
      <c r="Z801" s="14">
        <f t="shared" si="634"/>
        <v>16</v>
      </c>
      <c r="AA801" s="7">
        <v>46122</v>
      </c>
    </row>
    <row r="802" spans="1:27" x14ac:dyDescent="0.15">
      <c r="A802" s="33" t="s">
        <v>35</v>
      </c>
      <c r="B802" s="8"/>
      <c r="C802" s="9"/>
      <c r="D802" s="9">
        <v>1</v>
      </c>
      <c r="E802" s="39"/>
      <c r="F802" s="14">
        <f t="shared" si="641"/>
        <v>1</v>
      </c>
      <c r="G802" s="9"/>
      <c r="H802" s="9"/>
      <c r="I802" s="9"/>
      <c r="J802" s="39"/>
      <c r="K802" s="14">
        <f t="shared" si="642"/>
        <v>0</v>
      </c>
      <c r="L802" s="14">
        <f t="shared" si="637"/>
        <v>1</v>
      </c>
      <c r="M802" s="7">
        <v>46118</v>
      </c>
      <c r="O802" s="35" t="s">
        <v>268</v>
      </c>
      <c r="P802" s="8"/>
      <c r="Q802" s="9"/>
      <c r="R802" s="9"/>
      <c r="S802" s="39">
        <v>3</v>
      </c>
      <c r="T802" s="14">
        <f t="shared" si="643"/>
        <v>3</v>
      </c>
      <c r="U802" s="9"/>
      <c r="V802" s="9"/>
      <c r="W802" s="9"/>
      <c r="X802" s="39"/>
      <c r="Y802" s="14">
        <f t="shared" si="644"/>
        <v>0</v>
      </c>
      <c r="Z802" s="14">
        <f t="shared" si="634"/>
        <v>3</v>
      </c>
      <c r="AA802" s="7">
        <v>46122</v>
      </c>
    </row>
    <row r="803" spans="1:27" x14ac:dyDescent="0.15">
      <c r="A803" s="33" t="s">
        <v>35</v>
      </c>
      <c r="B803" s="8"/>
      <c r="C803" s="9"/>
      <c r="D803" s="9"/>
      <c r="E803" s="39"/>
      <c r="F803" s="14">
        <f t="shared" si="641"/>
        <v>0</v>
      </c>
      <c r="G803" s="9"/>
      <c r="H803" s="9"/>
      <c r="I803" s="9"/>
      <c r="J803" s="39">
        <v>1</v>
      </c>
      <c r="K803" s="14">
        <f t="shared" si="642"/>
        <v>1</v>
      </c>
      <c r="L803" s="14">
        <f t="shared" si="637"/>
        <v>1</v>
      </c>
      <c r="M803" s="7">
        <v>46119</v>
      </c>
      <c r="O803" s="35" t="s">
        <v>269</v>
      </c>
      <c r="P803" s="8">
        <v>4</v>
      </c>
      <c r="Q803" s="9"/>
      <c r="R803" s="9"/>
      <c r="S803" s="39"/>
      <c r="T803" s="14">
        <f t="shared" si="643"/>
        <v>4</v>
      </c>
      <c r="U803" s="9"/>
      <c r="V803" s="9"/>
      <c r="W803" s="9"/>
      <c r="X803" s="39"/>
      <c r="Y803" s="14">
        <f t="shared" si="644"/>
        <v>0</v>
      </c>
      <c r="Z803" s="14">
        <f t="shared" si="634"/>
        <v>4</v>
      </c>
      <c r="AA803" s="7">
        <v>46125</v>
      </c>
    </row>
    <row r="804" spans="1:27" x14ac:dyDescent="0.15">
      <c r="A804" s="33" t="s">
        <v>35</v>
      </c>
      <c r="B804" s="8"/>
      <c r="C804" s="9">
        <v>1</v>
      </c>
      <c r="D804" s="9"/>
      <c r="E804" s="39"/>
      <c r="F804" s="14">
        <f t="shared" si="641"/>
        <v>1</v>
      </c>
      <c r="G804" s="9"/>
      <c r="H804" s="9"/>
      <c r="I804" s="9"/>
      <c r="J804" s="39"/>
      <c r="K804" s="14">
        <f t="shared" si="642"/>
        <v>0</v>
      </c>
      <c r="L804" s="14">
        <f t="shared" si="637"/>
        <v>1</v>
      </c>
      <c r="M804" s="7">
        <v>46125</v>
      </c>
      <c r="O804" s="35" t="s">
        <v>270</v>
      </c>
      <c r="P804" s="8"/>
      <c r="Q804" s="9">
        <v>1</v>
      </c>
      <c r="R804" s="9"/>
      <c r="S804" s="39"/>
      <c r="T804" s="14">
        <f t="shared" si="643"/>
        <v>1</v>
      </c>
      <c r="U804" s="9"/>
      <c r="V804" s="9"/>
      <c r="W804" s="9"/>
      <c r="X804" s="39"/>
      <c r="Y804" s="14">
        <f t="shared" si="644"/>
        <v>0</v>
      </c>
      <c r="Z804" s="14">
        <f t="shared" si="634"/>
        <v>1</v>
      </c>
      <c r="AA804" s="7">
        <v>46126</v>
      </c>
    </row>
    <row r="805" spans="1:27" x14ac:dyDescent="0.15">
      <c r="A805" s="33" t="s">
        <v>35</v>
      </c>
      <c r="B805" s="8"/>
      <c r="C805" s="9"/>
      <c r="D805" s="9">
        <v>1</v>
      </c>
      <c r="E805" s="39"/>
      <c r="F805" s="14">
        <f t="shared" si="641"/>
        <v>1</v>
      </c>
      <c r="G805" s="9">
        <v>1</v>
      </c>
      <c r="H805" s="9"/>
      <c r="I805" s="9"/>
      <c r="J805" s="39"/>
      <c r="K805" s="14">
        <f t="shared" si="642"/>
        <v>1</v>
      </c>
      <c r="L805" s="14">
        <f t="shared" si="637"/>
        <v>2</v>
      </c>
      <c r="M805" s="7">
        <v>46127</v>
      </c>
      <c r="O805" s="35" t="s">
        <v>271</v>
      </c>
      <c r="P805" s="8">
        <v>2</v>
      </c>
      <c r="Q805" s="9">
        <v>4</v>
      </c>
      <c r="R805" s="9"/>
      <c r="S805" s="39"/>
      <c r="T805" s="14">
        <f t="shared" si="643"/>
        <v>6</v>
      </c>
      <c r="U805" s="9"/>
      <c r="V805" s="9"/>
      <c r="W805" s="9"/>
      <c r="X805" s="39"/>
      <c r="Y805" s="14">
        <f t="shared" si="644"/>
        <v>0</v>
      </c>
      <c r="Z805" s="14">
        <f t="shared" si="634"/>
        <v>6</v>
      </c>
      <c r="AA805" s="7">
        <v>46126</v>
      </c>
    </row>
    <row r="806" spans="1:27" x14ac:dyDescent="0.15">
      <c r="A806" s="33" t="s">
        <v>35</v>
      </c>
      <c r="B806" s="8"/>
      <c r="C806" s="9"/>
      <c r="D806" s="9"/>
      <c r="E806" s="39"/>
      <c r="F806" s="14">
        <f t="shared" si="641"/>
        <v>0</v>
      </c>
      <c r="G806" s="9"/>
      <c r="H806" s="9"/>
      <c r="I806" s="9"/>
      <c r="J806" s="39">
        <v>1</v>
      </c>
      <c r="K806" s="14">
        <f t="shared" si="642"/>
        <v>1</v>
      </c>
      <c r="L806" s="14">
        <f t="shared" si="637"/>
        <v>1</v>
      </c>
      <c r="M806" s="7">
        <v>46133</v>
      </c>
      <c r="O806" s="148" t="s">
        <v>252</v>
      </c>
      <c r="P806" s="62">
        <v>2</v>
      </c>
      <c r="Q806" s="63">
        <v>3</v>
      </c>
      <c r="R806" s="63">
        <v>3</v>
      </c>
      <c r="S806" s="64"/>
      <c r="T806" s="65">
        <f t="shared" si="643"/>
        <v>8</v>
      </c>
      <c r="U806" s="63"/>
      <c r="V806" s="63">
        <v>2</v>
      </c>
      <c r="W806" s="63"/>
      <c r="X806" s="64"/>
      <c r="Y806" s="65">
        <f t="shared" si="644"/>
        <v>2</v>
      </c>
      <c r="Z806" s="65">
        <f t="shared" si="634"/>
        <v>10</v>
      </c>
      <c r="AA806" s="149">
        <v>46126</v>
      </c>
    </row>
    <row r="807" spans="1:27" x14ac:dyDescent="0.15">
      <c r="A807" s="33" t="s">
        <v>35</v>
      </c>
      <c r="B807" s="8"/>
      <c r="C807" s="9"/>
      <c r="D807" s="9"/>
      <c r="E807" s="39"/>
      <c r="F807" s="14">
        <f t="shared" si="641"/>
        <v>0</v>
      </c>
      <c r="G807" s="9"/>
      <c r="H807" s="9"/>
      <c r="I807" s="9"/>
      <c r="J807" s="39">
        <v>1</v>
      </c>
      <c r="K807" s="14">
        <f t="shared" si="642"/>
        <v>1</v>
      </c>
      <c r="L807" s="14">
        <f t="shared" si="637"/>
        <v>1</v>
      </c>
      <c r="M807" s="7">
        <v>46134</v>
      </c>
      <c r="O807" s="35" t="s">
        <v>272</v>
      </c>
      <c r="P807" s="8"/>
      <c r="Q807" s="9"/>
      <c r="R807" s="9"/>
      <c r="S807" s="39">
        <v>4</v>
      </c>
      <c r="T807" s="14">
        <f t="shared" si="643"/>
        <v>4</v>
      </c>
      <c r="U807" s="9"/>
      <c r="V807" s="9"/>
      <c r="W807" s="9"/>
      <c r="X807" s="39"/>
      <c r="Y807" s="14">
        <f t="shared" si="644"/>
        <v>0</v>
      </c>
      <c r="Z807" s="14">
        <f t="shared" si="634"/>
        <v>4</v>
      </c>
      <c r="AA807" s="7">
        <v>46129</v>
      </c>
    </row>
    <row r="808" spans="1:27" x14ac:dyDescent="0.15">
      <c r="A808" s="33" t="s">
        <v>35</v>
      </c>
      <c r="B808" s="8">
        <v>1</v>
      </c>
      <c r="C808" s="9"/>
      <c r="D808" s="9"/>
      <c r="E808" s="39"/>
      <c r="F808" s="14">
        <f t="shared" si="641"/>
        <v>1</v>
      </c>
      <c r="G808" s="9"/>
      <c r="H808" s="9"/>
      <c r="I808" s="9"/>
      <c r="J808" s="39"/>
      <c r="K808" s="14">
        <f t="shared" si="642"/>
        <v>0</v>
      </c>
      <c r="L808" s="14">
        <f t="shared" si="637"/>
        <v>1</v>
      </c>
      <c r="M808" s="7">
        <v>46139</v>
      </c>
      <c r="O808" s="35" t="s">
        <v>273</v>
      </c>
      <c r="P808" s="8"/>
      <c r="Q808" s="9"/>
      <c r="R808" s="9"/>
      <c r="S808" s="39">
        <v>3</v>
      </c>
      <c r="T808" s="14">
        <f t="shared" si="643"/>
        <v>3</v>
      </c>
      <c r="U808" s="9"/>
      <c r="V808" s="9"/>
      <c r="W808" s="9"/>
      <c r="X808" s="39"/>
      <c r="Y808" s="14">
        <f t="shared" si="644"/>
        <v>0</v>
      </c>
      <c r="Z808" s="14">
        <f t="shared" si="634"/>
        <v>3</v>
      </c>
      <c r="AA808" s="7">
        <v>46135</v>
      </c>
    </row>
    <row r="809" spans="1:27" x14ac:dyDescent="0.15">
      <c r="A809" s="33" t="s">
        <v>35</v>
      </c>
      <c r="B809" s="8"/>
      <c r="C809" s="9"/>
      <c r="D809" s="9">
        <v>1</v>
      </c>
      <c r="E809" s="39"/>
      <c r="F809" s="14">
        <f t="shared" si="641"/>
        <v>1</v>
      </c>
      <c r="G809" s="9"/>
      <c r="H809" s="9"/>
      <c r="I809" s="9"/>
      <c r="J809" s="39"/>
      <c r="K809" s="14">
        <f t="shared" si="642"/>
        <v>0</v>
      </c>
      <c r="L809" s="14">
        <f t="shared" si="637"/>
        <v>1</v>
      </c>
      <c r="M809" s="7">
        <v>46142</v>
      </c>
      <c r="O809" s="35" t="s">
        <v>274</v>
      </c>
      <c r="P809" s="8"/>
      <c r="Q809" s="9"/>
      <c r="R809" s="9">
        <v>8</v>
      </c>
      <c r="S809" s="39"/>
      <c r="T809" s="14">
        <f t="shared" si="643"/>
        <v>8</v>
      </c>
      <c r="U809" s="9"/>
      <c r="V809" s="9"/>
      <c r="W809" s="9"/>
      <c r="X809" s="39"/>
      <c r="Y809" s="14">
        <f t="shared" si="644"/>
        <v>0</v>
      </c>
      <c r="Z809" s="14">
        <f t="shared" si="634"/>
        <v>8</v>
      </c>
      <c r="AA809" s="7">
        <v>46135</v>
      </c>
    </row>
    <row r="810" spans="1:27" x14ac:dyDescent="0.15">
      <c r="A810" s="33"/>
      <c r="B810" s="8"/>
      <c r="C810" s="9"/>
      <c r="D810" s="9"/>
      <c r="E810" s="39"/>
      <c r="F810" s="14">
        <f t="shared" si="641"/>
        <v>0</v>
      </c>
      <c r="G810" s="9"/>
      <c r="H810" s="9"/>
      <c r="I810" s="9"/>
      <c r="J810" s="39"/>
      <c r="K810" s="14">
        <f t="shared" si="642"/>
        <v>0</v>
      </c>
      <c r="L810" s="14">
        <f t="shared" si="637"/>
        <v>0</v>
      </c>
      <c r="O810" s="35" t="s">
        <v>275</v>
      </c>
      <c r="P810" s="8"/>
      <c r="Q810" s="9">
        <v>3</v>
      </c>
      <c r="R810" s="9">
        <v>1</v>
      </c>
      <c r="S810" s="39"/>
      <c r="T810" s="14">
        <f t="shared" si="643"/>
        <v>4</v>
      </c>
      <c r="U810" s="9"/>
      <c r="V810" s="9"/>
      <c r="W810" s="9"/>
      <c r="X810" s="39"/>
      <c r="Y810" s="14">
        <f t="shared" si="644"/>
        <v>0</v>
      </c>
      <c r="Z810" s="14">
        <f t="shared" si="634"/>
        <v>4</v>
      </c>
      <c r="AA810" s="7">
        <v>46139</v>
      </c>
    </row>
    <row r="811" spans="1:27" x14ac:dyDescent="0.15">
      <c r="A811" s="33"/>
      <c r="B811" s="8"/>
      <c r="C811" s="9"/>
      <c r="D811" s="9"/>
      <c r="E811" s="39"/>
      <c r="F811" s="14">
        <f t="shared" si="641"/>
        <v>0</v>
      </c>
      <c r="G811" s="9"/>
      <c r="H811" s="9"/>
      <c r="I811" s="9"/>
      <c r="J811" s="39"/>
      <c r="K811" s="14">
        <f t="shared" si="642"/>
        <v>0</v>
      </c>
      <c r="L811" s="14">
        <f t="shared" si="637"/>
        <v>0</v>
      </c>
      <c r="O811" s="35" t="s">
        <v>276</v>
      </c>
      <c r="P811" s="8"/>
      <c r="Q811" s="9"/>
      <c r="R811" s="9">
        <v>3</v>
      </c>
      <c r="S811" s="39"/>
      <c r="T811" s="14">
        <f t="shared" ref="T811:T812" si="645">SUM(P811:S811)</f>
        <v>3</v>
      </c>
      <c r="U811" s="9"/>
      <c r="V811" s="9"/>
      <c r="W811" s="9"/>
      <c r="X811" s="39"/>
      <c r="Y811" s="14">
        <f t="shared" ref="Y811:Y812" si="646">SUM(U811:X811)</f>
        <v>0</v>
      </c>
      <c r="Z811" s="14">
        <f t="shared" ref="Z811:Z812" si="647">T811+Y811</f>
        <v>3</v>
      </c>
      <c r="AA811" s="7">
        <v>46140</v>
      </c>
    </row>
    <row r="812" spans="1:27" x14ac:dyDescent="0.15">
      <c r="A812" s="33"/>
      <c r="B812" s="8"/>
      <c r="C812" s="9"/>
      <c r="D812" s="9"/>
      <c r="E812" s="39"/>
      <c r="F812" s="14">
        <f t="shared" si="641"/>
        <v>0</v>
      </c>
      <c r="G812" s="9"/>
      <c r="H812" s="9"/>
      <c r="I812" s="9"/>
      <c r="J812" s="39"/>
      <c r="K812" s="14">
        <f t="shared" si="642"/>
        <v>0</v>
      </c>
      <c r="L812" s="14">
        <f t="shared" si="637"/>
        <v>0</v>
      </c>
      <c r="O812" s="35" t="s">
        <v>277</v>
      </c>
      <c r="P812" s="8"/>
      <c r="Q812" s="9">
        <v>7</v>
      </c>
      <c r="R812" s="9"/>
      <c r="S812" s="39"/>
      <c r="T812" s="14">
        <f t="shared" si="645"/>
        <v>7</v>
      </c>
      <c r="U812" s="9"/>
      <c r="V812" s="9"/>
      <c r="W812" s="9"/>
      <c r="X812" s="39"/>
      <c r="Y812" s="14">
        <f t="shared" si="646"/>
        <v>0</v>
      </c>
      <c r="Z812" s="14">
        <f t="shared" si="647"/>
        <v>7</v>
      </c>
      <c r="AA812" s="7">
        <v>46155</v>
      </c>
    </row>
    <row r="813" spans="1:27" x14ac:dyDescent="0.15">
      <c r="A813" s="33"/>
      <c r="B813" s="8"/>
      <c r="C813" s="9"/>
      <c r="D813" s="9"/>
      <c r="E813" s="39"/>
      <c r="F813" s="14">
        <f t="shared" si="641"/>
        <v>0</v>
      </c>
      <c r="G813" s="9"/>
      <c r="H813" s="9"/>
      <c r="I813" s="9"/>
      <c r="J813" s="39"/>
      <c r="K813" s="14">
        <f t="shared" si="642"/>
        <v>0</v>
      </c>
      <c r="L813" s="14">
        <f t="shared" si="637"/>
        <v>0</v>
      </c>
      <c r="O813" s="35" t="s">
        <v>278</v>
      </c>
      <c r="P813" s="8"/>
      <c r="Q813" s="9">
        <v>2</v>
      </c>
      <c r="R813" s="9"/>
      <c r="S813" s="39"/>
      <c r="T813" s="14">
        <f t="shared" si="643"/>
        <v>2</v>
      </c>
      <c r="U813" s="9"/>
      <c r="V813" s="9"/>
      <c r="W813" s="9"/>
      <c r="X813" s="39"/>
      <c r="Y813" s="14">
        <f t="shared" si="644"/>
        <v>0</v>
      </c>
      <c r="Z813" s="14">
        <f t="shared" si="634"/>
        <v>2</v>
      </c>
      <c r="AA813" s="7">
        <v>46150</v>
      </c>
    </row>
    <row r="814" spans="1:27" x14ac:dyDescent="0.15">
      <c r="A814" s="33"/>
      <c r="B814" s="8"/>
      <c r="C814" s="9"/>
      <c r="D814" s="9"/>
      <c r="E814" s="39"/>
      <c r="F814" s="14">
        <f t="shared" si="641"/>
        <v>0</v>
      </c>
      <c r="G814" s="9"/>
      <c r="H814" s="9"/>
      <c r="I814" s="9"/>
      <c r="J814" s="39"/>
      <c r="K814" s="14">
        <f t="shared" si="642"/>
        <v>0</v>
      </c>
      <c r="L814" s="14">
        <f t="shared" si="637"/>
        <v>0</v>
      </c>
      <c r="O814" s="148"/>
      <c r="P814" s="62"/>
      <c r="Q814" s="63"/>
      <c r="R814" s="63"/>
      <c r="S814" s="64"/>
      <c r="T814" s="65">
        <f t="shared" si="643"/>
        <v>0</v>
      </c>
      <c r="U814" s="63"/>
      <c r="V814" s="63"/>
      <c r="W814" s="63"/>
      <c r="X814" s="64"/>
      <c r="Y814" s="65">
        <f t="shared" si="644"/>
        <v>0</v>
      </c>
      <c r="Z814" s="65">
        <f t="shared" si="634"/>
        <v>0</v>
      </c>
    </row>
    <row r="815" spans="1:27" x14ac:dyDescent="0.15">
      <c r="A815" s="33"/>
      <c r="B815" s="8"/>
      <c r="C815" s="9"/>
      <c r="D815" s="9"/>
      <c r="E815" s="39"/>
      <c r="F815" s="14">
        <f t="shared" si="641"/>
        <v>0</v>
      </c>
      <c r="G815" s="9"/>
      <c r="H815" s="9"/>
      <c r="I815" s="9"/>
      <c r="J815" s="39"/>
      <c r="K815" s="14">
        <f t="shared" si="642"/>
        <v>0</v>
      </c>
      <c r="L815" s="14">
        <f t="shared" si="637"/>
        <v>0</v>
      </c>
      <c r="O815" s="148"/>
      <c r="P815" s="62"/>
      <c r="Q815" s="63"/>
      <c r="R815" s="63"/>
      <c r="S815" s="64"/>
      <c r="T815" s="65">
        <f t="shared" ref="T815:T816" si="648">SUM(P815:S815)</f>
        <v>0</v>
      </c>
      <c r="U815" s="63"/>
      <c r="V815" s="63"/>
      <c r="W815" s="63"/>
      <c r="X815" s="64"/>
      <c r="Y815" s="65">
        <f t="shared" ref="Y815:Y816" si="649">SUM(U815:X815)</f>
        <v>0</v>
      </c>
      <c r="Z815" s="65">
        <f t="shared" ref="Z815:Z816" si="650">T815+Y815</f>
        <v>0</v>
      </c>
    </row>
    <row r="816" spans="1:27" ht="14.25" thickBot="1" x14ac:dyDescent="0.2">
      <c r="A816" s="33"/>
      <c r="B816" s="8"/>
      <c r="C816" s="9"/>
      <c r="D816" s="9"/>
      <c r="E816" s="39"/>
      <c r="F816" s="14">
        <f t="shared" ref="F816" si="651">SUM(B816:E816)</f>
        <v>0</v>
      </c>
      <c r="G816" s="9"/>
      <c r="H816" s="9"/>
      <c r="I816" s="9"/>
      <c r="J816" s="39"/>
      <c r="K816" s="14">
        <f t="shared" ref="K816" si="652">SUM(G816:J816)</f>
        <v>0</v>
      </c>
      <c r="L816" s="14">
        <f t="shared" ref="L816" si="653">F816+K816</f>
        <v>0</v>
      </c>
      <c r="O816" s="148"/>
      <c r="P816" s="62"/>
      <c r="Q816" s="63"/>
      <c r="R816" s="63"/>
      <c r="S816" s="64"/>
      <c r="T816" s="65">
        <f t="shared" si="648"/>
        <v>0</v>
      </c>
      <c r="U816" s="63"/>
      <c r="V816" s="63"/>
      <c r="W816" s="63"/>
      <c r="X816" s="64"/>
      <c r="Y816" s="65">
        <f t="shared" si="649"/>
        <v>0</v>
      </c>
      <c r="Z816" s="65">
        <f t="shared" si="650"/>
        <v>0</v>
      </c>
    </row>
    <row r="817" spans="1:27" ht="14.25" thickBot="1" x14ac:dyDescent="0.2">
      <c r="A817" s="3" t="s">
        <v>7</v>
      </c>
      <c r="B817" s="17">
        <f t="shared" ref="B817:E817" si="654">SUM(B791:B816)</f>
        <v>2</v>
      </c>
      <c r="C817" s="18">
        <f t="shared" si="654"/>
        <v>3</v>
      </c>
      <c r="D817" s="18">
        <f t="shared" si="654"/>
        <v>4</v>
      </c>
      <c r="E817" s="40">
        <f t="shared" si="654"/>
        <v>0</v>
      </c>
      <c r="F817" s="11">
        <f t="shared" si="641"/>
        <v>9</v>
      </c>
      <c r="G817" s="17">
        <f t="shared" ref="G817:J817" si="655">SUM(G791:G816)</f>
        <v>1</v>
      </c>
      <c r="H817" s="18">
        <f t="shared" si="655"/>
        <v>4</v>
      </c>
      <c r="I817" s="18">
        <f t="shared" si="655"/>
        <v>1</v>
      </c>
      <c r="J817" s="40">
        <f t="shared" si="655"/>
        <v>5</v>
      </c>
      <c r="K817" s="11">
        <f t="shared" si="642"/>
        <v>11</v>
      </c>
      <c r="L817" s="11">
        <f t="shared" si="637"/>
        <v>20</v>
      </c>
      <c r="O817" s="3" t="s">
        <v>7</v>
      </c>
      <c r="P817" s="17">
        <f t="shared" ref="P817:S817" si="656">SUM(P791:P816)</f>
        <v>24</v>
      </c>
      <c r="Q817" s="18">
        <f t="shared" si="656"/>
        <v>38</v>
      </c>
      <c r="R817" s="18">
        <f t="shared" si="656"/>
        <v>32</v>
      </c>
      <c r="S817" s="40">
        <f t="shared" si="656"/>
        <v>20</v>
      </c>
      <c r="T817" s="11">
        <f t="shared" si="643"/>
        <v>114</v>
      </c>
      <c r="U817" s="17">
        <f t="shared" ref="U817:X817" si="657">SUM(U791:U816)</f>
        <v>0</v>
      </c>
      <c r="V817" s="18">
        <f t="shared" si="657"/>
        <v>5</v>
      </c>
      <c r="W817" s="146">
        <f t="shared" si="657"/>
        <v>0</v>
      </c>
      <c r="X817" s="146">
        <f t="shared" si="657"/>
        <v>0</v>
      </c>
      <c r="Y817" s="11">
        <f t="shared" si="644"/>
        <v>5</v>
      </c>
      <c r="Z817" s="11">
        <f t="shared" si="634"/>
        <v>119</v>
      </c>
    </row>
    <row r="818" spans="1:27" ht="14.25" thickBot="1" x14ac:dyDescent="0.2">
      <c r="A818" s="19" t="s">
        <v>8</v>
      </c>
      <c r="B818" s="20">
        <f t="shared" ref="B818:E818" si="658">B790-B817</f>
        <v>3</v>
      </c>
      <c r="C818" s="21">
        <f t="shared" si="658"/>
        <v>3</v>
      </c>
      <c r="D818" s="21">
        <f t="shared" si="658"/>
        <v>2</v>
      </c>
      <c r="E818" s="22">
        <f t="shared" si="658"/>
        <v>4</v>
      </c>
      <c r="F818" s="11">
        <f t="shared" si="641"/>
        <v>12</v>
      </c>
      <c r="G818" s="20">
        <f t="shared" ref="G818:J818" si="659">G790-G817</f>
        <v>4</v>
      </c>
      <c r="H818" s="21">
        <f t="shared" si="659"/>
        <v>4</v>
      </c>
      <c r="I818" s="21">
        <f t="shared" si="659"/>
        <v>0</v>
      </c>
      <c r="J818" s="51">
        <f t="shared" si="659"/>
        <v>5</v>
      </c>
      <c r="K818" s="11">
        <f t="shared" si="642"/>
        <v>13</v>
      </c>
      <c r="L818" s="53">
        <f t="shared" si="637"/>
        <v>25</v>
      </c>
      <c r="O818" s="19" t="s">
        <v>8</v>
      </c>
      <c r="P818" s="20">
        <f t="shared" ref="P818:S818" si="660">P790-P817</f>
        <v>195</v>
      </c>
      <c r="Q818" s="21">
        <f t="shared" si="660"/>
        <v>82</v>
      </c>
      <c r="R818" s="21">
        <f t="shared" si="660"/>
        <v>58</v>
      </c>
      <c r="S818" s="22">
        <f t="shared" si="660"/>
        <v>25</v>
      </c>
      <c r="T818" s="11">
        <f t="shared" si="643"/>
        <v>360</v>
      </c>
      <c r="U818" s="20">
        <f t="shared" ref="U818:X818" si="661">U790-U817</f>
        <v>43</v>
      </c>
      <c r="V818" s="21">
        <f t="shared" si="661"/>
        <v>38</v>
      </c>
      <c r="W818" s="147">
        <f t="shared" si="661"/>
        <v>0</v>
      </c>
      <c r="X818" s="147">
        <f t="shared" si="661"/>
        <v>0</v>
      </c>
      <c r="Y818" s="11">
        <f t="shared" si="644"/>
        <v>81</v>
      </c>
      <c r="Z818" s="53">
        <f t="shared" si="634"/>
        <v>441</v>
      </c>
    </row>
    <row r="819" spans="1:27" x14ac:dyDescent="0.15">
      <c r="I819" t="s">
        <v>253</v>
      </c>
      <c r="J819" t="s">
        <v>253</v>
      </c>
      <c r="P819">
        <f>P818+B818</f>
        <v>198</v>
      </c>
      <c r="Q819">
        <f t="shared" ref="Q819:Z819" si="662">Q818+C818</f>
        <v>85</v>
      </c>
      <c r="R819">
        <f t="shared" si="662"/>
        <v>60</v>
      </c>
      <c r="S819">
        <f t="shared" si="662"/>
        <v>29</v>
      </c>
      <c r="T819">
        <f t="shared" si="662"/>
        <v>372</v>
      </c>
      <c r="U819">
        <f t="shared" si="662"/>
        <v>47</v>
      </c>
      <c r="V819">
        <f t="shared" si="662"/>
        <v>42</v>
      </c>
      <c r="W819">
        <f t="shared" si="662"/>
        <v>0</v>
      </c>
      <c r="X819">
        <f t="shared" si="662"/>
        <v>5</v>
      </c>
      <c r="Y819">
        <f t="shared" si="662"/>
        <v>94</v>
      </c>
      <c r="Z819">
        <f t="shared" si="662"/>
        <v>466</v>
      </c>
    </row>
    <row r="821" spans="1:27" ht="19.5" thickBot="1" x14ac:dyDescent="0.25">
      <c r="A821" s="1" t="s">
        <v>19</v>
      </c>
      <c r="C821" s="164" t="s">
        <v>20</v>
      </c>
      <c r="D821" s="164"/>
      <c r="O821" s="1" t="s">
        <v>21</v>
      </c>
      <c r="S821" s="164" t="s">
        <v>20</v>
      </c>
      <c r="T821" s="164"/>
    </row>
    <row r="822" spans="1:27" ht="14.25" thickBot="1" x14ac:dyDescent="0.2">
      <c r="A822" s="3" t="s">
        <v>0</v>
      </c>
      <c r="B822" s="165" t="s">
        <v>15</v>
      </c>
      <c r="C822" s="166"/>
      <c r="D822" s="166"/>
      <c r="E822" s="166"/>
      <c r="F822" s="167"/>
      <c r="G822" s="168" t="s">
        <v>18</v>
      </c>
      <c r="H822" s="169"/>
      <c r="I822" s="169"/>
      <c r="J822" s="169"/>
      <c r="K822" s="170"/>
      <c r="L822" s="47"/>
      <c r="O822" s="3" t="s">
        <v>0</v>
      </c>
      <c r="P822" s="165" t="s">
        <v>15</v>
      </c>
      <c r="Q822" s="166"/>
      <c r="R822" s="166"/>
      <c r="S822" s="166"/>
      <c r="T822" s="167"/>
      <c r="U822" s="168" t="s">
        <v>18</v>
      </c>
      <c r="V822" s="169"/>
      <c r="W822" s="169"/>
      <c r="X822" s="169"/>
      <c r="Y822" s="170"/>
      <c r="Z822" s="47"/>
    </row>
    <row r="823" spans="1:27" ht="14.25" thickBot="1" x14ac:dyDescent="0.2">
      <c r="A823" s="3" t="s">
        <v>1</v>
      </c>
      <c r="B823" s="23" t="s">
        <v>11</v>
      </c>
      <c r="C823" s="24" t="s">
        <v>12</v>
      </c>
      <c r="D823" s="24" t="s">
        <v>13</v>
      </c>
      <c r="E823" s="25" t="s">
        <v>14</v>
      </c>
      <c r="F823" s="48" t="s">
        <v>2</v>
      </c>
      <c r="G823" s="23" t="s">
        <v>11</v>
      </c>
      <c r="H823" s="24" t="s">
        <v>12</v>
      </c>
      <c r="I823" s="24" t="s">
        <v>13</v>
      </c>
      <c r="J823" s="25" t="s">
        <v>14</v>
      </c>
      <c r="K823" s="48" t="s">
        <v>2</v>
      </c>
      <c r="L823" s="48" t="s">
        <v>17</v>
      </c>
      <c r="O823" s="3" t="s">
        <v>1</v>
      </c>
      <c r="P823" s="23" t="s">
        <v>11</v>
      </c>
      <c r="Q823" s="24" t="s">
        <v>12</v>
      </c>
      <c r="R823" s="24" t="s">
        <v>13</v>
      </c>
      <c r="S823" s="25" t="s">
        <v>14</v>
      </c>
      <c r="T823" s="48" t="s">
        <v>2</v>
      </c>
      <c r="U823" s="23" t="s">
        <v>11</v>
      </c>
      <c r="V823" s="24" t="s">
        <v>12</v>
      </c>
      <c r="W823" s="24" t="s">
        <v>13</v>
      </c>
      <c r="X823" s="25" t="s">
        <v>14</v>
      </c>
      <c r="Y823" s="48" t="s">
        <v>2</v>
      </c>
      <c r="Z823" s="48" t="s">
        <v>17</v>
      </c>
    </row>
    <row r="824" spans="1:27" x14ac:dyDescent="0.15">
      <c r="A824" s="116" t="s">
        <v>9</v>
      </c>
      <c r="B824" s="113">
        <f>B818</f>
        <v>3</v>
      </c>
      <c r="C824" s="27">
        <f>C818</f>
        <v>3</v>
      </c>
      <c r="D824" s="27">
        <f>D818</f>
        <v>2</v>
      </c>
      <c r="E824" s="42">
        <f>E818</f>
        <v>4</v>
      </c>
      <c r="F824" s="28">
        <f>SUM(B824:E824)</f>
        <v>12</v>
      </c>
      <c r="G824" s="113">
        <f>G818</f>
        <v>4</v>
      </c>
      <c r="H824" s="27">
        <f>H818</f>
        <v>4</v>
      </c>
      <c r="I824" s="27">
        <f>I818</f>
        <v>0</v>
      </c>
      <c r="J824" s="42">
        <f>J818</f>
        <v>5</v>
      </c>
      <c r="K824" s="28">
        <f>SUM(G824:J824)</f>
        <v>13</v>
      </c>
      <c r="L824" s="114">
        <f>F824+K824</f>
        <v>25</v>
      </c>
      <c r="O824" s="54" t="s">
        <v>9</v>
      </c>
      <c r="P824" s="26">
        <f>P818</f>
        <v>195</v>
      </c>
      <c r="Q824" s="27">
        <f>Q818</f>
        <v>82</v>
      </c>
      <c r="R824" s="27">
        <f>R818</f>
        <v>58</v>
      </c>
      <c r="S824" s="42">
        <f>S818</f>
        <v>25</v>
      </c>
      <c r="T824" s="28">
        <f>SUM(P824:S824)</f>
        <v>360</v>
      </c>
      <c r="U824" s="26">
        <f>U818</f>
        <v>43</v>
      </c>
      <c r="V824" s="27">
        <f>V818</f>
        <v>38</v>
      </c>
      <c r="W824" s="27">
        <f>W818</f>
        <v>0</v>
      </c>
      <c r="X824" s="42">
        <f>X818</f>
        <v>0</v>
      </c>
      <c r="Y824" s="52">
        <f>SUM(U824:X824)</f>
        <v>81</v>
      </c>
      <c r="Z824" s="28">
        <f>T824+Y824</f>
        <v>441</v>
      </c>
    </row>
    <row r="825" spans="1:27" x14ac:dyDescent="0.15">
      <c r="A825" s="33" t="s">
        <v>10</v>
      </c>
      <c r="B825" s="9"/>
      <c r="C825" s="29"/>
      <c r="D825" s="29">
        <v>5</v>
      </c>
      <c r="E825" s="43"/>
      <c r="F825" s="14">
        <f t="shared" ref="F825:F828" si="663">SUM(B825:E825)</f>
        <v>5</v>
      </c>
      <c r="G825" s="9"/>
      <c r="H825" s="29"/>
      <c r="I825" s="29"/>
      <c r="J825" s="43"/>
      <c r="K825" s="14">
        <f t="shared" ref="K825:K828" si="664">SUM(G825:J825)</f>
        <v>0</v>
      </c>
      <c r="L825" s="125">
        <f t="shared" ref="L825:L857" si="665">F825+K825</f>
        <v>5</v>
      </c>
      <c r="M825" s="7">
        <v>46164</v>
      </c>
      <c r="O825" s="33" t="s">
        <v>10</v>
      </c>
      <c r="P825" s="122"/>
      <c r="Q825" s="119"/>
      <c r="R825" s="119"/>
      <c r="S825" s="120"/>
      <c r="T825" s="14">
        <f t="shared" ref="T825:T828" si="666">SUM(P825:S825)</f>
        <v>0</v>
      </c>
      <c r="U825" s="122"/>
      <c r="V825" s="119"/>
      <c r="W825" s="119"/>
      <c r="X825" s="120"/>
      <c r="Y825" s="14">
        <f t="shared" ref="Y825:Y828" si="667">SUM(U825:X825)</f>
        <v>0</v>
      </c>
      <c r="Z825" s="125">
        <f t="shared" ref="Z825:Z857" si="668">T825+Y825</f>
        <v>0</v>
      </c>
    </row>
    <row r="826" spans="1:27" x14ac:dyDescent="0.15">
      <c r="A826" s="152" t="s">
        <v>38</v>
      </c>
      <c r="B826" s="63">
        <v>1</v>
      </c>
      <c r="C826" s="155">
        <v>3</v>
      </c>
      <c r="D826" s="155">
        <v>1</v>
      </c>
      <c r="E826" s="156"/>
      <c r="F826" s="65">
        <f t="shared" si="663"/>
        <v>5</v>
      </c>
      <c r="G826" s="63"/>
      <c r="H826" s="155"/>
      <c r="I826" s="155"/>
      <c r="J826" s="156"/>
      <c r="K826" s="65">
        <f t="shared" si="664"/>
        <v>0</v>
      </c>
      <c r="L826" s="157">
        <f t="shared" si="665"/>
        <v>5</v>
      </c>
      <c r="M826" s="149">
        <v>46178</v>
      </c>
      <c r="O826" s="33" t="s">
        <v>3</v>
      </c>
      <c r="P826" s="122"/>
      <c r="Q826" s="119"/>
      <c r="R826" s="119"/>
      <c r="S826" s="120"/>
      <c r="T826" s="14">
        <f t="shared" si="666"/>
        <v>0</v>
      </c>
      <c r="U826" s="122"/>
      <c r="V826" s="119"/>
      <c r="W826" s="119"/>
      <c r="X826" s="120"/>
      <c r="Y826" s="14">
        <f t="shared" si="667"/>
        <v>0</v>
      </c>
      <c r="Z826" s="125">
        <f t="shared" si="668"/>
        <v>0</v>
      </c>
    </row>
    <row r="827" spans="1:27" x14ac:dyDescent="0.15">
      <c r="A827" s="152" t="s">
        <v>4</v>
      </c>
      <c r="B827" s="63"/>
      <c r="C827" s="155"/>
      <c r="D827" s="155">
        <v>3</v>
      </c>
      <c r="E827" s="156"/>
      <c r="F827" s="65">
        <f t="shared" si="663"/>
        <v>3</v>
      </c>
      <c r="G827" s="63"/>
      <c r="H827" s="155">
        <v>3</v>
      </c>
      <c r="I827" s="155"/>
      <c r="J827" s="156"/>
      <c r="K827" s="65">
        <f t="shared" si="664"/>
        <v>3</v>
      </c>
      <c r="L827" s="157">
        <f t="shared" si="665"/>
        <v>6</v>
      </c>
      <c r="M827" s="149">
        <v>46182</v>
      </c>
      <c r="N827" s="150"/>
      <c r="O827" s="33" t="s">
        <v>4</v>
      </c>
      <c r="P827" s="122"/>
      <c r="Q827" s="119"/>
      <c r="R827" s="119"/>
      <c r="S827" s="120"/>
      <c r="T827" s="14">
        <f t="shared" si="666"/>
        <v>0</v>
      </c>
      <c r="U827" s="122"/>
      <c r="V827" s="119"/>
      <c r="W827" s="119"/>
      <c r="X827" s="120"/>
      <c r="Y827" s="14">
        <f t="shared" si="667"/>
        <v>0</v>
      </c>
      <c r="Z827" s="125">
        <f t="shared" si="668"/>
        <v>0</v>
      </c>
    </row>
    <row r="828" spans="1:27" ht="14.25" thickBot="1" x14ac:dyDescent="0.2">
      <c r="A828" s="152" t="s">
        <v>5</v>
      </c>
      <c r="B828" s="160"/>
      <c r="C828" s="161"/>
      <c r="D828" s="161"/>
      <c r="E828" s="162"/>
      <c r="F828" s="81">
        <f t="shared" si="663"/>
        <v>0</v>
      </c>
      <c r="G828" s="160"/>
      <c r="H828" s="161">
        <v>5</v>
      </c>
      <c r="I828" s="161"/>
      <c r="J828" s="162"/>
      <c r="K828" s="81">
        <f t="shared" si="664"/>
        <v>5</v>
      </c>
      <c r="L828" s="163">
        <f t="shared" si="665"/>
        <v>5</v>
      </c>
      <c r="M828" s="149">
        <v>46184</v>
      </c>
      <c r="N828" s="150"/>
      <c r="O828" s="35" t="s">
        <v>5</v>
      </c>
      <c r="P828" s="135"/>
      <c r="Q828" s="136"/>
      <c r="R828" s="136"/>
      <c r="S828" s="137"/>
      <c r="T828" s="59">
        <f t="shared" si="666"/>
        <v>0</v>
      </c>
      <c r="U828" s="135"/>
      <c r="V828" s="136"/>
      <c r="W828" s="136"/>
      <c r="X828" s="137"/>
      <c r="Y828" s="59">
        <f t="shared" si="667"/>
        <v>0</v>
      </c>
      <c r="Z828" s="138">
        <f t="shared" si="668"/>
        <v>0</v>
      </c>
    </row>
    <row r="829" spans="1:27" ht="14.25" thickBot="1" x14ac:dyDescent="0.2">
      <c r="A829" s="2" t="s">
        <v>6</v>
      </c>
      <c r="B829" s="139">
        <f>SUM(B824:B828)</f>
        <v>4</v>
      </c>
      <c r="C829" s="140">
        <f>SUM(C824:C828)</f>
        <v>6</v>
      </c>
      <c r="D829" s="140">
        <f>SUM(D824:D828)</f>
        <v>11</v>
      </c>
      <c r="E829" s="141">
        <f>SUM(E824:E828)</f>
        <v>4</v>
      </c>
      <c r="F829" s="32">
        <f>SUM(B829:E829)</f>
        <v>25</v>
      </c>
      <c r="G829" s="142">
        <f>SUM(G824:G828)</f>
        <v>4</v>
      </c>
      <c r="H829" s="140">
        <f>SUM(H824:H828)</f>
        <v>12</v>
      </c>
      <c r="I829" s="140">
        <f>SUM(I824:I828)</f>
        <v>0</v>
      </c>
      <c r="J829" s="141">
        <f>SUM(J824:J828)</f>
        <v>5</v>
      </c>
      <c r="K829" s="32">
        <f>SUM(G829:J829)</f>
        <v>21</v>
      </c>
      <c r="L829" s="11">
        <f t="shared" si="665"/>
        <v>46</v>
      </c>
      <c r="O829" s="2" t="s">
        <v>6</v>
      </c>
      <c r="P829" s="139">
        <f>SUM(P824:P828)</f>
        <v>195</v>
      </c>
      <c r="Q829" s="140">
        <f>SUM(Q824:Q828)</f>
        <v>82</v>
      </c>
      <c r="R829" s="140">
        <f>SUM(R824:R828)</f>
        <v>58</v>
      </c>
      <c r="S829" s="141">
        <f>SUM(S824:S828)</f>
        <v>25</v>
      </c>
      <c r="T829" s="32">
        <f>SUM(P829:S829)</f>
        <v>360</v>
      </c>
      <c r="U829" s="142">
        <f>SUM(U824:U828)</f>
        <v>43</v>
      </c>
      <c r="V829" s="140">
        <f>SUM(V824:V828)</f>
        <v>38</v>
      </c>
      <c r="W829" s="140">
        <f>SUM(W824:W828)</f>
        <v>0</v>
      </c>
      <c r="X829" s="141">
        <f>SUM(X824:X828)</f>
        <v>0</v>
      </c>
      <c r="Y829" s="32">
        <f>SUM(U829:X829)</f>
        <v>81</v>
      </c>
      <c r="Z829" s="11">
        <f t="shared" si="668"/>
        <v>441</v>
      </c>
    </row>
    <row r="830" spans="1:27" x14ac:dyDescent="0.15">
      <c r="A830" s="33" t="s">
        <v>35</v>
      </c>
      <c r="B830" s="8"/>
      <c r="C830" s="9"/>
      <c r="D830" s="9">
        <v>1</v>
      </c>
      <c r="E830" s="39"/>
      <c r="F830" s="14">
        <f t="shared" ref="F830:F847" si="669">SUM(B830:E830)</f>
        <v>1</v>
      </c>
      <c r="G830" s="9"/>
      <c r="H830" s="9"/>
      <c r="I830" s="9"/>
      <c r="J830" s="39"/>
      <c r="K830" s="14">
        <f t="shared" ref="K830:K847" si="670">SUM(G830:J830)</f>
        <v>0</v>
      </c>
      <c r="L830" s="14">
        <f t="shared" ref="L830:L847" si="671">F830+K830</f>
        <v>1</v>
      </c>
      <c r="M830" s="7">
        <v>46143</v>
      </c>
      <c r="O830" s="35" t="s">
        <v>279</v>
      </c>
      <c r="P830" s="8"/>
      <c r="Q830" s="9">
        <v>5</v>
      </c>
      <c r="R830" s="9"/>
      <c r="S830" s="39"/>
      <c r="T830" s="14">
        <f t="shared" ref="T830" si="672">SUM(P830:S830)</f>
        <v>5</v>
      </c>
      <c r="U830" s="9"/>
      <c r="V830" s="9"/>
      <c r="W830" s="9"/>
      <c r="X830" s="39"/>
      <c r="Y830" s="14">
        <f t="shared" ref="Y830" si="673">SUM(U830:X830)</f>
        <v>0</v>
      </c>
      <c r="Z830" s="14">
        <f t="shared" si="668"/>
        <v>5</v>
      </c>
      <c r="AA830" s="7">
        <v>46149</v>
      </c>
    </row>
    <row r="831" spans="1:27" x14ac:dyDescent="0.15">
      <c r="A831" s="33" t="s">
        <v>35</v>
      </c>
      <c r="B831" s="8"/>
      <c r="C831" s="9"/>
      <c r="D831" s="9"/>
      <c r="E831" s="39"/>
      <c r="F831" s="14">
        <f t="shared" si="669"/>
        <v>0</v>
      </c>
      <c r="G831" s="9"/>
      <c r="H831" s="9"/>
      <c r="I831" s="9"/>
      <c r="J831" s="39">
        <v>1</v>
      </c>
      <c r="K831" s="14">
        <f t="shared" si="670"/>
        <v>1</v>
      </c>
      <c r="L831" s="14">
        <f t="shared" si="671"/>
        <v>1</v>
      </c>
      <c r="M831" s="7">
        <v>46160</v>
      </c>
      <c r="O831" s="35" t="s">
        <v>280</v>
      </c>
      <c r="P831" s="8"/>
      <c r="Q831" s="9">
        <v>3</v>
      </c>
      <c r="R831" s="9"/>
      <c r="S831" s="39"/>
      <c r="T831" s="14">
        <f t="shared" ref="T831:T850" si="674">SUM(P831:S831)</f>
        <v>3</v>
      </c>
      <c r="U831" s="9"/>
      <c r="V831" s="9"/>
      <c r="W831" s="9"/>
      <c r="X831" s="39"/>
      <c r="Y831" s="14">
        <f t="shared" ref="Y831:Y850" si="675">SUM(U831:X831)</f>
        <v>0</v>
      </c>
      <c r="Z831" s="14">
        <f t="shared" ref="Z831:Z850" si="676">T831+Y831</f>
        <v>3</v>
      </c>
      <c r="AA831" s="7">
        <v>46155</v>
      </c>
    </row>
    <row r="832" spans="1:27" x14ac:dyDescent="0.15">
      <c r="A832" s="33" t="s">
        <v>35</v>
      </c>
      <c r="B832" s="8"/>
      <c r="C832" s="9"/>
      <c r="D832" s="9">
        <v>1</v>
      </c>
      <c r="E832" s="39"/>
      <c r="F832" s="14">
        <f t="shared" si="669"/>
        <v>1</v>
      </c>
      <c r="G832" s="9"/>
      <c r="H832" s="9"/>
      <c r="I832" s="9"/>
      <c r="J832" s="39"/>
      <c r="K832" s="14">
        <f t="shared" si="670"/>
        <v>0</v>
      </c>
      <c r="L832" s="14">
        <f t="shared" si="671"/>
        <v>1</v>
      </c>
      <c r="M832" s="7">
        <v>46163</v>
      </c>
      <c r="O832" s="35" t="s">
        <v>281</v>
      </c>
      <c r="P832" s="8">
        <v>2</v>
      </c>
      <c r="Q832" s="9">
        <v>8</v>
      </c>
      <c r="R832" s="9"/>
      <c r="S832" s="39"/>
      <c r="T832" s="14">
        <f t="shared" si="674"/>
        <v>10</v>
      </c>
      <c r="U832" s="9"/>
      <c r="V832" s="9"/>
      <c r="W832" s="9"/>
      <c r="X832" s="39"/>
      <c r="Y832" s="14">
        <f t="shared" si="675"/>
        <v>0</v>
      </c>
      <c r="Z832" s="14">
        <f t="shared" si="676"/>
        <v>10</v>
      </c>
      <c r="AA832" s="7">
        <v>46164</v>
      </c>
    </row>
    <row r="833" spans="1:28" x14ac:dyDescent="0.15">
      <c r="A833" s="33" t="s">
        <v>35</v>
      </c>
      <c r="B833" s="8"/>
      <c r="C833" s="9"/>
      <c r="D833" s="9"/>
      <c r="E833" s="39"/>
      <c r="F833" s="14">
        <f t="shared" si="669"/>
        <v>0</v>
      </c>
      <c r="G833" s="9"/>
      <c r="H833" s="9">
        <v>1</v>
      </c>
      <c r="I833" s="9"/>
      <c r="J833" s="39"/>
      <c r="K833" s="14">
        <f t="shared" si="670"/>
        <v>1</v>
      </c>
      <c r="L833" s="14">
        <f t="shared" si="671"/>
        <v>1</v>
      </c>
      <c r="M833" s="7">
        <v>46167</v>
      </c>
      <c r="O833" s="35" t="s">
        <v>282</v>
      </c>
      <c r="P833" s="8"/>
      <c r="Q833" s="9"/>
      <c r="R833" s="9">
        <v>5</v>
      </c>
      <c r="S833" s="39"/>
      <c r="T833" s="14">
        <f t="shared" si="674"/>
        <v>5</v>
      </c>
      <c r="U833" s="9"/>
      <c r="V833" s="9"/>
      <c r="W833" s="9"/>
      <c r="X833" s="39"/>
      <c r="Y833" s="14">
        <f t="shared" si="675"/>
        <v>0</v>
      </c>
      <c r="Z833" s="14">
        <f t="shared" si="676"/>
        <v>5</v>
      </c>
      <c r="AA833" s="7">
        <v>46164</v>
      </c>
    </row>
    <row r="834" spans="1:28" x14ac:dyDescent="0.15">
      <c r="A834" s="33" t="s">
        <v>35</v>
      </c>
      <c r="B834" s="8"/>
      <c r="C834" s="9"/>
      <c r="D834" s="9">
        <v>1</v>
      </c>
      <c r="E834" s="39"/>
      <c r="F834" s="14">
        <f t="shared" si="669"/>
        <v>1</v>
      </c>
      <c r="G834" s="9"/>
      <c r="H834" s="9"/>
      <c r="I834" s="9"/>
      <c r="J834" s="39"/>
      <c r="K834" s="14">
        <f t="shared" si="670"/>
        <v>0</v>
      </c>
      <c r="L834" s="14">
        <f t="shared" si="671"/>
        <v>1</v>
      </c>
      <c r="M834" s="7">
        <v>46169</v>
      </c>
      <c r="O834" s="35" t="s">
        <v>283</v>
      </c>
      <c r="P834" s="8"/>
      <c r="Q834" s="9">
        <v>3</v>
      </c>
      <c r="R834" s="9"/>
      <c r="S834" s="39">
        <v>2</v>
      </c>
      <c r="T834" s="14">
        <f t="shared" si="674"/>
        <v>5</v>
      </c>
      <c r="U834" s="9"/>
      <c r="V834" s="9"/>
      <c r="W834" s="9"/>
      <c r="X834" s="39"/>
      <c r="Y834" s="14">
        <f t="shared" si="675"/>
        <v>0</v>
      </c>
      <c r="Z834" s="14">
        <f t="shared" si="676"/>
        <v>5</v>
      </c>
      <c r="AA834" s="7">
        <v>46178</v>
      </c>
    </row>
    <row r="835" spans="1:28" x14ac:dyDescent="0.15">
      <c r="A835" s="33" t="s">
        <v>35</v>
      </c>
      <c r="B835" s="8"/>
      <c r="C835" s="9"/>
      <c r="D835" s="9">
        <v>1</v>
      </c>
      <c r="E835" s="39"/>
      <c r="F835" s="14">
        <f t="shared" si="669"/>
        <v>1</v>
      </c>
      <c r="G835" s="9"/>
      <c r="H835" s="9"/>
      <c r="I835" s="9"/>
      <c r="J835" s="39"/>
      <c r="K835" s="14">
        <f t="shared" si="670"/>
        <v>0</v>
      </c>
      <c r="L835" s="14">
        <f t="shared" si="671"/>
        <v>1</v>
      </c>
      <c r="M835" s="7">
        <v>46171</v>
      </c>
      <c r="O835" s="148" t="s">
        <v>284</v>
      </c>
      <c r="P835" s="62"/>
      <c r="Q835" s="63"/>
      <c r="R835" s="63">
        <v>3</v>
      </c>
      <c r="S835" s="64"/>
      <c r="T835" s="65">
        <f t="shared" si="674"/>
        <v>3</v>
      </c>
      <c r="U835" s="63"/>
      <c r="V835" s="63">
        <v>3</v>
      </c>
      <c r="W835" s="63"/>
      <c r="X835" s="64"/>
      <c r="Y835" s="65">
        <f t="shared" si="675"/>
        <v>3</v>
      </c>
      <c r="Z835" s="65">
        <f t="shared" si="676"/>
        <v>6</v>
      </c>
      <c r="AA835" s="149">
        <v>46182</v>
      </c>
    </row>
    <row r="836" spans="1:28" x14ac:dyDescent="0.15">
      <c r="A836" s="33" t="s">
        <v>35</v>
      </c>
      <c r="B836" s="8"/>
      <c r="C836" s="9"/>
      <c r="D836" s="9">
        <v>2</v>
      </c>
      <c r="E836" s="39"/>
      <c r="F836" s="14">
        <f t="shared" si="669"/>
        <v>2</v>
      </c>
      <c r="G836" s="9"/>
      <c r="H836" s="9"/>
      <c r="I836" s="9"/>
      <c r="J836" s="39"/>
      <c r="K836" s="14">
        <f t="shared" si="670"/>
        <v>0</v>
      </c>
      <c r="L836" s="14">
        <f t="shared" si="671"/>
        <v>2</v>
      </c>
      <c r="M836" s="7">
        <v>46174</v>
      </c>
      <c r="O836" s="148" t="s">
        <v>284</v>
      </c>
      <c r="P836" s="62"/>
      <c r="Q836" s="63"/>
      <c r="R836" s="63"/>
      <c r="S836" s="64"/>
      <c r="T836" s="65">
        <f t="shared" si="674"/>
        <v>0</v>
      </c>
      <c r="U836" s="63"/>
      <c r="V836" s="63">
        <v>5</v>
      </c>
      <c r="W836" s="63"/>
      <c r="X836" s="64"/>
      <c r="Y836" s="65">
        <f t="shared" si="675"/>
        <v>5</v>
      </c>
      <c r="Z836" s="65">
        <f t="shared" si="676"/>
        <v>5</v>
      </c>
      <c r="AA836" s="149">
        <v>46184</v>
      </c>
    </row>
    <row r="837" spans="1:28" x14ac:dyDescent="0.15">
      <c r="A837" s="33" t="s">
        <v>35</v>
      </c>
      <c r="B837" s="8"/>
      <c r="C837" s="9"/>
      <c r="D837" s="9"/>
      <c r="E837" s="39"/>
      <c r="F837" s="14">
        <f t="shared" si="669"/>
        <v>0</v>
      </c>
      <c r="G837" s="9"/>
      <c r="H837" s="9">
        <v>2</v>
      </c>
      <c r="I837" s="9"/>
      <c r="J837" s="39"/>
      <c r="K837" s="14">
        <f t="shared" si="670"/>
        <v>2</v>
      </c>
      <c r="L837" s="14">
        <f t="shared" si="671"/>
        <v>2</v>
      </c>
      <c r="M837" s="7">
        <v>46181</v>
      </c>
      <c r="O837" s="35" t="s">
        <v>285</v>
      </c>
      <c r="P837" s="8"/>
      <c r="Q837" s="9"/>
      <c r="R837" s="9"/>
      <c r="S837" s="39">
        <v>8</v>
      </c>
      <c r="T837" s="14">
        <f t="shared" si="674"/>
        <v>8</v>
      </c>
      <c r="U837" s="9"/>
      <c r="V837" s="9"/>
      <c r="W837" s="9"/>
      <c r="X837" s="39"/>
      <c r="Y837" s="14">
        <f t="shared" si="675"/>
        <v>0</v>
      </c>
      <c r="Z837" s="14">
        <f t="shared" si="676"/>
        <v>8</v>
      </c>
      <c r="AA837" s="7">
        <v>46185</v>
      </c>
    </row>
    <row r="838" spans="1:28" x14ac:dyDescent="0.15">
      <c r="A838" s="33" t="s">
        <v>35</v>
      </c>
      <c r="B838" s="8">
        <v>1</v>
      </c>
      <c r="C838" s="9"/>
      <c r="D838" s="9"/>
      <c r="E838" s="39"/>
      <c r="F838" s="14">
        <f t="shared" si="669"/>
        <v>1</v>
      </c>
      <c r="G838" s="9"/>
      <c r="H838" s="9"/>
      <c r="I838" s="9"/>
      <c r="J838" s="39"/>
      <c r="K838" s="14">
        <f t="shared" si="670"/>
        <v>0</v>
      </c>
      <c r="L838" s="14">
        <f t="shared" si="671"/>
        <v>1</v>
      </c>
      <c r="M838" s="7">
        <v>46182</v>
      </c>
      <c r="O838" s="148" t="s">
        <v>252</v>
      </c>
      <c r="P838" s="62"/>
      <c r="Q838" s="63"/>
      <c r="R838" s="63"/>
      <c r="S838" s="64"/>
      <c r="T838" s="65">
        <f t="shared" si="674"/>
        <v>0</v>
      </c>
      <c r="U838" s="63"/>
      <c r="V838" s="63">
        <v>5</v>
      </c>
      <c r="W838" s="63"/>
      <c r="X838" s="64"/>
      <c r="Y838" s="65">
        <f t="shared" si="675"/>
        <v>5</v>
      </c>
      <c r="Z838" s="65">
        <f t="shared" si="676"/>
        <v>5</v>
      </c>
      <c r="AA838" s="149">
        <v>46189</v>
      </c>
      <c r="AB838" s="150"/>
    </row>
    <row r="839" spans="1:28" x14ac:dyDescent="0.15">
      <c r="A839" s="33" t="s">
        <v>35</v>
      </c>
      <c r="B839" s="8"/>
      <c r="C839" s="9"/>
      <c r="D839" s="9"/>
      <c r="E839" s="39"/>
      <c r="F839" s="14">
        <f t="shared" si="669"/>
        <v>0</v>
      </c>
      <c r="G839" s="9"/>
      <c r="H839" s="9">
        <v>3</v>
      </c>
      <c r="I839" s="9"/>
      <c r="J839" s="39"/>
      <c r="K839" s="14">
        <f t="shared" si="670"/>
        <v>3</v>
      </c>
      <c r="L839" s="14">
        <f t="shared" si="671"/>
        <v>3</v>
      </c>
      <c r="M839" s="7">
        <v>46183</v>
      </c>
      <c r="O839" s="35" t="s">
        <v>286</v>
      </c>
      <c r="P839" s="8"/>
      <c r="Q839" s="9"/>
      <c r="R839" s="9">
        <v>2</v>
      </c>
      <c r="S839" s="39"/>
      <c r="T839" s="14">
        <f t="shared" si="674"/>
        <v>2</v>
      </c>
      <c r="U839" s="9"/>
      <c r="V839" s="9"/>
      <c r="W839" s="9"/>
      <c r="X839" s="39"/>
      <c r="Y839" s="14">
        <f t="shared" si="675"/>
        <v>0</v>
      </c>
      <c r="Z839" s="14">
        <f t="shared" si="676"/>
        <v>2</v>
      </c>
      <c r="AA839" s="7">
        <v>46192</v>
      </c>
    </row>
    <row r="840" spans="1:28" x14ac:dyDescent="0.15">
      <c r="A840" s="33" t="s">
        <v>35</v>
      </c>
      <c r="B840" s="8"/>
      <c r="C840" s="9"/>
      <c r="D840" s="9"/>
      <c r="E840" s="39"/>
      <c r="F840" s="14">
        <f t="shared" si="669"/>
        <v>0</v>
      </c>
      <c r="G840" s="9"/>
      <c r="H840" s="9">
        <v>3</v>
      </c>
      <c r="I840" s="9"/>
      <c r="J840" s="39"/>
      <c r="K840" s="14">
        <f t="shared" si="670"/>
        <v>3</v>
      </c>
      <c r="L840" s="14">
        <f t="shared" si="671"/>
        <v>3</v>
      </c>
      <c r="M840" s="7">
        <v>46184</v>
      </c>
      <c r="O840" s="35"/>
      <c r="P840" s="8"/>
      <c r="Q840" s="9"/>
      <c r="R840" s="9"/>
      <c r="S840" s="39"/>
      <c r="T840" s="14">
        <f t="shared" si="674"/>
        <v>0</v>
      </c>
      <c r="U840" s="9"/>
      <c r="V840" s="9"/>
      <c r="W840" s="9"/>
      <c r="X840" s="39"/>
      <c r="Y840" s="14">
        <f t="shared" si="675"/>
        <v>0</v>
      </c>
      <c r="Z840" s="14">
        <f t="shared" si="676"/>
        <v>0</v>
      </c>
    </row>
    <row r="841" spans="1:28" x14ac:dyDescent="0.15">
      <c r="A841" s="33" t="s">
        <v>35</v>
      </c>
      <c r="B841" s="8"/>
      <c r="C841" s="9"/>
      <c r="D841" s="9"/>
      <c r="E841" s="39"/>
      <c r="F841" s="14">
        <f t="shared" si="669"/>
        <v>0</v>
      </c>
      <c r="G841" s="9"/>
      <c r="H841" s="9">
        <v>1</v>
      </c>
      <c r="I841" s="9"/>
      <c r="J841" s="39"/>
      <c r="K841" s="14">
        <f t="shared" si="670"/>
        <v>1</v>
      </c>
      <c r="L841" s="14">
        <f t="shared" si="671"/>
        <v>1</v>
      </c>
      <c r="M841" s="7">
        <v>46185</v>
      </c>
      <c r="O841" s="148"/>
      <c r="P841" s="62"/>
      <c r="Q841" s="63"/>
      <c r="R841" s="63"/>
      <c r="S841" s="64"/>
      <c r="T841" s="65">
        <f t="shared" si="674"/>
        <v>0</v>
      </c>
      <c r="U841" s="63"/>
      <c r="V841" s="63"/>
      <c r="W841" s="63"/>
      <c r="X841" s="64"/>
      <c r="Y841" s="65">
        <f t="shared" si="675"/>
        <v>0</v>
      </c>
      <c r="Z841" s="65">
        <f t="shared" si="676"/>
        <v>0</v>
      </c>
    </row>
    <row r="842" spans="1:28" x14ac:dyDescent="0.15">
      <c r="A842" s="33" t="s">
        <v>35</v>
      </c>
      <c r="B842" s="8"/>
      <c r="C842" s="9"/>
      <c r="D842" s="9">
        <v>1</v>
      </c>
      <c r="E842" s="39"/>
      <c r="F842" s="14">
        <f t="shared" si="669"/>
        <v>1</v>
      </c>
      <c r="G842" s="9">
        <v>1</v>
      </c>
      <c r="H842" s="9">
        <v>1</v>
      </c>
      <c r="I842" s="9"/>
      <c r="J842" s="39"/>
      <c r="K842" s="14">
        <f t="shared" si="670"/>
        <v>2</v>
      </c>
      <c r="L842" s="14">
        <f t="shared" si="671"/>
        <v>3</v>
      </c>
      <c r="M842" s="7">
        <v>46188</v>
      </c>
      <c r="O842" s="148"/>
      <c r="P842" s="62"/>
      <c r="Q842" s="63"/>
      <c r="R842" s="63"/>
      <c r="S842" s="64"/>
      <c r="T842" s="65">
        <f t="shared" si="674"/>
        <v>0</v>
      </c>
      <c r="U842" s="63"/>
      <c r="V842" s="63"/>
      <c r="W842" s="63"/>
      <c r="X842" s="64"/>
      <c r="Y842" s="65">
        <f t="shared" si="675"/>
        <v>0</v>
      </c>
      <c r="Z842" s="65">
        <f t="shared" si="676"/>
        <v>0</v>
      </c>
    </row>
    <row r="843" spans="1:28" x14ac:dyDescent="0.15">
      <c r="A843" s="152" t="s">
        <v>40</v>
      </c>
      <c r="B843" s="62"/>
      <c r="C843" s="63"/>
      <c r="D843" s="63"/>
      <c r="E843" s="64"/>
      <c r="F843" s="65">
        <f t="shared" si="669"/>
        <v>0</v>
      </c>
      <c r="G843" s="63"/>
      <c r="H843" s="63">
        <v>-5</v>
      </c>
      <c r="I843" s="63"/>
      <c r="J843" s="64"/>
      <c r="K843" s="65">
        <f t="shared" si="670"/>
        <v>-5</v>
      </c>
      <c r="L843" s="65">
        <f t="shared" si="671"/>
        <v>-5</v>
      </c>
      <c r="M843" s="149">
        <v>46189</v>
      </c>
      <c r="N843" s="150"/>
      <c r="O843" s="148"/>
      <c r="P843" s="62"/>
      <c r="Q843" s="63"/>
      <c r="R843" s="63"/>
      <c r="S843" s="64"/>
      <c r="T843" s="65">
        <f t="shared" si="674"/>
        <v>0</v>
      </c>
      <c r="U843" s="63"/>
      <c r="V843" s="63"/>
      <c r="W843" s="63"/>
      <c r="X843" s="64"/>
      <c r="Y843" s="65">
        <f t="shared" si="675"/>
        <v>0</v>
      </c>
      <c r="Z843" s="65">
        <f t="shared" si="676"/>
        <v>0</v>
      </c>
    </row>
    <row r="844" spans="1:28" x14ac:dyDescent="0.15">
      <c r="A844" s="33" t="s">
        <v>35</v>
      </c>
      <c r="B844" s="8"/>
      <c r="C844" s="9"/>
      <c r="D844" s="9"/>
      <c r="E844" s="39"/>
      <c r="F844" s="14">
        <f t="shared" si="669"/>
        <v>0</v>
      </c>
      <c r="G844" s="9"/>
      <c r="H844" s="9">
        <v>1</v>
      </c>
      <c r="I844" s="9"/>
      <c r="J844" s="39"/>
      <c r="K844" s="14">
        <f t="shared" si="670"/>
        <v>1</v>
      </c>
      <c r="L844" s="14">
        <f t="shared" si="671"/>
        <v>1</v>
      </c>
      <c r="M844" s="7">
        <v>46189</v>
      </c>
      <c r="O844" s="148"/>
      <c r="P844" s="62"/>
      <c r="Q844" s="63"/>
      <c r="R844" s="63"/>
      <c r="S844" s="64"/>
      <c r="T844" s="65">
        <f t="shared" si="674"/>
        <v>0</v>
      </c>
      <c r="U844" s="63"/>
      <c r="V844" s="63"/>
      <c r="W844" s="63"/>
      <c r="X844" s="64"/>
      <c r="Y844" s="65">
        <f t="shared" si="675"/>
        <v>0</v>
      </c>
      <c r="Z844" s="65">
        <f t="shared" si="676"/>
        <v>0</v>
      </c>
    </row>
    <row r="845" spans="1:28" x14ac:dyDescent="0.15">
      <c r="A845" s="33" t="s">
        <v>35</v>
      </c>
      <c r="B845" s="8"/>
      <c r="C845" s="9"/>
      <c r="D845" s="9">
        <v>1</v>
      </c>
      <c r="E845" s="39"/>
      <c r="F845" s="14">
        <f t="shared" si="669"/>
        <v>1</v>
      </c>
      <c r="G845" s="9"/>
      <c r="H845" s="9"/>
      <c r="I845" s="9"/>
      <c r="J845" s="39"/>
      <c r="K845" s="14">
        <f t="shared" si="670"/>
        <v>0</v>
      </c>
      <c r="L845" s="14">
        <f t="shared" si="671"/>
        <v>1</v>
      </c>
      <c r="M845" s="7">
        <v>46190</v>
      </c>
      <c r="O845" s="148"/>
      <c r="P845" s="62"/>
      <c r="Q845" s="63"/>
      <c r="R845" s="63"/>
      <c r="S845" s="64"/>
      <c r="T845" s="65">
        <f t="shared" si="674"/>
        <v>0</v>
      </c>
      <c r="U845" s="63"/>
      <c r="V845" s="63"/>
      <c r="W845" s="63"/>
      <c r="X845" s="64"/>
      <c r="Y845" s="65">
        <f t="shared" si="675"/>
        <v>0</v>
      </c>
      <c r="Z845" s="65">
        <f t="shared" si="676"/>
        <v>0</v>
      </c>
    </row>
    <row r="846" spans="1:28" x14ac:dyDescent="0.15">
      <c r="A846" s="33" t="s">
        <v>287</v>
      </c>
      <c r="B846" s="8">
        <v>1</v>
      </c>
      <c r="C846" s="9"/>
      <c r="D846" s="9"/>
      <c r="E846" s="39"/>
      <c r="F846" s="14">
        <f t="shared" si="669"/>
        <v>1</v>
      </c>
      <c r="G846" s="9"/>
      <c r="H846" s="9"/>
      <c r="I846" s="9"/>
      <c r="J846" s="39"/>
      <c r="K846" s="14">
        <f t="shared" si="670"/>
        <v>0</v>
      </c>
      <c r="L846" s="14">
        <f t="shared" si="671"/>
        <v>1</v>
      </c>
      <c r="M846" s="7">
        <v>46204</v>
      </c>
      <c r="O846" s="148"/>
      <c r="P846" s="62"/>
      <c r="Q846" s="63"/>
      <c r="R846" s="63"/>
      <c r="S846" s="64"/>
      <c r="T846" s="65">
        <f t="shared" si="674"/>
        <v>0</v>
      </c>
      <c r="U846" s="63"/>
      <c r="V846" s="63"/>
      <c r="W846" s="63"/>
      <c r="X846" s="64"/>
      <c r="Y846" s="65">
        <f t="shared" si="675"/>
        <v>0</v>
      </c>
      <c r="Z846" s="65">
        <f t="shared" si="676"/>
        <v>0</v>
      </c>
    </row>
    <row r="847" spans="1:28" x14ac:dyDescent="0.15">
      <c r="A847" s="33" t="s">
        <v>287</v>
      </c>
      <c r="B847" s="8">
        <v>2</v>
      </c>
      <c r="C847" s="9"/>
      <c r="D847" s="9">
        <v>1</v>
      </c>
      <c r="E847" s="39"/>
      <c r="F847" s="14">
        <f t="shared" si="669"/>
        <v>3</v>
      </c>
      <c r="G847" s="9">
        <v>2</v>
      </c>
      <c r="H847" s="9">
        <v>6</v>
      </c>
      <c r="I847" s="9"/>
      <c r="J847" s="39"/>
      <c r="K847" s="14">
        <f t="shared" si="670"/>
        <v>8</v>
      </c>
      <c r="L847" s="14">
        <f t="shared" si="671"/>
        <v>11</v>
      </c>
      <c r="M847" s="7">
        <v>46217</v>
      </c>
      <c r="O847" s="148"/>
      <c r="P847" s="62"/>
      <c r="Q847" s="63"/>
      <c r="R847" s="63"/>
      <c r="S847" s="64"/>
      <c r="T847" s="65">
        <f t="shared" si="674"/>
        <v>0</v>
      </c>
      <c r="U847" s="63"/>
      <c r="V847" s="63"/>
      <c r="W847" s="63"/>
      <c r="X847" s="64"/>
      <c r="Y847" s="65">
        <f t="shared" si="675"/>
        <v>0</v>
      </c>
      <c r="Z847" s="65">
        <f t="shared" si="676"/>
        <v>0</v>
      </c>
    </row>
    <row r="848" spans="1:28" x14ac:dyDescent="0.15">
      <c r="A848" s="33" t="s">
        <v>287</v>
      </c>
      <c r="B848" s="8"/>
      <c r="C848" s="9"/>
      <c r="D848" s="9"/>
      <c r="E848" s="39"/>
      <c r="F848" s="14">
        <f t="shared" ref="F848:F857" si="677">SUM(B848:E848)</f>
        <v>0</v>
      </c>
      <c r="G848" s="9"/>
      <c r="H848" s="9">
        <v>1</v>
      </c>
      <c r="I848" s="9"/>
      <c r="J848" s="39"/>
      <c r="K848" s="14">
        <f t="shared" ref="K848:K857" si="678">SUM(G848:J848)</f>
        <v>1</v>
      </c>
      <c r="L848" s="14">
        <f t="shared" si="665"/>
        <v>1</v>
      </c>
      <c r="M848" s="7">
        <v>46219</v>
      </c>
      <c r="O848" s="148"/>
      <c r="P848" s="62"/>
      <c r="Q848" s="63"/>
      <c r="R848" s="63"/>
      <c r="S848" s="64"/>
      <c r="T848" s="65">
        <f t="shared" si="674"/>
        <v>0</v>
      </c>
      <c r="U848" s="63"/>
      <c r="V848" s="63"/>
      <c r="W848" s="63"/>
      <c r="X848" s="64"/>
      <c r="Y848" s="65">
        <f t="shared" si="675"/>
        <v>0</v>
      </c>
      <c r="Z848" s="65">
        <f t="shared" si="676"/>
        <v>0</v>
      </c>
    </row>
    <row r="849" spans="1:27" x14ac:dyDescent="0.15">
      <c r="A849" s="33"/>
      <c r="B849" s="8"/>
      <c r="C849" s="9"/>
      <c r="D849" s="9"/>
      <c r="E849" s="39"/>
      <c r="F849" s="14">
        <f t="shared" si="677"/>
        <v>0</v>
      </c>
      <c r="G849" s="9"/>
      <c r="H849" s="9"/>
      <c r="I849" s="9"/>
      <c r="J849" s="39"/>
      <c r="K849" s="14">
        <f t="shared" si="678"/>
        <v>0</v>
      </c>
      <c r="L849" s="14">
        <f t="shared" si="665"/>
        <v>0</v>
      </c>
      <c r="O849" s="148"/>
      <c r="P849" s="62"/>
      <c r="Q849" s="63"/>
      <c r="R849" s="63"/>
      <c r="S849" s="64"/>
      <c r="T849" s="65">
        <f t="shared" si="674"/>
        <v>0</v>
      </c>
      <c r="U849" s="63"/>
      <c r="V849" s="63"/>
      <c r="W849" s="63"/>
      <c r="X849" s="64"/>
      <c r="Y849" s="65">
        <f t="shared" si="675"/>
        <v>0</v>
      </c>
      <c r="Z849" s="65">
        <f t="shared" si="676"/>
        <v>0</v>
      </c>
    </row>
    <row r="850" spans="1:27" x14ac:dyDescent="0.15">
      <c r="A850" s="33"/>
      <c r="B850" s="8"/>
      <c r="C850" s="9"/>
      <c r="D850" s="9"/>
      <c r="E850" s="39"/>
      <c r="F850" s="14">
        <f t="shared" si="677"/>
        <v>0</v>
      </c>
      <c r="G850" s="9"/>
      <c r="H850" s="9"/>
      <c r="I850" s="9"/>
      <c r="J850" s="39"/>
      <c r="K850" s="14">
        <f t="shared" si="678"/>
        <v>0</v>
      </c>
      <c r="L850" s="14">
        <f t="shared" si="665"/>
        <v>0</v>
      </c>
      <c r="O850" s="148"/>
      <c r="P850" s="62"/>
      <c r="Q850" s="63"/>
      <c r="R850" s="63"/>
      <c r="S850" s="64"/>
      <c r="T850" s="65">
        <f t="shared" si="674"/>
        <v>0</v>
      </c>
      <c r="U850" s="63"/>
      <c r="V850" s="63"/>
      <c r="W850" s="63"/>
      <c r="X850" s="64"/>
      <c r="Y850" s="65">
        <f t="shared" si="675"/>
        <v>0</v>
      </c>
      <c r="Z850" s="65">
        <f t="shared" si="676"/>
        <v>0</v>
      </c>
    </row>
    <row r="851" spans="1:27" x14ac:dyDescent="0.15">
      <c r="A851" s="33"/>
      <c r="B851" s="8"/>
      <c r="C851" s="9"/>
      <c r="D851" s="9"/>
      <c r="E851" s="39"/>
      <c r="F851" s="14">
        <f t="shared" si="677"/>
        <v>0</v>
      </c>
      <c r="G851" s="9"/>
      <c r="H851" s="9"/>
      <c r="I851" s="9"/>
      <c r="J851" s="39"/>
      <c r="K851" s="14">
        <f t="shared" si="678"/>
        <v>0</v>
      </c>
      <c r="L851" s="14">
        <f t="shared" si="665"/>
        <v>0</v>
      </c>
      <c r="O851" s="148"/>
      <c r="P851" s="62"/>
      <c r="Q851" s="63"/>
      <c r="R851" s="63"/>
      <c r="S851" s="64"/>
      <c r="T851" s="65">
        <f t="shared" ref="T851:T857" si="679">SUM(P851:S851)</f>
        <v>0</v>
      </c>
      <c r="U851" s="63"/>
      <c r="V851" s="63"/>
      <c r="W851" s="63"/>
      <c r="X851" s="64"/>
      <c r="Y851" s="65">
        <f t="shared" ref="Y851:Y857" si="680">SUM(U851:X851)</f>
        <v>0</v>
      </c>
      <c r="Z851" s="65">
        <f t="shared" si="668"/>
        <v>0</v>
      </c>
    </row>
    <row r="852" spans="1:27" x14ac:dyDescent="0.15">
      <c r="A852" s="33"/>
      <c r="B852" s="8"/>
      <c r="C852" s="9"/>
      <c r="D852" s="9"/>
      <c r="E852" s="39"/>
      <c r="F852" s="14">
        <f t="shared" si="677"/>
        <v>0</v>
      </c>
      <c r="G852" s="9"/>
      <c r="H852" s="9"/>
      <c r="I852" s="9"/>
      <c r="J852" s="39"/>
      <c r="K852" s="14">
        <f t="shared" si="678"/>
        <v>0</v>
      </c>
      <c r="L852" s="14">
        <f t="shared" si="665"/>
        <v>0</v>
      </c>
      <c r="O852" s="148"/>
      <c r="P852" s="62"/>
      <c r="Q852" s="63"/>
      <c r="R852" s="63"/>
      <c r="S852" s="64"/>
      <c r="T852" s="65">
        <f t="shared" si="679"/>
        <v>0</v>
      </c>
      <c r="U852" s="63"/>
      <c r="V852" s="63"/>
      <c r="W852" s="63"/>
      <c r="X852" s="64"/>
      <c r="Y852" s="65">
        <f t="shared" si="680"/>
        <v>0</v>
      </c>
      <c r="Z852" s="65">
        <f t="shared" si="668"/>
        <v>0</v>
      </c>
    </row>
    <row r="853" spans="1:27" x14ac:dyDescent="0.15">
      <c r="A853" s="33"/>
      <c r="B853" s="8"/>
      <c r="C853" s="9"/>
      <c r="D853" s="9"/>
      <c r="E853" s="39"/>
      <c r="F853" s="14">
        <f t="shared" si="677"/>
        <v>0</v>
      </c>
      <c r="G853" s="9"/>
      <c r="H853" s="9"/>
      <c r="I853" s="9"/>
      <c r="J853" s="39"/>
      <c r="K853" s="14">
        <f t="shared" si="678"/>
        <v>0</v>
      </c>
      <c r="L853" s="14">
        <f t="shared" si="665"/>
        <v>0</v>
      </c>
      <c r="O853" s="148"/>
      <c r="P853" s="62"/>
      <c r="Q853" s="63"/>
      <c r="R853" s="63"/>
      <c r="S853" s="64"/>
      <c r="T853" s="65">
        <f t="shared" si="679"/>
        <v>0</v>
      </c>
      <c r="U853" s="63"/>
      <c r="V853" s="63"/>
      <c r="W853" s="63"/>
      <c r="X853" s="64"/>
      <c r="Y853" s="65">
        <f t="shared" si="680"/>
        <v>0</v>
      </c>
      <c r="Z853" s="65">
        <f t="shared" si="668"/>
        <v>0</v>
      </c>
    </row>
    <row r="854" spans="1:27" x14ac:dyDescent="0.15">
      <c r="A854" s="33"/>
      <c r="B854" s="8"/>
      <c r="C854" s="9"/>
      <c r="D854" s="9"/>
      <c r="E854" s="39"/>
      <c r="F854" s="14">
        <f t="shared" si="677"/>
        <v>0</v>
      </c>
      <c r="G854" s="9"/>
      <c r="H854" s="9"/>
      <c r="I854" s="9"/>
      <c r="J854" s="39"/>
      <c r="K854" s="14">
        <f t="shared" si="678"/>
        <v>0</v>
      </c>
      <c r="L854" s="14">
        <f t="shared" si="665"/>
        <v>0</v>
      </c>
      <c r="O854" s="89" t="s">
        <v>250</v>
      </c>
      <c r="P854" s="118">
        <f>31-2-1-3-1-2</f>
        <v>22</v>
      </c>
      <c r="Q854" s="122">
        <f>47-3-2-2-1-5-4-2-3</f>
        <v>25</v>
      </c>
      <c r="R854" s="122">
        <f>37-3-4-2-8-3-2</f>
        <v>15</v>
      </c>
      <c r="S854" s="151">
        <f>40-2-1-1-6-4-3-2-8</f>
        <v>13</v>
      </c>
      <c r="T854" s="121">
        <f t="shared" si="679"/>
        <v>75</v>
      </c>
      <c r="U854" s="122"/>
      <c r="V854" s="122"/>
      <c r="W854" s="122"/>
      <c r="X854" s="126"/>
      <c r="Y854" s="121">
        <f t="shared" si="680"/>
        <v>0</v>
      </c>
      <c r="Z854" s="121">
        <f t="shared" si="668"/>
        <v>75</v>
      </c>
      <c r="AA854" s="34" t="s">
        <v>251</v>
      </c>
    </row>
    <row r="855" spans="1:27" ht="14.25" thickBot="1" x14ac:dyDescent="0.2">
      <c r="A855" s="153" t="s">
        <v>255</v>
      </c>
      <c r="B855" s="118"/>
      <c r="C855" s="122"/>
      <c r="D855" s="122"/>
      <c r="E855" s="151">
        <v>3</v>
      </c>
      <c r="F855" s="121">
        <f t="shared" si="677"/>
        <v>3</v>
      </c>
      <c r="G855" s="122"/>
      <c r="H855" s="122"/>
      <c r="I855" s="122"/>
      <c r="J855" s="126"/>
      <c r="K855" s="121">
        <f t="shared" si="678"/>
        <v>0</v>
      </c>
      <c r="L855" s="121">
        <f t="shared" si="665"/>
        <v>3</v>
      </c>
      <c r="M855" s="154">
        <v>46041</v>
      </c>
      <c r="O855" s="89" t="s">
        <v>249</v>
      </c>
      <c r="P855" s="118">
        <f>17-3-2-4-2</f>
        <v>6</v>
      </c>
      <c r="Q855" s="122">
        <f>20-3-7-5-5</f>
        <v>0</v>
      </c>
      <c r="R855" s="122">
        <f>8-8</f>
        <v>0</v>
      </c>
      <c r="S855" s="151">
        <f>5-3</f>
        <v>2</v>
      </c>
      <c r="T855" s="121">
        <f t="shared" si="679"/>
        <v>8</v>
      </c>
      <c r="U855" s="122"/>
      <c r="V855" s="122"/>
      <c r="W855" s="122"/>
      <c r="X855" s="126"/>
      <c r="Y855" s="121">
        <f t="shared" si="680"/>
        <v>0</v>
      </c>
      <c r="Z855" s="121">
        <f t="shared" si="668"/>
        <v>8</v>
      </c>
      <c r="AA855" s="34" t="s">
        <v>251</v>
      </c>
    </row>
    <row r="856" spans="1:27" ht="14.25" thickBot="1" x14ac:dyDescent="0.2">
      <c r="A856" s="3" t="s">
        <v>7</v>
      </c>
      <c r="B856" s="17">
        <f t="shared" ref="B856:E856" si="681">SUM(B830:B855)</f>
        <v>4</v>
      </c>
      <c r="C856" s="18">
        <f t="shared" si="681"/>
        <v>0</v>
      </c>
      <c r="D856" s="18">
        <f t="shared" si="681"/>
        <v>9</v>
      </c>
      <c r="E856" s="40">
        <f t="shared" si="681"/>
        <v>3</v>
      </c>
      <c r="F856" s="11">
        <f t="shared" si="677"/>
        <v>16</v>
      </c>
      <c r="G856" s="17">
        <f t="shared" ref="G856:J856" si="682">SUM(G830:G855)</f>
        <v>3</v>
      </c>
      <c r="H856" s="18">
        <f t="shared" si="682"/>
        <v>14</v>
      </c>
      <c r="I856" s="146">
        <f t="shared" si="682"/>
        <v>0</v>
      </c>
      <c r="J856" s="40">
        <f t="shared" si="682"/>
        <v>1</v>
      </c>
      <c r="K856" s="11">
        <f t="shared" si="678"/>
        <v>18</v>
      </c>
      <c r="L856" s="11">
        <f t="shared" si="665"/>
        <v>34</v>
      </c>
      <c r="O856" s="3" t="s">
        <v>7</v>
      </c>
      <c r="P856" s="17">
        <f t="shared" ref="P856:S856" si="683">SUM(P830:P855)</f>
        <v>30</v>
      </c>
      <c r="Q856" s="18">
        <f t="shared" si="683"/>
        <v>44</v>
      </c>
      <c r="R856" s="18">
        <f t="shared" si="683"/>
        <v>25</v>
      </c>
      <c r="S856" s="158">
        <f t="shared" si="683"/>
        <v>25</v>
      </c>
      <c r="T856" s="11">
        <f t="shared" si="679"/>
        <v>124</v>
      </c>
      <c r="U856" s="17">
        <f t="shared" ref="U856:X856" si="684">SUM(U830:U855)</f>
        <v>0</v>
      </c>
      <c r="V856" s="18">
        <f t="shared" si="684"/>
        <v>13</v>
      </c>
      <c r="W856" s="146">
        <f t="shared" si="684"/>
        <v>0</v>
      </c>
      <c r="X856" s="146">
        <f t="shared" si="684"/>
        <v>0</v>
      </c>
      <c r="Y856" s="11">
        <f t="shared" si="680"/>
        <v>13</v>
      </c>
      <c r="Z856" s="11">
        <f t="shared" si="668"/>
        <v>137</v>
      </c>
    </row>
    <row r="857" spans="1:27" ht="14.25" thickBot="1" x14ac:dyDescent="0.2">
      <c r="A857" s="19" t="s">
        <v>8</v>
      </c>
      <c r="B857" s="20">
        <f t="shared" ref="B857:E857" si="685">B829-B856</f>
        <v>0</v>
      </c>
      <c r="C857" s="21">
        <f t="shared" si="685"/>
        <v>6</v>
      </c>
      <c r="D857" s="21">
        <f t="shared" si="685"/>
        <v>2</v>
      </c>
      <c r="E857" s="22">
        <f t="shared" si="685"/>
        <v>1</v>
      </c>
      <c r="F857" s="11">
        <f t="shared" si="677"/>
        <v>9</v>
      </c>
      <c r="G857" s="20">
        <f t="shared" ref="G857:J857" si="686">G829-G856</f>
        <v>1</v>
      </c>
      <c r="H857" s="21">
        <f t="shared" si="686"/>
        <v>-2</v>
      </c>
      <c r="I857" s="147">
        <f t="shared" si="686"/>
        <v>0</v>
      </c>
      <c r="J857" s="51">
        <f t="shared" si="686"/>
        <v>4</v>
      </c>
      <c r="K857" s="11">
        <f t="shared" si="678"/>
        <v>3</v>
      </c>
      <c r="L857" s="53">
        <f t="shared" si="665"/>
        <v>12</v>
      </c>
      <c r="O857" s="19" t="s">
        <v>8</v>
      </c>
      <c r="P857" s="20">
        <f t="shared" ref="P857:S857" si="687">P829-P856</f>
        <v>165</v>
      </c>
      <c r="Q857" s="21">
        <f t="shared" si="687"/>
        <v>38</v>
      </c>
      <c r="R857" s="21">
        <f t="shared" si="687"/>
        <v>33</v>
      </c>
      <c r="S857" s="159">
        <f t="shared" si="687"/>
        <v>0</v>
      </c>
      <c r="T857" s="11">
        <f t="shared" si="679"/>
        <v>236</v>
      </c>
      <c r="U857" s="20">
        <f t="shared" ref="U857:X857" si="688">U829-U856</f>
        <v>43</v>
      </c>
      <c r="V857" s="21">
        <f t="shared" si="688"/>
        <v>25</v>
      </c>
      <c r="W857" s="147">
        <f t="shared" si="688"/>
        <v>0</v>
      </c>
      <c r="X857" s="147">
        <f t="shared" si="688"/>
        <v>0</v>
      </c>
      <c r="Y857" s="11">
        <f t="shared" si="680"/>
        <v>68</v>
      </c>
      <c r="Z857" s="53">
        <f t="shared" si="668"/>
        <v>304</v>
      </c>
    </row>
  </sheetData>
  <mergeCells count="132">
    <mergeCell ref="U120:Y120"/>
    <mergeCell ref="C119:D119"/>
    <mergeCell ref="S119:T119"/>
    <mergeCell ref="B120:F120"/>
    <mergeCell ref="G120:K120"/>
    <mergeCell ref="P120:T120"/>
    <mergeCell ref="U159:Y159"/>
    <mergeCell ref="C158:D158"/>
    <mergeCell ref="C665:D665"/>
    <mergeCell ref="S665:T665"/>
    <mergeCell ref="S431:T431"/>
    <mergeCell ref="P432:T432"/>
    <mergeCell ref="U432:Y432"/>
    <mergeCell ref="C431:D431"/>
    <mergeCell ref="B432:F432"/>
    <mergeCell ref="G432:K432"/>
    <mergeCell ref="U549:Y549"/>
    <mergeCell ref="C548:D548"/>
    <mergeCell ref="G549:K549"/>
    <mergeCell ref="P549:T549"/>
    <mergeCell ref="U510:Y510"/>
    <mergeCell ref="C509:D509"/>
    <mergeCell ref="S275:T275"/>
    <mergeCell ref="P276:T276"/>
    <mergeCell ref="C2:D2"/>
    <mergeCell ref="C41:D41"/>
    <mergeCell ref="B42:F42"/>
    <mergeCell ref="G42:K42"/>
    <mergeCell ref="U81:Y81"/>
    <mergeCell ref="U42:Y42"/>
    <mergeCell ref="P3:T3"/>
    <mergeCell ref="S2:T2"/>
    <mergeCell ref="U3:Y3"/>
    <mergeCell ref="C80:D80"/>
    <mergeCell ref="S80:T80"/>
    <mergeCell ref="B81:F81"/>
    <mergeCell ref="G81:K81"/>
    <mergeCell ref="P81:T81"/>
    <mergeCell ref="G3:K3"/>
    <mergeCell ref="S41:T41"/>
    <mergeCell ref="P42:T42"/>
    <mergeCell ref="B3:F3"/>
    <mergeCell ref="U276:Y276"/>
    <mergeCell ref="C275:D275"/>
    <mergeCell ref="B276:F276"/>
    <mergeCell ref="G276:K276"/>
    <mergeCell ref="S158:T158"/>
    <mergeCell ref="B159:F159"/>
    <mergeCell ref="G159:K159"/>
    <mergeCell ref="P159:T159"/>
    <mergeCell ref="U198:Y198"/>
    <mergeCell ref="C197:D197"/>
    <mergeCell ref="S197:T197"/>
    <mergeCell ref="B198:F198"/>
    <mergeCell ref="G198:K198"/>
    <mergeCell ref="P198:T198"/>
    <mergeCell ref="U237:Y237"/>
    <mergeCell ref="C236:D236"/>
    <mergeCell ref="S236:T236"/>
    <mergeCell ref="B237:F237"/>
    <mergeCell ref="G237:K237"/>
    <mergeCell ref="P237:T237"/>
    <mergeCell ref="U354:Y354"/>
    <mergeCell ref="C353:D353"/>
    <mergeCell ref="S353:T353"/>
    <mergeCell ref="B354:F354"/>
    <mergeCell ref="G354:K354"/>
    <mergeCell ref="P354:T354"/>
    <mergeCell ref="U315:Y315"/>
    <mergeCell ref="C314:D314"/>
    <mergeCell ref="S314:T314"/>
    <mergeCell ref="B315:F315"/>
    <mergeCell ref="G315:K315"/>
    <mergeCell ref="P315:T315"/>
    <mergeCell ref="U588:Y588"/>
    <mergeCell ref="C587:D587"/>
    <mergeCell ref="S587:T587"/>
    <mergeCell ref="B588:F588"/>
    <mergeCell ref="G588:K588"/>
    <mergeCell ref="P588:T588"/>
    <mergeCell ref="U393:Y393"/>
    <mergeCell ref="C392:D392"/>
    <mergeCell ref="S392:T392"/>
    <mergeCell ref="B393:F393"/>
    <mergeCell ref="G393:K393"/>
    <mergeCell ref="P393:T393"/>
    <mergeCell ref="U471:Y471"/>
    <mergeCell ref="C470:D470"/>
    <mergeCell ref="S470:T470"/>
    <mergeCell ref="B471:F471"/>
    <mergeCell ref="G471:K471"/>
    <mergeCell ref="P471:T471"/>
    <mergeCell ref="S509:T509"/>
    <mergeCell ref="B510:F510"/>
    <mergeCell ref="G510:K510"/>
    <mergeCell ref="P510:T510"/>
    <mergeCell ref="S548:T548"/>
    <mergeCell ref="B549:F549"/>
    <mergeCell ref="U627:Y627"/>
    <mergeCell ref="C626:D626"/>
    <mergeCell ref="S626:T626"/>
    <mergeCell ref="B627:F627"/>
    <mergeCell ref="G627:K627"/>
    <mergeCell ref="P627:T627"/>
    <mergeCell ref="B666:F666"/>
    <mergeCell ref="G666:K666"/>
    <mergeCell ref="P666:T666"/>
    <mergeCell ref="U666:Y666"/>
    <mergeCell ref="C704:D704"/>
    <mergeCell ref="S704:T704"/>
    <mergeCell ref="B705:F705"/>
    <mergeCell ref="G705:K705"/>
    <mergeCell ref="P705:T705"/>
    <mergeCell ref="U705:Y705"/>
    <mergeCell ref="C743:D743"/>
    <mergeCell ref="S743:T743"/>
    <mergeCell ref="B744:F744"/>
    <mergeCell ref="G744:K744"/>
    <mergeCell ref="P744:T744"/>
    <mergeCell ref="U744:Y744"/>
    <mergeCell ref="C821:D821"/>
    <mergeCell ref="S821:T821"/>
    <mergeCell ref="B822:F822"/>
    <mergeCell ref="G822:K822"/>
    <mergeCell ref="P822:T822"/>
    <mergeCell ref="U822:Y822"/>
    <mergeCell ref="S782:T782"/>
    <mergeCell ref="P783:T783"/>
    <mergeCell ref="U783:Y783"/>
    <mergeCell ref="C782:D782"/>
    <mergeCell ref="B783:F783"/>
    <mergeCell ref="G783:K783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UVパーカー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yumehan11</dc:creator>
  <cp:lastModifiedBy>聡祐 松島</cp:lastModifiedBy>
  <dcterms:created xsi:type="dcterms:W3CDTF">2016-09-09T08:56:20Z</dcterms:created>
  <dcterms:modified xsi:type="dcterms:W3CDTF">2026-07-16T01:26:30Z</dcterms:modified>
</cp:coreProperties>
</file>